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Sheet1" sheetId="2" state="visible" r:id="rId2"/>
    <sheet name="Campaign Analysis" sheetId="3" state="visible" r:id="rId3"/>
    <sheet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E78"/>
      <sz val="18"/>
      <scheme val="minor"/>
    </font>
  </fonts>
  <fills count="7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2" borderId="7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9" fontId="0" fillId="0" borderId="3" pivotButton="0" quotePrefix="0" xfId="0"/>
    <xf numFmtId="0" fontId="1" fillId="0" borderId="3" pivotButton="0" quotePrefix="0" xfId="0"/>
    <xf numFmtId="1" fontId="0" fillId="0" borderId="3" pivotButton="0" quotePrefix="0" xfId="0"/>
    <xf numFmtId="0" fontId="2" fillId="0" borderId="5" pivotButton="0" quotePrefix="0" xfId="0"/>
    <xf numFmtId="9" fontId="0" fillId="0" borderId="6" pivotButton="0" quotePrefix="0" xfId="0"/>
    <xf numFmtId="0" fontId="4" fillId="0" borderId="0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/>
    </xf>
    <xf numFmtId="3" fontId="2" fillId="4" borderId="7" applyAlignment="1" pivotButton="0" quotePrefix="0" xfId="0">
      <alignment horizontal="center"/>
    </xf>
    <xf numFmtId="10" fontId="2" fillId="4" borderId="7" applyAlignment="1" pivotButton="0" quotePrefix="0" xfId="0">
      <alignment horizontal="center"/>
    </xf>
    <xf numFmtId="0" fontId="0" fillId="0" borderId="7" applyAlignment="1" pivotButton="0" quotePrefix="0" xfId="0">
      <alignment horizontal="left" vertical="center"/>
    </xf>
    <xf numFmtId="3" fontId="2" fillId="5" borderId="7" applyAlignment="1" pivotButton="0" quotePrefix="0" xfId="0">
      <alignment horizontal="center"/>
    </xf>
    <xf numFmtId="0" fontId="3" fillId="6" borderId="7" applyAlignment="1" pivotButton="0" quotePrefix="0" xfId="0">
      <alignment horizontal="center" vertical="center"/>
    </xf>
    <xf numFmtId="10" fontId="0" fillId="0" borderId="7" applyAlignment="1" pivotButton="0" quotePrefix="0" xfId="0">
      <alignment horizontal="center"/>
    </xf>
    <xf numFmtId="3" fontId="0" fillId="0" borderId="7" applyAlignment="1" pivotButton="0" quotePrefix="0" xfId="0">
      <alignment horizontal="center"/>
    </xf>
    <xf numFmtId="3" fontId="2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 Id</t>
        </is>
      </c>
      <c r="B1" s="1" t="inlineStr">
        <is>
          <t>Customer Id</t>
        </is>
      </c>
      <c r="C1" s="1" t="inlineStr">
        <is>
          <t>Lead Reference</t>
        </is>
      </c>
      <c r="D1" s="1" t="inlineStr">
        <is>
          <t>List Id</t>
        </is>
      </c>
      <c r="E1" s="1" t="inlineStr">
        <is>
          <t>List Name</t>
        </is>
      </c>
      <c r="F1" s="1" t="inlineStr">
        <is>
          <t>Title</t>
        </is>
      </c>
      <c r="G1" s="1" t="inlineStr">
        <is>
          <t>Firstname</t>
        </is>
      </c>
      <c r="H1" s="1" t="inlineStr">
        <is>
          <t>Lastname</t>
        </is>
      </c>
      <c r="I1" s="1" t="inlineStr">
        <is>
          <t>Gender</t>
        </is>
      </c>
      <c r="J1" s="1" t="inlineStr">
        <is>
          <t>Last Outcome</t>
        </is>
      </c>
      <c r="K1" s="1" t="inlineStr">
        <is>
          <t>Outcome Description</t>
        </is>
      </c>
      <c r="L1" s="1" t="inlineStr">
        <is>
          <t>Called Count</t>
        </is>
      </c>
      <c r="M1" s="1" t="inlineStr">
        <is>
          <t>Last Called Date</t>
        </is>
      </c>
      <c r="N1" s="1" t="inlineStr">
        <is>
          <t>Last User</t>
        </is>
      </c>
      <c r="O1" s="1" t="inlineStr">
        <is>
          <t>Created At</t>
        </is>
      </c>
      <c r="P1" s="1" t="inlineStr">
        <is>
          <t>Updated At</t>
        </is>
      </c>
      <c r="Q1" s="1" t="inlineStr">
        <is>
          <t>Address1</t>
        </is>
      </c>
      <c r="R1" s="1" t="inlineStr">
        <is>
          <t>Address2</t>
        </is>
      </c>
      <c r="S1" s="1" t="inlineStr">
        <is>
          <t>Address3</t>
        </is>
      </c>
      <c r="T1" s="1" t="inlineStr">
        <is>
          <t>Town</t>
        </is>
      </c>
      <c r="U1" s="1" t="inlineStr">
        <is>
          <t>County</t>
        </is>
      </c>
      <c r="V1" s="1" t="inlineStr">
        <is>
          <t>Country</t>
        </is>
      </c>
      <c r="W1" s="1" t="inlineStr">
        <is>
          <t>Postcode</t>
        </is>
      </c>
      <c r="X1" s="1" t="inlineStr">
        <is>
          <t>Email Address</t>
        </is>
      </c>
      <c r="Y1" s="1" t="inlineStr">
        <is>
          <t>Tel1</t>
        </is>
      </c>
      <c r="Z1" s="1" t="inlineStr">
        <is>
          <t>Tel2</t>
        </is>
      </c>
      <c r="AA1" s="1" t="inlineStr">
        <is>
          <t>Tel3</t>
        </is>
      </c>
      <c r="AB1" s="1" t="inlineStr">
        <is>
          <t>Tel4</t>
        </is>
      </c>
      <c r="AC1" s="1" t="inlineStr">
        <is>
          <t>Tel5</t>
        </is>
      </c>
      <c r="AD1" s="1" t="inlineStr">
        <is>
          <t>Tel6</t>
        </is>
      </c>
      <c r="AE1" s="1" t="inlineStr">
        <is>
          <t>Owner Username</t>
        </is>
      </c>
      <c r="AF1" s="1" t="inlineStr">
        <is>
          <t>Security Phrase</t>
        </is>
      </c>
      <c r="AG1" s="1" t="inlineStr">
        <is>
          <t>Source Reference</t>
        </is>
      </c>
      <c r="AH1" s="1" t="inlineStr">
        <is>
          <t>Industry</t>
        </is>
      </c>
      <c r="AI1" s="1" t="inlineStr">
        <is>
          <t>Company Name</t>
        </is>
      </c>
      <c r="AJ1" s="1" t="inlineStr">
        <is>
          <t>Website</t>
        </is>
      </c>
      <c r="AK1" s="1" t="inlineStr">
        <is>
          <t>Customer Reference</t>
        </is>
      </c>
      <c r="AL1" s="1" t="inlineStr">
        <is>
          <t>Dob</t>
        </is>
      </c>
    </row>
    <row r="2">
      <c r="A2" t="inlineStr">
        <is>
          <t>ID_1</t>
        </is>
      </c>
      <c r="J2" t="inlineStr">
        <is>
          <t>14814913;dbbfec8b-e5d7-44f1-acf9-92fea290e79d;;30001085;ussd_funeral_leads_altitude_20260601;;;27784005327;;SELECTED;6;2026-06-11 11:35:50+02;Virginia Letsatsi;2026-06-08 06:47:44+02;2026-06-08 06:47:44+02;;;;;;;;;27784005327;;;;;;;;;;;;;</t>
        </is>
      </c>
      <c r="K2" t="inlineStr">
        <is>
          <t>14814913;dbbfec8b-e5d7-44f1-acf9-92fea290e79d;;30001085;ussd_funeral_leads_altitude_20260601;;;27784005327;;SELECTED;6;2026-06-11 11:35:50+02;Virginia Letsatsi;2026-06-08 06:47:44+02;2026-06-08 06:47:44+02;;;;;;;;;27784005327;;;;;;;;;;;;;</t>
        </is>
      </c>
    </row>
    <row r="3">
      <c r="A3" t="inlineStr">
        <is>
          <t>ID_2</t>
        </is>
      </c>
      <c r="J3" t="inlineStr">
        <is>
          <t>14814914;c91a961d-06a8-4212-b705-5420d301d272;;30001085;ussd_funeral_leads_altitude_20260601;;;;;NA;6;2026-06-11 15:39:18+02;system;2026-06-08 06:47:44+02;2026-06-08 06:47:44+02;;;;;;;;;27820905001;;;;;;;;;;;;;</t>
        </is>
      </c>
      <c r="K3" t="inlineStr">
        <is>
          <t>14814914;c91a961d-06a8-4212-b705-5420d301d272;;30001085;ussd_funeral_leads_altitude_20260601;;;;;NA;6;2026-06-11 15:39:18+02;system;2026-06-08 06:47:44+02;2026-06-08 06:47:44+02;;;;;;;;;27820905001;;;;;;;;;;;;;</t>
        </is>
      </c>
    </row>
    <row r="4">
      <c r="A4" t="inlineStr">
        <is>
          <t>ID_3</t>
        </is>
      </c>
      <c r="J4" t="inlineStr">
        <is>
          <t>14814915;92827801-830f-4bde-9404-f6a3211e064c;;30001085;ussd_funeral_leads_altitude_20260601;;;;;ADC;6;2026-06-11 15:20:41+02;system;2026-06-08 06:47:44+02;2026-06-08 06:47:44+02;;;;;;;;;27774420510;;;;;;;;;;;;;</t>
        </is>
      </c>
      <c r="K4" t="inlineStr">
        <is>
          <t>14814915;92827801-830f-4bde-9404-f6a3211e064c;;30001085;ussd_funeral_leads_altitude_20260601;;;;;ADC;6;2026-06-11 15:20:41+02;system;2026-06-08 06:47:44+02;2026-06-08 06:47:44+02;;;;;;;;;27774420510;;;;;;;;;;;;;</t>
        </is>
      </c>
    </row>
    <row r="5">
      <c r="A5" t="inlineStr">
        <is>
          <t>ID_4</t>
        </is>
      </c>
      <c r="J5" t="inlineStr">
        <is>
          <t>14814916;25753b1e-2be6-496e-9375-4426ad3c6c47;;30001085;ussd_funeral_leads_altitude_20260601;;;;;ADC;6;2026-06-12 08:07:42+02;system;2026-06-08 06:47:44+02;2026-06-08 06:47:44+02;;;;;;;;;27674998353;;;;;;;;;;;;;</t>
        </is>
      </c>
      <c r="K5" t="inlineStr">
        <is>
          <t>14814916;25753b1e-2be6-496e-9375-4426ad3c6c47;;30001085;ussd_funeral_leads_altitude_20260601;;;;;ADC;6;2026-06-12 08:07:42+02;system;2026-06-08 06:47:44+02;2026-06-08 06:47:44+02;;;;;;;;;27674998353;;;;;;;;;;;;;</t>
        </is>
      </c>
    </row>
    <row r="6">
      <c r="A6" t="inlineStr">
        <is>
          <t>ID_5</t>
        </is>
      </c>
      <c r="J6" t="inlineStr">
        <is>
          <t>14814917;24455c1d-a865-44dc-9de9-294394319111;;30001085;ussd_funeral_leads_altitude_20260601;;;;;AF;3;2026-06-10 09:03:03+02;Gontse Monageng;2026-06-08 06:47:44+02;2026-06-08 06:47:44+02;;;;;;;;;27712667817;;;;;;;;;;;;;</t>
        </is>
      </c>
      <c r="K6" t="inlineStr">
        <is>
          <t>14814917;24455c1d-a865-44dc-9de9-294394319111;;30001085;ussd_funeral_leads_altitude_20260601;;;;;AF;3;2026-06-10 09:03:03+02;Gontse Monageng;2026-06-08 06:47:44+02;2026-06-08 06:47:44+02;;;;;;;;;27712667817;;;;;;;;;;;;;</t>
        </is>
      </c>
    </row>
    <row r="7">
      <c r="A7" t="inlineStr">
        <is>
          <t>ID_6</t>
        </is>
      </c>
      <c r="J7" t="inlineStr">
        <is>
          <t>14814918;a76f244a-5bb4-4dee-b5b6-af96c32bb947;;30001085;ussd_funeral_leads_altitude_20260601;;;;;NA;6;2026-06-11 15:40:00+02;system;2026-06-08 06:47:44+02;2026-06-08 06:47:44+02;;;;;;;;;27647970688;;;;;;;;;;;;;</t>
        </is>
      </c>
      <c r="K7" t="inlineStr">
        <is>
          <t>14814918;a76f244a-5bb4-4dee-b5b6-af96c32bb947;;30001085;ussd_funeral_leads_altitude_20260601;;;;;NA;6;2026-06-11 15:40:00+02;system;2026-06-08 06:47:44+02;2026-06-08 06:47:44+02;;;;;;;;;27647970688;;;;;;;;;;;;;</t>
        </is>
      </c>
    </row>
    <row r="8">
      <c r="A8" t="inlineStr">
        <is>
          <t>ID_7</t>
        </is>
      </c>
      <c r="J8" t="inlineStr">
        <is>
          <t>14814919;86170ca0-2572-41a7-a890-d2a955935a41;;30001085;ussd_funeral_leads_altitude_20260601;;;;;NA;6;2026-06-11 15:40:00+02;system;2026-06-08 06:47:44+02;2026-06-08 06:47:44+02;;;;;;;;;27762561218;;;;;;;;;;;;;</t>
        </is>
      </c>
      <c r="K8" t="inlineStr">
        <is>
          <t>14814919;86170ca0-2572-41a7-a890-d2a955935a41;;30001085;ussd_funeral_leads_altitude_20260601;;;;;NA;6;2026-06-11 15:40:00+02;system;2026-06-08 06:47:44+02;2026-06-08 06:47:44+02;;;;;;;;;27762561218;;;;;;;;;;;;;</t>
        </is>
      </c>
    </row>
    <row r="9">
      <c r="A9" t="inlineStr">
        <is>
          <t>ID_8</t>
        </is>
      </c>
      <c r="J9" t="inlineStr">
        <is>
          <t>14814920;f159596b-a476-4036-95ed-cd84bca5a858;;30001085;ussd_funeral_leads_altitude_20260601;;;;;ADC;6;2026-06-11 15:20:58+02;system;2026-06-08 06:47:44+02;2026-06-08 06:47:44+02;;;;;;;;;27826311854;;;;;;;;;;;;;</t>
        </is>
      </c>
      <c r="K9" t="inlineStr">
        <is>
          <t>14814920;f159596b-a476-4036-95ed-cd84bca5a858;;30001085;ussd_funeral_leads_altitude_20260601;;;;;ADC;6;2026-06-11 15:20:58+02;system;2026-06-08 06:47:44+02;2026-06-08 06:47:44+02;;;;;;;;;27826311854;;;;;;;;;;;;;</t>
        </is>
      </c>
    </row>
    <row r="10">
      <c r="A10" t="inlineStr">
        <is>
          <t>ID_9</t>
        </is>
      </c>
      <c r="J10" t="inlineStr">
        <is>
          <t>14814921;1dc12e05-fc88-41cc-9d73-1d9107be1d11;;30001085;ussd_funeral_leads_altitude_20260601;;;;;AE;6;2026-06-11 15:21:00+02;system;2026-06-08 06:47:44+02;2026-06-08 06:47:44+02;;;;;;;;;27822923241;;;;;;;;;;;;;</t>
        </is>
      </c>
      <c r="K10" t="inlineStr">
        <is>
          <t>14814921;1dc12e05-fc88-41cc-9d73-1d9107be1d11;;30001085;ussd_funeral_leads_altitude_20260601;;;;;AE;6;2026-06-11 15:21:00+02;system;2026-06-08 06:47:44+02;2026-06-08 06:47:44+02;;;;;;;;;27822923241;;;;;;;;;;;;;</t>
        </is>
      </c>
    </row>
    <row r="11">
      <c r="A11" t="inlineStr">
        <is>
          <t>ID_10</t>
        </is>
      </c>
      <c r="J11" t="inlineStr">
        <is>
          <t>14814922;70e123b3-34d5-4a57-a3ea-2a22be8ce6d9;;30001085;ussd_funeral_leads_altitude_20260601;;;;;AA;6;2026-06-11 15:40:07+02;system;2026-06-08 06:47:44+02;2026-06-08 06:47:44+02;;;;;;;;;27795658201;;;;;;;;;;;;;</t>
        </is>
      </c>
      <c r="K11" t="inlineStr">
        <is>
          <t>14814922;70e123b3-34d5-4a57-a3ea-2a22be8ce6d9;;30001085;ussd_funeral_leads_altitude_20260601;;;;;AA;6;2026-06-11 15:40:07+02;system;2026-06-08 06:47:44+02;2026-06-08 06:47:44+02;;;;;;;;;27795658201;;;;;;;;;;;;;</t>
        </is>
      </c>
    </row>
    <row r="12">
      <c r="A12" t="inlineStr">
        <is>
          <t>ID_11</t>
        </is>
      </c>
      <c r="J12" t="inlineStr">
        <is>
          <t>14814952;afd8d4e6-40dc-41e1-92e8-c441bd42dcf8;;30001085;ussd_funeral_leads_altitude_20260601;;;;;A;6;2026-06-11 15:19:34+02;Vuyiswa Nxumalo;2026-06-08 06:47:44+02;2026-06-08 06:47:44+02;;;;;;;;;27774437718;;;;;;;;;;;;;</t>
        </is>
      </c>
      <c r="K12" t="inlineStr">
        <is>
          <t>14814952;afd8d4e6-40dc-41e1-92e8-c441bd42dcf8;;30001085;ussd_funeral_leads_altitude_20260601;;;;;A;6;2026-06-11 15:19:34+02;Vuyiswa Nxumalo;2026-06-08 06:47:44+02;2026-06-08 06:47:44+02;;;;;;;;;27774437718;;;;;;;;;;;;;</t>
        </is>
      </c>
    </row>
    <row r="13">
      <c r="A13" t="inlineStr">
        <is>
          <t>ID_12</t>
        </is>
      </c>
      <c r="J13" t="inlineStr">
        <is>
          <t>14814953;0a948062-a3c3-474b-90ef-f9cdce46375d;;30001085;ussd_funeral_leads_altitude_20260601;;;;;NA;6;2026-06-11 15:47:21+02;system;2026-06-08 06:47:44+02;2026-06-08 06:47:44+02;;;;;;;;;27608536314;;;;;;;;;;;;;</t>
        </is>
      </c>
      <c r="K13" t="inlineStr">
        <is>
          <t>14814953;0a948062-a3c3-474b-90ef-f9cdce46375d;;30001085;ussd_funeral_leads_altitude_20260601;;;;;NA;6;2026-06-11 15:47:21+02;system;2026-06-08 06:47:44+02;2026-06-08 06:47:44+02;;;;;;;;;27608536314;;;;;;;;;;;;;</t>
        </is>
      </c>
    </row>
    <row r="14">
      <c r="A14" t="inlineStr">
        <is>
          <t>ID_13</t>
        </is>
      </c>
      <c r="J14" t="inlineStr">
        <is>
          <t>14814923;cf71ca88-a887-4484-b0fb-336b2fb129f6;;30001085;ussd_funeral_leads_altitude_20260601;;;;;QAVER;5;2026-06-11 10:43:24+02;Goitsimang Mogwasa;2026-06-08 06:47:44+02;2026-06-08 06:47:44+02;;;;;;;;;27796813320;;;;;;;;;;;;;</t>
        </is>
      </c>
      <c r="K14" t="inlineStr">
        <is>
          <t>14814923;cf71ca88-a887-4484-b0fb-336b2fb129f6;;30001085;ussd_funeral_leads_altitude_20260601;;;;;QAVER;5;2026-06-11 10:43:24+02;Goitsimang Mogwasa;2026-06-08 06:47:44+02;2026-06-08 06:47:44+02;;;;;;;;;27796813320;;;;;;;;;;;;;</t>
        </is>
      </c>
    </row>
    <row r="15">
      <c r="A15" t="inlineStr">
        <is>
          <t>ID_14</t>
        </is>
      </c>
      <c r="J15" t="inlineStr">
        <is>
          <t>14814924;a5a42c85-906b-4134-b9f4-6d30d1c50bdd;;30001085;ussd_funeral_leads_altitude_20260601;;;27774829311;;ADC;6;2026-06-12 08:07:42+02;system;2026-06-08 06:47:44+02;2026-06-08 06:47:44+02;;;;;;;;;27774829311;;;;;;;;;;;;;</t>
        </is>
      </c>
      <c r="K15" t="inlineStr">
        <is>
          <t>14814924;a5a42c85-906b-4134-b9f4-6d30d1c50bdd;;30001085;ussd_funeral_leads_altitude_20260601;;;27774829311;;ADC;6;2026-06-12 08:07:42+02;system;2026-06-08 06:47:44+02;2026-06-08 06:47:44+02;;;;;;;;;27774829311;;;;;;;;;;;;;</t>
        </is>
      </c>
    </row>
    <row r="16">
      <c r="A16" t="inlineStr">
        <is>
          <t>ID_15</t>
        </is>
      </c>
      <c r="J16" t="inlineStr">
        <is>
          <t>14814925;0250e2d0-3d9a-46fc-b8b3-ba965348c68a;;30001085;ussd_funeral_leads_altitude_20260601;;;;;AA;6;2026-06-11 15:21:03+02;system;2026-06-08 06:47:44+02;2026-06-08 06:47:44+02;;;;;;;;;27715059846;;;;;;;;;;;;;</t>
        </is>
      </c>
      <c r="K16" t="inlineStr">
        <is>
          <t>14814925;0250e2d0-3d9a-46fc-b8b3-ba965348c68a;;30001085;ussd_funeral_leads_altitude_20260601;;;;;AA;6;2026-06-11 15:21:03+02;system;2026-06-08 06:47:44+02;2026-06-08 06:47:44+02;;;;;;;;;27715059846;;;;;;;;;;;;;</t>
        </is>
      </c>
    </row>
    <row r="17">
      <c r="A17" t="inlineStr">
        <is>
          <t>ID_16</t>
        </is>
      </c>
      <c r="J17" t="inlineStr">
        <is>
          <t>14814926;961069ff-e10c-45e1-8655-ec3f1c3da6ab;;30001085;ussd_funeral_leads_altitude_20260601;;;;;AA;6;2026-06-11 15:21:57+02;system;2026-06-08 06:47:44+02;2026-06-08 06:47:44+02;;;;;;;;;27673020372;;;;;;;;;;;;;</t>
        </is>
      </c>
      <c r="K17" t="inlineStr">
        <is>
          <t>14814926;961069ff-e10c-45e1-8655-ec3f1c3da6ab;;30001085;ussd_funeral_leads_altitude_20260601;;;;;AA;6;2026-06-11 15:21:57+02;system;2026-06-08 06:47:44+02;2026-06-08 06:47:44+02;;;;;;;;;27673020372;;;;;;;;;;;;;</t>
        </is>
      </c>
    </row>
    <row r="18">
      <c r="A18" t="inlineStr">
        <is>
          <t>ID_17</t>
        </is>
      </c>
      <c r="J18" t="inlineStr">
        <is>
          <t>14814954;e82f0cf4-2b63-4232-b02e-4fc353805794;;30001085;ussd_funeral_leads_altitude_20260601;;;;;ADC;6;2026-06-11 15:19:36+02;system;2026-06-08 06:47:44+02;2026-06-08 06:47:44+02;;;;;;;;;27798517823;;;;;;;;;;;;;</t>
        </is>
      </c>
      <c r="K18" t="inlineStr">
        <is>
          <t>14814954;e82f0cf4-2b63-4232-b02e-4fc353805794;;30001085;ussd_funeral_leads_altitude_20260601;;;;;ADC;6;2026-06-11 15:19:36+02;system;2026-06-08 06:47:44+02;2026-06-08 06:47:44+02;;;;;;;;;27798517823;;;;;;;;;;;;;</t>
        </is>
      </c>
    </row>
    <row r="19">
      <c r="A19" t="inlineStr">
        <is>
          <t>ID_18</t>
        </is>
      </c>
      <c r="J19" t="inlineStr">
        <is>
          <t>14814955;5fe74f78-ad64-4076-863b-adc44a1b3e5a;;30001085;ussd_funeral_leads_altitude_20260601;;;;;CUA;5;2026-06-10 16:56:59+02;Virginia Letsatsi;2026-06-08 06:47:44+02;2026-06-08 06:47:44+02;;;;;;;;;27649425702;;;;;;;;;;;;;</t>
        </is>
      </c>
      <c r="K19" t="inlineStr">
        <is>
          <t>14814955;5fe74f78-ad64-4076-863b-adc44a1b3e5a;;30001085;ussd_funeral_leads_altitude_20260601;;;;;CUA;5;2026-06-10 16:56:59+02;Virginia Letsatsi;2026-06-08 06:47:44+02;2026-06-08 06:47:44+02;;;;;;;;;27649425702;;;;;;;;;;;;;</t>
        </is>
      </c>
    </row>
    <row r="20">
      <c r="A20" t="inlineStr">
        <is>
          <t>ID_19</t>
        </is>
      </c>
      <c r="J20" t="inlineStr">
        <is>
          <t>14814956;db00d0c9-1dac-4633-ae4d-b3ad476d03f6;;30001085;ussd_funeral_leads_altitude_20260601;;;;;AA;6;2026-06-11 15:47:30+02;system;2026-06-08 06:47:44+02;2026-06-08 06:47:44+02;;;;;;;;;27723443429;;;;;;;;;;;;;</t>
        </is>
      </c>
      <c r="K20" t="inlineStr">
        <is>
          <t>14814956;db00d0c9-1dac-4633-ae4d-b3ad476d03f6;;30001085;ussd_funeral_leads_altitude_20260601;;;;;AA;6;2026-06-11 15:47:30+02;system;2026-06-08 06:47:44+02;2026-06-08 06:47:44+02;;;;;;;;;27723443429;;;;;;;;;;;;;</t>
        </is>
      </c>
    </row>
    <row r="21">
      <c r="A21" t="inlineStr">
        <is>
          <t>ID_20</t>
        </is>
      </c>
      <c r="J21" t="inlineStr">
        <is>
          <t>14814957;ea50048b-b589-44b4-9a8f-d37b1061d975;;30001085;ussd_funeral_leads_altitude_20260601;;;;;NA;6;2026-06-11 15:47:37+02;system;2026-06-08 06:47:44+02;2026-06-08 06:47:44+02;;;;;;;;;27711108188;;;;;;;;;;;;;</t>
        </is>
      </c>
      <c r="K21" t="inlineStr">
        <is>
          <t>14814957;ea50048b-b589-44b4-9a8f-d37b1061d975;;30001085;ussd_funeral_leads_altitude_20260601;;;;;NA;6;2026-06-11 15:47:37+02;system;2026-06-08 06:47:44+02;2026-06-08 06:47:44+02;;;;;;;;;27711108188;;;;;;;;;;;;;</t>
        </is>
      </c>
    </row>
    <row r="22">
      <c r="A22" t="inlineStr">
        <is>
          <t>ID_21</t>
        </is>
      </c>
      <c r="J22" t="inlineStr">
        <is>
          <t>14814958;212442b2-7c0f-4ac5-8137-522dbf3974bb;;30001085;ussd_funeral_leads_altitude_20260601;;;;;CU;6;2026-06-11 15:47:38+02;Gontse Monageng;2026-06-08 06:47:44+02;2026-06-08 06:47:44+02;;;;;;;;;27763823546;;;;;;;;;;;;;</t>
        </is>
      </c>
      <c r="K22" t="inlineStr">
        <is>
          <t>14814958;212442b2-7c0f-4ac5-8137-522dbf3974bb;;30001085;ussd_funeral_leads_altitude_20260601;;;;;CU;6;2026-06-11 15:47:38+02;Gontse Monageng;2026-06-08 06:47:44+02;2026-06-08 06:47:44+02;;;;;;;;;27763823546;;;;;;;;;;;;;</t>
        </is>
      </c>
    </row>
    <row r="23">
      <c r="A23" t="inlineStr">
        <is>
          <t>ID_22</t>
        </is>
      </c>
      <c r="J23" t="inlineStr">
        <is>
          <t>14815049;626c5570-d604-4c77-bf0f-b81fa187c73b;;30001085;ussd_funeral_leads_altitude_20260601;;;;;NA;6;2026-06-11 15:08:45+02;system;2026-06-08 06:47:44+02;2026-06-08 06:47:44+02;;;;;;;;;27726511280;;;;;;;;;;;;;</t>
        </is>
      </c>
      <c r="K23" t="inlineStr">
        <is>
          <t>14815049;626c5570-d604-4c77-bf0f-b81fa187c73b;;30001085;ussd_funeral_leads_altitude_20260601;;;;;NA;6;2026-06-11 15:08:45+02;system;2026-06-08 06:47:44+02;2026-06-08 06:47:44+02;;;;;;;;;27726511280;;;;;;;;;;;;;</t>
        </is>
      </c>
    </row>
    <row r="24">
      <c r="A24" t="inlineStr">
        <is>
          <t>ID_23</t>
        </is>
      </c>
      <c r="J24" t="inlineStr">
        <is>
          <t>14814927;c0300788-7f20-4fd9-8882-01c0d72757ed;;30001085;ussd_funeral_leads_altitude_20260601;;;;;AE;6;2026-06-11 15:21:57+02;system;2026-06-08 06:47:44+02;2026-06-08 06:47:44+02;;;;;;;;;27762451774;;;;;;;;;;;;;</t>
        </is>
      </c>
      <c r="K24" t="inlineStr">
        <is>
          <t>14814927;c0300788-7f20-4fd9-8882-01c0d72757ed;;30001085;ussd_funeral_leads_altitude_20260601;;;;;AE;6;2026-06-11 15:21:57+02;system;2026-06-08 06:47:44+02;2026-06-08 06:47:44+02;;;;;;;;;27762451774;;;;;;;;;;;;;</t>
        </is>
      </c>
    </row>
    <row r="25">
      <c r="A25" t="inlineStr">
        <is>
          <t>ID_24</t>
        </is>
      </c>
      <c r="J25" t="inlineStr">
        <is>
          <t>14814928;af742d72-7045-434e-8355-d442bb46ca04;;30001085;ussd_funeral_leads_altitude_20260601;;;27799803793;;CU;6;2026-06-11 15:22:02+02;Gontse Monageng;2026-06-08 06:47:44+02;2026-06-08 06:47:44+02;;;;;;;;;27799803793;;;;;;;;;;;;;</t>
        </is>
      </c>
      <c r="K25" t="inlineStr">
        <is>
          <t>14814928;af742d72-7045-434e-8355-d442bb46ca04;;30001085;ussd_funeral_leads_altitude_20260601;;;27799803793;;CU;6;2026-06-11 15:22:02+02;Gontse Monageng;2026-06-08 06:47:44+02;2026-06-08 06:47:44+02;;;;;;;;;27799803793;;;;;;;;;;;;;</t>
        </is>
      </c>
    </row>
    <row r="26">
      <c r="A26" t="inlineStr">
        <is>
          <t>ID_25</t>
        </is>
      </c>
      <c r="J26" t="inlineStr">
        <is>
          <t>14814929;b965b81c-81ce-4014-915e-22739c487ece;;30001085;ussd_funeral_leads_altitude_20260601;;;;;ADC;6;2026-06-12 08:07:42+02;system;2026-06-08 06:47:44+02;2026-06-08 06:47:44+02;;;;;;;;;27720925677;;;;;;;;;;;;;</t>
        </is>
      </c>
      <c r="K26" t="inlineStr">
        <is>
          <t>14814929;b965b81c-81ce-4014-915e-22739c487ece;;30001085;ussd_funeral_leads_altitude_20260601;;;;;ADC;6;2026-06-12 08:07:42+02;system;2026-06-08 06:47:44+02;2026-06-08 06:47:44+02;;;;;;;;;27720925677;;;;;;;;;;;;;</t>
        </is>
      </c>
    </row>
    <row r="27">
      <c r="A27" t="inlineStr">
        <is>
          <t>ID_26</t>
        </is>
      </c>
      <c r="J27" t="inlineStr">
        <is>
          <t>14814930;00b0c7cf-d72e-4a06-b258-ebcb95e7c3a4;;30001085;ussd_funeral_leads_altitude_20260601;;;;;CU;6;2026-06-11 15:22:06+02;Vuyiswa Nxumalo;2026-06-08 06:47:44+02;2026-06-08 06:47:44+02;;;;;;;;;27766291750;;;;;;;;;;;;;</t>
        </is>
      </c>
      <c r="K27" t="inlineStr">
        <is>
          <t>14814930;00b0c7cf-d72e-4a06-b258-ebcb95e7c3a4;;30001085;ussd_funeral_leads_altitude_20260601;;;;;CU;6;2026-06-11 15:22:06+02;Vuyiswa Nxumalo;2026-06-08 06:47:44+02;2026-06-08 06:47:44+02;;;;;;;;;27766291750;;;;;;;;;;;;;</t>
        </is>
      </c>
    </row>
    <row r="28">
      <c r="A28" t="inlineStr">
        <is>
          <t>ID_27</t>
        </is>
      </c>
      <c r="J28" t="inlineStr">
        <is>
          <t>14814931;5871b951-5e09-48c9-8332-d0131a04054a;;30001085;ussd_funeral_leads_altitude_20260601;;;;;NA;6;2026-06-11 15:22:06+02;system;2026-06-08 06:47:44+02;2026-06-08 06:47:44+02;;;;;;;;;27673217479;;;;;;;;;;;;;</t>
        </is>
      </c>
      <c r="K28" t="inlineStr">
        <is>
          <t>14814931;5871b951-5e09-48c9-8332-d0131a04054a;;30001085;ussd_funeral_leads_altitude_20260601;;;;;NA;6;2026-06-11 15:22:06+02;system;2026-06-08 06:47:44+02;2026-06-08 06:47:44+02;;;;;;;;;27673217479;;;;;;;;;;;;;</t>
        </is>
      </c>
    </row>
    <row r="29">
      <c r="A29" t="inlineStr">
        <is>
          <t>ID_28</t>
        </is>
      </c>
      <c r="J29" t="inlineStr">
        <is>
          <t>14815050;7356d975-16a3-4d6b-bc4c-3d14c9c14ab9;;30001085;ussd_funeral_leads_altitude_20260601;;;27729749366;;SELECTED;4;2026-06-10 08:46:05+02;system;2026-06-08 06:47:44+02;2026-06-08 06:47:44+02;;;;;;;;;27729749366;;;;;;;;;;;;;</t>
        </is>
      </c>
      <c r="K29" t="inlineStr">
        <is>
          <t>14815050;7356d975-16a3-4d6b-bc4c-3d14c9c14ab9;;30001085;ussd_funeral_leads_altitude_20260601;;;27729749366;;SELECTED;4;2026-06-10 08:46:05+02;system;2026-06-08 06:47:44+02;2026-06-08 06:47:44+02;;;;;;;;;27729749366;;;;;;;;;;;;;</t>
        </is>
      </c>
    </row>
    <row r="30">
      <c r="A30" t="inlineStr">
        <is>
          <t>ID_29</t>
        </is>
      </c>
      <c r="J30" t="inlineStr">
        <is>
          <t>14814959;5ea2a4c7-921c-4abe-8c5e-aca6faa990a9;;30001085;ussd_funeral_leads_altitude_20260601;;;;;NA;6;2026-06-11 15:47:43+02;system;2026-06-08 06:47:44+02;2026-06-08 06:47:44+02;;;;;;;;;27721993208;;;;;;;;;;;;;</t>
        </is>
      </c>
      <c r="K30" t="inlineStr">
        <is>
          <t>14814959;5ea2a4c7-921c-4abe-8c5e-aca6faa990a9;;30001085;ussd_funeral_leads_altitude_20260601;;;;;NA;6;2026-06-11 15:47:43+02;system;2026-06-08 06:47:44+02;2026-06-08 06:47:44+02;;;;;;;;;27721993208;;;;;;;;;;;;;</t>
        </is>
      </c>
    </row>
    <row r="31">
      <c r="A31" t="inlineStr">
        <is>
          <t>ID_30</t>
        </is>
      </c>
      <c r="J31" t="inlineStr">
        <is>
          <t>14814932;ce8b3309-f03d-4f9e-8b70-88663d66bedf;;30001085;ussd_funeral_leads_altitude_20260601;;;;;NA;6;2026-06-11 15:22:12+02;system;2026-06-08 06:47:44+02;2026-06-08 06:47:44+02;;;;;;;;;27712725604;;;;;;;;;;;;;</t>
        </is>
      </c>
      <c r="K31" t="inlineStr">
        <is>
          <t>14814932;ce8b3309-f03d-4f9e-8b70-88663d66bedf;;30001085;ussd_funeral_leads_altitude_20260601;;;;;NA;6;2026-06-11 15:22:12+02;system;2026-06-08 06:47:44+02;2026-06-08 06:47:44+02;;;;;;;;;27712725604;;;;;;;;;;;;;</t>
        </is>
      </c>
    </row>
    <row r="32">
      <c r="A32" t="inlineStr">
        <is>
          <t>ID_31</t>
        </is>
      </c>
      <c r="J32" t="inlineStr">
        <is>
          <t>14814960;155123ba-a654-4399-995c-2760de373605;;30001085;ussd_funeral_leads_altitude_20260601;;;;;AA;6;2026-06-11 15:49:39+02;system;2026-06-08 06:47:44+02;2026-06-08 06:47:44+02;;;;;;;;;27674353769;;;;;;;;;;;;;</t>
        </is>
      </c>
      <c r="K32" t="inlineStr">
        <is>
          <t>14814960;155123ba-a654-4399-995c-2760de373605;;30001085;ussd_funeral_leads_altitude_20260601;;;;;AA;6;2026-06-11 15:49:39+02;system;2026-06-08 06:47:44+02;2026-06-08 06:47:44+02;;;;;;;;;27674353769;;;;;;;;;;;;;</t>
        </is>
      </c>
    </row>
    <row r="33">
      <c r="A33" t="inlineStr">
        <is>
          <t>ID_32</t>
        </is>
      </c>
      <c r="J33" t="inlineStr">
        <is>
          <t>14815051;2cc8cee7-bb5c-4bed-88b2-9d6950371f8e;;30001085;ussd_funeral_leads_altitude_20260601;;;;;NA;6;2026-06-11 15:08:49+02;system;2026-06-08 06:47:44+02;2026-06-08 06:47:44+02;;;;;;;;;27729276979;;;;;;;;;;;;;</t>
        </is>
      </c>
      <c r="K33" t="inlineStr">
        <is>
          <t>14815051;2cc8cee7-bb5c-4bed-88b2-9d6950371f8e;;30001085;ussd_funeral_leads_altitude_20260601;;;;;NA;6;2026-06-11 15:08:49+02;system;2026-06-08 06:47:44+02;2026-06-08 06:47:44+02;;;;;;;;;27729276979;;;;;;;;;;;;;</t>
        </is>
      </c>
    </row>
    <row r="34">
      <c r="A34" t="inlineStr">
        <is>
          <t>ID_33</t>
        </is>
      </c>
      <c r="J34" t="inlineStr">
        <is>
          <t>14814933;200985b6-8da0-4d8d-80d1-bc486a4f71e6;;30001085;ussd_funeral_leads_altitude_20260601;;;;;ADC;6;2026-06-11 15:40:19+02;system;2026-06-08 06:47:44+02;2026-06-08 06:47:44+02;;;;;;;;;27636079192;;;;;;;;;;;;;</t>
        </is>
      </c>
      <c r="K34" t="inlineStr">
        <is>
          <t>14814933;200985b6-8da0-4d8d-80d1-bc486a4f71e6;;30001085;ussd_funeral_leads_altitude_20260601;;;;;ADC;6;2026-06-11 15:40:19+02;system;2026-06-08 06:47:44+02;2026-06-08 06:47:44+02;;;;;;;;;27636079192;;;;;;;;;;;;;</t>
        </is>
      </c>
    </row>
    <row r="35">
      <c r="A35" t="inlineStr">
        <is>
          <t>ID_34</t>
        </is>
      </c>
      <c r="J35" t="inlineStr">
        <is>
          <t>14815052;b937f508-5d74-4b75-b2ca-a1ecfcb8ed84;;30001085;ussd_funeral_leads_altitude_20260601;;;;;CU;6;2026-06-11 15:08:54+02;Gontse Monageng;2026-06-08 06:47:44+02;2026-06-08 06:47:44+02;;;;;;;;;27825953898;;;;;;;;;;;;;</t>
        </is>
      </c>
      <c r="K35" t="inlineStr">
        <is>
          <t>14815052;b937f508-5d74-4b75-b2ca-a1ecfcb8ed84;;30001085;ussd_funeral_leads_altitude_20260601;;;;;CU;6;2026-06-11 15:08:54+02;Gontse Monageng;2026-06-08 06:47:44+02;2026-06-08 06:47:44+02;;;;;;;;;27825953898;;;;;;;;;;;;;</t>
        </is>
      </c>
    </row>
    <row r="36">
      <c r="A36" t="inlineStr">
        <is>
          <t>ID_35</t>
        </is>
      </c>
      <c r="J36" t="inlineStr">
        <is>
          <t>14814961;ec0df2fa-3114-440e-a0c8-d86bc575ce53;;30001085;ussd_funeral_leads_altitude_20260601;;;;;NA;6;2026-06-11 15:19:36+02;system;2026-06-08 06:47:44+02;2026-06-08 06:47:44+02;;;;;;;;;27664503393;;;;;;;;;;;;;</t>
        </is>
      </c>
      <c r="K36" t="inlineStr">
        <is>
          <t>14814961;ec0df2fa-3114-440e-a0c8-d86bc575ce53;;30001085;ussd_funeral_leads_altitude_20260601;;;;;NA;6;2026-06-11 15:19:36+02;system;2026-06-08 06:47:44+02;2026-06-08 06:47:44+02;;;;;;;;;27664503393;;;;;;;;;;;;;</t>
        </is>
      </c>
    </row>
    <row r="37">
      <c r="A37" t="inlineStr">
        <is>
          <t>ID_36</t>
        </is>
      </c>
      <c r="J37" t="inlineStr">
        <is>
          <t>14814962;fb43dc54-86a9-4c8f-a315-0960443baab1;;30001085;ussd_funeral_leads_altitude_20260601;;;;;AA;6;2026-06-11 15:20:28+02;system;2026-06-08 06:47:44+02;2026-06-08 06:47:44+02;;;;;;;;;27646388063;;;;;;;;;;;;;</t>
        </is>
      </c>
      <c r="K37" t="inlineStr">
        <is>
          <t>14814962;fb43dc54-86a9-4c8f-a315-0960443baab1;;30001085;ussd_funeral_leads_altitude_20260601;;;;;AA;6;2026-06-11 15:20:28+02;system;2026-06-08 06:47:44+02;2026-06-08 06:47:44+02;;;;;;;;;27646388063;;;;;;;;;;;;;</t>
        </is>
      </c>
    </row>
    <row r="38">
      <c r="A38" t="inlineStr">
        <is>
          <t>ID_37</t>
        </is>
      </c>
      <c r="J38" t="inlineStr">
        <is>
          <t>14814963;6b0c80b4-0407-4fe3-bed2-bec9772bfda8;;30001085;ussd_funeral_leads_altitude_20260601;;;27762065834;;CUA;6;2026-06-11 15:15:52+02;Vuyiswa Nxumalo;2026-06-08 06:47:44+02;2026-06-08 06:47:44+02;;;;;;;;;27762065834;;;;;;;;;;;;;</t>
        </is>
      </c>
      <c r="K38" t="inlineStr">
        <is>
          <t>14814963;6b0c80b4-0407-4fe3-bed2-bec9772bfda8;;30001085;ussd_funeral_leads_altitude_20260601;;;27762065834;;CUA;6;2026-06-11 15:15:52+02;Vuyiswa Nxumalo;2026-06-08 06:47:44+02;2026-06-08 06:47:44+02;;;;;;;;;27762065834;;;;;;;;;;;;;</t>
        </is>
      </c>
    </row>
    <row r="39">
      <c r="A39" t="inlineStr">
        <is>
          <t>ID_38</t>
        </is>
      </c>
      <c r="J39" t="inlineStr">
        <is>
          <t>14814964;11294cf1-6ba5-45b7-b9e7-03870e42f37d;;30001085;ussd_funeral_leads_altitude_20260601;;;;;AA;6;2026-06-11 15:49:38+02;system;2026-06-08 06:47:44+02;2026-06-08 06:47:44+02;;;;;;;;;27774780453;;;;;;;;;;;;;</t>
        </is>
      </c>
      <c r="K39" t="inlineStr">
        <is>
          <t>14814964;11294cf1-6ba5-45b7-b9e7-03870e42f37d;;30001085;ussd_funeral_leads_altitude_20260601;;;;;AA;6;2026-06-11 15:49:38+02;system;2026-06-08 06:47:44+02;2026-06-08 06:47:44+02;;;;;;;;;27774780453;;;;;;;;;;;;;</t>
        </is>
      </c>
    </row>
    <row r="40">
      <c r="A40" t="inlineStr">
        <is>
          <t>ID_39</t>
        </is>
      </c>
      <c r="J40" t="inlineStr">
        <is>
          <t>14814934;4480a7a0-6178-45a8-af9e-6c1fa32c7070;;30001085;ussd_funeral_leads_altitude_20260601;;;;;TDN;6;2026-06-11 15:40:35+02;system;2026-06-08 06:47:44+02;2026-06-08 06:47:44+02;;;;;;;;;27765987642;;;;;;;;;;;;;</t>
        </is>
      </c>
      <c r="K40" t="inlineStr">
        <is>
          <t>14814934;4480a7a0-6178-45a8-af9e-6c1fa32c7070;;30001085;ussd_funeral_leads_altitude_20260601;;;;;TDN;6;2026-06-11 15:40:35+02;system;2026-06-08 06:47:44+02;2026-06-08 06:47:44+02;;;;;;;;;27765987642;;;;;;;;;;;;;</t>
        </is>
      </c>
    </row>
    <row r="41">
      <c r="A41" t="inlineStr">
        <is>
          <t>ID_40</t>
        </is>
      </c>
      <c r="J41" t="inlineStr">
        <is>
          <t>14815053;8a8141ab-03a8-4772-968e-c37e931e78db;;30001085;ussd_funeral_leads_altitude_20260601;;;27722611806;;ADC;6;2026-06-11 15:08:54+02;system;2026-06-08 06:47:44+02;2026-06-08 06:47:44+02;;;;;;;;;27722611806;;;;;;;;;;;;;</t>
        </is>
      </c>
      <c r="K41" t="inlineStr">
        <is>
          <t>14815053;8a8141ab-03a8-4772-968e-c37e931e78db;;30001085;ussd_funeral_leads_altitude_20260601;;;27722611806;;ADC;6;2026-06-11 15:08:54+02;system;2026-06-08 06:47:44+02;2026-06-08 06:47:44+02;;;;;;;;;27722611806;;;;;;;;;;;;;</t>
        </is>
      </c>
    </row>
    <row r="42">
      <c r="A42" t="inlineStr">
        <is>
          <t>ID_41</t>
        </is>
      </c>
      <c r="J42" t="inlineStr">
        <is>
          <t>14814935;28f5d92a-5339-4d36-bc39-8469ac0b2f0d;;30001085;ussd_funeral_leads_altitude_20260601;;;;;NI;3;2026-06-10 08:38:54+02;Lebohang Mabotja;2026-06-08 06:47:44+02;2026-06-08 06:47:44+02;;;;;;;;;27721250695;;;;;;;;;;;;;</t>
        </is>
      </c>
      <c r="K42" t="inlineStr">
        <is>
          <t>14814935;28f5d92a-5339-4d36-bc39-8469ac0b2f0d;;30001085;ussd_funeral_leads_altitude_20260601;;;;;NI;3;2026-06-10 08:38:54+02;Lebohang Mabotja;2026-06-08 06:47:44+02;2026-06-08 06:47:44+02;;;;;;;;;27721250695;;;;;;;;;;;;;</t>
        </is>
      </c>
    </row>
    <row r="43">
      <c r="A43" t="inlineStr">
        <is>
          <t>ID_42</t>
        </is>
      </c>
      <c r="J43" t="inlineStr">
        <is>
          <t>14815054;703414c4-8a03-4901-a820-96ccbd33e03d;;30001085;ussd_funeral_leads_altitude_20260601;;;;;AA;6;2026-06-11 15:10:13+02;system;2026-06-08 06:47:44+02;2026-06-08 06:47:44+02;;;;;;;;;27824003199;;;;;;;;;;;;;</t>
        </is>
      </c>
      <c r="K43" t="inlineStr">
        <is>
          <t>14815054;703414c4-8a03-4901-a820-96ccbd33e03d;;30001085;ussd_funeral_leads_altitude_20260601;;;;;AA;6;2026-06-11 15:10:13+02;system;2026-06-08 06:47:44+02;2026-06-08 06:47:44+02;;;;;;;;;27824003199;;;;;;;;;;;;;</t>
        </is>
      </c>
    </row>
    <row r="44">
      <c r="A44" t="inlineStr">
        <is>
          <t>ID_43</t>
        </is>
      </c>
      <c r="J44" t="inlineStr">
        <is>
          <t>14815055;66e1e5f5-4233-4492-93ff-84a9bc0f9e9b;;30001085;ussd_funeral_leads_altitude_20260601;;;;;CUA;6;2026-06-11 15:11:52+02;Lebohang Mabotja;2026-06-08 06:47:44+02;2026-06-08 06:47:44+02;;;;;;;;;27794171856;;;;;;;;;;;;;</t>
        </is>
      </c>
      <c r="K44" t="inlineStr">
        <is>
          <t>14815055;66e1e5f5-4233-4492-93ff-84a9bc0f9e9b;;30001085;ussd_funeral_leads_altitude_20260601;;;;;CUA;6;2026-06-11 15:11:52+02;Lebohang Mabotja;2026-06-08 06:47:44+02;2026-06-08 06:47:44+02;;;;;;;;;27794171856;;;;;;;;;;;;;</t>
        </is>
      </c>
    </row>
    <row r="45">
      <c r="A45" t="inlineStr">
        <is>
          <t>ID_44</t>
        </is>
      </c>
      <c r="J45" t="inlineStr">
        <is>
          <t>14815056;a3dd040a-0264-4117-a188-319bee5e3e5c;;30001085;ussd_funeral_leads_altitude_20260601;;;;;AA;6;2026-06-11 15:10:16+02;system;2026-06-08 06:47:44+02;2026-06-08 06:47:44+02;;;;;;;;;27797080590;;;;;;;;;;;;;</t>
        </is>
      </c>
      <c r="K45" t="inlineStr">
        <is>
          <t>14815056;a3dd040a-0264-4117-a188-319bee5e3e5c;;30001085;ussd_funeral_leads_altitude_20260601;;;;;AA;6;2026-06-11 15:10:16+02;system;2026-06-08 06:47:44+02;2026-06-08 06:47:44+02;;;;;;;;;27797080590;;;;;;;;;;;;;</t>
        </is>
      </c>
    </row>
    <row r="46">
      <c r="A46" t="inlineStr">
        <is>
          <t>ID_45</t>
        </is>
      </c>
      <c r="J46" t="inlineStr">
        <is>
          <t>14814965;46b44cdf-4372-4c4f-b602-9f0bfbfc5959;;30001085;ussd_funeral_leads_altitude_20260601;;;;;NA;6;2026-06-11 15:15:52+02;system;2026-06-08 06:47:44+02;2026-06-08 06:47:44+02;;;;;;;;;27763621368;;;;;;;;;;;;;</t>
        </is>
      </c>
      <c r="K46" t="inlineStr">
        <is>
          <t>14814965;46b44cdf-4372-4c4f-b602-9f0bfbfc5959;;30001085;ussd_funeral_leads_altitude_20260601;;;;;NA;6;2026-06-11 15:15:52+02;system;2026-06-08 06:47:44+02;2026-06-08 06:47:44+02;;;;;;;;;27763621368;;;;;;;;;;;;;</t>
        </is>
      </c>
    </row>
    <row r="47">
      <c r="A47" t="inlineStr">
        <is>
          <t>ID_46</t>
        </is>
      </c>
      <c r="J47" t="inlineStr">
        <is>
          <t>14814966;9760e6bf-32cf-47e5-81f2-dd520f843a89;;30001085;ussd_funeral_leads_altitude_20260601;;;;;A;6;2026-06-11 11:33:36+02;Virginia Letsatsi;2026-06-08 06:47:44+02;2026-06-08 06:47:44+02;;;;;;;;;27713351359;;;;;;;;;;;;;</t>
        </is>
      </c>
      <c r="K47" t="inlineStr">
        <is>
          <t>14814966;9760e6bf-32cf-47e5-81f2-dd520f843a89;;30001085;ussd_funeral_leads_altitude_20260601;;;;;A;6;2026-06-11 11:33:36+02;Virginia Letsatsi;2026-06-08 06:47:44+02;2026-06-08 06:47:44+02;;;;;;;;;27713351359;;;;;;;;;;;;;</t>
        </is>
      </c>
    </row>
    <row r="48">
      <c r="A48" t="inlineStr">
        <is>
          <t>ID_47</t>
        </is>
      </c>
      <c r="J48" t="inlineStr">
        <is>
          <t>14814936;b0f8ba6e-95c7-4a18-8f63-850a48f20f04;;30001085;ussd_funeral_leads_altitude_20260601;;;;;TDN;6;2026-06-11 15:47:13+02;system;2026-06-08 06:47:44+02;2026-06-08 06:47:44+02;;;;;;;;;27773809743;;;;;;;;;;;;;</t>
        </is>
      </c>
      <c r="K48" t="inlineStr">
        <is>
          <t>14814936;b0f8ba6e-95c7-4a18-8f63-850a48f20f04;;30001085;ussd_funeral_leads_altitude_20260601;;;;;TDN;6;2026-06-11 15:47:13+02;system;2026-06-08 06:47:44+02;2026-06-08 06:47:44+02;;;;;;;;;27773809743;;;;;;;;;;;;;</t>
        </is>
      </c>
    </row>
    <row r="49">
      <c r="A49" t="inlineStr">
        <is>
          <t>ID_48</t>
        </is>
      </c>
      <c r="J49" t="inlineStr">
        <is>
          <t>14814937;faa0a235-c0c9-416e-8d0a-e8432b057cc5;;30001085;ussd_funeral_leads_altitude_20260601;;;;;CBACK;3;2026-06-10 08:38:55+02;Gontse Monageng;2026-06-08 06:47:44+02;2026-06-08 06:47:44+02;;;;;;;;;27727521164;;;;;;;;;;;;;</t>
        </is>
      </c>
      <c r="K49" t="inlineStr">
        <is>
          <t>14814937;faa0a235-c0c9-416e-8d0a-e8432b057cc5;;30001085;ussd_funeral_leads_altitude_20260601;;;;;CBACK;3;2026-06-10 08:38:55+02;Gontse Monageng;2026-06-08 06:47:44+02;2026-06-08 06:47:44+02;;;;;;;;;27727521164;;;;;;;;;;;;;</t>
        </is>
      </c>
    </row>
    <row r="50">
      <c r="A50" t="inlineStr">
        <is>
          <t>ID_49</t>
        </is>
      </c>
      <c r="J50" t="inlineStr">
        <is>
          <t>14815057;d18bd496-0cfa-4e56-b7f3-48e725e4a1d9;;30001085;ussd_funeral_leads_altitude_20260601;;;;;CUA;1;2026-06-08 12:10:13+02;Lebohang Mabotja;2026-06-08 06:47:44+02;2026-06-08 06:47:44+02;;;;;;;;;27774269032;;;;;;;;;;;;;</t>
        </is>
      </c>
      <c r="K50" t="inlineStr">
        <is>
          <t>14815057;d18bd496-0cfa-4e56-b7f3-48e725e4a1d9;;30001085;ussd_funeral_leads_altitude_20260601;;;;;CUA;1;2026-06-08 12:10:13+02;Lebohang Mabotja;2026-06-08 06:47:44+02;2026-06-08 06:47:44+02;;;;;;;;;27774269032;;;;;;;;;;;;;</t>
        </is>
      </c>
    </row>
    <row r="51">
      <c r="A51" t="inlineStr">
        <is>
          <t>ID_50</t>
        </is>
      </c>
      <c r="J51" t="inlineStr">
        <is>
          <t>14814938;4b5fb4bf-c5f1-4457-af98-267b766b3616;;30001085;ussd_funeral_leads_altitude_20260601;;;;;ADC;6;2026-06-10 16:43:09+02;system;2026-06-08 06:47:44+02;2026-06-08 06:47:44+02;;;;;;;;;27636317348;;;;;;;;;;;;;</t>
        </is>
      </c>
      <c r="K51" t="inlineStr">
        <is>
          <t>14814938;4b5fb4bf-c5f1-4457-af98-267b766b3616;;30001085;ussd_funeral_leads_altitude_20260601;;;;;ADC;6;2026-06-10 16:43:09+02;system;2026-06-08 06:47:44+02;2026-06-08 06:47:44+02;;;;;;;;;27636317348;;;;;;;;;;;;;</t>
        </is>
      </c>
    </row>
    <row r="52">
      <c r="A52" t="inlineStr">
        <is>
          <t>ID_51</t>
        </is>
      </c>
      <c r="J52" t="inlineStr">
        <is>
          <t>14815058;091385c4-beef-4c22-b61e-7ed39bb30191;;30001085;ussd_funeral_leads_altitude_20260601;;;;;AA;6;2026-06-11 15:11:55+02;system;2026-06-08 06:47:44+02;2026-06-08 06:47:44+02;;;;;;;;;27767144586;;;;;;;;;;;;;</t>
        </is>
      </c>
      <c r="K52" t="inlineStr">
        <is>
          <t>14815058;091385c4-beef-4c22-b61e-7ed39bb30191;;30001085;ussd_funeral_leads_altitude_20260601;;;;;AA;6;2026-06-11 15:11:55+02;system;2026-06-08 06:47:44+02;2026-06-08 06:47:44+02;;;;;;;;;27767144586;;;;;;;;;;;;;</t>
        </is>
      </c>
    </row>
    <row r="53">
      <c r="A53" t="inlineStr">
        <is>
          <t>ID_52</t>
        </is>
      </c>
      <c r="J53" t="inlineStr">
        <is>
          <t>14815059;200e5efc-4281-4860-99dd-abe7b6a0809e;;30001085;ussd_funeral_leads_altitude_20260601;;;;;CU;6;2026-06-11 15:10:20+02;Lebohang Mabotja;2026-06-08 06:47:44+02;2026-06-08 06:47:44+02;;;;;;;;;27663235606;;;;;;;;;;;;;</t>
        </is>
      </c>
      <c r="K53" t="inlineStr">
        <is>
          <t>14815059;200e5efc-4281-4860-99dd-abe7b6a0809e;;30001085;ussd_funeral_leads_altitude_20260601;;;;;CU;6;2026-06-11 15:10:20+02;Lebohang Mabotja;2026-06-08 06:47:44+02;2026-06-08 06:47:44+02;;;;;;;;;27663235606;;;;;;;;;;;;;</t>
        </is>
      </c>
    </row>
    <row r="54">
      <c r="A54" t="inlineStr">
        <is>
          <t>ID_53</t>
        </is>
      </c>
      <c r="J54" t="inlineStr">
        <is>
          <t>14815060;96cd9e8e-262f-41f0-8d79-d7c8dc9299eb;;30001085;ussd_funeral_leads_altitude_20260601;;;;;AA;6;2026-06-11 15:10:21+02;system;2026-06-08 06:47:44+02;2026-06-08 06:47:44+02;;;;;;;;;27762933779;;;;;;;;;;;;;</t>
        </is>
      </c>
      <c r="K54" t="inlineStr">
        <is>
          <t>14815060;96cd9e8e-262f-41f0-8d79-d7c8dc9299eb;;30001085;ussd_funeral_leads_altitude_20260601;;;;;AA;6;2026-06-11 15:10:21+02;system;2026-06-08 06:47:44+02;2026-06-08 06:47:44+02;;;;;;;;;27762933779;;;;;;;;;;;;;</t>
        </is>
      </c>
    </row>
    <row r="55">
      <c r="A55" t="inlineStr">
        <is>
          <t>ID_54</t>
        </is>
      </c>
      <c r="J55" t="inlineStr">
        <is>
          <t>14815061;f8ce1d11-69de-4e6a-9e47-17801c6c9744;;30001085;ussd_funeral_leads_altitude_20260601;;;;;AA;6;2026-06-11 15:07:12+02;system;2026-06-08 06:47:44+02;2026-06-08 06:47:44+02;;;;;;;;;27647988484;;;;;;;;;;;;;</t>
        </is>
      </c>
      <c r="K55" t="inlineStr">
        <is>
          <t>14815061;f8ce1d11-69de-4e6a-9e47-17801c6c9744;;30001085;ussd_funeral_leads_altitude_20260601;;;;;AA;6;2026-06-11 15:07:12+02;system;2026-06-08 06:47:44+02;2026-06-08 06:47:44+02;;;;;;;;;27647988484;;;;;;;;;;;;;</t>
        </is>
      </c>
    </row>
    <row r="56">
      <c r="A56" t="inlineStr">
        <is>
          <t>ID_55</t>
        </is>
      </c>
      <c r="J56" t="inlineStr">
        <is>
          <t>14815062;14cfc96c-b6bf-44e2-9390-3a3532e5b7a5;;30001085;ussd_funeral_leads_altitude_20260601;;;;;NA;6;2026-06-11 15:07:17+02;system;2026-06-08 06:47:44+02;2026-06-08 06:47:44+02;;;;;;;;;27729078890;;;;;;;;;;;;;</t>
        </is>
      </c>
      <c r="K56" t="inlineStr">
        <is>
          <t>14815062;14cfc96c-b6bf-44e2-9390-3a3532e5b7a5;;30001085;ussd_funeral_leads_altitude_20260601;;;;;NA;6;2026-06-11 15:07:17+02;system;2026-06-08 06:47:44+02;2026-06-08 06:47:44+02;;;;;;;;;27729078890;;;;;;;;;;;;;</t>
        </is>
      </c>
    </row>
    <row r="57">
      <c r="A57" t="inlineStr">
        <is>
          <t>ID_56</t>
        </is>
      </c>
      <c r="J57" t="inlineStr">
        <is>
          <t>14815063;d86455ea-5526-4cc7-adb3-689b38bb94d7;;30001085;ussd_funeral_leads_altitude_20260601;;;;;A;6;2026-06-12 10:08:25+02;Vuyiswa Nxumalo;2026-06-08 06:47:44+02;2026-06-08 06:47:44+02;;;;;;;;;27674528216;;;;;;;;;;;;;</t>
        </is>
      </c>
      <c r="K57" t="inlineStr">
        <is>
          <t>14815063;d86455ea-5526-4cc7-adb3-689b38bb94d7;;30001085;ussd_funeral_leads_altitude_20260601;;;;;A;6;2026-06-12 10:08:25+02;Vuyiswa Nxumalo;2026-06-08 06:47:44+02;2026-06-08 06:47:44+02;;;;;;;;;27674528216;;;;;;;;;;;;;</t>
        </is>
      </c>
    </row>
    <row r="58">
      <c r="A58" t="inlineStr">
        <is>
          <t>ID_57</t>
        </is>
      </c>
      <c r="J58" t="inlineStr">
        <is>
          <t>14815064;3ca0c110-82c7-4abe-9ffb-be58e02a328f;;30001085;ussd_funeral_leads_altitude_20260601;;;;;AA;6;2026-06-11 15:07:17+02;system;2026-06-08 06:47:44+02;2026-06-08 06:47:44+02;;;;;;;;;27794950077;;;;;;;;;;;;;</t>
        </is>
      </c>
      <c r="K58" t="inlineStr">
        <is>
          <t>14815064;3ca0c110-82c7-4abe-9ffb-be58e02a328f;;30001085;ussd_funeral_leads_altitude_20260601;;;;;AA;6;2026-06-11 15:07:17+02;system;2026-06-08 06:47:44+02;2026-06-08 06:47:44+02;;;;;;;;;27794950077;;;;;;;;;;;;;</t>
        </is>
      </c>
    </row>
    <row r="59">
      <c r="A59" t="inlineStr">
        <is>
          <t>ID_58</t>
        </is>
      </c>
      <c r="J59" t="inlineStr">
        <is>
          <t>14815065;1db27e1f-6749-47ab-80d5-5812fec86b73;;30001085;ussd_funeral_leads_altitude_20260601;;;;;DROP;6;2026-06-11 15:07:18+02;system;2026-06-08 06:47:44+02;2026-06-08 06:47:44+02;;;;;;;;;27795437789;;;;;;;;;;;;;</t>
        </is>
      </c>
      <c r="K59" t="inlineStr">
        <is>
          <t>14815065;1db27e1f-6749-47ab-80d5-5812fec86b73;;30001085;ussd_funeral_leads_altitude_20260601;;;;;DROP;6;2026-06-11 15:07:18+02;system;2026-06-08 06:47:44+02;2026-06-08 06:47:44+02;;;;;;;;;27795437789;;;;;;;;;;;;;</t>
        </is>
      </c>
    </row>
    <row r="60">
      <c r="A60" t="inlineStr">
        <is>
          <t>ID_59</t>
        </is>
      </c>
      <c r="J60" t="inlineStr">
        <is>
          <t>14815066;feac7bae-0744-4ea7-b423-dbc7f8696b6c;;30001085;ussd_funeral_leads_altitude_20260601;;;;;DROP;6;2026-06-11 15:10:26+02;system;2026-06-08 06:47:44+02;2026-06-08 06:47:44+02;;;;;;;;;27665910738;;;;;;;;;;;;;</t>
        </is>
      </c>
      <c r="K60" t="inlineStr">
        <is>
          <t>14815066;feac7bae-0744-4ea7-b423-dbc7f8696b6c;;30001085;ussd_funeral_leads_altitude_20260601;;;;;DROP;6;2026-06-11 15:10:26+02;system;2026-06-08 06:47:44+02;2026-06-08 06:47:44+02;;;;;;;;;27665910738;;;;;;;;;;;;;</t>
        </is>
      </c>
    </row>
    <row r="61">
      <c r="A61" t="inlineStr">
        <is>
          <t>ID_60</t>
        </is>
      </c>
      <c r="J61" t="inlineStr">
        <is>
          <t>14815067;154c12dd-6220-433f-925c-21ed0a9758a2;;30001085;ussd_funeral_leads_altitude_20260601;;;;;NA;6;2026-06-11 15:12:02+02;system;2026-06-08 06:47:44+02;2026-06-08 06:47:44+02;;;;;;;;;27649199454;;;;;;;;;;;;;</t>
        </is>
      </c>
      <c r="K61" t="inlineStr">
        <is>
          <t>14815067;154c12dd-6220-433f-925c-21ed0a9758a2;;30001085;ussd_funeral_leads_altitude_20260601;;;;;NA;6;2026-06-11 15:12:02+02;system;2026-06-08 06:47:44+02;2026-06-08 06:47:44+02;;;;;;;;;27649199454;;;;;;;;;;;;;</t>
        </is>
      </c>
    </row>
    <row r="62">
      <c r="A62" t="inlineStr">
        <is>
          <t>ID_61</t>
        </is>
      </c>
      <c r="J62" t="inlineStr">
        <is>
          <t>14815068;68f6c848-1d5b-4dd8-8a43-fadd729553eb;;30001085;ussd_funeral_leads_altitude_20260601;;;;;CUA;6;2026-06-11 09:43:19+02;Vuyiswa Nxumalo;2026-06-08 06:47:44+02;2026-06-08 06:47:44+02;;;;;;;;;27723818582;;;;;;;;;;;;;</t>
        </is>
      </c>
      <c r="K62" t="inlineStr">
        <is>
          <t>14815068;68f6c848-1d5b-4dd8-8a43-fadd729553eb;;30001085;ussd_funeral_leads_altitude_20260601;;;;;CUA;6;2026-06-11 09:43:19+02;Vuyiswa Nxumalo;2026-06-08 06:47:44+02;2026-06-08 06:47:44+02;;;;;;;;;27723818582;;;;;;;;;;;;;</t>
        </is>
      </c>
    </row>
    <row r="63">
      <c r="A63" t="inlineStr">
        <is>
          <t>ID_62</t>
        </is>
      </c>
      <c r="J63" t="inlineStr">
        <is>
          <t>14814967;a8d59ee6-b3b2-481b-afb5-8e77dc89973d;;30001085;ussd_funeral_leads_altitude_20260601;;;;;OAL;2;2026-06-09 11:49:16+02;Virginia Letsatsi;2026-06-08 06:47:44+02;2026-06-08 06:47:44+02;;;;;;;;;27796492444;;;;;;;;;;;;;</t>
        </is>
      </c>
      <c r="K63" t="inlineStr">
        <is>
          <t>14814967;a8d59ee6-b3b2-481b-afb5-8e77dc89973d;;30001085;ussd_funeral_leads_altitude_20260601;;;;;OAL;2;2026-06-09 11:49:16+02;Virginia Letsatsi;2026-06-08 06:47:44+02;2026-06-08 06:47:44+02;;;;;;;;;27796492444;;;;;;;;;;;;;</t>
        </is>
      </c>
    </row>
    <row r="64">
      <c r="A64" t="inlineStr">
        <is>
          <t>ID_63</t>
        </is>
      </c>
      <c r="J64" t="inlineStr">
        <is>
          <t>14814969;37627be0-c711-4888-bdcc-93cfe58e9da0;;30001085;ussd_funeral_leads_altitude_20260601;;;;;AA;6;2026-06-11 15:49:37+02;system;2026-06-08 06:47:44+02;2026-06-08 06:47:44+02;;;;;;;;;27766296677;;;;;;;;;;;;;</t>
        </is>
      </c>
      <c r="K64" t="inlineStr">
        <is>
          <t>14814969;37627be0-c711-4888-bdcc-93cfe58e9da0;;30001085;ussd_funeral_leads_altitude_20260601;;;;;AA;6;2026-06-11 15:49:37+02;system;2026-06-08 06:47:44+02;2026-06-08 06:47:44+02;;;;;;;;;27766296677;;;;;;;;;;;;;</t>
        </is>
      </c>
    </row>
    <row r="65">
      <c r="A65" t="inlineStr">
        <is>
          <t>ID_64</t>
        </is>
      </c>
      <c r="J65" t="inlineStr">
        <is>
          <t>14814970;4ae1d0c4-2a2c-4089-9940-cd304c4e1e25;;30001085;ussd_funeral_leads_altitude_20260601;;;;;AA;6;2026-06-11 15:49:32+02;system;2026-06-08 06:47:44+02;2026-06-08 06:47:44+02;;;;;;;;;27608209688;;;;;;;;;;;;;</t>
        </is>
      </c>
      <c r="K65" t="inlineStr">
        <is>
          <t>14814970;4ae1d0c4-2a2c-4089-9940-cd304c4e1e25;;30001085;ussd_funeral_leads_altitude_20260601;;;;;AA;6;2026-06-11 15:49:32+02;system;2026-06-08 06:47:44+02;2026-06-08 06:47:44+02;;;;;;;;;27608209688;;;;;;;;;;;;;</t>
        </is>
      </c>
    </row>
    <row r="66">
      <c r="A66" t="inlineStr">
        <is>
          <t>ID_65</t>
        </is>
      </c>
      <c r="J66" t="inlineStr">
        <is>
          <t>14814971;559985a1-7da1-431f-b63b-8948c2bbb94b;;30001085;ussd_funeral_leads_altitude_20260601;;;;;AA;6;2026-06-11 15:17:29+02;system;2026-06-08 06:47:44+02;2026-06-08 06:47:44+02;;;;;;;;;27715595433;;;;;;;;;;;;;</t>
        </is>
      </c>
      <c r="K66" t="inlineStr">
        <is>
          <t>14814971;559985a1-7da1-431f-b63b-8948c2bbb94b;;30001085;ussd_funeral_leads_altitude_20260601;;;;;AA;6;2026-06-11 15:17:29+02;system;2026-06-08 06:47:44+02;2026-06-08 06:47:44+02;;;;;;;;;27715595433;;;;;;;;;;;;;</t>
        </is>
      </c>
    </row>
    <row r="67">
      <c r="A67" t="inlineStr">
        <is>
          <t>ID_66</t>
        </is>
      </c>
      <c r="J67" t="inlineStr">
        <is>
          <t>14814972;273ad95f-21d2-41f9-8047-9c90ba223c14;;30001085;ussd_funeral_leads_altitude_20260601;;;;;CBACK;2;2026-06-09 12:55:30+02;Gontse Monageng;2026-06-08 06:47:44+02;2026-06-08 06:47:44+02;;;;;;;;;27763931498;;;;;;;;;;;;;</t>
        </is>
      </c>
      <c r="K67" t="inlineStr">
        <is>
          <t>14814972;273ad95f-21d2-41f9-8047-9c90ba223c14;;30001085;ussd_funeral_leads_altitude_20260601;;;;;CBACK;2;2026-06-09 12:55:30+02;Gontse Monageng;2026-06-08 06:47:44+02;2026-06-08 06:47:44+02;;;;;;;;;27763931498;;;;;;;;;;;;;</t>
        </is>
      </c>
    </row>
    <row r="68">
      <c r="A68" t="inlineStr">
        <is>
          <t>ID_67</t>
        </is>
      </c>
      <c r="J68" t="inlineStr">
        <is>
          <t>14814973;733a84b0-5e16-4171-819f-5da81d6797e3;;30001085;ussd_funeral_leads_altitude_20260601;;;;;AA;6;2026-06-11 15:17:43+02;system;2026-06-08 06:47:44+02;2026-06-08 06:47:44+02;;;;;;;;;27725629566;;;;;;;;;;;;;</t>
        </is>
      </c>
      <c r="K68" t="inlineStr">
        <is>
          <t>14814973;733a84b0-5e16-4171-819f-5da81d6797e3;;30001085;ussd_funeral_leads_altitude_20260601;;;;;AA;6;2026-06-11 15:17:43+02;system;2026-06-08 06:47:44+02;2026-06-08 06:47:44+02;;;;;;;;;27725629566;;;;;;;;;;;;;</t>
        </is>
      </c>
    </row>
    <row r="69">
      <c r="A69" t="inlineStr">
        <is>
          <t>ID_68</t>
        </is>
      </c>
      <c r="J69" t="inlineStr">
        <is>
          <t>14814974;39657f62-6d23-4d52-801c-e46bb730eefe;;30001085;ussd_funeral_leads_altitude_20260601;;;;;AA;6;2026-06-11 15:17:48+02;system;2026-06-08 06:47:44+02;2026-06-08 06:47:44+02;;;;;;;;;27606128980;;;;;;;;;;;;;</t>
        </is>
      </c>
      <c r="K69" t="inlineStr">
        <is>
          <t>14814974;39657f62-6d23-4d52-801c-e46bb730eefe;;30001085;ussd_funeral_leads_altitude_20260601;;;;;AA;6;2026-06-11 15:17:48+02;system;2026-06-08 06:47:44+02;2026-06-08 06:47:44+02;;;;;;;;;27606128980;;;;;;;;;;;;;</t>
        </is>
      </c>
    </row>
    <row r="70">
      <c r="A70" t="inlineStr">
        <is>
          <t>ID_69</t>
        </is>
      </c>
      <c r="J70" t="inlineStr">
        <is>
          <t>14814975;2d4b1d1a-20c6-4e6c-859c-5c8225128dbb;;30001085;ussd_funeral_leads_altitude_20260601;;;;;AA;6;2026-06-11 15:17:50+02;system;2026-06-08 06:47:44+02;2026-06-08 06:47:44+02;;;;;;;;;27761499708;;;;;;;;;;;;;</t>
        </is>
      </c>
      <c r="K70" t="inlineStr">
        <is>
          <t>14814975;2d4b1d1a-20c6-4e6c-859c-5c8225128dbb;;30001085;ussd_funeral_leads_altitude_20260601;;;;;AA;6;2026-06-11 15:17:50+02;system;2026-06-08 06:47:44+02;2026-06-08 06:47:44+02;;;;;;;;;27761499708;;;;;;;;;;;;;</t>
        </is>
      </c>
    </row>
    <row r="71">
      <c r="A71" t="inlineStr">
        <is>
          <t>ID_70</t>
        </is>
      </c>
      <c r="J71" t="inlineStr">
        <is>
          <t>14814939;d97a0cfa-397b-48eb-8421-502f80220372;;30001085;ussd_funeral_leads_altitude_20260601;;;;;ADC;6;2026-06-11 15:47:21+02;system;2026-06-08 06:47:44+02;2026-06-08 06:47:44+02;;;;;;;;;27823645995;;;;;;;;;;;;;</t>
        </is>
      </c>
      <c r="K71" t="inlineStr">
        <is>
          <t>14814939;d97a0cfa-397b-48eb-8421-502f80220372;;30001085;ussd_funeral_leads_altitude_20260601;;;;;ADC;6;2026-06-11 15:47:21+02;system;2026-06-08 06:47:44+02;2026-06-08 06:47:44+02;;;;;;;;;27823645995;;;;;;;;;;;;;</t>
        </is>
      </c>
    </row>
    <row r="72">
      <c r="A72" t="inlineStr">
        <is>
          <t>ID_71</t>
        </is>
      </c>
      <c r="J72" t="inlineStr">
        <is>
          <t>14815069;855e09ad-e59c-461c-b771-63263c726780;;30001085;ussd_funeral_leads_altitude_20260601;;;;;NI;3;2026-06-10 11:49:29+02;Lebohang Mabotja;2026-06-08 06:47:44+02;2026-06-08 06:47:44+02;;;;;;;;;27848197008;;;;;;;;;;;;;</t>
        </is>
      </c>
      <c r="K72" t="inlineStr">
        <is>
          <t>14815069;855e09ad-e59c-461c-b771-63263c726780;;30001085;ussd_funeral_leads_altitude_20260601;;;;;NI;3;2026-06-10 11:49:29+02;Lebohang Mabotja;2026-06-08 06:47:44+02;2026-06-08 06:47:44+02;;;;;;;;;27848197008;;;;;;;;;;;;;</t>
        </is>
      </c>
    </row>
    <row r="73">
      <c r="A73" t="inlineStr">
        <is>
          <t>ID_72</t>
        </is>
      </c>
      <c r="J73" t="inlineStr">
        <is>
          <t>14815070;ea28bc27-66d0-4acc-b316-008353d29dc7;;30001085;ussd_funeral_leads_altitude_20260601;;;;;NA;6;2026-06-11 15:45:23+02;system;2026-06-08 06:47:44+02;2026-06-08 06:47:44+02;;;;;;;;;27606535856;;;;;;;;;;;;;</t>
        </is>
      </c>
      <c r="K73" t="inlineStr">
        <is>
          <t>14815070;ea28bc27-66d0-4acc-b316-008353d29dc7;;30001085;ussd_funeral_leads_altitude_20260601;;;;;NA;6;2026-06-11 15:45:23+02;system;2026-06-08 06:47:44+02;2026-06-08 06:47:44+02;;;;;;;;;27606535856;;;;;;;;;;;;;</t>
        </is>
      </c>
    </row>
    <row r="74">
      <c r="A74" t="inlineStr">
        <is>
          <t>ID_73</t>
        </is>
      </c>
      <c r="J74" t="inlineStr">
        <is>
          <t>14814940;b35274d1-f0b4-406b-8a52-12ed7aa113d9;;30001085;ussd_funeral_leads_altitude_20260601;;;;;ADC;6;2026-06-11 15:18:37+02;system;2026-06-08 06:47:44+02;2026-06-08 06:47:44+02;;;;;;;;;27606134440;;;;;;;;;;;;;</t>
        </is>
      </c>
      <c r="K74" t="inlineStr">
        <is>
          <t>14814940;b35274d1-f0b4-406b-8a52-12ed7aa113d9;;30001085;ussd_funeral_leads_altitude_20260601;;;;;ADC;6;2026-06-11 15:18:37+02;system;2026-06-08 06:47:44+02;2026-06-08 06:47:44+02;;;;;;;;;27606134440;;;;;;;;;;;;;</t>
        </is>
      </c>
    </row>
    <row r="75">
      <c r="A75" t="inlineStr">
        <is>
          <t>ID_74</t>
        </is>
      </c>
      <c r="J75" t="inlineStr">
        <is>
          <t>14814941;69433bff-8620-48c3-a10a-cae7d8dac5ed;;30001085;ussd_funeral_leads_altitude_20260601;;;;;ADC;6;2026-06-11 15:19:06+02;system;2026-06-08 06:47:44+02;2026-06-08 06:47:44+02;;;;;;;;;27673401628;;;;;;;;;;;;;</t>
        </is>
      </c>
      <c r="K75" t="inlineStr">
        <is>
          <t>14814941;69433bff-8620-48c3-a10a-cae7d8dac5ed;;30001085;ussd_funeral_leads_altitude_20260601;;;;;ADC;6;2026-06-11 15:19:06+02;system;2026-06-08 06:47:44+02;2026-06-08 06:47:44+02;;;;;;;;;27673401628;;;;;;;;;;;;;</t>
        </is>
      </c>
    </row>
    <row r="76">
      <c r="A76" t="inlineStr">
        <is>
          <t>ID_75</t>
        </is>
      </c>
      <c r="J76" t="inlineStr">
        <is>
          <t>14814942;3b1c3f81-183f-4b8f-a1b6-ad65caa43fbd;;30001085;ussd_funeral_leads_altitude_20260601;;;;;SELECTED;2;2026-06-08 13:39:42+02;Goitsimang Mogwasa;2026-06-08 06:47:44+02;2026-06-08 06:47:44+02;;;;;;;;;27761825754;;;;;;;;;;;;;</t>
        </is>
      </c>
      <c r="K76" t="inlineStr">
        <is>
          <t>14814942;3b1c3f81-183f-4b8f-a1b6-ad65caa43fbd;;30001085;ussd_funeral_leads_altitude_20260601;;;;;SELECTED;2;2026-06-08 13:39:42+02;Goitsimang Mogwasa;2026-06-08 06:47:44+02;2026-06-08 06:47:44+02;;;;;;;;;27761825754;;;;;;;;;;;;;</t>
        </is>
      </c>
    </row>
    <row r="77">
      <c r="A77" t="inlineStr">
        <is>
          <t>ID_76</t>
        </is>
      </c>
      <c r="J77" t="inlineStr">
        <is>
          <t>14814943;31306a76-1069-4bbe-9b25-a67a673d1492;;30001085;ussd_funeral_leads_altitude_20260601;;;27647801130;;QAVER;2;2026-06-08 16:50:19+02;Lebohang Mabotja;2026-06-08 06:47:44+02;2026-06-08 06:47:44+02;;;;;;;;;27647801130;;;;;;;;;;;;;</t>
        </is>
      </c>
      <c r="K77" t="inlineStr">
        <is>
          <t>14814943;31306a76-1069-4bbe-9b25-a67a673d1492;;30001085;ussd_funeral_leads_altitude_20260601;;;27647801130;;QAVER;2;2026-06-08 16:50:19+02;Lebohang Mabotja;2026-06-08 06:47:44+02;2026-06-08 06:47:44+02;;;;;;;;;27647801130;;;;;;;;;;;;;</t>
        </is>
      </c>
    </row>
    <row r="78">
      <c r="A78" t="inlineStr">
        <is>
          <t>ID_77</t>
        </is>
      </c>
      <c r="J78" t="inlineStr">
        <is>
          <t>14815071;e9ff28ca-9d47-41d2-86b2-2e02bb230745;;30001085;ussd_funeral_leads_altitude_20260601;;;;;AA;6;2026-06-17 08:54:21+02;system;2026-06-08 06:47:44+02;2026-06-08 06:47:44+02;;;;;;;;;27795015211;;;;;;;;;;;;;</t>
        </is>
      </c>
      <c r="K78" t="inlineStr">
        <is>
          <t>14815071;e9ff28ca-9d47-41d2-86b2-2e02bb230745;;30001085;ussd_funeral_leads_altitude_20260601;;;;;AA;6;2026-06-17 08:54:21+02;system;2026-06-08 06:47:44+02;2026-06-08 06:47:44+02;;;;;;;;;27795015211;;;;;;;;;;;;;</t>
        </is>
      </c>
    </row>
    <row r="79">
      <c r="A79" t="inlineStr">
        <is>
          <t>ID_78</t>
        </is>
      </c>
      <c r="J79" t="inlineStr">
        <is>
          <t>14815072;c50ae23c-c71b-4f14-b5e1-cce1d13a0a0e;;30001085;ussd_funeral_leads_altitude_20260601;;;;;AF;1;2026-06-08 14:59:22+02;Gontse Monageng;2026-06-08 06:47:44+02;2026-06-08 06:47:44+02;;;;;;;;;27712159327;;;;;;;;;;;;;</t>
        </is>
      </c>
      <c r="K79" t="inlineStr">
        <is>
          <t>14815072;c50ae23c-c71b-4f14-b5e1-cce1d13a0a0e;;30001085;ussd_funeral_leads_altitude_20260601;;;;;AF;1;2026-06-08 14:59:22+02;Gontse Monageng;2026-06-08 06:47:44+02;2026-06-08 06:47:44+02;;;;;;;;;27712159327;;;;;;;;;;;;;</t>
        </is>
      </c>
    </row>
    <row r="80">
      <c r="A80" t="inlineStr">
        <is>
          <t>ID_79</t>
        </is>
      </c>
      <c r="J80" t="inlineStr">
        <is>
          <t>14815073;34115369-b9a8-466a-ae88-1b6e7061902f;;30001085;ussd_funeral_leads_altitude_20260601;;;;;CU;6;2026-06-11 14:27:24+02;Goitsimang Mogwasa;2026-06-08 06:47:44+02;2026-06-08 06:47:44+02;;;;;;;;;27761301645;;;;;;;;;;;;;</t>
        </is>
      </c>
      <c r="K80" t="inlineStr">
        <is>
          <t>14815073;34115369-b9a8-466a-ae88-1b6e7061902f;;30001085;ussd_funeral_leads_altitude_20260601;;;;;CU;6;2026-06-11 14:27:24+02;Goitsimang Mogwasa;2026-06-08 06:47:44+02;2026-06-08 06:47:44+02;;;;;;;;;27761301645;;;;;;;;;;;;;</t>
        </is>
      </c>
    </row>
    <row r="81">
      <c r="A81" t="inlineStr">
        <is>
          <t>ID_80</t>
        </is>
      </c>
      <c r="J81" t="inlineStr">
        <is>
          <t>14815074;c9a3d6b8-691a-48a5-8918-4b3db4407108;;30001085;ussd_funeral_leads_altitude_20260601;;;;;AE;6;2026-06-11 15:44:40+02;system;2026-06-08 06:47:44+02;2026-06-08 06:47:44+02;;;;;;;;;27720865973;;;;;;;;;;;;;</t>
        </is>
      </c>
      <c r="K81" t="inlineStr">
        <is>
          <t>14815074;c9a3d6b8-691a-48a5-8918-4b3db4407108;;30001085;ussd_funeral_leads_altitude_20260601;;;;;AE;6;2026-06-11 15:44:40+02;system;2026-06-08 06:47:44+02;2026-06-08 06:47:44+02;;;;;;;;;27720865973;;;;;;;;;;;;;</t>
        </is>
      </c>
    </row>
    <row r="82">
      <c r="A82" t="inlineStr">
        <is>
          <t>ID_81</t>
        </is>
      </c>
      <c r="J82" t="inlineStr">
        <is>
          <t>14814944;1ccd91bf-e117-442c-aad1-d962b3dcc16a;;30001085;ussd_funeral_leads_altitude_20260601;;;;;ADC;6;2026-06-11 15:19:07+02;system;2026-06-08 06:47:44+02;2026-06-08 06:47:44+02;;;;;;;;;27636781893;;;;;;;;;;;;;</t>
        </is>
      </c>
      <c r="K82" t="inlineStr">
        <is>
          <t>14814944;1ccd91bf-e117-442c-aad1-d962b3dcc16a;;30001085;ussd_funeral_leads_altitude_20260601;;;;;ADC;6;2026-06-11 15:19:07+02;system;2026-06-08 06:47:44+02;2026-06-08 06:47:44+02;;;;;;;;;27636781893;;;;;;;;;;;;;</t>
        </is>
      </c>
    </row>
    <row r="83">
      <c r="A83" t="inlineStr">
        <is>
          <t>ID_82</t>
        </is>
      </c>
      <c r="J83" t="inlineStr">
        <is>
          <t>14814945;5004f492-c538-455e-8013-1e3f2a01fb38;;30001085;ussd_funeral_leads_altitude_20260601;;;;;U;1;2026-06-08 13:39:43+02;Lebohang Mabotja;2026-06-08 06:47:44+02;2026-06-08 06:47:44+02;;;;;;;;;27720544452;;;;;;;;;;;;;</t>
        </is>
      </c>
      <c r="K83" t="inlineStr">
        <is>
          <t>14814945;5004f492-c538-455e-8013-1e3f2a01fb38;;30001085;ussd_funeral_leads_altitude_20260601;;;;;U;1;2026-06-08 13:39:43+02;Lebohang Mabotja;2026-06-08 06:47:44+02;2026-06-08 06:47:44+02;;;;;;;;;27720544452;;;;;;;;;;;;;</t>
        </is>
      </c>
    </row>
    <row r="84">
      <c r="A84" t="inlineStr">
        <is>
          <t>ID_83</t>
        </is>
      </c>
      <c r="J84" t="inlineStr">
        <is>
          <t>14814976;e87c65d5-33e7-4cc2-91cd-045b02af2be5;;30001085;ussd_funeral_leads_altitude_20260601;;;;;QAVER;6;2026-06-09 09:13:30+02;Vuyiswa Nxumalo;2026-06-08 06:47:44+02;2026-06-08 06:47:44+02;;;;;;;;;27721640147;;;;;;;;;;;;;</t>
        </is>
      </c>
      <c r="K84" t="inlineStr">
        <is>
          <t>14814976;e87c65d5-33e7-4cc2-91cd-045b02af2be5;;30001085;ussd_funeral_leads_altitude_20260601;;;;;QAVER;6;2026-06-09 09:13:30+02;Vuyiswa Nxumalo;2026-06-08 06:47:44+02;2026-06-08 06:47:44+02;;;;;;;;;27721640147;;;;;;;;;;;;;</t>
        </is>
      </c>
    </row>
    <row r="85">
      <c r="A85" t="inlineStr">
        <is>
          <t>ID_84</t>
        </is>
      </c>
      <c r="J85" t="inlineStr">
        <is>
          <t>14814946;71de7806-054c-4a28-a434-f1f8c6d73e53;;30001085;ussd_funeral_leads_altitude_20260601;;;;;NA;6;2026-06-11 15:19:08+02;system;2026-06-08 06:47:44+02;2026-06-08 06:47:44+02;;;;;;;;;27646764502;;;;;;;;;;;;;</t>
        </is>
      </c>
      <c r="K85" t="inlineStr">
        <is>
          <t>14814946;71de7806-054c-4a28-a434-f1f8c6d73e53;;30001085;ussd_funeral_leads_altitude_20260601;;;;;NA;6;2026-06-11 15:19:08+02;system;2026-06-08 06:47:44+02;2026-06-08 06:47:44+02;;;;;;;;;27646764502;;;;;;;;;;;;;</t>
        </is>
      </c>
    </row>
    <row r="86">
      <c r="A86" t="inlineStr">
        <is>
          <t>ID_85</t>
        </is>
      </c>
      <c r="J86" t="inlineStr">
        <is>
          <t>14814977;67296089-0910-4bf1-abbc-31907b4e94dc;;30001085;ussd_funeral_leads_altitude_20260601;;;;;AA;6;2026-06-11 15:49:18+02;system;2026-06-08 06:47:44+02;2026-06-08 06:47:44+02;;;;;;;;;27664416396;;;;;;;;;;;;;</t>
        </is>
      </c>
      <c r="K86" t="inlineStr">
        <is>
          <t>14814977;67296089-0910-4bf1-abbc-31907b4e94dc;;30001085;ussd_funeral_leads_altitude_20260601;;;;;AA;6;2026-06-11 15:49:18+02;system;2026-06-08 06:47:44+02;2026-06-08 06:47:44+02;;;;;;;;;27664416396;;;;;;;;;;;;;</t>
        </is>
      </c>
    </row>
    <row r="87">
      <c r="A87" t="inlineStr">
        <is>
          <t>ID_86</t>
        </is>
      </c>
      <c r="J87" t="inlineStr">
        <is>
          <t>14814947;ed6138d3-3555-4081-8070-29c1e49fe975;;30001085;ussd_funeral_leads_altitude_20260601;;;;;OAL;1;2026-06-08 15:42:07+02;Virginia Letsatsi;2026-06-08 06:47:44+02;2026-06-08 06:47:44+02;;;;;;;;;27660919572;;;;;;;;;;;;;</t>
        </is>
      </c>
      <c r="K87" t="inlineStr">
        <is>
          <t>14814947;ed6138d3-3555-4081-8070-29c1e49fe975;;30001085;ussd_funeral_leads_altitude_20260601;;;;;OAL;1;2026-06-08 15:42:07+02;Virginia Letsatsi;2026-06-08 06:47:44+02;2026-06-08 06:47:44+02;;;;;;;;;27660919572;;;;;;;;;;;;;</t>
        </is>
      </c>
    </row>
    <row r="88">
      <c r="A88" t="inlineStr">
        <is>
          <t>ID_87</t>
        </is>
      </c>
      <c r="J88" t="inlineStr">
        <is>
          <t>14814978;bb37b013-8098-43eb-8162-811e802582fd;;30001085;ussd_funeral_leads_altitude_20260601;;;;;ADC;6;2026-06-11 15:13:30+02;system;2026-06-08 06:47:44+02;2026-06-08 06:47:44+02;;;;;;;;;27773575165;;;;;;;;;;;;;</t>
        </is>
      </c>
      <c r="K88" t="inlineStr">
        <is>
          <t>14814978;bb37b013-8098-43eb-8162-811e802582fd;;30001085;ussd_funeral_leads_altitude_20260601;;;;;ADC;6;2026-06-11 15:13:30+02;system;2026-06-08 06:47:44+02;2026-06-08 06:47:44+02;;;;;;;;;27773575165;;;;;;;;;;;;;</t>
        </is>
      </c>
    </row>
    <row r="89">
      <c r="A89" t="inlineStr">
        <is>
          <t>ID_88</t>
        </is>
      </c>
      <c r="J89" t="inlineStr">
        <is>
          <t>14814979;09e9d314-4bfa-4e47-b120-7b1f333836ee;;30001085;ussd_funeral_leads_altitude_20260601;;;;;DROP;6;2026-06-11 15:13:32+02;system;2026-06-08 06:47:44+02;2026-06-08 06:47:44+02;;;;;;;;;27794197230;;;;;;;;;;;;;</t>
        </is>
      </c>
      <c r="K89" t="inlineStr">
        <is>
          <t>14814979;09e9d314-4bfa-4e47-b120-7b1f333836ee;;30001085;ussd_funeral_leads_altitude_20260601;;;;;DROP;6;2026-06-11 15:13:32+02;system;2026-06-08 06:47:44+02;2026-06-08 06:47:44+02;;;;;;;;;27794197230;;;;;;;;;;;;;</t>
        </is>
      </c>
    </row>
    <row r="90">
      <c r="A90" t="inlineStr">
        <is>
          <t>ID_89</t>
        </is>
      </c>
      <c r="J90" t="inlineStr">
        <is>
          <t>14814980;6d8d3e78-a7ab-4264-a21e-062ac1e1a138;;30001085;ussd_funeral_leads_altitude_20260601;;;;;TDN;6;2026-06-11 15:17:53+02;system;2026-06-08 06:47:44+02;2026-06-08 06:47:44+02;;;;;;;;;27663725358;;;;;;;;;;;;;</t>
        </is>
      </c>
      <c r="K90" t="inlineStr">
        <is>
          <t>14814980;6d8d3e78-a7ab-4264-a21e-062ac1e1a138;;30001085;ussd_funeral_leads_altitude_20260601;;;;;TDN;6;2026-06-11 15:17:53+02;system;2026-06-08 06:47:44+02;2026-06-08 06:47:44+02;;;;;;;;;27663725358;;;;;;;;;;;;;</t>
        </is>
      </c>
    </row>
    <row r="91">
      <c r="A91" t="inlineStr">
        <is>
          <t>ID_90</t>
        </is>
      </c>
      <c r="J91" t="inlineStr">
        <is>
          <t>14815075;5c5f27de-f542-4717-b186-9fdadfa213bd;;30001085;ussd_funeral_leads_altitude_20260601;;;;;AF;6;2026-06-11 15:44:34+02;Vuyiswa Nxumalo;2026-06-08 06:47:44+02;2026-06-08 06:47:44+02;;;;;;;;;27767570205;;;;;;;;;;;;;</t>
        </is>
      </c>
      <c r="K91" t="inlineStr">
        <is>
          <t>14815075;5c5f27de-f542-4717-b186-9fdadfa213bd;;30001085;ussd_funeral_leads_altitude_20260601;;;;;AF;6;2026-06-11 15:44:34+02;Vuyiswa Nxumalo;2026-06-08 06:47:44+02;2026-06-08 06:47:44+02;;;;;;;;;27767570205;;;;;;;;;;;;;</t>
        </is>
      </c>
    </row>
    <row r="92">
      <c r="A92" t="inlineStr">
        <is>
          <t>ID_91</t>
        </is>
      </c>
      <c r="J92" t="inlineStr">
        <is>
          <t>14814948;7cebe0b5-ca1b-4c72-9175-70a7ff67562a;;30001085;ussd_funeral_leads_altitude_20260601;;;;;ADC;6;2026-06-11 15:19:26+02;system;2026-06-08 06:47:44+02;2026-06-08 06:47:44+02;;;;;;;;;27664183660;;;;;;;;;;;;;</t>
        </is>
      </c>
      <c r="K92" t="inlineStr">
        <is>
          <t>14814948;7cebe0b5-ca1b-4c72-9175-70a7ff67562a;;30001085;ussd_funeral_leads_altitude_20260601;;;;;ADC;6;2026-06-11 15:19:26+02;system;2026-06-08 06:47:44+02;2026-06-08 06:47:44+02;;;;;;;;;27664183660;;;;;;;;;;;;;</t>
        </is>
      </c>
    </row>
    <row r="93">
      <c r="A93" t="inlineStr">
        <is>
          <t>ID_92</t>
        </is>
      </c>
      <c r="J93" t="inlineStr">
        <is>
          <t>14815076;1174281a-2065-4ba8-a78a-33a292b78dbd;;30001085;ussd_funeral_leads_altitude_20260601;;;;;QAVER;4;2026-06-10 12:49:09+02;Gontse Monageng;2026-06-08 06:47:44+02;2026-06-08 06:47:44+02;;;;;;;;;27799234916;;;;;;;;;;;;;</t>
        </is>
      </c>
      <c r="K93" t="inlineStr">
        <is>
          <t>14815076;1174281a-2065-4ba8-a78a-33a292b78dbd;;30001085;ussd_funeral_leads_altitude_20260601;;;;;QAVER;4;2026-06-10 12:49:09+02;Gontse Monageng;2026-06-08 06:47:44+02;2026-06-08 06:47:44+02;;;;;;;;;27799234916;;;;;;;;;;;;;</t>
        </is>
      </c>
    </row>
    <row r="94">
      <c r="A94" t="inlineStr">
        <is>
          <t>ID_93</t>
        </is>
      </c>
      <c r="J94" t="inlineStr">
        <is>
          <t>14814949;9968c235-71fe-4586-93a1-71ed36e9c5a2;;30001085;ussd_funeral_leads_altitude_20260601;;;;;NA;6;2026-06-11 15:19:29+02;system;2026-06-08 06:47:44+02;2026-06-08 06:47:44+02;;;;;;;;;27665092086;;;;;;;;;;;;;</t>
        </is>
      </c>
      <c r="K94" t="inlineStr">
        <is>
          <t>14814949;9968c235-71fe-4586-93a1-71ed36e9c5a2;;30001085;ussd_funeral_leads_altitude_20260601;;;;;NA;6;2026-06-11 15:19:29+02;system;2026-06-08 06:47:44+02;2026-06-08 06:47:44+02;;;;;;;;;27665092086;;;;;;;;;;;;;</t>
        </is>
      </c>
    </row>
    <row r="95">
      <c r="A95" t="inlineStr">
        <is>
          <t>ID_94</t>
        </is>
      </c>
      <c r="J95" t="inlineStr">
        <is>
          <t>14815077;977fba64-5a42-411b-b0e0-13238f3ad40e;;30001085;ussd_funeral_leads_altitude_20260601;;;;;NA;6;2026-06-11 15:44:24+02;system;2026-06-08 06:47:44+02;2026-06-08 06:47:44+02;;;;;;;;;27727249462;;;;;;;;;;;;;</t>
        </is>
      </c>
      <c r="K95" t="inlineStr">
        <is>
          <t>14815077;977fba64-5a42-411b-b0e0-13238f3ad40e;;30001085;ussd_funeral_leads_altitude_20260601;;;;;NA;6;2026-06-11 15:44:24+02;system;2026-06-08 06:47:44+02;2026-06-08 06:47:44+02;;;;;;;;;27727249462;;;;;;;;;;;;;</t>
        </is>
      </c>
    </row>
    <row r="96">
      <c r="A96" t="inlineStr">
        <is>
          <t>ID_95</t>
        </is>
      </c>
      <c r="J96" t="inlineStr">
        <is>
          <t>14814950;13195c04-7ae2-4399-8844-0d1c9b618b1d;;30001085;ussd_funeral_leads_altitude_20260601;;;;;QAVER;6;2026-06-10 09:28:15+02;Virginia Letsatsi;2026-06-08 06:47:44+02;2026-06-08 06:47:44+02;;;;;;;;;27609501231;;;;;;;;;;;;;</t>
        </is>
      </c>
      <c r="K96" t="inlineStr">
        <is>
          <t>14814950;13195c04-7ae2-4399-8844-0d1c9b618b1d;;30001085;ussd_funeral_leads_altitude_20260601;;;;;QAVER;6;2026-06-10 09:28:15+02;Virginia Letsatsi;2026-06-08 06:47:44+02;2026-06-08 06:47:44+02;;;;;;;;;27609501231;;;;;;;;;;;;;</t>
        </is>
      </c>
    </row>
    <row r="97">
      <c r="A97" t="inlineStr">
        <is>
          <t>ID_96</t>
        </is>
      </c>
      <c r="J97" t="inlineStr">
        <is>
          <t>14815078;2d9d2eb9-0150-4382-9475-efa8409da2b2;;30001085;ussd_funeral_leads_altitude_20260601;;;;;CBACK;3;2026-06-10 08:46:19+02;Gontse Monageng;2026-06-08 06:47:44+02;2026-06-08 06:47:44+02;;;;;;;;;27636085677;;;;;;;;;;;;;</t>
        </is>
      </c>
      <c r="K97" t="inlineStr">
        <is>
          <t>14815078;2d9d2eb9-0150-4382-9475-efa8409da2b2;;30001085;ussd_funeral_leads_altitude_20260601;;;;;CBACK;3;2026-06-10 08:46:19+02;Gontse Monageng;2026-06-08 06:47:44+02;2026-06-08 06:47:44+02;;;;;;;;;27636085677;;;;;;;;;;;;;</t>
        </is>
      </c>
    </row>
    <row r="98">
      <c r="A98" t="inlineStr">
        <is>
          <t>ID_97</t>
        </is>
      </c>
      <c r="J98" t="inlineStr">
        <is>
          <t>14814951;296a4533-f65e-423e-836e-fa531c8167db;;30001085;ussd_funeral_leads_altitude_20260601;;;;;NA;6;2026-06-11 15:19:29+02;system;2026-06-08 06:47:44+02;2026-06-08 06:47:44+02;;;;;;;;;27723049587;;;;;;;;;;;;;</t>
        </is>
      </c>
      <c r="K98" t="inlineStr">
        <is>
          <t>14814951;296a4533-f65e-423e-836e-fa531c8167db;;30001085;ussd_funeral_leads_altitude_20260601;;;;;NA;6;2026-06-11 15:19:29+02;system;2026-06-08 06:47:44+02;2026-06-08 06:47:44+02;;;;;;;;;27723049587;;;;;;;;;;;;;</t>
        </is>
      </c>
    </row>
    <row r="99">
      <c r="A99" t="inlineStr">
        <is>
          <t>ID_98</t>
        </is>
      </c>
      <c r="J99" t="inlineStr">
        <is>
          <t>14815079;978ace02-cbd5-483c-9e3d-26f2f62f1d35;;30001085;ussd_funeral_leads_altitude_20260601;;;;;TDN;6;2026-06-11 15:44:24+02;system;2026-06-08 06:47:44+02;2026-06-08 06:47:44+02;;;;;;;;;27763775433;;;;;;;;;;;;;</t>
        </is>
      </c>
      <c r="K99" t="inlineStr">
        <is>
          <t>14815079;978ace02-cbd5-483c-9e3d-26f2f62f1d35;;30001085;ussd_funeral_leads_altitude_20260601;;;;;TDN;6;2026-06-11 15:44:24+02;system;2026-06-08 06:47:44+02;2026-06-08 06:47:44+02;;;;;;;;;27763775433;;;;;;;;;;;;;</t>
        </is>
      </c>
    </row>
    <row r="100">
      <c r="A100" t="inlineStr">
        <is>
          <t>ID_99</t>
        </is>
      </c>
      <c r="J100" t="inlineStr">
        <is>
          <t>14815080;3456995d-c02d-4e08-a926-aa8d431752b3;;30001085;ussd_funeral_leads_altitude_20260601;;;;;CU;6;2026-06-11 15:04:49+02;Lebohang Mabotja;2026-06-08 06:47:44+02;2026-06-08 06:47:44+02;;;;;;;;;27769579450;;;;;;;;;;;;;</t>
        </is>
      </c>
      <c r="K100" t="inlineStr">
        <is>
          <t>14815080;3456995d-c02d-4e08-a926-aa8d431752b3;;30001085;ussd_funeral_leads_altitude_20260601;;;;;CU;6;2026-06-11 15:04:49+02;Lebohang Mabotja;2026-06-08 06:47:44+02;2026-06-08 06:47:44+02;;;;;;;;;27769579450;;;;;;;;;;;;;</t>
        </is>
      </c>
    </row>
    <row r="101">
      <c r="A101" t="inlineStr">
        <is>
          <t>ID_100</t>
        </is>
      </c>
      <c r="J101" t="inlineStr">
        <is>
          <t>14815081;886b4b54-73ee-41e3-bf8b-d73987d58f48;;30001085;ussd_funeral_leads_altitude_20260601;;;;;ADC;6;2026-06-12 08:07:42+02;system;2026-06-08 06:47:44+02;2026-06-08 06:47:44+02;;;;;;;;;27729282127;;;;;;;;;;;;;</t>
        </is>
      </c>
      <c r="K101" t="inlineStr">
        <is>
          <t>14815081;886b4b54-73ee-41e3-bf8b-d73987d58f48;;30001085;ussd_funeral_leads_altitude_20260601;;;;;ADC;6;2026-06-12 08:07:42+02;system;2026-06-08 06:47:44+02;2026-06-08 06:47:44+02;;;;;;;;;27729282127;;;;;;;;;;;;;</t>
        </is>
      </c>
    </row>
    <row r="102">
      <c r="A102" t="inlineStr">
        <is>
          <t>ID_101</t>
        </is>
      </c>
      <c r="J102" t="inlineStr">
        <is>
          <t>14815082;44ab28a7-555f-4881-aada-36eb15e99114;;30001085;ussd_funeral_leads_altitude_20260601;;;;;NA;6;2026-06-11 15:04:54+02;system;2026-06-08 06:47:44+02;2026-06-08 06:47:44+02;;;;;;;;;27646984265;;;;;;;;;;;;;</t>
        </is>
      </c>
      <c r="K102" t="inlineStr">
        <is>
          <t>14815082;44ab28a7-555f-4881-aada-36eb15e99114;;30001085;ussd_funeral_leads_altitude_20260601;;;;;NA;6;2026-06-11 15:04:54+02;system;2026-06-08 06:47:44+02;2026-06-08 06:47:44+02;;;;;;;;;27646984265;;;;;;;;;;;;;</t>
        </is>
      </c>
    </row>
    <row r="103">
      <c r="A103" t="inlineStr">
        <is>
          <t>ID_102</t>
        </is>
      </c>
      <c r="J103" t="inlineStr">
        <is>
          <t>14815084;1740c849-dd1f-4281-8dd7-0fc311fbd24d;;30001085;ussd_funeral_leads_altitude_20260601;;;;;NA;6;2026-06-11 15:05:45+02;system;2026-06-08 06:47:44+02;2026-06-08 06:47:44+02;;;;;;;;;27637692780;;;;;;;;;;;;;</t>
        </is>
      </c>
      <c r="K103" t="inlineStr">
        <is>
          <t>14815084;1740c849-dd1f-4281-8dd7-0fc311fbd24d;;30001085;ussd_funeral_leads_altitude_20260601;;;;;NA;6;2026-06-11 15:05:45+02;system;2026-06-08 06:47:44+02;2026-06-08 06:47:44+02;;;;;;;;;27637692780;;;;;;;;;;;;;</t>
        </is>
      </c>
    </row>
    <row r="104">
      <c r="A104" t="inlineStr">
        <is>
          <t>ID_103</t>
        </is>
      </c>
      <c r="J104" t="inlineStr">
        <is>
          <t>14815085;2a998f97-1fed-4d52-9e94-eae4ec1084cf;;30001085;ussd_funeral_leads_altitude_20260601;;;;;AA;6;2026-06-11 15:05:45+02;system;2026-06-08 06:47:44+02;2026-06-08 06:47:44+02;;;;;;;;;27712734424;;;;;;;;;;;;;</t>
        </is>
      </c>
      <c r="K104" t="inlineStr">
        <is>
          <t>14815085;2a998f97-1fed-4d52-9e94-eae4ec1084cf;;30001085;ussd_funeral_leads_altitude_20260601;;;;;AA;6;2026-06-11 15:05:45+02;system;2026-06-08 06:47:44+02;2026-06-08 06:47:44+02;;;;;;;;;27712734424;;;;;;;;;;;;;</t>
        </is>
      </c>
    </row>
    <row r="105">
      <c r="A105" t="inlineStr">
        <is>
          <t>ID_104</t>
        </is>
      </c>
      <c r="J105" t="inlineStr">
        <is>
          <t>14815086;c247bc7a-f659-4d25-9251-e315c8d5df98;;30001085;ussd_funeral_leads_altitude_20260601;;;;;AA;6;2026-06-11 15:05:50+02;system;2026-06-08 06:47:44+02;2026-06-08 06:47:44+02;;;;;;;;;27769740997;;;;;;;;;;;;;</t>
        </is>
      </c>
      <c r="K105" t="inlineStr">
        <is>
          <t>14815086;c247bc7a-f659-4d25-9251-e315c8d5df98;;30001085;ussd_funeral_leads_altitude_20260601;;;;;AA;6;2026-06-11 15:05:50+02;system;2026-06-08 06:47:44+02;2026-06-08 06:47:44+02;;;;;;;;;27769740997;;;;;;;;;;;;;</t>
        </is>
      </c>
    </row>
    <row r="106">
      <c r="A106" t="inlineStr">
        <is>
          <t>ID_105</t>
        </is>
      </c>
      <c r="J106" t="inlineStr">
        <is>
          <t>14815087;c1e95de0-cc4e-4c48-9381-6916f2a943a0;;30001085;ussd_funeral_leads_altitude_20260601;;;;;BLQ;6;2026-06-15 16:37:55+02;Virginia Letsatsi;2026-06-08 06:47:44+02;2026-06-08 06:47:44+02;;;;;;;;;27715617914;;;;;;;;;;;;;</t>
        </is>
      </c>
      <c r="K106" t="inlineStr">
        <is>
          <t>14815087;c1e95de0-cc4e-4c48-9381-6916f2a943a0;;30001085;ussd_funeral_leads_altitude_20260601;;;;;BLQ;6;2026-06-15 16:37:55+02;Virginia Letsatsi;2026-06-08 06:47:44+02;2026-06-08 06:47:44+02;;;;;;;;;27715617914;;;;;;;;;;;;;</t>
        </is>
      </c>
    </row>
    <row r="107">
      <c r="A107" t="inlineStr">
        <is>
          <t>ID_106</t>
        </is>
      </c>
      <c r="J107" t="inlineStr">
        <is>
          <t>14815088;a1f4793f-7aad-4f41-913b-7702c76c0ab7;;30001085;ussd_funeral_leads_altitude_20260601;;;;;AA;6;2026-06-11 15:06:02+02;system;2026-06-08 06:47:44+02;2026-06-08 06:47:44+02;;;;;;;;;27715335100;;;;;;;;;;;;;</t>
        </is>
      </c>
      <c r="K107" t="inlineStr">
        <is>
          <t>14815088;a1f4793f-7aad-4f41-913b-7702c76c0ab7;;30001085;ussd_funeral_leads_altitude_20260601;;;;;AA;6;2026-06-11 15:06:02+02;system;2026-06-08 06:47:44+02;2026-06-08 06:47:44+02;;;;;;;;;27715335100;;;;;;;;;;;;;</t>
        </is>
      </c>
    </row>
    <row r="108">
      <c r="A108" t="inlineStr">
        <is>
          <t>ID_107</t>
        </is>
      </c>
      <c r="J108" t="inlineStr">
        <is>
          <t>14815089;cd9588f4-29ba-4a72-9708-75806d63ffff;;30001085;ussd_funeral_leads_altitude_20260601;;;;;NA;6;2026-06-11 15:03:14+02;system;2026-06-08 06:47:44+02;2026-06-08 06:47:44+02;;;;;;;;;27723673403;;;;;;;;;;;;;</t>
        </is>
      </c>
      <c r="K108" t="inlineStr">
        <is>
          <t>14815089;cd9588f4-29ba-4a72-9708-75806d63ffff;;30001085;ussd_funeral_leads_altitude_20260601;;;;;NA;6;2026-06-11 15:03:14+02;system;2026-06-08 06:47:44+02;2026-06-08 06:47:44+02;;;;;;;;;27723673403;;;;;;;;;;;;;</t>
        </is>
      </c>
    </row>
    <row r="109">
      <c r="A109" t="inlineStr">
        <is>
          <t>ID_108</t>
        </is>
      </c>
      <c r="J109" t="inlineStr">
        <is>
          <t>14814981;cc4f9a1b-1f71-4783-a471-41f144685073;;30001085;ussd_funeral_leads_altitude_20260601;;;;;NA;6;2026-06-11 15:17:55+02;system;2026-06-08 06:47:44+02;2026-06-08 06:47:44+02;;;;;;;;;27818251083;;;;;;;;;;;;;</t>
        </is>
      </c>
      <c r="K109" t="inlineStr">
        <is>
          <t>14814981;cc4f9a1b-1f71-4783-a471-41f144685073;;30001085;ussd_funeral_leads_altitude_20260601;;;;;NA;6;2026-06-11 15:17:55+02;system;2026-06-08 06:47:44+02;2026-06-08 06:47:44+02;;;;;;;;;27818251083;;;;;;;;;;;;;</t>
        </is>
      </c>
    </row>
    <row r="110">
      <c r="A110" t="inlineStr">
        <is>
          <t>ID_109</t>
        </is>
      </c>
      <c r="J110" t="inlineStr">
        <is>
          <t>14814982;127ba2d3-2b86-483f-9b06-0af8e21238e7;;30001085;ussd_funeral_leads_altitude_20260601;;;;;AA;6;2026-06-11 15:14:42+02;system;2026-06-08 06:47:44+02;2026-06-08 06:47:44+02;;;;;;;;;27798793986;;;;;;;;;;;;;</t>
        </is>
      </c>
      <c r="K110" t="inlineStr">
        <is>
          <t>14814982;127ba2d3-2b86-483f-9b06-0af8e21238e7;;30001085;ussd_funeral_leads_altitude_20260601;;;;;AA;6;2026-06-11 15:14:42+02;system;2026-06-08 06:47:44+02;2026-06-08 06:47:44+02;;;;;;;;;27798793986;;;;;;;;;;;;;</t>
        </is>
      </c>
    </row>
    <row r="111">
      <c r="A111" t="inlineStr">
        <is>
          <t>ID_110</t>
        </is>
      </c>
      <c r="J111" t="inlineStr">
        <is>
          <t>14814983;3e3a86f0-c3b0-48cb-8e9e-aed96929ef77;;30001085;ussd_funeral_leads_altitude_20260601;;;;;ADC;6;2026-06-11 15:14:55+02;system;2026-06-08 06:47:44+02;2026-06-08 06:47:44+02;;;;;;;;;27761344269;;;;;;;;;;;;;</t>
        </is>
      </c>
      <c r="K111" t="inlineStr">
        <is>
          <t>14814983;3e3a86f0-c3b0-48cb-8e9e-aed96929ef77;;30001085;ussd_funeral_leads_altitude_20260601;;;;;ADC;6;2026-06-11 15:14:55+02;system;2026-06-08 06:47:44+02;2026-06-08 06:47:44+02;;;;;;;;;27761344269;;;;;;;;;;;;;</t>
        </is>
      </c>
    </row>
    <row r="112">
      <c r="A112" t="inlineStr">
        <is>
          <t>ID_111</t>
        </is>
      </c>
      <c r="J112" t="inlineStr">
        <is>
          <t>14815146;7be42836-c9cb-49e9-90a3-2f9d2ea3b8fe;;30001085;ussd_funeral_leads_altitude_20260601;;;;;A;6;2026-06-11 11:41:52+02;Virginia Letsatsi;2026-06-08 06:47:44+02;2026-06-08 06:47:44+02;;;;;;;;;27792091013;;;;;;;;;;;;;</t>
        </is>
      </c>
      <c r="K112" t="inlineStr">
        <is>
          <t>14815146;7be42836-c9cb-49e9-90a3-2f9d2ea3b8fe;;30001085;ussd_funeral_leads_altitude_20260601;;;;;A;6;2026-06-11 11:41:52+02;Virginia Letsatsi;2026-06-08 06:47:44+02;2026-06-08 06:47:44+02;;;;;;;;;27792091013;;;;;;;;;;;;;</t>
        </is>
      </c>
    </row>
    <row r="113">
      <c r="A113" t="inlineStr">
        <is>
          <t>ID_112</t>
        </is>
      </c>
      <c r="J113" t="inlineStr">
        <is>
          <t>14814985;1689fee9-5245-49c7-a15d-2b48c8586de1;;30001085;ussd_funeral_leads_altitude_20260601;;;27769182543;;DROP;6;2026-06-11 15:14:57+02;system;2026-06-08 06:47:44+02;2026-06-08 06:47:44+02;;;;;;;;;27769182543;;;;;;;;;;;;;</t>
        </is>
      </c>
      <c r="K113" t="inlineStr">
        <is>
          <t>14814985;1689fee9-5245-49c7-a15d-2b48c8586de1;;30001085;ussd_funeral_leads_altitude_20260601;;;27769182543;;DROP;6;2026-06-11 15:14:57+02;system;2026-06-08 06:47:44+02;2026-06-08 06:47:44+02;;;;;;;;;27769182543;;;;;;;;;;;;;</t>
        </is>
      </c>
    </row>
    <row r="114">
      <c r="A114" t="inlineStr">
        <is>
          <t>ID_113</t>
        </is>
      </c>
      <c r="J114" t="inlineStr">
        <is>
          <t>14815090;89d373c4-495d-401e-809b-f94e8d9c8e52;;30001085;ussd_funeral_leads_altitude_20260601;;;;;AA;6;2026-06-11 15:03:13+02;system;2026-06-08 06:47:44+02;2026-06-08 06:47:44+02;;;;;;;;;27661019870;;;;;;;;;;;;;</t>
        </is>
      </c>
      <c r="K114" t="inlineStr">
        <is>
          <t>14815090;89d373c4-495d-401e-809b-f94e8d9c8e52;;30001085;ussd_funeral_leads_altitude_20260601;;;;;AA;6;2026-06-11 15:03:13+02;system;2026-06-08 06:47:44+02;2026-06-08 06:47:44+02;;;;;;;;;27661019870;;;;;;;;;;;;;</t>
        </is>
      </c>
    </row>
    <row r="115">
      <c r="A115" t="inlineStr">
        <is>
          <t>ID_114</t>
        </is>
      </c>
      <c r="J115" t="inlineStr">
        <is>
          <t>14815091;32387d52-fd73-4933-ac75-422c2ca9fd53;;30001085;ussd_funeral_leads_altitude_20260601;;;;;AA;6;2026-06-11 15:03:28+02;system;2026-06-08 06:47:44+02;2026-06-08 06:47:44+02;;;;;;;;;27767574081;;;;;;;;;;;;;</t>
        </is>
      </c>
      <c r="K115" t="inlineStr">
        <is>
          <t>14815091;32387d52-fd73-4933-ac75-422c2ca9fd53;;30001085;ussd_funeral_leads_altitude_20260601;;;;;AA;6;2026-06-11 15:03:28+02;system;2026-06-08 06:47:44+02;2026-06-08 06:47:44+02;;;;;;;;;27767574081;;;;;;;;;;;;;</t>
        </is>
      </c>
    </row>
    <row r="116">
      <c r="A116" t="inlineStr">
        <is>
          <t>ID_115</t>
        </is>
      </c>
      <c r="J116" t="inlineStr">
        <is>
          <t>14815092;1f5ae5cb-5622-4fde-ae8b-3d87cdb9bd12;;30001085;ussd_funeral_leads_altitude_20260601;;;;;AA;6;2026-06-11 15:04:08+02;system;2026-06-08 06:47:44+02;2026-06-08 06:47:44+02;;;;;;;;;27715595506;;;;;;;;;;;;;</t>
        </is>
      </c>
      <c r="K116" t="inlineStr">
        <is>
          <t>14815092;1f5ae5cb-5622-4fde-ae8b-3d87cdb9bd12;;30001085;ussd_funeral_leads_altitude_20260601;;;;;AA;6;2026-06-11 15:04:08+02;system;2026-06-08 06:47:44+02;2026-06-08 06:47:44+02;;;;;;;;;27715595506;;;;;;;;;;;;;</t>
        </is>
      </c>
    </row>
    <row r="117">
      <c r="A117" t="inlineStr">
        <is>
          <t>ID_116</t>
        </is>
      </c>
      <c r="J117" t="inlineStr">
        <is>
          <t>14815093;96536189-83e1-4b1f-bad6-30e1d50c5530;;30001085;ussd_funeral_leads_altitude_20260601;;;;;AA;6;2026-06-11 15:04:14+02;system;2026-06-08 06:47:44+02;2026-06-08 06:47:44+02;;;;;;;;;27765949715;;;;;;;;;;;;;</t>
        </is>
      </c>
      <c r="K117" t="inlineStr">
        <is>
          <t>14815093;96536189-83e1-4b1f-bad6-30e1d50c5530;;30001085;ussd_funeral_leads_altitude_20260601;;;;;AA;6;2026-06-11 15:04:14+02;system;2026-06-08 06:47:44+02;2026-06-08 06:47:44+02;;;;;;;;;27765949715;;;;;;;;;;;;;</t>
        </is>
      </c>
    </row>
    <row r="118">
      <c r="A118" t="inlineStr">
        <is>
          <t>ID_117</t>
        </is>
      </c>
      <c r="J118" t="inlineStr">
        <is>
          <t>14815094;dcd572c1-e132-48f9-8b8a-fbd1f41a5466;;30001085;ussd_funeral_leads_altitude_20260601;;;;;AA;6;2026-06-11 15:04:21+02;system;2026-06-08 06:47:44+02;2026-06-08 06:47:44+02;;;;;;;;;27799791053;;;;;;;;;;;;;</t>
        </is>
      </c>
      <c r="K118" t="inlineStr">
        <is>
          <t>14815094;dcd572c1-e132-48f9-8b8a-fbd1f41a5466;;30001085;ussd_funeral_leads_altitude_20260601;;;;;AA;6;2026-06-11 15:04:21+02;system;2026-06-08 06:47:44+02;2026-06-08 06:47:44+02;;;;;;;;;27799791053;;;;;;;;;;;;;</t>
        </is>
      </c>
    </row>
    <row r="119">
      <c r="A119" t="inlineStr">
        <is>
          <t>ID_118</t>
        </is>
      </c>
      <c r="J119" t="inlineStr">
        <is>
          <t>14815095;be15406d-61ec-4a24-b4f7-8b5ae12f3af8;;30001085;ussd_funeral_leads_altitude_20260601;;;27715597628;;AA;6;2026-06-11 15:04:33+02;system;2026-06-08 06:47:44+02;2026-06-08 06:47:44+02;;;;;;;;;27715597628;;;;;;;;;;;;;</t>
        </is>
      </c>
      <c r="K119" t="inlineStr">
        <is>
          <t>14815095;be15406d-61ec-4a24-b4f7-8b5ae12f3af8;;30001085;ussd_funeral_leads_altitude_20260601;;;27715597628;;AA;6;2026-06-11 15:04:33+02;system;2026-06-08 06:47:44+02;2026-06-08 06:47:44+02;;;;;;;;;27715597628;;;;;;;;;;;;;</t>
        </is>
      </c>
    </row>
    <row r="120">
      <c r="A120" t="inlineStr">
        <is>
          <t>ID_119</t>
        </is>
      </c>
      <c r="J120" t="inlineStr">
        <is>
          <t>14815096;d5d72666-adfb-45f0-a286-c69e715ba4ed;;30001085;ussd_funeral_leads_altitude_20260601;;;;;AA;6;2026-06-11 15:04:42+02;system;2026-06-08 06:47:44+02;2026-06-08 06:47:44+02;;;;;;;;;27674762909;;;;;;;;;;;;;</t>
        </is>
      </c>
      <c r="K120" t="inlineStr">
        <is>
          <t>14815096;d5d72666-adfb-45f0-a286-c69e715ba4ed;;30001085;ussd_funeral_leads_altitude_20260601;;;;;AA;6;2026-06-11 15:04:42+02;system;2026-06-08 06:47:44+02;2026-06-08 06:47:44+02;;;;;;;;;27674762909;;;;;;;;;;;;;</t>
        </is>
      </c>
    </row>
    <row r="121">
      <c r="A121" t="inlineStr">
        <is>
          <t>ID_120</t>
        </is>
      </c>
      <c r="J121" t="inlineStr">
        <is>
          <t>14814986;9d9414e1-a9ee-438f-944b-d87e0e168a31;;30001085;ussd_funeral_leads_altitude_20260601;;;;;U;6;2026-06-10 16:28:18+02;Virginia Letsatsi;2026-06-08 06:47:44+02;2026-06-08 06:47:44+02;;;;;;;;;27649966295;;;;;;;;;;;;;</t>
        </is>
      </c>
      <c r="K121" t="inlineStr">
        <is>
          <t>14814986;9d9414e1-a9ee-438f-944b-d87e0e168a31;;30001085;ussd_funeral_leads_altitude_20260601;;;;;U;6;2026-06-10 16:28:18+02;Virginia Letsatsi;2026-06-08 06:47:44+02;2026-06-08 06:47:44+02;;;;;;;;;27649966295;;;;;;;;;;;;;</t>
        </is>
      </c>
    </row>
    <row r="122">
      <c r="A122" t="inlineStr">
        <is>
          <t>ID_121</t>
        </is>
      </c>
      <c r="J122" t="inlineStr">
        <is>
          <t>14815148;34a57a0a-7b8b-4215-b27d-b68a402dd2d9;;30001085;ussd_funeral_leads_altitude_20260601;;;;;CU;6;2026-06-11 15:01:28+02;Vuyiswa Nxumalo;2026-06-08 06:47:44+02;2026-06-08 06:47:44+02;;;;;;;;;27760723628;;;;;;;;;;;;;</t>
        </is>
      </c>
      <c r="K122" t="inlineStr">
        <is>
          <t>14815148;34a57a0a-7b8b-4215-b27d-b68a402dd2d9;;30001085;ussd_funeral_leads_altitude_20260601;;;;;CU;6;2026-06-11 15:01:28+02;Vuyiswa Nxumalo;2026-06-08 06:47:44+02;2026-06-08 06:47:44+02;;;;;;;;;27760723628;;;;;;;;;;;;;</t>
        </is>
      </c>
    </row>
    <row r="123">
      <c r="A123" t="inlineStr">
        <is>
          <t>ID_122</t>
        </is>
      </c>
      <c r="J123" t="inlineStr">
        <is>
          <t>14815149;8fb3b266-d8e9-47c0-ba4a-4495dc9f4dab;;30001085;ussd_funeral_leads_altitude_20260601;;;;;ADC;6;2026-06-11 15:01:34+02;system;2026-06-08 06:47:44+02;2026-06-08 06:47:44+02;;;;;;;;;27791549241;;;;;;;;;;;;;</t>
        </is>
      </c>
      <c r="K123" t="inlineStr">
        <is>
          <t>14815149;8fb3b266-d8e9-47c0-ba4a-4495dc9f4dab;;30001085;ussd_funeral_leads_altitude_20260601;;;;;ADC;6;2026-06-11 15:01:34+02;system;2026-06-08 06:47:44+02;2026-06-08 06:47:44+02;;;;;;;;;27791549241;;;;;;;;;;;;;</t>
        </is>
      </c>
    </row>
    <row r="124">
      <c r="A124" t="inlineStr">
        <is>
          <t>ID_123</t>
        </is>
      </c>
      <c r="J124" t="inlineStr">
        <is>
          <t>14815150;1672b5e3-bf11-4744-b8df-2b32d8740eb6;;30001085;ussd_funeral_leads_altitude_20260601;;;;;ADC;6;2026-06-12 08:07:42+02;system;2026-06-08 06:47:44+02;2026-06-08 06:47:44+02;;;;;;;;;27766189622;;;;;;;;;;;;;</t>
        </is>
      </c>
      <c r="K124" t="inlineStr">
        <is>
          <t>14815150;1672b5e3-bf11-4744-b8df-2b32d8740eb6;;30001085;ussd_funeral_leads_altitude_20260601;;;;;ADC;6;2026-06-12 08:07:42+02;system;2026-06-08 06:47:44+02;2026-06-08 06:47:44+02;;;;;;;;;27766189622;;;;;;;;;;;;;</t>
        </is>
      </c>
    </row>
    <row r="125">
      <c r="A125" t="inlineStr">
        <is>
          <t>ID_124</t>
        </is>
      </c>
      <c r="J125" t="inlineStr">
        <is>
          <t>14815151;918c60cc-2715-4096-931d-362c8af532d2;;30001085;ussd_funeral_leads_altitude_20260601;;;;;AF;2;2026-06-09 11:14:12+02;Lebohang Mabotja;2026-06-08 06:47:44+02;2026-06-08 06:47:44+02;;;;;;;;;27637431363;;;;;;;;;;;;;</t>
        </is>
      </c>
      <c r="K125" t="inlineStr">
        <is>
          <t>14815151;918c60cc-2715-4096-931d-362c8af532d2;;30001085;ussd_funeral_leads_altitude_20260601;;;;;AF;2;2026-06-09 11:14:12+02;Lebohang Mabotja;2026-06-08 06:47:44+02;2026-06-08 06:47:44+02;;;;;;;;;27637431363;;;;;;;;;;;;;</t>
        </is>
      </c>
    </row>
    <row r="126">
      <c r="A126" t="inlineStr">
        <is>
          <t>ID_125</t>
        </is>
      </c>
      <c r="J126" t="inlineStr">
        <is>
          <t>14815152;f9049a64-61f3-4838-8d4e-63b7d1d1b9e7;;30001085;ussd_funeral_leads_altitude_20260601;;;;;NA;6;2026-06-11 15:43:59+02;system;2026-06-08 06:47:44+02;2026-06-08 06:47:44+02;;;;;;;;;27646083290;;;;;;;;;;;;;</t>
        </is>
      </c>
      <c r="K126" t="inlineStr">
        <is>
          <t>14815152;f9049a64-61f3-4838-8d4e-63b7d1d1b9e7;;30001085;ussd_funeral_leads_altitude_20260601;;;;;NA;6;2026-06-11 15:43:59+02;system;2026-06-08 06:47:44+02;2026-06-08 06:47:44+02;;;;;;;;;27646083290;;;;;;;;;;;;;</t>
        </is>
      </c>
    </row>
    <row r="127">
      <c r="A127" t="inlineStr">
        <is>
          <t>ID_126</t>
        </is>
      </c>
      <c r="J127" t="inlineStr">
        <is>
          <t>14815153;ba0312fb-eeff-4e40-b5da-75a33290bd0f;;30001085;ussd_funeral_leads_altitude_20260601;;;;;AA;6;2026-06-15 08:16:06+02;system;2026-06-08 06:47:44+02;2026-06-08 06:47:44+02;;;;;;;;;27664541503;;;;;;;;;;;;;</t>
        </is>
      </c>
      <c r="K127" t="inlineStr">
        <is>
          <t>14815153;ba0312fb-eeff-4e40-b5da-75a33290bd0f;;30001085;ussd_funeral_leads_altitude_20260601;;;;;AA;6;2026-06-15 08:16:06+02;system;2026-06-08 06:47:44+02;2026-06-08 06:47:44+02;;;;;;;;;27664541503;;;;;;;;;;;;;</t>
        </is>
      </c>
    </row>
    <row r="128">
      <c r="A128" t="inlineStr">
        <is>
          <t>ID_127</t>
        </is>
      </c>
      <c r="J128" t="inlineStr">
        <is>
          <t>14815097;be7f1cb1-edea-440f-b3ee-52073c330519;;30001085;ussd_funeral_leads_altitude_20260601;;;;;AA;6;2026-06-11 15:06:24+02;system;2026-06-08 06:47:44+02;2026-06-08 06:47:44+02;;;;;;;;;27713083935;;;;;;;;;;;;;</t>
        </is>
      </c>
      <c r="K128" t="inlineStr">
        <is>
          <t>14815097;be7f1cb1-edea-440f-b3ee-52073c330519;;30001085;ussd_funeral_leads_altitude_20260601;;;;;AA;6;2026-06-11 15:06:24+02;system;2026-06-08 06:47:44+02;2026-06-08 06:47:44+02;;;;;;;;;27713083935;;;;;;;;;;;;;</t>
        </is>
      </c>
    </row>
    <row r="129">
      <c r="A129" t="inlineStr">
        <is>
          <t>ID_128</t>
        </is>
      </c>
      <c r="J129" t="inlineStr">
        <is>
          <t>14815154;98828583-4f72-4c8c-a9a2-4e2898a72339;;30001085;ussd_funeral_leads_altitude_20260601;;;;;QAVER;9;2026-06-13 11:41:54+02;Virginia Letsatsi;2026-06-08 06:47:44+02;2026-06-08 06:47:44+02;;;;;;;;;27721780847;;;;;;;;;;;;;</t>
        </is>
      </c>
      <c r="K129" t="inlineStr">
        <is>
          <t>14815154;98828583-4f72-4c8c-a9a2-4e2898a72339;;30001085;ussd_funeral_leads_altitude_20260601;;;;;QAVER;9;2026-06-13 11:41:54+02;Virginia Letsatsi;2026-06-08 06:47:44+02;2026-06-08 06:47:44+02;;;;;;;;;27721780847;;;;;;;;;;;;;</t>
        </is>
      </c>
    </row>
    <row r="130">
      <c r="A130" t="inlineStr">
        <is>
          <t>ID_129</t>
        </is>
      </c>
      <c r="J130" t="inlineStr">
        <is>
          <t>14815155;7aed7a10-6f94-44bd-8d19-d39b430dc8a2;;30001085;ussd_funeral_leads_altitude_20260601;;;;;AA;6;2026-06-11 15:37:29+02;system;2026-06-08 06:47:44+02;2026-06-08 06:47:44+02;;;;;;;;;27791823451;;;;;;;;;;;;;</t>
        </is>
      </c>
      <c r="K130" t="inlineStr">
        <is>
          <t>14815155;7aed7a10-6f94-44bd-8d19-d39b430dc8a2;;30001085;ussd_funeral_leads_altitude_20260601;;;;;AA;6;2026-06-11 15:37:29+02;system;2026-06-08 06:47:44+02;2026-06-08 06:47:44+02;;;;;;;;;27791823451;;;;;;;;;;;;;</t>
        </is>
      </c>
    </row>
    <row r="131">
      <c r="A131" t="inlineStr">
        <is>
          <t>ID_130</t>
        </is>
      </c>
      <c r="J131" t="inlineStr">
        <is>
          <t>14815156;a15dbb59-4960-409c-bcf9-72c419c982a7;;30001085;ussd_funeral_leads_altitude_20260601;;;;;NI;6;2026-06-11 15:01:35+02;Lebohang Mabotja;2026-06-08 06:47:44+02;2026-06-08 06:47:44+02;;;;;;;;;27636738521;;;;;;;;;;;;;</t>
        </is>
      </c>
      <c r="K131" t="inlineStr">
        <is>
          <t>14815156;a15dbb59-4960-409c-bcf9-72c419c982a7;;30001085;ussd_funeral_leads_altitude_20260601;;;;;NI;6;2026-06-11 15:01:35+02;Lebohang Mabotja;2026-06-08 06:47:44+02;2026-06-08 06:47:44+02;;;;;;;;;27636738521;;;;;;;;;;;;;</t>
        </is>
      </c>
    </row>
    <row r="132">
      <c r="A132" t="inlineStr">
        <is>
          <t>ID_131</t>
        </is>
      </c>
      <c r="J132" t="inlineStr">
        <is>
          <t>14814987;ca5ab62f-fedf-41fd-a059-01aa893c0cc1;;30001085;ussd_funeral_leads_altitude_20260601;;;;;AA;6;2026-06-11 15:18:09+02;system;2026-06-08 06:47:44+02;2026-06-08 06:47:44+02;;;;;;;;;27665956492;;;;;;;;;;;;;</t>
        </is>
      </c>
      <c r="K132" t="inlineStr">
        <is>
          <t>14814987;ca5ab62f-fedf-41fd-a059-01aa893c0cc1;;30001085;ussd_funeral_leads_altitude_20260601;;;;;AA;6;2026-06-11 15:18:09+02;system;2026-06-08 06:47:44+02;2026-06-08 06:47:44+02;;;;;;;;;27665956492;;;;;;;;;;;;;</t>
        </is>
      </c>
    </row>
    <row r="133">
      <c r="A133" t="inlineStr">
        <is>
          <t>ID_132</t>
        </is>
      </c>
      <c r="J133" t="inlineStr">
        <is>
          <t>14815157;df3702df-0afe-44a4-93af-3d7a7ddf22a0;;30001085;ussd_funeral_leads_altitude_20260601;;;;;ADC;6;2026-06-12 08:07:42+02;system;2026-06-08 06:47:44+02;2026-06-08 06:47:44+02;;;;;;;;;27607285239;;;;;;;;;;;;;</t>
        </is>
      </c>
      <c r="K133" t="inlineStr">
        <is>
          <t>14815157;df3702df-0afe-44a4-93af-3d7a7ddf22a0;;30001085;ussd_funeral_leads_altitude_20260601;;;;;ADC;6;2026-06-12 08:07:42+02;system;2026-06-08 06:47:44+02;2026-06-08 06:47:44+02;;;;;;;;;27607285239;;;;;;;;;;;;;</t>
        </is>
      </c>
    </row>
    <row r="134">
      <c r="A134" t="inlineStr">
        <is>
          <t>ID_133</t>
        </is>
      </c>
      <c r="J134" t="inlineStr">
        <is>
          <t>14815158;3cf18f21-929d-44e8-9fcc-fe97459f4c18;;30001085;ussd_funeral_leads_altitude_20260601;;;;;TDN;6;2026-06-11 15:01:38+02;system;2026-06-08 06:47:44+02;2026-06-08 06:47:44+02;;;;;;;;;27660840800;;;;;;;;;;;;;</t>
        </is>
      </c>
      <c r="K134" t="inlineStr">
        <is>
          <t>14815158;3cf18f21-929d-44e8-9fcc-fe97459f4c18;;30001085;ussd_funeral_leads_altitude_20260601;;;;;TDN;6;2026-06-11 15:01:38+02;system;2026-06-08 06:47:44+02;2026-06-08 06:47:44+02;;;;;;;;;27660840800;;;;;;;;;;;;;</t>
        </is>
      </c>
    </row>
    <row r="135">
      <c r="A135" t="inlineStr">
        <is>
          <t>ID_134</t>
        </is>
      </c>
      <c r="J135" t="inlineStr">
        <is>
          <t>14815159;b16735be-4e32-4dab-8d91-78a42eadd0c9;;30001085;ussd_funeral_leads_altitude_20260601;;;;;CU;6;2026-06-11 15:37:30+02;Virginia Letsatsi;2026-06-08 06:47:44+02;2026-06-08 06:47:44+02;;;;;;;;;27724088762;;;;;;;;;;;;;</t>
        </is>
      </c>
      <c r="K135" t="inlineStr">
        <is>
          <t>14815159;b16735be-4e32-4dab-8d91-78a42eadd0c9;;30001085;ussd_funeral_leads_altitude_20260601;;;;;CU;6;2026-06-11 15:37:30+02;Virginia Letsatsi;2026-06-08 06:47:44+02;2026-06-08 06:47:44+02;;;;;;;;;27724088762;;;;;;;;;;;;;</t>
        </is>
      </c>
    </row>
    <row r="136">
      <c r="A136" t="inlineStr">
        <is>
          <t>ID_135</t>
        </is>
      </c>
      <c r="J136" t="inlineStr">
        <is>
          <t>14815160;9eaa9d6a-a1d6-47b4-baae-dde3e9c746fa;;30001085;ussd_funeral_leads_altitude_20260601;;;;;LANG;6;2026-06-11 15:37:29+02;Goitsimang Mogwasa;2026-06-08 06:47:44+02;2026-06-08 06:47:44+02;;;;;;;;;27760564347;;;;;;;;;;;;;</t>
        </is>
      </c>
      <c r="K136" t="inlineStr">
        <is>
          <t>14815160;9eaa9d6a-a1d6-47b4-baae-dde3e9c746fa;;30001085;ussd_funeral_leads_altitude_20260601;;;;;LANG;6;2026-06-11 15:37:29+02;Goitsimang Mogwasa;2026-06-08 06:47:44+02;2026-06-08 06:47:44+02;;;;;;;;;27760564347;;;;;;;;;;;;;</t>
        </is>
      </c>
    </row>
    <row r="137">
      <c r="A137" t="inlineStr">
        <is>
          <t>ID_136</t>
        </is>
      </c>
      <c r="J137" t="inlineStr">
        <is>
          <t>14814988;7040fa19-4473-4dc2-a2cc-6b1c4cec0a4f;;30001085;ussd_funeral_leads_altitude_20260601;;;;;AE;6;2026-06-11 15:18:10+02;system;2026-06-08 06:47:44+02;2026-06-08 06:47:44+02;;;;;;;;;27727183599;;;;;;;;;;;;;</t>
        </is>
      </c>
      <c r="K137" t="inlineStr">
        <is>
          <t>14814988;7040fa19-4473-4dc2-a2cc-6b1c4cec0a4f;;30001085;ussd_funeral_leads_altitude_20260601;;;;;AE;6;2026-06-11 15:18:10+02;system;2026-06-08 06:47:44+02;2026-06-08 06:47:44+02;;;;;;;;;27727183599;;;;;;;;;;;;;</t>
        </is>
      </c>
    </row>
    <row r="138">
      <c r="A138" t="inlineStr">
        <is>
          <t>ID_137</t>
        </is>
      </c>
      <c r="J138" t="inlineStr">
        <is>
          <t>14815098;350fb17d-fd72-4c7c-b60d-4c43742c1fbb;;30001085;ussd_funeral_leads_altitude_20260601;;;;;A;6;2026-06-11 14:39:52+02;Virginia Letsatsi;2026-06-08 06:47:44+02;2026-06-08 06:47:44+02;;;;;;;;;27728295218;;;;;;;;;;;;;</t>
        </is>
      </c>
      <c r="K138" t="inlineStr">
        <is>
          <t>14815098;350fb17d-fd72-4c7c-b60d-4c43742c1fbb;;30001085;ussd_funeral_leads_altitude_20260601;;;;;A;6;2026-06-11 14:39:52+02;Virginia Letsatsi;2026-06-08 06:47:44+02;2026-06-08 06:47:44+02;;;;;;;;;27728295218;;;;;;;;;;;;;</t>
        </is>
      </c>
    </row>
    <row r="139">
      <c r="A139" t="inlineStr">
        <is>
          <t>ID_138</t>
        </is>
      </c>
      <c r="J139" t="inlineStr">
        <is>
          <t>14815099;ed80ede6-4f87-4358-bcd2-b3985cbf3eba;;30001085;ussd_funeral_leads_altitude_20260601;;;;;AA;6;2026-06-11 15:06:29+02;system;2026-06-08 06:47:44+02;2026-06-08 06:47:44+02;;;;;;;;;27729178588;;;;;;;;;;;;;</t>
        </is>
      </c>
      <c r="K139" t="inlineStr">
        <is>
          <t>14815099;ed80ede6-4f87-4358-bcd2-b3985cbf3eba;;30001085;ussd_funeral_leads_altitude_20260601;;;;;AA;6;2026-06-11 15:06:29+02;system;2026-06-08 06:47:44+02;2026-06-08 06:47:44+02;;;;;;;;;27729178588;;;;;;;;;;;;;</t>
        </is>
      </c>
    </row>
    <row r="140">
      <c r="A140" t="inlineStr">
        <is>
          <t>ID_139</t>
        </is>
      </c>
      <c r="J140" t="inlineStr">
        <is>
          <t>14815161;fc939abf-4d39-4f91-ad67-0d733293f0c5;;30001085;ussd_funeral_leads_altitude_20260601;;;;;CU;6;2026-06-11 15:36:42+02;Vuyiswa Nxumalo;2026-06-08 06:47:44+02;2026-06-08 06:47:44+02;;;;;;;;;27762610317;;;;;;;;;;;;;</t>
        </is>
      </c>
      <c r="K140" t="inlineStr">
        <is>
          <t>14815161;fc939abf-4d39-4f91-ad67-0d733293f0c5;;30001085;ussd_funeral_leads_altitude_20260601;;;;;CU;6;2026-06-11 15:36:42+02;Vuyiswa Nxumalo;2026-06-08 06:47:44+02;2026-06-08 06:47:44+02;;;;;;;;;27762610317;;;;;;;;;;;;;</t>
        </is>
      </c>
    </row>
    <row r="141">
      <c r="A141" t="inlineStr">
        <is>
          <t>ID_140</t>
        </is>
      </c>
      <c r="J141" t="inlineStr">
        <is>
          <t>14815162;b9a04d03-d5ef-4386-b55c-b6d98a94176b;;30001085;ussd_funeral_leads_altitude_20260601;;;27660932286;;AA;6;2026-06-11 15:01:38+02;system;2026-06-08 06:47:44+02;2026-06-08 06:47:44+02;;;;;;;;;27660932286;;;;;;;;;;;;;</t>
        </is>
      </c>
      <c r="K141" t="inlineStr">
        <is>
          <t>14815162;b9a04d03-d5ef-4386-b55c-b6d98a94176b;;30001085;ussd_funeral_leads_altitude_20260601;;;27660932286;;AA;6;2026-06-11 15:01:38+02;system;2026-06-08 06:47:44+02;2026-06-08 06:47:44+02;;;;;;;;;27660932286;;;;;;;;;;;;;</t>
        </is>
      </c>
    </row>
    <row r="142">
      <c r="A142" t="inlineStr">
        <is>
          <t>ID_141</t>
        </is>
      </c>
      <c r="J142" t="inlineStr">
        <is>
          <t>14815163;ac239c02-d378-4267-a0f3-62aa9a2bdb40;;30001085;ussd_funeral_leads_altitude_20260601;;;27607527826;;DC;6;2026-06-25 13:45:08+02;Virginia Letsatsi;2026-06-08 06:47:44+02;2026-06-08 06:47:44+02;;;;;;;;;27607527826;;;;;;;;;;;;;</t>
        </is>
      </c>
      <c r="K142" t="inlineStr">
        <is>
          <t>14815163;ac239c02-d378-4267-a0f3-62aa9a2bdb40;;30001085;ussd_funeral_leads_altitude_20260601;;;27607527826;;DC;6;2026-06-25 13:45:08+02;Virginia Letsatsi;2026-06-08 06:47:44+02;2026-06-08 06:47:44+02;;;;;;;;;27607527826;;;;;;;;;;;;;</t>
        </is>
      </c>
    </row>
    <row r="143">
      <c r="A143" t="inlineStr">
        <is>
          <t>ID_142</t>
        </is>
      </c>
      <c r="J143" t="inlineStr">
        <is>
          <t>14815164;f82131f2-96f4-4c79-ab06-ac08de3b9cad;;30001085;ussd_funeral_leads_altitude_20260601;;;;;CU;6;2026-06-11 15:02:10+02;Vuyiswa Nxumalo;2026-06-08 06:47:44+02;2026-06-08 06:47:44+02;;;;;;;;;27769658463;;;;;;;;;;;;;</t>
        </is>
      </c>
      <c r="K143" t="inlineStr">
        <is>
          <t>14815164;f82131f2-96f4-4c79-ab06-ac08de3b9cad;;30001085;ussd_funeral_leads_altitude_20260601;;;;;CU;6;2026-06-11 15:02:10+02;Vuyiswa Nxumalo;2026-06-08 06:47:44+02;2026-06-08 06:47:44+02;;;;;;;;;27769658463;;;;;;;;;;;;;</t>
        </is>
      </c>
    </row>
    <row r="144">
      <c r="A144" t="inlineStr">
        <is>
          <t>ID_143</t>
        </is>
      </c>
      <c r="J144" t="inlineStr">
        <is>
          <t>14815165;924d37fa-fc40-4217-bb79-1366116c52ee;;30001085;ussd_funeral_leads_altitude_20260601;;;;;AA;6;2026-06-11 15:02:12+02;system;2026-06-08 06:47:44+02;2026-06-08 06:47:44+02;;;;;;;;;27663488808;;;;;;;;;;;;;</t>
        </is>
      </c>
      <c r="K144" t="inlineStr">
        <is>
          <t>14815165;924d37fa-fc40-4217-bb79-1366116c52ee;;30001085;ussd_funeral_leads_altitude_20260601;;;;;AA;6;2026-06-11 15:02:12+02;system;2026-06-08 06:47:44+02;2026-06-08 06:47:44+02;;;;;;;;;27663488808;;;;;;;;;;;;;</t>
        </is>
      </c>
    </row>
    <row r="145">
      <c r="A145" t="inlineStr">
        <is>
          <t>ID_144</t>
        </is>
      </c>
      <c r="J145" t="inlineStr">
        <is>
          <t>14815100;0d518d3c-a34f-4962-aab4-daf4c25bd001;;30001085;ussd_funeral_leads_altitude_20260601;;;;;AF;2;2026-06-09 11:23:12+02;Vuyiswa Nxumalo;2026-06-08 06:47:44+02;2026-06-08 06:47:44+02;;;;;;;;;27722441477;;;;;;;;;;;;;</t>
        </is>
      </c>
      <c r="K145" t="inlineStr">
        <is>
          <t>14815100;0d518d3c-a34f-4962-aab4-daf4c25bd001;;30001085;ussd_funeral_leads_altitude_20260601;;;;;AF;2;2026-06-09 11:23:12+02;Vuyiswa Nxumalo;2026-06-08 06:47:44+02;2026-06-08 06:47:44+02;;;;;;;;;27722441477;;;;;;;;;;;;;</t>
        </is>
      </c>
    </row>
    <row r="146">
      <c r="A146" t="inlineStr">
        <is>
          <t>ID_145</t>
        </is>
      </c>
      <c r="J146" t="inlineStr">
        <is>
          <t>14814989;73387888-f9ef-4418-871c-64065a6530b3;;30001085;ussd_funeral_leads_altitude_20260601;;;;;TDN;6;2026-06-11 15:18:10+02;system;2026-06-08 06:47:44+02;2026-06-08 06:47:44+02;;;;;;;;;27828165687;;;;;;;;;;;;;</t>
        </is>
      </c>
      <c r="K146" t="inlineStr">
        <is>
          <t>14814989;73387888-f9ef-4418-871c-64065a6530b3;;30001085;ussd_funeral_leads_altitude_20260601;;;;;TDN;6;2026-06-11 15:18:10+02;system;2026-06-08 06:47:44+02;2026-06-08 06:47:44+02;;;;;;;;;27828165687;;;;;;;;;;;;;</t>
        </is>
      </c>
    </row>
    <row r="147">
      <c r="A147" t="inlineStr">
        <is>
          <t>ID_146</t>
        </is>
      </c>
      <c r="J147" t="inlineStr">
        <is>
          <t>14814990;d0e9f553-b217-4f5c-b634-344077f4b63e;;30001085;ussd_funeral_leads_altitude_20260601;;;27715891600;;ADC;6;2026-06-12 08:07:42+02;system;2026-06-08 06:47:44+02;2026-06-08 06:47:44+02;;;;;;;;;27715891600;;;;;;;;;;;;;</t>
        </is>
      </c>
      <c r="K147" t="inlineStr">
        <is>
          <t>14814990;d0e9f553-b217-4f5c-b634-344077f4b63e;;30001085;ussd_funeral_leads_altitude_20260601;;;27715891600;;ADC;6;2026-06-12 08:07:42+02;system;2026-06-08 06:47:44+02;2026-06-08 06:47:44+02;;;;;;;;;27715891600;;;;;;;;;;;;;</t>
        </is>
      </c>
    </row>
    <row r="148">
      <c r="A148" t="inlineStr">
        <is>
          <t>ID_147</t>
        </is>
      </c>
      <c r="J148" t="inlineStr">
        <is>
          <t>14815101;efb62f5e-141d-47d8-8ccd-045c15f87799;;30001085;ussd_funeral_leads_altitude_20260601;;;;;AA;6;2026-06-11 15:44:17+02;system;2026-06-08 06:47:44+02;2026-06-08 06:47:44+02;;;;;;;;;27713945515;;;;;;;;;;;;;</t>
        </is>
      </c>
      <c r="K148" t="inlineStr">
        <is>
          <t>14815101;efb62f5e-141d-47d8-8ccd-045c15f87799;;30001085;ussd_funeral_leads_altitude_20260601;;;;;AA;6;2026-06-11 15:44:17+02;system;2026-06-08 06:47:44+02;2026-06-08 06:47:44+02;;;;;;;;;27713945515;;;;;;;;;;;;;</t>
        </is>
      </c>
    </row>
    <row r="149">
      <c r="A149" t="inlineStr">
        <is>
          <t>ID_148</t>
        </is>
      </c>
      <c r="J149" t="inlineStr">
        <is>
          <t>14815167;08cea109-b573-4e43-adc2-ea8ab60474fa;;30001085;ussd_funeral_leads_altitude_20260601;;;;;NI;1;2026-06-08 14:37:36+02;Lebohang Mabotja;2026-06-08 06:47:44+02;2026-06-08 06:47:44+02;;;;;;;;;27818132732;;;;;;;;;;;;;</t>
        </is>
      </c>
      <c r="K149" t="inlineStr">
        <is>
          <t>14815167;08cea109-b573-4e43-adc2-ea8ab60474fa;;30001085;ussd_funeral_leads_altitude_20260601;;;;;NI;1;2026-06-08 14:37:36+02;Lebohang Mabotja;2026-06-08 06:47:44+02;2026-06-08 06:47:44+02;;;;;;;;;27818132732;;;;;;;;;;;;;</t>
        </is>
      </c>
    </row>
    <row r="150">
      <c r="A150" t="inlineStr">
        <is>
          <t>ID_149</t>
        </is>
      </c>
      <c r="J150" t="inlineStr">
        <is>
          <t>14815102;db60d348-3335-4cb3-8612-24a044e08b1c;;30001085;ussd_funeral_leads_altitude_20260601;;;;;NA;6;2026-06-11 15:44:16+02;system;2026-06-08 06:47:44+02;2026-06-08 06:47:44+02;;;;;;;;;27765036736;;;;;;;;;;;;;</t>
        </is>
      </c>
      <c r="K150" t="inlineStr">
        <is>
          <t>14815102;db60d348-3335-4cb3-8612-24a044e08b1c;;30001085;ussd_funeral_leads_altitude_20260601;;;;;NA;6;2026-06-11 15:44:16+02;system;2026-06-08 06:47:44+02;2026-06-08 06:47:44+02;;;;;;;;;27765036736;;;;;;;;;;;;;</t>
        </is>
      </c>
    </row>
    <row r="151">
      <c r="A151" t="inlineStr">
        <is>
          <t>ID_150</t>
        </is>
      </c>
      <c r="J151" t="inlineStr">
        <is>
          <t>14815103;a31a24ee-0495-414f-9a39-9d8a0c7fc683;;30001085;ussd_funeral_leads_altitude_20260601;;;;;NA;6;2026-06-11 15:44:16+02;system;2026-06-08 06:47:44+02;2026-06-08 06:47:44+02;;;;;;;;;27715818983;;;;;;;;;;;;;</t>
        </is>
      </c>
      <c r="K151" t="inlineStr">
        <is>
          <t>14815103;a31a24ee-0495-414f-9a39-9d8a0c7fc683;;30001085;ussd_funeral_leads_altitude_20260601;;;;;NA;6;2026-06-11 15:44:16+02;system;2026-06-08 06:47:44+02;2026-06-08 06:47:44+02;;;;;;;;;27715818983;;;;;;;;;;;;;</t>
        </is>
      </c>
    </row>
    <row r="152">
      <c r="A152" t="inlineStr">
        <is>
          <t>ID_151</t>
        </is>
      </c>
      <c r="J152" t="inlineStr">
        <is>
          <t>14815104;a2d89136-7cf2-4467-a299-c7bb97e20180;;30001085;ussd_funeral_leads_altitude_20260601;;;;;A;6;2026-06-11 10:23:58+02;Virginia Letsatsi;2026-06-08 06:47:44+02;2026-06-08 06:47:44+02;;;;;;;;;27660198701;;;;;;;;;;;;;</t>
        </is>
      </c>
      <c r="K152" t="inlineStr">
        <is>
          <t>14815104;a2d89136-7cf2-4467-a299-c7bb97e20180;;30001085;ussd_funeral_leads_altitude_20260601;;;;;A;6;2026-06-11 10:23:58+02;Virginia Letsatsi;2026-06-08 06:47:44+02;2026-06-08 06:47:44+02;;;;;;;;;27660198701;;;;;;;;;;;;;</t>
        </is>
      </c>
    </row>
    <row r="153">
      <c r="A153" t="inlineStr">
        <is>
          <t>ID_152</t>
        </is>
      </c>
      <c r="J153" t="inlineStr">
        <is>
          <t>14814991;ee7acd2f-212c-4151-94eb-0387be4c933d;;30001085;ussd_funeral_leads_altitude_20260601;;;;;NA;6;2026-06-11 15:20:28+02;system;2026-06-08 06:47:44+02;2026-06-08 06:47:44+02;;;;;;;;;27766680522;;;;;;;;;;;;;</t>
        </is>
      </c>
      <c r="K153" t="inlineStr">
        <is>
          <t>14814991;ee7acd2f-212c-4151-94eb-0387be4c933d;;30001085;ussd_funeral_leads_altitude_20260601;;;;;NA;6;2026-06-11 15:20:28+02;system;2026-06-08 06:47:44+02;2026-06-08 06:47:44+02;;;;;;;;;27766680522;;;;;;;;;;;;;</t>
        </is>
      </c>
    </row>
    <row r="154">
      <c r="A154" t="inlineStr">
        <is>
          <t>ID_153</t>
        </is>
      </c>
      <c r="J154" t="inlineStr">
        <is>
          <t>14814992;5be6d5d7-6f11-4a2f-ab8a-e8c926397cee;;30001085;ussd_funeral_leads_altitude_20260601;;;;;TDN;6;2026-06-11 15:49:18+02;system;2026-06-08 06:47:44+02;2026-06-08 06:47:44+02;;;;;;;;;27772657842;;;;;;;;;;;;;</t>
        </is>
      </c>
      <c r="K154" t="inlineStr">
        <is>
          <t>14814992;5be6d5d7-6f11-4a2f-ab8a-e8c926397cee;;30001085;ussd_funeral_leads_altitude_20260601;;;;;TDN;6;2026-06-11 15:49:18+02;system;2026-06-08 06:47:44+02;2026-06-08 06:47:44+02;;;;;;;;;27772657842;;;;;;;;;;;;;</t>
        </is>
      </c>
    </row>
    <row r="155">
      <c r="A155" t="inlineStr">
        <is>
          <t>ID_154</t>
        </is>
      </c>
      <c r="J155" t="inlineStr">
        <is>
          <t>14814993;7d33eb30-5a4f-472a-9093-ae6397d9e8b1;;30001085;ussd_funeral_leads_altitude_20260601;;;;;AA;6;2026-06-11 15:49:12+02;system;2026-06-08 06:47:44+02;2026-06-08 06:47:44+02;;;;;;;;;27661386711;;;;;;;;;;;;;</t>
        </is>
      </c>
      <c r="K155" t="inlineStr">
        <is>
          <t>14814993;7d33eb30-5a4f-472a-9093-ae6397d9e8b1;;30001085;ussd_funeral_leads_altitude_20260601;;;;;AA;6;2026-06-11 15:49:12+02;system;2026-06-08 06:47:44+02;2026-06-08 06:47:44+02;;;;;;;;;27661386711;;;;;;;;;;;;;</t>
        </is>
      </c>
    </row>
    <row r="156">
      <c r="A156" t="inlineStr">
        <is>
          <t>ID_155</t>
        </is>
      </c>
      <c r="J156" t="inlineStr">
        <is>
          <t>14814994;a82f6147-6ac4-496c-aa2b-24aca92bcece;;30001085;ussd_funeral_leads_altitude_20260601;;;;;AF;3;2026-06-10 09:36:14+02;Gontse Monageng;2026-06-08 06:47:44+02;2026-06-08 06:47:44+02;;;;;;;;;27674611093;;;;;;;;;;;;;</t>
        </is>
      </c>
      <c r="K156" t="inlineStr">
        <is>
          <t>14814994;a82f6147-6ac4-496c-aa2b-24aca92bcece;;30001085;ussd_funeral_leads_altitude_20260601;;;;;AF;3;2026-06-10 09:36:14+02;Gontse Monageng;2026-06-08 06:47:44+02;2026-06-08 06:47:44+02;;;;;;;;;27674611093;;;;;;;;;;;;;</t>
        </is>
      </c>
    </row>
    <row r="157">
      <c r="A157" t="inlineStr">
        <is>
          <t>ID_156</t>
        </is>
      </c>
      <c r="J157" t="inlineStr">
        <is>
          <t>14815168;82724009-a3de-4df3-9592-4b38133c5d8d;;30001085;ussd_funeral_leads_altitude_20260601;;;;;ADC;6;2026-06-11 15:02:19+02;system;2026-06-08 06:47:44+02;2026-06-08 06:47:44+02;;;;;;;;;27609203683;;;;;;;;;;;;;</t>
        </is>
      </c>
      <c r="K157" t="inlineStr">
        <is>
          <t>14815168;82724009-a3de-4df3-9592-4b38133c5d8d;;30001085;ussd_funeral_leads_altitude_20260601;;;;;ADC;6;2026-06-11 15:02:19+02;system;2026-06-08 06:47:44+02;2026-06-08 06:47:44+02;;;;;;;;;27609203683;;;;;;;;;;;;;</t>
        </is>
      </c>
    </row>
    <row r="158">
      <c r="A158" t="inlineStr">
        <is>
          <t>ID_157</t>
        </is>
      </c>
      <c r="J158" t="inlineStr">
        <is>
          <t>14815105;6fbf721f-df53-480f-a979-e22552da6ba9;;30001085;ussd_funeral_leads_altitude_20260601;;;;;AA;6;2026-06-11 15:44:11+02;system;2026-06-08 06:47:44+02;2026-06-08 06:47:44+02;;;;;;;;;27713224776;;;;;;;;;;;;;</t>
        </is>
      </c>
      <c r="K158" t="inlineStr">
        <is>
          <t>14815105;6fbf721f-df53-480f-a979-e22552da6ba9;;30001085;ussd_funeral_leads_altitude_20260601;;;;;AA;6;2026-06-11 15:44:11+02;system;2026-06-08 06:47:44+02;2026-06-08 06:47:44+02;;;;;;;;;27713224776;;;;;;;;;;;;;</t>
        </is>
      </c>
    </row>
    <row r="159">
      <c r="A159" t="inlineStr">
        <is>
          <t>ID_158</t>
        </is>
      </c>
      <c r="J159" t="inlineStr">
        <is>
          <t>14815106;7b53172c-0d11-47d6-aaa3-1380a248fd2f;;30001085;ussd_funeral_leads_altitude_20260601;;;;;CU;6;2026-06-11 15:38:42+02;Gontse Monageng;2026-06-08 06:47:44+02;2026-06-08 06:47:44+02;;;;;;;;;27646653466;;;;;;;;;;;;;</t>
        </is>
      </c>
      <c r="K159" t="inlineStr">
        <is>
          <t>14815106;7b53172c-0d11-47d6-aaa3-1380a248fd2f;;30001085;ussd_funeral_leads_altitude_20260601;;;;;CU;6;2026-06-11 15:38:42+02;Gontse Monageng;2026-06-08 06:47:44+02;2026-06-08 06:47:44+02;;;;;;;;;27646653466;;;;;;;;;;;;;</t>
        </is>
      </c>
    </row>
    <row r="160">
      <c r="A160" t="inlineStr">
        <is>
          <t>ID_159</t>
        </is>
      </c>
      <c r="J160" t="inlineStr">
        <is>
          <t>14815107;e18dc7d4-76ee-4312-9512-f1866419c4f5;;30001085;ussd_funeral_leads_altitude_20260601;;;;;ADC;6;2026-06-11 15:38:38+02;system;2026-06-08 06:47:44+02;2026-06-08 06:47:44+02;;;;;;;;;27772859927;;;;;;;;;;;;;</t>
        </is>
      </c>
      <c r="K160" t="inlineStr">
        <is>
          <t>14815107;e18dc7d4-76ee-4312-9512-f1866419c4f5;;30001085;ussd_funeral_leads_altitude_20260601;;;;;ADC;6;2026-06-11 15:38:38+02;system;2026-06-08 06:47:44+02;2026-06-08 06:47:44+02;;;;;;;;;27772859927;;;;;;;;;;;;;</t>
        </is>
      </c>
    </row>
    <row r="161">
      <c r="A161" t="inlineStr">
        <is>
          <t>ID_160</t>
        </is>
      </c>
      <c r="J161" t="inlineStr">
        <is>
          <t>14815108;7ea27abb-8af3-4e74-9c4d-8859390117ff;;30001085;ussd_funeral_leads_altitude_20260601;;;;;ADC;6;2026-06-11 15:38:38+02;system;2026-06-08 06:47:44+02;2026-06-08 06:47:44+02;;;;;;;;;27765526943;;;;;;;;;;;;;</t>
        </is>
      </c>
      <c r="K161" t="inlineStr">
        <is>
          <t>14815108;7ea27abb-8af3-4e74-9c4d-8859390117ff;;30001085;ussd_funeral_leads_altitude_20260601;;;;;ADC;6;2026-06-11 15:38:38+02;system;2026-06-08 06:47:44+02;2026-06-08 06:47:44+02;;;;;;;;;27765526943;;;;;;;;;;;;;</t>
        </is>
      </c>
    </row>
    <row r="162">
      <c r="A162" t="inlineStr">
        <is>
          <t>ID_161</t>
        </is>
      </c>
      <c r="J162" t="inlineStr">
        <is>
          <t>14815110;541efa4a-4455-4b3f-92f5-06624c834400;;30001085;ussd_funeral_leads_altitude_20260601;;;;;NA;6;2026-06-11 15:38:38+02;system;2026-06-08 06:47:44+02;2026-06-08 06:47:44+02;;;;;;;;;27799330178;;;;;;;;;;;;;</t>
        </is>
      </c>
      <c r="K162" t="inlineStr">
        <is>
          <t>14815110;541efa4a-4455-4b3f-92f5-06624c834400;;30001085;ussd_funeral_leads_altitude_20260601;;;;;NA;6;2026-06-11 15:38:38+02;system;2026-06-08 06:47:44+02;2026-06-08 06:47:44+02;;;;;;;;;27799330178;;;;;;;;;;;;;</t>
        </is>
      </c>
    </row>
    <row r="163">
      <c r="A163" t="inlineStr">
        <is>
          <t>ID_162</t>
        </is>
      </c>
      <c r="J163" t="inlineStr">
        <is>
          <t>14815111;f379997d-9f6c-48b4-953c-1add8f5bface;;30001085;ussd_funeral_leads_altitude_20260601;;;;;AA;6;2026-06-11 15:38:31+02;system;2026-06-08 06:47:44+02;2026-06-08 06:47:44+02;;;;;;;;;27606302555;;;;;;;;;;;;;</t>
        </is>
      </c>
      <c r="K163" t="inlineStr">
        <is>
          <t>14815111;f379997d-9f6c-48b4-953c-1add8f5bface;;30001085;ussd_funeral_leads_altitude_20260601;;;;;AA;6;2026-06-11 15:38:31+02;system;2026-06-08 06:47:44+02;2026-06-08 06:47:44+02;;;;;;;;;27606302555;;;;;;;;;;;;;</t>
        </is>
      </c>
    </row>
    <row r="164">
      <c r="A164" t="inlineStr">
        <is>
          <t>ID_163</t>
        </is>
      </c>
      <c r="J164" t="inlineStr">
        <is>
          <t>14815169;d795c8c8-1892-4b10-9829-e40d5a6a3b4e;;30001085;ussd_funeral_leads_altitude_20260601;;;;;ADC;6;2026-06-11 14:53:33+02;system;2026-06-08 06:47:44+02;2026-06-08 06:47:44+02;;;;;;;;;27795625456;;;;;;;;;;;;;</t>
        </is>
      </c>
      <c r="K164" t="inlineStr">
        <is>
          <t>14815169;d795c8c8-1892-4b10-9829-e40d5a6a3b4e;;30001085;ussd_funeral_leads_altitude_20260601;;;;;ADC;6;2026-06-11 14:53:33+02;system;2026-06-08 06:47:44+02;2026-06-08 06:47:44+02;;;;;;;;;27795625456;;;;;;;;;;;;;</t>
        </is>
      </c>
    </row>
    <row r="165">
      <c r="A165" t="inlineStr">
        <is>
          <t>ID_164</t>
        </is>
      </c>
      <c r="J165" t="inlineStr">
        <is>
          <t>14815170;adbce58a-79a3-453b-933b-85ad83ea9d1e;;30001085;ussd_funeral_leads_altitude_20260601;;;;;AA;6;2026-06-11 14:54:26+02;system;2026-06-08 06:47:44+02;2026-06-08 06:47:44+02;;;;;;;;;27608314278;;;;;;;;;;;;;</t>
        </is>
      </c>
      <c r="K165" t="inlineStr">
        <is>
          <t>14815170;adbce58a-79a3-453b-933b-85ad83ea9d1e;;30001085;ussd_funeral_leads_altitude_20260601;;;;;AA;6;2026-06-11 14:54:26+02;system;2026-06-08 06:47:44+02;2026-06-08 06:47:44+02;;;;;;;;;27608314278;;;;;;;;;;;;;</t>
        </is>
      </c>
    </row>
    <row r="166">
      <c r="A166" t="inlineStr">
        <is>
          <t>ID_165</t>
        </is>
      </c>
      <c r="J166" t="inlineStr">
        <is>
          <t>14815171;35eb4983-94b1-420d-b192-8b3cb2a3d06c;;30001085;ussd_funeral_leads_altitude_20260601;;;;;TDN;6;2026-06-11 14:54:26+02;system;2026-06-08 06:47:44+02;2026-06-08 06:47:44+02;;;;;;;;;27799347504;;;;;;;;;;;;;</t>
        </is>
      </c>
      <c r="K166" t="inlineStr">
        <is>
          <t>14815171;35eb4983-94b1-420d-b192-8b3cb2a3d06c;;30001085;ussd_funeral_leads_altitude_20260601;;;;;TDN;6;2026-06-11 14:54:26+02;system;2026-06-08 06:47:44+02;2026-06-08 06:47:44+02;;;;;;;;;27799347504;;;;;;;;;;;;;</t>
        </is>
      </c>
    </row>
    <row r="167">
      <c r="A167" t="inlineStr">
        <is>
          <t>ID_166</t>
        </is>
      </c>
      <c r="J167" t="inlineStr">
        <is>
          <t>14815112;a3184bcf-fb0e-4109-856a-3dd2abb24c11;;30001085;ussd_funeral_leads_altitude_20260601;;;;;AA;6;2026-06-11 15:38:16+02;system;2026-06-08 06:47:44+02;2026-06-08 06:47:44+02;;;;;;;;;27609495613;;;;;;;;;;;;;</t>
        </is>
      </c>
      <c r="K167" t="inlineStr">
        <is>
          <t>14815112;a3184bcf-fb0e-4109-856a-3dd2abb24c11;;30001085;ussd_funeral_leads_altitude_20260601;;;;;AA;6;2026-06-11 15:38:16+02;system;2026-06-08 06:47:44+02;2026-06-08 06:47:44+02;;;;;;;;;27609495613;;;;;;;;;;;;;</t>
        </is>
      </c>
    </row>
    <row r="168">
      <c r="A168" t="inlineStr">
        <is>
          <t>ID_167</t>
        </is>
      </c>
      <c r="J168" t="inlineStr">
        <is>
          <t>14815113;90affaa6-075b-4d3d-83b7-c170c6595e40;;30001085;ussd_funeral_leads_altitude_20260601;;;;;AA;6;2026-06-11 15:38:11+02;system;2026-06-08 06:47:44+02;2026-06-08 06:47:44+02;;;;;;;;;27796126000;;;;;;;;;;;;;</t>
        </is>
      </c>
      <c r="K168" t="inlineStr">
        <is>
          <t>14815113;90affaa6-075b-4d3d-83b7-c170c6595e40;;30001085;ussd_funeral_leads_altitude_20260601;;;;;AA;6;2026-06-11 15:38:11+02;system;2026-06-08 06:47:44+02;2026-06-08 06:47:44+02;;;;;;;;;27796126000;;;;;;;;;;;;;</t>
        </is>
      </c>
    </row>
    <row r="169">
      <c r="A169" t="inlineStr">
        <is>
          <t>ID_168</t>
        </is>
      </c>
      <c r="J169" t="inlineStr">
        <is>
          <t>14815114;c487a3cd-2da4-41bc-8bc7-a48098d2d952;;30001085;ussd_funeral_leads_altitude_20260601;;;;;CU;6;2026-06-11 15:38:01+02;Vuyiswa Nxumalo;2026-06-08 06:47:44+02;2026-06-08 06:47:44+02;;;;;;;;;27764782063;;;;;;;;;;;;;</t>
        </is>
      </c>
      <c r="K169" t="inlineStr">
        <is>
          <t>14815114;c487a3cd-2da4-41bc-8bc7-a48098d2d952;;30001085;ussd_funeral_leads_altitude_20260601;;;;;CU;6;2026-06-11 15:38:01+02;Vuyiswa Nxumalo;2026-06-08 06:47:44+02;2026-06-08 06:47:44+02;;;;;;;;;27764782063;;;;;;;;;;;;;</t>
        </is>
      </c>
    </row>
    <row r="170">
      <c r="A170" t="inlineStr">
        <is>
          <t>ID_169</t>
        </is>
      </c>
      <c r="J170" t="inlineStr">
        <is>
          <t>14815115;4b67ba9d-c67e-4953-a022-33b0dfc96cdc;;30001085;ussd_funeral_leads_altitude_20260601;;;;;ADC;6;2026-06-11 15:37:53+02;system;2026-06-08 06:47:44+02;2026-06-08 06:47:44+02;;;;;;;;;27768424345;;;;;;;;;;;;;</t>
        </is>
      </c>
      <c r="K170" t="inlineStr">
        <is>
          <t>14815115;4b67ba9d-c67e-4953-a022-33b0dfc96cdc;;30001085;ussd_funeral_leads_altitude_20260601;;;;;ADC;6;2026-06-11 15:37:53+02;system;2026-06-08 06:47:44+02;2026-06-08 06:47:44+02;;;;;;;;;27768424345;;;;;;;;;;;;;</t>
        </is>
      </c>
    </row>
    <row r="171">
      <c r="A171" t="inlineStr">
        <is>
          <t>ID_170</t>
        </is>
      </c>
      <c r="J171" t="inlineStr">
        <is>
          <t>14815172;416f1334-1706-4051-8ee2-3cb9658dd903;;30001085;ussd_funeral_leads_altitude_20260601;;;;;AE;6;2026-06-11 14:54:32+02;system;2026-06-08 06:47:44+02;2026-06-08 06:47:44+02;;;;;;;;;27795386473;;;;;;;;;;;;;</t>
        </is>
      </c>
      <c r="K171" t="inlineStr">
        <is>
          <t>14815172;416f1334-1706-4051-8ee2-3cb9658dd903;;30001085;ussd_funeral_leads_altitude_20260601;;;;;AE;6;2026-06-11 14:54:32+02;system;2026-06-08 06:47:44+02;2026-06-08 06:47:44+02;;;;;;;;;27795386473;;;;;;;;;;;;;</t>
        </is>
      </c>
    </row>
    <row r="172">
      <c r="A172" t="inlineStr">
        <is>
          <t>ID_171</t>
        </is>
      </c>
      <c r="J172" t="inlineStr">
        <is>
          <t>14815116;2d8bde73-ca36-48b8-9ee1-516d75f0535e;;30001085;ussd_funeral_leads_altitude_20260601;;;;;CU;6;2026-06-11 15:42:32+02;Gontse Monageng;2026-06-08 06:47:44+02;2026-06-08 06:47:44+02;;;;;;;;;27648049210;;;;;;;;;;;;;</t>
        </is>
      </c>
      <c r="K172" t="inlineStr">
        <is>
          <t>14815116;2d8bde73-ca36-48b8-9ee1-516d75f0535e;;30001085;ussd_funeral_leads_altitude_20260601;;;;;CU;6;2026-06-11 15:42:32+02;Gontse Monageng;2026-06-08 06:47:44+02;2026-06-08 06:47:44+02;;;;;;;;;27648049210;;;;;;;;;;;;;</t>
        </is>
      </c>
    </row>
    <row r="173">
      <c r="A173" t="inlineStr">
        <is>
          <t>ID_172</t>
        </is>
      </c>
      <c r="J173" t="inlineStr">
        <is>
          <t>14814995;ec9751a7-4077-4177-8a6b-98fc4ae0548d;;30001085;ussd_funeral_leads_altitude_20260601;;;;;NA;6;2026-06-11 15:49:14+02;system;2026-06-08 06:47:44+02;2026-06-08 06:47:44+02;;;;;;;;;27768541125;;;;;;;;;;;;;</t>
        </is>
      </c>
      <c r="K173" t="inlineStr">
        <is>
          <t>14814995;ec9751a7-4077-4177-8a6b-98fc4ae0548d;;30001085;ussd_funeral_leads_altitude_20260601;;;;;NA;6;2026-06-11 15:49:14+02;system;2026-06-08 06:47:44+02;2026-06-08 06:47:44+02;;;;;;;;;27768541125;;;;;;;;;;;;;</t>
        </is>
      </c>
    </row>
    <row r="174">
      <c r="A174" t="inlineStr">
        <is>
          <t>ID_173</t>
        </is>
      </c>
      <c r="J174" t="inlineStr">
        <is>
          <t>14814996;23efcf2c-bcf9-4d19-8cef-39795d228016;;30001085;ussd_funeral_leads_altitude_20260601;;;;;TDN;6;2026-06-11 15:49:10+02;system;2026-06-08 06:47:44+02;2026-06-08 06:47:44+02;;;;;;;;;27724475320;;;;;;;;;;;;;</t>
        </is>
      </c>
      <c r="K174" t="inlineStr">
        <is>
          <t>14814996;23efcf2c-bcf9-4d19-8cef-39795d228016;;30001085;ussd_funeral_leads_altitude_20260601;;;;;TDN;6;2026-06-11 15:49:10+02;system;2026-06-08 06:47:44+02;2026-06-08 06:47:44+02;;;;;;;;;27724475320;;;;;;;;;;;;;</t>
        </is>
      </c>
    </row>
    <row r="175">
      <c r="A175" t="inlineStr">
        <is>
          <t>ID_174</t>
        </is>
      </c>
      <c r="J175" t="inlineStr">
        <is>
          <t>14815173;aa7bd2f3-049b-4ff5-a385-1bf4110a7946;;30001085;ussd_funeral_leads_altitude_20260601;;;;;AE;6;2026-06-11 14:54:43+02;system;2026-06-08 06:47:44+02;2026-06-08 06:47:44+02;;;;;;;;;27720744367;;;;;;;;;;;;;</t>
        </is>
      </c>
      <c r="K175" t="inlineStr">
        <is>
          <t>14815173;aa7bd2f3-049b-4ff5-a385-1bf4110a7946;;30001085;ussd_funeral_leads_altitude_20260601;;;;;AE;6;2026-06-11 14:54:43+02;system;2026-06-08 06:47:44+02;2026-06-08 06:47:44+02;;;;;;;;;27720744367;;;;;;;;;;;;;</t>
        </is>
      </c>
    </row>
    <row r="176">
      <c r="A176" t="inlineStr">
        <is>
          <t>ID_175</t>
        </is>
      </c>
      <c r="J176" t="inlineStr">
        <is>
          <t>14815174;64bcbe25-55e1-4638-ab03-b78832f2ca74;;30001085;ussd_funeral_leads_altitude_20260601;;;;;A;7;2026-06-11 14:56:29+02;Virginia Letsatsi;2026-06-08 06:47:44+02;2026-06-08 06:47:44+02;;;;;;;;;27799509157;;;;;;;;;;;;;</t>
        </is>
      </c>
      <c r="K176" t="inlineStr">
        <is>
          <t>14815174;64bcbe25-55e1-4638-ab03-b78832f2ca74;;30001085;ussd_funeral_leads_altitude_20260601;;;;;A;7;2026-06-11 14:56:29+02;Virginia Letsatsi;2026-06-08 06:47:44+02;2026-06-08 06:47:44+02;;;;;;;;;27799509157;;;;;;;;;;;;;</t>
        </is>
      </c>
    </row>
    <row r="177">
      <c r="A177" t="inlineStr">
        <is>
          <t>ID_176</t>
        </is>
      </c>
      <c r="J177" t="inlineStr">
        <is>
          <t>14814997;5c0d2259-2e0f-42cf-9e75-47a5666afef2;;30001085;ussd_funeral_leads_altitude_20260601;;;;;CBACK;5;2026-06-11 11:26:57+02;Gontse Monageng;2026-06-08 06:47:44+02;2026-06-08 06:47:44+02;;;;;;;;;27664390955;;;;;;;;;;;;;</t>
        </is>
      </c>
      <c r="K177" t="inlineStr">
        <is>
          <t>14814997;5c0d2259-2e0f-42cf-9e75-47a5666afef2;;30001085;ussd_funeral_leads_altitude_20260601;;;;;CBACK;5;2026-06-11 11:26:57+02;Gontse Monageng;2026-06-08 06:47:44+02;2026-06-08 06:47:44+02;;;;;;;;;27664390955;;;;;;;;;;;;;</t>
        </is>
      </c>
    </row>
    <row r="178">
      <c r="A178" t="inlineStr">
        <is>
          <t>ID_177</t>
        </is>
      </c>
      <c r="J178" t="inlineStr">
        <is>
          <t>14815118;971ab33c-d346-4836-9887-81fdae16f92a;;30001085;ussd_funeral_leads_altitude_20260601;;;;;U;2;2026-06-09 11:18:36+02;Vuyiswa Nxumalo;2026-06-08 06:47:44+02;2026-06-08 06:47:44+02;;;;;;;;;27765673565;;;;;;;;;;;;;</t>
        </is>
      </c>
      <c r="K178" t="inlineStr">
        <is>
          <t>14815118;971ab33c-d346-4836-9887-81fdae16f92a;;30001085;ussd_funeral_leads_altitude_20260601;;;;;U;2;2026-06-09 11:18:36+02;Vuyiswa Nxumalo;2026-06-08 06:47:44+02;2026-06-08 06:47:44+02;;;;;;;;;27765673565;;;;;;;;;;;;;</t>
        </is>
      </c>
    </row>
    <row r="179">
      <c r="A179" t="inlineStr">
        <is>
          <t>ID_178</t>
        </is>
      </c>
      <c r="J179" t="inlineStr">
        <is>
          <t>14815119;733f4418-5e0f-40f4-b5a8-a952ac481e4b;;30001085;ussd_funeral_leads_altitude_20260601;;;;;CBACK;1;2026-06-08 14:46:53+02;Gontse Monageng;2026-06-08 06:47:44+02;2026-06-08 06:47:44+02;;;;;;;;;27763042998;;;;;;;;;;;;;</t>
        </is>
      </c>
      <c r="K179" t="inlineStr">
        <is>
          <t>14815119;733f4418-5e0f-40f4-b5a8-a952ac481e4b;;30001085;ussd_funeral_leads_altitude_20260601;;;;;CBACK;1;2026-06-08 14:46:53+02;Gontse Monageng;2026-06-08 06:47:44+02;2026-06-08 06:47:44+02;;;;;;;;;27763042998;;;;;;;;;;;;;</t>
        </is>
      </c>
    </row>
    <row r="180">
      <c r="A180" t="inlineStr">
        <is>
          <t>ID_179</t>
        </is>
      </c>
      <c r="J180" t="inlineStr">
        <is>
          <t>14815120;ed06a94b-4070-4693-959d-67531d9b494d;;30001085;ussd_funeral_leads_altitude_20260601;;;;;AA;6;2026-06-11 15:37:43+02;system;2026-06-08 06:47:44+02;2026-06-08 06:47:44+02;;;;;;;;;27829733249;;;;;;;;;;;;;</t>
        </is>
      </c>
      <c r="K180" t="inlineStr">
        <is>
          <t>14815120;ed06a94b-4070-4693-959d-67531d9b494d;;30001085;ussd_funeral_leads_altitude_20260601;;;;;AA;6;2026-06-11 15:37:43+02;system;2026-06-08 06:47:44+02;2026-06-08 06:47:44+02;;;;;;;;;27829733249;;;;;;;;;;;;;</t>
        </is>
      </c>
    </row>
    <row r="181">
      <c r="A181" t="inlineStr">
        <is>
          <t>ID_180</t>
        </is>
      </c>
      <c r="J181" t="inlineStr">
        <is>
          <t>14815175;b5c8cd40-b151-49c4-823a-79a231ac19cf;;30001085;ussd_funeral_leads_altitude_20260601;;;;;CBACK;2;2026-06-09 11:09:56+02;Gontse Monageng;2026-06-08 06:47:44+02;2026-06-08 06:47:44+02;;;;;;;;;27649154906;;;;;;;;;;;;;</t>
        </is>
      </c>
      <c r="K181" t="inlineStr">
        <is>
          <t>14815175;b5c8cd40-b151-49c4-823a-79a231ac19cf;;30001085;ussd_funeral_leads_altitude_20260601;;;;;CBACK;2;2026-06-09 11:09:56+02;Gontse Monageng;2026-06-08 06:47:44+02;2026-06-08 06:47:44+02;;;;;;;;;27649154906;;;;;;;;;;;;;</t>
        </is>
      </c>
    </row>
    <row r="182">
      <c r="A182" t="inlineStr">
        <is>
          <t>ID_181</t>
        </is>
      </c>
      <c r="J182" t="inlineStr">
        <is>
          <t>14815176;479630e6-96c3-4ab9-b483-5c7154bfbf2b;;30001085;ussd_funeral_leads_altitude_20260601;;;;;DROP;6;2026-06-11 14:54:51+02;system;2026-06-08 06:47:44+02;2026-06-08 06:47:44+02;;;;;;;;;27714120730;;;;;;;;;;;;;</t>
        </is>
      </c>
      <c r="K182" t="inlineStr">
        <is>
          <t>14815176;479630e6-96c3-4ab9-b483-5c7154bfbf2b;;30001085;ussd_funeral_leads_altitude_20260601;;;;;DROP;6;2026-06-11 14:54:51+02;system;2026-06-08 06:47:44+02;2026-06-08 06:47:44+02;;;;;;;;;27714120730;;;;;;;;;;;;;</t>
        </is>
      </c>
    </row>
    <row r="183">
      <c r="A183" t="inlineStr">
        <is>
          <t>ID_182</t>
        </is>
      </c>
      <c r="J183" t="inlineStr">
        <is>
          <t>14815121;ad92b79a-a859-484a-a5c0-9d362d5683d5;;30001085;ussd_funeral_leads_altitude_20260601;;;;;ADC;6;2026-06-11 15:37:36+02;system;2026-06-08 06:47:44+02;2026-06-08 06:47:44+02;;;;;;;;;27725275597;;;;;;;;;;;;;</t>
        </is>
      </c>
      <c r="K183" t="inlineStr">
        <is>
          <t>14815121;ad92b79a-a859-484a-a5c0-9d362d5683d5;;30001085;ussd_funeral_leads_altitude_20260601;;;;;ADC;6;2026-06-11 15:37:36+02;system;2026-06-08 06:47:44+02;2026-06-08 06:47:44+02;;;;;;;;;27725275597;;;;;;;;;;;;;</t>
        </is>
      </c>
    </row>
    <row r="184">
      <c r="A184" t="inlineStr">
        <is>
          <t>ID_183</t>
        </is>
      </c>
      <c r="J184" t="inlineStr">
        <is>
          <t>14814998;9acf1bdb-02f7-4f80-873c-47a32f174565;;30001085;ussd_funeral_leads_altitude_20260601;;;;;ADC;6;2026-06-11 15:49:09+02;system;2026-06-08 06:47:44+02;2026-06-08 06:47:44+02;;;;;;;;;27728780567;;;;;;;;;;;;;</t>
        </is>
      </c>
      <c r="K184" t="inlineStr">
        <is>
          <t>14814998;9acf1bdb-02f7-4f80-873c-47a32f174565;;30001085;ussd_funeral_leads_altitude_20260601;;;;;ADC;6;2026-06-11 15:49:09+02;system;2026-06-08 06:47:44+02;2026-06-08 06:47:44+02;;;;;;;;;27728780567;;;;;;;;;;;;;</t>
        </is>
      </c>
    </row>
    <row r="185">
      <c r="A185" t="inlineStr">
        <is>
          <t>ID_184</t>
        </is>
      </c>
      <c r="J185" t="inlineStr">
        <is>
          <t>14814999;993db06d-da9e-43f0-904b-812cc874ab9f;;30001085;ussd_funeral_leads_altitude_20260601;;;;;AE;6;2026-06-11 15:49:04+02;system;2026-06-08 06:47:44+02;2026-06-08 06:47:44+02;;;;;;;;;27774524592;;;;;;;;;;;;;</t>
        </is>
      </c>
      <c r="K185" t="inlineStr">
        <is>
          <t>14814999;993db06d-da9e-43f0-904b-812cc874ab9f;;30001085;ussd_funeral_leads_altitude_20260601;;;;;AE;6;2026-06-11 15:49:04+02;system;2026-06-08 06:47:44+02;2026-06-08 06:47:44+02;;;;;;;;;27774524592;;;;;;;;;;;;;</t>
        </is>
      </c>
    </row>
    <row r="186">
      <c r="A186" t="inlineStr">
        <is>
          <t>ID_185</t>
        </is>
      </c>
      <c r="J186" t="inlineStr">
        <is>
          <t>14815177;13ad1244-0db1-46d3-b759-de67f31f8dac;;30001085;ussd_funeral_leads_altitude_20260601;;;;;AA;6;2026-06-11 15:36:38+02;system;2026-06-08 06:47:44+02;2026-06-08 06:47:44+02;;;;;;;;;27646904748;;;;;;;;;;;;;</t>
        </is>
      </c>
      <c r="K186" t="inlineStr">
        <is>
          <t>14815177;13ad1244-0db1-46d3-b759-de67f31f8dac;;30001085;ussd_funeral_leads_altitude_20260601;;;;;AA;6;2026-06-11 15:36:38+02;system;2026-06-08 06:47:44+02;2026-06-08 06:47:44+02;;;;;;;;;27646904748;;;;;;;;;;;;;</t>
        </is>
      </c>
    </row>
    <row r="187">
      <c r="A187" t="inlineStr">
        <is>
          <t>ID_186</t>
        </is>
      </c>
      <c r="J187" t="inlineStr">
        <is>
          <t>14815122;9ed065d2-d720-4ff6-9b83-253e7db9f9d9;;30001085;ussd_funeral_leads_altitude_20260601;;;;;AE;6;2026-06-11 14:57:53+02;system;2026-06-08 06:47:44+02;2026-06-08 06:47:44+02;;;;;;;;;27714602928;;;;;;;;;;;;;</t>
        </is>
      </c>
      <c r="K187" t="inlineStr">
        <is>
          <t>14815122;9ed065d2-d720-4ff6-9b83-253e7db9f9d9;;30001085;ussd_funeral_leads_altitude_20260601;;;;;AE;6;2026-06-11 14:57:53+02;system;2026-06-08 06:47:44+02;2026-06-08 06:47:44+02;;;;;;;;;27714602928;;;;;;;;;;;;;</t>
        </is>
      </c>
    </row>
    <row r="188">
      <c r="A188" t="inlineStr">
        <is>
          <t>ID_187</t>
        </is>
      </c>
      <c r="J188" t="inlineStr">
        <is>
          <t>14815178;7cceb300-7dee-4194-9746-ac3c68fb516b;;30001085;ussd_funeral_leads_altitude_20260601;;;27661641563;;AA;6;2026-06-11 15:36:38+02;system;2026-06-08 06:47:44+02;2026-06-08 06:47:44+02;;;;;;;;;27661641563;;;;;;;;;;;;;</t>
        </is>
      </c>
      <c r="K188" t="inlineStr">
        <is>
          <t>14815178;7cceb300-7dee-4194-9746-ac3c68fb516b;;30001085;ussd_funeral_leads_altitude_20260601;;;27661641563;;AA;6;2026-06-11 15:36:38+02;system;2026-06-08 06:47:44+02;2026-06-08 06:47:44+02;;;;;;;;;27661641563;;;;;;;;;;;;;</t>
        </is>
      </c>
    </row>
    <row r="189">
      <c r="A189" t="inlineStr">
        <is>
          <t>ID_188</t>
        </is>
      </c>
      <c r="J189" t="inlineStr">
        <is>
          <t>14815123;a56bd11a-688b-4185-b82d-406839c25ee9;;30001085;ussd_funeral_leads_altitude_20260601;;;;;CU;6;2026-06-11 10:42:54+02;Goitsimang Mogwasa;2026-06-08 06:47:44+02;2026-06-08 06:47:44+02;;;;;;;;;27661141410;;;;;;;;;;;;;</t>
        </is>
      </c>
      <c r="K189" t="inlineStr">
        <is>
          <t>14815123;a56bd11a-688b-4185-b82d-406839c25ee9;;30001085;ussd_funeral_leads_altitude_20260601;;;;;CU;6;2026-06-11 10:42:54+02;Goitsimang Mogwasa;2026-06-08 06:47:44+02;2026-06-08 06:47:44+02;;;;;;;;;27661141410;;;;;;;;;;;;;</t>
        </is>
      </c>
    </row>
    <row r="190">
      <c r="A190" t="inlineStr">
        <is>
          <t>ID_189</t>
        </is>
      </c>
      <c r="J190" t="inlineStr">
        <is>
          <t>14815000;2e25f45e-127a-4dbc-b82a-53f3e9b3d0bf;;30001085;ussd_funeral_leads_altitude_20260601;;;;;NA;6;2026-06-11 15:48:59+02;system;2026-06-08 06:47:44+02;2026-06-08 06:47:44+02;;;;;;;;;27795959798;;;;;;;;;;;;;</t>
        </is>
      </c>
      <c r="K190" t="inlineStr">
        <is>
          <t>14815000;2e25f45e-127a-4dbc-b82a-53f3e9b3d0bf;;30001085;ussd_funeral_leads_altitude_20260601;;;;;NA;6;2026-06-11 15:48:59+02;system;2026-06-08 06:47:44+02;2026-06-08 06:47:44+02;;;;;;;;;27795959798;;;;;;;;;;;;;</t>
        </is>
      </c>
    </row>
    <row r="191">
      <c r="A191" t="inlineStr">
        <is>
          <t>ID_190</t>
        </is>
      </c>
      <c r="J191" t="inlineStr">
        <is>
          <t>14815179;1f881fde-eaed-4dbc-b805-d1252a978f25;;30001085;ussd_funeral_leads_altitude_20260601;;;;;NI;1;2026-06-08 14:35:57+02;Lebohang Mabotja;2026-06-08 06:47:44+02;2026-06-08 06:47:44+02;;;;;;;;;27785422623;;;;;;;;;;;;;</t>
        </is>
      </c>
      <c r="K191" t="inlineStr">
        <is>
          <t>14815179;1f881fde-eaed-4dbc-b805-d1252a978f25;;30001085;ussd_funeral_leads_altitude_20260601;;;;;NI;1;2026-06-08 14:35:57+02;Lebohang Mabotja;2026-06-08 06:47:44+02;2026-06-08 06:47:44+02;;;;;;;;;27785422623;;;;;;;;;;;;;</t>
        </is>
      </c>
    </row>
    <row r="192">
      <c r="A192" t="inlineStr">
        <is>
          <t>ID_191</t>
        </is>
      </c>
      <c r="J192" t="inlineStr">
        <is>
          <t>14815001;58718b37-6f18-4c33-b27a-5959298410f8;;30001085;ussd_funeral_leads_altitude_20260601;;;27772761191;;AE;6;2026-06-11 15:48:55+02;system;2026-06-08 06:47:44+02;2026-06-08 06:47:44+02;;;;;;;;;27772761191;;;;;;;;;;;;;</t>
        </is>
      </c>
      <c r="K192" t="inlineStr">
        <is>
          <t>14815001;58718b37-6f18-4c33-b27a-5959298410f8;;30001085;ussd_funeral_leads_altitude_20260601;;;27772761191;;AE;6;2026-06-11 15:48:55+02;system;2026-06-08 06:47:44+02;2026-06-08 06:47:44+02;;;;;;;;;27772761191;;;;;;;;;;;;;</t>
        </is>
      </c>
    </row>
    <row r="193">
      <c r="A193" t="inlineStr">
        <is>
          <t>ID_192</t>
        </is>
      </c>
      <c r="J193" t="inlineStr">
        <is>
          <t>14815124;d7899834-bb49-4ab7-9528-3bd7c716ed05;;30001085;ussd_funeral_leads_altitude_20260601;;;;;TDN;6;2026-06-11 14:58:13+02;system;2026-06-08 06:47:44+02;2026-06-08 06:47:44+02;;;;;;;;;27661679017;;;;;;;;;;;;;</t>
        </is>
      </c>
      <c r="K193" t="inlineStr">
        <is>
          <t>14815124;d7899834-bb49-4ab7-9528-3bd7c716ed05;;30001085;ussd_funeral_leads_altitude_20260601;;;;;TDN;6;2026-06-11 14:58:13+02;system;2026-06-08 06:47:44+02;2026-06-08 06:47:44+02;;;;;;;;;27661679017;;;;;;;;;;;;;</t>
        </is>
      </c>
    </row>
    <row r="194">
      <c r="A194" t="inlineStr">
        <is>
          <t>ID_193</t>
        </is>
      </c>
      <c r="J194" t="inlineStr">
        <is>
          <t>14815180;c53f10ea-cf4f-4ab2-9569-0eb32a83234f;;30001085;ussd_funeral_leads_altitude_20260601;;;;;ADC;6;2026-06-11 14:54:51+02;system;2026-06-08 06:47:44+02;2026-06-08 06:47:44+02;;;;;;;;;27760681165;;;;;;;;;;;;;</t>
        </is>
      </c>
      <c r="K194" t="inlineStr">
        <is>
          <t>14815180;c53f10ea-cf4f-4ab2-9569-0eb32a83234f;;30001085;ussd_funeral_leads_altitude_20260601;;;;;ADC;6;2026-06-11 14:54:51+02;system;2026-06-08 06:47:44+02;2026-06-08 06:47:44+02;;;;;;;;;27760681165;;;;;;;;;;;;;</t>
        </is>
      </c>
    </row>
    <row r="195">
      <c r="A195" t="inlineStr">
        <is>
          <t>ID_194</t>
        </is>
      </c>
      <c r="J195" t="inlineStr">
        <is>
          <t>14815125;48242a76-8871-45dc-842e-39572c5736c7;;30001085;ussd_funeral_leads_altitude_20260601;;;;;CU;6;2026-06-11 14:58:20+02;Gontse Monageng;2026-06-08 06:47:44+02;2026-06-08 06:47:44+02;;;;;;;;;27818839076;;;;;;;;;;;;;</t>
        </is>
      </c>
      <c r="K195" t="inlineStr">
        <is>
          <t>14815125;48242a76-8871-45dc-842e-39572c5736c7;;30001085;ussd_funeral_leads_altitude_20260601;;;;;CU;6;2026-06-11 14:58:20+02;Gontse Monageng;2026-06-08 06:47:44+02;2026-06-08 06:47:44+02;;;;;;;;;27818839076;;;;;;;;;;;;;</t>
        </is>
      </c>
    </row>
    <row r="196">
      <c r="A196" t="inlineStr">
        <is>
          <t>ID_195</t>
        </is>
      </c>
      <c r="J196" t="inlineStr">
        <is>
          <t>14815002;c42f76c7-acd5-4825-8097-8048fa6758eb;;30001085;ussd_funeral_leads_altitude_20260601;;;;;CU;6;2026-06-11 15:48:55+02;Virginia Letsatsi;2026-06-08 06:47:44+02;2026-06-08 06:47:44+02;;;;;;;;;27760646448;;;;;;;;;;;;;</t>
        </is>
      </c>
      <c r="K196" t="inlineStr">
        <is>
          <t>14815002;c42f76c7-acd5-4825-8097-8048fa6758eb;;30001085;ussd_funeral_leads_altitude_20260601;;;;;CU;6;2026-06-11 15:48:55+02;Virginia Letsatsi;2026-06-08 06:47:44+02;2026-06-08 06:47:44+02;;;;;;;;;27760646448;;;;;;;;;;;;;</t>
        </is>
      </c>
    </row>
    <row r="197">
      <c r="A197" t="inlineStr">
        <is>
          <t>ID_196</t>
        </is>
      </c>
      <c r="J197" t="inlineStr">
        <is>
          <t>14815003;4907ea46-1c38-4b60-9418-fb61f08df29b;;30001085;ussd_funeral_leads_altitude_20260601;;;;;AE;6;2026-06-11 15:47:08+02;system;2026-06-08 06:47:44+02;2026-06-08 06:47:44+02;;;;;;;;;27673805314;;;;;;;;;;;;;</t>
        </is>
      </c>
      <c r="K197" t="inlineStr">
        <is>
          <t>14815003;4907ea46-1c38-4b60-9418-fb61f08df29b;;30001085;ussd_funeral_leads_altitude_20260601;;;;;AE;6;2026-06-11 15:47:08+02;system;2026-06-08 06:47:44+02;2026-06-08 06:47:44+02;;;;;;;;;27673805314;;;;;;;;;;;;;</t>
        </is>
      </c>
    </row>
    <row r="198">
      <c r="A198" t="inlineStr">
        <is>
          <t>ID_197</t>
        </is>
      </c>
      <c r="J198" t="inlineStr">
        <is>
          <t>14815181;04d0d745-2e93-4819-a032-80e39fee6ef0;;30001085;ussd_funeral_leads_altitude_20260601;;;;;AA;6;2026-06-11 15:36:25+02;system;2026-06-08 06:47:44+02;2026-06-08 06:47:44+02;;;;;;;;;27762701133;;;;;;;;;;;;;</t>
        </is>
      </c>
      <c r="K198" t="inlineStr">
        <is>
          <t>14815181;04d0d745-2e93-4819-a032-80e39fee6ef0;;30001085;ussd_funeral_leads_altitude_20260601;;;;;AA;6;2026-06-11 15:36:25+02;system;2026-06-08 06:47:44+02;2026-06-08 06:47:44+02;;;;;;;;;27762701133;;;;;;;;;;;;;</t>
        </is>
      </c>
    </row>
    <row r="199">
      <c r="A199" t="inlineStr">
        <is>
          <t>ID_198</t>
        </is>
      </c>
      <c r="J199" t="inlineStr">
        <is>
          <t>14815004;705db437-ffeb-4809-bf3a-e4061c8fdf5a;;30001085;ussd_funeral_leads_altitude_20260601;;;;;CBACK;1;2026-06-08 09:09:25+02;Gontse Monageng;2026-06-08 06:47:44+02;2026-06-08 06:47:44+02;;;;;;;;;27711479841;;;;;;;;;;;;;</t>
        </is>
      </c>
      <c r="K199" t="inlineStr">
        <is>
          <t>14815004;705db437-ffeb-4809-bf3a-e4061c8fdf5a;;30001085;ussd_funeral_leads_altitude_20260601;;;;;CBACK;1;2026-06-08 09:09:25+02;Gontse Monageng;2026-06-08 06:47:44+02;2026-06-08 06:47:44+02;;;;;;;;;27711479841;;;;;;;;;;;;;</t>
        </is>
      </c>
    </row>
    <row r="200">
      <c r="A200" t="inlineStr">
        <is>
          <t>ID_199</t>
        </is>
      </c>
      <c r="J200" t="inlineStr">
        <is>
          <t>14815182;9a4a0c4c-f207-4380-bfee-0dadd6aa6585;;30001085;ussd_funeral_leads_altitude_20260601;;;;;AA;6;2026-06-11 15:42:22+02;system;2026-06-08 06:47:44+02;2026-06-08 06:47:44+02;;;;;;;;;27766657142;;;;;;;;;;;;;</t>
        </is>
      </c>
      <c r="K200" t="inlineStr">
        <is>
          <t>14815182;9a4a0c4c-f207-4380-bfee-0dadd6aa6585;;30001085;ussd_funeral_leads_altitude_20260601;;;;;AA;6;2026-06-11 15:42:22+02;system;2026-06-08 06:47:44+02;2026-06-08 06:47:44+02;;;;;;;;;27766657142;;;;;;;;;;;;;</t>
        </is>
      </c>
    </row>
    <row r="201">
      <c r="A201" t="inlineStr">
        <is>
          <t>ID_200</t>
        </is>
      </c>
      <c r="J201" t="inlineStr">
        <is>
          <t>14815005;819955de-6b2f-411b-bdcf-35fcc0d61acd;;30001085;ussd_funeral_leads_altitude_20260601;;;;;ADC;6;2026-06-11 15:47:05+02;system;2026-06-08 06:47:44+02;2026-06-08 06:47:44+02;;;;;;;;;27715716410;;;;;;;;;;;;;</t>
        </is>
      </c>
      <c r="K201" t="inlineStr">
        <is>
          <t>14815005;819955de-6b2f-411b-bdcf-35fcc0d61acd;;30001085;ussd_funeral_leads_altitude_20260601;;;;;ADC;6;2026-06-11 15:47:05+02;system;2026-06-08 06:47:44+02;2026-06-08 06:47:44+02;;;;;;;;;27715716410;;;;;;;;;;;;;</t>
        </is>
      </c>
    </row>
    <row r="202">
      <c r="A202" t="inlineStr">
        <is>
          <t>ID_201</t>
        </is>
      </c>
      <c r="J202" t="inlineStr">
        <is>
          <t>14815183;8ece3404-ecb8-4eaf-8c85-4ef9eaa706d5;;30001085;ussd_funeral_leads_altitude_20260601;;;;;AA;6;2026-06-11 15:42:14+02;system;2026-06-08 06:47:44+02;2026-06-08 06:47:44+02;;;;;;;;;27607223101;;;;;;;;;;;;;</t>
        </is>
      </c>
      <c r="K202" t="inlineStr">
        <is>
          <t>14815183;8ece3404-ecb8-4eaf-8c85-4ef9eaa706d5;;30001085;ussd_funeral_leads_altitude_20260601;;;;;AA;6;2026-06-11 15:42:14+02;system;2026-06-08 06:47:44+02;2026-06-08 06:47:44+02;;;;;;;;;27607223101;;;;;;;;;;;;;</t>
        </is>
      </c>
    </row>
    <row r="203">
      <c r="A203" t="inlineStr">
        <is>
          <t>ID_202</t>
        </is>
      </c>
      <c r="J203" t="inlineStr">
        <is>
          <t>14815006;4cfa78b4-6987-4461-8f42-df127bb3b0b6;;30001085;ussd_funeral_leads_altitude_20260601;;;;;ADC;6;2026-06-11 15:47:01+02;system;2026-06-08 06:47:44+02;2026-06-08 06:47:44+02;;;;;;;;;27714681064;;;;;;;;;;;;;</t>
        </is>
      </c>
      <c r="K203" t="inlineStr">
        <is>
          <t>14815006;4cfa78b4-6987-4461-8f42-df127bb3b0b6;;30001085;ussd_funeral_leads_altitude_20260601;;;;;ADC;6;2026-06-11 15:47:01+02;system;2026-06-08 06:47:44+02;2026-06-08 06:47:44+02;;;;;;;;;27714681064;;;;;;;;;;;;;</t>
        </is>
      </c>
    </row>
    <row r="204">
      <c r="A204" t="inlineStr">
        <is>
          <t>ID_203</t>
        </is>
      </c>
      <c r="J204" t="inlineStr">
        <is>
          <t>14814796;2dadaad2-13df-4106-b5ee-8a4351e49264;;30001085;ussd_funeral_leads_altitude_20260601;;;;;DROP;6;2026-06-11 14:54:55+02;system;2026-06-08 06:47:44+02;2026-06-08 06:47:44+02;;;;;;;;;27721451097;;;;;;;;;;;;;</t>
        </is>
      </c>
      <c r="K204" t="inlineStr">
        <is>
          <t>14814796;2dadaad2-13df-4106-b5ee-8a4351e49264;;30001085;ussd_funeral_leads_altitude_20260601;;;;;DROP;6;2026-06-11 14:54:55+02;system;2026-06-08 06:47:44+02;2026-06-08 06:47:44+02;;;;;;;;;27721451097;;;;;;;;;;;;;</t>
        </is>
      </c>
    </row>
    <row r="205">
      <c r="A205" t="inlineStr">
        <is>
          <t>ID_204</t>
        </is>
      </c>
      <c r="J205" t="inlineStr">
        <is>
          <t>14814797;c23bd065-8a84-4d10-a46f-fa160ad31d57;;30001085;ussd_funeral_leads_altitude_20260601;;;;;AA;6;2026-06-11 14:55:54+02;system;2026-06-08 06:47:44+02;2026-06-08 06:47:44+02;;;;;;;;;27606951025;;;;;;;;;;;;;</t>
        </is>
      </c>
      <c r="K205" t="inlineStr">
        <is>
          <t>14814797;c23bd065-8a84-4d10-a46f-fa160ad31d57;;30001085;ussd_funeral_leads_altitude_20260601;;;;;AA;6;2026-06-11 14:55:54+02;system;2026-06-08 06:47:44+02;2026-06-08 06:47:44+02;;;;;;;;;27606951025;;;;;;;;;;;;;</t>
        </is>
      </c>
    </row>
    <row r="206">
      <c r="A206" t="inlineStr">
        <is>
          <t>ID_205</t>
        </is>
      </c>
      <c r="J206" t="inlineStr">
        <is>
          <t>14815007;a48caceb-0bbe-4323-996b-9ca737570d4f;;30001085;ussd_funeral_leads_altitude_20260601;;;;;NA;6;2026-06-11 15:47:00+02;system;2026-06-08 06:47:44+02;2026-06-08 06:47:44+02;;;;;;;;;27726443638;;;;;;;;;;;;;</t>
        </is>
      </c>
      <c r="K206" t="inlineStr">
        <is>
          <t>14815007;a48caceb-0bbe-4323-996b-9ca737570d4f;;30001085;ussd_funeral_leads_altitude_20260601;;;;;NA;6;2026-06-11 15:47:00+02;system;2026-06-08 06:47:44+02;2026-06-08 06:47:44+02;;;;;;;;;27726443638;;;;;;;;;;;;;</t>
        </is>
      </c>
    </row>
    <row r="207">
      <c r="A207" t="inlineStr">
        <is>
          <t>ID_206</t>
        </is>
      </c>
      <c r="J207" t="inlineStr">
        <is>
          <t>14815008;c44f841e-9282-48e7-b58e-e66efd115cf4;;30001085;ussd_funeral_leads_altitude_20260601;;;;;ADC;6;2026-06-11 15:46:52+02;system;2026-06-08 06:47:44+02;2026-06-08 06:47:44+02;;;;;;;;;27661429961;;;;;;;;;;;;;</t>
        </is>
      </c>
      <c r="K207" t="inlineStr">
        <is>
          <t>14815008;c44f841e-9282-48e7-b58e-e66efd115cf4;;30001085;ussd_funeral_leads_altitude_20260601;;;;;ADC;6;2026-06-11 15:46:52+02;system;2026-06-08 06:47:44+02;2026-06-08 06:47:44+02;;;;;;;;;27661429961;;;;;;;;;;;;;</t>
        </is>
      </c>
    </row>
    <row r="208">
      <c r="A208" t="inlineStr">
        <is>
          <t>ID_207</t>
        </is>
      </c>
      <c r="J208" t="inlineStr">
        <is>
          <t>14815126;c9f35001-0c24-4c2d-8d40-acf1e654aebb;;30001085;ussd_funeral_leads_altitude_20260601;;;;;TDN;6;2026-06-11 14:58:21+02;system;2026-06-08 06:47:44+02;2026-06-08 06:47:44+02;;;;;;;;;27673281126;;;;;;;;;;;;;</t>
        </is>
      </c>
      <c r="K208" t="inlineStr">
        <is>
          <t>14815126;c9f35001-0c24-4c2d-8d40-acf1e654aebb;;30001085;ussd_funeral_leads_altitude_20260601;;;;;TDN;6;2026-06-11 14:58:21+02;system;2026-06-08 06:47:44+02;2026-06-08 06:47:44+02;;;;;;;;;27673281126;;;;;;;;;;;;;</t>
        </is>
      </c>
    </row>
    <row r="209">
      <c r="A209" t="inlineStr">
        <is>
          <t>ID_208</t>
        </is>
      </c>
      <c r="J209" t="inlineStr">
        <is>
          <t>14814798;4601b4e9-f40a-4995-b33e-64721001c530;;30001085;ussd_funeral_leads_altitude_20260601;;;;;CBACK;3;2026-06-10 09:22:16+02;Gontse Monageng;2026-06-08 06:47:44+02;2026-06-08 06:47:44+02;;;;;;;;;27727620948;;;;;;;;;;;;;</t>
        </is>
      </c>
      <c r="K209" t="inlineStr">
        <is>
          <t>14814798;4601b4e9-f40a-4995-b33e-64721001c530;;30001085;ussd_funeral_leads_altitude_20260601;;;;;CBACK;3;2026-06-10 09:22:16+02;Gontse Monageng;2026-06-08 06:47:44+02;2026-06-08 06:47:44+02;;;;;;;;;27727620948;;;;;;;;;;;;;</t>
        </is>
      </c>
    </row>
    <row r="210">
      <c r="A210" t="inlineStr">
        <is>
          <t>ID_209</t>
        </is>
      </c>
      <c r="J210" t="inlineStr">
        <is>
          <t>14814799;9e90af46-69a4-47b5-9b3c-d4e7b714bf01;;30001085;ussd_funeral_leads_altitude_20260601;;;;;AA;6;2026-06-11 15:42:04+02;system;2026-06-08 06:47:44+02;2026-06-08 06:47:44+02;;;;;;;;;27649399875;;;;;;;;;;;;;</t>
        </is>
      </c>
      <c r="K210" t="inlineStr">
        <is>
          <t>14814799;9e90af46-69a4-47b5-9b3c-d4e7b714bf01;;30001085;ussd_funeral_leads_altitude_20260601;;;;;AA;6;2026-06-11 15:42:04+02;system;2026-06-08 06:47:44+02;2026-06-08 06:47:44+02;;;;;;;;;27649399875;;;;;;;;;;;;;</t>
        </is>
      </c>
    </row>
    <row r="211">
      <c r="A211" t="inlineStr">
        <is>
          <t>ID_210</t>
        </is>
      </c>
      <c r="J211" t="inlineStr">
        <is>
          <t>14814800;ea8d07e8-e008-424b-8a7c-7eee44136b5a;;30001085;ussd_funeral_leads_altitude_20260601;;;;;CBACK;6;2026-06-12 10:56:05+02;Gontse Monageng;2026-06-08 06:47:44+02;2026-06-08 06:47:44+02;;;;;;;;;27760709358;;;;;;;;;;;;;</t>
        </is>
      </c>
      <c r="K211" t="inlineStr">
        <is>
          <t>14814800;ea8d07e8-e008-424b-8a7c-7eee44136b5a;;30001085;ussd_funeral_leads_altitude_20260601;;;;;CBACK;6;2026-06-12 10:56:05+02;Gontse Monageng;2026-06-08 06:47:44+02;2026-06-08 06:47:44+02;;;;;;;;;27760709358;;;;;;;;;;;;;</t>
        </is>
      </c>
    </row>
    <row r="212">
      <c r="A212" t="inlineStr">
        <is>
          <t>ID_211</t>
        </is>
      </c>
      <c r="J212" t="inlineStr">
        <is>
          <t>14814801;3bea0b06-c7e4-416a-8ed8-2697bd0ed52a;;30001085;ussd_funeral_leads_altitude_20260601;;;;;ADC;6;2026-06-11 15:42:04+02;system;2026-06-08 06:47:44+02;2026-06-08 06:47:44+02;;;;;;;;;27647250756;;;;;;;;;;;;;</t>
        </is>
      </c>
      <c r="K212" t="inlineStr">
        <is>
          <t>14814801;3bea0b06-c7e4-416a-8ed8-2697bd0ed52a;;30001085;ussd_funeral_leads_altitude_20260601;;;;;ADC;6;2026-06-11 15:42:04+02;system;2026-06-08 06:47:44+02;2026-06-08 06:47:44+02;;;;;;;;;27647250756;;;;;;;;;;;;;</t>
        </is>
      </c>
    </row>
    <row r="213">
      <c r="A213" t="inlineStr">
        <is>
          <t>ID_212</t>
        </is>
      </c>
      <c r="J213" t="inlineStr">
        <is>
          <t>14814802;6d18351a-7ea4-47b4-87cb-60da02e533b0;;30001085;ussd_funeral_leads_altitude_20260601;;;;;TDN;6;2026-06-11 14:55:59+02;system;2026-06-08 06:47:44+02;2026-06-08 06:47:44+02;;;;;;;;;27764293612;;;;;;;;;;;;;</t>
        </is>
      </c>
      <c r="K213" t="inlineStr">
        <is>
          <t>14814802;6d18351a-7ea4-47b4-87cb-60da02e533b0;;30001085;ussd_funeral_leads_altitude_20260601;;;;;TDN;6;2026-06-11 14:55:59+02;system;2026-06-08 06:47:44+02;2026-06-08 06:47:44+02;;;;;;;;;27764293612;;;;;;;;;;;;;</t>
        </is>
      </c>
    </row>
    <row r="214">
      <c r="A214" t="inlineStr">
        <is>
          <t>ID_213</t>
        </is>
      </c>
      <c r="J214" t="inlineStr">
        <is>
          <t>14814804;d8dd8144-6708-4420-b2b1-34e6bc1da8b4;;30001085;ussd_funeral_leads_altitude_20260601;;;;;OAL;6;2026-06-11 14:55:59+02;Vuyiswa Nxumalo;2026-06-08 06:47:44+02;2026-06-08 06:47:44+02;;;;;;;;;27724690643;;;;;;;;;;;;;</t>
        </is>
      </c>
      <c r="K214" t="inlineStr">
        <is>
          <t>14814804;d8dd8144-6708-4420-b2b1-34e6bc1da8b4;;30001085;ussd_funeral_leads_altitude_20260601;;;;;OAL;6;2026-06-11 14:55:59+02;Vuyiswa Nxumalo;2026-06-08 06:47:44+02;2026-06-08 06:47:44+02;;;;;;;;;27724690643;;;;;;;;;;;;;</t>
        </is>
      </c>
    </row>
    <row r="215">
      <c r="A215" t="inlineStr">
        <is>
          <t>ID_214</t>
        </is>
      </c>
      <c r="J215" t="inlineStr">
        <is>
          <t>14815127;a62f704f-ed3d-4c68-9ff4-ccb8bee711e9;;30001085;ussd_funeral_leads_altitude_20260601;;;;;NA;6;2026-06-11 14:59:13+02;system;2026-06-08 06:47:44+02;2026-06-08 06:47:44+02;;;;;;;;;27818623710;;;;;;;;;;;;;</t>
        </is>
      </c>
      <c r="K215" t="inlineStr">
        <is>
          <t>14815127;a62f704f-ed3d-4c68-9ff4-ccb8bee711e9;;30001085;ussd_funeral_leads_altitude_20260601;;;;;NA;6;2026-06-11 14:59:13+02;system;2026-06-08 06:47:44+02;2026-06-08 06:47:44+02;;;;;;;;;27818623710;;;;;;;;;;;;;</t>
        </is>
      </c>
    </row>
    <row r="216">
      <c r="A216" t="inlineStr">
        <is>
          <t>ID_215</t>
        </is>
      </c>
      <c r="J216" t="inlineStr">
        <is>
          <t>14815128;e01d5831-a10b-4bbf-b5b4-aab58f410da5;;30001085;ussd_funeral_leads_altitude_20260601;;;;;NA;6;2026-06-11 14:59:15+02;system;2026-06-08 06:47:44+02;2026-06-08 06:47:44+02;;;;;;;;;27827968345;;;;;;;;;;;;;</t>
        </is>
      </c>
      <c r="K216" t="inlineStr">
        <is>
          <t>14815128;e01d5831-a10b-4bbf-b5b4-aab58f410da5;;30001085;ussd_funeral_leads_altitude_20260601;;;;;NA;6;2026-06-11 14:59:15+02;system;2026-06-08 06:47:44+02;2026-06-08 06:47:44+02;;;;;;;;;27827968345;;;;;;;;;;;;;</t>
        </is>
      </c>
    </row>
    <row r="217">
      <c r="A217" t="inlineStr">
        <is>
          <t>ID_216</t>
        </is>
      </c>
      <c r="J217" t="inlineStr">
        <is>
          <t>14815129;1fbe3eb6-b205-4d13-81bf-8d087d5ef500;;30001085;ussd_funeral_leads_altitude_20260601;;;27799752263;;IABDN;6;2026-06-11 15:14:26+02;system;2026-06-08 06:47:44+02;2026-06-08 06:47:44+02;;;;;;;;;27799752263;;;;;;;;;;;;;</t>
        </is>
      </c>
      <c r="K217" t="inlineStr">
        <is>
          <t>14815129;1fbe3eb6-b205-4d13-81bf-8d087d5ef500;;30001085;ussd_funeral_leads_altitude_20260601;;;27799752263;;IABDN;6;2026-06-11 15:14:26+02;system;2026-06-08 06:47:44+02;2026-06-08 06:47:44+02;;;;;;;;;27799752263;;;;;;;;;;;;;</t>
        </is>
      </c>
    </row>
    <row r="218">
      <c r="A218" t="inlineStr">
        <is>
          <t>ID_217</t>
        </is>
      </c>
      <c r="J218" t="inlineStr">
        <is>
          <t>14815130;8d6b2980-b671-4a55-8cd4-3edad71fa512;;30001085;ussd_funeral_leads_altitude_20260601;;;;;NA;6;2026-06-11 15:42:32+02;system;2026-06-08 06:47:44+02;2026-06-08 06:47:44+02;;;;;;;;;27768698782;;;;;;;;;;;;;</t>
        </is>
      </c>
      <c r="K218" t="inlineStr">
        <is>
          <t>14815130;8d6b2980-b671-4a55-8cd4-3edad71fa512;;30001085;ussd_funeral_leads_altitude_20260601;;;;;NA;6;2026-06-11 15:42:32+02;system;2026-06-08 06:47:44+02;2026-06-08 06:47:44+02;;;;;;;;;27768698782;;;;;;;;;;;;;</t>
        </is>
      </c>
    </row>
    <row r="219">
      <c r="A219" t="inlineStr">
        <is>
          <t>ID_218</t>
        </is>
      </c>
      <c r="J219" t="inlineStr">
        <is>
          <t>14815131;e4a18d47-f0c0-4a5b-a38a-70800d994f19;;30001085;ussd_funeral_leads_altitude_20260601;;;;;SELECTED;5;2026-06-10 13:47:10+02;system;2026-06-08 06:47:44+02;2026-06-08 06:47:44+02;;;;;;;;;27711592476;;;;;;;;;;;;;</t>
        </is>
      </c>
      <c r="K219" t="inlineStr">
        <is>
          <t>14815131;e4a18d47-f0c0-4a5b-a38a-70800d994f19;;30001085;ussd_funeral_leads_altitude_20260601;;;;;SELECTED;5;2026-06-10 13:47:10+02;system;2026-06-08 06:47:44+02;2026-06-08 06:47:44+02;;;;;;;;;27711592476;;;;;;;;;;;;;</t>
        </is>
      </c>
    </row>
    <row r="220">
      <c r="A220" t="inlineStr">
        <is>
          <t>ID_219</t>
        </is>
      </c>
      <c r="J220" t="inlineStr">
        <is>
          <t>14815132;01e3a946-5cff-4b6e-ac80-3482bc5c13b3;;30001085;ussd_funeral_leads_altitude_20260601;;;27723341990;;CU;6;2026-06-11 15:50:36+02;Gontse Monageng;2026-06-08 06:47:44+02;2026-06-08 06:47:44+02;;;;;;;;;27723341990;;;;;;;;;;;;;</t>
        </is>
      </c>
      <c r="K220" t="inlineStr">
        <is>
          <t>14815132;01e3a946-5cff-4b6e-ac80-3482bc5c13b3;;30001085;ussd_funeral_leads_altitude_20260601;;;27723341990;;CU;6;2026-06-11 15:50:36+02;Gontse Monageng;2026-06-08 06:47:44+02;2026-06-08 06:47:44+02;;;;;;;;;27723341990;;;;;;;;;;;;;</t>
        </is>
      </c>
    </row>
    <row r="221">
      <c r="A221" t="inlineStr">
        <is>
          <t>ID_220</t>
        </is>
      </c>
      <c r="J221" t="inlineStr">
        <is>
          <t>14815133;359e44d0-9462-4e8b-9240-c39e20057753;;30001085;ussd_funeral_leads_altitude_20260601;;;;;ADC;6;2026-06-11 14:59:44+02;system;2026-06-08 06:47:44+02;2026-06-08 06:47:44+02;;;;;;;;;27673992223;;;;;;;;;;;;;</t>
        </is>
      </c>
      <c r="K221" t="inlineStr">
        <is>
          <t>14815133;359e44d0-9462-4e8b-9240-c39e20057753;;30001085;ussd_funeral_leads_altitude_20260601;;;;;ADC;6;2026-06-11 14:59:44+02;system;2026-06-08 06:47:44+02;2026-06-08 06:47:44+02;;;;;;;;;27673992223;;;;;;;;;;;;;</t>
        </is>
      </c>
    </row>
    <row r="222">
      <c r="A222" t="inlineStr">
        <is>
          <t>ID_221</t>
        </is>
      </c>
      <c r="J222" t="inlineStr">
        <is>
          <t>14815009;848136ee-ab5d-4c8d-a4cd-f655436a5355;;30001085;ussd_funeral_leads_altitude_20260601;;;;;TDN;6;2026-06-11 15:46:43+02;system;2026-06-08 06:47:44+02;2026-06-08 06:47:44+02;;;;;;;;;27665311373;;;;;;;;;;;;;</t>
        </is>
      </c>
      <c r="K222" t="inlineStr">
        <is>
          <t>14815009;848136ee-ab5d-4c8d-a4cd-f655436a5355;;30001085;ussd_funeral_leads_altitude_20260601;;;;;TDN;6;2026-06-11 15:46:43+02;system;2026-06-08 06:47:44+02;2026-06-08 06:47:44+02;;;;;;;;;27665311373;;;;;;;;;;;;;</t>
        </is>
      </c>
    </row>
    <row r="223">
      <c r="A223" t="inlineStr">
        <is>
          <t>ID_222</t>
        </is>
      </c>
      <c r="J223" t="inlineStr">
        <is>
          <t>14815010;4d4c5ffe-cff5-4a73-8f33-33a6d1ce1c88;;30001085;ussd_funeral_leads_altitude_20260601;;;;;TDN;6;2026-06-11 15:46:43+02;system;2026-06-08 06:47:44+02;2026-06-08 06:47:44+02;;;;;;;;;27664538451;;;;;;;;;;;;;</t>
        </is>
      </c>
      <c r="K223" t="inlineStr">
        <is>
          <t>14815010;4d4c5ffe-cff5-4a73-8f33-33a6d1ce1c88;;30001085;ussd_funeral_leads_altitude_20260601;;;;;TDN;6;2026-06-11 15:46:43+02;system;2026-06-08 06:47:44+02;2026-06-08 06:47:44+02;;;;;;;;;27664538451;;;;;;;;;;;;;</t>
        </is>
      </c>
    </row>
    <row r="224">
      <c r="A224" t="inlineStr">
        <is>
          <t>ID_223</t>
        </is>
      </c>
      <c r="J224" t="inlineStr">
        <is>
          <t>14814805;91811136-595c-4312-8770-55ff2371db92;;30001085;ussd_funeral_leads_altitude_20260601;;;;;NA;6;2026-06-11 15:42:01+02;system;2026-06-08 06:47:44+02;2026-06-08 06:47:44+02;;;;;;;;;27713291075;;;;;;;;;;;;;</t>
        </is>
      </c>
      <c r="K224" t="inlineStr">
        <is>
          <t>14814805;91811136-595c-4312-8770-55ff2371db92;;30001085;ussd_funeral_leads_altitude_20260601;;;;;NA;6;2026-06-11 15:42:01+02;system;2026-06-08 06:47:44+02;2026-06-08 06:47:44+02;;;;;;;;;27713291075;;;;;;;;;;;;;</t>
        </is>
      </c>
    </row>
    <row r="225">
      <c r="A225" t="inlineStr">
        <is>
          <t>ID_224</t>
        </is>
      </c>
      <c r="J225" t="inlineStr">
        <is>
          <t>14814806;31f816fc-21af-44d0-8639-38dfcead58de;;30001085;ussd_funeral_leads_altitude_20260601;;;;;ADC;6;2026-06-11 15:36:25+02;system;2026-06-08 06:47:44+02;2026-06-08 06:47:44+02;;;;;;;;;27761640250;;;;;;;;;;;;;</t>
        </is>
      </c>
      <c r="K225" t="inlineStr">
        <is>
          <t>14814806;31f816fc-21af-44d0-8639-38dfcead58de;;30001085;ussd_funeral_leads_altitude_20260601;;;;;ADC;6;2026-06-11 15:36:25+02;system;2026-06-08 06:47:44+02;2026-06-08 06:47:44+02;;;;;;;;;27761640250;;;;;;;;;;;;;</t>
        </is>
      </c>
    </row>
    <row r="226">
      <c r="A226" t="inlineStr">
        <is>
          <t>ID_225</t>
        </is>
      </c>
      <c r="J226" t="inlineStr">
        <is>
          <t>14815011;dfe688a4-263f-4207-a845-28dbd2cb2e39;;30001085;ussd_funeral_leads_altitude_20260601;;;27675788331;;AFTHRS;6;2026-06-19 23:47:10+02;system;2026-06-08 06:47:44+02;2026-06-08 06:47:44+02;;;;;;;;;27675788331;;;;;;;;;;;;;</t>
        </is>
      </c>
      <c r="K226" t="inlineStr">
        <is>
          <t>14815011;dfe688a4-263f-4207-a845-28dbd2cb2e39;;30001085;ussd_funeral_leads_altitude_20260601;;;27675788331;;AFTHRS;6;2026-06-19 23:47:10+02;system;2026-06-08 06:47:44+02;2026-06-08 06:47:44+02;;;;;;;;;27675788331;;;;;;;;;;;;;</t>
        </is>
      </c>
    </row>
    <row r="227">
      <c r="A227" t="inlineStr">
        <is>
          <t>ID_226</t>
        </is>
      </c>
      <c r="J227" t="inlineStr">
        <is>
          <t>14814807;b92851af-77d9-4c47-8c18-d61a51bf24d7;;30001085;ussd_funeral_leads_altitude_20260601;;;;;NA;6;2026-06-11 15:35:50+02;system;2026-06-08 06:47:44+02;2026-06-08 06:47:44+02;;;;;;;;;27768239001;;;;;;;;;;;;;</t>
        </is>
      </c>
      <c r="K227" t="inlineStr">
        <is>
          <t>14814807;b92851af-77d9-4c47-8c18-d61a51bf24d7;;30001085;ussd_funeral_leads_altitude_20260601;;;;;NA;6;2026-06-11 15:35:50+02;system;2026-06-08 06:47:44+02;2026-06-08 06:47:44+02;;;;;;;;;27768239001;;;;;;;;;;;;;</t>
        </is>
      </c>
    </row>
    <row r="228">
      <c r="A228" t="inlineStr">
        <is>
          <t>ID_227</t>
        </is>
      </c>
      <c r="J228" t="inlineStr">
        <is>
          <t>14815012;5e2bdf94-e8bb-4e4d-b2ff-0bbb95ad8362;;30001085;ussd_funeral_leads_altitude_20260601;;;;;NA;6;2026-06-11 15:46:43+02;system;2026-06-08 06:47:44+02;2026-06-08 06:47:44+02;;;;;;;;;27795528603;;;;;;;;;;;;;</t>
        </is>
      </c>
      <c r="K228" t="inlineStr">
        <is>
          <t>14815012;5e2bdf94-e8bb-4e4d-b2ff-0bbb95ad8362;;30001085;ussd_funeral_leads_altitude_20260601;;;;;NA;6;2026-06-11 15:46:43+02;system;2026-06-08 06:47:44+02;2026-06-08 06:47:44+02;;;;;;;;;27795528603;;;;;;;;;;;;;</t>
        </is>
      </c>
    </row>
    <row r="229">
      <c r="A229" t="inlineStr">
        <is>
          <t>ID_228</t>
        </is>
      </c>
      <c r="J229" t="inlineStr">
        <is>
          <t>14815013;1e3c081f-d3c9-4ec0-b591-29631fdce633;;30001085;ussd_funeral_leads_altitude_20260601;;;;;EC;5;2026-06-18 09:36:31+02;Gontse Monageng;2026-06-08 06:47:44+02;2026-06-08 06:47:44+02;;;;;;;;;27763342476;;;;;;;;;;;;;</t>
        </is>
      </c>
      <c r="K229" t="inlineStr">
        <is>
          <t>14815013;1e3c081f-d3c9-4ec0-b591-29631fdce633;;30001085;ussd_funeral_leads_altitude_20260601;;;;;EC;5;2026-06-18 09:36:31+02;Gontse Monageng;2026-06-08 06:47:44+02;2026-06-08 06:47:44+02;;;;;;;;;27763342476;;;;;;;;;;;;;</t>
        </is>
      </c>
    </row>
    <row r="230">
      <c r="A230" t="inlineStr">
        <is>
          <t>ID_229</t>
        </is>
      </c>
      <c r="J230" t="inlineStr">
        <is>
          <t>14815134;582f95a0-ee92-4935-88f2-1468d40cc454;;30001085;ussd_funeral_leads_altitude_20260601;;;;;TDN;6;2026-06-11 15:00:03+02;system;2026-06-08 06:47:44+02;2026-06-08 06:47:44+02;;;;;;;;;27792638454;;;;;;;;;;;;;</t>
        </is>
      </c>
      <c r="K230" t="inlineStr">
        <is>
          <t>14815134;582f95a0-ee92-4935-88f2-1468d40cc454;;30001085;ussd_funeral_leads_altitude_20260601;;;;;TDN;6;2026-06-11 15:00:03+02;system;2026-06-08 06:47:44+02;2026-06-08 06:47:44+02;;;;;;;;;27792638454;;;;;;;;;;;;;</t>
        </is>
      </c>
    </row>
    <row r="231">
      <c r="A231" t="inlineStr">
        <is>
          <t>ID_230</t>
        </is>
      </c>
      <c r="J231" t="inlineStr">
        <is>
          <t>14814808;7b396bb9-bca5-4b11-8bb3-da62e89f4938;;30001085;ussd_funeral_leads_altitude_20260601;;;;;AA;6;2026-06-11 15:35:50+02;system;2026-06-08 06:47:44+02;2026-06-08 06:47:44+02;;;;;;;;;27673124584;;;;;;;;;;;;;</t>
        </is>
      </c>
      <c r="K231" t="inlineStr">
        <is>
          <t>14814808;7b396bb9-bca5-4b11-8bb3-da62e89f4938;;30001085;ussd_funeral_leads_altitude_20260601;;;;;AA;6;2026-06-11 15:35:50+02;system;2026-06-08 06:47:44+02;2026-06-08 06:47:44+02;;;;;;;;;27673124584;;;;;;;;;;;;;</t>
        </is>
      </c>
    </row>
    <row r="232">
      <c r="A232" t="inlineStr">
        <is>
          <t>ID_231</t>
        </is>
      </c>
      <c r="J232" t="inlineStr">
        <is>
          <t>14814809;6b74b4fe-31e9-46ee-ab55-28865a94d3c9;;30001085;ussd_funeral_leads_altitude_20260601;;;27664933215;;AA;6;2026-06-11 14:56:00+02;system;2026-06-08 06:47:44+02;2026-06-08 06:47:44+02;;;;;;;;;27664933215;;;;;;;;;;;;;</t>
        </is>
      </c>
      <c r="K232" t="inlineStr">
        <is>
          <t>14814809;6b74b4fe-31e9-46ee-ab55-28865a94d3c9;;30001085;ussd_funeral_leads_altitude_20260601;;;27664933215;;AA;6;2026-06-11 14:56:00+02;system;2026-06-08 06:47:44+02;2026-06-08 06:47:44+02;;;;;;;;;27664933215;;;;;;;;;;;;;</t>
        </is>
      </c>
    </row>
    <row r="233">
      <c r="A233" t="inlineStr">
        <is>
          <t>ID_232</t>
        </is>
      </c>
      <c r="J233" t="inlineStr">
        <is>
          <t>14815014;5c7f4c64-9466-4376-b761-53b4d4ff95e9;;30001085;ussd_funeral_leads_altitude_20260601;;;;;AA;6;2026-06-11 15:46:40+02;system;2026-06-08 06:47:44+02;2026-06-08 06:47:44+02;;;;;;;;;27791986648;;;;;;;;;;;;;</t>
        </is>
      </c>
      <c r="K233" t="inlineStr">
        <is>
          <t>14815014;5c7f4c64-9466-4376-b761-53b4d4ff95e9;;30001085;ussd_funeral_leads_altitude_20260601;;;;;AA;6;2026-06-11 15:46:40+02;system;2026-06-08 06:47:44+02;2026-06-08 06:47:44+02;;;;;;;;;27791986648;;;;;;;;;;;;;</t>
        </is>
      </c>
    </row>
    <row r="234">
      <c r="A234" t="inlineStr">
        <is>
          <t>ID_233</t>
        </is>
      </c>
      <c r="J234" t="inlineStr">
        <is>
          <t>14815015;d11abfb2-515f-4422-a5b6-45491ab3c6fd;;30001085;ussd_funeral_leads_altitude_20260601;;;;;ADC;6;2026-06-11 15:46:21+02;system;2026-06-08 06:47:44+02;2026-06-08 06:47:44+02;;;;;;;;;27675693766;;;;;;;;;;;;;</t>
        </is>
      </c>
      <c r="K234" t="inlineStr">
        <is>
          <t>14815015;d11abfb2-515f-4422-a5b6-45491ab3c6fd;;30001085;ussd_funeral_leads_altitude_20260601;;;;;ADC;6;2026-06-11 15:46:21+02;system;2026-06-08 06:47:44+02;2026-06-08 06:47:44+02;;;;;;;;;27675693766;;;;;;;;;;;;;</t>
        </is>
      </c>
    </row>
    <row r="235">
      <c r="A235" t="inlineStr">
        <is>
          <t>ID_234</t>
        </is>
      </c>
      <c r="J235" t="inlineStr">
        <is>
          <t>14815016;d00e8e8c-b569-449b-aa58-ec921d1f7c0d;;30001085;ussd_funeral_leads_altitude_20260601;;;;;AA;6;2026-06-11 15:46:21+02;system;2026-06-08 06:47:44+02;2026-06-08 06:47:44+02;;;;;;;;;27761904676;;;;;;;;;;;;;</t>
        </is>
      </c>
      <c r="K235" t="inlineStr">
        <is>
          <t>14815016;d00e8e8c-b569-449b-aa58-ec921d1f7c0d;;30001085;ussd_funeral_leads_altitude_20260601;;;;;AA;6;2026-06-11 15:46:21+02;system;2026-06-08 06:47:44+02;2026-06-08 06:47:44+02;;;;;;;;;27761904676;;;;;;;;;;;;;</t>
        </is>
      </c>
    </row>
    <row r="236">
      <c r="A236" t="inlineStr">
        <is>
          <t>ID_235</t>
        </is>
      </c>
      <c r="J236" t="inlineStr">
        <is>
          <t>14814811;e5da5c5f-f23d-4c21-b061-e6f7d9c1903c;;30001085;ussd_funeral_leads_altitude_20260601;;;;;BLQ;6;2026-06-11 12:29:33+02;Vuyiswa Nxumalo;2026-06-08 06:47:44+02;2026-06-08 06:47:44+02;;;;;;;;;27661829642;;;;;;;;;;;;;</t>
        </is>
      </c>
      <c r="K236" t="inlineStr">
        <is>
          <t>14814811;e5da5c5f-f23d-4c21-b061-e6f7d9c1903c;;30001085;ussd_funeral_leads_altitude_20260601;;;;;BLQ;6;2026-06-11 12:29:33+02;Vuyiswa Nxumalo;2026-06-08 06:47:44+02;2026-06-08 06:47:44+02;;;;;;;;;27661829642;;;;;;;;;;;;;</t>
        </is>
      </c>
    </row>
    <row r="237">
      <c r="A237" t="inlineStr">
        <is>
          <t>ID_236</t>
        </is>
      </c>
      <c r="J237" t="inlineStr">
        <is>
          <t>14815017;d075c99c-a305-4ced-9f32-a5f8484c15a4;;30001085;ussd_funeral_leads_altitude_20260601;;;;;U;4;2026-06-10 13:50:44+02;Lebohang Mabotja;2026-06-08 06:47:44+02;2026-06-08 06:47:44+02;;;;;;;;;27607230252;;;;;;;;;;;;;</t>
        </is>
      </c>
      <c r="K237" t="inlineStr">
        <is>
          <t>14815017;d075c99c-a305-4ced-9f32-a5f8484c15a4;;30001085;ussd_funeral_leads_altitude_20260601;;;;;U;4;2026-06-10 13:50:44+02;Lebohang Mabotja;2026-06-08 06:47:44+02;2026-06-08 06:47:44+02;;;;;;;;;27607230252;;;;;;;;;;;;;</t>
        </is>
      </c>
    </row>
    <row r="238">
      <c r="A238" t="inlineStr">
        <is>
          <t>ID_237</t>
        </is>
      </c>
      <c r="J238" t="inlineStr">
        <is>
          <t>14814812;b97c2a56-5864-4a50-a5e8-eb14612f7270;;30001085;ussd_funeral_leads_altitude_20260601;;;;;CU;6;2026-06-11 15:41:38+02;Vuyiswa Nxumalo;2026-06-08 06:47:44+02;2026-06-08 06:47:44+02;;;;;;;;;27773893985;;;;;;;;;;;;;</t>
        </is>
      </c>
      <c r="K238" t="inlineStr">
        <is>
          <t>14814812;b97c2a56-5864-4a50-a5e8-eb14612f7270;;30001085;ussd_funeral_leads_altitude_20260601;;;;;CU;6;2026-06-11 15:41:38+02;Vuyiswa Nxumalo;2026-06-08 06:47:44+02;2026-06-08 06:47:44+02;;;;;;;;;27773893985;;;;;;;;;;;;;</t>
        </is>
      </c>
    </row>
    <row r="239">
      <c r="A239" t="inlineStr">
        <is>
          <t>ID_238</t>
        </is>
      </c>
      <c r="J239" t="inlineStr">
        <is>
          <t>14815018;9ff7bb6b-1191-4a03-80ec-126cf059218e;;30001085;ussd_funeral_leads_altitude_20260601;;;;;ADC;6;2026-06-11 15:10:52+02;system;2026-06-08 06:47:44+02;2026-06-08 06:47:44+02;;;;;;;;;27712425312;;;;;;;;;;;;;</t>
        </is>
      </c>
      <c r="K239" t="inlineStr">
        <is>
          <t>14815018;9ff7bb6b-1191-4a03-80ec-126cf059218e;;30001085;ussd_funeral_leads_altitude_20260601;;;;;ADC;6;2026-06-11 15:10:52+02;system;2026-06-08 06:47:44+02;2026-06-08 06:47:44+02;;;;;;;;;27712425312;;;;;;;;;;;;;</t>
        </is>
      </c>
    </row>
    <row r="240">
      <c r="A240" t="inlineStr">
        <is>
          <t>ID_239</t>
        </is>
      </c>
      <c r="J240" t="inlineStr">
        <is>
          <t>14814813;7aa76b29-9dbe-4ce3-a47f-057f7b164744;;30001085;ussd_funeral_leads_altitude_20260601;;;;;CU;6;2026-06-11 15:35:47+02;Gontse Monageng;2026-06-08 06:47:44+02;2026-06-08 06:47:44+02;;;;;;;;;27721521746;;;;;;;;;;;;;</t>
        </is>
      </c>
      <c r="K240" t="inlineStr">
        <is>
          <t>14814813;7aa76b29-9dbe-4ce3-a47f-057f7b164744;;30001085;ussd_funeral_leads_altitude_20260601;;;;;CU;6;2026-06-11 15:35:47+02;Gontse Monageng;2026-06-08 06:47:44+02;2026-06-08 06:47:44+02;;;;;;;;;27721521746;;;;;;;;;;;;;</t>
        </is>
      </c>
    </row>
    <row r="241">
      <c r="A241" t="inlineStr">
        <is>
          <t>ID_240</t>
        </is>
      </c>
      <c r="J241" t="inlineStr">
        <is>
          <t>14814814;10eacef0-1148-4ac2-9574-232b81208e05;;30001085;ussd_funeral_leads_altitude_20260601;;;;;NI;3;2026-06-10 09:20:22+02;Lebohang Mabotja;2026-06-08 06:47:44+02;2026-06-08 06:47:44+02;;;;;;;;;27728491558;;;;;;;;;;;;;</t>
        </is>
      </c>
      <c r="K241" t="inlineStr">
        <is>
          <t>14814814;10eacef0-1148-4ac2-9574-232b81208e05;;30001085;ussd_funeral_leads_altitude_20260601;;;;;NI;3;2026-06-10 09:20:22+02;Lebohang Mabotja;2026-06-08 06:47:44+02;2026-06-08 06:47:44+02;;;;;;;;;27728491558;;;;;;;;;;;;;</t>
        </is>
      </c>
    </row>
    <row r="242">
      <c r="A242" t="inlineStr">
        <is>
          <t>ID_241</t>
        </is>
      </c>
      <c r="J242" t="inlineStr">
        <is>
          <t>14814815;86552dcc-5192-4582-acdb-e158cfc196d7;;30001085;ussd_funeral_leads_altitude_20260601;;;;;ADC;6;2026-06-11 14:56:11+02;system;2026-06-08 06:47:44+02;2026-06-08 06:47:44+02;;;;;;;;;27724358874;;;;;;;;;;;;;</t>
        </is>
      </c>
      <c r="K242" t="inlineStr">
        <is>
          <t>14814815;86552dcc-5192-4582-acdb-e158cfc196d7;;30001085;ussd_funeral_leads_altitude_20260601;;;;;ADC;6;2026-06-11 14:56:11+02;system;2026-06-08 06:47:44+02;2026-06-08 06:47:44+02;;;;;;;;;27724358874;;;;;;;;;;;;;</t>
        </is>
      </c>
    </row>
    <row r="243">
      <c r="A243" t="inlineStr">
        <is>
          <t>ID_242</t>
        </is>
      </c>
      <c r="J243" t="inlineStr">
        <is>
          <t>14814816;bb88efa6-968f-44b2-a37b-79ee04ba54f7;;30001085;ussd_funeral_leads_altitude_20260601;;;;;NA;6;2026-06-11 15:41:39+02;system;2026-06-08 06:47:44+02;2026-06-08 06:47:44+02;;;;;;;;;27768072023;;;;;;;;;;;;;</t>
        </is>
      </c>
      <c r="K243" t="inlineStr">
        <is>
          <t>14814816;bb88efa6-968f-44b2-a37b-79ee04ba54f7;;30001085;ussd_funeral_leads_altitude_20260601;;;;;NA;6;2026-06-11 15:41:39+02;system;2026-06-08 06:47:44+02;2026-06-08 06:47:44+02;;;;;;;;;27768072023;;;;;;;;;;;;;</t>
        </is>
      </c>
    </row>
    <row r="244">
      <c r="A244" t="inlineStr">
        <is>
          <t>ID_243</t>
        </is>
      </c>
      <c r="J244" t="inlineStr">
        <is>
          <t>14814817;f4807948-5764-4cd7-82b2-76384727815a;;30001085;ussd_funeral_leads_altitude_20260601;;;;;CU;6;2026-06-11 15:35:42+02;Lebohang Mabotja;2026-06-08 06:47:44+02;2026-06-08 06:47:44+02;;;;;;;;;27795340115;;;;;;;;;;;;;</t>
        </is>
      </c>
      <c r="K244" t="inlineStr">
        <is>
          <t>14814817;f4807948-5764-4cd7-82b2-76384727815a;;30001085;ussd_funeral_leads_altitude_20260601;;;;;CU;6;2026-06-11 15:35:42+02;Lebohang Mabotja;2026-06-08 06:47:44+02;2026-06-08 06:47:44+02;;;;;;;;;27795340115;;;;;;;;;;;;;</t>
        </is>
      </c>
    </row>
    <row r="245">
      <c r="A245" t="inlineStr">
        <is>
          <t>ID_244</t>
        </is>
      </c>
      <c r="J245" t="inlineStr">
        <is>
          <t>14814818;3eda82c9-6261-4211-8cb6-5699c8ff1aae;;30001085;ussd_funeral_leads_altitude_20260601;;;;;NA;6;2026-06-11 14:56:11+02;system;2026-06-08 06:47:44+02;2026-06-08 06:47:44+02;;;;;;;;;27794790689;;;;;;;;;;;;;</t>
        </is>
      </c>
      <c r="K245" t="inlineStr">
        <is>
          <t>14814818;3eda82c9-6261-4211-8cb6-5699c8ff1aae;;30001085;ussd_funeral_leads_altitude_20260601;;;;;NA;6;2026-06-11 14:56:11+02;system;2026-06-08 06:47:44+02;2026-06-08 06:47:44+02;;;;;;;;;27794790689;;;;;;;;;;;;;</t>
        </is>
      </c>
    </row>
    <row r="246">
      <c r="A246" t="inlineStr">
        <is>
          <t>ID_245</t>
        </is>
      </c>
      <c r="J246" t="inlineStr">
        <is>
          <t>14815135;f2ec4188-03b6-4246-b743-f0645d50dd32;;30001085;ussd_funeral_leads_altitude_20260601;;;;;ADC;6;2026-06-11 15:00:43+02;system;2026-06-08 06:47:44+02;2026-06-08 06:47:44+02;;;;;;;;;27767611304;;;;;;;;;;;;;</t>
        </is>
      </c>
      <c r="K246" t="inlineStr">
        <is>
          <t>14815135;f2ec4188-03b6-4246-b743-f0645d50dd32;;30001085;ussd_funeral_leads_altitude_20260601;;;;;ADC;6;2026-06-11 15:00:43+02;system;2026-06-08 06:47:44+02;2026-06-08 06:47:44+02;;;;;;;;;27767611304;;;;;;;;;;;;;</t>
        </is>
      </c>
    </row>
    <row r="247">
      <c r="A247" t="inlineStr">
        <is>
          <t>ID_246</t>
        </is>
      </c>
      <c r="J247" t="inlineStr">
        <is>
          <t>14814819;264a8f99-2088-44d2-aa12-8d3896010838;;30001085;ussd_funeral_leads_altitude_20260601;;;;;AA;6;2026-06-11 15:35:38+02;system;2026-06-08 06:47:44+02;2026-06-08 06:47:44+02;;;;;;;;;27766440151;;;;;;;;;;;;;</t>
        </is>
      </c>
      <c r="K247" t="inlineStr">
        <is>
          <t>14814819;264a8f99-2088-44d2-aa12-8d3896010838;;30001085;ussd_funeral_leads_altitude_20260601;;;;;AA;6;2026-06-11 15:35:38+02;system;2026-06-08 06:47:44+02;2026-06-08 06:47:44+02;;;;;;;;;27766440151;;;;;;;;;;;;;</t>
        </is>
      </c>
    </row>
    <row r="248">
      <c r="A248" t="inlineStr">
        <is>
          <t>ID_247</t>
        </is>
      </c>
      <c r="J248" t="inlineStr">
        <is>
          <t>14814820;456fd97d-58fa-46c5-9771-51afbf33b224;;30001085;ussd_funeral_leads_altitude_20260601;;;;;AA;6;2026-06-11 15:41:19+02;system;2026-06-08 06:47:44+02;2026-06-08 06:47:44+02;;;;;;;;;27797779819;;;;;;;;;;;;;</t>
        </is>
      </c>
      <c r="K248" t="inlineStr">
        <is>
          <t>14814820;456fd97d-58fa-46c5-9771-51afbf33b224;;30001085;ussd_funeral_leads_altitude_20260601;;;;;AA;6;2026-06-11 15:41:19+02;system;2026-06-08 06:47:44+02;2026-06-08 06:47:44+02;;;;;;;;;27797779819;;;;;;;;;;;;;</t>
        </is>
      </c>
    </row>
    <row r="249">
      <c r="A249" t="inlineStr">
        <is>
          <t>ID_248</t>
        </is>
      </c>
      <c r="J249" t="inlineStr">
        <is>
          <t>14815136;b8edffca-be90-480f-9360-ec84a1922624;;30001085;ussd_funeral_leads_altitude_20260601;;;;;NA;6;2026-06-11 15:42:29+02;system;2026-06-08 06:47:44+02;2026-06-08 06:47:44+02;;;;;;;;;27722054522;;;;;;;;;;;;;</t>
        </is>
      </c>
      <c r="K249" t="inlineStr">
        <is>
          <t>14815136;b8edffca-be90-480f-9360-ec84a1922624;;30001085;ussd_funeral_leads_altitude_20260601;;;;;NA;6;2026-06-11 15:42:29+02;system;2026-06-08 06:47:44+02;2026-06-08 06:47:44+02;;;;;;;;;27722054522;;;;;;;;;;;;;</t>
        </is>
      </c>
    </row>
    <row r="250">
      <c r="A250" t="inlineStr">
        <is>
          <t>ID_249</t>
        </is>
      </c>
      <c r="J250" t="inlineStr">
        <is>
          <t>14815137;deed85e5-1cc6-45c6-8cea-3b1a7cda6bbb;;30001085;ussd_funeral_leads_altitude_20260601;;;;;ADC;6;2026-06-12 08:07:42+02;system;2026-06-08 06:47:44+02;2026-06-08 06:47:44+02;;;;;;;;;27713922792;;;;;;;;;;;;;</t>
        </is>
      </c>
      <c r="K250" t="inlineStr">
        <is>
          <t>14815137;deed85e5-1cc6-45c6-8cea-3b1a7cda6bbb;;30001085;ussd_funeral_leads_altitude_20260601;;;;;ADC;6;2026-06-12 08:07:42+02;system;2026-06-08 06:47:44+02;2026-06-08 06:47:44+02;;;;;;;;;27713922792;;;;;;;;;;;;;</t>
        </is>
      </c>
    </row>
    <row r="251">
      <c r="A251" t="inlineStr">
        <is>
          <t>ID_250</t>
        </is>
      </c>
      <c r="J251" t="inlineStr">
        <is>
          <t>14815019;d8e72e74-26df-4810-b59f-e804a6aa2d5a;;30001085;ussd_funeral_leads_altitude_20260601;;;;;AE;6;2026-06-11 15:10:55+02;system;2026-06-08 06:47:44+02;2026-06-08 06:47:44+02;;;;;;;;;27764033522;;;;;;;;;;;;;</t>
        </is>
      </c>
      <c r="K251" t="inlineStr">
        <is>
          <t>14815019;d8e72e74-26df-4810-b59f-e804a6aa2d5a;;30001085;ussd_funeral_leads_altitude_20260601;;;;;AE;6;2026-06-11 15:10:55+02;system;2026-06-08 06:47:44+02;2026-06-08 06:47:44+02;;;;;;;;;27764033522;;;;;;;;;;;;;</t>
        </is>
      </c>
    </row>
    <row r="252">
      <c r="A252" t="inlineStr">
        <is>
          <t>ID_251</t>
        </is>
      </c>
      <c r="J252" t="inlineStr">
        <is>
          <t>14815020;4ca4939f-19f7-4a3a-9411-ff2483552eab;;30001085;ussd_funeral_leads_altitude_20260601;;;27675753968;;NA;6;2026-06-11 15:46:16+02;system;2026-06-08 06:47:44+02;2026-06-08 06:47:44+02;;;;;;;;;27675753968;;;;;;;;;;;;;</t>
        </is>
      </c>
      <c r="K252" t="inlineStr">
        <is>
          <t>14815020;4ca4939f-19f7-4a3a-9411-ff2483552eab;;30001085;ussd_funeral_leads_altitude_20260601;;;27675753968;;NA;6;2026-06-11 15:46:16+02;system;2026-06-08 06:47:44+02;2026-06-08 06:47:44+02;;;;;;;;;27675753968;;;;;;;;;;;;;</t>
        </is>
      </c>
    </row>
    <row r="253">
      <c r="A253" t="inlineStr">
        <is>
          <t>ID_252</t>
        </is>
      </c>
      <c r="J253" t="inlineStr">
        <is>
          <t>14815021;509ea1d8-7e59-4fed-9899-bbce44a50d02;;30001085;ussd_funeral_leads_altitude_20260601;;;27798752476;;CU;6;2026-06-11 15:46:49+02;Goitsimang Mogwasa;2026-06-08 06:47:44+02;2026-06-08 06:47:44+02;;;;;;;;;27798752476;;;;;;;;;;;;;</t>
        </is>
      </c>
      <c r="K253" t="inlineStr">
        <is>
          <t>14815021;509ea1d8-7e59-4fed-9899-bbce44a50d02;;30001085;ussd_funeral_leads_altitude_20260601;;;27798752476;;CU;6;2026-06-11 15:46:49+02;Goitsimang Mogwasa;2026-06-08 06:47:44+02;2026-06-08 06:47:44+02;;;;;;;;;27798752476;;;;;;;;;;;;;</t>
        </is>
      </c>
    </row>
    <row r="254">
      <c r="A254" t="inlineStr">
        <is>
          <t>ID_253</t>
        </is>
      </c>
      <c r="J254" t="inlineStr">
        <is>
          <t>14815022;79361318-ec9c-46c8-a3b3-98caadea9891;;30001085;ussd_funeral_leads_altitude_20260601;;;;;CU;27;2026-06-23 14:52:16+02;Goitsimang Mogwasa;2026-06-08 06:47:44+02;2026-06-08 06:47:44+02;;;;;;;;;27767249993;;;;;;;;;;;;;</t>
        </is>
      </c>
      <c r="K254" t="inlineStr">
        <is>
          <t>14815022;79361318-ec9c-46c8-a3b3-98caadea9891;;30001085;ussd_funeral_leads_altitude_20260601;;;;;CU;27;2026-06-23 14:52:16+02;Goitsimang Mogwasa;2026-06-08 06:47:44+02;2026-06-08 06:47:44+02;;;;;;;;;27767249993;;;;;;;;;;;;;</t>
        </is>
      </c>
    </row>
    <row r="255">
      <c r="A255" t="inlineStr">
        <is>
          <t>ID_254</t>
        </is>
      </c>
      <c r="J255" t="inlineStr">
        <is>
          <t>14815023;f71170af-9fac-44bb-b95c-673c1f581312;;30001085;ussd_funeral_leads_altitude_20260601;;;;;ADC;6;2026-06-11 15:11:09+02;system;2026-06-08 06:47:44+02;2026-06-08 06:47:44+02;;;;;;;;;27772920393;;;;;;;;;;;;;</t>
        </is>
      </c>
      <c r="K255" t="inlineStr">
        <is>
          <t>14815023;f71170af-9fac-44bb-b95c-673c1f581312;;30001085;ussd_funeral_leads_altitude_20260601;;;;;ADC;6;2026-06-11 15:11:09+02;system;2026-06-08 06:47:44+02;2026-06-08 06:47:44+02;;;;;;;;;27772920393;;;;;;;;;;;;;</t>
        </is>
      </c>
    </row>
    <row r="256">
      <c r="A256" t="inlineStr">
        <is>
          <t>ID_255</t>
        </is>
      </c>
      <c r="J256" t="inlineStr">
        <is>
          <t>14815024;2dd53413-c33d-4d24-b11a-4ed08437eaf9;;30001085;ussd_funeral_leads_altitude_20260601;;;;;CU;6;2026-06-11 15:45:50+02;Gontse Monageng;2026-06-08 06:47:44+02;2026-06-08 06:47:44+02;;;;;;;;;27663149648;;;;;;;;;;;;;</t>
        </is>
      </c>
      <c r="K256" t="inlineStr">
        <is>
          <t>14815024;2dd53413-c33d-4d24-b11a-4ed08437eaf9;;30001085;ussd_funeral_leads_altitude_20260601;;;;;CU;6;2026-06-11 15:45:50+02;Gontse Monageng;2026-06-08 06:47:44+02;2026-06-08 06:47:44+02;;;;;;;;;27663149648;;;;;;;;;;;;;</t>
        </is>
      </c>
    </row>
    <row r="257">
      <c r="A257" t="inlineStr">
        <is>
          <t>ID_256</t>
        </is>
      </c>
      <c r="J257" t="inlineStr">
        <is>
          <t>14815025;27ce51f1-5b55-43d3-88bd-45bc4f4ebda6;;30001085;ussd_funeral_leads_altitude_20260601;;;;;U;2;2026-06-09 11:39:54+02;Lebohang Mabotja;2026-06-08 06:47:44+02;2026-06-08 06:47:44+02;;;;;;;;;27797774633;;;;;;;;;;;;;</t>
        </is>
      </c>
      <c r="K257" t="inlineStr">
        <is>
          <t>14815025;27ce51f1-5b55-43d3-88bd-45bc4f4ebda6;;30001085;ussd_funeral_leads_altitude_20260601;;;;;U;2;2026-06-09 11:39:54+02;Lebohang Mabotja;2026-06-08 06:47:44+02;2026-06-08 06:47:44+02;;;;;;;;;27797774633;;;;;;;;;;;;;</t>
        </is>
      </c>
    </row>
    <row r="258">
      <c r="A258" t="inlineStr">
        <is>
          <t>ID_257</t>
        </is>
      </c>
      <c r="J258" t="inlineStr">
        <is>
          <t>14815026;73c4141e-7944-41a5-a508-3dd1f0c0d547;;30001085;ussd_funeral_leads_altitude_20260601;;;27793299558;;A;7;2026-06-13 09:45:26+02;Virginia Letsatsi;2026-06-08 06:47:44+02;2026-06-08 06:47:44+02;;;;;;;;;27793299558;;;;;;;;;;;;;</t>
        </is>
      </c>
      <c r="K258" t="inlineStr">
        <is>
          <t>14815026;73c4141e-7944-41a5-a508-3dd1f0c0d547;;30001085;ussd_funeral_leads_altitude_20260601;;;27793299558;;A;7;2026-06-13 09:45:26+02;Virginia Letsatsi;2026-06-08 06:47:44+02;2026-06-08 06:47:44+02;;;;;;;;;27793299558;;;;;;;;;;;;;</t>
        </is>
      </c>
    </row>
    <row r="259">
      <c r="A259" t="inlineStr">
        <is>
          <t>ID_258</t>
        </is>
      </c>
      <c r="J259" t="inlineStr">
        <is>
          <t>14814821;62ba1ddf-00cd-4197-a71d-19f56a8e5d66;;30001085;ussd_funeral_leads_altitude_20260601;;;;;AF;5;2026-06-11 11:41:26+02;Lebohang Mabotja;2026-06-08 06:47:44+02;2026-06-08 06:47:44+02;;;;;;;;;27724069975;;;;;;;;;;;;;</t>
        </is>
      </c>
      <c r="K259" t="inlineStr">
        <is>
          <t>14814821;62ba1ddf-00cd-4197-a71d-19f56a8e5d66;;30001085;ussd_funeral_leads_altitude_20260601;;;;;AF;5;2026-06-11 11:41:26+02;Lebohang Mabotja;2026-06-08 06:47:44+02;2026-06-08 06:47:44+02;;;;;;;;;27724069975;;;;;;;;;;;;;</t>
        </is>
      </c>
    </row>
    <row r="260">
      <c r="A260" t="inlineStr">
        <is>
          <t>ID_259</t>
        </is>
      </c>
      <c r="J260" t="inlineStr">
        <is>
          <t>14815027;99263a7f-9a76-4510-a86b-28264c8d872b;;30001085;ussd_funeral_leads_altitude_20260601;;;;;AF;4;2026-06-22 11:27:24+02;Goitsimang Mogwasa;2026-06-08 06:47:44+02;2026-06-08 06:47:44+02;;;;;;;;;27725322325;;;;;;;;;;;;;</t>
        </is>
      </c>
      <c r="K260" t="inlineStr">
        <is>
          <t>14815027;99263a7f-9a76-4510-a86b-28264c8d872b;;30001085;ussd_funeral_leads_altitude_20260601;;;;;AF;4;2026-06-22 11:27:24+02;Goitsimang Mogwasa;2026-06-08 06:47:44+02;2026-06-08 06:47:44+02;;;;;;;;;27725322325;;;;;;;;;;;;;</t>
        </is>
      </c>
    </row>
    <row r="261">
      <c r="A261" t="inlineStr">
        <is>
          <t>ID_260</t>
        </is>
      </c>
      <c r="J261" t="inlineStr">
        <is>
          <t>14815138;0b4368e3-839e-4e42-aed1-61721e329d7e;;30001085;ussd_funeral_leads_altitude_20260601;;;;;CU;8;2026-06-11 14:37:13+02;Goitsimang Mogwasa;2026-06-08 06:47:44+02;2026-06-08 06:47:44+02;;;;;;;;;27823773783;;;;;;;;;;;;;</t>
        </is>
      </c>
      <c r="K261" t="inlineStr">
        <is>
          <t>14815138;0b4368e3-839e-4e42-aed1-61721e329d7e;;30001085;ussd_funeral_leads_altitude_20260601;;;;;CU;8;2026-06-11 14:37:13+02;Goitsimang Mogwasa;2026-06-08 06:47:44+02;2026-06-08 06:47:44+02;;;;;;;;;27823773783;;;;;;;;;;;;;</t>
        </is>
      </c>
    </row>
    <row r="262">
      <c r="A262" t="inlineStr">
        <is>
          <t>ID_261</t>
        </is>
      </c>
      <c r="J262" t="inlineStr">
        <is>
          <t>14815139;ad434845-d361-4a90-a17d-dc5c64504f45;;30001085;ussd_funeral_leads_altitude_20260601;;;27761395100;;AA;6;2026-06-11 17:12:04+02;system;2026-06-08 06:47:44+02;2026-06-08 06:47:44+02;;;;;;;;;27761395100;;;;;;;;;;;;;</t>
        </is>
      </c>
      <c r="K262" t="inlineStr">
        <is>
          <t>14815139;ad434845-d361-4a90-a17d-dc5c64504f45;;30001085;ussd_funeral_leads_altitude_20260601;;;27761395100;;AA;6;2026-06-11 17:12:04+02;system;2026-06-08 06:47:44+02;2026-06-08 06:47:44+02;;;;;;;;;27761395100;;;;;;;;;;;;;</t>
        </is>
      </c>
    </row>
    <row r="263">
      <c r="A263" t="inlineStr">
        <is>
          <t>ID_262</t>
        </is>
      </c>
      <c r="J263" t="inlineStr">
        <is>
          <t>14814822;4c81f301-6469-4cb3-bbb3-1ecd4b362e70;;30001085;ussd_funeral_leads_altitude_20260601;;;;;ADC;6;2026-06-11 14:56:22+02;system;2026-06-08 06:47:44+02;2026-06-08 06:47:44+02;;;;;;;;;27763465492;;;;;;;;;;;;;</t>
        </is>
      </c>
      <c r="K263" t="inlineStr">
        <is>
          <t>14814822;4c81f301-6469-4cb3-bbb3-1ecd4b362e70;;30001085;ussd_funeral_leads_altitude_20260601;;;;;ADC;6;2026-06-11 14:56:22+02;system;2026-06-08 06:47:44+02;2026-06-08 06:47:44+02;;;;;;;;;27763465492;;;;;;;;;;;;;</t>
        </is>
      </c>
    </row>
    <row r="264">
      <c r="A264" t="inlineStr">
        <is>
          <t>ID_263</t>
        </is>
      </c>
      <c r="J264" t="inlineStr">
        <is>
          <t>14814823;e23a15f5-636f-4ae7-8b5c-27a5b0eaa391;;30001085;ussd_funeral_leads_altitude_20260601;;;;;NA;6;2026-06-11 14:56:25+02;system;2026-06-08 06:47:44+02;2026-06-08 06:47:44+02;;;;;;;;;27724823824;;;;;;;;;;;;;</t>
        </is>
      </c>
      <c r="K264" t="inlineStr">
        <is>
          <t>14814823;e23a15f5-636f-4ae7-8b5c-27a5b0eaa391;;30001085;ussd_funeral_leads_altitude_20260601;;;;;NA;6;2026-06-11 14:56:25+02;system;2026-06-08 06:47:44+02;2026-06-08 06:47:44+02;;;;;;;;;27724823824;;;;;;;;;;;;;</t>
        </is>
      </c>
    </row>
    <row r="265">
      <c r="A265" t="inlineStr">
        <is>
          <t>ID_264</t>
        </is>
      </c>
      <c r="J265" t="inlineStr">
        <is>
          <t>14815029;0f47809c-0e49-4763-ad3a-3ce8fc23d5ba;;30001085;ussd_funeral_leads_altitude_20260601;;;;;ADC;6;2026-06-11 15:11:09+02;system;2026-06-08 06:47:44+02;2026-06-08 06:47:44+02;;;;;;;;;27765520821;;;;;;;;;;;;;</t>
        </is>
      </c>
      <c r="K265" t="inlineStr">
        <is>
          <t>14815029;0f47809c-0e49-4763-ad3a-3ce8fc23d5ba;;30001085;ussd_funeral_leads_altitude_20260601;;;;;ADC;6;2026-06-11 15:11:09+02;system;2026-06-08 06:47:44+02;2026-06-08 06:47:44+02;;;;;;;;;27765520821;;;;;;;;;;;;;</t>
        </is>
      </c>
    </row>
    <row r="266">
      <c r="A266" t="inlineStr">
        <is>
          <t>ID_265</t>
        </is>
      </c>
      <c r="J266" t="inlineStr">
        <is>
          <t>14814824;3255452e-0f5c-4cff-84c3-93fdb097a9f2;;30001085;ussd_funeral_leads_altitude_20260601;;;;;AA;6;2026-06-11 14:56:28+02;system;2026-06-08 06:47:44+02;2026-06-08 06:47:44+02;;;;;;;;;27768638901;;;;;;;;;;;;;</t>
        </is>
      </c>
      <c r="K266" t="inlineStr">
        <is>
          <t>14814824;3255452e-0f5c-4cff-84c3-93fdb097a9f2;;30001085;ussd_funeral_leads_altitude_20260601;;;;;AA;6;2026-06-11 14:56:28+02;system;2026-06-08 06:47:44+02;2026-06-08 06:47:44+02;;;;;;;;;27768638901;;;;;;;;;;;;;</t>
        </is>
      </c>
    </row>
    <row r="267">
      <c r="A267" t="inlineStr">
        <is>
          <t>ID_266</t>
        </is>
      </c>
      <c r="J267" t="inlineStr">
        <is>
          <t>14815030;75ad8371-1cc8-4b96-b7aa-c7c032e0b0c8;;30001085;ussd_funeral_leads_altitude_20260601;;;;;AA;6;2026-06-11 15:11:15+02;system;2026-06-08 06:47:44+02;2026-06-08 06:47:44+02;;;;;;;;;27609699866;;;;;;;;;;;;;</t>
        </is>
      </c>
      <c r="K267" t="inlineStr">
        <is>
          <t>14815030;75ad8371-1cc8-4b96-b7aa-c7c032e0b0c8;;30001085;ussd_funeral_leads_altitude_20260601;;;;;AA;6;2026-06-11 15:11:15+02;system;2026-06-08 06:47:44+02;2026-06-08 06:47:44+02;;;;;;;;;27609699866;;;;;;;;;;;;;</t>
        </is>
      </c>
    </row>
    <row r="268">
      <c r="A268" t="inlineStr">
        <is>
          <t>ID_267</t>
        </is>
      </c>
      <c r="J268" t="inlineStr">
        <is>
          <t>14815140;11892be2-f64e-4ccf-9572-5b23ad71994e;;30001085;ussd_funeral_leads_altitude_20260601;;;;;CU;6;2026-06-11 15:00:52+02;Vuyiswa Nxumalo;2026-06-08 06:47:44+02;2026-06-08 06:47:44+02;;;;;;;;;27663800796;;;;;;;;;;;;;</t>
        </is>
      </c>
      <c r="K268" t="inlineStr">
        <is>
          <t>14815140;11892be2-f64e-4ccf-9572-5b23ad71994e;;30001085;ussd_funeral_leads_altitude_20260601;;;;;CU;6;2026-06-11 15:00:52+02;Vuyiswa Nxumalo;2026-06-08 06:47:44+02;2026-06-08 06:47:44+02;;;;;;;;;27663800796;;;;;;;;;;;;;</t>
        </is>
      </c>
    </row>
    <row r="269">
      <c r="A269" t="inlineStr">
        <is>
          <t>ID_268</t>
        </is>
      </c>
      <c r="J269" t="inlineStr">
        <is>
          <t>14815141;880b6c9c-6cbb-4ced-8347-5a5541babe93;;30001085;ussd_funeral_leads_altitude_20260601;;;;;AE;6;2026-06-11 15:01:06+02;system;2026-06-08 06:47:44+02;2026-06-08 06:47:44+02;;;;;;;;;27796705956;;;;;;;;;;;;;</t>
        </is>
      </c>
      <c r="K269" t="inlineStr">
        <is>
          <t>14815141;880b6c9c-6cbb-4ced-8347-5a5541babe93;;30001085;ussd_funeral_leads_altitude_20260601;;;;;AE;6;2026-06-11 15:01:06+02;system;2026-06-08 06:47:44+02;2026-06-08 06:47:44+02;;;;;;;;;27796705956;;;;;;;;;;;;;</t>
        </is>
      </c>
    </row>
    <row r="270">
      <c r="A270" t="inlineStr">
        <is>
          <t>ID_269</t>
        </is>
      </c>
      <c r="J270" t="inlineStr">
        <is>
          <t>14814825;7d3c2ae6-2bea-4ae6-beee-d15556fab3ff;;30001085;ussd_funeral_leads_altitude_20260601;;;;;AA;6;2026-06-11 14:56:30+02;system;2026-06-08 06:47:44+02;2026-06-08 06:47:44+02;;;;;;;;;27646412369;;;;;;;;;;;;;</t>
        </is>
      </c>
      <c r="K270" t="inlineStr">
        <is>
          <t>14814825;7d3c2ae6-2bea-4ae6-beee-d15556fab3ff;;30001085;ussd_funeral_leads_altitude_20260601;;;;;AA;6;2026-06-11 14:56:30+02;system;2026-06-08 06:47:44+02;2026-06-08 06:47:44+02;;;;;;;;;27646412369;;;;;;;;;;;;;</t>
        </is>
      </c>
    </row>
    <row r="271">
      <c r="A271" t="inlineStr">
        <is>
          <t>ID_270</t>
        </is>
      </c>
      <c r="J271" t="inlineStr">
        <is>
          <t>14815142;04b89d53-d546-4f50-b16b-947d83eb14dd;;30001085;ussd_funeral_leads_altitude_20260601;;;;;NA;6;2026-06-11 15:01:06+02;system;2026-06-08 06:47:44+02;2026-06-08 06:47:44+02;;;;;;;;;27823983464;;;;;;;;;;;;;</t>
        </is>
      </c>
      <c r="K271" t="inlineStr">
        <is>
          <t>14815142;04b89d53-d546-4f50-b16b-947d83eb14dd;;30001085;ussd_funeral_leads_altitude_20260601;;;;;NA;6;2026-06-11 15:01:06+02;system;2026-06-08 06:47:44+02;2026-06-08 06:47:44+02;;;;;;;;;27823983464;;;;;;;;;;;;;</t>
        </is>
      </c>
    </row>
    <row r="272">
      <c r="A272" t="inlineStr">
        <is>
          <t>ID_271</t>
        </is>
      </c>
      <c r="J272" t="inlineStr">
        <is>
          <t>14814826;3bbca6f7-b493-4e20-97f6-bb67bf323372;;30001085;ussd_funeral_leads_altitude_20260601;;;;;TDN;6;2026-06-11 14:57:20+02;system;2026-06-08 06:47:44+02;2026-06-08 06:47:44+02;;;;;;;;;27818584353;;;;;;;;;;;;;</t>
        </is>
      </c>
      <c r="K272" t="inlineStr">
        <is>
          <t>14814826;3bbca6f7-b493-4e20-97f6-bb67bf323372;;30001085;ussd_funeral_leads_altitude_20260601;;;;;TDN;6;2026-06-11 14:57:20+02;system;2026-06-08 06:47:44+02;2026-06-08 06:47:44+02;;;;;;;;;27818584353;;;;;;;;;;;;;</t>
        </is>
      </c>
    </row>
    <row r="273">
      <c r="A273" t="inlineStr">
        <is>
          <t>ID_272</t>
        </is>
      </c>
      <c r="J273" t="inlineStr">
        <is>
          <t>14815143;952176a8-865f-4d85-b260-5788bfe42920;;30001085;ussd_funeral_leads_altitude_20260601;;;;;AA;6;2026-06-11 15:01:10+02;system;2026-06-08 06:47:44+02;2026-06-08 06:47:44+02;;;;;;;;;27647473060;;;;;;;;;;;;;</t>
        </is>
      </c>
      <c r="K273" t="inlineStr">
        <is>
          <t>14815143;952176a8-865f-4d85-b260-5788bfe42920;;30001085;ussd_funeral_leads_altitude_20260601;;;;;AA;6;2026-06-11 15:01:10+02;system;2026-06-08 06:47:44+02;2026-06-08 06:47:44+02;;;;;;;;;27647473060;;;;;;;;;;;;;</t>
        </is>
      </c>
    </row>
    <row r="274">
      <c r="A274" t="inlineStr">
        <is>
          <t>ID_273</t>
        </is>
      </c>
      <c r="J274" t="inlineStr">
        <is>
          <t>14814827;5ea23ef6-5ce0-468a-9207-3ace94267272;;30001085;ussd_funeral_leads_altitude_20260601;;;;;ADC;6;2026-06-11 15:41:18+02;system;2026-06-08 06:47:44+02;2026-06-08 06:47:44+02;;;;;;;;;27793502958;;;;;;;;;;;;;</t>
        </is>
      </c>
      <c r="K274" t="inlineStr">
        <is>
          <t>14814827;5ea23ef6-5ce0-468a-9207-3ace94267272;;30001085;ussd_funeral_leads_altitude_20260601;;;;;ADC;6;2026-06-11 15:41:18+02;system;2026-06-08 06:47:44+02;2026-06-08 06:47:44+02;;;;;;;;;27793502958;;;;;;;;;;;;;</t>
        </is>
      </c>
    </row>
    <row r="275">
      <c r="A275" t="inlineStr">
        <is>
          <t>ID_274</t>
        </is>
      </c>
      <c r="J275" t="inlineStr">
        <is>
          <t>14815144;ad9ef99d-4e67-4e84-82c6-91fca0f1318a;;30001085;ussd_funeral_leads_altitude_20260601;;;;;ADC;6;2026-06-11 15:01:11+02;system;2026-06-08 06:47:44+02;2026-06-08 06:47:44+02;;;;;;;;;27797388741;;;;;;;;;;;;;</t>
        </is>
      </c>
      <c r="K275" t="inlineStr">
        <is>
          <t>14815144;ad9ef99d-4e67-4e84-82c6-91fca0f1318a;;30001085;ussd_funeral_leads_altitude_20260601;;;;;ADC;6;2026-06-11 15:01:11+02;system;2026-06-08 06:47:44+02;2026-06-08 06:47:44+02;;;;;;;;;27797388741;;;;;;;;;;;;;</t>
        </is>
      </c>
    </row>
    <row r="276">
      <c r="A276" t="inlineStr">
        <is>
          <t>ID_275</t>
        </is>
      </c>
      <c r="J276" t="inlineStr">
        <is>
          <t>14814828;6879104b-aec8-4dc6-b147-635bce3cd4fa;;30001085;ussd_funeral_leads_altitude_20260601;;;;;TDN;6;2026-06-11 14:57:21+02;system;2026-06-08 06:47:44+02;2026-06-08 06:47:44+02;;;;;;;;;27765490428;;;;;;;;;;;;;</t>
        </is>
      </c>
      <c r="K276" t="inlineStr">
        <is>
          <t>14814828;6879104b-aec8-4dc6-b147-635bce3cd4fa;;30001085;ussd_funeral_leads_altitude_20260601;;;;;TDN;6;2026-06-11 14:57:21+02;system;2026-06-08 06:47:44+02;2026-06-08 06:47:44+02;;;;;;;;;27765490428;;;;;;;;;;;;;</t>
        </is>
      </c>
    </row>
    <row r="277">
      <c r="A277" t="inlineStr">
        <is>
          <t>ID_276</t>
        </is>
      </c>
      <c r="J277" t="inlineStr">
        <is>
          <t>14814829;af3a409e-0cbb-4e73-9f89-529451d7dc96;;30001085;ussd_funeral_leads_altitude_20260601;;;;;NA;6;2026-06-11 15:41:12+02;system;2026-06-08 06:47:44+02;2026-06-08 06:47:44+02;;;;;;;;;27792127411;;;;;;;;;;;;;</t>
        </is>
      </c>
      <c r="K277" t="inlineStr">
        <is>
          <t>14814829;af3a409e-0cbb-4e73-9f89-529451d7dc96;;30001085;ussd_funeral_leads_altitude_20260601;;;;;NA;6;2026-06-11 15:41:12+02;system;2026-06-08 06:47:44+02;2026-06-08 06:47:44+02;;;;;;;;;27792127411;;;;;;;;;;;;;</t>
        </is>
      </c>
    </row>
    <row r="278">
      <c r="A278" t="inlineStr">
        <is>
          <t>ID_277</t>
        </is>
      </c>
      <c r="J278" t="inlineStr">
        <is>
          <t>14814830;839f7c68-e058-4422-a3ef-d9f5f8dbd407;;30001085;ussd_funeral_leads_altitude_20260601;;;;;TDN;6;2026-06-11 15:35:38+02;system;2026-06-08 06:47:44+02;2026-06-08 06:47:44+02;;;;;;;;;27608665698;;;;;;;;;;;;;</t>
        </is>
      </c>
      <c r="K278" t="inlineStr">
        <is>
          <t>14814830;839f7c68-e058-4422-a3ef-d9f5f8dbd407;;30001085;ussd_funeral_leads_altitude_20260601;;;;;TDN;6;2026-06-11 15:35:38+02;system;2026-06-08 06:47:44+02;2026-06-08 06:47:44+02;;;;;;;;;27608665698;;;;;;;;;;;;;</t>
        </is>
      </c>
    </row>
    <row r="279">
      <c r="A279" t="inlineStr">
        <is>
          <t>ID_278</t>
        </is>
      </c>
      <c r="J279" t="inlineStr">
        <is>
          <t>14814831;a0072bc7-1295-4810-b923-507d1f20e2aa;;30001085;ussd_funeral_leads_altitude_20260601;;;;;CU;6;2026-06-11 15:43:27+02;Vuyiswa Nxumalo;2026-06-08 06:47:44+02;2026-06-08 06:47:44+02;;;;;;;;;27790405178;;;;;;;;;;;;;</t>
        </is>
      </c>
      <c r="K279" t="inlineStr">
        <is>
          <t>14814831;a0072bc7-1295-4810-b923-507d1f20e2aa;;30001085;ussd_funeral_leads_altitude_20260601;;;;;CU;6;2026-06-11 15:43:27+02;Vuyiswa Nxumalo;2026-06-08 06:47:44+02;2026-06-08 06:47:44+02;;;;;;;;;27790405178;;;;;;;;;;;;;</t>
        </is>
      </c>
    </row>
    <row r="280">
      <c r="A280" t="inlineStr">
        <is>
          <t>ID_279</t>
        </is>
      </c>
      <c r="J280" t="inlineStr">
        <is>
          <t>14815145;ad2b0674-f3e7-4834-bb5a-69cffe506294;;30001085;ussd_funeral_leads_altitude_20260601;;;27765112862;;AE;6;2026-06-11 15:01:24+02;system;2026-06-08 06:47:44+02;2026-06-08 06:47:44+02;;;;;;;;;27765112862;;;;;;;;;;;;;</t>
        </is>
      </c>
      <c r="K280" t="inlineStr">
        <is>
          <t>14815145;ad2b0674-f3e7-4834-bb5a-69cffe506294;;30001085;ussd_funeral_leads_altitude_20260601;;;27765112862;;AE;6;2026-06-11 15:01:24+02;system;2026-06-08 06:47:44+02;2026-06-08 06:47:44+02;;;;;;;;;27765112862;;;;;;;;;;;;;</t>
        </is>
      </c>
    </row>
    <row r="281">
      <c r="A281" t="inlineStr">
        <is>
          <t>ID_280</t>
        </is>
      </c>
      <c r="J281" t="inlineStr">
        <is>
          <t>14814855;bcf3aa6e-06c3-425c-8611-ef60af79e128;;30001085;ussd_funeral_leads_altitude_20260601;;;;;ADC;6;2026-06-11 14:49:56+02;system;2026-06-08 06:47:44+02;2026-06-08 06:47:44+02;;;;;;;;;27796397983;;;;;;;;;;;;;</t>
        </is>
      </c>
      <c r="K281" t="inlineStr">
        <is>
          <t>14814855;bcf3aa6e-06c3-425c-8611-ef60af79e128;;30001085;ussd_funeral_leads_altitude_20260601;;;;;ADC;6;2026-06-11 14:49:56+02;system;2026-06-08 06:47:44+02;2026-06-08 06:47:44+02;;;;;;;;;27796397983;;;;;;;;;;;;;</t>
        </is>
      </c>
    </row>
    <row r="282">
      <c r="A282" t="inlineStr">
        <is>
          <t>ID_281</t>
        </is>
      </c>
      <c r="J282" t="inlineStr">
        <is>
          <t>14814856;efbf71f9-7949-48d2-a849-826df1057814;;30001085;ussd_funeral_leads_altitude_20260601;;;;;ADC;6;2026-06-11 14:50:07+02;system;2026-06-08 06:47:44+02;2026-06-08 06:47:44+02;;;;;;;;;27661791623;;;;;;;;;;;;;</t>
        </is>
      </c>
      <c r="K282" t="inlineStr">
        <is>
          <t>14814856;efbf71f9-7949-48d2-a849-826df1057814;;30001085;ussd_funeral_leads_altitude_20260601;;;;;ADC;6;2026-06-11 14:50:07+02;system;2026-06-08 06:47:44+02;2026-06-08 06:47:44+02;;;;;;;;;27661791623;;;;;;;;;;;;;</t>
        </is>
      </c>
    </row>
    <row r="283">
      <c r="A283" t="inlineStr">
        <is>
          <t>ID_282</t>
        </is>
      </c>
      <c r="J283" t="inlineStr">
        <is>
          <t>14814857;c1035627-a70b-47f5-a3b9-6037d2236993;;30001085;ussd_funeral_leads_altitude_20260601;;;;;AA;6;2026-06-11 14:47:48+02;system;2026-06-08 06:47:44+02;2026-06-08 06:47:44+02;;;;;;;;;27823664503;;;;;;;;;;;;;</t>
        </is>
      </c>
      <c r="K283" t="inlineStr">
        <is>
          <t>14814857;c1035627-a70b-47f5-a3b9-6037d2236993;;30001085;ussd_funeral_leads_altitude_20260601;;;;;AA;6;2026-06-11 14:47:48+02;system;2026-06-08 06:47:44+02;2026-06-08 06:47:44+02;;;;;;;;;27823664503;;;;;;;;;;;;;</t>
        </is>
      </c>
    </row>
    <row r="284">
      <c r="A284" t="inlineStr">
        <is>
          <t>ID_283</t>
        </is>
      </c>
      <c r="J284" t="inlineStr">
        <is>
          <t>14815031;8b09f9ab-c08a-46bd-bc5a-f42a412082a4;;30001085;ussd_funeral_leads_altitude_20260601;;;;;TDN;6;2026-06-11 15:11:15+02;system;2026-06-08 06:47:44+02;2026-06-08 06:47:44+02;;;;;;;;;27760243458;;;;;;;;;;;;;</t>
        </is>
      </c>
      <c r="K284" t="inlineStr">
        <is>
          <t>14815031;8b09f9ab-c08a-46bd-bc5a-f42a412082a4;;30001085;ussd_funeral_leads_altitude_20260601;;;;;TDN;6;2026-06-11 15:11:15+02;system;2026-06-08 06:47:44+02;2026-06-08 06:47:44+02;;;;;;;;;27760243458;;;;;;;;;;;;;</t>
        </is>
      </c>
    </row>
    <row r="285">
      <c r="A285" t="inlineStr">
        <is>
          <t>ID_284</t>
        </is>
      </c>
      <c r="J285" t="inlineStr">
        <is>
          <t>14815032;885d4666-6955-4b8c-bd40-56eca05d09c3;;30001085;ussd_funeral_leads_altitude_20260601;;;;;AA;6;2026-06-11 15:11:17+02;system;2026-06-08 06:47:44+02;2026-06-08 06:47:44+02;;;;;;;;;27661442334;;;;;;;;;;;;;</t>
        </is>
      </c>
      <c r="K285" t="inlineStr">
        <is>
          <t>14815032;885d4666-6955-4b8c-bd40-56eca05d09c3;;30001085;ussd_funeral_leads_altitude_20260601;;;;;AA;6;2026-06-11 15:11:17+02;system;2026-06-08 06:47:44+02;2026-06-08 06:47:44+02;;;;;;;;;27661442334;;;;;;;;;;;;;</t>
        </is>
      </c>
    </row>
    <row r="286">
      <c r="A286" t="inlineStr">
        <is>
          <t>ID_285</t>
        </is>
      </c>
      <c r="J286" t="inlineStr">
        <is>
          <t>14814832;baa51659-e693-4c2d-b873-10c7a3693d3f;;30001085;ussd_funeral_leads_altitude_20260601;;;;;N;7;2026-06-12 12:02:58+02;Vuyiswa Nxumalo;2026-06-08 06:47:44+02;2026-06-08 06:47:44+02;;;;;;;;;27723568050;;;;;;;;;;;;;</t>
        </is>
      </c>
      <c r="K286" t="inlineStr">
        <is>
          <t>14814832;baa51659-e693-4c2d-b873-10c7a3693d3f;;30001085;ussd_funeral_leads_altitude_20260601;;;;;N;7;2026-06-12 12:02:58+02;Vuyiswa Nxumalo;2026-06-08 06:47:44+02;2026-06-08 06:47:44+02;;;;;;;;;27723568050;;;;;;;;;;;;;</t>
        </is>
      </c>
    </row>
    <row r="287">
      <c r="A287" t="inlineStr">
        <is>
          <t>ID_286</t>
        </is>
      </c>
      <c r="J287" t="inlineStr">
        <is>
          <t>14814833;44a4769c-1656-444d-98fd-f754acde1a62;;30001085;ussd_funeral_leads_altitude_20260601;;;;;TDN;6;2026-06-11 15:35:29+02;system;2026-06-08 06:47:44+02;2026-06-08 06:47:44+02;;;;;;;;;27761705783;;;;;;;;;;;;;</t>
        </is>
      </c>
      <c r="K287" t="inlineStr">
        <is>
          <t>14814833;44a4769c-1656-444d-98fd-f754acde1a62;;30001085;ussd_funeral_leads_altitude_20260601;;;;;TDN;6;2026-06-11 15:35:29+02;system;2026-06-08 06:47:44+02;2026-06-08 06:47:44+02;;;;;;;;;27761705783;;;;;;;;;;;;;</t>
        </is>
      </c>
    </row>
    <row r="288">
      <c r="A288" t="inlineStr">
        <is>
          <t>ID_287</t>
        </is>
      </c>
      <c r="J288" t="inlineStr">
        <is>
          <t>14814834;063d5e1f-f69d-4e16-b03e-c0140c199a00;;30001085;ussd_funeral_leads_altitude_20260601;;;;;TDN;6;2026-06-11 15:35:02+02;system;2026-06-08 06:47:44+02;2026-06-08 06:47:44+02;;;;;;;;;27769603740;;;;;;;;;;;;;</t>
        </is>
      </c>
      <c r="K288" t="inlineStr">
        <is>
          <t>14814834;063d5e1f-f69d-4e16-b03e-c0140c199a00;;30001085;ussd_funeral_leads_altitude_20260601;;;;;TDN;6;2026-06-11 15:35:02+02;system;2026-06-08 06:47:44+02;2026-06-08 06:47:44+02;;;;;;;;;27769603740;;;;;;;;;;;;;</t>
        </is>
      </c>
    </row>
    <row r="289">
      <c r="A289" t="inlineStr">
        <is>
          <t>ID_288</t>
        </is>
      </c>
      <c r="J289" t="inlineStr">
        <is>
          <t>14815033;4c2db43c-07e3-4b7e-9c76-a0dfa7eddd71;;30001085;ussd_funeral_leads_altitude_20260601;;;;;AE;6;2026-06-11 15:11:27+02;system;2026-06-08 06:47:44+02;2026-06-08 06:47:44+02;;;;;;;;;27725754501;;;;;;;;;;;;;</t>
        </is>
      </c>
      <c r="K289" t="inlineStr">
        <is>
          <t>14815033;4c2db43c-07e3-4b7e-9c76-a0dfa7eddd71;;30001085;ussd_funeral_leads_altitude_20260601;;;;;AE;6;2026-06-11 15:11:27+02;system;2026-06-08 06:47:44+02;2026-06-08 06:47:44+02;;;;;;;;;27725754501;;;;;;;;;;;;;</t>
        </is>
      </c>
    </row>
    <row r="290">
      <c r="A290" t="inlineStr">
        <is>
          <t>ID_289</t>
        </is>
      </c>
      <c r="J290" t="inlineStr">
        <is>
          <t>14814835;a6d6aeeb-5036-459d-9550-12617848c4e7;;30001085;ussd_funeral_leads_altitude_20260601;;;;;CU;7;2026-06-12 10:10:18+02;Goitsimang Mogwasa;2026-06-08 06:47:44+02;2026-06-08 06:47:44+02;;;;;;;;;27795648563;;;;;;;;;;;;;</t>
        </is>
      </c>
      <c r="K290" t="inlineStr">
        <is>
          <t>14814835;a6d6aeeb-5036-459d-9550-12617848c4e7;;30001085;ussd_funeral_leads_altitude_20260601;;;;;CU;7;2026-06-12 10:10:18+02;Goitsimang Mogwasa;2026-06-08 06:47:44+02;2026-06-08 06:47:44+02;;;;;;;;;27795648563;;;;;;;;;;;;;</t>
        </is>
      </c>
    </row>
    <row r="291">
      <c r="A291" t="inlineStr">
        <is>
          <t>ID_290</t>
        </is>
      </c>
      <c r="J291" t="inlineStr">
        <is>
          <t>14814836;af7b3a3c-38d1-49ef-80c4-e07d4ca162f2;;30001085;ussd_funeral_leads_altitude_20260601;;;;;NA;6;2026-06-11 15:35:01+02;system;2026-06-08 06:47:44+02;2026-06-08 06:47:44+02;;;;;;;;;27764786426;;;;;;;;;;;;;</t>
        </is>
      </c>
      <c r="K291" t="inlineStr">
        <is>
          <t>14814836;af7b3a3c-38d1-49ef-80c4-e07d4ca162f2;;30001085;ussd_funeral_leads_altitude_20260601;;;;;NA;6;2026-06-11 15:35:01+02;system;2026-06-08 06:47:44+02;2026-06-08 06:47:44+02;;;;;;;;;27764786426;;;;;;;;;;;;;</t>
        </is>
      </c>
    </row>
    <row r="292">
      <c r="A292" t="inlineStr">
        <is>
          <t>ID_291</t>
        </is>
      </c>
      <c r="J292" t="inlineStr">
        <is>
          <t>14815034;74dcdb07-a1c2-4240-a2f9-71acc650e91d;;30001085;ussd_funeral_leads_altitude_20260601;;;;;NA;6;2026-06-11 15:11:32+02;system;2026-06-08 06:47:44+02;2026-06-08 06:47:44+02;;;;;;;;;27795580302;;;;;;;;;;;;;</t>
        </is>
      </c>
      <c r="K292" t="inlineStr">
        <is>
          <t>14815034;74dcdb07-a1c2-4240-a2f9-71acc650e91d;;30001085;ussd_funeral_leads_altitude_20260601;;;;;NA;6;2026-06-11 15:11:32+02;system;2026-06-08 06:47:44+02;2026-06-08 06:47:44+02;;;;;;;;;27795580302;;;;;;;;;;;;;</t>
        </is>
      </c>
    </row>
    <row r="293">
      <c r="A293" t="inlineStr">
        <is>
          <t>ID_292</t>
        </is>
      </c>
      <c r="J293" t="inlineStr">
        <is>
          <t>14814837;6502a9da-ea25-4db0-aca4-27f9c4116b7b;;30001085;ussd_funeral_leads_altitude_20260601;;;;;AA;6;2026-06-11 15:34:55+02;system;2026-06-08 06:47:44+02;2026-06-08 06:47:44+02;;;;;;;;;27673727505;;;;;;;;;;;;;</t>
        </is>
      </c>
      <c r="K293" t="inlineStr">
        <is>
          <t>14814837;6502a9da-ea25-4db0-aca4-27f9c4116b7b;;30001085;ussd_funeral_leads_altitude_20260601;;;;;AA;6;2026-06-11 15:34:55+02;system;2026-06-08 06:47:44+02;2026-06-08 06:47:44+02;;;;;;;;;27673727505;;;;;;;;;;;;;</t>
        </is>
      </c>
    </row>
    <row r="294">
      <c r="A294" t="inlineStr">
        <is>
          <t>ID_293</t>
        </is>
      </c>
      <c r="J294" t="inlineStr">
        <is>
          <t>14814838;154cdc85-9cde-4ec2-b878-29d43392673a;;30001085;ussd_funeral_leads_altitude_20260601;;;;;AE;6;2026-06-11 15:34:52+02;system;2026-06-08 06:47:44+02;2026-06-08 06:47:44+02;;;;;;;;;27656245547;;;;;;;;;;;;;</t>
        </is>
      </c>
      <c r="K294" t="inlineStr">
        <is>
          <t>14814838;154cdc85-9cde-4ec2-b878-29d43392673a;;30001085;ussd_funeral_leads_altitude_20260601;;;;;AE;6;2026-06-11 15:34:52+02;system;2026-06-08 06:47:44+02;2026-06-08 06:47:44+02;;;;;;;;;27656245547;;;;;;;;;;;;;</t>
        </is>
      </c>
    </row>
    <row r="295">
      <c r="A295" t="inlineStr">
        <is>
          <t>ID_294</t>
        </is>
      </c>
      <c r="J295" t="inlineStr">
        <is>
          <t>14814858;3753c06f-27a1-4b5f-a2a0-a9ea3f60b154;;30001085;ussd_funeral_leads_altitude_20260601;;;;;ADC;6;2026-06-11 14:48:11+02;system;2026-06-08 06:47:44+02;2026-06-08 06:47:44+02;;;;;;;;;27727981412;;;;;;;;;;;;;</t>
        </is>
      </c>
      <c r="K295" t="inlineStr">
        <is>
          <t>14814858;3753c06f-27a1-4b5f-a2a0-a9ea3f60b154;;30001085;ussd_funeral_leads_altitude_20260601;;;;;ADC;6;2026-06-11 14:48:11+02;system;2026-06-08 06:47:44+02;2026-06-08 06:47:44+02;;;;;;;;;27727981412;;;;;;;;;;;;;</t>
        </is>
      </c>
    </row>
    <row r="296">
      <c r="A296" t="inlineStr">
        <is>
          <t>ID_295</t>
        </is>
      </c>
      <c r="J296" t="inlineStr">
        <is>
          <t>14814859;c82ab5a2-b750-4ade-964c-6b3a79c097a9;;30001085;ussd_funeral_leads_altitude_20260601;;;;;AA;6;2026-06-11 15:34:09+02;system;2026-06-08 06:47:44+02;2026-06-08 06:47:44+02;;;;;;;;;27794259167;;;;;;;;;;;;;</t>
        </is>
      </c>
      <c r="K296" t="inlineStr">
        <is>
          <t>14814859;c82ab5a2-b750-4ade-964c-6b3a79c097a9;;30001085;ussd_funeral_leads_altitude_20260601;;;;;AA;6;2026-06-11 15:34:09+02;system;2026-06-08 06:47:44+02;2026-06-08 06:47:44+02;;;;;;;;;27794259167;;;;;;;;;;;;;</t>
        </is>
      </c>
    </row>
    <row r="297">
      <c r="A297" t="inlineStr">
        <is>
          <t>ID_296</t>
        </is>
      </c>
      <c r="J297" t="inlineStr">
        <is>
          <t>14814860;e2d8305a-458c-4697-b35b-34e94baf1a5f;;30001085;ussd_funeral_leads_altitude_20260601;;;;;NA;6;2026-06-11 14:48:19+02;system;2026-06-08 06:47:44+02;2026-06-08 06:47:44+02;;;;;;;;;27791891518;;;;;;;;;;;;;</t>
        </is>
      </c>
      <c r="K297" t="inlineStr">
        <is>
          <t>14814860;e2d8305a-458c-4697-b35b-34e94baf1a5f;;30001085;ussd_funeral_leads_altitude_20260601;;;;;NA;6;2026-06-11 14:48:19+02;system;2026-06-08 06:47:44+02;2026-06-08 06:47:44+02;;;;;;;;;27791891518;;;;;;;;;;;;;</t>
        </is>
      </c>
    </row>
    <row r="298">
      <c r="A298" t="inlineStr">
        <is>
          <t>ID_297</t>
        </is>
      </c>
      <c r="J298" t="inlineStr">
        <is>
          <t>14814861;4b8da4a4-f7e2-4aeb-9ae6-7c28b8d30e07;;30001085;ussd_funeral_leads_altitude_20260601;;;;;ADC;6;2026-06-11 14:45:23+02;system;2026-06-08 06:47:44+02;2026-06-08 06:47:44+02;;;;;;;;;27674971834;;;;;;;;;;;;;</t>
        </is>
      </c>
      <c r="K298" t="inlineStr">
        <is>
          <t>14814861;4b8da4a4-f7e2-4aeb-9ae6-7c28b8d30e07;;30001085;ussd_funeral_leads_altitude_20260601;;;;;ADC;6;2026-06-11 14:45:23+02;system;2026-06-08 06:47:44+02;2026-06-08 06:47:44+02;;;;;;;;;27674971834;;;;;;;;;;;;;</t>
        </is>
      </c>
    </row>
    <row r="299">
      <c r="A299" t="inlineStr">
        <is>
          <t>ID_298</t>
        </is>
      </c>
      <c r="J299" t="inlineStr">
        <is>
          <t>14814862;d4a376a3-71e6-42a3-8024-0d2ffe4f6bbe;;30001085;ussd_funeral_leads_altitude_20260601;;;;;QAVER;10;2026-06-13 12:22:08+02;Vuyiswa Nxumalo;2026-06-08 06:47:44+02;2026-06-08 06:47:44+02;;;;;;;;;27827633100;;;;;;;;;;;;;</t>
        </is>
      </c>
      <c r="K299" t="inlineStr">
        <is>
          <t>14814862;d4a376a3-71e6-42a3-8024-0d2ffe4f6bbe;;30001085;ussd_funeral_leads_altitude_20260601;;;;;QAVER;10;2026-06-13 12:22:08+02;Vuyiswa Nxumalo;2026-06-08 06:47:44+02;2026-06-08 06:47:44+02;;;;;;;;;27827633100;;;;;;;;;;;;;</t>
        </is>
      </c>
    </row>
    <row r="300">
      <c r="A300" t="inlineStr">
        <is>
          <t>ID_299</t>
        </is>
      </c>
      <c r="J300" t="inlineStr">
        <is>
          <t>14814863;bd18a51a-4acc-40b1-8388-5e09b9d04ba7;;30001085;ussd_funeral_leads_altitude_20260601;;;;;AA;6;2026-06-11 15:34:07+02;system;2026-06-08 06:47:44+02;2026-06-08 06:47:44+02;;;;;;;;;27774810125;;;;;;;;;;;;;</t>
        </is>
      </c>
      <c r="K300" t="inlineStr">
        <is>
          <t>14814863;bd18a51a-4acc-40b1-8388-5e09b9d04ba7;;30001085;ussd_funeral_leads_altitude_20260601;;;;;AA;6;2026-06-11 15:34:07+02;system;2026-06-08 06:47:44+02;2026-06-08 06:47:44+02;;;;;;;;;27774810125;;;;;;;;;;;;;</t>
        </is>
      </c>
    </row>
    <row r="301">
      <c r="A301" t="inlineStr">
        <is>
          <t>ID_300</t>
        </is>
      </c>
      <c r="J301" t="inlineStr">
        <is>
          <t>14814864;0a855a9c-3e26-42f9-8175-581dc24c9c8c;;30001085;ussd_funeral_leads_altitude_20260601;;;;;AA;6;2026-06-11 15:34:07+02;system;2026-06-08 06:47:44+02;2026-06-08 06:47:44+02;;;;;;;;;27648624912;;;;;;;;;;;;;</t>
        </is>
      </c>
      <c r="K301" t="inlineStr">
        <is>
          <t>14814864;0a855a9c-3e26-42f9-8175-581dc24c9c8c;;30001085;ussd_funeral_leads_altitude_20260601;;;;;AA;6;2026-06-11 15:34:07+02;system;2026-06-08 06:47:44+02;2026-06-08 06:47:44+02;;;;;;;;;27648624912;;;;;;;;;;;;;</t>
        </is>
      </c>
    </row>
    <row r="302">
      <c r="A302" t="inlineStr">
        <is>
          <t>ID_301</t>
        </is>
      </c>
      <c r="J302" t="inlineStr">
        <is>
          <t>14814865;71433fca-2d62-4666-b812-93529a24fcc5;;30001085;ussd_funeral_leads_altitude_20260601;;;;;NA;6;2026-06-11 15:34:02+02;system;2026-06-08 06:47:44+02;2026-06-08 06:47:44+02;;;;;;;;;27721594256;;;;;;;;;;;;;</t>
        </is>
      </c>
      <c r="K302" t="inlineStr">
        <is>
          <t>14814865;71433fca-2d62-4666-b812-93529a24fcc5;;30001085;ussd_funeral_leads_altitude_20260601;;;;;NA;6;2026-06-11 15:34:02+02;system;2026-06-08 06:47:44+02;2026-06-08 06:47:44+02;;;;;;;;;27721594256;;;;;;;;;;;;;</t>
        </is>
      </c>
    </row>
    <row r="303">
      <c r="A303" t="inlineStr">
        <is>
          <t>ID_302</t>
        </is>
      </c>
      <c r="J303" t="inlineStr">
        <is>
          <t>14814839;6a294eeb-c10f-40c4-8897-0488a728cbd2;;30001085;ussd_funeral_leads_altitude_20260601;;;;;ADC;6;2026-06-11 15:34:50+02;system;2026-06-08 06:47:44+02;2026-06-08 06:47:44+02;;;;;;;;;27637444900;;;;;;;;;;;;;</t>
        </is>
      </c>
      <c r="K303" t="inlineStr">
        <is>
          <t>14814839;6a294eeb-c10f-40c4-8897-0488a728cbd2;;30001085;ussd_funeral_leads_altitude_20260601;;;;;ADC;6;2026-06-11 15:34:50+02;system;2026-06-08 06:47:44+02;2026-06-08 06:47:44+02;;;;;;;;;27637444900;;;;;;;;;;;;;</t>
        </is>
      </c>
    </row>
    <row r="304">
      <c r="A304" t="inlineStr">
        <is>
          <t>ID_303</t>
        </is>
      </c>
      <c r="J304" t="inlineStr">
        <is>
          <t>14814840;42fe4b2d-eb34-400c-a1d1-61bf8ac53f35;;30001085;ussd_funeral_leads_altitude_20260601;;;;;N;7;2026-06-10 09:44:36+02;Lebohang Mabotja;2026-06-08 06:47:44+02;2026-06-08 06:47:44+02;;;;;;;;;27660808932;;;;;;;;;;;;;</t>
        </is>
      </c>
      <c r="K304" t="inlineStr">
        <is>
          <t>14814840;42fe4b2d-eb34-400c-a1d1-61bf8ac53f35;;30001085;ussd_funeral_leads_altitude_20260601;;;;;N;7;2026-06-10 09:44:36+02;Lebohang Mabotja;2026-06-08 06:47:44+02;2026-06-08 06:47:44+02;;;;;;;;;27660808932;;;;;;;;;;;;;</t>
        </is>
      </c>
    </row>
    <row r="305">
      <c r="A305" t="inlineStr">
        <is>
          <t>ID_304</t>
        </is>
      </c>
      <c r="J305" t="inlineStr">
        <is>
          <t>14814866;d05bdab7-6c52-4003-8b9a-161f02baf812;;30001085;ussd_funeral_leads_altitude_20260601;;;;;EC;1;2026-06-08 13:54:35+02;Lebohang Mabotja;2026-06-08 06:47:44+02;2026-06-08 06:47:44+02;;;;;;;;;27712027042;;;;;;;;;;;;;</t>
        </is>
      </c>
      <c r="K305" t="inlineStr">
        <is>
          <t>14814866;d05bdab7-6c52-4003-8b9a-161f02baf812;;30001085;ussd_funeral_leads_altitude_20260601;;;;;EC;1;2026-06-08 13:54:35+02;Lebohang Mabotja;2026-06-08 06:47:44+02;2026-06-08 06:47:44+02;;;;;;;;;27712027042;;;;;;;;;;;;;</t>
        </is>
      </c>
    </row>
    <row r="306">
      <c r="A306" t="inlineStr">
        <is>
          <t>ID_305</t>
        </is>
      </c>
      <c r="J306" t="inlineStr">
        <is>
          <t>14814867;93bb77bd-7b0f-4325-945b-7040fdb90e8e;;30001085;ussd_funeral_leads_altitude_20260601;;;;;U;1;2026-06-08 13:50:56+02;Lebohang Mabotja;2026-06-08 06:47:44+02;2026-06-08 06:47:44+02;;;;;;;;;27647458121;;;;;;;;;;;;;</t>
        </is>
      </c>
      <c r="K306" t="inlineStr">
        <is>
          <t>14814867;93bb77bd-7b0f-4325-945b-7040fdb90e8e;;30001085;ussd_funeral_leads_altitude_20260601;;;;;U;1;2026-06-08 13:50:56+02;Lebohang Mabotja;2026-06-08 06:47:44+02;2026-06-08 06:47:44+02;;;;;;;;;27647458121;;;;;;;;;;;;;</t>
        </is>
      </c>
    </row>
    <row r="307">
      <c r="A307" t="inlineStr">
        <is>
          <t>ID_306</t>
        </is>
      </c>
      <c r="J307" t="inlineStr">
        <is>
          <t>14814868;c9bb770b-68ca-4cd3-b873-b93a0fdc41b5;;30001085;ussd_funeral_leads_altitude_20260601;;;;;CU;6;2026-06-11 14:45:32+02;Goitsimang Mogwasa;2026-06-08 06:47:44+02;2026-06-08 06:47:44+02;;;;;;;;;27768730269;;;;;;;;;;;;;</t>
        </is>
      </c>
      <c r="K307" t="inlineStr">
        <is>
          <t>14814868;c9bb770b-68ca-4cd3-b873-b93a0fdc41b5;;30001085;ussd_funeral_leads_altitude_20260601;;;;;CU;6;2026-06-11 14:45:32+02;Goitsimang Mogwasa;2026-06-08 06:47:44+02;2026-06-08 06:47:44+02;;;;;;;;;27768730269;;;;;;;;;;;;;</t>
        </is>
      </c>
    </row>
    <row r="308">
      <c r="A308" t="inlineStr">
        <is>
          <t>ID_307</t>
        </is>
      </c>
      <c r="J308" t="inlineStr">
        <is>
          <t>14815035;0ed9e5d5-865d-41ec-90e2-d20cc4d04efa;;30001085;ussd_funeral_leads_altitude_20260601;;;;;CBACK;5;2026-06-10 16:25:20+02;Gontse Monageng;2026-06-08 06:47:44+02;2026-06-08 06:47:44+02;;;;;;;;;27766694679;;;;;;;;;;;;;</t>
        </is>
      </c>
      <c r="K308" t="inlineStr">
        <is>
          <t>14815035;0ed9e5d5-865d-41ec-90e2-d20cc4d04efa;;30001085;ussd_funeral_leads_altitude_20260601;;;;;CBACK;5;2026-06-10 16:25:20+02;Gontse Monageng;2026-06-08 06:47:44+02;2026-06-08 06:47:44+02;;;;;;;;;27766694679;;;;;;;;;;;;;</t>
        </is>
      </c>
    </row>
    <row r="309">
      <c r="A309" t="inlineStr">
        <is>
          <t>ID_308</t>
        </is>
      </c>
      <c r="J309" t="inlineStr">
        <is>
          <t>14814841;11d5fda6-3812-42b4-927b-6ab309a0a3a0;;30001085;ussd_funeral_leads_altitude_20260601;;;;;NI;4;2026-06-10 12:16:14+02;Lebohang Mabotja;2026-06-08 06:47:44+02;2026-06-08 06:47:44+02;;;;;;;;;27715672300;;;;;;;;;;;;;</t>
        </is>
      </c>
      <c r="K309" t="inlineStr">
        <is>
          <t>14814841;11d5fda6-3812-42b4-927b-6ab309a0a3a0;;30001085;ussd_funeral_leads_altitude_20260601;;;;;NI;4;2026-06-10 12:16:14+02;Lebohang Mabotja;2026-06-08 06:47:44+02;2026-06-08 06:47:44+02;;;;;;;;;27715672300;;;;;;;;;;;;;</t>
        </is>
      </c>
    </row>
    <row r="310">
      <c r="A310" t="inlineStr">
        <is>
          <t>ID_309</t>
        </is>
      </c>
      <c r="J310" t="inlineStr">
        <is>
          <t>14814869;7eba2327-cbad-465a-8ca4-f9aebb1c0662;;30001085;ussd_funeral_leads_altitude_20260601;;;27729316762;;A;9;2026-06-13 10:34:40+02;Goitsimang Mogwasa;2026-06-08 06:47:44+02;2026-06-08 06:47:44+02;;;;;;;;;27729316762;;;;;;;;;;;;;</t>
        </is>
      </c>
      <c r="K310" t="inlineStr">
        <is>
          <t>14814869;7eba2327-cbad-465a-8ca4-f9aebb1c0662;;30001085;ussd_funeral_leads_altitude_20260601;;;27729316762;;A;9;2026-06-13 10:34:40+02;Goitsimang Mogwasa;2026-06-08 06:47:44+02;2026-06-08 06:47:44+02;;;;;;;;;27729316762;;;;;;;;;;;;;</t>
        </is>
      </c>
    </row>
    <row r="311">
      <c r="A311" t="inlineStr">
        <is>
          <t>ID_310</t>
        </is>
      </c>
      <c r="J311" t="inlineStr">
        <is>
          <t>14814842;ea997f1b-fff0-4fd8-853b-039543f72614;;30001085;ussd_funeral_leads_altitude_20260601;;;;;NA;6;2026-06-11 15:34:45+02;system;2026-06-08 06:47:44+02;2026-06-08 06:47:44+02;;;;;;;;;27712951380;;;;;;;;;;;;;</t>
        </is>
      </c>
      <c r="K311" t="inlineStr">
        <is>
          <t>14814842;ea997f1b-fff0-4fd8-853b-039543f72614;;30001085;ussd_funeral_leads_altitude_20260601;;;;;NA;6;2026-06-11 15:34:45+02;system;2026-06-08 06:47:44+02;2026-06-08 06:47:44+02;;;;;;;;;27712951380;;;;;;;;;;;;;</t>
        </is>
      </c>
    </row>
    <row r="312">
      <c r="A312" t="inlineStr">
        <is>
          <t>ID_311</t>
        </is>
      </c>
      <c r="J312" t="inlineStr">
        <is>
          <t>14814870;d6b7833f-40fd-40ed-ad1d-6222997e4ab1;;30001085;ussd_funeral_leads_altitude_20260601;;;;;DROP;6;2026-06-11 14:45:44+02;system;2026-06-08 06:47:44+02;2026-06-08 06:47:44+02;;;;;;;;;27663812452;;;;;;;;;;;;;</t>
        </is>
      </c>
      <c r="K312" t="inlineStr">
        <is>
          <t>14814870;d6b7833f-40fd-40ed-ad1d-6222997e4ab1;;30001085;ussd_funeral_leads_altitude_20260601;;;;;DROP;6;2026-06-11 14:45:44+02;system;2026-06-08 06:47:44+02;2026-06-08 06:47:44+02;;;;;;;;;27663812452;;;;;;;;;;;;;</t>
        </is>
      </c>
    </row>
    <row r="313">
      <c r="A313" t="inlineStr">
        <is>
          <t>ID_312</t>
        </is>
      </c>
      <c r="J313" t="inlineStr">
        <is>
          <t>14814843;fc2639f3-1f94-45e9-acba-f5e0f464a497;;30001085;ussd_funeral_leads_altitude_20260601;;;;;AA;6;2026-06-11 14:49:18+02;system;2026-06-08 06:47:44+02;2026-06-08 06:47:44+02;;;;;;;;;27765796823;;;;;;;;;;;;;</t>
        </is>
      </c>
      <c r="K313" t="inlineStr">
        <is>
          <t>14814843;fc2639f3-1f94-45e9-acba-f5e0f464a497;;30001085;ussd_funeral_leads_altitude_20260601;;;;;AA;6;2026-06-11 14:49:18+02;system;2026-06-08 06:47:44+02;2026-06-08 06:47:44+02;;;;;;;;;27765796823;;;;;;;;;;;;;</t>
        </is>
      </c>
    </row>
    <row r="314">
      <c r="A314" t="inlineStr">
        <is>
          <t>ID_313</t>
        </is>
      </c>
      <c r="J314" t="inlineStr">
        <is>
          <t>14814844;33076d09-57b9-40c2-aa35-66f8c66dcddd;;30001085;ussd_funeral_leads_altitude_20260601;;;;;QAVER;1;2026-06-08 13:43:38+02;Gontse Monageng;2026-06-08 06:47:44+02;2026-06-08 06:47:44+02;;;;;;;;;27647707072;;;;;;;;;;;;;</t>
        </is>
      </c>
      <c r="K314" t="inlineStr">
        <is>
          <t>14814844;33076d09-57b9-40c2-aa35-66f8c66dcddd;;30001085;ussd_funeral_leads_altitude_20260601;;;;;QAVER;1;2026-06-08 13:43:38+02;Gontse Monageng;2026-06-08 06:47:44+02;2026-06-08 06:47:44+02;;;;;;;;;27647707072;;;;;;;;;;;;;</t>
        </is>
      </c>
    </row>
    <row r="315">
      <c r="A315" t="inlineStr">
        <is>
          <t>ID_314</t>
        </is>
      </c>
      <c r="J315" t="inlineStr">
        <is>
          <t>14814871;0389c6fa-8a52-412e-9836-c883b63bb5b9;;30001085;ussd_funeral_leads_altitude_20260601;;;27769067726;;A;15;2026-06-27 12:40:25+02;Gontse Monageng;2026-06-08 06:47:44+02;2026-06-08 06:47:44+02;;;;;;;;;27769067726;;;;;;;;;;;;;</t>
        </is>
      </c>
      <c r="K315" t="inlineStr">
        <is>
          <t>14814871;0389c6fa-8a52-412e-9836-c883b63bb5b9;;30001085;ussd_funeral_leads_altitude_20260601;;;27769067726;;A;15;2026-06-27 12:40:25+02;Gontse Monageng;2026-06-08 06:47:44+02;2026-06-08 06:47:44+02;;;;;;;;;27769067726;;;;;;;;;;;;;</t>
        </is>
      </c>
    </row>
    <row r="316">
      <c r="A316" t="inlineStr">
        <is>
          <t>ID_315</t>
        </is>
      </c>
      <c r="J316" t="inlineStr">
        <is>
          <t>14814872;5ee8b9d6-45c3-4394-b43a-36281d6747ad;;30001085;ussd_funeral_leads_altitude_20260601;;;;;QAVER;3;2026-06-10 09:10:31+02;Goitsimang Mogwasa;2026-06-08 06:47:44+02;2026-06-08 06:47:44+02;;;;;;;;;27674900592;;;;;;;;;;;;;</t>
        </is>
      </c>
      <c r="K316" t="inlineStr">
        <is>
          <t>14814872;5ee8b9d6-45c3-4394-b43a-36281d6747ad;;30001085;ussd_funeral_leads_altitude_20260601;;;;;QAVER;3;2026-06-10 09:10:31+02;Goitsimang Mogwasa;2026-06-08 06:47:44+02;2026-06-08 06:47:44+02;;;;;;;;;27674900592;;;;;;;;;;;;;</t>
        </is>
      </c>
    </row>
    <row r="317">
      <c r="A317" t="inlineStr">
        <is>
          <t>ID_316</t>
        </is>
      </c>
      <c r="J317" t="inlineStr">
        <is>
          <t>14814845;c94dd386-5143-4695-80d7-92b6fd76e935;;30001085;ussd_funeral_leads_altitude_20260601;;;;;AA;6;2026-06-11 15:34:31+02;system;2026-06-08 06:47:44+02;2026-06-08 06:47:44+02;;;;;;;;;27721522499;;;;;;;;;;;;;</t>
        </is>
      </c>
      <c r="K317" t="inlineStr">
        <is>
          <t>14814845;c94dd386-5143-4695-80d7-92b6fd76e935;;30001085;ussd_funeral_leads_altitude_20260601;;;;;AA;6;2026-06-11 15:34:31+02;system;2026-06-08 06:47:44+02;2026-06-08 06:47:44+02;;;;;;;;;27721522499;;;;;;;;;;;;;</t>
        </is>
      </c>
    </row>
    <row r="318">
      <c r="A318" t="inlineStr">
        <is>
          <t>ID_317</t>
        </is>
      </c>
      <c r="J318" t="inlineStr">
        <is>
          <t>14814846;9202b5e7-64c9-4de9-a077-d38b439e5671;;30001085;ussd_funeral_leads_altitude_20260601;;;;;CU;6;2026-06-11 15:34:15+02;Vuyiswa Nxumalo;2026-06-08 06:47:44+02;2026-06-08 06:47:44+02;;;;;;;;;27767053839;;;;;;;;;;;;;</t>
        </is>
      </c>
      <c r="K318" t="inlineStr">
        <is>
          <t>14814846;9202b5e7-64c9-4de9-a077-d38b439e5671;;30001085;ussd_funeral_leads_altitude_20260601;;;;;CU;6;2026-06-11 15:34:15+02;Vuyiswa Nxumalo;2026-06-08 06:47:44+02;2026-06-08 06:47:44+02;;;;;;;;;27767053839;;;;;;;;;;;;;</t>
        </is>
      </c>
    </row>
    <row r="319">
      <c r="A319" t="inlineStr">
        <is>
          <t>ID_318</t>
        </is>
      </c>
      <c r="J319" t="inlineStr">
        <is>
          <t>14814873;27eb54fd-85bb-4af0-82ac-dfa8ee3cacff;;30001085;ussd_funeral_leads_altitude_20260601;;;;;ADC;6;2026-06-11 14:46:13+02;system;2026-06-08 06:47:44+02;2026-06-08 06:47:44+02;;;;;;;;;27818175518;;;;;;;;;;;;;</t>
        </is>
      </c>
      <c r="K319" t="inlineStr">
        <is>
          <t>14814873;27eb54fd-85bb-4af0-82ac-dfa8ee3cacff;;30001085;ussd_funeral_leads_altitude_20260601;;;;;ADC;6;2026-06-11 14:46:13+02;system;2026-06-08 06:47:44+02;2026-06-08 06:47:44+02;;;;;;;;;27818175518;;;;;;;;;;;;;</t>
        </is>
      </c>
    </row>
    <row r="320">
      <c r="A320" t="inlineStr">
        <is>
          <t>ID_319</t>
        </is>
      </c>
      <c r="J320" t="inlineStr">
        <is>
          <t>14814874;9ea5f7fc-2d01-4852-a381-866d99770163;;30001085;ussd_funeral_leads_altitude_20260601;;;;;AA;6;2026-06-11 15:33:43+02;system;2026-06-08 06:47:44+02;2026-06-08 06:47:44+02;;;;;;;;;27797926052;;;;;;;;;;;;;</t>
        </is>
      </c>
      <c r="K320" t="inlineStr">
        <is>
          <t>14814874;9ea5f7fc-2d01-4852-a381-866d99770163;;30001085;ussd_funeral_leads_altitude_20260601;;;;;AA;6;2026-06-11 15:33:43+02;system;2026-06-08 06:47:44+02;2026-06-08 06:47:44+02;;;;;;;;;27797926052;;;;;;;;;;;;;</t>
        </is>
      </c>
    </row>
    <row r="321">
      <c r="A321" t="inlineStr">
        <is>
          <t>ID_320</t>
        </is>
      </c>
      <c r="J321" t="inlineStr">
        <is>
          <t>14815036;9d8d4a1d-0128-4d59-b0f5-b7b5783840d6;;30001085;ussd_funeral_leads_altitude_20260601;;;;;NI;1;2026-06-08 15:22:14+02;Vuyiswa Nxumalo;2026-06-08 06:47:44+02;2026-06-08 06:47:44+02;;;;;;;;;27795041409;;;;;;;;;;;;;</t>
        </is>
      </c>
      <c r="K321" t="inlineStr">
        <is>
          <t>14815036;9d8d4a1d-0128-4d59-b0f5-b7b5783840d6;;30001085;ussd_funeral_leads_altitude_20260601;;;;;NI;1;2026-06-08 15:22:14+02;Vuyiswa Nxumalo;2026-06-08 06:47:44+02;2026-06-08 06:47:44+02;;;;;;;;;27795041409;;;;;;;;;;;;;</t>
        </is>
      </c>
    </row>
    <row r="322">
      <c r="A322" t="inlineStr">
        <is>
          <t>ID_321</t>
        </is>
      </c>
      <c r="J322" t="inlineStr">
        <is>
          <t>14814847;14335447-1508-4a19-b909-3acf36c150cd;;30001085;ussd_funeral_leads_altitude_20260601;;;;;AA;6;2026-06-11 14:49:24+02;system;2026-06-08 06:47:44+02;2026-06-08 06:47:44+02;;;;;;;;;27646783702;;;;;;;;;;;;;</t>
        </is>
      </c>
      <c r="K322" t="inlineStr">
        <is>
          <t>14814847;14335447-1508-4a19-b909-3acf36c150cd;;30001085;ussd_funeral_leads_altitude_20260601;;;;;AA;6;2026-06-11 14:49:24+02;system;2026-06-08 06:47:44+02;2026-06-08 06:47:44+02;;;;;;;;;27646783702;;;;;;;;;;;;;</t>
        </is>
      </c>
    </row>
    <row r="323">
      <c r="A323" t="inlineStr">
        <is>
          <t>ID_322</t>
        </is>
      </c>
      <c r="J323" t="inlineStr">
        <is>
          <t>14814875;22b716c6-2c03-438f-b986-445177168dde;;30001085;ussd_funeral_leads_altitude_20260601;;;;;AE;6;2026-06-11 14:48:31+02;system;2026-06-08 06:47:44+02;2026-06-08 06:47:44+02;;;;;;;;;27767551994;;;;;;;;;;;;;</t>
        </is>
      </c>
      <c r="K323" t="inlineStr">
        <is>
          <t>14814875;22b716c6-2c03-438f-b986-445177168dde;;30001085;ussd_funeral_leads_altitude_20260601;;;;;AE;6;2026-06-11 14:48:31+02;system;2026-06-08 06:47:44+02;2026-06-08 06:47:44+02;;;;;;;;;27767551994;;;;;;;;;;;;;</t>
        </is>
      </c>
    </row>
    <row r="324">
      <c r="A324" t="inlineStr">
        <is>
          <t>ID_323</t>
        </is>
      </c>
      <c r="J324" t="inlineStr">
        <is>
          <t>14814848;43cdb5ac-d0ab-46a3-b428-1dac5c4fa809;;30001085;ussd_funeral_leads_altitude_20260601;;;27720862924;;IABDN;6;2026-06-16 10:43:52+02;system;2026-06-08 06:47:44+02;2026-06-08 06:47:44+02;;;;;;;;;27720862924;;;;;;;;;;;;;</t>
        </is>
      </c>
      <c r="K324" t="inlineStr">
        <is>
          <t>14814848;43cdb5ac-d0ab-46a3-b428-1dac5c4fa809;;30001085;ussd_funeral_leads_altitude_20260601;;;27720862924;;IABDN;6;2026-06-16 10:43:52+02;system;2026-06-08 06:47:44+02;2026-06-08 06:47:44+02;;;;;;;;;27720862924;;;;;;;;;;;;;</t>
        </is>
      </c>
    </row>
    <row r="325">
      <c r="A325" t="inlineStr">
        <is>
          <t>ID_324</t>
        </is>
      </c>
      <c r="J325" t="inlineStr">
        <is>
          <t>14814876;35148a80-5db1-44e6-8c74-432375fb9937;;30001085;ussd_funeral_leads_altitude_20260601;;;;;AA;6;2026-06-11 15:33:37+02;system;2026-06-08 06:47:44+02;2026-06-08 06:47:44+02;;;;;;;;;27661170262;;;;;;;;;;;;;</t>
        </is>
      </c>
      <c r="K325" t="inlineStr">
        <is>
          <t>14814876;35148a80-5db1-44e6-8c74-432375fb9937;;30001085;ussd_funeral_leads_altitude_20260601;;;;;AA;6;2026-06-11 15:33:37+02;system;2026-06-08 06:47:44+02;2026-06-08 06:47:44+02;;;;;;;;;27661170262;;;;;;;;;;;;;</t>
        </is>
      </c>
    </row>
    <row r="326">
      <c r="A326" t="inlineStr">
        <is>
          <t>ID_325</t>
        </is>
      </c>
      <c r="J326" t="inlineStr">
        <is>
          <t>14814849;65cad44b-6bbb-41ad-bac0-6ea2ab29e849;;30001085;ussd_funeral_leads_altitude_20260601;;;;;NA;6;2026-06-11 15:40:56+02;system;2026-06-08 06:47:44+02;2026-06-08 06:47:44+02;;;;;;;;;27824205665;;;;;;;;;;;;;</t>
        </is>
      </c>
      <c r="K326" t="inlineStr">
        <is>
          <t>14814849;65cad44b-6bbb-41ad-bac0-6ea2ab29e849;;30001085;ussd_funeral_leads_altitude_20260601;;;;;NA;6;2026-06-11 15:40:56+02;system;2026-06-08 06:47:44+02;2026-06-08 06:47:44+02;;;;;;;;;27824205665;;;;;;;;;;;;;</t>
        </is>
      </c>
    </row>
    <row r="327">
      <c r="A327" t="inlineStr">
        <is>
          <t>ID_326</t>
        </is>
      </c>
      <c r="J327" t="inlineStr">
        <is>
          <t>14814850;969f3bf1-b140-41c8-b8fb-1b85b15c9148;;30001085;ussd_funeral_leads_altitude_20260601;;;;;TDN;6;2026-06-11 14:49:47+02;system;2026-06-08 06:47:44+02;2026-06-08 06:47:44+02;;;;;;;;;27766885075;;;;;;;;;;;;;</t>
        </is>
      </c>
      <c r="K327" t="inlineStr">
        <is>
          <t>14814850;969f3bf1-b140-41c8-b8fb-1b85b15c9148;;30001085;ussd_funeral_leads_altitude_20260601;;;;;TDN;6;2026-06-11 14:49:47+02;system;2026-06-08 06:47:44+02;2026-06-08 06:47:44+02;;;;;;;;;27766885075;;;;;;;;;;;;;</t>
        </is>
      </c>
    </row>
    <row r="328">
      <c r="A328" t="inlineStr">
        <is>
          <t>ID_327</t>
        </is>
      </c>
      <c r="J328" t="inlineStr">
        <is>
          <t>14814877;00c29cfb-52da-4928-8d19-7369811d3f07;;30001085;ussd_funeral_leads_altitude_20260601;;;;;AF;4;2026-06-10 12:26:43+02;Gontse Monageng;2026-06-08 06:47:44+02;2026-06-08 06:47:44+02;;;;;;;;;27798117928;;;;;;;;;;;;;</t>
        </is>
      </c>
      <c r="K328" t="inlineStr">
        <is>
          <t>14814877;00c29cfb-52da-4928-8d19-7369811d3f07;;30001085;ussd_funeral_leads_altitude_20260601;;;;;AF;4;2026-06-10 12:26:43+02;Gontse Monageng;2026-06-08 06:47:44+02;2026-06-08 06:47:44+02;;;;;;;;;27798117928;;;;;;;;;;;;;</t>
        </is>
      </c>
    </row>
    <row r="329">
      <c r="A329" t="inlineStr">
        <is>
          <t>ID_328</t>
        </is>
      </c>
      <c r="J329" t="inlineStr">
        <is>
          <t>14814851;be2660ed-3c1b-4fc0-8565-2e200da8e318;;30001085;ussd_funeral_leads_altitude_20260601;;;27607253363;;ADC;6;2026-06-11 15:43:28+02;system;2026-06-08 06:47:44+02;2026-06-08 06:47:44+02;;;;;;;;;27607253363;;;;;;;;;;;;;</t>
        </is>
      </c>
      <c r="K329" t="inlineStr">
        <is>
          <t>14814851;be2660ed-3c1b-4fc0-8565-2e200da8e318;;30001085;ussd_funeral_leads_altitude_20260601;;;27607253363;;ADC;6;2026-06-11 15:43:28+02;system;2026-06-08 06:47:44+02;2026-06-08 06:47:44+02;;;;;;;;;27607253363;;;;;;;;;;;;;</t>
        </is>
      </c>
    </row>
    <row r="330">
      <c r="A330" t="inlineStr">
        <is>
          <t>ID_329</t>
        </is>
      </c>
      <c r="J330" t="inlineStr">
        <is>
          <t>14814878;3fb581f6-aa46-4f96-ad3b-a1214f05ebfb;;30001085;ussd_funeral_leads_altitude_20260601;;;;;NI;4;2026-06-10 11:35:15+02;Gontse Monageng;2026-06-08 06:47:44+02;2026-06-08 06:47:44+02;;;;;;;;;27607346834;;;;;;;;;;;;;</t>
        </is>
      </c>
      <c r="K330" t="inlineStr">
        <is>
          <t>14814878;3fb581f6-aa46-4f96-ad3b-a1214f05ebfb;;30001085;ussd_funeral_leads_altitude_20260601;;;;;NI;4;2026-06-10 11:35:15+02;Gontse Monageng;2026-06-08 06:47:44+02;2026-06-08 06:47:44+02;;;;;;;;;27607346834;;;;;;;;;;;;;</t>
        </is>
      </c>
    </row>
    <row r="331">
      <c r="A331" t="inlineStr">
        <is>
          <t>ID_330</t>
        </is>
      </c>
      <c r="J331" t="inlineStr">
        <is>
          <t>14814852;55e04f7f-7cfd-42fb-9836-54fa9f42ac33;;30001085;ussd_funeral_leads_altitude_20260601;;;;;AF;2;2026-06-09 11:05:53+02;Vuyiswa Nxumalo;2026-06-08 06:47:44+02;2026-06-08 06:47:44+02;;;;;;;;;27727903651;;;;;;;;;;;;;</t>
        </is>
      </c>
      <c r="K331" t="inlineStr">
        <is>
          <t>14814852;55e04f7f-7cfd-42fb-9836-54fa9f42ac33;;30001085;ussd_funeral_leads_altitude_20260601;;;;;AF;2;2026-06-09 11:05:53+02;Vuyiswa Nxumalo;2026-06-08 06:47:44+02;2026-06-08 06:47:44+02;;;;;;;;;27727903651;;;;;;;;;;;;;</t>
        </is>
      </c>
    </row>
    <row r="332">
      <c r="A332" t="inlineStr">
        <is>
          <t>ID_331</t>
        </is>
      </c>
      <c r="J332" t="inlineStr">
        <is>
          <t>14815038;900c52a0-eb7e-46da-8da6-d468fd808143;;30001085;ussd_funeral_leads_altitude_20260601;;;;;ADC;6;2026-06-11 15:11:38+02;system;2026-06-08 06:47:44+02;2026-06-08 06:47:44+02;;;;;;;;;27765398902;;;;;;;;;;;;;</t>
        </is>
      </c>
      <c r="K332" t="inlineStr">
        <is>
          <t>14815038;900c52a0-eb7e-46da-8da6-d468fd808143;;30001085;ussd_funeral_leads_altitude_20260601;;;;;ADC;6;2026-06-11 15:11:38+02;system;2026-06-08 06:47:44+02;2026-06-08 06:47:44+02;;;;;;;;;27765398902;;;;;;;;;;;;;</t>
        </is>
      </c>
    </row>
    <row r="333">
      <c r="A333" t="inlineStr">
        <is>
          <t>ID_332</t>
        </is>
      </c>
      <c r="J333" t="inlineStr">
        <is>
          <t>14814853;9a6fe153-eb81-4c25-8841-d28c379410df;;30001085;ussd_funeral_leads_altitude_20260601;;;;;AA;6;2026-06-11 15:34:45+02;system;2026-06-08 06:47:44+02;2026-06-08 06:47:44+02;;;;;;;;;27727403930;;;;;;;;;;;;;</t>
        </is>
      </c>
      <c r="K333" t="inlineStr">
        <is>
          <t>14814853;9a6fe153-eb81-4c25-8841-d28c379410df;;30001085;ussd_funeral_leads_altitude_20260601;;;;;AA;6;2026-06-11 15:34:45+02;system;2026-06-08 06:47:44+02;2026-06-08 06:47:44+02;;;;;;;;;27727403930;;;;;;;;;;;;;</t>
        </is>
      </c>
    </row>
    <row r="334">
      <c r="A334" t="inlineStr">
        <is>
          <t>ID_333</t>
        </is>
      </c>
      <c r="J334" t="inlineStr">
        <is>
          <t>14815039;072d1862-555e-445c-afad-81805ef1d0e6;;30001085;ussd_funeral_leads_altitude_20260601;;;;;CU;13;2026-06-26 14:01:03+02;Gontse Monageng;2026-06-08 06:47:44+02;2026-06-08 06:47:44+02;;;;;;;;;27795759578;;;;;;;;;;;;;</t>
        </is>
      </c>
      <c r="K334" t="inlineStr">
        <is>
          <t>14815039;072d1862-555e-445c-afad-81805ef1d0e6;;30001085;ussd_funeral_leads_altitude_20260601;;;;;CU;13;2026-06-26 14:01:03+02;Gontse Monageng;2026-06-08 06:47:44+02;2026-06-08 06:47:44+02;;;;;;;;;27795759578;;;;;;;;;;;;;</t>
        </is>
      </c>
    </row>
    <row r="335">
      <c r="A335" t="inlineStr">
        <is>
          <t>ID_334</t>
        </is>
      </c>
      <c r="J335" t="inlineStr">
        <is>
          <t>14815040;b350b2ea-adf9-4a54-9c00-4f82bdfde0aa;;30001085;ussd_funeral_leads_altitude_20260601;;;;;ADC;6;2026-06-11 15:11:40+02;system;2026-06-08 06:47:44+02;2026-06-08 06:47:44+02;;;;;;;;;27608122362;;;;;;;;;;;;;</t>
        </is>
      </c>
      <c r="K335" t="inlineStr">
        <is>
          <t>14815040;b350b2ea-adf9-4a54-9c00-4f82bdfde0aa;;30001085;ussd_funeral_leads_altitude_20260601;;;;;ADC;6;2026-06-11 15:11:40+02;system;2026-06-08 06:47:44+02;2026-06-08 06:47:44+02;;;;;;;;;27608122362;;;;;;;;;;;;;</t>
        </is>
      </c>
    </row>
    <row r="336">
      <c r="A336" t="inlineStr">
        <is>
          <t>ID_335</t>
        </is>
      </c>
      <c r="J336" t="inlineStr">
        <is>
          <t>14815041;786c754b-f236-44b1-b938-c5171818c42f;;30001085;ussd_funeral_leads_altitude_20260601;;;;;N;7;2026-06-12 10:13:23+02;Vuyiswa Nxumalo;2026-06-08 06:47:44+02;2026-06-08 06:47:44+02;;;;;;;;;27660397160;;;;;;;;;;;;;</t>
        </is>
      </c>
      <c r="K336" t="inlineStr">
        <is>
          <t>14815041;786c754b-f236-44b1-b938-c5171818c42f;;30001085;ussd_funeral_leads_altitude_20260601;;;;;N;7;2026-06-12 10:13:23+02;Vuyiswa Nxumalo;2026-06-08 06:47:44+02;2026-06-08 06:47:44+02;;;;;;;;;27660397160;;;;;;;;;;;;;</t>
        </is>
      </c>
    </row>
    <row r="337">
      <c r="A337" t="inlineStr">
        <is>
          <t>ID_336</t>
        </is>
      </c>
      <c r="J337" t="inlineStr">
        <is>
          <t>14815042;69ba3060-2f2a-40ca-89d7-1131dd531654;;30001085;ussd_funeral_leads_altitude_20260601;;;;;AE;6;2026-06-11 15:11:47+02;system;2026-06-08 06:47:44+02;2026-06-08 06:47:44+02;;;;;;;;;27722478667;;;;;;;;;;;;;</t>
        </is>
      </c>
      <c r="K337" t="inlineStr">
        <is>
          <t>14815042;69ba3060-2f2a-40ca-89d7-1131dd531654;;30001085;ussd_funeral_leads_altitude_20260601;;;;;AE;6;2026-06-11 15:11:47+02;system;2026-06-08 06:47:44+02;2026-06-08 06:47:44+02;;;;;;;;;27722478667;;;;;;;;;;;;;</t>
        </is>
      </c>
    </row>
    <row r="338">
      <c r="A338" t="inlineStr">
        <is>
          <t>ID_337</t>
        </is>
      </c>
      <c r="J338" t="inlineStr">
        <is>
          <t>14815043;7a6b9865-f13d-4b85-871c-2bfaadce6f81;;30001085;ussd_funeral_leads_altitude_20260601;;;;;NA;6;2026-06-11 15:11:47+02;system;2026-06-08 06:47:44+02;2026-06-08 06:47:44+02;;;;;;;;;27722768231;;;;;;;;;;;;;</t>
        </is>
      </c>
      <c r="K338" t="inlineStr">
        <is>
          <t>14815043;7a6b9865-f13d-4b85-871c-2bfaadce6f81;;30001085;ussd_funeral_leads_altitude_20260601;;;;;NA;6;2026-06-11 15:11:47+02;system;2026-06-08 06:47:44+02;2026-06-08 06:47:44+02;;;;;;;;;27722768231;;;;;;;;;;;;;</t>
        </is>
      </c>
    </row>
    <row r="339">
      <c r="A339" t="inlineStr">
        <is>
          <t>ID_338</t>
        </is>
      </c>
      <c r="J339" t="inlineStr">
        <is>
          <t>14815044;98e216db-474f-4631-8a40-34083cfa1f57;;30001085;ussd_funeral_leads_altitude_20260601;;;;;DNQS;1;2026-06-08 14:59:09+02;Virginia Letsatsi;2026-06-08 06:47:44+02;2026-06-08 06:47:44+02;;;;;;;;;27675897223;;;;;;;;;;;;;</t>
        </is>
      </c>
      <c r="K339" t="inlineStr">
        <is>
          <t>14815044;98e216db-474f-4631-8a40-34083cfa1f57;;30001085;ussd_funeral_leads_altitude_20260601;;;;;DNQS;1;2026-06-08 14:59:09+02;Virginia Letsatsi;2026-06-08 06:47:44+02;2026-06-08 06:47:44+02;;;;;;;;;27675897223;;;;;;;;;;;;;</t>
        </is>
      </c>
    </row>
    <row r="340">
      <c r="A340" t="inlineStr">
        <is>
          <t>ID_339</t>
        </is>
      </c>
      <c r="J340" t="inlineStr">
        <is>
          <t>14814879;fef3d524-69c5-4348-8955-7858787130bd;;30001085;ussd_funeral_leads_altitude_20260601;;;;;N;6;2026-06-15 10:56:03+02;Gontse Monageng;2026-06-08 06:47:44+02;2026-06-08 06:47:44+02;;;;;;;;;27847592049;;;;;;;;;;;;;</t>
        </is>
      </c>
      <c r="K340" t="inlineStr">
        <is>
          <t>14814879;fef3d524-69c5-4348-8955-7858787130bd;;30001085;ussd_funeral_leads_altitude_20260601;;;;;N;6;2026-06-15 10:56:03+02;Gontse Monageng;2026-06-08 06:47:44+02;2026-06-08 06:47:44+02;;;;;;;;;27847592049;;;;;;;;;;;;;</t>
        </is>
      </c>
    </row>
    <row r="341">
      <c r="A341" t="inlineStr">
        <is>
          <t>ID_340</t>
        </is>
      </c>
      <c r="J341" t="inlineStr">
        <is>
          <t>14814854;1c68244f-32de-48ce-a2da-c69eb4b44a97;;30001085;ussd_funeral_leads_altitude_20260601;;;;;NA;6;2026-06-11 15:34:15+02;system;2026-06-08 06:47:44+02;2026-06-08 06:47:44+02;;;;;;;;;27791448763;;;;;;;;;;;;;</t>
        </is>
      </c>
      <c r="K341" t="inlineStr">
        <is>
          <t>14814854;1c68244f-32de-48ce-a2da-c69eb4b44a97;;30001085;ussd_funeral_leads_altitude_20260601;;;;;NA;6;2026-06-11 15:34:15+02;system;2026-06-08 06:47:44+02;2026-06-08 06:47:44+02;;;;;;;;;27791448763;;;;;;;;;;;;;</t>
        </is>
      </c>
    </row>
    <row r="342">
      <c r="A342" t="inlineStr">
        <is>
          <t>ID_341</t>
        </is>
      </c>
      <c r="J342" t="inlineStr">
        <is>
          <t>14814880;8c8b029b-5dbb-44e7-ab6d-a25bfbcf024e;;30001085;ussd_funeral_leads_altitude_20260601;;;;;AA;6;2026-06-11 15:33:32+02;system;2026-06-08 06:47:44+02;2026-06-08 06:47:44+02;;;;;;;;;27728747024;;;;;;;;;;;;;</t>
        </is>
      </c>
      <c r="K342" t="inlineStr">
        <is>
          <t>14814880;8c8b029b-5dbb-44e7-ab6d-a25bfbcf024e;;30001085;ussd_funeral_leads_altitude_20260601;;;;;AA;6;2026-06-11 15:33:32+02;system;2026-06-08 06:47:44+02;2026-06-08 06:47:44+02;;;;;;;;;27728747024;;;;;;;;;;;;;</t>
        </is>
      </c>
    </row>
    <row r="343">
      <c r="A343" t="inlineStr">
        <is>
          <t>ID_342</t>
        </is>
      </c>
      <c r="J343" t="inlineStr">
        <is>
          <t>14814881;1c9faa9b-1ffb-49c5-942a-6e14ca73e8df;;30001085;ussd_funeral_leads_altitude_20260601;;;;;CU;6;2026-06-11 15:33:11+02;Lebohang Mabotja;2026-06-08 06:47:44+02;2026-06-08 06:47:44+02;;;;;;;;;27725584374;;;;;;;;;;;;;</t>
        </is>
      </c>
      <c r="K343" t="inlineStr">
        <is>
          <t>14814881;1c9faa9b-1ffb-49c5-942a-6e14ca73e8df;;30001085;ussd_funeral_leads_altitude_20260601;;;;;CU;6;2026-06-11 15:33:11+02;Lebohang Mabotja;2026-06-08 06:47:44+02;2026-06-08 06:47:44+02;;;;;;;;;27725584374;;;;;;;;;;;;;</t>
        </is>
      </c>
    </row>
    <row r="344">
      <c r="A344" t="inlineStr">
        <is>
          <t>ID_343</t>
        </is>
      </c>
      <c r="J344" t="inlineStr">
        <is>
          <t>14814882;de145810-162f-4615-be84-f49a5f1baeb7;;30001085;ussd_funeral_leads_altitude_20260601;;;;;TDN;6;2026-06-11 14:48:37+02;system;2026-06-08 06:47:44+02;2026-06-08 06:47:44+02;;;;;;;;;27796790068;;;;;;;;;;;;;</t>
        </is>
      </c>
      <c r="K344" t="inlineStr">
        <is>
          <t>14814882;de145810-162f-4615-be84-f49a5f1baeb7;;30001085;ussd_funeral_leads_altitude_20260601;;;;;TDN;6;2026-06-11 14:48:37+02;system;2026-06-08 06:47:44+02;2026-06-08 06:47:44+02;;;;;;;;;27796790068;;;;;;;;;;;;;</t>
        </is>
      </c>
    </row>
    <row r="345">
      <c r="A345" t="inlineStr">
        <is>
          <t>ID_344</t>
        </is>
      </c>
      <c r="J345" t="inlineStr">
        <is>
          <t>14815045;9983f2e1-876f-42ab-b4e0-5f66298e7275;;30001085;ussd_funeral_leads_altitude_20260601;;;;;AE;6;2026-06-11 15:11:48+02;system;2026-06-08 06:47:44+02;2026-06-08 06:47:44+02;;;;;;;;;27720840849;;;;;;;;;;;;;</t>
        </is>
      </c>
      <c r="K345" t="inlineStr">
        <is>
          <t>14815045;9983f2e1-876f-42ab-b4e0-5f66298e7275;;30001085;ussd_funeral_leads_altitude_20260601;;;;;AE;6;2026-06-11 15:11:48+02;system;2026-06-08 06:47:44+02;2026-06-08 06:47:44+02;;;;;;;;;27720840849;;;;;;;;;;;;;</t>
        </is>
      </c>
    </row>
    <row r="346">
      <c r="A346" t="inlineStr">
        <is>
          <t>ID_345</t>
        </is>
      </c>
      <c r="J346" t="inlineStr">
        <is>
          <t>14815223;1fe804f7-bf0c-43ab-8e07-197f8e4dd702;;30001085;ussd_funeral_leads_altitude_20260601;;;;;NA;6;2026-06-11 15:24:20+02;system;2026-06-08 06:47:44+02;2026-06-08 06:47:44+02;;;;;;;;;27762656451;;;;;;;;;;;;;</t>
        </is>
      </c>
      <c r="K346" t="inlineStr">
        <is>
          <t>14815223;1fe804f7-bf0c-43ab-8e07-197f8e4dd702;;30001085;ussd_funeral_leads_altitude_20260601;;;;;NA;6;2026-06-11 15:24:20+02;system;2026-06-08 06:47:44+02;2026-06-08 06:47:44+02;;;;;;;;;27762656451;;;;;;;;;;;;;</t>
        </is>
      </c>
    </row>
    <row r="347">
      <c r="A347" t="inlineStr">
        <is>
          <t>ID_346</t>
        </is>
      </c>
      <c r="J347" t="inlineStr">
        <is>
          <t>14815046;f37bc3d9-21b7-4dc4-a825-c25f3edd654e;;30001085;ussd_funeral_leads_altitude_20260601;;;;;CBACK;6;2026-06-11 15:11:51+02;Gontse Monageng;2026-06-08 06:47:44+02;2026-06-08 06:47:44+02;;;;;;;;;27729441534;;;;;;;;;;;;;</t>
        </is>
      </c>
      <c r="K347" t="inlineStr">
        <is>
          <t>14815046;f37bc3d9-21b7-4dc4-a825-c25f3edd654e;;30001085;ussd_funeral_leads_altitude_20260601;;;;;CBACK;6;2026-06-11 15:11:51+02;Gontse Monageng;2026-06-08 06:47:44+02;2026-06-08 06:47:44+02;;;;;;;;;27729441534;;;;;;;;;;;;;</t>
        </is>
      </c>
    </row>
    <row r="348">
      <c r="A348" t="inlineStr">
        <is>
          <t>ID_347</t>
        </is>
      </c>
      <c r="J348" t="inlineStr">
        <is>
          <t>14815047;1a13da2d-862d-4313-ae33-636c9112cc84;;30001085;ussd_funeral_leads_altitude_20260601;;;;;AA;6;2026-06-11 15:08:44+02;system;2026-06-08 06:47:44+02;2026-06-08 06:47:44+02;;;;;;;;;27774781894;;;;;;;;;;;;;</t>
        </is>
      </c>
      <c r="K348" t="inlineStr">
        <is>
          <t>14815047;1a13da2d-862d-4313-ae33-636c9112cc84;;30001085;ussd_funeral_leads_altitude_20260601;;;;;AA;6;2026-06-11 15:08:44+02;system;2026-06-08 06:47:44+02;2026-06-08 06:47:44+02;;;;;;;;;27774781894;;;;;;;;;;;;;</t>
        </is>
      </c>
    </row>
    <row r="349">
      <c r="A349" t="inlineStr">
        <is>
          <t>ID_348</t>
        </is>
      </c>
      <c r="J349" t="inlineStr">
        <is>
          <t>14815048;fda72beb-948b-4c64-a336-1d10d01abece;;30001085;ussd_funeral_leads_altitude_20260601;;;;;CU;6;2026-06-11 15:45:27+02;Goitsimang Mogwasa;2026-06-08 06:47:44+02;2026-06-08 06:47:44+02;;;;;;;;;27711820541;;;;;;;;;;;;;</t>
        </is>
      </c>
      <c r="K349" t="inlineStr">
        <is>
          <t>14815048;fda72beb-948b-4c64-a336-1d10d01abece;;30001085;ussd_funeral_leads_altitude_20260601;;;;;CU;6;2026-06-11 15:45:27+02;Goitsimang Mogwasa;2026-06-08 06:47:44+02;2026-06-08 06:47:44+02;;;;;;;;;27711820541;;;;;;;;;;;;;</t>
        </is>
      </c>
    </row>
    <row r="350">
      <c r="A350" t="inlineStr">
        <is>
          <t>ID_349</t>
        </is>
      </c>
      <c r="J350" t="inlineStr">
        <is>
          <t>14814883;019f938f-a3b4-45df-b27b-b79eace3f0df;;30001085;ussd_funeral_leads_altitude_20260601;;;;;ADC;6;2026-06-11 14:48:54+02;system;2026-06-08 06:47:44+02;2026-06-08 06:47:44+02;;;;;;;;;27766871137;;;;;;;;;;;;;</t>
        </is>
      </c>
      <c r="K350" t="inlineStr">
        <is>
          <t>14814883;019f938f-a3b4-45df-b27b-b79eace3f0df;;30001085;ussd_funeral_leads_altitude_20260601;;;;;ADC;6;2026-06-11 14:48:54+02;system;2026-06-08 06:47:44+02;2026-06-08 06:47:44+02;;;;;;;;;27766871137;;;;;;;;;;;;;</t>
        </is>
      </c>
    </row>
    <row r="351">
      <c r="A351" t="inlineStr">
        <is>
          <t>ID_350</t>
        </is>
      </c>
      <c r="J351" t="inlineStr">
        <is>
          <t>14814884;4088cf3e-8367-49a9-bc9f-b404068e828e;;30001085;ussd_funeral_leads_altitude_20260601;;;;;NA;6;2026-06-11 14:48:56+02;system;2026-06-08 06:47:44+02;2026-06-08 06:47:44+02;;;;;;;;;27712716729;;;;;;;;;;;;;</t>
        </is>
      </c>
      <c r="K351" t="inlineStr">
        <is>
          <t>14814884;4088cf3e-8367-49a9-bc9f-b404068e828e;;30001085;ussd_funeral_leads_altitude_20260601;;;;;NA;6;2026-06-11 14:48:56+02;system;2026-06-08 06:47:44+02;2026-06-08 06:47:44+02;;;;;;;;;27712716729;;;;;;;;;;;;;</t>
        </is>
      </c>
    </row>
    <row r="352">
      <c r="A352" t="inlineStr">
        <is>
          <t>ID_351</t>
        </is>
      </c>
      <c r="J352" t="inlineStr">
        <is>
          <t>14814885;6ac5a0d9-e2ec-4b01-891e-1d6728d301b8;;30001085;ussd_funeral_leads_altitude_20260601;;;;;A;6;2026-06-11 17:02:06+02;Gontse Monageng;2026-06-08 06:47:44+02;2026-06-08 06:47:44+02;;;;;;;;;27727837671;;;;;;;;;;;;;</t>
        </is>
      </c>
      <c r="K352" t="inlineStr">
        <is>
          <t>14814885;6ac5a0d9-e2ec-4b01-891e-1d6728d301b8;;30001085;ussd_funeral_leads_altitude_20260601;;;;;A;6;2026-06-11 17:02:06+02;Gontse Monageng;2026-06-08 06:47:44+02;2026-06-08 06:47:44+02;;;;;;;;;27727837671;;;;;;;;;;;;;</t>
        </is>
      </c>
    </row>
    <row r="353">
      <c r="A353" t="inlineStr">
        <is>
          <t>ID_352</t>
        </is>
      </c>
      <c r="J353" t="inlineStr">
        <is>
          <t>14815225;8b0c069d-f5dc-4cfd-9218-3aef0b22fbff;;30001085;ussd_funeral_leads_altitude_20260601;;;;;AA;6;2026-06-11 15:24:20+02;system;2026-06-08 06:47:44+02;2026-06-08 06:47:44+02;;;;;;;;;27822567143;;;;;;;;;;;;;</t>
        </is>
      </c>
      <c r="K353" t="inlineStr">
        <is>
          <t>14815225;8b0c069d-f5dc-4cfd-9218-3aef0b22fbff;;30001085;ussd_funeral_leads_altitude_20260601;;;;;AA;6;2026-06-11 15:24:20+02;system;2026-06-08 06:47:44+02;2026-06-08 06:47:44+02;;;;;;;;;27822567143;;;;;;;;;;;;;</t>
        </is>
      </c>
    </row>
    <row r="354">
      <c r="A354" t="inlineStr">
        <is>
          <t>ID_353</t>
        </is>
      </c>
      <c r="J354" t="inlineStr">
        <is>
          <t>14815226;bf852b50-90ee-4d9e-954b-7db340f2191d;;30001085;ussd_funeral_leads_altitude_20260601;;;;;CU;6;2026-06-11 15:23:39+02;Gontse Monageng;2026-06-08 06:47:44+02;2026-06-08 06:47:44+02;;;;;;;;;27607701400;;;;;;;;;;;;;</t>
        </is>
      </c>
      <c r="K354" t="inlineStr">
        <is>
          <t>14815226;bf852b50-90ee-4d9e-954b-7db340f2191d;;30001085;ussd_funeral_leads_altitude_20260601;;;;;CU;6;2026-06-11 15:23:39+02;Gontse Monageng;2026-06-08 06:47:44+02;2026-06-08 06:47:44+02;;;;;;;;;27607701400;;;;;;;;;;;;;</t>
        </is>
      </c>
    </row>
    <row r="355">
      <c r="A355" t="inlineStr">
        <is>
          <t>ID_354</t>
        </is>
      </c>
      <c r="J355" t="inlineStr">
        <is>
          <t>14815227;215e0c03-7b76-4676-8380-6d782e209488;;30001085;ussd_funeral_leads_altitude_20260601;;;;;AA;6;2026-06-11 15:23:40+02;system;2026-06-08 06:47:44+02;2026-06-08 06:47:44+02;;;;;;;;;27827501092;;;;;;;;;;;;;</t>
        </is>
      </c>
      <c r="K355" t="inlineStr">
        <is>
          <t>14815227;215e0c03-7b76-4676-8380-6d782e209488;;30001085;ussd_funeral_leads_altitude_20260601;;;;;AA;6;2026-06-11 15:23:40+02;system;2026-06-08 06:47:44+02;2026-06-08 06:47:44+02;;;;;;;;;27827501092;;;;;;;;;;;;;</t>
        </is>
      </c>
    </row>
    <row r="356">
      <c r="A356" t="inlineStr">
        <is>
          <t>ID_355</t>
        </is>
      </c>
      <c r="J356" t="inlineStr">
        <is>
          <t>14815228;af6d547d-a88b-4a06-a427-896116f74631;;30001085;ussd_funeral_leads_altitude_20260601;;;;;AA;6;2026-06-11 15:23:33+02;system;2026-06-08 06:47:44+02;2026-06-08 06:47:44+02;;;;;;;;;27799107663;;;;;;;;;;;;;</t>
        </is>
      </c>
      <c r="K356" t="inlineStr">
        <is>
          <t>14815228;af6d547d-a88b-4a06-a427-896116f74631;;30001085;ussd_funeral_leads_altitude_20260601;;;;;AA;6;2026-06-11 15:23:33+02;system;2026-06-08 06:47:44+02;2026-06-08 06:47:44+02;;;;;;;;;27799107663;;;;;;;;;;;;;</t>
        </is>
      </c>
    </row>
    <row r="357">
      <c r="A357" t="inlineStr">
        <is>
          <t>ID_356</t>
        </is>
      </c>
      <c r="J357" t="inlineStr">
        <is>
          <t>14815229;47a6b597-e797-4bd8-ae11-e573e5390adf;;30001085;ussd_funeral_leads_altitude_20260601;;;;;NA;6;2026-06-11 15:23:32+02;system;2026-06-08 06:47:44+02;2026-06-08 06:47:44+02;;;;;;;;;27769367659;;;;;;;;;;;;;</t>
        </is>
      </c>
      <c r="K357" t="inlineStr">
        <is>
          <t>14815229;47a6b597-e797-4bd8-ae11-e573e5390adf;;30001085;ussd_funeral_leads_altitude_20260601;;;;;NA;6;2026-06-11 15:23:32+02;system;2026-06-08 06:47:44+02;2026-06-08 06:47:44+02;;;;;;;;;27769367659;;;;;;;;;;;;;</t>
        </is>
      </c>
    </row>
    <row r="358">
      <c r="A358" t="inlineStr">
        <is>
          <t>ID_357</t>
        </is>
      </c>
      <c r="J358" t="inlineStr">
        <is>
          <t>14814886;568a95c1-04d5-4f89-9244-a812f7b5ce72;;30001085;ussd_funeral_leads_altitude_20260601;;;;;ADC;6;2026-06-11 14:50:07+02;system;2026-06-08 06:47:44+02;2026-06-08 06:47:44+02;;;;;;;;;27664473444;;;;;;;;;;;;;</t>
        </is>
      </c>
      <c r="K358" t="inlineStr">
        <is>
          <t>14814886;568a95c1-04d5-4f89-9244-a812f7b5ce72;;30001085;ussd_funeral_leads_altitude_20260601;;;;;ADC;6;2026-06-11 14:50:07+02;system;2026-06-08 06:47:44+02;2026-06-08 06:47:44+02;;;;;;;;;27664473444;;;;;;;;;;;;;</t>
        </is>
      </c>
    </row>
    <row r="359">
      <c r="A359" t="inlineStr">
        <is>
          <t>ID_358</t>
        </is>
      </c>
      <c r="J359" t="inlineStr">
        <is>
          <t>14815231;2a0c5a86-8019-4692-8afc-ab69b205fc86;;30001085;ussd_funeral_leads_altitude_20260601;;;;;AA;6;2026-06-11 15:32:59+02;system;2026-06-08 06:47:44+02;2026-06-08 06:47:44+02;;;;;;;;;27772599464;;;;;;;;;;;;;</t>
        </is>
      </c>
      <c r="K359" t="inlineStr">
        <is>
          <t>14815231;2a0c5a86-8019-4692-8afc-ab69b205fc86;;30001085;ussd_funeral_leads_altitude_20260601;;;;;AA;6;2026-06-11 15:32:59+02;system;2026-06-08 06:47:44+02;2026-06-08 06:47:44+02;;;;;;;;;27772599464;;;;;;;;;;;;;</t>
        </is>
      </c>
    </row>
    <row r="360">
      <c r="A360" t="inlineStr">
        <is>
          <t>ID_359</t>
        </is>
      </c>
      <c r="J360" t="inlineStr">
        <is>
          <t>14815232;408654ef-1b0d-4679-973a-4e192f3a535b;;30001085;ussd_funeral_leads_altitude_20260601;;;;;AE;6;2026-06-11 15:23:29+02;system;2026-06-08 06:47:44+02;2026-06-08 06:47:44+02;;;;;;;;;27660161384;;;;;;;;;;;;;</t>
        </is>
      </c>
      <c r="K360" t="inlineStr">
        <is>
          <t>14815232;408654ef-1b0d-4679-973a-4e192f3a535b;;30001085;ussd_funeral_leads_altitude_20260601;;;;;AE;6;2026-06-11 15:23:29+02;system;2026-06-08 06:47:44+02;2026-06-08 06:47:44+02;;;;;;;;;27660161384;;;;;;;;;;;;;</t>
        </is>
      </c>
    </row>
    <row r="361">
      <c r="A361" t="inlineStr">
        <is>
          <t>ID_360</t>
        </is>
      </c>
      <c r="J361" t="inlineStr">
        <is>
          <t>14814887;4082a89f-9bf6-4a96-8232-44b03cf28b35;;30001085;ussd_funeral_leads_altitude_20260601;;;;;AA;6;2026-06-11 15:33:05+02;system;2026-06-08 06:47:44+02;2026-06-08 06:47:44+02;;;;;;;;;27766314373;;;;;;;;;;;;;</t>
        </is>
      </c>
      <c r="K361" t="inlineStr">
        <is>
          <t>14814887;4082a89f-9bf6-4a96-8232-44b03cf28b35;;30001085;ussd_funeral_leads_altitude_20260601;;;;;AA;6;2026-06-11 15:33:05+02;system;2026-06-08 06:47:44+02;2026-06-08 06:47:44+02;;;;;;;;;27766314373;;;;;;;;;;;;;</t>
        </is>
      </c>
    </row>
    <row r="362">
      <c r="A362" t="inlineStr">
        <is>
          <t>ID_361</t>
        </is>
      </c>
      <c r="J362" t="inlineStr">
        <is>
          <t>14814888;85718699-43da-446a-93a5-b64494dc4193;;30001085;ussd_funeral_leads_altitude_20260601;;;;;AE;6;2026-06-11 15:30:18+02;system;2026-06-08 06:47:44+02;2026-06-08 06:47:44+02;;;;;;;;;27799293293;;;;;;;;;;;;;</t>
        </is>
      </c>
      <c r="K362" t="inlineStr">
        <is>
          <t>14814888;85718699-43da-446a-93a5-b64494dc4193;;30001085;ussd_funeral_leads_altitude_20260601;;;;;AE;6;2026-06-11 15:30:18+02;system;2026-06-08 06:47:44+02;2026-06-08 06:47:44+02;;;;;;;;;27799293293;;;;;;;;;;;;;</t>
        </is>
      </c>
    </row>
    <row r="363">
      <c r="A363" t="inlineStr">
        <is>
          <t>ID_362</t>
        </is>
      </c>
      <c r="J363" t="inlineStr">
        <is>
          <t>14814889;c8ade8e6-745e-46d1-ac6f-8b4e77943d1b;;30001085;ussd_funeral_leads_altitude_20260601;;;;;ADC;6;2026-06-11 14:50:17+02;system;2026-06-08 06:47:44+02;2026-06-08 06:47:44+02;;;;;;;;;27726245763;;;;;;;;;;;;;</t>
        </is>
      </c>
      <c r="K363" t="inlineStr">
        <is>
          <t>14814889;c8ade8e6-745e-46d1-ac6f-8b4e77943d1b;;30001085;ussd_funeral_leads_altitude_20260601;;;;;ADC;6;2026-06-11 14:50:17+02;system;2026-06-08 06:47:44+02;2026-06-08 06:47:44+02;;;;;;;;;27726245763;;;;;;;;;;;;;</t>
        </is>
      </c>
    </row>
    <row r="364">
      <c r="A364" t="inlineStr">
        <is>
          <t>ID_363</t>
        </is>
      </c>
      <c r="J364" t="inlineStr">
        <is>
          <t>14814890;58ade95f-dfb0-4289-9fa1-dac0878feb49;;30001085;ussd_funeral_leads_altitude_20260601;;;;;DNQS;5;2026-06-11 10:57:38+02;Virginia Letsatsi;2026-06-08 06:47:44+02;2026-06-08 06:47:44+02;;;;;;;;;27765994639;;;;;;;;;;;;;</t>
        </is>
      </c>
      <c r="K364" t="inlineStr">
        <is>
          <t>14814890;58ade95f-dfb0-4289-9fa1-dac0878feb49;;30001085;ussd_funeral_leads_altitude_20260601;;;;;DNQS;5;2026-06-11 10:57:38+02;Virginia Letsatsi;2026-06-08 06:47:44+02;2026-06-08 06:47:44+02;;;;;;;;;27765994639;;;;;;;;;;;;;</t>
        </is>
      </c>
    </row>
    <row r="365">
      <c r="A365" t="inlineStr">
        <is>
          <t>ID_364</t>
        </is>
      </c>
      <c r="J365" t="inlineStr">
        <is>
          <t>14815233;fe5068c9-fcf2-4434-a129-809ab28fa7f7;;30001085;ussd_funeral_leads_altitude_20260601;;;;;TDN;6;2026-06-11 15:23:12+02;system;2026-06-08 06:47:44+02;2026-06-08 06:47:44+02;;;;;;;;;27825227102;;;;;;;;;;;;;</t>
        </is>
      </c>
      <c r="K365" t="inlineStr">
        <is>
          <t>14815233;fe5068c9-fcf2-4434-a129-809ab28fa7f7;;30001085;ussd_funeral_leads_altitude_20260601;;;;;TDN;6;2026-06-11 15:23:12+02;system;2026-06-08 06:47:44+02;2026-06-08 06:47:44+02;;;;;;;;;27825227102;;;;;;;;;;;;;</t>
        </is>
      </c>
    </row>
    <row r="366">
      <c r="A366" t="inlineStr">
        <is>
          <t>ID_365</t>
        </is>
      </c>
      <c r="J366" t="inlineStr">
        <is>
          <t>14814891;bc9356fa-a310-47d8-ab81-2f55dc5afcdb;;30001085;ussd_funeral_leads_altitude_20260601;;;;;TDN;6;2026-06-11 14:50:25+02;system;2026-06-08 06:47:44+02;2026-06-08 06:47:44+02;;;;;;;;;27827418221;;;;;;;;;;;;;</t>
        </is>
      </c>
      <c r="K366" t="inlineStr">
        <is>
          <t>14814891;bc9356fa-a310-47d8-ab81-2f55dc5afcdb;;30001085;ussd_funeral_leads_altitude_20260601;;;;;TDN;6;2026-06-11 14:50:25+02;system;2026-06-08 06:47:44+02;2026-06-08 06:47:44+02;;;;;;;;;27827418221;;;;;;;;;;;;;</t>
        </is>
      </c>
    </row>
    <row r="367">
      <c r="A367" t="inlineStr">
        <is>
          <t>ID_366</t>
        </is>
      </c>
      <c r="J367" t="inlineStr">
        <is>
          <t>14814892;08b1b792-f451-4ff2-947f-8e1ccbc52aef;;30001085;ussd_funeral_leads_altitude_20260601;;;;;NI;6;2026-06-11 15:30:02+02;Gontse Monageng;2026-06-08 06:47:44+02;2026-06-08 06:47:44+02;;;;;;;;;27637999357;;;;;;;;;;;;;</t>
        </is>
      </c>
      <c r="K367" t="inlineStr">
        <is>
          <t>14814892;08b1b792-f451-4ff2-947f-8e1ccbc52aef;;30001085;ussd_funeral_leads_altitude_20260601;;;;;NI;6;2026-06-11 15:30:02+02;Gontse Monageng;2026-06-08 06:47:44+02;2026-06-08 06:47:44+02;;;;;;;;;27637999357;;;;;;;;;;;;;</t>
        </is>
      </c>
    </row>
    <row r="368">
      <c r="A368" t="inlineStr">
        <is>
          <t>ID_367</t>
        </is>
      </c>
      <c r="J368" t="inlineStr">
        <is>
          <t>14814893;d252838c-500b-44f1-b65d-28331a4659c5;;30001085;ussd_funeral_leads_altitude_20260601;;;27712932635;;AA;6;2026-06-11 15:30:02+02;system;2026-06-08 06:47:44+02;2026-06-08 06:47:44+02;;;;;;;;;27712932635;;;;;;;;;;;;;</t>
        </is>
      </c>
      <c r="K368" t="inlineStr">
        <is>
          <t>14814893;d252838c-500b-44f1-b65d-28331a4659c5;;30001085;ussd_funeral_leads_altitude_20260601;;;27712932635;;AA;6;2026-06-11 15:30:02+02;system;2026-06-08 06:47:44+02;2026-06-08 06:47:44+02;;;;;;;;;27712932635;;;;;;;;;;;;;</t>
        </is>
      </c>
    </row>
    <row r="369">
      <c r="A369" t="inlineStr">
        <is>
          <t>ID_368</t>
        </is>
      </c>
      <c r="J369" t="inlineStr">
        <is>
          <t>14814894;7e30dc05-eeee-4130-91c7-0461a83667d1;;30001085;ussd_funeral_leads_altitude_20260601;;;;;A;6;2026-06-11 10:33:29+02;Vuyiswa Nxumalo;2026-06-08 06:47:44+02;2026-06-08 06:47:44+02;;;;;;;;;27664913238;;;;;;;;;;;;;</t>
        </is>
      </c>
      <c r="K369" t="inlineStr">
        <is>
          <t>14814894;7e30dc05-eeee-4130-91c7-0461a83667d1;;30001085;ussd_funeral_leads_altitude_20260601;;;;;A;6;2026-06-11 10:33:29+02;Vuyiswa Nxumalo;2026-06-08 06:47:44+02;2026-06-08 06:47:44+02;;;;;;;;;27664913238;;;;;;;;;;;;;</t>
        </is>
      </c>
    </row>
    <row r="370">
      <c r="A370" t="inlineStr">
        <is>
          <t>ID_369</t>
        </is>
      </c>
      <c r="J370" t="inlineStr">
        <is>
          <t>14815234;97452f71-f1f5-4d03-8d5c-1d2898550770;;30001085;ussd_funeral_leads_altitude_20260601;;;;;AA;6;2026-06-11 15:23:00+02;system;2026-06-08 06:47:44+02;2026-06-08 06:47:44+02;;;;;;;;;27727566726;;;;;;;;;;;;;</t>
        </is>
      </c>
      <c r="K370" t="inlineStr">
        <is>
          <t>14815234;97452f71-f1f5-4d03-8d5c-1d2898550770;;30001085;ussd_funeral_leads_altitude_20260601;;;;;AA;6;2026-06-11 15:23:00+02;system;2026-06-08 06:47:44+02;2026-06-08 06:47:44+02;;;;;;;;;27727566726;;;;;;;;;;;;;</t>
        </is>
      </c>
    </row>
    <row r="371">
      <c r="A371" t="inlineStr">
        <is>
          <t>ID_370</t>
        </is>
      </c>
      <c r="J371" t="inlineStr">
        <is>
          <t>14815235;dbe1aa64-f680-4816-9040-1450eb7ae2fe;;30001085;ussd_funeral_leads_altitude_20260601;;;;;NA;6;2026-06-11 15:23:00+02;system;2026-06-08 06:47:44+02;2026-06-08 06:47:44+02;;;;;;;;;27723107102;;;;;;;;;;;;;</t>
        </is>
      </c>
      <c r="K371" t="inlineStr">
        <is>
          <t>14815235;dbe1aa64-f680-4816-9040-1450eb7ae2fe;;30001085;ussd_funeral_leads_altitude_20260601;;;;;NA;6;2026-06-11 15:23:00+02;system;2026-06-08 06:47:44+02;2026-06-08 06:47:44+02;;;;;;;;;27723107102;;;;;;;;;;;;;</t>
        </is>
      </c>
    </row>
    <row r="372">
      <c r="A372" t="inlineStr">
        <is>
          <t>ID_371</t>
        </is>
      </c>
      <c r="J372" t="inlineStr">
        <is>
          <t>14815236;dd0844fd-7766-49f1-a30e-fdd6c5cfb2d7;;30001085;ussd_funeral_leads_altitude_20260601;;;;;AE;6;2026-06-12 10:08:17+02;system;2026-06-08 06:47:44+02;2026-06-08 06:47:44+02;;;;;;;;;27674443050;;;;;;;;;;;;;</t>
        </is>
      </c>
      <c r="K372" t="inlineStr">
        <is>
          <t>14815236;dd0844fd-7766-49f1-a30e-fdd6c5cfb2d7;;30001085;ussd_funeral_leads_altitude_20260601;;;;;AE;6;2026-06-12 10:08:17+02;system;2026-06-08 06:47:44+02;2026-06-08 06:47:44+02;;;;;;;;;27674443050;;;;;;;;;;;;;</t>
        </is>
      </c>
    </row>
    <row r="373">
      <c r="A373" t="inlineStr">
        <is>
          <t>ID_372</t>
        </is>
      </c>
      <c r="J373" t="inlineStr">
        <is>
          <t>14815238;57c83486-3bdf-49a1-913c-0d8bc0fbf02d;;30001085;ussd_funeral_leads_altitude_20260601;;;;;NA;6;2026-06-11 15:34:38+02;system;2026-06-08 06:47:44+02;2026-06-08 06:47:44+02;;;;;;;;;27660829943;;;;;;;;;;;;;</t>
        </is>
      </c>
      <c r="K373" t="inlineStr">
        <is>
          <t>14815238;57c83486-3bdf-49a1-913c-0d8bc0fbf02d;;30001085;ussd_funeral_leads_altitude_20260601;;;;;NA;6;2026-06-11 15:34:38+02;system;2026-06-08 06:47:44+02;2026-06-08 06:47:44+02;;;;;;;;;27660829943;;;;;;;;;;;;;</t>
        </is>
      </c>
    </row>
    <row r="374">
      <c r="A374" t="inlineStr">
        <is>
          <t>ID_373</t>
        </is>
      </c>
      <c r="J374" t="inlineStr">
        <is>
          <t>14815239;93175e44-91f3-48c3-91a2-28460965f69c;;30001085;ussd_funeral_leads_altitude_20260601;;;;;AA;6;2026-06-11 15:26:39+02;system;2026-06-08 06:47:44+02;2026-06-08 06:47:44+02;;;;;;;;;27765538559;;;;;;;;;;;;;</t>
        </is>
      </c>
      <c r="K374" t="inlineStr">
        <is>
          <t>14815239;93175e44-91f3-48c3-91a2-28460965f69c;;30001085;ussd_funeral_leads_altitude_20260601;;;;;AA;6;2026-06-11 15:26:39+02;system;2026-06-08 06:47:44+02;2026-06-08 06:47:44+02;;;;;;;;;27765538559;;;;;;;;;;;;;</t>
        </is>
      </c>
    </row>
    <row r="375">
      <c r="A375" t="inlineStr">
        <is>
          <t>ID_374</t>
        </is>
      </c>
      <c r="J375" t="inlineStr">
        <is>
          <t>14814895;75defcc7-2f5a-44ad-abc8-29c232394d64;;30001085;ussd_funeral_leads_altitude_20260601;;;;;A;6;2026-06-11 16:53:01+02;Lebohang Mabotja;2026-06-08 06:47:44+02;2026-06-08 06:47:44+02;;;;;;;;;27715465016;;;;;;;;;;;;;</t>
        </is>
      </c>
      <c r="K375" t="inlineStr">
        <is>
          <t>14814895;75defcc7-2f5a-44ad-abc8-29c232394d64;;30001085;ussd_funeral_leads_altitude_20260601;;;;;A;6;2026-06-11 16:53:01+02;Lebohang Mabotja;2026-06-08 06:47:44+02;2026-06-08 06:47:44+02;;;;;;;;;27715465016;;;;;;;;;;;;;</t>
        </is>
      </c>
    </row>
    <row r="376">
      <c r="A376" t="inlineStr">
        <is>
          <t>ID_375</t>
        </is>
      </c>
      <c r="J376" t="inlineStr">
        <is>
          <t>14814896;297b481e-32a0-4500-84d7-8d3b21229482;;30001085;ussd_funeral_leads_altitude_20260601;;;;;AA;6;2026-06-11 15:30:00+02;system;2026-06-08 06:47:44+02;2026-06-08 06:47:44+02;;;;;;;;;27720622373;;;;;;;;;;;;;</t>
        </is>
      </c>
      <c r="K376" t="inlineStr">
        <is>
          <t>14814896;297b481e-32a0-4500-84d7-8d3b21229482;;30001085;ussd_funeral_leads_altitude_20260601;;;;;AA;6;2026-06-11 15:30:00+02;system;2026-06-08 06:47:44+02;2026-06-08 06:47:44+02;;;;;;;;;27720622373;;;;;;;;;;;;;</t>
        </is>
      </c>
    </row>
    <row r="377">
      <c r="A377" t="inlineStr">
        <is>
          <t>ID_376</t>
        </is>
      </c>
      <c r="J377" t="inlineStr">
        <is>
          <t>14815240;2baefeda-06a7-4fed-833b-86c2fd1aeb0c;;30001085;ussd_funeral_leads_altitude_20260601;;;;;AA;6;2026-06-11 15:32:58+02;system;2026-06-08 06:47:44+02;2026-06-08 06:47:44+02;;;;;;;;;27790513762;;;;;;;;;;;;;</t>
        </is>
      </c>
      <c r="K377" t="inlineStr">
        <is>
          <t>14815240;2baefeda-06a7-4fed-833b-86c2fd1aeb0c;;30001085;ussd_funeral_leads_altitude_20260601;;;;;AA;6;2026-06-11 15:32:58+02;system;2026-06-08 06:47:44+02;2026-06-08 06:47:44+02;;;;;;;;;27790513762;;;;;;;;;;;;;</t>
        </is>
      </c>
    </row>
    <row r="378">
      <c r="A378" t="inlineStr">
        <is>
          <t>ID_377</t>
        </is>
      </c>
      <c r="J378" t="inlineStr">
        <is>
          <t>14815241;656d3ad5-7515-4452-a8e4-edf59152e4a3;;30001085;ussd_funeral_leads_altitude_20260601;;;;;DROP;6;2026-06-11 15:25:54+02;system;2026-06-08 06:47:44+02;2026-06-08 06:47:44+02;;;;;;;;;27768552505;;;;;;;;;;;;;</t>
        </is>
      </c>
      <c r="K378" t="inlineStr">
        <is>
          <t>14815241;656d3ad5-7515-4452-a8e4-edf59152e4a3;;30001085;ussd_funeral_leads_altitude_20260601;;;;;DROP;6;2026-06-11 15:25:54+02;system;2026-06-08 06:47:44+02;2026-06-08 06:47:44+02;;;;;;;;;27768552505;;;;;;;;;;;;;</t>
        </is>
      </c>
    </row>
    <row r="379">
      <c r="A379" t="inlineStr">
        <is>
          <t>ID_378</t>
        </is>
      </c>
      <c r="J379" t="inlineStr">
        <is>
          <t>14814897;11af012e-4f8e-42ca-b5df-9d223cecadf7;;30001085;ussd_funeral_leads_altitude_20260601;;;;;TDN;6;2026-06-11 14:50:25+02;system;2026-06-08 06:47:44+02;2026-06-08 06:47:44+02;;;;;;;;;27664125280;;;;;;;;;;;;;</t>
        </is>
      </c>
      <c r="K379" t="inlineStr">
        <is>
          <t>14814897;11af012e-4f8e-42ca-b5df-9d223cecadf7;;30001085;ussd_funeral_leads_altitude_20260601;;;;;TDN;6;2026-06-11 14:50:25+02;system;2026-06-08 06:47:44+02;2026-06-08 06:47:44+02;;;;;;;;;27664125280;;;;;;;;;;;;;</t>
        </is>
      </c>
    </row>
    <row r="380">
      <c r="A380" t="inlineStr">
        <is>
          <t>ID_379</t>
        </is>
      </c>
      <c r="J380" t="inlineStr">
        <is>
          <t>14814898;7914c11e-78f3-462a-bc79-d3a75938084e;;30001085;ussd_funeral_leads_altitude_20260601;;;;;CU;6;2026-06-11 15:29:49+02;Lebohang Mabotja;2026-06-08 06:47:44+02;2026-06-08 06:47:44+02;;;;;;;;;27716351029;;;;;;;;;;;;;</t>
        </is>
      </c>
      <c r="K380" t="inlineStr">
        <is>
          <t>14814898;7914c11e-78f3-462a-bc79-d3a75938084e;;30001085;ussd_funeral_leads_altitude_20260601;;;;;CU;6;2026-06-11 15:29:49+02;Lebohang Mabotja;2026-06-08 06:47:44+02;2026-06-08 06:47:44+02;;;;;;;;;27716351029;;;;;;;;;;;;;</t>
        </is>
      </c>
    </row>
    <row r="381">
      <c r="A381" t="inlineStr">
        <is>
          <t>ID_380</t>
        </is>
      </c>
      <c r="J381" t="inlineStr">
        <is>
          <t>14815242;550cb461-bda7-4cbc-8ca1-553ca9bee349;;30001085;ussd_funeral_leads_altitude_20260601;;;;;QAVER;2;2026-06-08 14:28:55+02;Vuyiswa Nxumalo;2026-06-08 06:47:44+02;2026-06-08 06:47:44+02;;;;;;;;;27607570535;;;;;;;;;;;;;</t>
        </is>
      </c>
      <c r="K381" t="inlineStr">
        <is>
          <t>14815242;550cb461-bda7-4cbc-8ca1-553ca9bee349;;30001085;ussd_funeral_leads_altitude_20260601;;;;;QAVER;2;2026-06-08 14:28:55+02;Vuyiswa Nxumalo;2026-06-08 06:47:44+02;2026-06-08 06:47:44+02;;;;;;;;;27607570535;;;;;;;;;;;;;</t>
        </is>
      </c>
    </row>
    <row r="382">
      <c r="A382" t="inlineStr">
        <is>
          <t>ID_381</t>
        </is>
      </c>
      <c r="J382" t="inlineStr">
        <is>
          <t>14814899;43a1ccac-1e9d-49e7-8a68-02253e223281;;30001085;ussd_funeral_leads_altitude_20260601;;;;;NA;6;2026-06-11 14:50:25+02;system;2026-06-08 06:47:44+02;2026-06-08 06:47:44+02;;;;;;;;;27649582357;;;;;;;;;;;;;</t>
        </is>
      </c>
      <c r="K382" t="inlineStr">
        <is>
          <t>14814899;43a1ccac-1e9d-49e7-8a68-02253e223281;;30001085;ussd_funeral_leads_altitude_20260601;;;;;NA;6;2026-06-11 14:50:25+02;system;2026-06-08 06:47:44+02;2026-06-08 06:47:44+02;;;;;;;;;27649582357;;;;;;;;;;;;;</t>
        </is>
      </c>
    </row>
    <row r="383">
      <c r="A383" t="inlineStr">
        <is>
          <t>ID_382</t>
        </is>
      </c>
      <c r="J383" t="inlineStr">
        <is>
          <t>14814900;2f01ef7a-b4ed-4b84-a5fd-ee918a3ea726;;30001085;ussd_funeral_leads_altitude_20260601;;;;;TDN;6;2026-06-11 14:50:26+02;system;2026-06-08 06:47:44+02;2026-06-08 06:47:44+02;;;;;;;;;27791916464;;;;;;;;;;;;;</t>
        </is>
      </c>
      <c r="K383" t="inlineStr">
        <is>
          <t>14814900;2f01ef7a-b4ed-4b84-a5fd-ee918a3ea726;;30001085;ussd_funeral_leads_altitude_20260601;;;;;TDN;6;2026-06-11 14:50:26+02;system;2026-06-08 06:47:44+02;2026-06-08 06:47:44+02;;;;;;;;;27791916464;;;;;;;;;;;;;</t>
        </is>
      </c>
    </row>
    <row r="384">
      <c r="A384" t="inlineStr">
        <is>
          <t>ID_383</t>
        </is>
      </c>
      <c r="J384" t="inlineStr">
        <is>
          <t>14814901;e7dfc9b2-f33f-4bc6-bad3-73872505dc48;;30001085;ussd_funeral_leads_altitude_20260601;;;27648210126;;IABDN;6;2026-06-11 18:24:02+02;system;2026-06-08 06:47:44+02;2026-06-08 06:47:44+02;;;;;;;;;27648210126;;;;;;;;;;;;;</t>
        </is>
      </c>
      <c r="K384" t="inlineStr">
        <is>
          <t>14814901;e7dfc9b2-f33f-4bc6-bad3-73872505dc48;;30001085;ussd_funeral_leads_altitude_20260601;;;27648210126;;IABDN;6;2026-06-11 18:24:02+02;system;2026-06-08 06:47:44+02;2026-06-08 06:47:44+02;;;;;;;;;27648210126;;;;;;;;;;;;;</t>
        </is>
      </c>
    </row>
    <row r="385">
      <c r="A385" t="inlineStr">
        <is>
          <t>ID_384</t>
        </is>
      </c>
      <c r="J385" t="inlineStr">
        <is>
          <t>14814902;eeb101c0-c96b-4573-8a48-347c9612a8a8;;30001085;ussd_funeral_leads_altitude_20260601;;;;;AA;6;2026-06-11 14:50:29+02;system;2026-06-08 06:47:44+02;2026-06-08 06:47:44+02;;;;;;;;;27764358242;;;;;;;;;;;;;</t>
        </is>
      </c>
      <c r="K385" t="inlineStr">
        <is>
          <t>14814902;eeb101c0-c96b-4573-8a48-347c9612a8a8;;30001085;ussd_funeral_leads_altitude_20260601;;;;;AA;6;2026-06-11 14:50:29+02;system;2026-06-08 06:47:44+02;2026-06-08 06:47:44+02;;;;;;;;;27764358242;;;;;;;;;;;;;</t>
        </is>
      </c>
    </row>
    <row r="386">
      <c r="A386" t="inlineStr">
        <is>
          <t>ID_385</t>
        </is>
      </c>
      <c r="J386" t="inlineStr">
        <is>
          <t>14815243;753ec4a4-e615-4498-9c2f-6f585b1e90ef;;30001085;ussd_funeral_leads_altitude_20260601;;;;;A;7;2026-06-12 10:38:19+02;Goitsimang Mogwasa;2026-06-08 06:47:44+02;2026-06-08 06:47:44+02;;;;;;;;;27673310026;;;;;;;;;;;;;</t>
        </is>
      </c>
      <c r="K386" t="inlineStr">
        <is>
          <t>14815243;753ec4a4-e615-4498-9c2f-6f585b1e90ef;;30001085;ussd_funeral_leads_altitude_20260601;;;;;A;7;2026-06-12 10:38:19+02;Goitsimang Mogwasa;2026-06-08 06:47:44+02;2026-06-08 06:47:44+02;;;;;;;;;27673310026;;;;;;;;;;;;;</t>
        </is>
      </c>
    </row>
    <row r="387">
      <c r="A387" t="inlineStr">
        <is>
          <t>ID_386</t>
        </is>
      </c>
      <c r="J387" t="inlineStr">
        <is>
          <t>14814903;b9fbbe89-d7ab-4482-b7ac-f2635c2ab6db;;30001085;ussd_funeral_leads_altitude_20260601;;;;;AA;6;2026-06-11 14:50:29+02;system;2026-06-08 06:47:44+02;2026-06-08 06:47:44+02;;;;;;;;;27711284422;;;;;;;;;;;;;</t>
        </is>
      </c>
      <c r="K387" t="inlineStr">
        <is>
          <t>14814903;b9fbbe89-d7ab-4482-b7ac-f2635c2ab6db;;30001085;ussd_funeral_leads_altitude_20260601;;;;;AA;6;2026-06-11 14:50:29+02;system;2026-06-08 06:47:44+02;2026-06-08 06:47:44+02;;;;;;;;;27711284422;;;;;;;;;;;;;</t>
        </is>
      </c>
    </row>
    <row r="388">
      <c r="A388" t="inlineStr">
        <is>
          <t>ID_387</t>
        </is>
      </c>
      <c r="J388" t="inlineStr">
        <is>
          <t>14814904;dd6dd539-ce86-4c87-bdf6-4248d5bd4e61;;30001085;ussd_funeral_leads_altitude_20260601;;;;;NI;4;2026-06-10 12:00:18+02;Vuyiswa Nxumalo;2026-06-08 06:47:44+02;2026-06-08 06:47:44+02;;;;;;;;;27767793794;;;;;;;;;;;;;</t>
        </is>
      </c>
      <c r="K388" t="inlineStr">
        <is>
          <t>14814904;dd6dd539-ce86-4c87-bdf6-4248d5bd4e61;;30001085;ussd_funeral_leads_altitude_20260601;;;;;NI;4;2026-06-10 12:00:18+02;Vuyiswa Nxumalo;2026-06-08 06:47:44+02;2026-06-08 06:47:44+02;;;;;;;;;27767793794;;;;;;;;;;;;;</t>
        </is>
      </c>
    </row>
    <row r="389">
      <c r="A389" t="inlineStr">
        <is>
          <t>ID_388</t>
        </is>
      </c>
      <c r="J389" t="inlineStr">
        <is>
          <t>14815245;433c3e2b-283e-4f83-bc7e-649467425f6c;;30001085;ussd_funeral_leads_altitude_20260601;;;;;AA;6;2026-06-11 15:25:47+02;system;2026-06-08 06:47:44+02;2026-06-08 06:47:44+02;;;;;;;;;27664214379;;;;;;;;;;;;;</t>
        </is>
      </c>
      <c r="K389" t="inlineStr">
        <is>
          <t>14815245;433c3e2b-283e-4f83-bc7e-649467425f6c;;30001085;ussd_funeral_leads_altitude_20260601;;;;;AA;6;2026-06-11 15:25:47+02;system;2026-06-08 06:47:44+02;2026-06-08 06:47:44+02;;;;;;;;;27664214379;;;;;;;;;;;;;</t>
        </is>
      </c>
    </row>
    <row r="390">
      <c r="A390" t="inlineStr">
        <is>
          <t>ID_389</t>
        </is>
      </c>
      <c r="J390" t="inlineStr">
        <is>
          <t>14814905;e11ba456-9fe5-4d60-8308-e18dddbb55d2;;30001085;ussd_funeral_leads_altitude_20260601;;;;;NA;6;2026-06-11 14:50:34+02;system;2026-06-08 06:47:44+02;2026-06-08 06:47:44+02;;;;;;;;;27713783497;;;;;;;;;;;;;</t>
        </is>
      </c>
      <c r="K390" t="inlineStr">
        <is>
          <t>14814905;e11ba456-9fe5-4d60-8308-e18dddbb55d2;;30001085;ussd_funeral_leads_altitude_20260601;;;;;NA;6;2026-06-11 14:50:34+02;system;2026-06-08 06:47:44+02;2026-06-08 06:47:44+02;;;;;;;;;27713783497;;;;;;;;;;;;;</t>
        </is>
      </c>
    </row>
    <row r="391">
      <c r="A391" t="inlineStr">
        <is>
          <t>ID_390</t>
        </is>
      </c>
      <c r="J391" t="inlineStr">
        <is>
          <t>14814906;a51bfcaf-d346-4448-bc2d-5a4079089082;;30001085;ussd_funeral_leads_altitude_20260601;;;;;N;6;2026-06-12 10:54:23+02;Lebohang Mabotja;2026-06-08 06:47:44+02;2026-06-08 06:47:44+02;;;;;;;;;27727791198;;;;;;;;;;;;;</t>
        </is>
      </c>
      <c r="K391" t="inlineStr">
        <is>
          <t>14814906;a51bfcaf-d346-4448-bc2d-5a4079089082;;30001085;ussd_funeral_leads_altitude_20260601;;;;;N;6;2026-06-12 10:54:23+02;Lebohang Mabotja;2026-06-08 06:47:44+02;2026-06-08 06:47:44+02;;;;;;;;;27727791198;;;;;;;;;;;;;</t>
        </is>
      </c>
    </row>
    <row r="392">
      <c r="A392" t="inlineStr">
        <is>
          <t>ID_391</t>
        </is>
      </c>
      <c r="J392" t="inlineStr">
        <is>
          <t>14814907;382ab90b-2935-4939-86b4-6a136561a3f7;;30001085;ussd_funeral_leads_altitude_20260601;;;;;AA;6;2026-06-12 10:08:25+02;system;2026-06-08 06:47:44+02;2026-06-08 06:47:44+02;;;;;;;;;27723344824;;;;;;;;;;;;;</t>
        </is>
      </c>
      <c r="K392" t="inlineStr">
        <is>
          <t>14814907;382ab90b-2935-4939-86b4-6a136561a3f7;;30001085;ussd_funeral_leads_altitude_20260601;;;;;AA;6;2026-06-12 10:08:25+02;system;2026-06-08 06:47:44+02;2026-06-08 06:47:44+02;;;;;;;;;27723344824;;;;;;;;;;;;;</t>
        </is>
      </c>
    </row>
    <row r="393">
      <c r="A393" t="inlineStr">
        <is>
          <t>ID_392</t>
        </is>
      </c>
      <c r="J393" t="inlineStr">
        <is>
          <t>14814908;fed3acc5-ef65-4848-a247-74ee5e105db4;;30001085;ussd_funeral_leads_altitude_20260601;;;;;AF;3;2026-06-10 10:28:49+02;Vuyiswa Nxumalo;2026-06-08 06:47:44+02;2026-06-08 06:47:44+02;;;;;;;;;27765899385;;;;;;;;;;;;;</t>
        </is>
      </c>
      <c r="K393" t="inlineStr">
        <is>
          <t>14814908;fed3acc5-ef65-4848-a247-74ee5e105db4;;30001085;ussd_funeral_leads_altitude_20260601;;;;;AF;3;2026-06-10 10:28:49+02;Vuyiswa Nxumalo;2026-06-08 06:47:44+02;2026-06-08 06:47:44+02;;;;;;;;;27765899385;;;;;;;;;;;;;</t>
        </is>
      </c>
    </row>
    <row r="394">
      <c r="A394" t="inlineStr">
        <is>
          <t>ID_393</t>
        </is>
      </c>
      <c r="J394" t="inlineStr">
        <is>
          <t>14814909;bdc4691e-230a-4df3-b073-5b7eed915741;;30001085;ussd_funeral_leads_altitude_20260601;;;;;NA;6;2026-06-11 14:50:43+02;system;2026-06-08 06:47:44+02;2026-06-08 06:47:44+02;;;;;;;;;27767442029;;;;;;;;;;;;;</t>
        </is>
      </c>
      <c r="K394" t="inlineStr">
        <is>
          <t>14814909;bdc4691e-230a-4df3-b073-5b7eed915741;;30001085;ussd_funeral_leads_altitude_20260601;;;;;NA;6;2026-06-11 14:50:43+02;system;2026-06-08 06:47:44+02;2026-06-08 06:47:44+02;;;;;;;;;27767442029;;;;;;;;;;;;;</t>
        </is>
      </c>
    </row>
    <row r="395">
      <c r="A395" t="inlineStr">
        <is>
          <t>ID_394</t>
        </is>
      </c>
      <c r="J395" t="inlineStr">
        <is>
          <t>14814910;c79b4d13-f1c9-408c-886e-bb601d913932;;30001085;ussd_funeral_leads_altitude_20260601;;;;;ADC;6;2026-06-11 14:50:50+02;system;2026-06-08 06:47:44+02;2026-06-08 06:47:44+02;;;;;;;;;27649966618;;;;;;;;;;;;;</t>
        </is>
      </c>
      <c r="K395" t="inlineStr">
        <is>
          <t>14814910;c79b4d13-f1c9-408c-886e-bb601d913932;;30001085;ussd_funeral_leads_altitude_20260601;;;;;ADC;6;2026-06-11 14:50:50+02;system;2026-06-08 06:47:44+02;2026-06-08 06:47:44+02;;;;;;;;;27649966618;;;;;;;;;;;;;</t>
        </is>
      </c>
    </row>
    <row r="396">
      <c r="A396" t="inlineStr">
        <is>
          <t>ID_395</t>
        </is>
      </c>
      <c r="J396" t="inlineStr">
        <is>
          <t>14815246;38b2bbdd-6cec-47cd-8b6d-d737497d21ed;;30001085;ussd_funeral_leads_altitude_20260601;;;;;NA;6;2026-06-11 15:25:15+02;system;2026-06-08 06:47:44+02;2026-06-08 06:47:44+02;;;;;;;;;27797790491;;;;;;;;;;;;;</t>
        </is>
      </c>
      <c r="K396" t="inlineStr">
        <is>
          <t>14815246;38b2bbdd-6cec-47cd-8b6d-d737497d21ed;;30001085;ussd_funeral_leads_altitude_20260601;;;;;NA;6;2026-06-11 15:25:15+02;system;2026-06-08 06:47:44+02;2026-06-08 06:47:44+02;;;;;;;;;27797790491;;;;;;;;;;;;;</t>
        </is>
      </c>
    </row>
    <row r="397">
      <c r="A397" t="inlineStr">
        <is>
          <t>ID_396</t>
        </is>
      </c>
      <c r="J397" t="inlineStr">
        <is>
          <t>14814911;87737752-ce70-497c-abc9-1ac9418d5d6c;;30001085;ussd_funeral_leads_altitude_20260601;;;;;TDN;6;2026-06-11 14:50:52+02;system;2026-06-08 06:47:44+02;2026-06-08 06:47:44+02;;;;;;;;;27766804433;;;;;;;;;;;;;</t>
        </is>
      </c>
      <c r="K397" t="inlineStr">
        <is>
          <t>14814911;87737752-ce70-497c-abc9-1ac9418d5d6c;;30001085;ussd_funeral_leads_altitude_20260601;;;;;TDN;6;2026-06-11 14:50:52+02;system;2026-06-08 06:47:44+02;2026-06-08 06:47:44+02;;;;;;;;;27766804433;;;;;;;;;;;;;</t>
        </is>
      </c>
    </row>
    <row r="398">
      <c r="A398" t="inlineStr">
        <is>
          <t>ID_397</t>
        </is>
      </c>
      <c r="J398" t="inlineStr">
        <is>
          <t>14814912;de3f9628-7d7b-4ac4-92d9-6c918dc049a0;;30001085;ussd_funeral_leads_altitude_20260601;;;;;AA;6;2026-06-11 14:51:09+02;system;2026-06-08 06:47:44+02;2026-06-08 06:47:44+02;;;;;;;;;27725729776;;;;;;;;;;;;;</t>
        </is>
      </c>
      <c r="K398" t="inlineStr">
        <is>
          <t>14814912;de3f9628-7d7b-4ac4-92d9-6c918dc049a0;;30001085;ussd_funeral_leads_altitude_20260601;;;;;AA;6;2026-06-11 14:51:09+02;system;2026-06-08 06:47:44+02;2026-06-08 06:47:44+02;;;;;;;;;27725729776;;;;;;;;;;;;;</t>
        </is>
      </c>
    </row>
    <row r="399">
      <c r="A399" t="inlineStr">
        <is>
          <t>ID_398</t>
        </is>
      </c>
      <c r="J399" t="inlineStr">
        <is>
          <t>14815184;b379eb09-a9d2-40c6-bd33-fa19de4843bb;;30001085;ussd_funeral_leads_altitude_20260601;;;27674464788;;NA;6;2026-06-19 08:34:00+02;system;2026-06-08 06:47:44+02;2026-06-08 06:47:44+02;;;;;;;;;27674464788;;;;;;;;;;;;;</t>
        </is>
      </c>
      <c r="K399" t="inlineStr">
        <is>
          <t>14815184;b379eb09-a9d2-40c6-bd33-fa19de4843bb;;30001085;ussd_funeral_leads_altitude_20260601;;;27674464788;;NA;6;2026-06-19 08:34:00+02;system;2026-06-08 06:47:44+02;2026-06-08 06:47:44+02;;;;;;;;;27674464788;;;;;;;;;;;;;</t>
        </is>
      </c>
    </row>
    <row r="400">
      <c r="A400" t="inlineStr">
        <is>
          <t>ID_399</t>
        </is>
      </c>
      <c r="J400" t="inlineStr">
        <is>
          <t>14815185;deaa16ff-3b8d-4eb1-8ab8-295b66c70d60;;30001085;ussd_funeral_leads_altitude_20260601;;;;;NA;6;2026-06-11 14:51:38+02;system;2026-06-08 06:47:44+02;2026-06-08 06:47:44+02;;;;;;;;;27727565750;;;;;;;;;;;;;</t>
        </is>
      </c>
      <c r="K400" t="inlineStr">
        <is>
          <t>14815185;deaa16ff-3b8d-4eb1-8ab8-295b66c70d60;;30001085;ussd_funeral_leads_altitude_20260601;;;;;NA;6;2026-06-11 14:51:38+02;system;2026-06-08 06:47:44+02;2026-06-08 06:47:44+02;;;;;;;;;27727565750;;;;;;;;;;;;;</t>
        </is>
      </c>
    </row>
    <row r="401">
      <c r="A401" t="inlineStr">
        <is>
          <t>ID_400</t>
        </is>
      </c>
      <c r="J401" t="inlineStr">
        <is>
          <t>14815247;3735e3fb-6042-4481-b7e3-09c072b08fb6;;30001085;ussd_funeral_leads_altitude_20260601;;;;;AE;6;2026-06-11 15:24:52+02;system;2026-06-08 06:47:44+02;2026-06-08 06:47:44+02;;;;;;;;;27723278313;;;;;;;;;;;;;</t>
        </is>
      </c>
      <c r="K401" t="inlineStr">
        <is>
          <t>14815247;3735e3fb-6042-4481-b7e3-09c072b08fb6;;30001085;ussd_funeral_leads_altitude_20260601;;;;;AE;6;2026-06-11 15:24:52+02;system;2026-06-08 06:47:44+02;2026-06-08 06:47:44+02;;;;;;;;;27723278313;;;;;;;;;;;;;</t>
        </is>
      </c>
    </row>
    <row r="402">
      <c r="A402" t="inlineStr">
        <is>
          <t>ID_401</t>
        </is>
      </c>
      <c r="J402" t="inlineStr">
        <is>
          <t>14815248;dc3ba3dd-b53c-4bce-87e9-6e685b9cb258;;30001085;ussd_funeral_leads_altitude_20260601;;;;;AA;6;2026-06-11 15:26:34+02;system;2026-06-08 06:47:44+02;2026-06-08 06:47:44+02;;;;;;;;;27794255374;;;;;;;;;;;;;</t>
        </is>
      </c>
      <c r="K402" t="inlineStr">
        <is>
          <t>14815248;dc3ba3dd-b53c-4bce-87e9-6e685b9cb258;;30001085;ussd_funeral_leads_altitude_20260601;;;;;AA;6;2026-06-11 15:26:34+02;system;2026-06-08 06:47:44+02;2026-06-08 06:47:44+02;;;;;;;;;27794255374;;;;;;;;;;;;;</t>
        </is>
      </c>
    </row>
    <row r="403">
      <c r="A403" t="inlineStr">
        <is>
          <t>ID_402</t>
        </is>
      </c>
      <c r="J403" t="inlineStr">
        <is>
          <t>14815249;3073c1e2-305a-494b-865d-c99a114d549d;;30001085;ussd_funeral_leads_altitude_20260601;;;;;NA;6;2026-06-11 15:29:42+02;system;2026-06-08 06:47:44+02;2026-06-08 06:47:44+02;;;;;;;;;27646158976;;;;;;;;;;;;;</t>
        </is>
      </c>
      <c r="K403" t="inlineStr">
        <is>
          <t>14815249;3073c1e2-305a-494b-865d-c99a114d549d;;30001085;ussd_funeral_leads_altitude_20260601;;;;;NA;6;2026-06-11 15:29:42+02;system;2026-06-08 06:47:44+02;2026-06-08 06:47:44+02;;;;;;;;;27646158976;;;;;;;;;;;;;</t>
        </is>
      </c>
    </row>
    <row r="404">
      <c r="A404" t="inlineStr">
        <is>
          <t>ID_403</t>
        </is>
      </c>
      <c r="J404" t="inlineStr">
        <is>
          <t>14815250;a98fd972-3c27-4a17-b191-ca7f2b2172ee;;30001085;ussd_funeral_leads_altitude_20260601;;;;;AA;6;2026-06-11 15:28:55+02;system;2026-06-08 06:47:44+02;2026-06-08 06:47:44+02;;;;;;;;;27648071911;;;;;;;;;;;;;</t>
        </is>
      </c>
      <c r="K404" t="inlineStr">
        <is>
          <t>14815250;a98fd972-3c27-4a17-b191-ca7f2b2172ee;;30001085;ussd_funeral_leads_altitude_20260601;;;;;AA;6;2026-06-11 15:28:55+02;system;2026-06-08 06:47:44+02;2026-06-08 06:47:44+02;;;;;;;;;27648071911;;;;;;;;;;;;;</t>
        </is>
      </c>
    </row>
    <row r="405">
      <c r="A405" t="inlineStr">
        <is>
          <t>ID_404</t>
        </is>
      </c>
      <c r="J405" t="inlineStr">
        <is>
          <t>14815186;7b26cd24-909f-4e05-8c10-c9ee75930fb4;;30001085;ussd_funeral_leads_altitude_20260601;;;;;CBACK;4;2026-06-10 14:53:28+02;Gontse Monageng;2026-06-08 06:47:44+02;2026-06-08 06:47:44+02;;;;;;;;;27648518974;;;;;;;;;;;;;</t>
        </is>
      </c>
      <c r="K405" t="inlineStr">
        <is>
          <t>14815186;7b26cd24-909f-4e05-8c10-c9ee75930fb4;;30001085;ussd_funeral_leads_altitude_20260601;;;;;CBACK;4;2026-06-10 14:53:28+02;Gontse Monageng;2026-06-08 06:47:44+02;2026-06-08 06:47:44+02;;;;;;;;;27648518974;;;;;;;;;;;;;</t>
        </is>
      </c>
    </row>
    <row r="406">
      <c r="A406" t="inlineStr">
        <is>
          <t>ID_405</t>
        </is>
      </c>
      <c r="J406" t="inlineStr">
        <is>
          <t>14815187;ab851bfd-4f87-4f15-b739-c8e888806935;;30001085;ussd_funeral_leads_altitude_20260601;;;27647788362;;ADC;6;2026-06-11 14:51:38+02;system;2026-06-08 06:47:44+02;2026-06-08 06:47:44+02;;;;;;;;;27647788362;;;;;;;;;;;;;</t>
        </is>
      </c>
      <c r="K406" t="inlineStr">
        <is>
          <t>14815187;ab851bfd-4f87-4f15-b739-c8e888806935;;30001085;ussd_funeral_leads_altitude_20260601;;;27647788362;;ADC;6;2026-06-11 14:51:38+02;system;2026-06-08 06:47:44+02;2026-06-08 06:47:44+02;;;;;;;;;27647788362;;;;;;;;;;;;;</t>
        </is>
      </c>
    </row>
    <row r="407">
      <c r="A407" t="inlineStr">
        <is>
          <t>ID_406</t>
        </is>
      </c>
      <c r="J407" t="inlineStr">
        <is>
          <t>14815251;defd5b40-3f21-4f81-8cce-82c5ac3054ca;;30001085;ussd_funeral_leads_altitude_20260601;;;;;AA;6;2026-06-11 15:20:35+02;system;2026-06-08 06:47:44+02;2026-06-08 06:47:44+02;;;;;;;;;27673433968;;;;;;;;;;;;;</t>
        </is>
      </c>
      <c r="K407" t="inlineStr">
        <is>
          <t>14815251;defd5b40-3f21-4f81-8cce-82c5ac3054ca;;30001085;ussd_funeral_leads_altitude_20260601;;;;;AA;6;2026-06-11 15:20:35+02;system;2026-06-08 06:47:44+02;2026-06-08 06:47:44+02;;;;;;;;;27673433968;;;;;;;;;;;;;</t>
        </is>
      </c>
    </row>
    <row r="408">
      <c r="A408" t="inlineStr">
        <is>
          <t>ID_407</t>
        </is>
      </c>
      <c r="J408" t="inlineStr">
        <is>
          <t>14815188;f7a0238b-4f24-462a-8ffd-a818a8fdffa8;;30001085;ussd_funeral_leads_altitude_20260601;;;27724731306;;AF;5;2026-06-11 10:43:42+02;Vuyiswa Nxumalo;2026-06-08 06:47:44+02;2026-06-08 06:47:44+02;;;;;;;;;27724731306;;;;;;;;;;;;;</t>
        </is>
      </c>
      <c r="K408" t="inlineStr">
        <is>
          <t>14815188;f7a0238b-4f24-462a-8ffd-a818a8fdffa8;;30001085;ussd_funeral_leads_altitude_20260601;;;27724731306;;AF;5;2026-06-11 10:43:42+02;Vuyiswa Nxumalo;2026-06-08 06:47:44+02;2026-06-08 06:47:44+02;;;;;;;;;27724731306;;;;;;;;;;;;;</t>
        </is>
      </c>
    </row>
    <row r="409">
      <c r="A409" t="inlineStr">
        <is>
          <t>ID_408</t>
        </is>
      </c>
      <c r="J409" t="inlineStr">
        <is>
          <t>14815252;90bd049d-099e-49e7-99cc-7476a3d7e8ae;;30001085;ussd_funeral_leads_altitude_20260601;;;;;CUA;1;2026-06-08 14:19:57+02;Goitsimang Mogwasa;2026-06-08 06:47:44+02;2026-06-08 06:47:44+02;;;;;;;;;27660368640;;;;;;;;;;;;;</t>
        </is>
      </c>
      <c r="K409" t="inlineStr">
        <is>
          <t>14815252;90bd049d-099e-49e7-99cc-7476a3d7e8ae;;30001085;ussd_funeral_leads_altitude_20260601;;;;;CUA;1;2026-06-08 14:19:57+02;Goitsimang Mogwasa;2026-06-08 06:47:44+02;2026-06-08 06:47:44+02;;;;;;;;;27660368640;;;;;;;;;;;;;</t>
        </is>
      </c>
    </row>
    <row r="410">
      <c r="A410" t="inlineStr">
        <is>
          <t>ID_409</t>
        </is>
      </c>
      <c r="J410" t="inlineStr">
        <is>
          <t>14815189;aeb7abaf-c0b0-45d6-bdef-500ee106a188;;30001085;ussd_funeral_leads_altitude_20260601;;;;;CBACK;3;2026-06-10 08:51:24+02;Gontse Monageng;2026-06-08 06:47:44+02;2026-06-08 06:47:44+02;;;;;;;;;27824293106;;;;;;;;;;;;;</t>
        </is>
      </c>
      <c r="K410" t="inlineStr">
        <is>
          <t>14815189;aeb7abaf-c0b0-45d6-bdef-500ee106a188;;30001085;ussd_funeral_leads_altitude_20260601;;;;;CBACK;3;2026-06-10 08:51:24+02;Gontse Monageng;2026-06-08 06:47:44+02;2026-06-08 06:47:44+02;;;;;;;;;27824293106;;;;;;;;;;;;;</t>
        </is>
      </c>
    </row>
    <row r="411">
      <c r="A411" t="inlineStr">
        <is>
          <t>ID_410</t>
        </is>
      </c>
      <c r="J411" t="inlineStr">
        <is>
          <t>14815254;2a771e01-f27e-4018-a370-62880571f1cb;;30001085;ussd_funeral_leads_altitude_20260601;;;;;NA;6;2026-06-11 15:32:41+02;system;2026-06-08 06:47:44+02;2026-06-08 06:47:44+02;;;;;;;;;27674636083;;;;;;;;;;;;;</t>
        </is>
      </c>
      <c r="K411" t="inlineStr">
        <is>
          <t>14815254;2a771e01-f27e-4018-a370-62880571f1cb;;30001085;ussd_funeral_leads_altitude_20260601;;;;;NA;6;2026-06-11 15:32:41+02;system;2026-06-08 06:47:44+02;2026-06-08 06:47:44+02;;;;;;;;;27674636083;;;;;;;;;;;;;</t>
        </is>
      </c>
    </row>
    <row r="412">
      <c r="A412" t="inlineStr">
        <is>
          <t>ID_411</t>
        </is>
      </c>
      <c r="J412" t="inlineStr">
        <is>
          <t>14815190;dfd1d755-3797-43ea-aca3-fda17cc779f0;;30001085;ussd_funeral_leads_altitude_20260601;;;;;NA;6;2026-06-11 14:51:39+02;system;2026-06-08 06:47:44+02;2026-06-08 06:47:44+02;;;;;;;;;27763651800;;;;;;;;;;;;;</t>
        </is>
      </c>
      <c r="K412" t="inlineStr">
        <is>
          <t>14815190;dfd1d755-3797-43ea-aca3-fda17cc779f0;;30001085;ussd_funeral_leads_altitude_20260601;;;;;NA;6;2026-06-11 14:51:39+02;system;2026-06-08 06:47:44+02;2026-06-08 06:47:44+02;;;;;;;;;27763651800;;;;;;;;;;;;;</t>
        </is>
      </c>
    </row>
    <row r="413">
      <c r="A413" t="inlineStr">
        <is>
          <t>ID_412</t>
        </is>
      </c>
      <c r="J413" t="inlineStr">
        <is>
          <t>14815255;9f855902-6e48-43d8-847c-93002fc1eb9f;;30001085;ussd_funeral_leads_altitude_20260601;;;;;AA;6;2026-06-11 15:18:26+02;system;2026-06-08 06:47:44+02;2026-06-08 06:47:44+02;;;;;;;;;27715378342;;;;;;;;;;;;;</t>
        </is>
      </c>
      <c r="K413" t="inlineStr">
        <is>
          <t>14815255;9f855902-6e48-43d8-847c-93002fc1eb9f;;30001085;ussd_funeral_leads_altitude_20260601;;;;;AA;6;2026-06-11 15:18:26+02;system;2026-06-08 06:47:44+02;2026-06-08 06:47:44+02;;;;;;;;;27715378342;;;;;;;;;;;;;</t>
        </is>
      </c>
    </row>
    <row r="414">
      <c r="A414" t="inlineStr">
        <is>
          <t>ID_413</t>
        </is>
      </c>
      <c r="J414" t="inlineStr">
        <is>
          <t>14815256;02932e73-adf8-49cf-b08d-c34909c51d8d;;30001085;ussd_funeral_leads_altitude_20260601;;;;;AA;6;2026-06-11 15:17:22+02;system;2026-06-08 06:47:44+02;2026-06-08 06:47:44+02;;;;;;;;;27774725838;;;;;;;;;;;;;</t>
        </is>
      </c>
      <c r="K414" t="inlineStr">
        <is>
          <t>14815256;02932e73-adf8-49cf-b08d-c34909c51d8d;;30001085;ussd_funeral_leads_altitude_20260601;;;;;AA;6;2026-06-11 15:17:22+02;system;2026-06-08 06:47:44+02;2026-06-08 06:47:44+02;;;;;;;;;27774725838;;;;;;;;;;;;;</t>
        </is>
      </c>
    </row>
    <row r="415">
      <c r="A415" t="inlineStr">
        <is>
          <t>ID_414</t>
        </is>
      </c>
      <c r="J415" t="inlineStr">
        <is>
          <t>14815191;f3f6c6bd-8c60-41ed-9a6b-4d28b6838ffd;;30001085;ussd_funeral_leads_altitude_20260601;;;;;DNQS;2;2026-06-09 12:39:03+02;Vuyiswa Nxumalo;2026-06-08 06:47:44+02;2026-06-08 06:47:44+02;;;;;;;;;27664547837;;;;;;;;;;;;;</t>
        </is>
      </c>
      <c r="K415" t="inlineStr">
        <is>
          <t>14815191;f3f6c6bd-8c60-41ed-9a6b-4d28b6838ffd;;30001085;ussd_funeral_leads_altitude_20260601;;;;;DNQS;2;2026-06-09 12:39:03+02;Vuyiswa Nxumalo;2026-06-08 06:47:44+02;2026-06-08 06:47:44+02;;;;;;;;;27664547837;;;;;;;;;;;;;</t>
        </is>
      </c>
    </row>
    <row r="416">
      <c r="A416" t="inlineStr">
        <is>
          <t>ID_415</t>
        </is>
      </c>
      <c r="J416" t="inlineStr">
        <is>
          <t>14815257;808a7523-c56b-4b8e-aac0-96ed28c36323;;30001085;ussd_funeral_leads_altitude_20260601;;;;;ADC;6;2026-06-11 15:15:51+02;system;2026-06-08 06:47:44+02;2026-06-08 06:47:44+02;;;;;;;;;27823669080;;;;;;;;;;;;;</t>
        </is>
      </c>
      <c r="K416" t="inlineStr">
        <is>
          <t>14815257;808a7523-c56b-4b8e-aac0-96ed28c36323;;30001085;ussd_funeral_leads_altitude_20260601;;;;;ADC;6;2026-06-11 15:15:51+02;system;2026-06-08 06:47:44+02;2026-06-08 06:47:44+02;;;;;;;;;27823669080;;;;;;;;;;;;;</t>
        </is>
      </c>
    </row>
    <row r="417">
      <c r="A417" t="inlineStr">
        <is>
          <t>ID_416</t>
        </is>
      </c>
      <c r="J417" t="inlineStr">
        <is>
          <t>14815258;be53677e-b297-4eca-a5bd-7b7f13ab7b6d;;30001085;ussd_funeral_leads_altitude_20260601;;;;;AA;6;2026-06-11 15:14:42+02;system;2026-06-08 06:47:44+02;2026-06-08 06:47:44+02;;;;;;;;;27648521827;;;;;;;;;;;;;</t>
        </is>
      </c>
      <c r="K417" t="inlineStr">
        <is>
          <t>14815258;be53677e-b297-4eca-a5bd-7b7f13ab7b6d;;30001085;ussd_funeral_leads_altitude_20260601;;;;;AA;6;2026-06-11 15:14:42+02;system;2026-06-08 06:47:44+02;2026-06-08 06:47:44+02;;;;;;;;;27648521827;;;;;;;;;;;;;</t>
        </is>
      </c>
    </row>
    <row r="418">
      <c r="A418" t="inlineStr">
        <is>
          <t>ID_417</t>
        </is>
      </c>
      <c r="J418" t="inlineStr">
        <is>
          <t>14815259;4039fd8d-2b6e-4e07-bc6c-19cb21a3d403;;30001085;ussd_funeral_leads_altitude_20260601;;;;;ADC;6;2026-06-12 08:07:38+02;system;2026-06-08 06:47:44+02;2026-06-08 06:47:44+02;;;;;;;;;27791456827;;;;;;;;;;;;;</t>
        </is>
      </c>
      <c r="K418" t="inlineStr">
        <is>
          <t>14815259;4039fd8d-2b6e-4e07-bc6c-19cb21a3d403;;30001085;ussd_funeral_leads_altitude_20260601;;;;;ADC;6;2026-06-12 08:07:38+02;system;2026-06-08 06:47:44+02;2026-06-08 06:47:44+02;;;;;;;;;27791456827;;;;;;;;;;;;;</t>
        </is>
      </c>
    </row>
    <row r="419">
      <c r="A419" t="inlineStr">
        <is>
          <t>ID_418</t>
        </is>
      </c>
      <c r="J419" t="inlineStr">
        <is>
          <t>14815260;cf415718-d412-49eb-9106-ed25f4f85a4d;;30001085;ussd_funeral_leads_altitude_20260601;;;;;TDN;6;2026-06-11 15:13:30+02;system;2026-06-08 06:47:44+02;2026-06-08 06:47:44+02;;;;;;;;;27765938917;;;;;;;;;;;;;</t>
        </is>
      </c>
      <c r="K419" t="inlineStr">
        <is>
          <t>14815260;cf415718-d412-49eb-9106-ed25f4f85a4d;;30001085;ussd_funeral_leads_altitude_20260601;;;;;TDN;6;2026-06-11 15:13:30+02;system;2026-06-08 06:47:44+02;2026-06-08 06:47:44+02;;;;;;;;;27765938917;;;;;;;;;;;;;</t>
        </is>
      </c>
    </row>
    <row r="420">
      <c r="A420" t="inlineStr">
        <is>
          <t>ID_419</t>
        </is>
      </c>
      <c r="J420" t="inlineStr">
        <is>
          <t>14815261;09fc3b20-497d-4b15-9f7a-9cb2bf90b670;;30001085;ussd_funeral_leads_altitude_20260601;;;;;AE;6;2026-06-11 15:10:52+02;system;2026-06-08 06:47:44+02;2026-06-08 06:47:44+02;;;;;;;;;27793790400;;;;;;;;;;;;;</t>
        </is>
      </c>
      <c r="K420" t="inlineStr">
        <is>
          <t>14815261;09fc3b20-497d-4b15-9f7a-9cb2bf90b670;;30001085;ussd_funeral_leads_altitude_20260601;;;;;AE;6;2026-06-11 15:10:52+02;system;2026-06-08 06:47:44+02;2026-06-08 06:47:44+02;;;;;;;;;27793790400;;;;;;;;;;;;;</t>
        </is>
      </c>
    </row>
    <row r="421">
      <c r="A421" t="inlineStr">
        <is>
          <t>ID_420</t>
        </is>
      </c>
      <c r="J421" t="inlineStr">
        <is>
          <t>14815262;2f7216c9-02cb-4684-a0a4-c2ba6143dbbe;;30001085;ussd_funeral_leads_altitude_20260601;;;;;AA;6;2026-06-11 15:08:40+02;system;2026-06-08 06:47:44+02;2026-06-08 06:47:44+02;;;;;;;;;27765000697;;;;;;;;;;;;;</t>
        </is>
      </c>
      <c r="K421" t="inlineStr">
        <is>
          <t>14815262;2f7216c9-02cb-4684-a0a4-c2ba6143dbbe;;30001085;ussd_funeral_leads_altitude_20260601;;;;;AA;6;2026-06-11 15:08:40+02;system;2026-06-08 06:47:44+02;2026-06-08 06:47:44+02;;;;;;;;;27765000697;;;;;;;;;;;;;</t>
        </is>
      </c>
    </row>
    <row r="422">
      <c r="A422" t="inlineStr">
        <is>
          <t>ID_421</t>
        </is>
      </c>
      <c r="J422" t="inlineStr">
        <is>
          <t>14815263;db63b5d6-294f-4b77-8b71-bc3044c6ab0c;;30001085;ussd_funeral_leads_altitude_20260601;;;;;NA;6;2026-06-11 15:06:34+02;system;2026-06-08 06:47:44+02;2026-06-08 06:47:44+02;;;;;;;;;27607372152;;;;;;;;;;;;;</t>
        </is>
      </c>
      <c r="K422" t="inlineStr">
        <is>
          <t>14815263;db63b5d6-294f-4b77-8b71-bc3044c6ab0c;;30001085;ussd_funeral_leads_altitude_20260601;;;;;NA;6;2026-06-11 15:06:34+02;system;2026-06-08 06:47:44+02;2026-06-08 06:47:44+02;;;;;;;;;27607372152;;;;;;;;;;;;;</t>
        </is>
      </c>
    </row>
    <row r="423">
      <c r="A423" t="inlineStr">
        <is>
          <t>ID_422</t>
        </is>
      </c>
      <c r="J423" t="inlineStr">
        <is>
          <t>14815192;01e3aac5-80bb-432e-91f2-f31b1988d8f2;;30001085;ussd_funeral_leads_altitude_20260601;;;;;NA;6;2026-06-11 14:51:48+02;system;2026-06-08 06:47:44+02;2026-06-08 06:47:44+02;;;;;;;;;27795211479;;;;;;;;;;;;;</t>
        </is>
      </c>
      <c r="K423" t="inlineStr">
        <is>
          <t>14815192;01e3aac5-80bb-432e-91f2-f31b1988d8f2;;30001085;ussd_funeral_leads_altitude_20260601;;;;;NA;6;2026-06-11 14:51:48+02;system;2026-06-08 06:47:44+02;2026-06-08 06:47:44+02;;;;;;;;;27795211479;;;;;;;;;;;;;</t>
        </is>
      </c>
    </row>
    <row r="424">
      <c r="A424" t="inlineStr">
        <is>
          <t>ID_423</t>
        </is>
      </c>
      <c r="J424" t="inlineStr">
        <is>
          <t>14815264;6ff693fb-6c08-4c57-aed8-f186fd8c8c1b;;30001085;ussd_funeral_leads_altitude_20260601;;;;;NA;6;2026-06-11 14:57:48+02;system;2026-06-08 06:47:44+02;2026-06-08 06:47:44+02;;;;;;;;;27763397442;;;;;;;;;;;;;</t>
        </is>
      </c>
      <c r="K424" t="inlineStr">
        <is>
          <t>14815264;6ff693fb-6c08-4c57-aed8-f186fd8c8c1b;;30001085;ussd_funeral_leads_altitude_20260601;;;;;NA;6;2026-06-11 14:57:48+02;system;2026-06-08 06:47:44+02;2026-06-08 06:47:44+02;;;;;;;;;27763397442;;;;;;;;;;;;;</t>
        </is>
      </c>
    </row>
    <row r="425">
      <c r="A425" t="inlineStr">
        <is>
          <t>ID_424</t>
        </is>
      </c>
      <c r="J425" t="inlineStr">
        <is>
          <t>14815265;01c689a0-2943-4937-aa00-28e589d1228c;;30001085;ussd_funeral_leads_altitude_20260601;;;;;ADC;6;2026-06-11 14:53:08+02;system;2026-06-08 06:47:44+02;2026-06-08 06:47:44+02;;;;;;;;;27795138901;;;;;;;;;;;;;</t>
        </is>
      </c>
      <c r="K425" t="inlineStr">
        <is>
          <t>14815265;01c689a0-2943-4937-aa00-28e589d1228c;;30001085;ussd_funeral_leads_altitude_20260601;;;;;ADC;6;2026-06-11 14:53:08+02;system;2026-06-08 06:47:44+02;2026-06-08 06:47:44+02;;;;;;;;;27795138901;;;;;;;;;;;;;</t>
        </is>
      </c>
    </row>
    <row r="426">
      <c r="A426" t="inlineStr">
        <is>
          <t>ID_425</t>
        </is>
      </c>
      <c r="J426" t="inlineStr">
        <is>
          <t>14815266;f8a0ec1e-675a-408c-a869-781d5fb8f3ed;;30001085;ussd_funeral_leads_altitude_20260601;;;;;AE;6;2026-06-11 14:49:15+02;system;2026-06-08 06:47:44+02;2026-06-08 06:47:44+02;;;;;;;;;27724210898;;;;;;;;;;;;;</t>
        </is>
      </c>
      <c r="K426" t="inlineStr">
        <is>
          <t>14815266;f8a0ec1e-675a-408c-a869-781d5fb8f3ed;;30001085;ussd_funeral_leads_altitude_20260601;;;;;AE;6;2026-06-11 14:49:15+02;system;2026-06-08 06:47:44+02;2026-06-08 06:47:44+02;;;;;;;;;27724210898;;;;;;;;;;;;;</t>
        </is>
      </c>
    </row>
    <row r="427">
      <c r="A427" t="inlineStr">
        <is>
          <t>ID_426</t>
        </is>
      </c>
      <c r="J427" t="inlineStr">
        <is>
          <t>14815268;34a693b6-c38d-4060-b0a9-f7df5cc0248a;;30001085;ussd_funeral_leads_altitude_20260601;;;;;AA;6;2026-06-11 15:04:48+02;system;2026-06-08 06:47:44+02;2026-06-08 06:47:44+02;;;;;;;;;27646678606;;;;;;;;;;;;;</t>
        </is>
      </c>
      <c r="K427" t="inlineStr">
        <is>
          <t>14815268;34a693b6-c38d-4060-b0a9-f7df5cc0248a;;30001085;ussd_funeral_leads_altitude_20260601;;;;;AA;6;2026-06-11 15:04:48+02;system;2026-06-08 06:47:44+02;2026-06-08 06:47:44+02;;;;;;;;;27646678606;;;;;;;;;;;;;</t>
        </is>
      </c>
    </row>
    <row r="428">
      <c r="A428" t="inlineStr">
        <is>
          <t>ID_427</t>
        </is>
      </c>
      <c r="J428" t="inlineStr">
        <is>
          <t>14815269;b6dbe4d1-c4f1-4074-9cb9-11b0c472576a;;30001085;ussd_funeral_leads_altitude_20260601;;;;;CU;6;2026-06-11 14:46:21+02;Lebohang Mabotja;2026-06-08 06:47:44+02;2026-06-08 06:47:44+02;;;;;;;;;27762502689;;;;;;;;;;;;;</t>
        </is>
      </c>
      <c r="K428" t="inlineStr">
        <is>
          <t>14815269;b6dbe4d1-c4f1-4074-9cb9-11b0c472576a;;30001085;ussd_funeral_leads_altitude_20260601;;;;;CU;6;2026-06-11 14:46:21+02;Lebohang Mabotja;2026-06-08 06:47:44+02;2026-06-08 06:47:44+02;;;;;;;;;27762502689;;;;;;;;;;;;;</t>
        </is>
      </c>
    </row>
    <row r="429">
      <c r="A429" t="inlineStr">
        <is>
          <t>ID_428</t>
        </is>
      </c>
      <c r="J429" t="inlineStr">
        <is>
          <t>14815270;4bd05b47-1db5-4489-ba1f-ff18d6b2bc5f;;30001085;ussd_funeral_leads_altitude_20260601;;;;;NA;6;2026-06-11 14:45:23+02;system;2026-06-08 06:47:44+02;2026-06-08 06:47:44+02;;;;;;;;;27729682904;;;;;;;;;;;;;</t>
        </is>
      </c>
      <c r="K429" t="inlineStr">
        <is>
          <t>14815270;4bd05b47-1db5-4489-ba1f-ff18d6b2bc5f;;30001085;ussd_funeral_leads_altitude_20260601;;;;;NA;6;2026-06-11 14:45:23+02;system;2026-06-08 06:47:44+02;2026-06-08 06:47:44+02;;;;;;;;;27729682904;;;;;;;;;;;;;</t>
        </is>
      </c>
    </row>
    <row r="430">
      <c r="A430" t="inlineStr">
        <is>
          <t>ID_429</t>
        </is>
      </c>
      <c r="J430" t="inlineStr">
        <is>
          <t>14815193;f063a49f-e476-446e-a1a8-815c15443941;;30001085;ussd_funeral_leads_altitude_20260601;;;;;AA;6;2026-06-11 14:51:56+02;system;2026-06-08 06:47:44+02;2026-06-08 06:47:44+02;;;;;;;;;27673474964;;;;;;;;;;;;;</t>
        </is>
      </c>
      <c r="K430" t="inlineStr">
        <is>
          <t>14815193;f063a49f-e476-446e-a1a8-815c15443941;;30001085;ussd_funeral_leads_altitude_20260601;;;;;AA;6;2026-06-11 14:51:56+02;system;2026-06-08 06:47:44+02;2026-06-08 06:47:44+02;;;;;;;;;27673474964;;;;;;;;;;;;;</t>
        </is>
      </c>
    </row>
    <row r="431">
      <c r="A431" t="inlineStr">
        <is>
          <t>ID_430</t>
        </is>
      </c>
      <c r="J431" t="inlineStr">
        <is>
          <t>14815271;6512d763-0d2b-4138-bad8-142532f8062f;;30001085;ussd_funeral_leads_altitude_20260601;;;;;TDN;6;2026-06-11 14:42:46+02;system;2026-06-08 06:47:44+02;2026-06-08 06:47:44+02;;;;;;;;;27792913191;;;;;;;;;;;;;</t>
        </is>
      </c>
      <c r="K431" t="inlineStr">
        <is>
          <t>14815271;6512d763-0d2b-4138-bad8-142532f8062f;;30001085;ussd_funeral_leads_altitude_20260601;;;;;TDN;6;2026-06-11 14:42:46+02;system;2026-06-08 06:47:44+02;2026-06-08 06:47:44+02;;;;;;;;;27792913191;;;;;;;;;;;;;</t>
        </is>
      </c>
    </row>
    <row r="432">
      <c r="A432" t="inlineStr">
        <is>
          <t>ID_431</t>
        </is>
      </c>
      <c r="J432" t="inlineStr">
        <is>
          <t>14815194;be8a6d50-22e5-4bb7-a84b-d6ae0aeb2458;;30001085;ussd_funeral_leads_altitude_20260601;;;;;ADC;6;2026-06-11 14:52:01+02;system;2026-06-08 06:47:44+02;2026-06-08 06:47:44+02;;;;;;;;;27711187605;;;;;;;;;;;;;</t>
        </is>
      </c>
      <c r="K432" t="inlineStr">
        <is>
          <t>14815194;be8a6d50-22e5-4bb7-a84b-d6ae0aeb2458;;30001085;ussd_funeral_leads_altitude_20260601;;;;;ADC;6;2026-06-11 14:52:01+02;system;2026-06-08 06:47:44+02;2026-06-08 06:47:44+02;;;;;;;;;27711187605;;;;;;;;;;;;;</t>
        </is>
      </c>
    </row>
    <row r="433">
      <c r="A433" t="inlineStr">
        <is>
          <t>ID_432</t>
        </is>
      </c>
      <c r="J433" t="inlineStr">
        <is>
          <t>14815195;5d2414d2-c164-44ef-973a-4b13af033fbd;;30001085;ussd_funeral_leads_altitude_20260601;;;;;A;8;2026-06-13 10:17:59+02;Virginia Letsatsi;2026-06-08 06:47:44+02;2026-06-08 06:47:44+02;;;;;;;;;27763789715;;;;;;;;;;;;;</t>
        </is>
      </c>
      <c r="K433" t="inlineStr">
        <is>
          <t>14815195;5d2414d2-c164-44ef-973a-4b13af033fbd;;30001085;ussd_funeral_leads_altitude_20260601;;;;;A;8;2026-06-13 10:17:59+02;Virginia Letsatsi;2026-06-08 06:47:44+02;2026-06-08 06:47:44+02;;;;;;;;;27763789715;;;;;;;;;;;;;</t>
        </is>
      </c>
    </row>
    <row r="434">
      <c r="A434" t="inlineStr">
        <is>
          <t>ID_433</t>
        </is>
      </c>
      <c r="J434" t="inlineStr">
        <is>
          <t>14815196;35766834-584f-419a-a1e3-15817649fb6f;;30001085;ussd_funeral_leads_altitude_20260601;;;;;ADC;6;2026-06-11 14:52:05+02;system;2026-06-08 06:47:44+02;2026-06-08 06:47:44+02;;;;;;;;;27825985074;;;;;;;;;;;;;</t>
        </is>
      </c>
      <c r="K434" t="inlineStr">
        <is>
          <t>14815196;35766834-584f-419a-a1e3-15817649fb6f;;30001085;ussd_funeral_leads_altitude_20260601;;;;;ADC;6;2026-06-11 14:52:05+02;system;2026-06-08 06:47:44+02;2026-06-08 06:47:44+02;;;;;;;;;27825985074;;;;;;;;;;;;;</t>
        </is>
      </c>
    </row>
    <row r="435">
      <c r="A435" t="inlineStr">
        <is>
          <t>ID_434</t>
        </is>
      </c>
      <c r="J435" t="inlineStr">
        <is>
          <t>14815197;5e71e148-e78f-4cf1-8098-4c2306ba1d64;;30001085;ussd_funeral_leads_altitude_20260601;;;;;CUA;3;2026-06-10 08:53:14+02;Vuyiswa Nxumalo;2026-06-08 06:47:44+02;2026-06-08 06:47:44+02;;;;;;;;;27764315224;;;;;;;;;;;;;</t>
        </is>
      </c>
      <c r="K435" t="inlineStr">
        <is>
          <t>14815197;5e71e148-e78f-4cf1-8098-4c2306ba1d64;;30001085;ussd_funeral_leads_altitude_20260601;;;;;CUA;3;2026-06-10 08:53:14+02;Vuyiswa Nxumalo;2026-06-08 06:47:44+02;2026-06-08 06:47:44+02;;;;;;;;;27764315224;;;;;;;;;;;;;</t>
        </is>
      </c>
    </row>
    <row r="436">
      <c r="A436" t="inlineStr">
        <is>
          <t>ID_435</t>
        </is>
      </c>
      <c r="J436" t="inlineStr">
        <is>
          <t>14815272;32ff409d-e7b8-4078-9c6f-0b9bbd88f159;;30001085;ussd_funeral_leads_altitude_20260601;;;;;AA;6;2026-06-11 15:02:52+02;system;2026-06-08 06:47:44+02;2026-06-08 06:47:44+02;;;;;;;;;27636725756;;;;;;;;;;;;;</t>
        </is>
      </c>
      <c r="K436" t="inlineStr">
        <is>
          <t>14815272;32ff409d-e7b8-4078-9c6f-0b9bbd88f159;;30001085;ussd_funeral_leads_altitude_20260601;;;;;AA;6;2026-06-11 15:02:52+02;system;2026-06-08 06:47:44+02;2026-06-08 06:47:44+02;;;;;;;;;27636725756;;;;;;;;;;;;;</t>
        </is>
      </c>
    </row>
    <row r="437">
      <c r="A437" t="inlineStr">
        <is>
          <t>ID_436</t>
        </is>
      </c>
      <c r="J437" t="inlineStr">
        <is>
          <t>14815198;c51d2481-3632-485a-a08c-12b76b99ca7d;;30001085;ussd_funeral_leads_altitude_20260601;;;;;AE;6;2026-06-11 14:52:04+02;system;2026-06-08 06:47:44+02;2026-06-08 06:47:44+02;;;;;;;;;27637642510;;;;;;;;;;;;;</t>
        </is>
      </c>
      <c r="K437" t="inlineStr">
        <is>
          <t>14815198;c51d2481-3632-485a-a08c-12b76b99ca7d;;30001085;ussd_funeral_leads_altitude_20260601;;;;;AE;6;2026-06-11 14:52:04+02;system;2026-06-08 06:47:44+02;2026-06-08 06:47:44+02;;;;;;;;;27637642510;;;;;;;;;;;;;</t>
        </is>
      </c>
    </row>
    <row r="438">
      <c r="A438" t="inlineStr">
        <is>
          <t>ID_437</t>
        </is>
      </c>
      <c r="J438" t="inlineStr">
        <is>
          <t>14815199;bf311964-a1c0-4588-b374-c785e1453a8b;;30001085;ussd_funeral_leads_altitude_20260601;;;;;ADC;6;2026-06-11 14:52:09+02;system;2026-06-08 06:47:44+02;2026-06-08 06:47:44+02;;;;;;;;;27646182867;;;;;;;;;;;;;</t>
        </is>
      </c>
      <c r="K438" t="inlineStr">
        <is>
          <t>14815199;bf311964-a1c0-4588-b374-c785e1453a8b;;30001085;ussd_funeral_leads_altitude_20260601;;;;;ADC;6;2026-06-11 14:52:09+02;system;2026-06-08 06:47:44+02;2026-06-08 06:47:44+02;;;;;;;;;27646182867;;;;;;;;;;;;;</t>
        </is>
      </c>
    </row>
    <row r="439">
      <c r="A439" t="inlineStr">
        <is>
          <t>ID_438</t>
        </is>
      </c>
      <c r="J439" t="inlineStr">
        <is>
          <t>14815200;2b9b0d9a-0021-4c91-83a4-2d4743a5fbc0;;30001085;ussd_funeral_leads_altitude_20260601;;;;;A;7;2026-06-11 15:53:49+02;Vuyiswa Nxumalo;2026-06-08 06:47:44+02;2026-06-08 06:47:44+02;;;;;;;;;27713039944;;;;;;;;;;;;;</t>
        </is>
      </c>
      <c r="K439" t="inlineStr">
        <is>
          <t>14815200;2b9b0d9a-0021-4c91-83a4-2d4743a5fbc0;;30001085;ussd_funeral_leads_altitude_20260601;;;;;A;7;2026-06-11 15:53:49+02;Vuyiswa Nxumalo;2026-06-08 06:47:44+02;2026-06-08 06:47:44+02;;;;;;;;;27713039944;;;;;;;;;;;;;</t>
        </is>
      </c>
    </row>
    <row r="440">
      <c r="A440" t="inlineStr">
        <is>
          <t>ID_439</t>
        </is>
      </c>
      <c r="J440" t="inlineStr">
        <is>
          <t>14815201;0a498449-b08a-4612-85c5-6a676db129fc;;30001085;ussd_funeral_leads_altitude_20260601;;;;;NA;6;2026-06-11 14:52:22+02;system;2026-06-08 06:47:44+02;2026-06-08 06:47:44+02;;;;;;;;;27646946029;;;;;;;;;;;;;</t>
        </is>
      </c>
      <c r="K440" t="inlineStr">
        <is>
          <t>14815201;0a498449-b08a-4612-85c5-6a676db129fc;;30001085;ussd_funeral_leads_altitude_20260601;;;;;NA;6;2026-06-11 14:52:22+02;system;2026-06-08 06:47:44+02;2026-06-08 06:47:44+02;;;;;;;;;27646946029;;;;;;;;;;;;;</t>
        </is>
      </c>
    </row>
    <row r="441">
      <c r="A441" t="inlineStr">
        <is>
          <t>ID_440</t>
        </is>
      </c>
      <c r="J441" t="inlineStr">
        <is>
          <t>14815202;a68db49c-0c68-47ed-b023-f11b145a4dcd;;30001085;ussd_funeral_leads_altitude_20260601;;;;;AA;6;2026-06-11 15:29:49+02;system;2026-06-08 06:47:44+02;2026-06-08 06:47:44+02;;;;;;;;;27827608086;;;;;;;;;;;;;</t>
        </is>
      </c>
      <c r="K441" t="inlineStr">
        <is>
          <t>14815202;a68db49c-0c68-47ed-b023-f11b145a4dcd;;30001085;ussd_funeral_leads_altitude_20260601;;;;;AA;6;2026-06-11 15:29:49+02;system;2026-06-08 06:47:44+02;2026-06-08 06:47:44+02;;;;;;;;;27827608086;;;;;;;;;;;;;</t>
        </is>
      </c>
    </row>
    <row r="442">
      <c r="A442" t="inlineStr">
        <is>
          <t>ID_441</t>
        </is>
      </c>
      <c r="J442" t="inlineStr">
        <is>
          <t>14815203;120bee46-dcd8-4e7c-8e4a-eae767c49f32;;30001085;ussd_funeral_leads_altitude_20260601;;;;;CU;6;2026-06-11 15:29:45+02;Vuyiswa Nxumalo;2026-06-08 06:47:44+02;2026-06-08 06:47:44+02;;;;;;;;;27716435537;;;;;;;;;;;;;</t>
        </is>
      </c>
      <c r="K442" t="inlineStr">
        <is>
          <t>14815203;120bee46-dcd8-4e7c-8e4a-eae767c49f32;;30001085;ussd_funeral_leads_altitude_20260601;;;;;CU;6;2026-06-11 15:29:45+02;Vuyiswa Nxumalo;2026-06-08 06:47:44+02;2026-06-08 06:47:44+02;;;;;;;;;27716435537;;;;;;;;;;;;;</t>
        </is>
      </c>
    </row>
    <row r="443">
      <c r="A443" t="inlineStr">
        <is>
          <t>ID_442</t>
        </is>
      </c>
      <c r="J443" t="inlineStr">
        <is>
          <t>14815204;66a9e67c-9a4f-4bbf-a647-96d4139d0c46;;30001085;ussd_funeral_leads_altitude_20260601;;;;;NA;6;2026-06-11 15:29:45+02;system;2026-06-08 06:47:44+02;2026-06-08 06:47:44+02;;;;;;;;;27606993451;;;;;;;;;;;;;</t>
        </is>
      </c>
      <c r="K443" t="inlineStr">
        <is>
          <t>14815204;66a9e67c-9a4f-4bbf-a647-96d4139d0c46;;30001085;ussd_funeral_leads_altitude_20260601;;;;;NA;6;2026-06-11 15:29:45+02;system;2026-06-08 06:47:44+02;2026-06-08 06:47:44+02;;;;;;;;;27606993451;;;;;;;;;;;;;</t>
        </is>
      </c>
    </row>
    <row r="444">
      <c r="A444" t="inlineStr">
        <is>
          <t>ID_443</t>
        </is>
      </c>
      <c r="J444" t="inlineStr">
        <is>
          <t>14815205;47a53b9a-460d-438c-b0ec-1d3e09e04ee0;;30001085;ussd_funeral_leads_altitude_20260601;;;;;TDN;6;2026-06-11 15:28:38+02;system;2026-06-08 06:47:44+02;2026-06-08 06:47:44+02;;;;;;;;;27818470346;;;;;;;;;;;;;</t>
        </is>
      </c>
      <c r="K444" t="inlineStr">
        <is>
          <t>14815205;47a53b9a-460d-438c-b0ec-1d3e09e04ee0;;30001085;ussd_funeral_leads_altitude_20260601;;;;;TDN;6;2026-06-11 15:28:38+02;system;2026-06-08 06:47:44+02;2026-06-08 06:47:44+02;;;;;;;;;27818470346;;;;;;;;;;;;;</t>
        </is>
      </c>
    </row>
    <row r="445">
      <c r="A445" t="inlineStr">
        <is>
          <t>ID_444</t>
        </is>
      </c>
      <c r="J445" t="inlineStr">
        <is>
          <t>14815206;e5bfc3c4-5bad-46bd-9280-0b782caf3a70;;30001085;ussd_funeral_leads_altitude_20260601;;;;;TDN;6;2026-06-11 15:28:30+02;system;2026-06-08 06:47:44+02;2026-06-08 06:47:44+02;;;;;;;;;27674803430;;;;;;;;;;;;;</t>
        </is>
      </c>
      <c r="K445" t="inlineStr">
        <is>
          <t>14815206;e5bfc3c4-5bad-46bd-9280-0b782caf3a70;;30001085;ussd_funeral_leads_altitude_20260601;;;;;TDN;6;2026-06-11 15:28:30+02;system;2026-06-08 06:47:44+02;2026-06-08 06:47:44+02;;;;;;;;;27674803430;;;;;;;;;;;;;</t>
        </is>
      </c>
    </row>
    <row r="446">
      <c r="A446" t="inlineStr">
        <is>
          <t>ID_445</t>
        </is>
      </c>
      <c r="J446" t="inlineStr">
        <is>
          <t>14815207;3c30b12d-d158-411b-bd0c-432fba6d4f79;;30001085;ussd_funeral_leads_altitude_20260601;;;;;ADC;6;2026-06-11 15:28:28+02;system;2026-06-08 06:47:44+02;2026-06-08 06:47:44+02;;;;;;;;;27766741831;;;;;;;;;;;;;</t>
        </is>
      </c>
      <c r="K446" t="inlineStr">
        <is>
          <t>14815207;3c30b12d-d158-411b-bd0c-432fba6d4f79;;30001085;ussd_funeral_leads_altitude_20260601;;;;;ADC;6;2026-06-11 15:28:28+02;system;2026-06-08 06:47:44+02;2026-06-08 06:47:44+02;;;;;;;;;27766741831;;;;;;;;;;;;;</t>
        </is>
      </c>
    </row>
    <row r="447">
      <c r="A447" t="inlineStr">
        <is>
          <t>ID_446</t>
        </is>
      </c>
      <c r="J447" t="inlineStr">
        <is>
          <t>14815208;f5402ca9-83ef-4e3b-a5b6-1fdfc90f5492;;30001085;ussd_funeral_leads_altitude_20260601;;;;;ADC;6;2026-06-11 15:28:27+02;system;2026-06-08 06:47:44+02;2026-06-08 06:47:44+02;;;;;;;;;27712018801;;;;;;;;;;;;;</t>
        </is>
      </c>
      <c r="K447" t="inlineStr">
        <is>
          <t>14815208;f5402ca9-83ef-4e3b-a5b6-1fdfc90f5492;;30001085;ussd_funeral_leads_altitude_20260601;;;;;ADC;6;2026-06-11 15:28:27+02;system;2026-06-08 06:47:44+02;2026-06-08 06:47:44+02;;;;;;;;;27712018801;;;;;;;;;;;;;</t>
        </is>
      </c>
    </row>
    <row r="448">
      <c r="A448" t="inlineStr">
        <is>
          <t>ID_447</t>
        </is>
      </c>
      <c r="J448" t="inlineStr">
        <is>
          <t>14815209;2e9b8dad-3c2b-4a73-8cd8-752b839e8cc1;;30001085;ussd_funeral_leads_altitude_20260601;;;;;AA;6;2026-06-11 15:28:21+02;system;2026-06-08 06:47:44+02;2026-06-08 06:47:44+02;;;;;;;;;27608785000;;;;;;;;;;;;;</t>
        </is>
      </c>
      <c r="K448" t="inlineStr">
        <is>
          <t>14815209;2e9b8dad-3c2b-4a73-8cd8-752b839e8cc1;;30001085;ussd_funeral_leads_altitude_20260601;;;;;AA;6;2026-06-11 15:28:21+02;system;2026-06-08 06:47:44+02;2026-06-08 06:47:44+02;;;;;;;;;27608785000;;;;;;;;;;;;;</t>
        </is>
      </c>
    </row>
    <row r="449">
      <c r="A449" t="inlineStr">
        <is>
          <t>ID_448</t>
        </is>
      </c>
      <c r="J449" t="inlineStr">
        <is>
          <t>14815210;cb5fe145-99f6-46f9-a9cf-40664cfb1ca4;;30001085;ussd_funeral_leads_altitude_20260601;;;;;NA;6;2026-06-11 15:28:17+02;system;2026-06-08 06:47:44+02;2026-06-08 06:47:44+02;;;;;;;;;27606383872;;;;;;;;;;;;;</t>
        </is>
      </c>
      <c r="K449" t="inlineStr">
        <is>
          <t>14815210;cb5fe145-99f6-46f9-a9cf-40664cfb1ca4;;30001085;ussd_funeral_leads_altitude_20260601;;;;;NA;6;2026-06-11 15:28:17+02;system;2026-06-08 06:47:44+02;2026-06-08 06:47:44+02;;;;;;;;;27606383872;;;;;;;;;;;;;</t>
        </is>
      </c>
    </row>
    <row r="450">
      <c r="A450" t="inlineStr">
        <is>
          <t>ID_449</t>
        </is>
      </c>
      <c r="J450" t="inlineStr">
        <is>
          <t>14815211;e2b7f2ab-fb2a-402b-84fb-de487ab39b79;;30001085;ussd_funeral_leads_altitude_20260601;;;;;NA;6;2026-06-11 15:28:17+02;system;2026-06-08 06:47:44+02;2026-06-08 06:47:44+02;;;;;;;;;27769653807;;;;;;;;;;;;;</t>
        </is>
      </c>
      <c r="K450" t="inlineStr">
        <is>
          <t>14815211;e2b7f2ab-fb2a-402b-84fb-de487ab39b79;;30001085;ussd_funeral_leads_altitude_20260601;;;;;NA;6;2026-06-11 15:28:17+02;system;2026-06-08 06:47:44+02;2026-06-08 06:47:44+02;;;;;;;;;27769653807;;;;;;;;;;;;;</t>
        </is>
      </c>
    </row>
    <row r="451">
      <c r="A451" t="inlineStr">
        <is>
          <t>ID_450</t>
        </is>
      </c>
      <c r="J451" t="inlineStr">
        <is>
          <t>14815212;4632b2c7-af74-4a61-a614-9ca56843d9b6;;30001085;ussd_funeral_leads_altitude_20260601;;;;;AE;6;2026-06-11 15:28:12+02;system;2026-06-08 06:47:44+02;2026-06-08 06:47:44+02;;;;;;;;;27822067291;;;;;;;;;;;;;</t>
        </is>
      </c>
      <c r="K451" t="inlineStr">
        <is>
          <t>14815212;4632b2c7-af74-4a61-a614-9ca56843d9b6;;30001085;ussd_funeral_leads_altitude_20260601;;;;;AE;6;2026-06-11 15:28:12+02;system;2026-06-08 06:47:44+02;2026-06-08 06:47:44+02;;;;;;;;;27822067291;;;;;;;;;;;;;</t>
        </is>
      </c>
    </row>
    <row r="452">
      <c r="A452" t="inlineStr">
        <is>
          <t>ID_451</t>
        </is>
      </c>
      <c r="J452" t="inlineStr">
        <is>
          <t>14815213;7e92ae0c-25fa-46a2-87ec-7762ae272a11;;30001085;ussd_funeral_leads_altitude_20260601;;;;;CU;6;2026-06-11 15:28:12+02;Gontse Monageng;2026-06-08 06:47:44+02;2026-06-08 06:47:44+02;;;;;;;;;27606806692;;;;;;;;;;;;;</t>
        </is>
      </c>
      <c r="K452" t="inlineStr">
        <is>
          <t>14815213;7e92ae0c-25fa-46a2-87ec-7762ae272a11;;30001085;ussd_funeral_leads_altitude_20260601;;;;;CU;6;2026-06-11 15:28:12+02;Gontse Monageng;2026-06-08 06:47:44+02;2026-06-08 06:47:44+02;;;;;;;;;27606806692;;;;;;;;;;;;;</t>
        </is>
      </c>
    </row>
    <row r="453">
      <c r="A453" t="inlineStr">
        <is>
          <t>ID_452</t>
        </is>
      </c>
      <c r="J453" t="inlineStr">
        <is>
          <t>14815214;bab1bb07-a3ad-499c-b137-923313e3620b;;30001085;ussd_funeral_leads_altitude_20260601;;;27763330805;;U;2;2026-06-09 12:04:18+02;Lebohang Mabotja;2026-06-08 06:47:44+02;2026-06-08 06:47:44+02;;;;;;;;;27763330805;;;;;;;;;;;;;</t>
        </is>
      </c>
      <c r="K453" t="inlineStr">
        <is>
          <t>14815214;bab1bb07-a3ad-499c-b137-923313e3620b;;30001085;ussd_funeral_leads_altitude_20260601;;;27763330805;;U;2;2026-06-09 12:04:18+02;Lebohang Mabotja;2026-06-08 06:47:44+02;2026-06-08 06:47:44+02;;;;;;;;;27763330805;;;;;;;;;;;;;</t>
        </is>
      </c>
    </row>
    <row r="454">
      <c r="A454" t="inlineStr">
        <is>
          <t>ID_453</t>
        </is>
      </c>
      <c r="J454" t="inlineStr">
        <is>
          <t>14815215;c5224e50-efe8-4255-9ac8-ec598b1efa43;;30001085;ussd_funeral_leads_altitude_20260601;;;;;AA;6;2026-06-11 15:28:09+02;system;2026-06-08 06:47:44+02;2026-06-08 06:47:44+02;;;;;;;;;27609185736;;;;;;;;;;;;;</t>
        </is>
      </c>
      <c r="K454" t="inlineStr">
        <is>
          <t>14815215;c5224e50-efe8-4255-9ac8-ec598b1efa43;;30001085;ussd_funeral_leads_altitude_20260601;;;;;AA;6;2026-06-11 15:28:09+02;system;2026-06-08 06:47:44+02;2026-06-08 06:47:44+02;;;;;;;;;27609185736;;;;;;;;;;;;;</t>
        </is>
      </c>
    </row>
    <row r="455">
      <c r="A455" t="inlineStr">
        <is>
          <t>ID_454</t>
        </is>
      </c>
      <c r="J455" t="inlineStr">
        <is>
          <t>14815216;145a214b-82f5-4b05-8f81-194406c6c170;;30001085;ussd_funeral_leads_altitude_20260601;;;;;AA;6;2026-06-11 15:28:06+02;system;2026-06-08 06:47:44+02;2026-06-08 06:47:44+02;;;;;;;;;27646453880;;;;;;;;;;;;;</t>
        </is>
      </c>
      <c r="K455" t="inlineStr">
        <is>
          <t>14815216;145a214b-82f5-4b05-8f81-194406c6c170;;30001085;ussd_funeral_leads_altitude_20260601;;;;;AA;6;2026-06-11 15:28:06+02;system;2026-06-08 06:47:44+02;2026-06-08 06:47:44+02;;;;;;;;;27646453880;;;;;;;;;;;;;</t>
        </is>
      </c>
    </row>
    <row r="456">
      <c r="A456" t="inlineStr">
        <is>
          <t>ID_455</t>
        </is>
      </c>
      <c r="J456" t="inlineStr">
        <is>
          <t>14815217;b4253312-44f3-4960-aa8d-1ea2d3f1e89b;;30001085;ussd_funeral_leads_altitude_20260601;;;;;AA;6;2026-06-11 15:27:58+02;system;2026-06-08 06:47:44+02;2026-06-08 06:47:44+02;;;;;;;;;27818850391;;;;;;;;;;;;;</t>
        </is>
      </c>
      <c r="K456" t="inlineStr">
        <is>
          <t>14815217;b4253312-44f3-4960-aa8d-1ea2d3f1e89b;;30001085;ussd_funeral_leads_altitude_20260601;;;;;AA;6;2026-06-11 15:27:58+02;system;2026-06-08 06:47:44+02;2026-06-08 06:47:44+02;;;;;;;;;27818850391;;;;;;;;;;;;;</t>
        </is>
      </c>
    </row>
    <row r="457">
      <c r="A457" t="inlineStr">
        <is>
          <t>ID_456</t>
        </is>
      </c>
      <c r="J457" t="inlineStr">
        <is>
          <t>14815218;46402459-8aa0-4c08-9d79-6b6f75c41f3d;;30001085;ussd_funeral_leads_altitude_20260601;;;;;NI;1;2026-06-08 14:07:38+02;Lebohang Mabotja;2026-06-08 06:47:44+02;2026-06-08 06:47:44+02;;;;;;;;;27774268198;;;;;;;;;;;;;</t>
        </is>
      </c>
      <c r="K457" t="inlineStr">
        <is>
          <t>14815218;46402459-8aa0-4c08-9d79-6b6f75c41f3d;;30001085;ussd_funeral_leads_altitude_20260601;;;;;NI;1;2026-06-08 14:07:38+02;Lebohang Mabotja;2026-06-08 06:47:44+02;2026-06-08 06:47:44+02;;;;;;;;;27774268198;;;;;;;;;;;;;</t>
        </is>
      </c>
    </row>
    <row r="458">
      <c r="A458" t="inlineStr">
        <is>
          <t>ID_457</t>
        </is>
      </c>
      <c r="J458" t="inlineStr">
        <is>
          <t>14815219;73fb04ed-4782-4beb-ab67-4e35c7f75a28;;30001085;ussd_funeral_leads_altitude_20260601;;;;;NA;6;2026-06-11 15:27:01+02;system;2026-06-08 06:47:44+02;2026-06-08 06:47:44+02;;;;;;;;;27675812284;;;;;;;;;;;;;</t>
        </is>
      </c>
      <c r="K458" t="inlineStr">
        <is>
          <t>14815219;73fb04ed-4782-4beb-ab67-4e35c7f75a28;;30001085;ussd_funeral_leads_altitude_20260601;;;;;NA;6;2026-06-11 15:27:01+02;system;2026-06-08 06:47:44+02;2026-06-08 06:47:44+02;;;;;;;;;27675812284;;;;;;;;;;;;;</t>
        </is>
      </c>
    </row>
    <row r="459">
      <c r="A459" t="inlineStr">
        <is>
          <t>ID_458</t>
        </is>
      </c>
      <c r="J459" t="inlineStr">
        <is>
          <t>14815220;1c8dc23f-65fb-4b4c-9024-0f29b4e77ff3;;30001085;ussd_funeral_leads_altitude_20260601;;;;;CU;6;2026-06-11 15:26:53+02;Vuyiswa Nxumalo;2026-06-08 06:47:44+02;2026-06-08 06:47:44+02;;;;;;;;;27726658121;;;;;;;;;;;;;</t>
        </is>
      </c>
      <c r="K459" t="inlineStr">
        <is>
          <t>14815220;1c8dc23f-65fb-4b4c-9024-0f29b4e77ff3;;30001085;ussd_funeral_leads_altitude_20260601;;;;;CU;6;2026-06-11 15:26:53+02;Vuyiswa Nxumalo;2026-06-08 06:47:44+02;2026-06-08 06:47:44+02;;;;;;;;;27726658121;;;;;;;;;;;;;</t>
        </is>
      </c>
    </row>
    <row r="460">
      <c r="A460" t="inlineStr">
        <is>
          <t>ID_459</t>
        </is>
      </c>
      <c r="J460" t="inlineStr">
        <is>
          <t>14815221;4b6dfa36-a399-47fa-89a2-54286af944b7;;30001085;ussd_funeral_leads_altitude_20260601;;;27665015050;;AA;6;2026-06-11 15:29:42+02;system;2026-06-08 06:47:44+02;2026-06-08 06:47:44+02;;;;;;;;;27665015050;;;;;;;;;;;;;</t>
        </is>
      </c>
      <c r="K460" t="inlineStr">
        <is>
          <t>14815221;4b6dfa36-a399-47fa-89a2-54286af944b7;;30001085;ussd_funeral_leads_altitude_20260601;;;27665015050;;AA;6;2026-06-11 15:29:42+02;system;2026-06-08 06:47:44+02;2026-06-08 06:47:44+02;;;;;;;;;27665015050;;;;;;;;;;;;;</t>
        </is>
      </c>
    </row>
    <row r="461">
      <c r="A461" t="inlineStr">
        <is>
          <t>ID_460</t>
        </is>
      </c>
      <c r="J461" t="inlineStr">
        <is>
          <t>14815222;56a20114-6dbe-4c83-9a85-4bc0d9be9cd0;;30001085;ussd_funeral_leads_altitude_20260601;;;;;NA;6;2026-06-11 15:26:53+02;system;2026-06-08 06:47:44+02;2026-06-08 06:47:44+02;;;;;;;;;27793131562;;;;;;;;;;;;;</t>
        </is>
      </c>
      <c r="K461" t="inlineStr">
        <is>
          <t>14815222;56a20114-6dbe-4c83-9a85-4bc0d9be9cd0;;30001085;ussd_funeral_leads_altitude_20260601;;;;;NA;6;2026-06-11 15:26:53+02;system;2026-06-08 06:47:44+02;2026-06-08 06:47:44+02;;;;;;;;;27793131562;;;;;;;;;;;;;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cols>
    <col width="35.71093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2" t="n"/>
    </row>
    <row r="5" ht="15.75" customHeight="1">
      <c r="A5" s="3" t="n"/>
      <c r="B5" s="4" t="n"/>
    </row>
    <row r="6">
      <c r="A6" s="2" t="inlineStr">
        <is>
          <t>Total Leads</t>
        </is>
      </c>
      <c r="B6" s="5" t="n">
        <v>460</v>
      </c>
    </row>
    <row r="7">
      <c r="A7" s="6" t="inlineStr">
        <is>
          <t>Unworked Leads (New Leads)</t>
        </is>
      </c>
      <c r="B7" s="4" t="n">
        <v>0</v>
      </c>
    </row>
    <row r="8">
      <c r="A8" s="6" t="inlineStr">
        <is>
          <t>Succesful Contacts</t>
        </is>
      </c>
      <c r="B8" s="4" t="n">
        <v>0</v>
      </c>
    </row>
    <row r="9">
      <c r="A9" s="6" t="inlineStr">
        <is>
          <t>True Contacts</t>
        </is>
      </c>
      <c r="B9" s="4" t="n">
        <v>0</v>
      </c>
    </row>
    <row r="10">
      <c r="A10" s="6" t="inlineStr">
        <is>
          <t>Conversion</t>
        </is>
      </c>
      <c r="B10" s="4" t="n">
        <v>0</v>
      </c>
    </row>
    <row r="11">
      <c r="A11" s="6" t="inlineStr">
        <is>
          <t>True Sales (post QA)</t>
        </is>
      </c>
      <c r="B11" s="4" t="n">
        <v>0</v>
      </c>
    </row>
    <row r="12">
      <c r="A12" s="6" t="inlineStr">
        <is>
          <t>Collections</t>
        </is>
      </c>
      <c r="B12" s="4" t="n"/>
    </row>
    <row r="13">
      <c r="A13" s="6" t="inlineStr">
        <is>
          <t>Number of missed 1st Collections</t>
        </is>
      </c>
      <c r="B13" s="4" t="n"/>
    </row>
    <row r="14">
      <c r="A14" s="6" t="inlineStr">
        <is>
          <t>NTU</t>
        </is>
      </c>
      <c r="B14" s="4" t="n"/>
    </row>
    <row r="15">
      <c r="A15" s="6" t="inlineStr">
        <is>
          <t>Cancellations/Lapse</t>
        </is>
      </c>
      <c r="B15" s="4" t="n"/>
    </row>
    <row r="16">
      <c r="A16" s="6" t="n"/>
      <c r="B16" s="4" t="n"/>
    </row>
    <row r="17">
      <c r="A17" s="6" t="inlineStr">
        <is>
          <t>Contactability</t>
        </is>
      </c>
      <c r="B17" s="7">
        <f>B8/B6</f>
        <v/>
      </c>
    </row>
    <row r="18">
      <c r="A18" s="6" t="inlineStr">
        <is>
          <t>Lead to Sale Conversion</t>
        </is>
      </c>
      <c r="B18" s="7">
        <f>B10/B6</f>
        <v/>
      </c>
    </row>
    <row r="19">
      <c r="A19" s="6" t="inlineStr">
        <is>
          <t>Conversion to True Sale</t>
        </is>
      </c>
      <c r="B19" s="7">
        <f>B11/B10</f>
        <v/>
      </c>
    </row>
    <row r="20">
      <c r="A20" s="6" t="inlineStr">
        <is>
          <t>True contacts to sales</t>
        </is>
      </c>
      <c r="B20" s="7">
        <f>B10/B9</f>
        <v/>
      </c>
    </row>
    <row r="21">
      <c r="A21" s="6" t="inlineStr">
        <is>
          <t>True Sale to Collections</t>
        </is>
      </c>
      <c r="B21" s="8" t="n"/>
    </row>
    <row r="22">
      <c r="A22" s="6" t="n"/>
      <c r="B22" s="4" t="n"/>
    </row>
    <row r="23">
      <c r="A23" s="6" t="inlineStr">
        <is>
          <t>Number of Calls to Leads</t>
        </is>
      </c>
      <c r="B23" s="4" t="n"/>
    </row>
    <row r="24">
      <c r="A24" s="6" t="inlineStr">
        <is>
          <t>Number of Calls Made</t>
        </is>
      </c>
      <c r="B24" s="4" t="n"/>
    </row>
    <row r="25">
      <c r="A25" s="6" t="inlineStr">
        <is>
          <t>Number of Calls per Lead</t>
        </is>
      </c>
      <c r="B25" s="9">
        <f>B23/B6</f>
        <v/>
      </c>
    </row>
    <row r="26">
      <c r="A26" s="6" t="inlineStr">
        <is>
          <t>Number of Agents</t>
        </is>
      </c>
      <c r="B26" s="4" t="n"/>
    </row>
    <row r="27">
      <c r="A27" s="6" t="inlineStr">
        <is>
          <t>Number of Working Days</t>
        </is>
      </c>
      <c r="B27" s="4" t="n"/>
    </row>
    <row r="28">
      <c r="A28" s="6" t="n"/>
      <c r="B28" s="4" t="n"/>
    </row>
    <row r="29">
      <c r="A29" s="10" t="inlineStr">
        <is>
          <t>Unsuccesful Contacts Dispositions</t>
        </is>
      </c>
      <c r="B29" s="4" t="n"/>
    </row>
    <row r="30">
      <c r="A30" s="6" t="inlineStr">
        <is>
          <t>Answering Machine Autodial</t>
        </is>
      </c>
      <c r="B30" s="4" t="n">
        <v>0</v>
      </c>
    </row>
    <row r="31">
      <c r="A31" s="6" t="inlineStr">
        <is>
          <t>No Answer AutoDial</t>
        </is>
      </c>
      <c r="B31" s="4" t="n">
        <v>0</v>
      </c>
    </row>
    <row r="32">
      <c r="A32" s="6" t="inlineStr">
        <is>
          <t>Auto Engaged</t>
        </is>
      </c>
      <c r="B32" s="4" t="n">
        <v>0</v>
      </c>
    </row>
    <row r="33">
      <c r="A33" s="6" t="inlineStr">
        <is>
          <t>Answering Machine</t>
        </is>
      </c>
      <c r="B33" s="4" t="n">
        <v>0</v>
      </c>
    </row>
    <row r="34">
      <c r="A34" s="6" t="inlineStr">
        <is>
          <t>Temporary Disconnected Number</t>
        </is>
      </c>
      <c r="B34" s="4" t="n">
        <v>0</v>
      </c>
    </row>
    <row r="35">
      <c r="A35" s="6" t="inlineStr">
        <is>
          <t>Call Dropped</t>
        </is>
      </c>
      <c r="B35" s="4" t="n">
        <v>0</v>
      </c>
    </row>
    <row r="36">
      <c r="A36" s="6" t="inlineStr">
        <is>
          <t>Dropped</t>
        </is>
      </c>
      <c r="B36" s="4" t="n">
        <v>0</v>
      </c>
    </row>
    <row r="37">
      <c r="A37" s="6" t="inlineStr">
        <is>
          <t>No Answer</t>
        </is>
      </c>
      <c r="B37" s="4" t="n">
        <v>0</v>
      </c>
    </row>
    <row r="38">
      <c r="A38" s="6" t="inlineStr">
        <is>
          <t>Bad Line Quality</t>
        </is>
      </c>
      <c r="B38" s="4" t="n">
        <v>0</v>
      </c>
    </row>
    <row r="39">
      <c r="A39" s="6" t="inlineStr">
        <is>
          <t>Busy Tone</t>
        </is>
      </c>
      <c r="B39" s="4" t="n">
        <v>0</v>
      </c>
    </row>
    <row r="40">
      <c r="A40" s="6" t="inlineStr">
        <is>
          <t>Disconnected</t>
        </is>
      </c>
      <c r="B40" s="4" t="n">
        <v>0</v>
      </c>
    </row>
    <row r="41">
      <c r="A41" s="6" t="inlineStr">
        <is>
          <t>Inbound After Hours Drop</t>
        </is>
      </c>
      <c r="B41" s="4" t="n">
        <v>0</v>
      </c>
    </row>
    <row r="42">
      <c r="A42" s="6" t="inlineStr">
        <is>
          <t>Multiple Calls</t>
        </is>
      </c>
      <c r="B42" s="4" t="n">
        <v>0</v>
      </c>
    </row>
    <row r="43">
      <c r="A43" s="6" t="inlineStr">
        <is>
          <t>Engaged</t>
        </is>
      </c>
      <c r="B43" s="4" t="n">
        <v>0</v>
      </c>
    </row>
    <row r="44">
      <c r="A44" s="6" t="inlineStr">
        <is>
          <t>Inbound Abandon</t>
        </is>
      </c>
      <c r="B44" s="4" t="n">
        <v>0</v>
      </c>
    </row>
    <row r="45">
      <c r="A45" s="6" t="inlineStr">
        <is>
          <t>Outbound Pre-Routing Drop</t>
        </is>
      </c>
      <c r="B45" s="4" t="n">
        <v>0</v>
      </c>
    </row>
    <row r="46">
      <c r="A46" s="6" t="inlineStr">
        <is>
          <t>Flow Inbound Abandon</t>
        </is>
      </c>
      <c r="B46" s="4" t="n">
        <v>0</v>
      </c>
    </row>
    <row r="47">
      <c r="A47" s="6" t="inlineStr">
        <is>
          <t>Selected</t>
        </is>
      </c>
      <c r="B47" s="4" t="n">
        <v>0</v>
      </c>
    </row>
    <row r="48">
      <c r="A48" s="6" t="inlineStr">
        <is>
          <t>CONGESTED</t>
        </is>
      </c>
      <c r="B48" s="4" t="n">
        <v>0</v>
      </c>
    </row>
    <row r="49">
      <c r="A49" s="6" t="inlineStr">
        <is>
          <t>Completed</t>
        </is>
      </c>
      <c r="B49" s="4" t="n">
        <v>0</v>
      </c>
    </row>
    <row r="50">
      <c r="A50" s="6" t="inlineStr">
        <is>
          <t>New</t>
        </is>
      </c>
      <c r="B50" s="4" t="n">
        <v>0</v>
      </c>
    </row>
    <row r="51">
      <c r="A51" s="6" t="inlineStr">
        <is>
          <t>Busy</t>
        </is>
      </c>
      <c r="B51" s="4" t="n"/>
    </row>
    <row r="52">
      <c r="A52" s="6" t="inlineStr">
        <is>
          <t>Auto Dial Disconnected</t>
        </is>
      </c>
      <c r="B52" s="4" t="n">
        <v>0</v>
      </c>
    </row>
    <row r="53">
      <c r="A53" s="6" t="inlineStr">
        <is>
          <t>Customer drop</t>
        </is>
      </c>
      <c r="B53" s="4" t="n">
        <v>0</v>
      </c>
    </row>
    <row r="54">
      <c r="A54" s="6" t="inlineStr">
        <is>
          <t>Disconnected Number Auto</t>
        </is>
      </c>
      <c r="B54" s="4" t="n">
        <v>0</v>
      </c>
    </row>
    <row r="55">
      <c r="A55" s="6" t="n"/>
      <c r="B55" s="4" t="n"/>
    </row>
    <row r="56">
      <c r="A56" s="10" t="inlineStr">
        <is>
          <t>Unworkable Leads Dispositions</t>
        </is>
      </c>
      <c r="B56" s="4" t="n"/>
    </row>
    <row r="57">
      <c r="A57" s="6" t="inlineStr">
        <is>
          <t>Unemployed</t>
        </is>
      </c>
      <c r="B57" s="4" t="n">
        <v>0</v>
      </c>
    </row>
    <row r="58">
      <c r="A58" s="6" t="inlineStr">
        <is>
          <t>Already Contacted</t>
        </is>
      </c>
      <c r="B58" s="4" t="n">
        <v>0</v>
      </c>
    </row>
    <row r="59">
      <c r="A59" s="6" t="inlineStr">
        <is>
          <t>Does Not Qualify</t>
        </is>
      </c>
      <c r="B59" s="4" t="n">
        <v>0</v>
      </c>
    </row>
    <row r="60">
      <c r="A60" s="6" t="inlineStr">
        <is>
          <t>Client Overage Limit</t>
        </is>
      </c>
      <c r="B60" s="4" t="n">
        <v>0</v>
      </c>
    </row>
    <row r="61">
      <c r="A61" s="6" t="inlineStr">
        <is>
          <t>Do not call</t>
        </is>
      </c>
      <c r="B61" s="4" t="n">
        <v>0</v>
      </c>
    </row>
    <row r="62">
      <c r="A62" s="6" t="inlineStr">
        <is>
          <t>Under Age</t>
        </is>
      </c>
      <c r="B62" s="4" t="n">
        <v>0</v>
      </c>
    </row>
    <row r="63">
      <c r="A63" s="6" t="inlineStr">
        <is>
          <t>Go To Branch</t>
        </is>
      </c>
      <c r="B63" s="4" t="n">
        <v>0</v>
      </c>
    </row>
    <row r="64">
      <c r="A64" s="6" t="inlineStr">
        <is>
          <t>Wrong number</t>
        </is>
      </c>
      <c r="B64" s="4" t="n">
        <v>0</v>
      </c>
    </row>
    <row r="65">
      <c r="A65" s="6" t="inlineStr">
        <is>
          <t>Existing Client</t>
        </is>
      </c>
      <c r="B65" s="4" t="n">
        <v>0</v>
      </c>
    </row>
    <row r="66">
      <c r="A66" s="6" t="inlineStr">
        <is>
          <t>Language Barrier</t>
        </is>
      </c>
      <c r="B66" s="4" t="n">
        <v>0</v>
      </c>
    </row>
    <row r="67">
      <c r="A67" s="6" t="inlineStr">
        <is>
          <t>Client Deceased</t>
        </is>
      </c>
      <c r="B67" s="4" t="n">
        <v>0</v>
      </c>
    </row>
    <row r="68">
      <c r="A68" s="6" t="inlineStr">
        <is>
          <t>Customer Service Transfer</t>
        </is>
      </c>
      <c r="B68" s="4" t="n"/>
    </row>
    <row r="69">
      <c r="A69" s="6" t="inlineStr">
        <is>
          <t>Unsuccessful Application</t>
        </is>
      </c>
      <c r="B69" s="4" t="n">
        <v>0</v>
      </c>
    </row>
    <row r="70">
      <c r="A70" s="6" t="inlineStr">
        <is>
          <t>DNQ-Income Below Threshold</t>
        </is>
      </c>
      <c r="B70" s="4" t="n"/>
    </row>
    <row r="71">
      <c r="A71" s="6" t="inlineStr">
        <is>
          <t>DNQ Quote Declined</t>
        </is>
      </c>
      <c r="B71" s="4" t="n"/>
    </row>
    <row r="72">
      <c r="A72" s="6" t="inlineStr">
        <is>
          <t>Do Not Qualify Failed Medical Question</t>
        </is>
      </c>
      <c r="B72" s="4" t="n"/>
    </row>
    <row r="73">
      <c r="A73" s="6" t="inlineStr">
        <is>
          <t xml:space="preserve">Right Party Not Available		</t>
        </is>
      </c>
      <c r="B73" s="4" t="n">
        <v>0</v>
      </c>
    </row>
    <row r="74">
      <c r="A74" s="6" t="inlineStr">
        <is>
          <t>Over Age Limit</t>
        </is>
      </c>
      <c r="B74" s="4" t="n"/>
    </row>
    <row r="75">
      <c r="A75" s="6" t="inlineStr">
        <is>
          <t>Funeral Documents Requested</t>
        </is>
      </c>
      <c r="B75" s="4" t="n"/>
    </row>
    <row r="76">
      <c r="A76" s="6" t="inlineStr">
        <is>
          <t>Funeral Policy Query</t>
        </is>
      </c>
      <c r="B76" s="4" t="n"/>
    </row>
    <row r="77">
      <c r="A77" s="6" t="inlineStr">
        <is>
          <t>Non SA Citizen</t>
        </is>
      </c>
      <c r="B77" s="4" t="n">
        <v>0</v>
      </c>
    </row>
    <row r="78">
      <c r="A78" s="6" t="inlineStr">
        <is>
          <t xml:space="preserve">NTU Policy		</t>
        </is>
      </c>
      <c r="B78" s="4" t="n"/>
    </row>
    <row r="79">
      <c r="A79" s="6" t="inlineStr">
        <is>
          <t>Not Working Cannot Afford</t>
        </is>
      </c>
      <c r="B79" s="4" t="n">
        <v>0</v>
      </c>
    </row>
    <row r="80">
      <c r="A80" s="6" t="inlineStr">
        <is>
          <t>Lead Being Called</t>
        </is>
      </c>
      <c r="B80" s="4" t="n"/>
    </row>
    <row r="81">
      <c r="A81" s="6" t="inlineStr">
        <is>
          <t>Did Not Request</t>
        </is>
      </c>
      <c r="B81" s="4" t="n"/>
    </row>
    <row r="82">
      <c r="A82" s="6" t="inlineStr">
        <is>
          <t>Does Not Need It Now</t>
        </is>
      </c>
      <c r="B82" s="4" t="n">
        <v>0</v>
      </c>
    </row>
    <row r="83">
      <c r="A83" s="6" t="n"/>
      <c r="B83" s="4" t="n"/>
    </row>
    <row r="84">
      <c r="A84" s="10" t="inlineStr">
        <is>
          <t>True Contacts</t>
        </is>
      </c>
      <c r="B84" s="4" t="n">
        <v>0</v>
      </c>
    </row>
    <row r="85">
      <c r="A85" s="6" t="inlineStr">
        <is>
          <t>Not Interested</t>
        </is>
      </c>
      <c r="B85" s="4" t="n">
        <v>0</v>
      </c>
    </row>
    <row r="86">
      <c r="A86" s="6" t="inlineStr">
        <is>
          <t>Client Hung Up</t>
        </is>
      </c>
      <c r="B86" s="4" t="n">
        <v>0</v>
      </c>
    </row>
    <row r="87">
      <c r="A87" s="6" t="inlineStr">
        <is>
          <t>Affordability</t>
        </is>
      </c>
      <c r="B87" s="4" t="n">
        <v>0</v>
      </c>
    </row>
    <row r="88">
      <c r="A88" s="6" t="inlineStr">
        <is>
          <t>Callback</t>
        </is>
      </c>
      <c r="B88" s="4" t="n">
        <v>0</v>
      </c>
    </row>
    <row r="89">
      <c r="A89" s="6" t="inlineStr">
        <is>
          <t>Not Interested Transaction Fees</t>
        </is>
      </c>
      <c r="B89" s="4" t="n">
        <v>0</v>
      </c>
    </row>
    <row r="90">
      <c r="A90" s="6" t="inlineStr">
        <is>
          <t>Company Cellphone Number</t>
        </is>
      </c>
      <c r="B90" s="4" t="n"/>
    </row>
    <row r="91">
      <c r="A91" s="6" t="inlineStr">
        <is>
          <t>Not Interested Device Cost</t>
        </is>
      </c>
      <c r="B91" s="4" t="n"/>
    </row>
    <row r="92">
      <c r="A92" s="6" t="inlineStr">
        <is>
          <t>Call Back via MS Teams</t>
        </is>
      </c>
      <c r="B92" s="4" t="n"/>
    </row>
    <row r="93">
      <c r="A93" s="6" t="inlineStr">
        <is>
          <t>Not Interested Upfront</t>
        </is>
      </c>
      <c r="B93" s="4" t="n">
        <v>0</v>
      </c>
    </row>
    <row r="94">
      <c r="A94" s="6" t="inlineStr">
        <is>
          <t>Quoted Not Interested</t>
        </is>
      </c>
      <c r="B94" s="4" t="n"/>
    </row>
    <row r="95">
      <c r="A95" s="6" t="inlineStr">
        <is>
          <t>Client Quoted Not Interested</t>
        </is>
      </c>
      <c r="B95" s="4" t="n"/>
    </row>
    <row r="96">
      <c r="A96" s="6" t="inlineStr">
        <is>
          <t>Cannot Afford</t>
        </is>
      </c>
      <c r="B96" s="4" t="n">
        <v>0</v>
      </c>
    </row>
    <row r="97">
      <c r="A97" s="6" t="inlineStr">
        <is>
          <t>Not Interested Premium Cost</t>
        </is>
      </c>
      <c r="B97" s="4" t="n"/>
    </row>
    <row r="98">
      <c r="A98" s="6" t="inlineStr">
        <is>
          <t>Not interested SMS</t>
        </is>
      </c>
      <c r="B98" s="4" t="n"/>
    </row>
    <row r="99">
      <c r="A99" s="6" t="inlineStr">
        <is>
          <t>Call Back Hold</t>
        </is>
      </c>
      <c r="B99" s="4" t="n">
        <v>0</v>
      </c>
    </row>
    <row r="100">
      <c r="A100" s="6" t="inlineStr">
        <is>
          <t>Declined Sale</t>
        </is>
      </c>
      <c r="B100" s="4" t="n">
        <v>0</v>
      </c>
    </row>
    <row r="101">
      <c r="A101" s="6" t="inlineStr">
        <is>
          <t>QA FAil</t>
        </is>
      </c>
      <c r="B101" s="4" t="n">
        <v>0</v>
      </c>
    </row>
    <row r="102">
      <c r="A102" s="6" t="inlineStr">
        <is>
          <t>QA Rework</t>
        </is>
      </c>
      <c r="B102" s="4" t="n">
        <v>0</v>
      </c>
    </row>
    <row r="103">
      <c r="A103" s="6" t="inlineStr">
        <is>
          <t>Sale Made</t>
        </is>
      </c>
      <c r="B103" s="4" t="n">
        <v>0</v>
      </c>
    </row>
    <row r="104">
      <c r="A104" s="6" t="inlineStr">
        <is>
          <t>Sale SMS</t>
        </is>
      </c>
      <c r="B104" s="4" t="n"/>
    </row>
    <row r="105">
      <c r="A105" s="6" t="inlineStr">
        <is>
          <t>UPSELL</t>
        </is>
      </c>
      <c r="B105" s="4" t="n">
        <v>0</v>
      </c>
    </row>
    <row r="106">
      <c r="A106" s="6" t="n"/>
      <c r="B106" s="7" t="n"/>
    </row>
    <row r="107">
      <c r="A107" s="10" t="inlineStr">
        <is>
          <t>Unsuccesful Contacts Dispositions</t>
        </is>
      </c>
      <c r="B107" s="7" t="n"/>
    </row>
    <row r="108">
      <c r="A108" s="6" t="inlineStr">
        <is>
          <t>Answering Machine Autodial</t>
        </is>
      </c>
      <c r="B108" s="7">
        <f>B30/B$6</f>
        <v/>
      </c>
    </row>
    <row r="109">
      <c r="A109" s="6" t="inlineStr">
        <is>
          <t>No Answer AutoDial</t>
        </is>
      </c>
      <c r="B109" s="7">
        <f>B31/B$6</f>
        <v/>
      </c>
    </row>
    <row r="110">
      <c r="A110" s="6" t="inlineStr">
        <is>
          <t>Auto Engaged</t>
        </is>
      </c>
      <c r="B110" s="7">
        <f>B32/B$6</f>
        <v/>
      </c>
    </row>
    <row r="111">
      <c r="A111" s="6" t="inlineStr">
        <is>
          <t>Answering Machine</t>
        </is>
      </c>
      <c r="B111" s="7">
        <f>B33/B$6</f>
        <v/>
      </c>
    </row>
    <row r="112">
      <c r="A112" s="6" t="inlineStr">
        <is>
          <t>Temporary Disconnected Number</t>
        </is>
      </c>
      <c r="B112" s="7">
        <f>B34/B$6</f>
        <v/>
      </c>
    </row>
    <row r="113">
      <c r="A113" s="6" t="inlineStr">
        <is>
          <t>Call Dropped</t>
        </is>
      </c>
      <c r="B113" s="7">
        <f>B35/B$6</f>
        <v/>
      </c>
    </row>
    <row r="114">
      <c r="A114" s="6" t="inlineStr">
        <is>
          <t>Dropped</t>
        </is>
      </c>
      <c r="B114" s="7">
        <f>B36/B$6</f>
        <v/>
      </c>
    </row>
    <row r="115">
      <c r="A115" s="6" t="inlineStr">
        <is>
          <t>No Answer</t>
        </is>
      </c>
      <c r="B115" s="7">
        <f>B37/B$6</f>
        <v/>
      </c>
    </row>
    <row r="116">
      <c r="A116" s="6" t="inlineStr">
        <is>
          <t>Bad Line Quality</t>
        </is>
      </c>
      <c r="B116" s="7">
        <f>B38/B$6</f>
        <v/>
      </c>
    </row>
    <row r="117">
      <c r="A117" s="6" t="inlineStr">
        <is>
          <t>Busy Tone</t>
        </is>
      </c>
      <c r="B117" s="7">
        <f>B39/B$6</f>
        <v/>
      </c>
    </row>
    <row r="118">
      <c r="A118" s="6" t="inlineStr">
        <is>
          <t>Disconnected</t>
        </is>
      </c>
      <c r="B118" s="7">
        <f>B40/B$6</f>
        <v/>
      </c>
    </row>
    <row r="119">
      <c r="A119" s="6" t="inlineStr">
        <is>
          <t>Inbound After Hours Drop</t>
        </is>
      </c>
      <c r="B119" s="7">
        <f>B41/B$6</f>
        <v/>
      </c>
    </row>
    <row r="120">
      <c r="A120" s="6" t="inlineStr">
        <is>
          <t>Multiple Calls</t>
        </is>
      </c>
      <c r="B120" s="7">
        <f>B42/B$6</f>
        <v/>
      </c>
    </row>
    <row r="121">
      <c r="A121" s="6" t="inlineStr">
        <is>
          <t>Engaged</t>
        </is>
      </c>
      <c r="B121" s="7">
        <f>B43/B$6</f>
        <v/>
      </c>
    </row>
    <row r="122">
      <c r="A122" s="6" t="inlineStr">
        <is>
          <t>Inbound Abandon</t>
        </is>
      </c>
      <c r="B122" s="7">
        <f>B44/B$6</f>
        <v/>
      </c>
    </row>
    <row r="123">
      <c r="A123" s="6" t="inlineStr">
        <is>
          <t>Outbound Pre-Routing Drop</t>
        </is>
      </c>
      <c r="B123" s="7">
        <f>B45/B$6</f>
        <v/>
      </c>
    </row>
    <row r="124">
      <c r="A124" s="6" t="inlineStr">
        <is>
          <t>Flow Inbound Abandon</t>
        </is>
      </c>
      <c r="B124" s="7">
        <f>B46/B$6</f>
        <v/>
      </c>
    </row>
    <row r="125">
      <c r="A125" s="6" t="inlineStr">
        <is>
          <t>Selected</t>
        </is>
      </c>
      <c r="B125" s="7">
        <f>B47/B$6</f>
        <v/>
      </c>
    </row>
    <row r="126">
      <c r="A126" s="6" t="inlineStr">
        <is>
          <t>CONGESTED</t>
        </is>
      </c>
      <c r="B126" s="7">
        <f>B48/B$6</f>
        <v/>
      </c>
    </row>
    <row r="127">
      <c r="A127" s="6" t="inlineStr">
        <is>
          <t>Completed</t>
        </is>
      </c>
      <c r="B127" s="7">
        <f>B49/B$6</f>
        <v/>
      </c>
    </row>
    <row r="128">
      <c r="A128" s="6" t="inlineStr">
        <is>
          <t>New</t>
        </is>
      </c>
      <c r="B128" s="7">
        <f>B50/B$6</f>
        <v/>
      </c>
    </row>
    <row r="129">
      <c r="A129" s="6" t="inlineStr">
        <is>
          <t>Busy</t>
        </is>
      </c>
      <c r="B129" s="7">
        <f>B51/B$6</f>
        <v/>
      </c>
    </row>
    <row r="130">
      <c r="A130" s="6" t="inlineStr">
        <is>
          <t>Auto Dial Disconnected</t>
        </is>
      </c>
      <c r="B130" s="7">
        <f>B52/B$6</f>
        <v/>
      </c>
    </row>
    <row r="131">
      <c r="A131" s="6" t="inlineStr">
        <is>
          <t>Customer drop</t>
        </is>
      </c>
      <c r="B131" s="7">
        <f>B53/B$6</f>
        <v/>
      </c>
    </row>
    <row r="132">
      <c r="A132" s="6" t="inlineStr">
        <is>
          <t>Disconnected Number Auto</t>
        </is>
      </c>
      <c r="B132" s="7">
        <f>B54/B$6</f>
        <v/>
      </c>
    </row>
    <row r="133">
      <c r="A133" s="6" t="n"/>
      <c r="B133" s="7" t="n"/>
    </row>
    <row r="134">
      <c r="A134" s="10" t="inlineStr">
        <is>
          <t>Unworkable Leads Dispositions</t>
        </is>
      </c>
      <c r="B134" s="7" t="n"/>
    </row>
    <row r="135">
      <c r="A135" s="6" t="inlineStr">
        <is>
          <t>Unemployed</t>
        </is>
      </c>
      <c r="B135" s="7">
        <f>B57/B$6</f>
        <v/>
      </c>
    </row>
    <row r="136">
      <c r="A136" s="6" t="inlineStr">
        <is>
          <t>Already Contacted</t>
        </is>
      </c>
      <c r="B136" s="7">
        <f>B58/B$6</f>
        <v/>
      </c>
    </row>
    <row r="137">
      <c r="A137" s="6" t="inlineStr">
        <is>
          <t>Does Not Qualify</t>
        </is>
      </c>
      <c r="B137" s="7">
        <f>B59/B$6</f>
        <v/>
      </c>
    </row>
    <row r="138">
      <c r="A138" s="6" t="inlineStr">
        <is>
          <t>Client Overage Limit</t>
        </is>
      </c>
      <c r="B138" s="7">
        <f>B60/B$6</f>
        <v/>
      </c>
    </row>
    <row r="139">
      <c r="A139" s="6" t="inlineStr">
        <is>
          <t>Do not call</t>
        </is>
      </c>
      <c r="B139" s="7">
        <f>B61/B$6</f>
        <v/>
      </c>
    </row>
    <row r="140">
      <c r="A140" s="6" t="inlineStr">
        <is>
          <t>Under Age</t>
        </is>
      </c>
      <c r="B140" s="7">
        <f>B62/B$6</f>
        <v/>
      </c>
    </row>
    <row r="141">
      <c r="A141" s="6" t="inlineStr">
        <is>
          <t>Go To Branch</t>
        </is>
      </c>
      <c r="B141" s="7">
        <f>B63/B$6</f>
        <v/>
      </c>
    </row>
    <row r="142">
      <c r="A142" s="6" t="inlineStr">
        <is>
          <t>Wrong number</t>
        </is>
      </c>
      <c r="B142" s="7">
        <f>B64/B$6</f>
        <v/>
      </c>
    </row>
    <row r="143">
      <c r="A143" s="6" t="inlineStr">
        <is>
          <t>Existing Client</t>
        </is>
      </c>
      <c r="B143" s="7">
        <f>B65/B$6</f>
        <v/>
      </c>
    </row>
    <row r="144">
      <c r="A144" s="6" t="inlineStr">
        <is>
          <t>Language Barrier</t>
        </is>
      </c>
      <c r="B144" s="7">
        <f>B66/B$6</f>
        <v/>
      </c>
    </row>
    <row r="145">
      <c r="A145" s="6" t="inlineStr">
        <is>
          <t>Client Deceased</t>
        </is>
      </c>
      <c r="B145" s="7">
        <f>B67/B$6</f>
        <v/>
      </c>
    </row>
    <row r="146">
      <c r="A146" s="6" t="inlineStr">
        <is>
          <t>Customer Service Transfer</t>
        </is>
      </c>
      <c r="B146" s="7">
        <f>B68/B$6</f>
        <v/>
      </c>
    </row>
    <row r="147">
      <c r="A147" s="6" t="inlineStr">
        <is>
          <t>Unsuccessful Application</t>
        </is>
      </c>
      <c r="B147" s="7">
        <f>B69/B$6</f>
        <v/>
      </c>
    </row>
    <row r="148">
      <c r="A148" s="6" t="inlineStr">
        <is>
          <t>DNQ-Income Below Threshold</t>
        </is>
      </c>
      <c r="B148" s="7">
        <f>B70/B$6</f>
        <v/>
      </c>
    </row>
    <row r="149">
      <c r="A149" s="6" t="inlineStr">
        <is>
          <t>DNQ Quote Declined</t>
        </is>
      </c>
      <c r="B149" s="7">
        <f>B71/B$6</f>
        <v/>
      </c>
    </row>
    <row r="150">
      <c r="A150" s="6" t="inlineStr">
        <is>
          <t>Do Not Qualify Failed Medical Question</t>
        </is>
      </c>
      <c r="B150" s="7">
        <f>B72/B$6</f>
        <v/>
      </c>
    </row>
    <row r="151">
      <c r="A151" s="6" t="inlineStr">
        <is>
          <t xml:space="preserve">Right Party Not Available		</t>
        </is>
      </c>
      <c r="B151" s="7">
        <f>B73/B$6</f>
        <v/>
      </c>
    </row>
    <row r="152">
      <c r="A152" s="6" t="inlineStr">
        <is>
          <t>Over Age Limit</t>
        </is>
      </c>
      <c r="B152" s="7">
        <f>B74/B$6</f>
        <v/>
      </c>
    </row>
    <row r="153">
      <c r="A153" s="6" t="inlineStr">
        <is>
          <t>Funeral Documents Requested</t>
        </is>
      </c>
      <c r="B153" s="7">
        <f>B75/B$6</f>
        <v/>
      </c>
    </row>
    <row r="154">
      <c r="A154" s="6" t="inlineStr">
        <is>
          <t>Funeral Policy Query</t>
        </is>
      </c>
      <c r="B154" s="7">
        <f>B76/B$6</f>
        <v/>
      </c>
    </row>
    <row r="155">
      <c r="A155" s="6" t="inlineStr">
        <is>
          <t>Non SA Citizen</t>
        </is>
      </c>
      <c r="B155" s="7">
        <f>B77/B$6</f>
        <v/>
      </c>
    </row>
    <row r="156">
      <c r="A156" s="6" t="inlineStr">
        <is>
          <t xml:space="preserve">NTU Policy		</t>
        </is>
      </c>
      <c r="B156" s="7">
        <f>B78/B$6</f>
        <v/>
      </c>
    </row>
    <row r="157">
      <c r="A157" s="6" t="inlineStr">
        <is>
          <t>Not Working Cannot Afford</t>
        </is>
      </c>
      <c r="B157" s="7">
        <f>B79/B$6</f>
        <v/>
      </c>
    </row>
    <row r="158">
      <c r="A158" s="6" t="inlineStr">
        <is>
          <t>Lead Being Called</t>
        </is>
      </c>
      <c r="B158" s="7">
        <f>B80/B$6</f>
        <v/>
      </c>
    </row>
    <row r="159">
      <c r="A159" s="6" t="inlineStr">
        <is>
          <t>Did Not Request</t>
        </is>
      </c>
      <c r="B159" s="7">
        <f>B81/B$6</f>
        <v/>
      </c>
    </row>
    <row r="160">
      <c r="A160" s="6" t="inlineStr">
        <is>
          <t>Does Not Need It Now</t>
        </is>
      </c>
      <c r="B160" s="7">
        <f>B82/B$6</f>
        <v/>
      </c>
    </row>
    <row r="161">
      <c r="A161" s="6" t="n"/>
      <c r="B161" s="7" t="n"/>
    </row>
    <row r="162">
      <c r="A162" s="10" t="inlineStr">
        <is>
          <t>True Contacts</t>
        </is>
      </c>
      <c r="B162" s="7" t="n">
        <v>0</v>
      </c>
    </row>
    <row r="163">
      <c r="A163" s="6" t="inlineStr">
        <is>
          <t>Not Interested</t>
        </is>
      </c>
      <c r="B163" s="7">
        <f>B85/B$6</f>
        <v/>
      </c>
    </row>
    <row r="164">
      <c r="A164" s="6" t="inlineStr">
        <is>
          <t>Client Hung Up</t>
        </is>
      </c>
      <c r="B164" s="7">
        <f>B86/B$6</f>
        <v/>
      </c>
    </row>
    <row r="165">
      <c r="A165" s="6" t="inlineStr">
        <is>
          <t>Affordability</t>
        </is>
      </c>
      <c r="B165" s="7">
        <f>B87/B$6</f>
        <v/>
      </c>
    </row>
    <row r="166">
      <c r="A166" s="6" t="inlineStr">
        <is>
          <t>Callback</t>
        </is>
      </c>
      <c r="B166" s="7">
        <f>B88/B$6</f>
        <v/>
      </c>
    </row>
    <row r="167">
      <c r="A167" s="6" t="inlineStr">
        <is>
          <t>Not Interested Transaction Fees</t>
        </is>
      </c>
      <c r="B167" s="7">
        <f>B89/B$6</f>
        <v/>
      </c>
    </row>
    <row r="168">
      <c r="A168" s="6" t="inlineStr">
        <is>
          <t>Company Cellphone Number</t>
        </is>
      </c>
      <c r="B168" s="7">
        <f>B90/B$6</f>
        <v/>
      </c>
    </row>
    <row r="169">
      <c r="A169" s="6" t="inlineStr">
        <is>
          <t>Not Interested Device Cost</t>
        </is>
      </c>
      <c r="B169" s="7">
        <f>B91/B$6</f>
        <v/>
      </c>
    </row>
    <row r="170">
      <c r="A170" s="6" t="inlineStr">
        <is>
          <t>Call Back via MS Teams</t>
        </is>
      </c>
      <c r="B170" s="7">
        <f>B92/B$6</f>
        <v/>
      </c>
    </row>
    <row r="171">
      <c r="A171" s="6" t="inlineStr">
        <is>
          <t>Not Interested Upfront</t>
        </is>
      </c>
      <c r="B171" s="7">
        <f>B93/B$6</f>
        <v/>
      </c>
    </row>
    <row r="172">
      <c r="A172" s="6" t="inlineStr">
        <is>
          <t>Quoted Not Interested</t>
        </is>
      </c>
      <c r="B172" s="7">
        <f>B94/B$6</f>
        <v/>
      </c>
    </row>
    <row r="173">
      <c r="A173" s="6" t="inlineStr">
        <is>
          <t>Client Quoted Not Interested</t>
        </is>
      </c>
      <c r="B173" s="7">
        <f>B95/B$6</f>
        <v/>
      </c>
    </row>
    <row r="174">
      <c r="A174" s="6" t="inlineStr">
        <is>
          <t>Cannot Afford</t>
        </is>
      </c>
      <c r="B174" s="7">
        <f>B96/B$6</f>
        <v/>
      </c>
    </row>
    <row r="175">
      <c r="A175" s="6" t="inlineStr">
        <is>
          <t>Not Interested Premium Cost</t>
        </is>
      </c>
      <c r="B175" s="7">
        <f>B97/B$6</f>
        <v/>
      </c>
    </row>
    <row r="176">
      <c r="A176" s="6" t="inlineStr">
        <is>
          <t>Not interested SMS</t>
        </is>
      </c>
      <c r="B176" s="7">
        <f>B98/B$6</f>
        <v/>
      </c>
    </row>
    <row r="177">
      <c r="A177" s="6" t="inlineStr">
        <is>
          <t>Call Back Hold</t>
        </is>
      </c>
      <c r="B177" s="7">
        <f>B99/B$6</f>
        <v/>
      </c>
    </row>
    <row r="178">
      <c r="A178" s="6" t="inlineStr">
        <is>
          <t>Declined Sale</t>
        </is>
      </c>
      <c r="B178" s="7">
        <f>B100/B$6</f>
        <v/>
      </c>
    </row>
    <row r="179">
      <c r="A179" s="6" t="inlineStr">
        <is>
          <t>QA FAil</t>
        </is>
      </c>
      <c r="B179" s="7">
        <f>B101/B$6</f>
        <v/>
      </c>
    </row>
    <row r="180">
      <c r="A180" s="6" t="inlineStr">
        <is>
          <t>QA Rework</t>
        </is>
      </c>
      <c r="B180" s="7">
        <f>B102/B$6</f>
        <v/>
      </c>
    </row>
    <row r="181">
      <c r="A181" s="6" t="inlineStr">
        <is>
          <t>Sale Made</t>
        </is>
      </c>
      <c r="B181" s="7">
        <f>B103/B$6</f>
        <v/>
      </c>
    </row>
    <row r="182">
      <c r="A182" s="6" t="inlineStr">
        <is>
          <t>Sale SMS</t>
        </is>
      </c>
      <c r="B182" s="7">
        <f>B104/B$6</f>
        <v/>
      </c>
    </row>
    <row r="183" ht="15.75" customHeight="1">
      <c r="A183" s="3" t="inlineStr">
        <is>
          <t>UPSELL</t>
        </is>
      </c>
      <c r="B183" s="11">
        <f>B105/B$6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Campaign Analysis – USSD Funeral Leads</t>
        </is>
      </c>
    </row>
    <row r="2"/>
    <row r="3"/>
    <row r="4">
      <c r="A4" s="13" t="inlineStr">
        <is>
          <t>Total Leads</t>
        </is>
      </c>
      <c r="B4" s="14" t="n">
        <v>460</v>
      </c>
    </row>
    <row r="5">
      <c r="A5" s="13" t="inlineStr">
        <is>
          <t>Unworked Leads (New Leads)</t>
        </is>
      </c>
      <c r="B5" s="14" t="n">
        <v>0</v>
      </c>
    </row>
    <row r="6">
      <c r="A6" s="13" t="inlineStr">
        <is>
          <t>Successful Contacts</t>
        </is>
      </c>
      <c r="B6" s="14" t="n">
        <v>0</v>
      </c>
    </row>
    <row r="7">
      <c r="A7" s="13" t="inlineStr">
        <is>
          <t>True Contacts</t>
        </is>
      </c>
      <c r="B7" s="14" t="n">
        <v>0</v>
      </c>
    </row>
    <row r="8">
      <c r="A8" s="13" t="inlineStr">
        <is>
          <t>Conversion</t>
        </is>
      </c>
      <c r="B8" s="15" t="n">
        <v>0</v>
      </c>
    </row>
    <row r="9">
      <c r="A9" s="13" t="inlineStr">
        <is>
          <t>True Sales (post QA)</t>
        </is>
      </c>
      <c r="B9" s="14" t="n">
        <v>0</v>
      </c>
    </row>
    <row r="10"/>
    <row r="11"/>
    <row r="12">
      <c r="B12" s="1" t="inlineStr">
        <is>
          <t>Unsuccessful Contacts</t>
        </is>
      </c>
      <c r="C12" s="1" t="inlineStr">
        <is>
          <t>Lead Count</t>
        </is>
      </c>
      <c r="D12" s="1" t="inlineStr">
        <is>
          <t>Interested in Deal?</t>
        </is>
      </c>
      <c r="E12" s="1" t="inlineStr">
        <is>
          <t>Lead Count</t>
        </is>
      </c>
      <c r="F12" s="1" t="inlineStr">
        <is>
          <t>Successful Contacts</t>
        </is>
      </c>
      <c r="G12" s="1" t="inlineStr">
        <is>
          <t>Lead Count</t>
        </is>
      </c>
      <c r="H12" s="1" t="inlineStr">
        <is>
          <t>True Contacts</t>
        </is>
      </c>
      <c r="I12" s="1" t="inlineStr">
        <is>
          <t>Lead Count</t>
        </is>
      </c>
    </row>
    <row r="13">
      <c r="B13" s="16" t="inlineStr">
        <is>
          <t>Answering Machine Autodial</t>
        </is>
      </c>
      <c r="C13" s="17">
        <f>IFERROR(VLOOKUP("Answering Machine Autodial",Pivot!$A$2:$B$461,2,FALSE),0)</f>
        <v/>
      </c>
      <c r="D13" s="16" t="inlineStr">
        <is>
          <t>Sale Made - Completed Mandate</t>
        </is>
      </c>
      <c r="E13" s="17">
        <f>IFERROR(VLOOKUP("Sale Made - Completed Mandate",Pivot!$A$2:$B$461,2,FALSE),0)</f>
        <v/>
      </c>
      <c r="F13" s="16" t="inlineStr">
        <is>
          <t>Already Contacted</t>
        </is>
      </c>
      <c r="G13" s="17">
        <f>IFERROR(VLOOKUP("Already Contacted",Pivot!$A$2:$B$461,2,FALSE),0)</f>
        <v/>
      </c>
      <c r="H13" s="16" t="inlineStr">
        <is>
          <t>Client Hung Up</t>
        </is>
      </c>
      <c r="I13" s="17">
        <f>IFERROR(VLOOKUP("Client Hung Up",Pivot!$A$2:$B$461,2,FALSE),0)</f>
        <v/>
      </c>
    </row>
    <row r="14">
      <c r="B14" s="16" t="inlineStr">
        <is>
          <t>No Answer Autodial</t>
        </is>
      </c>
      <c r="C14" s="17">
        <f>IFERROR(VLOOKUP("No Answer Autodial",Pivot!$A$2:$B$461,2,FALSE),0)</f>
        <v/>
      </c>
      <c r="D14" s="16" t="inlineStr">
        <is>
          <t>Sale Made - Pending Mandate</t>
        </is>
      </c>
      <c r="E14" s="17">
        <f>IFERROR(VLOOKUP("Sale Made - Pending Mandate",Pivot!$A$2:$B$461,2,FALSE),0)</f>
        <v/>
      </c>
      <c r="F14" s="16" t="inlineStr">
        <is>
          <t>Existing Client</t>
        </is>
      </c>
      <c r="G14" s="17">
        <f>IFERROR(VLOOKUP("Existing Client",Pivot!$A$2:$B$461,2,FALSE),0)</f>
        <v/>
      </c>
      <c r="H14" s="16" t="inlineStr">
        <is>
          <t>CallBack</t>
        </is>
      </c>
      <c r="I14" s="17">
        <f>IFERROR(VLOOKUP("CallBack",Pivot!$A$2:$B$461,2,FALSE),0)</f>
        <v/>
      </c>
    </row>
    <row r="15">
      <c r="B15" s="16" t="inlineStr">
        <is>
          <t>Auto Engaged</t>
        </is>
      </c>
      <c r="C15" s="17">
        <f>IFERROR(VLOOKUP("Auto Engaged",Pivot!$A$2:$B$461,2,FALSE),0)</f>
        <v/>
      </c>
      <c r="D15" s="16" t="inlineStr">
        <is>
          <t>Sale Made</t>
        </is>
      </c>
      <c r="E15" s="17">
        <f>IFERROR(VLOOKUP("Sale Made",Pivot!$A$2:$B$461,2,FALSE),0)</f>
        <v/>
      </c>
      <c r="F15" s="16" t="inlineStr">
        <is>
          <t>Unemployed</t>
        </is>
      </c>
      <c r="G15" s="17">
        <f>IFERROR(VLOOKUP("Unemployed",Pivot!$A$2:$B$461,2,FALSE),0)</f>
        <v/>
      </c>
      <c r="H15" s="16" t="inlineStr">
        <is>
          <t>Not Interested</t>
        </is>
      </c>
      <c r="I15" s="17">
        <f>IFERROR(VLOOKUP("Not Interested",Pivot!$A$2:$B$461,2,FALSE),0)</f>
        <v/>
      </c>
    </row>
    <row r="16">
      <c r="B16" s="16" t="inlineStr">
        <is>
          <t>Disconnected Number Auto</t>
        </is>
      </c>
      <c r="C16" s="17">
        <f>IFERROR(VLOOKUP("Disconnected Number Auto",Pivot!$A$2:$B$461,2,FALSE),0)</f>
        <v/>
      </c>
      <c r="D16" s="16" t="inlineStr">
        <is>
          <t>Tyme Bank Account Sale</t>
        </is>
      </c>
      <c r="E16" s="17">
        <f>IFERROR(VLOOKUP("Tyme Bank Account Sale",Pivot!$A$2:$B$461,2,FALSE),0)</f>
        <v/>
      </c>
      <c r="F16" s="16" t="inlineStr">
        <is>
          <t>Wrong Number</t>
        </is>
      </c>
      <c r="G16" s="17">
        <f>IFERROR(VLOOKUP("Wrong Number",Pivot!$A$2:$B$461,2,FALSE),0)</f>
        <v/>
      </c>
      <c r="H16" s="16" t="inlineStr">
        <is>
          <t>Not Interested Upfront</t>
        </is>
      </c>
      <c r="I16" s="17">
        <f>IFERROR(VLOOKUP("Not Interested Upfront",Pivot!$A$2:$B$461,2,FALSE),0)</f>
        <v/>
      </c>
    </row>
    <row r="17">
      <c r="B17" s="16" t="inlineStr">
        <is>
          <t>Answering Machine</t>
        </is>
      </c>
      <c r="C17" s="17">
        <f>IFERROR(VLOOKUP("Answering Machine",Pivot!$A$2:$B$461,2,FALSE),0)</f>
        <v/>
      </c>
      <c r="D17" s="16" t="inlineStr">
        <is>
          <t>QA Rework</t>
        </is>
      </c>
      <c r="E17" s="17">
        <f>IFERROR(VLOOKUP("QA Rework",Pivot!$A$2:$B$461,2,FALSE),0)</f>
        <v/>
      </c>
      <c r="F17" s="16" t="inlineStr">
        <is>
          <t>Do Not Call</t>
        </is>
      </c>
      <c r="G17" s="17">
        <f>IFERROR(VLOOKUP("Do Not Call",Pivot!$A$2:$B$461,2,FALSE),0)</f>
        <v/>
      </c>
      <c r="H17" s="16" t="inlineStr">
        <is>
          <t>Cannot Afford Premium</t>
        </is>
      </c>
      <c r="I17" s="17">
        <f>IFERROR(VLOOKUP("Cannot Afford Premium",Pivot!$A$2:$B$461,2,FALSE),0)</f>
        <v/>
      </c>
    </row>
    <row r="18">
      <c r="B18" s="16" t="inlineStr">
        <is>
          <t>Selected</t>
        </is>
      </c>
      <c r="C18" s="17">
        <f>IFERROR(VLOOKUP("Selected",Pivot!$A$2:$B$461,2,FALSE),0)</f>
        <v/>
      </c>
      <c r="F18" s="16" t="inlineStr">
        <is>
          <t>No Smartphones</t>
        </is>
      </c>
      <c r="G18" s="17">
        <f>IFERROR(VLOOKUP("No Smartphones",Pivot!$A$2:$B$461,2,FALSE),0)</f>
        <v/>
      </c>
      <c r="H18" s="16" t="inlineStr">
        <is>
          <t>Not interested - Pitched</t>
        </is>
      </c>
      <c r="I18" s="17">
        <f>IFERROR(VLOOKUP("Not interested - Pitched",Pivot!$A$2:$B$461,2,FALSE),0)</f>
        <v/>
      </c>
    </row>
    <row r="19">
      <c r="B19" s="16" t="inlineStr">
        <is>
          <t>No Answer</t>
        </is>
      </c>
      <c r="C19" s="17">
        <f>IFERROR(VLOOKUP("No Answer",Pivot!$A$2:$B$461,2,FALSE),0)</f>
        <v/>
      </c>
      <c r="F19" s="16" t="inlineStr">
        <is>
          <t>Client Deceased</t>
        </is>
      </c>
      <c r="G19" s="17">
        <f>IFERROR(VLOOKUP("Client Deceased",Pivot!$A$2:$B$461,2,FALSE),0)</f>
        <v/>
      </c>
      <c r="H19" s="16" t="inlineStr">
        <is>
          <t>Affordability</t>
        </is>
      </c>
      <c r="I19" s="17">
        <f>IFERROR(VLOOKUP("Affordability",Pivot!$A$2:$B$461,2,FALSE),0)</f>
        <v/>
      </c>
    </row>
    <row r="20">
      <c r="B20" s="16" t="inlineStr">
        <is>
          <t>Busy Tone</t>
        </is>
      </c>
      <c r="C20" s="17">
        <f>IFERROR(VLOOKUP("Busy Tone",Pivot!$A$2:$B$461,2,FALSE),0)</f>
        <v/>
      </c>
      <c r="F20" s="16" t="inlineStr">
        <is>
          <t>Right Party Not Available</t>
        </is>
      </c>
      <c r="G20" s="17">
        <f>IFERROR(VLOOKUP("Right Party Not Available",Pivot!$A$2:$B$461,2,FALSE),0)</f>
        <v/>
      </c>
      <c r="H20" s="16" t="inlineStr">
        <is>
          <t>Quoted Client Not Interested</t>
        </is>
      </c>
      <c r="I20" s="17">
        <f>IFERROR(VLOOKUP("Quoted Client Not Interested",Pivot!$A$2:$B$461,2,FALSE),0)</f>
        <v/>
      </c>
    </row>
    <row r="21">
      <c r="B21" s="16" t="inlineStr">
        <is>
          <t>Dropped</t>
        </is>
      </c>
      <c r="C21" s="17">
        <f>IFERROR(VLOOKUP("Dropped",Pivot!$A$2:$B$461,2,FALSE),0)</f>
        <v/>
      </c>
      <c r="F21" s="16" t="inlineStr">
        <is>
          <t>Client Overage Limit</t>
        </is>
      </c>
      <c r="G21" s="17">
        <f>IFERROR(VLOOKUP("Client Overage Limit",Pivot!$A$2:$B$461,2,FALSE),0)</f>
        <v/>
      </c>
      <c r="H21" s="16" t="inlineStr">
        <is>
          <t>Not interested business does not use speed point mac</t>
        </is>
      </c>
      <c r="I21" s="17">
        <f>IFERROR(VLOOKUP("Not interested business does not use speed point mac",Pivot!$A$2:$B$461,2,FALSE),0)</f>
        <v/>
      </c>
    </row>
    <row r="22">
      <c r="B22" s="16" t="inlineStr">
        <is>
          <t>New</t>
        </is>
      </c>
      <c r="C22" s="17">
        <f>IFERROR(VLOOKUP("New",Pivot!$A$2:$B$461,2,FALSE),0)</f>
        <v/>
      </c>
      <c r="F22" s="16" t="inlineStr">
        <is>
          <t>Language Barrier</t>
        </is>
      </c>
      <c r="G22" s="17">
        <f>IFERROR(VLOOKUP("Language Barrier",Pivot!$A$2:$B$461,2,FALSE),0)</f>
        <v/>
      </c>
      <c r="H22" s="16" t="inlineStr">
        <is>
          <t>Call Back Technical Error</t>
        </is>
      </c>
      <c r="I22" s="17">
        <f>IFERROR(VLOOKUP("Call Back Technical Error",Pivot!$A$2:$B$461,2,FALSE),0)</f>
        <v/>
      </c>
    </row>
    <row r="23">
      <c r="B23" s="16" t="inlineStr">
        <is>
          <t>Call Dropped</t>
        </is>
      </c>
      <c r="C23" s="17">
        <f>IFERROR(VLOOKUP("Call Dropped",Pivot!$A$2:$B$461,2,FALSE),0)</f>
        <v/>
      </c>
      <c r="F23" s="16" t="inlineStr">
        <is>
          <t>Non SA Citizen</t>
        </is>
      </c>
      <c r="G23" s="17">
        <f>IFERROR(VLOOKUP("Non SA Citizen",Pivot!$A$2:$B$461,2,FALSE),0)</f>
        <v/>
      </c>
      <c r="H23" s="16" t="inlineStr">
        <is>
          <t>Not Interested Transaction Fees</t>
        </is>
      </c>
      <c r="I23" s="17">
        <f>IFERROR(VLOOKUP("Not Interested Transaction Fees",Pivot!$A$2:$B$461,2,FALSE),0)</f>
        <v/>
      </c>
    </row>
    <row r="24">
      <c r="B24" s="16" t="inlineStr">
        <is>
          <t>Inbound After Hours Drop</t>
        </is>
      </c>
      <c r="C24" s="17">
        <f>IFERROR(VLOOKUP("Inbound After Hours Drop",Pivot!$A$2:$B$461,2,FALSE),0)</f>
        <v/>
      </c>
      <c r="F24" s="16" t="inlineStr">
        <is>
          <t>No Bank Account</t>
        </is>
      </c>
      <c r="G24" s="17">
        <f>IFERROR(VLOOKUP("No Bank Account",Pivot!$A$2:$B$461,2,FALSE),0)</f>
        <v/>
      </c>
      <c r="H24" s="16" t="inlineStr">
        <is>
          <t>Cannot Afford</t>
        </is>
      </c>
      <c r="I24" s="17">
        <f>IFERROR(VLOOKUP("Cannot Afford",Pivot!$A$2:$B$461,2,FALSE),0)</f>
        <v/>
      </c>
    </row>
    <row r="25">
      <c r="B25" s="16" t="inlineStr">
        <is>
          <t>TPS Registered Number</t>
        </is>
      </c>
      <c r="C25" s="17">
        <f>IFERROR(VLOOKUP("TPS Registered Number",Pivot!$A$2:$B$461,2,FALSE),0)</f>
        <v/>
      </c>
      <c r="F25" s="16" t="inlineStr">
        <is>
          <t>Client Underage</t>
        </is>
      </c>
      <c r="G25" s="17">
        <f>IFERROR(VLOOKUP("Client Underage",Pivot!$A$2:$B$461,2,FALSE),0)</f>
        <v/>
      </c>
      <c r="H25" s="16" t="inlineStr">
        <is>
          <t>Not Interested Household Contents</t>
        </is>
      </c>
      <c r="I25" s="17">
        <f>IFERROR(VLOOKUP("Not Interested Household Contents",Pivot!$A$2:$B$461,2,FALSE),0)</f>
        <v/>
      </c>
    </row>
    <row r="26">
      <c r="B26" s="16" t="inlineStr">
        <is>
          <t>Temporary Disconnected Number</t>
        </is>
      </c>
      <c r="C26" s="17">
        <f>IFERROR(VLOOKUP("Temporary Disconnected Number",Pivot!$A$2:$B$461,2,FALSE),0)</f>
        <v/>
      </c>
      <c r="F26" s="16" t="inlineStr">
        <is>
          <t>Go To The Branch</t>
        </is>
      </c>
      <c r="G26" s="17">
        <f>IFERROR(VLOOKUP("Go To The Branch",Pivot!$A$2:$B$461,2,FALSE),0)</f>
        <v/>
      </c>
      <c r="H26" s="16" t="inlineStr">
        <is>
          <t>Call Back Hold</t>
        </is>
      </c>
      <c r="I26" s="17">
        <f>IFERROR(VLOOKUP("Call Back Hold",Pivot!$A$2:$B$461,2,FALSE),0)</f>
        <v/>
      </c>
    </row>
    <row r="27">
      <c r="B27" s="16" t="inlineStr">
        <is>
          <t>Bad Line Quality</t>
        </is>
      </c>
      <c r="C27" s="17">
        <f>IFERROR(VLOOKUP("Bad Line Quality",Pivot!$A$2:$B$461,2,FALSE),0)</f>
        <v/>
      </c>
      <c r="F27" s="16" t="inlineStr">
        <is>
          <t>Completed</t>
        </is>
      </c>
      <c r="G27" s="17">
        <f>IFERROR(VLOOKUP("Completed",Pivot!$A$2:$B$461,2,FALSE),0)</f>
        <v/>
      </c>
      <c r="H27" s="16" t="inlineStr">
        <is>
          <t>Declined Sale</t>
        </is>
      </c>
      <c r="I27" s="17">
        <f>IFERROR(VLOOKUP("Declined Sale",Pivot!$A$2:$B$461,2,FALSE),0)</f>
        <v/>
      </c>
    </row>
    <row r="28">
      <c r="B28" s="16" t="inlineStr">
        <is>
          <t>Inbound Abandon</t>
        </is>
      </c>
      <c r="C28" s="17">
        <f>IFERROR(VLOOKUP("Inbound Abandon",Pivot!$A$2:$B$461,2,FALSE),0)</f>
        <v/>
      </c>
      <c r="F28" s="16" t="inlineStr">
        <is>
          <t>Cannot Afford Upfront Payment</t>
        </is>
      </c>
      <c r="G28" s="17">
        <f>IFERROR(VLOOKUP("Cannot Afford Upfront Payment",Pivot!$A$2:$B$461,2,FALSE),0)</f>
        <v/>
      </c>
    </row>
    <row r="29">
      <c r="B29" s="16" t="inlineStr">
        <is>
          <t>Outbound Pre-Routing Drop</t>
        </is>
      </c>
      <c r="C29" s="17">
        <f>IFERROR(VLOOKUP("Outbound Pre-Routing Drop",Pivot!$A$2:$B$461,2,FALSE),0)</f>
        <v/>
      </c>
      <c r="F29" s="16" t="inlineStr">
        <is>
          <t>Account Suspended</t>
        </is>
      </c>
      <c r="G29" s="17">
        <f>IFERROR(VLOOKUP("Account Suspended",Pivot!$A$2:$B$461,2,FALSE),0)</f>
        <v/>
      </c>
    </row>
    <row r="30">
      <c r="B30" s="16" t="inlineStr">
        <is>
          <t>Engaged</t>
        </is>
      </c>
      <c r="C30" s="17">
        <f>IFERROR(VLOOKUP("Engaged",Pivot!$A$2:$B$461,2,FALSE),0)</f>
        <v/>
      </c>
      <c r="F30" s="16" t="inlineStr">
        <is>
          <t>Insured at another company</t>
        </is>
      </c>
      <c r="G30" s="17">
        <f>IFERROR(VLOOKUP("Insured at another company",Pivot!$A$2:$B$461,2,FALSE),0)</f>
        <v/>
      </c>
    </row>
    <row r="31">
      <c r="B31" s="16" t="inlineStr">
        <is>
          <t>Disconnected</t>
        </is>
      </c>
      <c r="C31" s="17">
        <f>IFERROR(VLOOKUP("Disconnected",Pivot!$A$2:$B$461,2,FALSE),0)</f>
        <v/>
      </c>
      <c r="F31" s="16" t="inlineStr">
        <is>
          <t>Scheduled Appointment</t>
        </is>
      </c>
      <c r="G31" s="17">
        <f>IFERROR(VLOOKUP("Scheduled Appointment",Pivot!$A$2:$B$461,2,FALSE),0)</f>
        <v/>
      </c>
    </row>
    <row r="32">
      <c r="B32" s="16" t="inlineStr">
        <is>
          <t>CONGESTED</t>
        </is>
      </c>
      <c r="C32" s="17">
        <f>IFERROR(VLOOKUP("CONGESTED",Pivot!$A$2:$B$461,2,FALSE),0)</f>
        <v/>
      </c>
      <c r="F32" s="16" t="inlineStr">
        <is>
          <t>Refund Request</t>
        </is>
      </c>
      <c r="G32" s="17">
        <f>IFERROR(VLOOKUP("Refund Request",Pivot!$A$2:$B$461,2,FALSE),0)</f>
        <v/>
      </c>
    </row>
    <row r="33">
      <c r="B33" s="16" t="inlineStr">
        <is>
          <t>Flow Inbound Abandon</t>
        </is>
      </c>
      <c r="C33" s="17">
        <f>IFERROR(VLOOKUP("Flow Inbound Abandon",Pivot!$A$2:$B$461,2,FALSE),0)</f>
        <v/>
      </c>
      <c r="F33" s="16" t="inlineStr">
        <is>
          <t>Does Not Qualify</t>
        </is>
      </c>
      <c r="G33" s="17">
        <f>IFERROR(VLOOKUP("Does Not Qualify",Pivot!$A$2:$B$461,2,FALSE),0)</f>
        <v/>
      </c>
    </row>
    <row r="34">
      <c r="B34" s="16" t="inlineStr">
        <is>
          <t>Multiple Calls</t>
        </is>
      </c>
      <c r="C34" s="17">
        <f>IFERROR(VLOOKUP("Multiple Calls",Pivot!$A$2:$B$461,2,FALSE),0)</f>
        <v/>
      </c>
      <c r="F34" s="16" t="inlineStr">
        <is>
          <t>Does Not Have a Business</t>
        </is>
      </c>
      <c r="G34" s="17">
        <f>IFERROR(VLOOKUP("Does Not Have a Business",Pivot!$A$2:$B$461,2,FALSE),0)</f>
        <v/>
      </c>
    </row>
    <row r="35">
      <c r="B35" s="16" t="inlineStr">
        <is>
          <t>Missed</t>
        </is>
      </c>
      <c r="C35" s="17">
        <f>IFERROR(VLOOKUP("Missed",Pivot!$A$2:$B$461,2,FALSE),0)</f>
        <v/>
      </c>
      <c r="F35" s="16" t="inlineStr">
        <is>
          <t>Refer To Store - Doesn't want to complete online</t>
        </is>
      </c>
      <c r="G35" s="17">
        <f>IFERROR(VLOOKUP("Refer To Store - Doesn't want to complete online",Pivot!$A$2:$B$461,2,FALSE),0)</f>
        <v/>
      </c>
    </row>
    <row r="36">
      <c r="B36" s="16" t="inlineStr">
        <is>
          <t>Answered</t>
        </is>
      </c>
      <c r="C36" s="17">
        <f>IFERROR(VLOOKUP("Answered",Pivot!$A$2:$B$461,2,FALSE),0)</f>
        <v/>
      </c>
      <c r="F36" s="16" t="inlineStr">
        <is>
          <t>Does Not Need It Now</t>
        </is>
      </c>
      <c r="G36" s="17">
        <f>IFERROR(VLOOKUP("Does Not Need It Now",Pivot!$A$2:$B$461,2,FALSE),0)</f>
        <v/>
      </c>
    </row>
    <row r="37">
      <c r="B37" s="16" t="inlineStr">
        <is>
          <t>Customer drop</t>
        </is>
      </c>
      <c r="C37" s="17">
        <f>IFERROR(VLOOKUP("Customer drop",Pivot!$A$2:$B$461,2,FALSE),0)</f>
        <v/>
      </c>
      <c r="F37" s="16" t="inlineStr">
        <is>
          <t>Technical Issue</t>
        </is>
      </c>
      <c r="G37" s="17">
        <f>IFERROR(VLOOKUP("Technical Issue",Pivot!$A$2:$B$461,2,FALSE),0)</f>
        <v/>
      </c>
    </row>
    <row r="38">
      <c r="B38" s="16" t="inlineStr">
        <is>
          <t>Auto Dial Disconnected</t>
        </is>
      </c>
      <c r="C38" s="17">
        <f>IFERROR(VLOOKUP("Auto Dial Disconnected",Pivot!$A$2:$B$461,2,FALSE),0)</f>
        <v/>
      </c>
      <c r="F38" s="16" t="inlineStr">
        <is>
          <t>Unsuccessful Application</t>
        </is>
      </c>
      <c r="G38" s="17">
        <f>IFERROR(VLOOKUP("Unsuccessful Application",Pivot!$A$2:$B$461,2,FALSE),0)</f>
        <v/>
      </c>
    </row>
    <row r="39">
      <c r="B39" s="16" t="inlineStr">
        <is>
          <t>Disconnected Number Temporary</t>
        </is>
      </c>
      <c r="C39" s="17">
        <f>IFERROR(VLOOKUP("Disconnected Number Temporary",Pivot!$A$2:$B$461,2,FALSE),0)</f>
        <v/>
      </c>
    </row>
    <row r="40"/>
    <row r="41"/>
    <row r="42">
      <c r="A42" s="18" t="inlineStr">
        <is>
          <t>TOTAL LEADS DIALLED</t>
        </is>
      </c>
      <c r="B42" s="17">
        <f>SUM(C13:C39)+SUM(E13:E17)</f>
        <v/>
      </c>
    </row>
    <row r="43"/>
    <row r="44">
      <c r="A44" s="18" t="inlineStr">
        <is>
          <t>CAMPAIGN STATISTICS</t>
        </is>
      </c>
    </row>
    <row r="45">
      <c r="A45" s="16" t="inlineStr">
        <is>
          <t>Successful Contacts</t>
        </is>
      </c>
      <c r="B45" s="17">
        <f>SUM(F13:F17)</f>
        <v/>
      </c>
    </row>
    <row r="46">
      <c r="A46" s="16" t="inlineStr">
        <is>
          <t>True Contacts (TC)</t>
        </is>
      </c>
      <c r="B46" s="17">
        <f>SUM(I13:I27)</f>
        <v/>
      </c>
    </row>
    <row r="47">
      <c r="A47" s="16" t="inlineStr">
        <is>
          <t>Unworkable Leads</t>
        </is>
      </c>
      <c r="B47" s="17">
        <f>SUM(G13:G38)</f>
        <v/>
      </c>
    </row>
    <row r="48">
      <c r="A48" s="16" t="inlineStr">
        <is>
          <t>Conversions</t>
        </is>
      </c>
      <c r="B48" s="17">
        <f>F13</f>
        <v/>
      </c>
    </row>
    <row r="49">
      <c r="A49" s="16" t="inlineStr">
        <is>
          <t>Conversion Ratio (vs TC)</t>
        </is>
      </c>
      <c r="B49" s="19">
        <f>B47/B45</f>
        <v/>
      </c>
    </row>
    <row r="50">
      <c r="A50" s="16" t="inlineStr">
        <is>
          <t>Contact Ratio</t>
        </is>
      </c>
      <c r="B50" s="19">
        <f>(B44+B45)/B42</f>
        <v/>
      </c>
    </row>
    <row r="51"/>
    <row r="52"/>
    <row r="53"/>
    <row r="54">
      <c r="A54" s="18" t="inlineStr">
        <is>
          <t>Top 5 Statuses</t>
        </is>
      </c>
      <c r="B54" s="18" t="inlineStr">
        <is>
          <t>Count</t>
        </is>
      </c>
      <c r="C54" s="18" t="inlineStr">
        <is>
          <t>% Contribution</t>
        </is>
      </c>
    </row>
    <row r="55">
      <c r="A55" s="16" t="inlineStr">
        <is>
          <t>14814796;2dadaad2-13df-4106-b5ee-8a4351e49264;;30001085;ussd_funeral_leads_altitude_20260601;;;;;DROP;6;2026-06-11 14:54:55+02;system;2026-06-08 06:47:44+02;2026-06-08 06:47:44+02;;;;;;;;;27721451097;;;;;;;;;;;;;</t>
        </is>
      </c>
      <c r="B55" s="20" t="n">
        <v>1</v>
      </c>
      <c r="C55" s="19">
        <f>B55/B42</f>
        <v/>
      </c>
    </row>
    <row r="56">
      <c r="A56" s="16" t="inlineStr">
        <is>
          <t>14814797;c23bd065-8a84-4d10-a46f-fa160ad31d57;;30001085;ussd_funeral_leads_altitude_20260601;;;;;AA;6;2026-06-11 14:55:54+02;system;2026-06-08 06:47:44+02;2026-06-08 06:47:44+02;;;;;;;;;27606951025;;;;;;;;;;;;;</t>
        </is>
      </c>
      <c r="B56" s="20" t="n">
        <v>1</v>
      </c>
      <c r="C56" s="19">
        <f>B56/B42</f>
        <v/>
      </c>
    </row>
    <row r="57">
      <c r="A57" s="16" t="inlineStr">
        <is>
          <t>14814798;4601b4e9-f40a-4995-b33e-64721001c530;;30001085;ussd_funeral_leads_altitude_20260601;;;;;CBACK;3;2026-06-10 09:22:16+02;Gontse Monageng;2026-06-08 06:47:44+02;2026-06-08 06:47:44+02;;;;;;;;;27727620948;;;;;;;;;;;;;</t>
        </is>
      </c>
      <c r="B57" s="20" t="n">
        <v>1</v>
      </c>
      <c r="C57" s="19">
        <f>B57/B42</f>
        <v/>
      </c>
    </row>
    <row r="58">
      <c r="A58" s="16" t="inlineStr">
        <is>
          <t>14814799;9e90af46-69a4-47b5-9b3c-d4e7b714bf01;;30001085;ussd_funeral_leads_altitude_20260601;;;;;AA;6;2026-06-11 15:42:04+02;system;2026-06-08 06:47:44+02;2026-06-08 06:47:44+02;;;;;;;;;27649399875;;;;;;;;;;;;;</t>
        </is>
      </c>
      <c r="B58" s="20" t="n">
        <v>1</v>
      </c>
      <c r="C58" s="19">
        <f>B58/B42</f>
        <v/>
      </c>
    </row>
    <row r="59">
      <c r="A59" s="16" t="inlineStr">
        <is>
          <t>14814800;ea8d07e8-e008-424b-8a7c-7eee44136b5a;;30001085;ussd_funeral_leads_altitude_20260601;;;;;CBACK;6;2026-06-12 10:56:05+02;Gontse Monageng;2026-06-08 06:47:44+02;2026-06-08 06:47:44+02;;;;;;;;;27760709358;;;;;;;;;;;;;</t>
        </is>
      </c>
      <c r="B59" s="20" t="n">
        <v>1</v>
      </c>
      <c r="C59" s="19">
        <f>B59/B42</f>
        <v/>
      </c>
    </row>
  </sheetData>
  <mergeCells count="1">
    <mergeCell ref="A1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 Description</t>
        </is>
      </c>
      <c r="B1" s="1" t="inlineStr">
        <is>
          <t>Count</t>
        </is>
      </c>
    </row>
    <row r="2">
      <c r="A2" s="16" t="inlineStr">
        <is>
          <t>14814796;2dadaad2-13df-4106-b5ee-8a4351e49264;;30001085;ussd_funeral_leads_altitude_20260601;;;;;DROP;6;2026-06-11 14:54:55+02;system;2026-06-08 06:47:44+02;2026-06-08 06:47:44+02;;;;;;;;;27721451097;;;;;;;;;;;;;</t>
        </is>
      </c>
      <c r="B2" s="20" t="n">
        <v>1</v>
      </c>
    </row>
    <row r="3">
      <c r="A3" s="16" t="inlineStr">
        <is>
          <t>14814797;c23bd065-8a84-4d10-a46f-fa160ad31d57;;30001085;ussd_funeral_leads_altitude_20260601;;;;;AA;6;2026-06-11 14:55:54+02;system;2026-06-08 06:47:44+02;2026-06-08 06:47:44+02;;;;;;;;;27606951025;;;;;;;;;;;;;</t>
        </is>
      </c>
      <c r="B3" s="20" t="n">
        <v>1</v>
      </c>
    </row>
    <row r="4">
      <c r="A4" s="16" t="inlineStr">
        <is>
          <t>14814798;4601b4e9-f40a-4995-b33e-64721001c530;;30001085;ussd_funeral_leads_altitude_20260601;;;;;CBACK;3;2026-06-10 09:22:16+02;Gontse Monageng;2026-06-08 06:47:44+02;2026-06-08 06:47:44+02;;;;;;;;;27727620948;;;;;;;;;;;;;</t>
        </is>
      </c>
      <c r="B4" s="20" t="n">
        <v>1</v>
      </c>
    </row>
    <row r="5">
      <c r="A5" s="16" t="inlineStr">
        <is>
          <t>14814799;9e90af46-69a4-47b5-9b3c-d4e7b714bf01;;30001085;ussd_funeral_leads_altitude_20260601;;;;;AA;6;2026-06-11 15:42:04+02;system;2026-06-08 06:47:44+02;2026-06-08 06:47:44+02;;;;;;;;;27649399875;;;;;;;;;;;;;</t>
        </is>
      </c>
      <c r="B5" s="20" t="n">
        <v>1</v>
      </c>
    </row>
    <row r="6">
      <c r="A6" s="16" t="inlineStr">
        <is>
          <t>14814800;ea8d07e8-e008-424b-8a7c-7eee44136b5a;;30001085;ussd_funeral_leads_altitude_20260601;;;;;CBACK;6;2026-06-12 10:56:05+02;Gontse Monageng;2026-06-08 06:47:44+02;2026-06-08 06:47:44+02;;;;;;;;;27760709358;;;;;;;;;;;;;</t>
        </is>
      </c>
      <c r="B6" s="20" t="n">
        <v>1</v>
      </c>
    </row>
    <row r="7">
      <c r="A7" s="16" t="inlineStr">
        <is>
          <t>14814801;3bea0b06-c7e4-416a-8ed8-2697bd0ed52a;;30001085;ussd_funeral_leads_altitude_20260601;;;;;ADC;6;2026-06-11 15:42:04+02;system;2026-06-08 06:47:44+02;2026-06-08 06:47:44+02;;;;;;;;;27647250756;;;;;;;;;;;;;</t>
        </is>
      </c>
      <c r="B7" s="20" t="n">
        <v>1</v>
      </c>
    </row>
    <row r="8">
      <c r="A8" s="16" t="inlineStr">
        <is>
          <t>14814802;6d18351a-7ea4-47b4-87cb-60da02e533b0;;30001085;ussd_funeral_leads_altitude_20260601;;;;;TDN;6;2026-06-11 14:55:59+02;system;2026-06-08 06:47:44+02;2026-06-08 06:47:44+02;;;;;;;;;27764293612;;;;;;;;;;;;;</t>
        </is>
      </c>
      <c r="B8" s="20" t="n">
        <v>1</v>
      </c>
    </row>
    <row r="9">
      <c r="A9" s="16" t="inlineStr">
        <is>
          <t>14814804;d8dd8144-6708-4420-b2b1-34e6bc1da8b4;;30001085;ussd_funeral_leads_altitude_20260601;;;;;OAL;6;2026-06-11 14:55:59+02;Vuyiswa Nxumalo;2026-06-08 06:47:44+02;2026-06-08 06:47:44+02;;;;;;;;;27724690643;;;;;;;;;;;;;</t>
        </is>
      </c>
      <c r="B9" s="20" t="n">
        <v>1</v>
      </c>
    </row>
    <row r="10">
      <c r="A10" s="16" t="inlineStr">
        <is>
          <t>14814805;91811136-595c-4312-8770-55ff2371db92;;30001085;ussd_funeral_leads_altitude_20260601;;;;;NA;6;2026-06-11 15:42:01+02;system;2026-06-08 06:47:44+02;2026-06-08 06:47:44+02;;;;;;;;;27713291075;;;;;;;;;;;;;</t>
        </is>
      </c>
      <c r="B10" s="20" t="n">
        <v>1</v>
      </c>
    </row>
    <row r="11">
      <c r="A11" s="16" t="inlineStr">
        <is>
          <t>14814806;31f816fc-21af-44d0-8639-38dfcead58de;;30001085;ussd_funeral_leads_altitude_20260601;;;;;ADC;6;2026-06-11 15:36:25+02;system;2026-06-08 06:47:44+02;2026-06-08 06:47:44+02;;;;;;;;;27761640250;;;;;;;;;;;;;</t>
        </is>
      </c>
      <c r="B11" s="20" t="n">
        <v>1</v>
      </c>
    </row>
    <row r="12">
      <c r="A12" s="16" t="inlineStr">
        <is>
          <t>14814807;b92851af-77d9-4c47-8c18-d61a51bf24d7;;30001085;ussd_funeral_leads_altitude_20260601;;;;;NA;6;2026-06-11 15:35:50+02;system;2026-06-08 06:47:44+02;2026-06-08 06:47:44+02;;;;;;;;;27768239001;;;;;;;;;;;;;</t>
        </is>
      </c>
      <c r="B12" s="20" t="n">
        <v>1</v>
      </c>
    </row>
    <row r="13">
      <c r="A13" s="16" t="inlineStr">
        <is>
          <t>14814808;7b396bb9-bca5-4b11-8bb3-da62e89f4938;;30001085;ussd_funeral_leads_altitude_20260601;;;;;AA;6;2026-06-11 15:35:50+02;system;2026-06-08 06:47:44+02;2026-06-08 06:47:44+02;;;;;;;;;27673124584;;;;;;;;;;;;;</t>
        </is>
      </c>
      <c r="B13" s="20" t="n">
        <v>1</v>
      </c>
    </row>
    <row r="14">
      <c r="A14" s="16" t="inlineStr">
        <is>
          <t>14814809;6b74b4fe-31e9-46ee-ab55-28865a94d3c9;;30001085;ussd_funeral_leads_altitude_20260601;;;27664933215;;AA;6;2026-06-11 14:56:00+02;system;2026-06-08 06:47:44+02;2026-06-08 06:47:44+02;;;;;;;;;27664933215;;;;;;;;;;;;;</t>
        </is>
      </c>
      <c r="B14" s="20" t="n">
        <v>1</v>
      </c>
    </row>
    <row r="15">
      <c r="A15" s="16" t="inlineStr">
        <is>
          <t>14814811;e5da5c5f-f23d-4c21-b061-e6f7d9c1903c;;30001085;ussd_funeral_leads_altitude_20260601;;;;;BLQ;6;2026-06-11 12:29:33+02;Vuyiswa Nxumalo;2026-06-08 06:47:44+02;2026-06-08 06:47:44+02;;;;;;;;;27661829642;;;;;;;;;;;;;</t>
        </is>
      </c>
      <c r="B15" s="20" t="n">
        <v>1</v>
      </c>
    </row>
    <row r="16">
      <c r="A16" s="16" t="inlineStr">
        <is>
          <t>14814812;b97c2a56-5864-4a50-a5e8-eb14612f7270;;30001085;ussd_funeral_leads_altitude_20260601;;;;;CU;6;2026-06-11 15:41:38+02;Vuyiswa Nxumalo;2026-06-08 06:47:44+02;2026-06-08 06:47:44+02;;;;;;;;;27773893985;;;;;;;;;;;;;</t>
        </is>
      </c>
      <c r="B16" s="20" t="n">
        <v>1</v>
      </c>
    </row>
    <row r="17">
      <c r="A17" s="16" t="inlineStr">
        <is>
          <t>14814813;7aa76b29-9dbe-4ce3-a47f-057f7b164744;;30001085;ussd_funeral_leads_altitude_20260601;;;;;CU;6;2026-06-11 15:35:47+02;Gontse Monageng;2026-06-08 06:47:44+02;2026-06-08 06:47:44+02;;;;;;;;;27721521746;;;;;;;;;;;;;</t>
        </is>
      </c>
      <c r="B17" s="20" t="n">
        <v>1</v>
      </c>
    </row>
    <row r="18">
      <c r="A18" s="16" t="inlineStr">
        <is>
          <t>14814814;10eacef0-1148-4ac2-9574-232b81208e05;;30001085;ussd_funeral_leads_altitude_20260601;;;;;NI;3;2026-06-10 09:20:22+02;Lebohang Mabotja;2026-06-08 06:47:44+02;2026-06-08 06:47:44+02;;;;;;;;;27728491558;;;;;;;;;;;;;</t>
        </is>
      </c>
      <c r="B18" s="20" t="n">
        <v>1</v>
      </c>
    </row>
    <row r="19">
      <c r="A19" s="16" t="inlineStr">
        <is>
          <t>14814815;86552dcc-5192-4582-acdb-e158cfc196d7;;30001085;ussd_funeral_leads_altitude_20260601;;;;;ADC;6;2026-06-11 14:56:11+02;system;2026-06-08 06:47:44+02;2026-06-08 06:47:44+02;;;;;;;;;27724358874;;;;;;;;;;;;;</t>
        </is>
      </c>
      <c r="B19" s="20" t="n">
        <v>1</v>
      </c>
    </row>
    <row r="20">
      <c r="A20" s="16" t="inlineStr">
        <is>
          <t>14814816;bb88efa6-968f-44b2-a37b-79ee04ba54f7;;30001085;ussd_funeral_leads_altitude_20260601;;;;;NA;6;2026-06-11 15:41:39+02;system;2026-06-08 06:47:44+02;2026-06-08 06:47:44+02;;;;;;;;;27768072023;;;;;;;;;;;;;</t>
        </is>
      </c>
      <c r="B20" s="20" t="n">
        <v>1</v>
      </c>
    </row>
    <row r="21">
      <c r="A21" s="16" t="inlineStr">
        <is>
          <t>14814817;f4807948-5764-4cd7-82b2-76384727815a;;30001085;ussd_funeral_leads_altitude_20260601;;;;;CU;6;2026-06-11 15:35:42+02;Lebohang Mabotja;2026-06-08 06:47:44+02;2026-06-08 06:47:44+02;;;;;;;;;27795340115;;;;;;;;;;;;;</t>
        </is>
      </c>
      <c r="B21" s="20" t="n">
        <v>1</v>
      </c>
    </row>
    <row r="22">
      <c r="A22" s="16" t="inlineStr">
        <is>
          <t>14814818;3eda82c9-6261-4211-8cb6-5699c8ff1aae;;30001085;ussd_funeral_leads_altitude_20260601;;;;;NA;6;2026-06-11 14:56:11+02;system;2026-06-08 06:47:44+02;2026-06-08 06:47:44+02;;;;;;;;;27794790689;;;;;;;;;;;;;</t>
        </is>
      </c>
      <c r="B22" s="20" t="n">
        <v>1</v>
      </c>
    </row>
    <row r="23">
      <c r="A23" s="16" t="inlineStr">
        <is>
          <t>14814819;264a8f99-2088-44d2-aa12-8d3896010838;;30001085;ussd_funeral_leads_altitude_20260601;;;;;AA;6;2026-06-11 15:35:38+02;system;2026-06-08 06:47:44+02;2026-06-08 06:47:44+02;;;;;;;;;27766440151;;;;;;;;;;;;;</t>
        </is>
      </c>
      <c r="B23" s="20" t="n">
        <v>1</v>
      </c>
    </row>
    <row r="24">
      <c r="A24" s="16" t="inlineStr">
        <is>
          <t>14814820;456fd97d-58fa-46c5-9771-51afbf33b224;;30001085;ussd_funeral_leads_altitude_20260601;;;;;AA;6;2026-06-11 15:41:19+02;system;2026-06-08 06:47:44+02;2026-06-08 06:47:44+02;;;;;;;;;27797779819;;;;;;;;;;;;;</t>
        </is>
      </c>
      <c r="B24" s="20" t="n">
        <v>1</v>
      </c>
    </row>
    <row r="25">
      <c r="A25" s="16" t="inlineStr">
        <is>
          <t>14814821;62ba1ddf-00cd-4197-a71d-19f56a8e5d66;;30001085;ussd_funeral_leads_altitude_20260601;;;;;AF;5;2026-06-11 11:41:26+02;Lebohang Mabotja;2026-06-08 06:47:44+02;2026-06-08 06:47:44+02;;;;;;;;;27724069975;;;;;;;;;;;;;</t>
        </is>
      </c>
      <c r="B25" s="20" t="n">
        <v>1</v>
      </c>
    </row>
    <row r="26">
      <c r="A26" s="16" t="inlineStr">
        <is>
          <t>14814822;4c81f301-6469-4cb3-bbb3-1ecd4b362e70;;30001085;ussd_funeral_leads_altitude_20260601;;;;;ADC;6;2026-06-11 14:56:22+02;system;2026-06-08 06:47:44+02;2026-06-08 06:47:44+02;;;;;;;;;27763465492;;;;;;;;;;;;;</t>
        </is>
      </c>
      <c r="B26" s="20" t="n">
        <v>1</v>
      </c>
    </row>
    <row r="27">
      <c r="A27" s="16" t="inlineStr">
        <is>
          <t>14814823;e23a15f5-636f-4ae7-8b5c-27a5b0eaa391;;30001085;ussd_funeral_leads_altitude_20260601;;;;;NA;6;2026-06-11 14:56:25+02;system;2026-06-08 06:47:44+02;2026-06-08 06:47:44+02;;;;;;;;;27724823824;;;;;;;;;;;;;</t>
        </is>
      </c>
      <c r="B27" s="20" t="n">
        <v>1</v>
      </c>
    </row>
    <row r="28">
      <c r="A28" s="16" t="inlineStr">
        <is>
          <t>14814824;3255452e-0f5c-4cff-84c3-93fdb097a9f2;;30001085;ussd_funeral_leads_altitude_20260601;;;;;AA;6;2026-06-11 14:56:28+02;system;2026-06-08 06:47:44+02;2026-06-08 06:47:44+02;;;;;;;;;27768638901;;;;;;;;;;;;;</t>
        </is>
      </c>
      <c r="B28" s="20" t="n">
        <v>1</v>
      </c>
    </row>
    <row r="29">
      <c r="A29" s="16" t="inlineStr">
        <is>
          <t>14814825;7d3c2ae6-2bea-4ae6-beee-d15556fab3ff;;30001085;ussd_funeral_leads_altitude_20260601;;;;;AA;6;2026-06-11 14:56:30+02;system;2026-06-08 06:47:44+02;2026-06-08 06:47:44+02;;;;;;;;;27646412369;;;;;;;;;;;;;</t>
        </is>
      </c>
      <c r="B29" s="20" t="n">
        <v>1</v>
      </c>
    </row>
    <row r="30">
      <c r="A30" s="16" t="inlineStr">
        <is>
          <t>14814826;3bbca6f7-b493-4e20-97f6-bb67bf323372;;30001085;ussd_funeral_leads_altitude_20260601;;;;;TDN;6;2026-06-11 14:57:20+02;system;2026-06-08 06:47:44+02;2026-06-08 06:47:44+02;;;;;;;;;27818584353;;;;;;;;;;;;;</t>
        </is>
      </c>
      <c r="B30" s="20" t="n">
        <v>1</v>
      </c>
    </row>
    <row r="31">
      <c r="A31" s="16" t="inlineStr">
        <is>
          <t>14814827;5ea23ef6-5ce0-468a-9207-3ace94267272;;30001085;ussd_funeral_leads_altitude_20260601;;;;;ADC;6;2026-06-11 15:41:18+02;system;2026-06-08 06:47:44+02;2026-06-08 06:47:44+02;;;;;;;;;27793502958;;;;;;;;;;;;;</t>
        </is>
      </c>
      <c r="B31" s="20" t="n">
        <v>1</v>
      </c>
    </row>
    <row r="32">
      <c r="A32" s="16" t="inlineStr">
        <is>
          <t>14814828;6879104b-aec8-4dc6-b147-635bce3cd4fa;;30001085;ussd_funeral_leads_altitude_20260601;;;;;TDN;6;2026-06-11 14:57:21+02;system;2026-06-08 06:47:44+02;2026-06-08 06:47:44+02;;;;;;;;;27765490428;;;;;;;;;;;;;</t>
        </is>
      </c>
      <c r="B32" s="20" t="n">
        <v>1</v>
      </c>
    </row>
    <row r="33">
      <c r="A33" s="16" t="inlineStr">
        <is>
          <t>14814829;af3a409e-0cbb-4e73-9f89-529451d7dc96;;30001085;ussd_funeral_leads_altitude_20260601;;;;;NA;6;2026-06-11 15:41:12+02;system;2026-06-08 06:47:44+02;2026-06-08 06:47:44+02;;;;;;;;;27792127411;;;;;;;;;;;;;</t>
        </is>
      </c>
      <c r="B33" s="20" t="n">
        <v>1</v>
      </c>
    </row>
    <row r="34">
      <c r="A34" s="16" t="inlineStr">
        <is>
          <t>14814830;839f7c68-e058-4422-a3ef-d9f5f8dbd407;;30001085;ussd_funeral_leads_altitude_20260601;;;;;TDN;6;2026-06-11 15:35:38+02;system;2026-06-08 06:47:44+02;2026-06-08 06:47:44+02;;;;;;;;;27608665698;;;;;;;;;;;;;</t>
        </is>
      </c>
      <c r="B34" s="20" t="n">
        <v>1</v>
      </c>
    </row>
    <row r="35">
      <c r="A35" s="16" t="inlineStr">
        <is>
          <t>14814831;a0072bc7-1295-4810-b923-507d1f20e2aa;;30001085;ussd_funeral_leads_altitude_20260601;;;;;CU;6;2026-06-11 15:43:27+02;Vuyiswa Nxumalo;2026-06-08 06:47:44+02;2026-06-08 06:47:44+02;;;;;;;;;27790405178;;;;;;;;;;;;;</t>
        </is>
      </c>
      <c r="B35" s="20" t="n">
        <v>1</v>
      </c>
    </row>
    <row r="36">
      <c r="A36" s="16" t="inlineStr">
        <is>
          <t>14814832;baa51659-e693-4c2d-b873-10c7a3693d3f;;30001085;ussd_funeral_leads_altitude_20260601;;;;;N;7;2026-06-12 12:02:58+02;Vuyiswa Nxumalo;2026-06-08 06:47:44+02;2026-06-08 06:47:44+02;;;;;;;;;27723568050;;;;;;;;;;;;;</t>
        </is>
      </c>
      <c r="B36" s="20" t="n">
        <v>1</v>
      </c>
    </row>
    <row r="37">
      <c r="A37" s="16" t="inlineStr">
        <is>
          <t>14814833;44a4769c-1656-444d-98fd-f754acde1a62;;30001085;ussd_funeral_leads_altitude_20260601;;;;;TDN;6;2026-06-11 15:35:29+02;system;2026-06-08 06:47:44+02;2026-06-08 06:47:44+02;;;;;;;;;27761705783;;;;;;;;;;;;;</t>
        </is>
      </c>
      <c r="B37" s="20" t="n">
        <v>1</v>
      </c>
    </row>
    <row r="38">
      <c r="A38" s="16" t="inlineStr">
        <is>
          <t>14814834;063d5e1f-f69d-4e16-b03e-c0140c199a00;;30001085;ussd_funeral_leads_altitude_20260601;;;;;TDN;6;2026-06-11 15:35:02+02;system;2026-06-08 06:47:44+02;2026-06-08 06:47:44+02;;;;;;;;;27769603740;;;;;;;;;;;;;</t>
        </is>
      </c>
      <c r="B38" s="20" t="n">
        <v>1</v>
      </c>
    </row>
    <row r="39">
      <c r="A39" s="16" t="inlineStr">
        <is>
          <t>14814835;a6d6aeeb-5036-459d-9550-12617848c4e7;;30001085;ussd_funeral_leads_altitude_20260601;;;;;CU;7;2026-06-12 10:10:18+02;Goitsimang Mogwasa;2026-06-08 06:47:44+02;2026-06-08 06:47:44+02;;;;;;;;;27795648563;;;;;;;;;;;;;</t>
        </is>
      </c>
      <c r="B39" s="20" t="n">
        <v>1</v>
      </c>
    </row>
    <row r="40">
      <c r="A40" s="16" t="inlineStr">
        <is>
          <t>14814836;af7b3a3c-38d1-49ef-80c4-e07d4ca162f2;;30001085;ussd_funeral_leads_altitude_20260601;;;;;NA;6;2026-06-11 15:35:01+02;system;2026-06-08 06:47:44+02;2026-06-08 06:47:44+02;;;;;;;;;27764786426;;;;;;;;;;;;;</t>
        </is>
      </c>
      <c r="B40" s="20" t="n">
        <v>1</v>
      </c>
    </row>
    <row r="41">
      <c r="A41" s="16" t="inlineStr">
        <is>
          <t>14814837;6502a9da-ea25-4db0-aca4-27f9c4116b7b;;30001085;ussd_funeral_leads_altitude_20260601;;;;;AA;6;2026-06-11 15:34:55+02;system;2026-06-08 06:47:44+02;2026-06-08 06:47:44+02;;;;;;;;;27673727505;;;;;;;;;;;;;</t>
        </is>
      </c>
      <c r="B41" s="20" t="n">
        <v>1</v>
      </c>
    </row>
    <row r="42">
      <c r="A42" s="16" t="inlineStr">
        <is>
          <t>14814838;154cdc85-9cde-4ec2-b878-29d43392673a;;30001085;ussd_funeral_leads_altitude_20260601;;;;;AE;6;2026-06-11 15:34:52+02;system;2026-06-08 06:47:44+02;2026-06-08 06:47:44+02;;;;;;;;;27656245547;;;;;;;;;;;;;</t>
        </is>
      </c>
      <c r="B42" s="20" t="n">
        <v>1</v>
      </c>
    </row>
    <row r="43">
      <c r="A43" s="16" t="inlineStr">
        <is>
          <t>14814839;6a294eeb-c10f-40c4-8897-0488a728cbd2;;30001085;ussd_funeral_leads_altitude_20260601;;;;;ADC;6;2026-06-11 15:34:50+02;system;2026-06-08 06:47:44+02;2026-06-08 06:47:44+02;;;;;;;;;27637444900;;;;;;;;;;;;;</t>
        </is>
      </c>
      <c r="B43" s="20" t="n">
        <v>1</v>
      </c>
    </row>
    <row r="44">
      <c r="A44" s="16" t="inlineStr">
        <is>
          <t>14814840;42fe4b2d-eb34-400c-a1d1-61bf8ac53f35;;30001085;ussd_funeral_leads_altitude_20260601;;;;;N;7;2026-06-10 09:44:36+02;Lebohang Mabotja;2026-06-08 06:47:44+02;2026-06-08 06:47:44+02;;;;;;;;;27660808932;;;;;;;;;;;;;</t>
        </is>
      </c>
      <c r="B44" s="20" t="n">
        <v>1</v>
      </c>
    </row>
    <row r="45">
      <c r="A45" s="16" t="inlineStr">
        <is>
          <t>14814841;11d5fda6-3812-42b4-927b-6ab309a0a3a0;;30001085;ussd_funeral_leads_altitude_20260601;;;;;NI;4;2026-06-10 12:16:14+02;Lebohang Mabotja;2026-06-08 06:47:44+02;2026-06-08 06:47:44+02;;;;;;;;;27715672300;;;;;;;;;;;;;</t>
        </is>
      </c>
      <c r="B45" s="20" t="n">
        <v>1</v>
      </c>
    </row>
    <row r="46">
      <c r="A46" s="16" t="inlineStr">
        <is>
          <t>14814842;ea997f1b-fff0-4fd8-853b-039543f72614;;30001085;ussd_funeral_leads_altitude_20260601;;;;;NA;6;2026-06-11 15:34:45+02;system;2026-06-08 06:47:44+02;2026-06-08 06:47:44+02;;;;;;;;;27712951380;;;;;;;;;;;;;</t>
        </is>
      </c>
      <c r="B46" s="20" t="n">
        <v>1</v>
      </c>
    </row>
    <row r="47">
      <c r="A47" s="16" t="inlineStr">
        <is>
          <t>14814843;fc2639f3-1f94-45e9-acba-f5e0f464a497;;30001085;ussd_funeral_leads_altitude_20260601;;;;;AA;6;2026-06-11 14:49:18+02;system;2026-06-08 06:47:44+02;2026-06-08 06:47:44+02;;;;;;;;;27765796823;;;;;;;;;;;;;</t>
        </is>
      </c>
      <c r="B47" s="20" t="n">
        <v>1</v>
      </c>
    </row>
    <row r="48">
      <c r="A48" s="16" t="inlineStr">
        <is>
          <t>14814844;33076d09-57b9-40c2-aa35-66f8c66dcddd;;30001085;ussd_funeral_leads_altitude_20260601;;;;;QAVER;1;2026-06-08 13:43:38+02;Gontse Monageng;2026-06-08 06:47:44+02;2026-06-08 06:47:44+02;;;;;;;;;27647707072;;;;;;;;;;;;;</t>
        </is>
      </c>
      <c r="B48" s="20" t="n">
        <v>1</v>
      </c>
    </row>
    <row r="49">
      <c r="A49" s="16" t="inlineStr">
        <is>
          <t>14814845;c94dd386-5143-4695-80d7-92b6fd76e935;;30001085;ussd_funeral_leads_altitude_20260601;;;;;AA;6;2026-06-11 15:34:31+02;system;2026-06-08 06:47:44+02;2026-06-08 06:47:44+02;;;;;;;;;27721522499;;;;;;;;;;;;;</t>
        </is>
      </c>
      <c r="B49" s="20" t="n">
        <v>1</v>
      </c>
    </row>
    <row r="50">
      <c r="A50" s="16" t="inlineStr">
        <is>
          <t>14814846;9202b5e7-64c9-4de9-a077-d38b439e5671;;30001085;ussd_funeral_leads_altitude_20260601;;;;;CU;6;2026-06-11 15:34:15+02;Vuyiswa Nxumalo;2026-06-08 06:47:44+02;2026-06-08 06:47:44+02;;;;;;;;;27767053839;;;;;;;;;;;;;</t>
        </is>
      </c>
      <c r="B50" s="20" t="n">
        <v>1</v>
      </c>
    </row>
    <row r="51">
      <c r="A51" s="16" t="inlineStr">
        <is>
          <t>14814847;14335447-1508-4a19-b909-3acf36c150cd;;30001085;ussd_funeral_leads_altitude_20260601;;;;;AA;6;2026-06-11 14:49:24+02;system;2026-06-08 06:47:44+02;2026-06-08 06:47:44+02;;;;;;;;;27646783702;;;;;;;;;;;;;</t>
        </is>
      </c>
      <c r="B51" s="20" t="n">
        <v>1</v>
      </c>
    </row>
    <row r="52">
      <c r="A52" s="16" t="inlineStr">
        <is>
          <t>14814848;43cdb5ac-d0ab-46a3-b428-1dac5c4fa809;;30001085;ussd_funeral_leads_altitude_20260601;;;27720862924;;IABDN;6;2026-06-16 10:43:52+02;system;2026-06-08 06:47:44+02;2026-06-08 06:47:44+02;;;;;;;;;27720862924;;;;;;;;;;;;;</t>
        </is>
      </c>
      <c r="B52" s="20" t="n">
        <v>1</v>
      </c>
    </row>
    <row r="53">
      <c r="A53" s="16" t="inlineStr">
        <is>
          <t>14814849;65cad44b-6bbb-41ad-bac0-6ea2ab29e849;;30001085;ussd_funeral_leads_altitude_20260601;;;;;NA;6;2026-06-11 15:40:56+02;system;2026-06-08 06:47:44+02;2026-06-08 06:47:44+02;;;;;;;;;27824205665;;;;;;;;;;;;;</t>
        </is>
      </c>
      <c r="B53" s="20" t="n">
        <v>1</v>
      </c>
    </row>
    <row r="54">
      <c r="A54" s="16" t="inlineStr">
        <is>
          <t>14814850;969f3bf1-b140-41c8-b8fb-1b85b15c9148;;30001085;ussd_funeral_leads_altitude_20260601;;;;;TDN;6;2026-06-11 14:49:47+02;system;2026-06-08 06:47:44+02;2026-06-08 06:47:44+02;;;;;;;;;27766885075;;;;;;;;;;;;;</t>
        </is>
      </c>
      <c r="B54" s="20" t="n">
        <v>1</v>
      </c>
    </row>
    <row r="55">
      <c r="A55" s="16" t="inlineStr">
        <is>
          <t>14814851;be2660ed-3c1b-4fc0-8565-2e200da8e318;;30001085;ussd_funeral_leads_altitude_20260601;;;27607253363;;ADC;6;2026-06-11 15:43:28+02;system;2026-06-08 06:47:44+02;2026-06-08 06:47:44+02;;;;;;;;;27607253363;;;;;;;;;;;;;</t>
        </is>
      </c>
      <c r="B55" s="20" t="n">
        <v>1</v>
      </c>
    </row>
    <row r="56">
      <c r="A56" s="16" t="inlineStr">
        <is>
          <t>14814852;55e04f7f-7cfd-42fb-9836-54fa9f42ac33;;30001085;ussd_funeral_leads_altitude_20260601;;;;;AF;2;2026-06-09 11:05:53+02;Vuyiswa Nxumalo;2026-06-08 06:47:44+02;2026-06-08 06:47:44+02;;;;;;;;;27727903651;;;;;;;;;;;;;</t>
        </is>
      </c>
      <c r="B56" s="20" t="n">
        <v>1</v>
      </c>
    </row>
    <row r="57">
      <c r="A57" s="16" t="inlineStr">
        <is>
          <t>14814853;9a6fe153-eb81-4c25-8841-d28c379410df;;30001085;ussd_funeral_leads_altitude_20260601;;;;;AA;6;2026-06-11 15:34:45+02;system;2026-06-08 06:47:44+02;2026-06-08 06:47:44+02;;;;;;;;;27727403930;;;;;;;;;;;;;</t>
        </is>
      </c>
      <c r="B57" s="20" t="n">
        <v>1</v>
      </c>
    </row>
    <row r="58">
      <c r="A58" s="16" t="inlineStr">
        <is>
          <t>14814854;1c68244f-32de-48ce-a2da-c69eb4b44a97;;30001085;ussd_funeral_leads_altitude_20260601;;;;;NA;6;2026-06-11 15:34:15+02;system;2026-06-08 06:47:44+02;2026-06-08 06:47:44+02;;;;;;;;;27791448763;;;;;;;;;;;;;</t>
        </is>
      </c>
      <c r="B58" s="20" t="n">
        <v>1</v>
      </c>
    </row>
    <row r="59">
      <c r="A59" s="16" t="inlineStr">
        <is>
          <t>14814855;bcf3aa6e-06c3-425c-8611-ef60af79e128;;30001085;ussd_funeral_leads_altitude_20260601;;;;;ADC;6;2026-06-11 14:49:56+02;system;2026-06-08 06:47:44+02;2026-06-08 06:47:44+02;;;;;;;;;27796397983;;;;;;;;;;;;;</t>
        </is>
      </c>
      <c r="B59" s="20" t="n">
        <v>1</v>
      </c>
    </row>
    <row r="60">
      <c r="A60" s="16" t="inlineStr">
        <is>
          <t>14814856;efbf71f9-7949-48d2-a849-826df1057814;;30001085;ussd_funeral_leads_altitude_20260601;;;;;ADC;6;2026-06-11 14:50:07+02;system;2026-06-08 06:47:44+02;2026-06-08 06:47:44+02;;;;;;;;;27661791623;;;;;;;;;;;;;</t>
        </is>
      </c>
      <c r="B60" s="20" t="n">
        <v>1</v>
      </c>
    </row>
    <row r="61">
      <c r="A61" s="16" t="inlineStr">
        <is>
          <t>14814857;c1035627-a70b-47f5-a3b9-6037d2236993;;30001085;ussd_funeral_leads_altitude_20260601;;;;;AA;6;2026-06-11 14:47:48+02;system;2026-06-08 06:47:44+02;2026-06-08 06:47:44+02;;;;;;;;;27823664503;;;;;;;;;;;;;</t>
        </is>
      </c>
      <c r="B61" s="20" t="n">
        <v>1</v>
      </c>
    </row>
    <row r="62">
      <c r="A62" s="16" t="inlineStr">
        <is>
          <t>14814858;3753c06f-27a1-4b5f-a2a0-a9ea3f60b154;;30001085;ussd_funeral_leads_altitude_20260601;;;;;ADC;6;2026-06-11 14:48:11+02;system;2026-06-08 06:47:44+02;2026-06-08 06:47:44+02;;;;;;;;;27727981412;;;;;;;;;;;;;</t>
        </is>
      </c>
      <c r="B62" s="20" t="n">
        <v>1</v>
      </c>
    </row>
    <row r="63">
      <c r="A63" s="16" t="inlineStr">
        <is>
          <t>14814859;c82ab5a2-b750-4ade-964c-6b3a79c097a9;;30001085;ussd_funeral_leads_altitude_20260601;;;;;AA;6;2026-06-11 15:34:09+02;system;2026-06-08 06:47:44+02;2026-06-08 06:47:44+02;;;;;;;;;27794259167;;;;;;;;;;;;;</t>
        </is>
      </c>
      <c r="B63" s="20" t="n">
        <v>1</v>
      </c>
    </row>
    <row r="64">
      <c r="A64" s="16" t="inlineStr">
        <is>
          <t>14814860;e2d8305a-458c-4697-b35b-34e94baf1a5f;;30001085;ussd_funeral_leads_altitude_20260601;;;;;NA;6;2026-06-11 14:48:19+02;system;2026-06-08 06:47:44+02;2026-06-08 06:47:44+02;;;;;;;;;27791891518;;;;;;;;;;;;;</t>
        </is>
      </c>
      <c r="B64" s="20" t="n">
        <v>1</v>
      </c>
    </row>
    <row r="65">
      <c r="A65" s="16" t="inlineStr">
        <is>
          <t>14814861;4b8da4a4-f7e2-4aeb-9ae6-7c28b8d30e07;;30001085;ussd_funeral_leads_altitude_20260601;;;;;ADC;6;2026-06-11 14:45:23+02;system;2026-06-08 06:47:44+02;2026-06-08 06:47:44+02;;;;;;;;;27674971834;;;;;;;;;;;;;</t>
        </is>
      </c>
      <c r="B65" s="20" t="n">
        <v>1</v>
      </c>
    </row>
    <row r="66">
      <c r="A66" s="16" t="inlineStr">
        <is>
          <t>14814862;d4a376a3-71e6-42a3-8024-0d2ffe4f6bbe;;30001085;ussd_funeral_leads_altitude_20260601;;;;;QAVER;10;2026-06-13 12:22:08+02;Vuyiswa Nxumalo;2026-06-08 06:47:44+02;2026-06-08 06:47:44+02;;;;;;;;;27827633100;;;;;;;;;;;;;</t>
        </is>
      </c>
      <c r="B66" s="20" t="n">
        <v>1</v>
      </c>
    </row>
    <row r="67">
      <c r="A67" s="16" t="inlineStr">
        <is>
          <t>14814863;bd18a51a-4acc-40b1-8388-5e09b9d04ba7;;30001085;ussd_funeral_leads_altitude_20260601;;;;;AA;6;2026-06-11 15:34:07+02;system;2026-06-08 06:47:44+02;2026-06-08 06:47:44+02;;;;;;;;;27774810125;;;;;;;;;;;;;</t>
        </is>
      </c>
      <c r="B67" s="20" t="n">
        <v>1</v>
      </c>
    </row>
    <row r="68">
      <c r="A68" s="16" t="inlineStr">
        <is>
          <t>14814864;0a855a9c-3e26-42f9-8175-581dc24c9c8c;;30001085;ussd_funeral_leads_altitude_20260601;;;;;AA;6;2026-06-11 15:34:07+02;system;2026-06-08 06:47:44+02;2026-06-08 06:47:44+02;;;;;;;;;27648624912;;;;;;;;;;;;;</t>
        </is>
      </c>
      <c r="B68" s="20" t="n">
        <v>1</v>
      </c>
    </row>
    <row r="69">
      <c r="A69" s="16" t="inlineStr">
        <is>
          <t>14814865;71433fca-2d62-4666-b812-93529a24fcc5;;30001085;ussd_funeral_leads_altitude_20260601;;;;;NA;6;2026-06-11 15:34:02+02;system;2026-06-08 06:47:44+02;2026-06-08 06:47:44+02;;;;;;;;;27721594256;;;;;;;;;;;;;</t>
        </is>
      </c>
      <c r="B69" s="20" t="n">
        <v>1</v>
      </c>
    </row>
    <row r="70">
      <c r="A70" s="16" t="inlineStr">
        <is>
          <t>14814866;d05bdab7-6c52-4003-8b9a-161f02baf812;;30001085;ussd_funeral_leads_altitude_20260601;;;;;EC;1;2026-06-08 13:54:35+02;Lebohang Mabotja;2026-06-08 06:47:44+02;2026-06-08 06:47:44+02;;;;;;;;;27712027042;;;;;;;;;;;;;</t>
        </is>
      </c>
      <c r="B70" s="20" t="n">
        <v>1</v>
      </c>
    </row>
    <row r="71">
      <c r="A71" s="16" t="inlineStr">
        <is>
          <t>14814867;93bb77bd-7b0f-4325-945b-7040fdb90e8e;;30001085;ussd_funeral_leads_altitude_20260601;;;;;U;1;2026-06-08 13:50:56+02;Lebohang Mabotja;2026-06-08 06:47:44+02;2026-06-08 06:47:44+02;;;;;;;;;27647458121;;;;;;;;;;;;;</t>
        </is>
      </c>
      <c r="B71" s="20" t="n">
        <v>1</v>
      </c>
    </row>
    <row r="72">
      <c r="A72" s="16" t="inlineStr">
        <is>
          <t>14814868;c9bb770b-68ca-4cd3-b873-b93a0fdc41b5;;30001085;ussd_funeral_leads_altitude_20260601;;;;;CU;6;2026-06-11 14:45:32+02;Goitsimang Mogwasa;2026-06-08 06:47:44+02;2026-06-08 06:47:44+02;;;;;;;;;27768730269;;;;;;;;;;;;;</t>
        </is>
      </c>
      <c r="B72" s="20" t="n">
        <v>1</v>
      </c>
    </row>
    <row r="73">
      <c r="A73" s="16" t="inlineStr">
        <is>
          <t>14814869;7eba2327-cbad-465a-8ca4-f9aebb1c0662;;30001085;ussd_funeral_leads_altitude_20260601;;;27729316762;;A;9;2026-06-13 10:34:40+02;Goitsimang Mogwasa;2026-06-08 06:47:44+02;2026-06-08 06:47:44+02;;;;;;;;;27729316762;;;;;;;;;;;;;</t>
        </is>
      </c>
      <c r="B73" s="20" t="n">
        <v>1</v>
      </c>
    </row>
    <row r="74">
      <c r="A74" s="16" t="inlineStr">
        <is>
          <t>14814870;d6b7833f-40fd-40ed-ad1d-6222997e4ab1;;30001085;ussd_funeral_leads_altitude_20260601;;;;;DROP;6;2026-06-11 14:45:44+02;system;2026-06-08 06:47:44+02;2026-06-08 06:47:44+02;;;;;;;;;27663812452;;;;;;;;;;;;;</t>
        </is>
      </c>
      <c r="B74" s="20" t="n">
        <v>1</v>
      </c>
    </row>
    <row r="75">
      <c r="A75" s="16" t="inlineStr">
        <is>
          <t>14814871;0389c6fa-8a52-412e-9836-c883b63bb5b9;;30001085;ussd_funeral_leads_altitude_20260601;;;27769067726;;A;15;2026-06-27 12:40:25+02;Gontse Monageng;2026-06-08 06:47:44+02;2026-06-08 06:47:44+02;;;;;;;;;27769067726;;;;;;;;;;;;;</t>
        </is>
      </c>
      <c r="B75" s="20" t="n">
        <v>1</v>
      </c>
    </row>
    <row r="76">
      <c r="A76" s="16" t="inlineStr">
        <is>
          <t>14814872;5ee8b9d6-45c3-4394-b43a-36281d6747ad;;30001085;ussd_funeral_leads_altitude_20260601;;;;;QAVER;3;2026-06-10 09:10:31+02;Goitsimang Mogwasa;2026-06-08 06:47:44+02;2026-06-08 06:47:44+02;;;;;;;;;27674900592;;;;;;;;;;;;;</t>
        </is>
      </c>
      <c r="B76" s="20" t="n">
        <v>1</v>
      </c>
    </row>
    <row r="77">
      <c r="A77" s="16" t="inlineStr">
        <is>
          <t>14814873;27eb54fd-85bb-4af0-82ac-dfa8ee3cacff;;30001085;ussd_funeral_leads_altitude_20260601;;;;;ADC;6;2026-06-11 14:46:13+02;system;2026-06-08 06:47:44+02;2026-06-08 06:47:44+02;;;;;;;;;27818175518;;;;;;;;;;;;;</t>
        </is>
      </c>
      <c r="B77" s="20" t="n">
        <v>1</v>
      </c>
    </row>
    <row r="78">
      <c r="A78" s="16" t="inlineStr">
        <is>
          <t>14814874;9ea5f7fc-2d01-4852-a381-866d99770163;;30001085;ussd_funeral_leads_altitude_20260601;;;;;AA;6;2026-06-11 15:33:43+02;system;2026-06-08 06:47:44+02;2026-06-08 06:47:44+02;;;;;;;;;27797926052;;;;;;;;;;;;;</t>
        </is>
      </c>
      <c r="B78" s="20" t="n">
        <v>1</v>
      </c>
    </row>
    <row r="79">
      <c r="A79" s="16" t="inlineStr">
        <is>
          <t>14814875;22b716c6-2c03-438f-b986-445177168dde;;30001085;ussd_funeral_leads_altitude_20260601;;;;;AE;6;2026-06-11 14:48:31+02;system;2026-06-08 06:47:44+02;2026-06-08 06:47:44+02;;;;;;;;;27767551994;;;;;;;;;;;;;</t>
        </is>
      </c>
      <c r="B79" s="20" t="n">
        <v>1</v>
      </c>
    </row>
    <row r="80">
      <c r="A80" s="16" t="inlineStr">
        <is>
          <t>14814876;35148a80-5db1-44e6-8c74-432375fb9937;;30001085;ussd_funeral_leads_altitude_20260601;;;;;AA;6;2026-06-11 15:33:37+02;system;2026-06-08 06:47:44+02;2026-06-08 06:47:44+02;;;;;;;;;27661170262;;;;;;;;;;;;;</t>
        </is>
      </c>
      <c r="B80" s="20" t="n">
        <v>1</v>
      </c>
    </row>
    <row r="81">
      <c r="A81" s="16" t="inlineStr">
        <is>
          <t>14814877;00c29cfb-52da-4928-8d19-7369811d3f07;;30001085;ussd_funeral_leads_altitude_20260601;;;;;AF;4;2026-06-10 12:26:43+02;Gontse Monageng;2026-06-08 06:47:44+02;2026-06-08 06:47:44+02;;;;;;;;;27798117928;;;;;;;;;;;;;</t>
        </is>
      </c>
      <c r="B81" s="20" t="n">
        <v>1</v>
      </c>
    </row>
    <row r="82">
      <c r="A82" s="16" t="inlineStr">
        <is>
          <t>14814878;3fb581f6-aa46-4f96-ad3b-a1214f05ebfb;;30001085;ussd_funeral_leads_altitude_20260601;;;;;NI;4;2026-06-10 11:35:15+02;Gontse Monageng;2026-06-08 06:47:44+02;2026-06-08 06:47:44+02;;;;;;;;;27607346834;;;;;;;;;;;;;</t>
        </is>
      </c>
      <c r="B82" s="20" t="n">
        <v>1</v>
      </c>
    </row>
    <row r="83">
      <c r="A83" s="16" t="inlineStr">
        <is>
          <t>14814879;fef3d524-69c5-4348-8955-7858787130bd;;30001085;ussd_funeral_leads_altitude_20260601;;;;;N;6;2026-06-15 10:56:03+02;Gontse Monageng;2026-06-08 06:47:44+02;2026-06-08 06:47:44+02;;;;;;;;;27847592049;;;;;;;;;;;;;</t>
        </is>
      </c>
      <c r="B83" s="20" t="n">
        <v>1</v>
      </c>
    </row>
    <row r="84">
      <c r="A84" s="16" t="inlineStr">
        <is>
          <t>14814880;8c8b029b-5dbb-44e7-ab6d-a25bfbcf024e;;30001085;ussd_funeral_leads_altitude_20260601;;;;;AA;6;2026-06-11 15:33:32+02;system;2026-06-08 06:47:44+02;2026-06-08 06:47:44+02;;;;;;;;;27728747024;;;;;;;;;;;;;</t>
        </is>
      </c>
      <c r="B84" s="20" t="n">
        <v>1</v>
      </c>
    </row>
    <row r="85">
      <c r="A85" s="16" t="inlineStr">
        <is>
          <t>14814881;1c9faa9b-1ffb-49c5-942a-6e14ca73e8df;;30001085;ussd_funeral_leads_altitude_20260601;;;;;CU;6;2026-06-11 15:33:11+02;Lebohang Mabotja;2026-06-08 06:47:44+02;2026-06-08 06:47:44+02;;;;;;;;;27725584374;;;;;;;;;;;;;</t>
        </is>
      </c>
      <c r="B85" s="20" t="n">
        <v>1</v>
      </c>
    </row>
    <row r="86">
      <c r="A86" s="16" t="inlineStr">
        <is>
          <t>14814882;de145810-162f-4615-be84-f49a5f1baeb7;;30001085;ussd_funeral_leads_altitude_20260601;;;;;TDN;6;2026-06-11 14:48:37+02;system;2026-06-08 06:47:44+02;2026-06-08 06:47:44+02;;;;;;;;;27796790068;;;;;;;;;;;;;</t>
        </is>
      </c>
      <c r="B86" s="20" t="n">
        <v>1</v>
      </c>
    </row>
    <row r="87">
      <c r="A87" s="16" t="inlineStr">
        <is>
          <t>14814883;019f938f-a3b4-45df-b27b-b79eace3f0df;;30001085;ussd_funeral_leads_altitude_20260601;;;;;ADC;6;2026-06-11 14:48:54+02;system;2026-06-08 06:47:44+02;2026-06-08 06:47:44+02;;;;;;;;;27766871137;;;;;;;;;;;;;</t>
        </is>
      </c>
      <c r="B87" s="20" t="n">
        <v>1</v>
      </c>
    </row>
    <row r="88">
      <c r="A88" s="16" t="inlineStr">
        <is>
          <t>14814884;4088cf3e-8367-49a9-bc9f-b404068e828e;;30001085;ussd_funeral_leads_altitude_20260601;;;;;NA;6;2026-06-11 14:48:56+02;system;2026-06-08 06:47:44+02;2026-06-08 06:47:44+02;;;;;;;;;27712716729;;;;;;;;;;;;;</t>
        </is>
      </c>
      <c r="B88" s="20" t="n">
        <v>1</v>
      </c>
    </row>
    <row r="89">
      <c r="A89" s="16" t="inlineStr">
        <is>
          <t>14814885;6ac5a0d9-e2ec-4b01-891e-1d6728d301b8;;30001085;ussd_funeral_leads_altitude_20260601;;;;;A;6;2026-06-11 17:02:06+02;Gontse Monageng;2026-06-08 06:47:44+02;2026-06-08 06:47:44+02;;;;;;;;;27727837671;;;;;;;;;;;;;</t>
        </is>
      </c>
      <c r="B89" s="20" t="n">
        <v>1</v>
      </c>
    </row>
    <row r="90">
      <c r="A90" s="16" t="inlineStr">
        <is>
          <t>14814886;568a95c1-04d5-4f89-9244-a812f7b5ce72;;30001085;ussd_funeral_leads_altitude_20260601;;;;;ADC;6;2026-06-11 14:50:07+02;system;2026-06-08 06:47:44+02;2026-06-08 06:47:44+02;;;;;;;;;27664473444;;;;;;;;;;;;;</t>
        </is>
      </c>
      <c r="B90" s="20" t="n">
        <v>1</v>
      </c>
    </row>
    <row r="91">
      <c r="A91" s="16" t="inlineStr">
        <is>
          <t>14814887;4082a89f-9bf6-4a96-8232-44b03cf28b35;;30001085;ussd_funeral_leads_altitude_20260601;;;;;AA;6;2026-06-11 15:33:05+02;system;2026-06-08 06:47:44+02;2026-06-08 06:47:44+02;;;;;;;;;27766314373;;;;;;;;;;;;;</t>
        </is>
      </c>
      <c r="B91" s="20" t="n">
        <v>1</v>
      </c>
    </row>
    <row r="92">
      <c r="A92" s="16" t="inlineStr">
        <is>
          <t>14814888;85718699-43da-446a-93a5-b64494dc4193;;30001085;ussd_funeral_leads_altitude_20260601;;;;;AE;6;2026-06-11 15:30:18+02;system;2026-06-08 06:47:44+02;2026-06-08 06:47:44+02;;;;;;;;;27799293293;;;;;;;;;;;;;</t>
        </is>
      </c>
      <c r="B92" s="20" t="n">
        <v>1</v>
      </c>
    </row>
    <row r="93">
      <c r="A93" s="16" t="inlineStr">
        <is>
          <t>14814889;c8ade8e6-745e-46d1-ac6f-8b4e77943d1b;;30001085;ussd_funeral_leads_altitude_20260601;;;;;ADC;6;2026-06-11 14:50:17+02;system;2026-06-08 06:47:44+02;2026-06-08 06:47:44+02;;;;;;;;;27726245763;;;;;;;;;;;;;</t>
        </is>
      </c>
      <c r="B93" s="20" t="n">
        <v>1</v>
      </c>
    </row>
    <row r="94">
      <c r="A94" s="16" t="inlineStr">
        <is>
          <t>14814890;58ade95f-dfb0-4289-9fa1-dac0878feb49;;30001085;ussd_funeral_leads_altitude_20260601;;;;;DNQS;5;2026-06-11 10:57:38+02;Virginia Letsatsi;2026-06-08 06:47:44+02;2026-06-08 06:47:44+02;;;;;;;;;27765994639;;;;;;;;;;;;;</t>
        </is>
      </c>
      <c r="B94" s="20" t="n">
        <v>1</v>
      </c>
    </row>
    <row r="95">
      <c r="A95" s="16" t="inlineStr">
        <is>
          <t>14814891;bc9356fa-a310-47d8-ab81-2f55dc5afcdb;;30001085;ussd_funeral_leads_altitude_20260601;;;;;TDN;6;2026-06-11 14:50:25+02;system;2026-06-08 06:47:44+02;2026-06-08 06:47:44+02;;;;;;;;;27827418221;;;;;;;;;;;;;</t>
        </is>
      </c>
      <c r="B95" s="20" t="n">
        <v>1</v>
      </c>
    </row>
    <row r="96">
      <c r="A96" s="16" t="inlineStr">
        <is>
          <t>14814892;08b1b792-f451-4ff2-947f-8e1ccbc52aef;;30001085;ussd_funeral_leads_altitude_20260601;;;;;NI;6;2026-06-11 15:30:02+02;Gontse Monageng;2026-06-08 06:47:44+02;2026-06-08 06:47:44+02;;;;;;;;;27637999357;;;;;;;;;;;;;</t>
        </is>
      </c>
      <c r="B96" s="20" t="n">
        <v>1</v>
      </c>
    </row>
    <row r="97">
      <c r="A97" s="16" t="inlineStr">
        <is>
          <t>14814893;d252838c-500b-44f1-b65d-28331a4659c5;;30001085;ussd_funeral_leads_altitude_20260601;;;27712932635;;AA;6;2026-06-11 15:30:02+02;system;2026-06-08 06:47:44+02;2026-06-08 06:47:44+02;;;;;;;;;27712932635;;;;;;;;;;;;;</t>
        </is>
      </c>
      <c r="B97" s="20" t="n">
        <v>1</v>
      </c>
    </row>
    <row r="98">
      <c r="A98" s="16" t="inlineStr">
        <is>
          <t>14814894;7e30dc05-eeee-4130-91c7-0461a83667d1;;30001085;ussd_funeral_leads_altitude_20260601;;;;;A;6;2026-06-11 10:33:29+02;Vuyiswa Nxumalo;2026-06-08 06:47:44+02;2026-06-08 06:47:44+02;;;;;;;;;27664913238;;;;;;;;;;;;;</t>
        </is>
      </c>
      <c r="B98" s="20" t="n">
        <v>1</v>
      </c>
    </row>
    <row r="99">
      <c r="A99" s="16" t="inlineStr">
        <is>
          <t>14814895;75defcc7-2f5a-44ad-abc8-29c232394d64;;30001085;ussd_funeral_leads_altitude_20260601;;;;;A;6;2026-06-11 16:53:01+02;Lebohang Mabotja;2026-06-08 06:47:44+02;2026-06-08 06:47:44+02;;;;;;;;;27715465016;;;;;;;;;;;;;</t>
        </is>
      </c>
      <c r="B99" s="20" t="n">
        <v>1</v>
      </c>
    </row>
    <row r="100">
      <c r="A100" s="16" t="inlineStr">
        <is>
          <t>14814896;297b481e-32a0-4500-84d7-8d3b21229482;;30001085;ussd_funeral_leads_altitude_20260601;;;;;AA;6;2026-06-11 15:30:00+02;system;2026-06-08 06:47:44+02;2026-06-08 06:47:44+02;;;;;;;;;27720622373;;;;;;;;;;;;;</t>
        </is>
      </c>
      <c r="B100" s="20" t="n">
        <v>1</v>
      </c>
    </row>
    <row r="101">
      <c r="A101" s="16" t="inlineStr">
        <is>
          <t>14814897;11af012e-4f8e-42ca-b5df-9d223cecadf7;;30001085;ussd_funeral_leads_altitude_20260601;;;;;TDN;6;2026-06-11 14:50:25+02;system;2026-06-08 06:47:44+02;2026-06-08 06:47:44+02;;;;;;;;;27664125280;;;;;;;;;;;;;</t>
        </is>
      </c>
      <c r="B101" s="20" t="n">
        <v>1</v>
      </c>
    </row>
    <row r="102">
      <c r="A102" s="16" t="inlineStr">
        <is>
          <t>14814898;7914c11e-78f3-462a-bc79-d3a75938084e;;30001085;ussd_funeral_leads_altitude_20260601;;;;;CU;6;2026-06-11 15:29:49+02;Lebohang Mabotja;2026-06-08 06:47:44+02;2026-06-08 06:47:44+02;;;;;;;;;27716351029;;;;;;;;;;;;;</t>
        </is>
      </c>
      <c r="B102" s="20" t="n">
        <v>1</v>
      </c>
    </row>
    <row r="103">
      <c r="A103" s="16" t="inlineStr">
        <is>
          <t>14814899;43a1ccac-1e9d-49e7-8a68-02253e223281;;30001085;ussd_funeral_leads_altitude_20260601;;;;;NA;6;2026-06-11 14:50:25+02;system;2026-06-08 06:47:44+02;2026-06-08 06:47:44+02;;;;;;;;;27649582357;;;;;;;;;;;;;</t>
        </is>
      </c>
      <c r="B103" s="20" t="n">
        <v>1</v>
      </c>
    </row>
    <row r="104">
      <c r="A104" s="16" t="inlineStr">
        <is>
          <t>14814900;2f01ef7a-b4ed-4b84-a5fd-ee918a3ea726;;30001085;ussd_funeral_leads_altitude_20260601;;;;;TDN;6;2026-06-11 14:50:26+02;system;2026-06-08 06:47:44+02;2026-06-08 06:47:44+02;;;;;;;;;27791916464;;;;;;;;;;;;;</t>
        </is>
      </c>
      <c r="B104" s="20" t="n">
        <v>1</v>
      </c>
    </row>
    <row r="105">
      <c r="A105" s="16" t="inlineStr">
        <is>
          <t>14814901;e7dfc9b2-f33f-4bc6-bad3-73872505dc48;;30001085;ussd_funeral_leads_altitude_20260601;;;27648210126;;IABDN;6;2026-06-11 18:24:02+02;system;2026-06-08 06:47:44+02;2026-06-08 06:47:44+02;;;;;;;;;27648210126;;;;;;;;;;;;;</t>
        </is>
      </c>
      <c r="B105" s="20" t="n">
        <v>1</v>
      </c>
    </row>
    <row r="106">
      <c r="A106" s="16" t="inlineStr">
        <is>
          <t>14814902;eeb101c0-c96b-4573-8a48-347c9612a8a8;;30001085;ussd_funeral_leads_altitude_20260601;;;;;AA;6;2026-06-11 14:50:29+02;system;2026-06-08 06:47:44+02;2026-06-08 06:47:44+02;;;;;;;;;27764358242;;;;;;;;;;;;;</t>
        </is>
      </c>
      <c r="B106" s="20" t="n">
        <v>1</v>
      </c>
    </row>
    <row r="107">
      <c r="A107" s="16" t="inlineStr">
        <is>
          <t>14814903;b9fbbe89-d7ab-4482-b7ac-f2635c2ab6db;;30001085;ussd_funeral_leads_altitude_20260601;;;;;AA;6;2026-06-11 14:50:29+02;system;2026-06-08 06:47:44+02;2026-06-08 06:47:44+02;;;;;;;;;27711284422;;;;;;;;;;;;;</t>
        </is>
      </c>
      <c r="B107" s="20" t="n">
        <v>1</v>
      </c>
    </row>
    <row r="108">
      <c r="A108" s="16" t="inlineStr">
        <is>
          <t>14814904;dd6dd539-ce86-4c87-bdf6-4248d5bd4e61;;30001085;ussd_funeral_leads_altitude_20260601;;;;;NI;4;2026-06-10 12:00:18+02;Vuyiswa Nxumalo;2026-06-08 06:47:44+02;2026-06-08 06:47:44+02;;;;;;;;;27767793794;;;;;;;;;;;;;</t>
        </is>
      </c>
      <c r="B108" s="20" t="n">
        <v>1</v>
      </c>
    </row>
    <row r="109">
      <c r="A109" s="16" t="inlineStr">
        <is>
          <t>14814905;e11ba456-9fe5-4d60-8308-e18dddbb55d2;;30001085;ussd_funeral_leads_altitude_20260601;;;;;NA;6;2026-06-11 14:50:34+02;system;2026-06-08 06:47:44+02;2026-06-08 06:47:44+02;;;;;;;;;27713783497;;;;;;;;;;;;;</t>
        </is>
      </c>
      <c r="B109" s="20" t="n">
        <v>1</v>
      </c>
    </row>
    <row r="110">
      <c r="A110" s="16" t="inlineStr">
        <is>
          <t>14814906;a51bfcaf-d346-4448-bc2d-5a4079089082;;30001085;ussd_funeral_leads_altitude_20260601;;;;;N;6;2026-06-12 10:54:23+02;Lebohang Mabotja;2026-06-08 06:47:44+02;2026-06-08 06:47:44+02;;;;;;;;;27727791198;;;;;;;;;;;;;</t>
        </is>
      </c>
      <c r="B110" s="20" t="n">
        <v>1</v>
      </c>
    </row>
    <row r="111">
      <c r="A111" s="16" t="inlineStr">
        <is>
          <t>14814907;382ab90b-2935-4939-86b4-6a136561a3f7;;30001085;ussd_funeral_leads_altitude_20260601;;;;;AA;6;2026-06-12 10:08:25+02;system;2026-06-08 06:47:44+02;2026-06-08 06:47:44+02;;;;;;;;;27723344824;;;;;;;;;;;;;</t>
        </is>
      </c>
      <c r="B111" s="20" t="n">
        <v>1</v>
      </c>
    </row>
    <row r="112">
      <c r="A112" s="16" t="inlineStr">
        <is>
          <t>14814908;fed3acc5-ef65-4848-a247-74ee5e105db4;;30001085;ussd_funeral_leads_altitude_20260601;;;;;AF;3;2026-06-10 10:28:49+02;Vuyiswa Nxumalo;2026-06-08 06:47:44+02;2026-06-08 06:47:44+02;;;;;;;;;27765899385;;;;;;;;;;;;;</t>
        </is>
      </c>
      <c r="B112" s="20" t="n">
        <v>1</v>
      </c>
    </row>
    <row r="113">
      <c r="A113" s="16" t="inlineStr">
        <is>
          <t>14814909;bdc4691e-230a-4df3-b073-5b7eed915741;;30001085;ussd_funeral_leads_altitude_20260601;;;;;NA;6;2026-06-11 14:50:43+02;system;2026-06-08 06:47:44+02;2026-06-08 06:47:44+02;;;;;;;;;27767442029;;;;;;;;;;;;;</t>
        </is>
      </c>
      <c r="B113" s="20" t="n">
        <v>1</v>
      </c>
    </row>
    <row r="114">
      <c r="A114" s="16" t="inlineStr">
        <is>
          <t>14814910;c79b4d13-f1c9-408c-886e-bb601d913932;;30001085;ussd_funeral_leads_altitude_20260601;;;;;ADC;6;2026-06-11 14:50:50+02;system;2026-06-08 06:47:44+02;2026-06-08 06:47:44+02;;;;;;;;;27649966618;;;;;;;;;;;;;</t>
        </is>
      </c>
      <c r="B114" s="20" t="n">
        <v>1</v>
      </c>
    </row>
    <row r="115">
      <c r="A115" s="16" t="inlineStr">
        <is>
          <t>14814911;87737752-ce70-497c-abc9-1ac9418d5d6c;;30001085;ussd_funeral_leads_altitude_20260601;;;;;TDN;6;2026-06-11 14:50:52+02;system;2026-06-08 06:47:44+02;2026-06-08 06:47:44+02;;;;;;;;;27766804433;;;;;;;;;;;;;</t>
        </is>
      </c>
      <c r="B115" s="20" t="n">
        <v>1</v>
      </c>
    </row>
    <row r="116">
      <c r="A116" s="16" t="inlineStr">
        <is>
          <t>14814912;de3f9628-7d7b-4ac4-92d9-6c918dc049a0;;30001085;ussd_funeral_leads_altitude_20260601;;;;;AA;6;2026-06-11 14:51:09+02;system;2026-06-08 06:47:44+02;2026-06-08 06:47:44+02;;;;;;;;;27725729776;;;;;;;;;;;;;</t>
        </is>
      </c>
      <c r="B116" s="20" t="n">
        <v>1</v>
      </c>
    </row>
    <row r="117">
      <c r="A117" s="16" t="inlineStr">
        <is>
          <t>14814913;dbbfec8b-e5d7-44f1-acf9-92fea290e79d;;30001085;ussd_funeral_leads_altitude_20260601;;;27784005327;;SELECTED;6;2026-06-11 11:35:50+02;Virginia Letsatsi;2026-06-08 06:47:44+02;2026-06-08 06:47:44+02;;;;;;;;;27784005327;;;;;;;;;;;;;</t>
        </is>
      </c>
      <c r="B117" s="20" t="n">
        <v>1</v>
      </c>
    </row>
    <row r="118">
      <c r="A118" s="16" t="inlineStr">
        <is>
          <t>14814914;c91a961d-06a8-4212-b705-5420d301d272;;30001085;ussd_funeral_leads_altitude_20260601;;;;;NA;6;2026-06-11 15:39:18+02;system;2026-06-08 06:47:44+02;2026-06-08 06:47:44+02;;;;;;;;;27820905001;;;;;;;;;;;;;</t>
        </is>
      </c>
      <c r="B118" s="20" t="n">
        <v>1</v>
      </c>
    </row>
    <row r="119">
      <c r="A119" s="16" t="inlineStr">
        <is>
          <t>14814915;92827801-830f-4bde-9404-f6a3211e064c;;30001085;ussd_funeral_leads_altitude_20260601;;;;;ADC;6;2026-06-11 15:20:41+02;system;2026-06-08 06:47:44+02;2026-06-08 06:47:44+02;;;;;;;;;27774420510;;;;;;;;;;;;;</t>
        </is>
      </c>
      <c r="B119" s="20" t="n">
        <v>1</v>
      </c>
    </row>
    <row r="120">
      <c r="A120" s="16" t="inlineStr">
        <is>
          <t>14814916;25753b1e-2be6-496e-9375-4426ad3c6c47;;30001085;ussd_funeral_leads_altitude_20260601;;;;;ADC;6;2026-06-12 08:07:42+02;system;2026-06-08 06:47:44+02;2026-06-08 06:47:44+02;;;;;;;;;27674998353;;;;;;;;;;;;;</t>
        </is>
      </c>
      <c r="B120" s="20" t="n">
        <v>1</v>
      </c>
    </row>
    <row r="121">
      <c r="A121" s="16" t="inlineStr">
        <is>
          <t>14814917;24455c1d-a865-44dc-9de9-294394319111;;30001085;ussd_funeral_leads_altitude_20260601;;;;;AF;3;2026-06-10 09:03:03+02;Gontse Monageng;2026-06-08 06:47:44+02;2026-06-08 06:47:44+02;;;;;;;;;27712667817;;;;;;;;;;;;;</t>
        </is>
      </c>
      <c r="B121" s="20" t="n">
        <v>1</v>
      </c>
    </row>
    <row r="122">
      <c r="A122" s="16" t="inlineStr">
        <is>
          <t>14814918;a76f244a-5bb4-4dee-b5b6-af96c32bb947;;30001085;ussd_funeral_leads_altitude_20260601;;;;;NA;6;2026-06-11 15:40:00+02;system;2026-06-08 06:47:44+02;2026-06-08 06:47:44+02;;;;;;;;;27647970688;;;;;;;;;;;;;</t>
        </is>
      </c>
      <c r="B122" s="20" t="n">
        <v>1</v>
      </c>
    </row>
    <row r="123">
      <c r="A123" s="16" t="inlineStr">
        <is>
          <t>14814919;86170ca0-2572-41a7-a890-d2a955935a41;;30001085;ussd_funeral_leads_altitude_20260601;;;;;NA;6;2026-06-11 15:40:00+02;system;2026-06-08 06:47:44+02;2026-06-08 06:47:44+02;;;;;;;;;27762561218;;;;;;;;;;;;;</t>
        </is>
      </c>
      <c r="B123" s="20" t="n">
        <v>1</v>
      </c>
    </row>
    <row r="124">
      <c r="A124" s="16" t="inlineStr">
        <is>
          <t>14814920;f159596b-a476-4036-95ed-cd84bca5a858;;30001085;ussd_funeral_leads_altitude_20260601;;;;;ADC;6;2026-06-11 15:20:58+02;system;2026-06-08 06:47:44+02;2026-06-08 06:47:44+02;;;;;;;;;27826311854;;;;;;;;;;;;;</t>
        </is>
      </c>
      <c r="B124" s="20" t="n">
        <v>1</v>
      </c>
    </row>
    <row r="125">
      <c r="A125" s="16" t="inlineStr">
        <is>
          <t>14814921;1dc12e05-fc88-41cc-9d73-1d9107be1d11;;30001085;ussd_funeral_leads_altitude_20260601;;;;;AE;6;2026-06-11 15:21:00+02;system;2026-06-08 06:47:44+02;2026-06-08 06:47:44+02;;;;;;;;;27822923241;;;;;;;;;;;;;</t>
        </is>
      </c>
      <c r="B125" s="20" t="n">
        <v>1</v>
      </c>
    </row>
    <row r="126">
      <c r="A126" s="16" t="inlineStr">
        <is>
          <t>14814922;70e123b3-34d5-4a57-a3ea-2a22be8ce6d9;;30001085;ussd_funeral_leads_altitude_20260601;;;;;AA;6;2026-06-11 15:40:07+02;system;2026-06-08 06:47:44+02;2026-06-08 06:47:44+02;;;;;;;;;27795658201;;;;;;;;;;;;;</t>
        </is>
      </c>
      <c r="B126" s="20" t="n">
        <v>1</v>
      </c>
    </row>
    <row r="127">
      <c r="A127" s="16" t="inlineStr">
        <is>
          <t>14814923;cf71ca88-a887-4484-b0fb-336b2fb129f6;;30001085;ussd_funeral_leads_altitude_20260601;;;;;QAVER;5;2026-06-11 10:43:24+02;Goitsimang Mogwasa;2026-06-08 06:47:44+02;2026-06-08 06:47:44+02;;;;;;;;;27796813320;;;;;;;;;;;;;</t>
        </is>
      </c>
      <c r="B127" s="20" t="n">
        <v>1</v>
      </c>
    </row>
    <row r="128">
      <c r="A128" s="16" t="inlineStr">
        <is>
          <t>14814924;a5a42c85-906b-4134-b9f4-6d30d1c50bdd;;30001085;ussd_funeral_leads_altitude_20260601;;;27774829311;;ADC;6;2026-06-12 08:07:42+02;system;2026-06-08 06:47:44+02;2026-06-08 06:47:44+02;;;;;;;;;27774829311;;;;;;;;;;;;;</t>
        </is>
      </c>
      <c r="B128" s="20" t="n">
        <v>1</v>
      </c>
    </row>
    <row r="129">
      <c r="A129" s="16" t="inlineStr">
        <is>
          <t>14814925;0250e2d0-3d9a-46fc-b8b3-ba965348c68a;;30001085;ussd_funeral_leads_altitude_20260601;;;;;AA;6;2026-06-11 15:21:03+02;system;2026-06-08 06:47:44+02;2026-06-08 06:47:44+02;;;;;;;;;27715059846;;;;;;;;;;;;;</t>
        </is>
      </c>
      <c r="B129" s="20" t="n">
        <v>1</v>
      </c>
    </row>
    <row r="130">
      <c r="A130" s="16" t="inlineStr">
        <is>
          <t>14814926;961069ff-e10c-45e1-8655-ec3f1c3da6ab;;30001085;ussd_funeral_leads_altitude_20260601;;;;;AA;6;2026-06-11 15:21:57+02;system;2026-06-08 06:47:44+02;2026-06-08 06:47:44+02;;;;;;;;;27673020372;;;;;;;;;;;;;</t>
        </is>
      </c>
      <c r="B130" s="20" t="n">
        <v>1</v>
      </c>
    </row>
    <row r="131">
      <c r="A131" s="16" t="inlineStr">
        <is>
          <t>14814927;c0300788-7f20-4fd9-8882-01c0d72757ed;;30001085;ussd_funeral_leads_altitude_20260601;;;;;AE;6;2026-06-11 15:21:57+02;system;2026-06-08 06:47:44+02;2026-06-08 06:47:44+02;;;;;;;;;27762451774;;;;;;;;;;;;;</t>
        </is>
      </c>
      <c r="B131" s="20" t="n">
        <v>1</v>
      </c>
    </row>
    <row r="132">
      <c r="A132" s="16" t="inlineStr">
        <is>
          <t>14814928;af742d72-7045-434e-8355-d442bb46ca04;;30001085;ussd_funeral_leads_altitude_20260601;;;27799803793;;CU;6;2026-06-11 15:22:02+02;Gontse Monageng;2026-06-08 06:47:44+02;2026-06-08 06:47:44+02;;;;;;;;;27799803793;;;;;;;;;;;;;</t>
        </is>
      </c>
      <c r="B132" s="20" t="n">
        <v>1</v>
      </c>
    </row>
    <row r="133">
      <c r="A133" s="16" t="inlineStr">
        <is>
          <t>14814929;b965b81c-81ce-4014-915e-22739c487ece;;30001085;ussd_funeral_leads_altitude_20260601;;;;;ADC;6;2026-06-12 08:07:42+02;system;2026-06-08 06:47:44+02;2026-06-08 06:47:44+02;;;;;;;;;27720925677;;;;;;;;;;;;;</t>
        </is>
      </c>
      <c r="B133" s="20" t="n">
        <v>1</v>
      </c>
    </row>
    <row r="134">
      <c r="A134" s="16" t="inlineStr">
        <is>
          <t>14814930;00b0c7cf-d72e-4a06-b258-ebcb95e7c3a4;;30001085;ussd_funeral_leads_altitude_20260601;;;;;CU;6;2026-06-11 15:22:06+02;Vuyiswa Nxumalo;2026-06-08 06:47:44+02;2026-06-08 06:47:44+02;;;;;;;;;27766291750;;;;;;;;;;;;;</t>
        </is>
      </c>
      <c r="B134" s="20" t="n">
        <v>1</v>
      </c>
    </row>
    <row r="135">
      <c r="A135" s="16" t="inlineStr">
        <is>
          <t>14814931;5871b951-5e09-48c9-8332-d0131a04054a;;30001085;ussd_funeral_leads_altitude_20260601;;;;;NA;6;2026-06-11 15:22:06+02;system;2026-06-08 06:47:44+02;2026-06-08 06:47:44+02;;;;;;;;;27673217479;;;;;;;;;;;;;</t>
        </is>
      </c>
      <c r="B135" s="20" t="n">
        <v>1</v>
      </c>
    </row>
    <row r="136">
      <c r="A136" s="16" t="inlineStr">
        <is>
          <t>14814932;ce8b3309-f03d-4f9e-8b70-88663d66bedf;;30001085;ussd_funeral_leads_altitude_20260601;;;;;NA;6;2026-06-11 15:22:12+02;system;2026-06-08 06:47:44+02;2026-06-08 06:47:44+02;;;;;;;;;27712725604;;;;;;;;;;;;;</t>
        </is>
      </c>
      <c r="B136" s="20" t="n">
        <v>1</v>
      </c>
    </row>
    <row r="137">
      <c r="A137" s="16" t="inlineStr">
        <is>
          <t>14814933;200985b6-8da0-4d8d-80d1-bc486a4f71e6;;30001085;ussd_funeral_leads_altitude_20260601;;;;;ADC;6;2026-06-11 15:40:19+02;system;2026-06-08 06:47:44+02;2026-06-08 06:47:44+02;;;;;;;;;27636079192;;;;;;;;;;;;;</t>
        </is>
      </c>
      <c r="B137" s="20" t="n">
        <v>1</v>
      </c>
    </row>
    <row r="138">
      <c r="A138" s="16" t="inlineStr">
        <is>
          <t>14814934;4480a7a0-6178-45a8-af9e-6c1fa32c7070;;30001085;ussd_funeral_leads_altitude_20260601;;;;;TDN;6;2026-06-11 15:40:35+02;system;2026-06-08 06:47:44+02;2026-06-08 06:47:44+02;;;;;;;;;27765987642;;;;;;;;;;;;;</t>
        </is>
      </c>
      <c r="B138" s="20" t="n">
        <v>1</v>
      </c>
    </row>
    <row r="139">
      <c r="A139" s="16" t="inlineStr">
        <is>
          <t>14814935;28f5d92a-5339-4d36-bc39-8469ac0b2f0d;;30001085;ussd_funeral_leads_altitude_20260601;;;;;NI;3;2026-06-10 08:38:54+02;Lebohang Mabotja;2026-06-08 06:47:44+02;2026-06-08 06:47:44+02;;;;;;;;;27721250695;;;;;;;;;;;;;</t>
        </is>
      </c>
      <c r="B139" s="20" t="n">
        <v>1</v>
      </c>
    </row>
    <row r="140">
      <c r="A140" s="16" t="inlineStr">
        <is>
          <t>14814936;b0f8ba6e-95c7-4a18-8f63-850a48f20f04;;30001085;ussd_funeral_leads_altitude_20260601;;;;;TDN;6;2026-06-11 15:47:13+02;system;2026-06-08 06:47:44+02;2026-06-08 06:47:44+02;;;;;;;;;27773809743;;;;;;;;;;;;;</t>
        </is>
      </c>
      <c r="B140" s="20" t="n">
        <v>1</v>
      </c>
    </row>
    <row r="141">
      <c r="A141" s="16" t="inlineStr">
        <is>
          <t>14814937;faa0a235-c0c9-416e-8d0a-e8432b057cc5;;30001085;ussd_funeral_leads_altitude_20260601;;;;;CBACK;3;2026-06-10 08:38:55+02;Gontse Monageng;2026-06-08 06:47:44+02;2026-06-08 06:47:44+02;;;;;;;;;27727521164;;;;;;;;;;;;;</t>
        </is>
      </c>
      <c r="B141" s="20" t="n">
        <v>1</v>
      </c>
    </row>
    <row r="142">
      <c r="A142" s="16" t="inlineStr">
        <is>
          <t>14814938;4b5fb4bf-c5f1-4457-af98-267b766b3616;;30001085;ussd_funeral_leads_altitude_20260601;;;;;ADC;6;2026-06-10 16:43:09+02;system;2026-06-08 06:47:44+02;2026-06-08 06:47:44+02;;;;;;;;;27636317348;;;;;;;;;;;;;</t>
        </is>
      </c>
      <c r="B142" s="20" t="n">
        <v>1</v>
      </c>
    </row>
    <row r="143">
      <c r="A143" s="16" t="inlineStr">
        <is>
          <t>14814939;d97a0cfa-397b-48eb-8421-502f80220372;;30001085;ussd_funeral_leads_altitude_20260601;;;;;ADC;6;2026-06-11 15:47:21+02;system;2026-06-08 06:47:44+02;2026-06-08 06:47:44+02;;;;;;;;;27823645995;;;;;;;;;;;;;</t>
        </is>
      </c>
      <c r="B143" s="20" t="n">
        <v>1</v>
      </c>
    </row>
    <row r="144">
      <c r="A144" s="16" t="inlineStr">
        <is>
          <t>14814940;b35274d1-f0b4-406b-8a52-12ed7aa113d9;;30001085;ussd_funeral_leads_altitude_20260601;;;;;ADC;6;2026-06-11 15:18:37+02;system;2026-06-08 06:47:44+02;2026-06-08 06:47:44+02;;;;;;;;;27606134440;;;;;;;;;;;;;</t>
        </is>
      </c>
      <c r="B144" s="20" t="n">
        <v>1</v>
      </c>
    </row>
    <row r="145">
      <c r="A145" s="16" t="inlineStr">
        <is>
          <t>14814941;69433bff-8620-48c3-a10a-cae7d8dac5ed;;30001085;ussd_funeral_leads_altitude_20260601;;;;;ADC;6;2026-06-11 15:19:06+02;system;2026-06-08 06:47:44+02;2026-06-08 06:47:44+02;;;;;;;;;27673401628;;;;;;;;;;;;;</t>
        </is>
      </c>
      <c r="B145" s="20" t="n">
        <v>1</v>
      </c>
    </row>
    <row r="146">
      <c r="A146" s="16" t="inlineStr">
        <is>
          <t>14814942;3b1c3f81-183f-4b8f-a1b6-ad65caa43fbd;;30001085;ussd_funeral_leads_altitude_20260601;;;;;SELECTED;2;2026-06-08 13:39:42+02;Goitsimang Mogwasa;2026-06-08 06:47:44+02;2026-06-08 06:47:44+02;;;;;;;;;27761825754;;;;;;;;;;;;;</t>
        </is>
      </c>
      <c r="B146" s="20" t="n">
        <v>1</v>
      </c>
    </row>
    <row r="147">
      <c r="A147" s="16" t="inlineStr">
        <is>
          <t>14814943;31306a76-1069-4bbe-9b25-a67a673d1492;;30001085;ussd_funeral_leads_altitude_20260601;;;27647801130;;QAVER;2;2026-06-08 16:50:19+02;Lebohang Mabotja;2026-06-08 06:47:44+02;2026-06-08 06:47:44+02;;;;;;;;;27647801130;;;;;;;;;;;;;</t>
        </is>
      </c>
      <c r="B147" s="20" t="n">
        <v>1</v>
      </c>
    </row>
    <row r="148">
      <c r="A148" s="16" t="inlineStr">
        <is>
          <t>14814944;1ccd91bf-e117-442c-aad1-d962b3dcc16a;;30001085;ussd_funeral_leads_altitude_20260601;;;;;ADC;6;2026-06-11 15:19:07+02;system;2026-06-08 06:47:44+02;2026-06-08 06:47:44+02;;;;;;;;;27636781893;;;;;;;;;;;;;</t>
        </is>
      </c>
      <c r="B148" s="20" t="n">
        <v>1</v>
      </c>
    </row>
    <row r="149">
      <c r="A149" s="16" t="inlineStr">
        <is>
          <t>14814945;5004f492-c538-455e-8013-1e3f2a01fb38;;30001085;ussd_funeral_leads_altitude_20260601;;;;;U;1;2026-06-08 13:39:43+02;Lebohang Mabotja;2026-06-08 06:47:44+02;2026-06-08 06:47:44+02;;;;;;;;;27720544452;;;;;;;;;;;;;</t>
        </is>
      </c>
      <c r="B149" s="20" t="n">
        <v>1</v>
      </c>
    </row>
    <row r="150">
      <c r="A150" s="16" t="inlineStr">
        <is>
          <t>14814946;71de7806-054c-4a28-a434-f1f8c6d73e53;;30001085;ussd_funeral_leads_altitude_20260601;;;;;NA;6;2026-06-11 15:19:08+02;system;2026-06-08 06:47:44+02;2026-06-08 06:47:44+02;;;;;;;;;27646764502;;;;;;;;;;;;;</t>
        </is>
      </c>
      <c r="B150" s="20" t="n">
        <v>1</v>
      </c>
    </row>
    <row r="151">
      <c r="A151" s="16" t="inlineStr">
        <is>
          <t>14814947;ed6138d3-3555-4081-8070-29c1e49fe975;;30001085;ussd_funeral_leads_altitude_20260601;;;;;OAL;1;2026-06-08 15:42:07+02;Virginia Letsatsi;2026-06-08 06:47:44+02;2026-06-08 06:47:44+02;;;;;;;;;27660919572;;;;;;;;;;;;;</t>
        </is>
      </c>
      <c r="B151" s="20" t="n">
        <v>1</v>
      </c>
    </row>
    <row r="152">
      <c r="A152" s="16" t="inlineStr">
        <is>
          <t>14814948;7cebe0b5-ca1b-4c72-9175-70a7ff67562a;;30001085;ussd_funeral_leads_altitude_20260601;;;;;ADC;6;2026-06-11 15:19:26+02;system;2026-06-08 06:47:44+02;2026-06-08 06:47:44+02;;;;;;;;;27664183660;;;;;;;;;;;;;</t>
        </is>
      </c>
      <c r="B152" s="20" t="n">
        <v>1</v>
      </c>
    </row>
    <row r="153">
      <c r="A153" s="16" t="inlineStr">
        <is>
          <t>14814949;9968c235-71fe-4586-93a1-71ed36e9c5a2;;30001085;ussd_funeral_leads_altitude_20260601;;;;;NA;6;2026-06-11 15:19:29+02;system;2026-06-08 06:47:44+02;2026-06-08 06:47:44+02;;;;;;;;;27665092086;;;;;;;;;;;;;</t>
        </is>
      </c>
      <c r="B153" s="20" t="n">
        <v>1</v>
      </c>
    </row>
    <row r="154">
      <c r="A154" s="16" t="inlineStr">
        <is>
          <t>14814950;13195c04-7ae2-4399-8844-0d1c9b618b1d;;30001085;ussd_funeral_leads_altitude_20260601;;;;;QAVER;6;2026-06-10 09:28:15+02;Virginia Letsatsi;2026-06-08 06:47:44+02;2026-06-08 06:47:44+02;;;;;;;;;27609501231;;;;;;;;;;;;;</t>
        </is>
      </c>
      <c r="B154" s="20" t="n">
        <v>1</v>
      </c>
    </row>
    <row r="155">
      <c r="A155" s="16" t="inlineStr">
        <is>
          <t>14814951;296a4533-f65e-423e-836e-fa531c8167db;;30001085;ussd_funeral_leads_altitude_20260601;;;;;NA;6;2026-06-11 15:19:29+02;system;2026-06-08 06:47:44+02;2026-06-08 06:47:44+02;;;;;;;;;27723049587;;;;;;;;;;;;;</t>
        </is>
      </c>
      <c r="B155" s="20" t="n">
        <v>1</v>
      </c>
    </row>
    <row r="156">
      <c r="A156" s="16" t="inlineStr">
        <is>
          <t>14814952;afd8d4e6-40dc-41e1-92e8-c441bd42dcf8;;30001085;ussd_funeral_leads_altitude_20260601;;;;;A;6;2026-06-11 15:19:34+02;Vuyiswa Nxumalo;2026-06-08 06:47:44+02;2026-06-08 06:47:44+02;;;;;;;;;27774437718;;;;;;;;;;;;;</t>
        </is>
      </c>
      <c r="B156" s="20" t="n">
        <v>1</v>
      </c>
    </row>
    <row r="157">
      <c r="A157" s="16" t="inlineStr">
        <is>
          <t>14814953;0a948062-a3c3-474b-90ef-f9cdce46375d;;30001085;ussd_funeral_leads_altitude_20260601;;;;;NA;6;2026-06-11 15:47:21+02;system;2026-06-08 06:47:44+02;2026-06-08 06:47:44+02;;;;;;;;;27608536314;;;;;;;;;;;;;</t>
        </is>
      </c>
      <c r="B157" s="20" t="n">
        <v>1</v>
      </c>
    </row>
    <row r="158">
      <c r="A158" s="16" t="inlineStr">
        <is>
          <t>14814954;e82f0cf4-2b63-4232-b02e-4fc353805794;;30001085;ussd_funeral_leads_altitude_20260601;;;;;ADC;6;2026-06-11 15:19:36+02;system;2026-06-08 06:47:44+02;2026-06-08 06:47:44+02;;;;;;;;;27798517823;;;;;;;;;;;;;</t>
        </is>
      </c>
      <c r="B158" s="20" t="n">
        <v>1</v>
      </c>
    </row>
    <row r="159">
      <c r="A159" s="16" t="inlineStr">
        <is>
          <t>14814955;5fe74f78-ad64-4076-863b-adc44a1b3e5a;;30001085;ussd_funeral_leads_altitude_20260601;;;;;CUA;5;2026-06-10 16:56:59+02;Virginia Letsatsi;2026-06-08 06:47:44+02;2026-06-08 06:47:44+02;;;;;;;;;27649425702;;;;;;;;;;;;;</t>
        </is>
      </c>
      <c r="B159" s="20" t="n">
        <v>1</v>
      </c>
    </row>
    <row r="160">
      <c r="A160" s="16" t="inlineStr">
        <is>
          <t>14814956;db00d0c9-1dac-4633-ae4d-b3ad476d03f6;;30001085;ussd_funeral_leads_altitude_20260601;;;;;AA;6;2026-06-11 15:47:30+02;system;2026-06-08 06:47:44+02;2026-06-08 06:47:44+02;;;;;;;;;27723443429;;;;;;;;;;;;;</t>
        </is>
      </c>
      <c r="B160" s="20" t="n">
        <v>1</v>
      </c>
    </row>
    <row r="161">
      <c r="A161" s="16" t="inlineStr">
        <is>
          <t>14814957;ea50048b-b589-44b4-9a8f-d37b1061d975;;30001085;ussd_funeral_leads_altitude_20260601;;;;;NA;6;2026-06-11 15:47:37+02;system;2026-06-08 06:47:44+02;2026-06-08 06:47:44+02;;;;;;;;;27711108188;;;;;;;;;;;;;</t>
        </is>
      </c>
      <c r="B161" s="20" t="n">
        <v>1</v>
      </c>
    </row>
    <row r="162">
      <c r="A162" s="16" t="inlineStr">
        <is>
          <t>14814958;212442b2-7c0f-4ac5-8137-522dbf3974bb;;30001085;ussd_funeral_leads_altitude_20260601;;;;;CU;6;2026-06-11 15:47:38+02;Gontse Monageng;2026-06-08 06:47:44+02;2026-06-08 06:47:44+02;;;;;;;;;27763823546;;;;;;;;;;;;;</t>
        </is>
      </c>
      <c r="B162" s="20" t="n">
        <v>1</v>
      </c>
    </row>
    <row r="163">
      <c r="A163" s="16" t="inlineStr">
        <is>
          <t>14814959;5ea2a4c7-921c-4abe-8c5e-aca6faa990a9;;30001085;ussd_funeral_leads_altitude_20260601;;;;;NA;6;2026-06-11 15:47:43+02;system;2026-06-08 06:47:44+02;2026-06-08 06:47:44+02;;;;;;;;;27721993208;;;;;;;;;;;;;</t>
        </is>
      </c>
      <c r="B163" s="20" t="n">
        <v>1</v>
      </c>
    </row>
    <row r="164">
      <c r="A164" s="16" t="inlineStr">
        <is>
          <t>14814960;155123ba-a654-4399-995c-2760de373605;;30001085;ussd_funeral_leads_altitude_20260601;;;;;AA;6;2026-06-11 15:49:39+02;system;2026-06-08 06:47:44+02;2026-06-08 06:47:44+02;;;;;;;;;27674353769;;;;;;;;;;;;;</t>
        </is>
      </c>
      <c r="B164" s="20" t="n">
        <v>1</v>
      </c>
    </row>
    <row r="165">
      <c r="A165" s="16" t="inlineStr">
        <is>
          <t>14814961;ec0df2fa-3114-440e-a0c8-d86bc575ce53;;30001085;ussd_funeral_leads_altitude_20260601;;;;;NA;6;2026-06-11 15:19:36+02;system;2026-06-08 06:47:44+02;2026-06-08 06:47:44+02;;;;;;;;;27664503393;;;;;;;;;;;;;</t>
        </is>
      </c>
      <c r="B165" s="20" t="n">
        <v>1</v>
      </c>
    </row>
    <row r="166">
      <c r="A166" s="16" t="inlineStr">
        <is>
          <t>14814962;fb43dc54-86a9-4c8f-a315-0960443baab1;;30001085;ussd_funeral_leads_altitude_20260601;;;;;AA;6;2026-06-11 15:20:28+02;system;2026-06-08 06:47:44+02;2026-06-08 06:47:44+02;;;;;;;;;27646388063;;;;;;;;;;;;;</t>
        </is>
      </c>
      <c r="B166" s="20" t="n">
        <v>1</v>
      </c>
    </row>
    <row r="167">
      <c r="A167" s="16" t="inlineStr">
        <is>
          <t>14814963;6b0c80b4-0407-4fe3-bed2-bec9772bfda8;;30001085;ussd_funeral_leads_altitude_20260601;;;27762065834;;CUA;6;2026-06-11 15:15:52+02;Vuyiswa Nxumalo;2026-06-08 06:47:44+02;2026-06-08 06:47:44+02;;;;;;;;;27762065834;;;;;;;;;;;;;</t>
        </is>
      </c>
      <c r="B167" s="20" t="n">
        <v>1</v>
      </c>
    </row>
    <row r="168">
      <c r="A168" s="16" t="inlineStr">
        <is>
          <t>14814964;11294cf1-6ba5-45b7-b9e7-03870e42f37d;;30001085;ussd_funeral_leads_altitude_20260601;;;;;AA;6;2026-06-11 15:49:38+02;system;2026-06-08 06:47:44+02;2026-06-08 06:47:44+02;;;;;;;;;27774780453;;;;;;;;;;;;;</t>
        </is>
      </c>
      <c r="B168" s="20" t="n">
        <v>1</v>
      </c>
    </row>
    <row r="169">
      <c r="A169" s="16" t="inlineStr">
        <is>
          <t>14814965;46b44cdf-4372-4c4f-b602-9f0bfbfc5959;;30001085;ussd_funeral_leads_altitude_20260601;;;;;NA;6;2026-06-11 15:15:52+02;system;2026-06-08 06:47:44+02;2026-06-08 06:47:44+02;;;;;;;;;27763621368;;;;;;;;;;;;;</t>
        </is>
      </c>
      <c r="B169" s="20" t="n">
        <v>1</v>
      </c>
    </row>
    <row r="170">
      <c r="A170" s="16" t="inlineStr">
        <is>
          <t>14814966;9760e6bf-32cf-47e5-81f2-dd520f843a89;;30001085;ussd_funeral_leads_altitude_20260601;;;;;A;6;2026-06-11 11:33:36+02;Virginia Letsatsi;2026-06-08 06:47:44+02;2026-06-08 06:47:44+02;;;;;;;;;27713351359;;;;;;;;;;;;;</t>
        </is>
      </c>
      <c r="B170" s="20" t="n">
        <v>1</v>
      </c>
    </row>
    <row r="171">
      <c r="A171" s="16" t="inlineStr">
        <is>
          <t>14814967;a8d59ee6-b3b2-481b-afb5-8e77dc89973d;;30001085;ussd_funeral_leads_altitude_20260601;;;;;OAL;2;2026-06-09 11:49:16+02;Virginia Letsatsi;2026-06-08 06:47:44+02;2026-06-08 06:47:44+02;;;;;;;;;27796492444;;;;;;;;;;;;;</t>
        </is>
      </c>
      <c r="B171" s="20" t="n">
        <v>1</v>
      </c>
    </row>
    <row r="172">
      <c r="A172" s="16" t="inlineStr">
        <is>
          <t>14814969;37627be0-c711-4888-bdcc-93cfe58e9da0;;30001085;ussd_funeral_leads_altitude_20260601;;;;;AA;6;2026-06-11 15:49:37+02;system;2026-06-08 06:47:44+02;2026-06-08 06:47:44+02;;;;;;;;;27766296677;;;;;;;;;;;;;</t>
        </is>
      </c>
      <c r="B172" s="20" t="n">
        <v>1</v>
      </c>
    </row>
    <row r="173">
      <c r="A173" s="16" t="inlineStr">
        <is>
          <t>14814970;4ae1d0c4-2a2c-4089-9940-cd304c4e1e25;;30001085;ussd_funeral_leads_altitude_20260601;;;;;AA;6;2026-06-11 15:49:32+02;system;2026-06-08 06:47:44+02;2026-06-08 06:47:44+02;;;;;;;;;27608209688;;;;;;;;;;;;;</t>
        </is>
      </c>
      <c r="B173" s="20" t="n">
        <v>1</v>
      </c>
    </row>
    <row r="174">
      <c r="A174" s="16" t="inlineStr">
        <is>
          <t>14814971;559985a1-7da1-431f-b63b-8948c2bbb94b;;30001085;ussd_funeral_leads_altitude_20260601;;;;;AA;6;2026-06-11 15:17:29+02;system;2026-06-08 06:47:44+02;2026-06-08 06:47:44+02;;;;;;;;;27715595433;;;;;;;;;;;;;</t>
        </is>
      </c>
      <c r="B174" s="20" t="n">
        <v>1</v>
      </c>
    </row>
    <row r="175">
      <c r="A175" s="16" t="inlineStr">
        <is>
          <t>14814972;273ad95f-21d2-41f9-8047-9c90ba223c14;;30001085;ussd_funeral_leads_altitude_20260601;;;;;CBACK;2;2026-06-09 12:55:30+02;Gontse Monageng;2026-06-08 06:47:44+02;2026-06-08 06:47:44+02;;;;;;;;;27763931498;;;;;;;;;;;;;</t>
        </is>
      </c>
      <c r="B175" s="20" t="n">
        <v>1</v>
      </c>
    </row>
    <row r="176">
      <c r="A176" s="16" t="inlineStr">
        <is>
          <t>14814973;733a84b0-5e16-4171-819f-5da81d6797e3;;30001085;ussd_funeral_leads_altitude_20260601;;;;;AA;6;2026-06-11 15:17:43+02;system;2026-06-08 06:47:44+02;2026-06-08 06:47:44+02;;;;;;;;;27725629566;;;;;;;;;;;;;</t>
        </is>
      </c>
      <c r="B176" s="20" t="n">
        <v>1</v>
      </c>
    </row>
    <row r="177">
      <c r="A177" s="16" t="inlineStr">
        <is>
          <t>14814974;39657f62-6d23-4d52-801c-e46bb730eefe;;30001085;ussd_funeral_leads_altitude_20260601;;;;;AA;6;2026-06-11 15:17:48+02;system;2026-06-08 06:47:44+02;2026-06-08 06:47:44+02;;;;;;;;;27606128980;;;;;;;;;;;;;</t>
        </is>
      </c>
      <c r="B177" s="20" t="n">
        <v>1</v>
      </c>
    </row>
    <row r="178">
      <c r="A178" s="16" t="inlineStr">
        <is>
          <t>14814975;2d4b1d1a-20c6-4e6c-859c-5c8225128dbb;;30001085;ussd_funeral_leads_altitude_20260601;;;;;AA;6;2026-06-11 15:17:50+02;system;2026-06-08 06:47:44+02;2026-06-08 06:47:44+02;;;;;;;;;27761499708;;;;;;;;;;;;;</t>
        </is>
      </c>
      <c r="B178" s="20" t="n">
        <v>1</v>
      </c>
    </row>
    <row r="179">
      <c r="A179" s="16" t="inlineStr">
        <is>
          <t>14814976;e87c65d5-33e7-4cc2-91cd-045b02af2be5;;30001085;ussd_funeral_leads_altitude_20260601;;;;;QAVER;6;2026-06-09 09:13:30+02;Vuyiswa Nxumalo;2026-06-08 06:47:44+02;2026-06-08 06:47:44+02;;;;;;;;;27721640147;;;;;;;;;;;;;</t>
        </is>
      </c>
      <c r="B179" s="20" t="n">
        <v>1</v>
      </c>
    </row>
    <row r="180">
      <c r="A180" s="16" t="inlineStr">
        <is>
          <t>14814977;67296089-0910-4bf1-abbc-31907b4e94dc;;30001085;ussd_funeral_leads_altitude_20260601;;;;;AA;6;2026-06-11 15:49:18+02;system;2026-06-08 06:47:44+02;2026-06-08 06:47:44+02;;;;;;;;;27664416396;;;;;;;;;;;;;</t>
        </is>
      </c>
      <c r="B180" s="20" t="n">
        <v>1</v>
      </c>
    </row>
    <row r="181">
      <c r="A181" s="16" t="inlineStr">
        <is>
          <t>14814978;bb37b013-8098-43eb-8162-811e802582fd;;30001085;ussd_funeral_leads_altitude_20260601;;;;;ADC;6;2026-06-11 15:13:30+02;system;2026-06-08 06:47:44+02;2026-06-08 06:47:44+02;;;;;;;;;27773575165;;;;;;;;;;;;;</t>
        </is>
      </c>
      <c r="B181" s="20" t="n">
        <v>1</v>
      </c>
    </row>
    <row r="182">
      <c r="A182" s="16" t="inlineStr">
        <is>
          <t>14814979;09e9d314-4bfa-4e47-b120-7b1f333836ee;;30001085;ussd_funeral_leads_altitude_20260601;;;;;DROP;6;2026-06-11 15:13:32+02;system;2026-06-08 06:47:44+02;2026-06-08 06:47:44+02;;;;;;;;;27794197230;;;;;;;;;;;;;</t>
        </is>
      </c>
      <c r="B182" s="20" t="n">
        <v>1</v>
      </c>
    </row>
    <row r="183">
      <c r="A183" s="16" t="inlineStr">
        <is>
          <t>14814980;6d8d3e78-a7ab-4264-a21e-062ac1e1a138;;30001085;ussd_funeral_leads_altitude_20260601;;;;;TDN;6;2026-06-11 15:17:53+02;system;2026-06-08 06:47:44+02;2026-06-08 06:47:44+02;;;;;;;;;27663725358;;;;;;;;;;;;;</t>
        </is>
      </c>
      <c r="B183" s="20" t="n">
        <v>1</v>
      </c>
    </row>
    <row r="184">
      <c r="A184" s="16" t="inlineStr">
        <is>
          <t>14814981;cc4f9a1b-1f71-4783-a471-41f144685073;;30001085;ussd_funeral_leads_altitude_20260601;;;;;NA;6;2026-06-11 15:17:55+02;system;2026-06-08 06:47:44+02;2026-06-08 06:47:44+02;;;;;;;;;27818251083;;;;;;;;;;;;;</t>
        </is>
      </c>
      <c r="B184" s="20" t="n">
        <v>1</v>
      </c>
    </row>
    <row r="185">
      <c r="A185" s="16" t="inlineStr">
        <is>
          <t>14814982;127ba2d3-2b86-483f-9b06-0af8e21238e7;;30001085;ussd_funeral_leads_altitude_20260601;;;;;AA;6;2026-06-11 15:14:42+02;system;2026-06-08 06:47:44+02;2026-06-08 06:47:44+02;;;;;;;;;27798793986;;;;;;;;;;;;;</t>
        </is>
      </c>
      <c r="B185" s="20" t="n">
        <v>1</v>
      </c>
    </row>
    <row r="186">
      <c r="A186" s="16" t="inlineStr">
        <is>
          <t>14814983;3e3a86f0-c3b0-48cb-8e9e-aed96929ef77;;30001085;ussd_funeral_leads_altitude_20260601;;;;;ADC;6;2026-06-11 15:14:55+02;system;2026-06-08 06:47:44+02;2026-06-08 06:47:44+02;;;;;;;;;27761344269;;;;;;;;;;;;;</t>
        </is>
      </c>
      <c r="B186" s="20" t="n">
        <v>1</v>
      </c>
    </row>
    <row r="187">
      <c r="A187" s="16" t="inlineStr">
        <is>
          <t>14814985;1689fee9-5245-49c7-a15d-2b48c8586de1;;30001085;ussd_funeral_leads_altitude_20260601;;;27769182543;;DROP;6;2026-06-11 15:14:57+02;system;2026-06-08 06:47:44+02;2026-06-08 06:47:44+02;;;;;;;;;27769182543;;;;;;;;;;;;;</t>
        </is>
      </c>
      <c r="B187" s="20" t="n">
        <v>1</v>
      </c>
    </row>
    <row r="188">
      <c r="A188" s="16" t="inlineStr">
        <is>
          <t>14814986;9d9414e1-a9ee-438f-944b-d87e0e168a31;;30001085;ussd_funeral_leads_altitude_20260601;;;;;U;6;2026-06-10 16:28:18+02;Virginia Letsatsi;2026-06-08 06:47:44+02;2026-06-08 06:47:44+02;;;;;;;;;27649966295;;;;;;;;;;;;;</t>
        </is>
      </c>
      <c r="B188" s="20" t="n">
        <v>1</v>
      </c>
    </row>
    <row r="189">
      <c r="A189" s="16" t="inlineStr">
        <is>
          <t>14814987;ca5ab62f-fedf-41fd-a059-01aa893c0cc1;;30001085;ussd_funeral_leads_altitude_20260601;;;;;AA;6;2026-06-11 15:18:09+02;system;2026-06-08 06:47:44+02;2026-06-08 06:47:44+02;;;;;;;;;27665956492;;;;;;;;;;;;;</t>
        </is>
      </c>
      <c r="B189" s="20" t="n">
        <v>1</v>
      </c>
    </row>
    <row r="190">
      <c r="A190" s="16" t="inlineStr">
        <is>
          <t>14814988;7040fa19-4473-4dc2-a2cc-6b1c4cec0a4f;;30001085;ussd_funeral_leads_altitude_20260601;;;;;AE;6;2026-06-11 15:18:10+02;system;2026-06-08 06:47:44+02;2026-06-08 06:47:44+02;;;;;;;;;27727183599;;;;;;;;;;;;;</t>
        </is>
      </c>
      <c r="B190" s="20" t="n">
        <v>1</v>
      </c>
    </row>
    <row r="191">
      <c r="A191" s="16" t="inlineStr">
        <is>
          <t>14814989;73387888-f9ef-4418-871c-64065a6530b3;;30001085;ussd_funeral_leads_altitude_20260601;;;;;TDN;6;2026-06-11 15:18:10+02;system;2026-06-08 06:47:44+02;2026-06-08 06:47:44+02;;;;;;;;;27828165687;;;;;;;;;;;;;</t>
        </is>
      </c>
      <c r="B191" s="20" t="n">
        <v>1</v>
      </c>
    </row>
    <row r="192">
      <c r="A192" s="16" t="inlineStr">
        <is>
          <t>14814990;d0e9f553-b217-4f5c-b634-344077f4b63e;;30001085;ussd_funeral_leads_altitude_20260601;;;27715891600;;ADC;6;2026-06-12 08:07:42+02;system;2026-06-08 06:47:44+02;2026-06-08 06:47:44+02;;;;;;;;;27715891600;;;;;;;;;;;;;</t>
        </is>
      </c>
      <c r="B192" s="20" t="n">
        <v>1</v>
      </c>
    </row>
    <row r="193">
      <c r="A193" s="16" t="inlineStr">
        <is>
          <t>14814991;ee7acd2f-212c-4151-94eb-0387be4c933d;;30001085;ussd_funeral_leads_altitude_20260601;;;;;NA;6;2026-06-11 15:20:28+02;system;2026-06-08 06:47:44+02;2026-06-08 06:47:44+02;;;;;;;;;27766680522;;;;;;;;;;;;;</t>
        </is>
      </c>
      <c r="B193" s="20" t="n">
        <v>1</v>
      </c>
    </row>
    <row r="194">
      <c r="A194" s="16" t="inlineStr">
        <is>
          <t>14814992;5be6d5d7-6f11-4a2f-ab8a-e8c926397cee;;30001085;ussd_funeral_leads_altitude_20260601;;;;;TDN;6;2026-06-11 15:49:18+02;system;2026-06-08 06:47:44+02;2026-06-08 06:47:44+02;;;;;;;;;27772657842;;;;;;;;;;;;;</t>
        </is>
      </c>
      <c r="B194" s="20" t="n">
        <v>1</v>
      </c>
    </row>
    <row r="195">
      <c r="A195" s="16" t="inlineStr">
        <is>
          <t>14814993;7d33eb30-5a4f-472a-9093-ae6397d9e8b1;;30001085;ussd_funeral_leads_altitude_20260601;;;;;AA;6;2026-06-11 15:49:12+02;system;2026-06-08 06:47:44+02;2026-06-08 06:47:44+02;;;;;;;;;27661386711;;;;;;;;;;;;;</t>
        </is>
      </c>
      <c r="B195" s="20" t="n">
        <v>1</v>
      </c>
    </row>
    <row r="196">
      <c r="A196" s="16" t="inlineStr">
        <is>
          <t>14814994;a82f6147-6ac4-496c-aa2b-24aca92bcece;;30001085;ussd_funeral_leads_altitude_20260601;;;;;AF;3;2026-06-10 09:36:14+02;Gontse Monageng;2026-06-08 06:47:44+02;2026-06-08 06:47:44+02;;;;;;;;;27674611093;;;;;;;;;;;;;</t>
        </is>
      </c>
      <c r="B196" s="20" t="n">
        <v>1</v>
      </c>
    </row>
    <row r="197">
      <c r="A197" s="16" t="inlineStr">
        <is>
          <t>14814995;ec9751a7-4077-4177-8a6b-98fc4ae0548d;;30001085;ussd_funeral_leads_altitude_20260601;;;;;NA;6;2026-06-11 15:49:14+02;system;2026-06-08 06:47:44+02;2026-06-08 06:47:44+02;;;;;;;;;27768541125;;;;;;;;;;;;;</t>
        </is>
      </c>
      <c r="B197" s="20" t="n">
        <v>1</v>
      </c>
    </row>
    <row r="198">
      <c r="A198" s="16" t="inlineStr">
        <is>
          <t>14814996;23efcf2c-bcf9-4d19-8cef-39795d228016;;30001085;ussd_funeral_leads_altitude_20260601;;;;;TDN;6;2026-06-11 15:49:10+02;system;2026-06-08 06:47:44+02;2026-06-08 06:47:44+02;;;;;;;;;27724475320;;;;;;;;;;;;;</t>
        </is>
      </c>
      <c r="B198" s="20" t="n">
        <v>1</v>
      </c>
    </row>
    <row r="199">
      <c r="A199" s="16" t="inlineStr">
        <is>
          <t>14814997;5c0d2259-2e0f-42cf-9e75-47a5666afef2;;30001085;ussd_funeral_leads_altitude_20260601;;;;;CBACK;5;2026-06-11 11:26:57+02;Gontse Monageng;2026-06-08 06:47:44+02;2026-06-08 06:47:44+02;;;;;;;;;27664390955;;;;;;;;;;;;;</t>
        </is>
      </c>
      <c r="B199" s="20" t="n">
        <v>1</v>
      </c>
    </row>
    <row r="200">
      <c r="A200" s="16" t="inlineStr">
        <is>
          <t>14814998;9acf1bdb-02f7-4f80-873c-47a32f174565;;30001085;ussd_funeral_leads_altitude_20260601;;;;;ADC;6;2026-06-11 15:49:09+02;system;2026-06-08 06:47:44+02;2026-06-08 06:47:44+02;;;;;;;;;27728780567;;;;;;;;;;;;;</t>
        </is>
      </c>
      <c r="B200" s="20" t="n">
        <v>1</v>
      </c>
    </row>
    <row r="201">
      <c r="A201" s="16" t="inlineStr">
        <is>
          <t>14814999;993db06d-da9e-43f0-904b-812cc874ab9f;;30001085;ussd_funeral_leads_altitude_20260601;;;;;AE;6;2026-06-11 15:49:04+02;system;2026-06-08 06:47:44+02;2026-06-08 06:47:44+02;;;;;;;;;27774524592;;;;;;;;;;;;;</t>
        </is>
      </c>
      <c r="B201" s="20" t="n">
        <v>1</v>
      </c>
    </row>
    <row r="202">
      <c r="A202" s="16" t="inlineStr">
        <is>
          <t>14815000;2e25f45e-127a-4dbc-b82a-53f3e9b3d0bf;;30001085;ussd_funeral_leads_altitude_20260601;;;;;NA;6;2026-06-11 15:48:59+02;system;2026-06-08 06:47:44+02;2026-06-08 06:47:44+02;;;;;;;;;27795959798;;;;;;;;;;;;;</t>
        </is>
      </c>
      <c r="B202" s="20" t="n">
        <v>1</v>
      </c>
    </row>
    <row r="203">
      <c r="A203" s="16" t="inlineStr">
        <is>
          <t>14815001;58718b37-6f18-4c33-b27a-5959298410f8;;30001085;ussd_funeral_leads_altitude_20260601;;;27772761191;;AE;6;2026-06-11 15:48:55+02;system;2026-06-08 06:47:44+02;2026-06-08 06:47:44+02;;;;;;;;;27772761191;;;;;;;;;;;;;</t>
        </is>
      </c>
      <c r="B203" s="20" t="n">
        <v>1</v>
      </c>
    </row>
    <row r="204">
      <c r="A204" s="16" t="inlineStr">
        <is>
          <t>14815002;c42f76c7-acd5-4825-8097-8048fa6758eb;;30001085;ussd_funeral_leads_altitude_20260601;;;;;CU;6;2026-06-11 15:48:55+02;Virginia Letsatsi;2026-06-08 06:47:44+02;2026-06-08 06:47:44+02;;;;;;;;;27760646448;;;;;;;;;;;;;</t>
        </is>
      </c>
      <c r="B204" s="20" t="n">
        <v>1</v>
      </c>
    </row>
    <row r="205">
      <c r="A205" s="16" t="inlineStr">
        <is>
          <t>14815003;4907ea46-1c38-4b60-9418-fb61f08df29b;;30001085;ussd_funeral_leads_altitude_20260601;;;;;AE;6;2026-06-11 15:47:08+02;system;2026-06-08 06:47:44+02;2026-06-08 06:47:44+02;;;;;;;;;27673805314;;;;;;;;;;;;;</t>
        </is>
      </c>
      <c r="B205" s="20" t="n">
        <v>1</v>
      </c>
    </row>
    <row r="206">
      <c r="A206" s="16" t="inlineStr">
        <is>
          <t>14815004;705db437-ffeb-4809-bf3a-e4061c8fdf5a;;30001085;ussd_funeral_leads_altitude_20260601;;;;;CBACK;1;2026-06-08 09:09:25+02;Gontse Monageng;2026-06-08 06:47:44+02;2026-06-08 06:47:44+02;;;;;;;;;27711479841;;;;;;;;;;;;;</t>
        </is>
      </c>
      <c r="B206" s="20" t="n">
        <v>1</v>
      </c>
    </row>
    <row r="207">
      <c r="A207" s="16" t="inlineStr">
        <is>
          <t>14815005;819955de-6b2f-411b-bdcf-35fcc0d61acd;;30001085;ussd_funeral_leads_altitude_20260601;;;;;ADC;6;2026-06-11 15:47:05+02;system;2026-06-08 06:47:44+02;2026-06-08 06:47:44+02;;;;;;;;;27715716410;;;;;;;;;;;;;</t>
        </is>
      </c>
      <c r="B207" s="20" t="n">
        <v>1</v>
      </c>
    </row>
    <row r="208">
      <c r="A208" s="16" t="inlineStr">
        <is>
          <t>14815006;4cfa78b4-6987-4461-8f42-df127bb3b0b6;;30001085;ussd_funeral_leads_altitude_20260601;;;;;ADC;6;2026-06-11 15:47:01+02;system;2026-06-08 06:47:44+02;2026-06-08 06:47:44+02;;;;;;;;;27714681064;;;;;;;;;;;;;</t>
        </is>
      </c>
      <c r="B208" s="20" t="n">
        <v>1</v>
      </c>
    </row>
    <row r="209">
      <c r="A209" s="16" t="inlineStr">
        <is>
          <t>14815007;a48caceb-0bbe-4323-996b-9ca737570d4f;;30001085;ussd_funeral_leads_altitude_20260601;;;;;NA;6;2026-06-11 15:47:00+02;system;2026-06-08 06:47:44+02;2026-06-08 06:47:44+02;;;;;;;;;27726443638;;;;;;;;;;;;;</t>
        </is>
      </c>
      <c r="B209" s="20" t="n">
        <v>1</v>
      </c>
    </row>
    <row r="210">
      <c r="A210" s="16" t="inlineStr">
        <is>
          <t>14815008;c44f841e-9282-48e7-b58e-e66efd115cf4;;30001085;ussd_funeral_leads_altitude_20260601;;;;;ADC;6;2026-06-11 15:46:52+02;system;2026-06-08 06:47:44+02;2026-06-08 06:47:44+02;;;;;;;;;27661429961;;;;;;;;;;;;;</t>
        </is>
      </c>
      <c r="B210" s="20" t="n">
        <v>1</v>
      </c>
    </row>
    <row r="211">
      <c r="A211" s="16" t="inlineStr">
        <is>
          <t>14815009;848136ee-ab5d-4c8d-a4cd-f655436a5355;;30001085;ussd_funeral_leads_altitude_20260601;;;;;TDN;6;2026-06-11 15:46:43+02;system;2026-06-08 06:47:44+02;2026-06-08 06:47:44+02;;;;;;;;;27665311373;;;;;;;;;;;;;</t>
        </is>
      </c>
      <c r="B211" s="20" t="n">
        <v>1</v>
      </c>
    </row>
    <row r="212">
      <c r="A212" s="16" t="inlineStr">
        <is>
          <t>14815010;4d4c5ffe-cff5-4a73-8f33-33a6d1ce1c88;;30001085;ussd_funeral_leads_altitude_20260601;;;;;TDN;6;2026-06-11 15:46:43+02;system;2026-06-08 06:47:44+02;2026-06-08 06:47:44+02;;;;;;;;;27664538451;;;;;;;;;;;;;</t>
        </is>
      </c>
      <c r="B212" s="20" t="n">
        <v>1</v>
      </c>
    </row>
    <row r="213">
      <c r="A213" s="16" t="inlineStr">
        <is>
          <t>14815011;dfe688a4-263f-4207-a845-28dbd2cb2e39;;30001085;ussd_funeral_leads_altitude_20260601;;;27675788331;;AFTHRS;6;2026-06-19 23:47:10+02;system;2026-06-08 06:47:44+02;2026-06-08 06:47:44+02;;;;;;;;;27675788331;;;;;;;;;;;;;</t>
        </is>
      </c>
      <c r="B213" s="20" t="n">
        <v>1</v>
      </c>
    </row>
    <row r="214">
      <c r="A214" s="16" t="inlineStr">
        <is>
          <t>14815012;5e2bdf94-e8bb-4e4d-b2ff-0bbb95ad8362;;30001085;ussd_funeral_leads_altitude_20260601;;;;;NA;6;2026-06-11 15:46:43+02;system;2026-06-08 06:47:44+02;2026-06-08 06:47:44+02;;;;;;;;;27795528603;;;;;;;;;;;;;</t>
        </is>
      </c>
      <c r="B214" s="20" t="n">
        <v>1</v>
      </c>
    </row>
    <row r="215">
      <c r="A215" s="16" t="inlineStr">
        <is>
          <t>14815013;1e3c081f-d3c9-4ec0-b591-29631fdce633;;30001085;ussd_funeral_leads_altitude_20260601;;;;;EC;5;2026-06-18 09:36:31+02;Gontse Monageng;2026-06-08 06:47:44+02;2026-06-08 06:47:44+02;;;;;;;;;27763342476;;;;;;;;;;;;;</t>
        </is>
      </c>
      <c r="B215" s="20" t="n">
        <v>1</v>
      </c>
    </row>
    <row r="216">
      <c r="A216" s="16" t="inlineStr">
        <is>
          <t>14815014;5c7f4c64-9466-4376-b761-53b4d4ff95e9;;30001085;ussd_funeral_leads_altitude_20260601;;;;;AA;6;2026-06-11 15:46:40+02;system;2026-06-08 06:47:44+02;2026-06-08 06:47:44+02;;;;;;;;;27791986648;;;;;;;;;;;;;</t>
        </is>
      </c>
      <c r="B216" s="20" t="n">
        <v>1</v>
      </c>
    </row>
    <row r="217">
      <c r="A217" s="16" t="inlineStr">
        <is>
          <t>14815015;d11abfb2-515f-4422-a5b6-45491ab3c6fd;;30001085;ussd_funeral_leads_altitude_20260601;;;;;ADC;6;2026-06-11 15:46:21+02;system;2026-06-08 06:47:44+02;2026-06-08 06:47:44+02;;;;;;;;;27675693766;;;;;;;;;;;;;</t>
        </is>
      </c>
      <c r="B217" s="20" t="n">
        <v>1</v>
      </c>
    </row>
    <row r="218">
      <c r="A218" s="16" t="inlineStr">
        <is>
          <t>14815016;d00e8e8c-b569-449b-aa58-ec921d1f7c0d;;30001085;ussd_funeral_leads_altitude_20260601;;;;;AA;6;2026-06-11 15:46:21+02;system;2026-06-08 06:47:44+02;2026-06-08 06:47:44+02;;;;;;;;;27761904676;;;;;;;;;;;;;</t>
        </is>
      </c>
      <c r="B218" s="20" t="n">
        <v>1</v>
      </c>
    </row>
    <row r="219">
      <c r="A219" s="16" t="inlineStr">
        <is>
          <t>14815017;d075c99c-a305-4ced-9f32-a5f8484c15a4;;30001085;ussd_funeral_leads_altitude_20260601;;;;;U;4;2026-06-10 13:50:44+02;Lebohang Mabotja;2026-06-08 06:47:44+02;2026-06-08 06:47:44+02;;;;;;;;;27607230252;;;;;;;;;;;;;</t>
        </is>
      </c>
      <c r="B219" s="20" t="n">
        <v>1</v>
      </c>
    </row>
    <row r="220">
      <c r="A220" s="16" t="inlineStr">
        <is>
          <t>14815018;9ff7bb6b-1191-4a03-80ec-126cf059218e;;30001085;ussd_funeral_leads_altitude_20260601;;;;;ADC;6;2026-06-11 15:10:52+02;system;2026-06-08 06:47:44+02;2026-06-08 06:47:44+02;;;;;;;;;27712425312;;;;;;;;;;;;;</t>
        </is>
      </c>
      <c r="B220" s="20" t="n">
        <v>1</v>
      </c>
    </row>
    <row r="221">
      <c r="A221" s="16" t="inlineStr">
        <is>
          <t>14815019;d8e72e74-26df-4810-b59f-e804a6aa2d5a;;30001085;ussd_funeral_leads_altitude_20260601;;;;;AE;6;2026-06-11 15:10:55+02;system;2026-06-08 06:47:44+02;2026-06-08 06:47:44+02;;;;;;;;;27764033522;;;;;;;;;;;;;</t>
        </is>
      </c>
      <c r="B221" s="20" t="n">
        <v>1</v>
      </c>
    </row>
    <row r="222">
      <c r="A222" s="16" t="inlineStr">
        <is>
          <t>14815020;4ca4939f-19f7-4a3a-9411-ff2483552eab;;30001085;ussd_funeral_leads_altitude_20260601;;;27675753968;;NA;6;2026-06-11 15:46:16+02;system;2026-06-08 06:47:44+02;2026-06-08 06:47:44+02;;;;;;;;;27675753968;;;;;;;;;;;;;</t>
        </is>
      </c>
      <c r="B222" s="20" t="n">
        <v>1</v>
      </c>
    </row>
    <row r="223">
      <c r="A223" s="16" t="inlineStr">
        <is>
          <t>14815021;509ea1d8-7e59-4fed-9899-bbce44a50d02;;30001085;ussd_funeral_leads_altitude_20260601;;;27798752476;;CU;6;2026-06-11 15:46:49+02;Goitsimang Mogwasa;2026-06-08 06:47:44+02;2026-06-08 06:47:44+02;;;;;;;;;27798752476;;;;;;;;;;;;;</t>
        </is>
      </c>
      <c r="B223" s="20" t="n">
        <v>1</v>
      </c>
    </row>
    <row r="224">
      <c r="A224" s="16" t="inlineStr">
        <is>
          <t>14815022;79361318-ec9c-46c8-a3b3-98caadea9891;;30001085;ussd_funeral_leads_altitude_20260601;;;;;CU;27;2026-06-23 14:52:16+02;Goitsimang Mogwasa;2026-06-08 06:47:44+02;2026-06-08 06:47:44+02;;;;;;;;;27767249993;;;;;;;;;;;;;</t>
        </is>
      </c>
      <c r="B224" s="20" t="n">
        <v>1</v>
      </c>
    </row>
    <row r="225">
      <c r="A225" s="16" t="inlineStr">
        <is>
          <t>14815023;f71170af-9fac-44bb-b95c-673c1f581312;;30001085;ussd_funeral_leads_altitude_20260601;;;;;ADC;6;2026-06-11 15:11:09+02;system;2026-06-08 06:47:44+02;2026-06-08 06:47:44+02;;;;;;;;;27772920393;;;;;;;;;;;;;</t>
        </is>
      </c>
      <c r="B225" s="20" t="n">
        <v>1</v>
      </c>
    </row>
    <row r="226">
      <c r="A226" s="16" t="inlineStr">
        <is>
          <t>14815024;2dd53413-c33d-4d24-b11a-4ed08437eaf9;;30001085;ussd_funeral_leads_altitude_20260601;;;;;CU;6;2026-06-11 15:45:50+02;Gontse Monageng;2026-06-08 06:47:44+02;2026-06-08 06:47:44+02;;;;;;;;;27663149648;;;;;;;;;;;;;</t>
        </is>
      </c>
      <c r="B226" s="20" t="n">
        <v>1</v>
      </c>
    </row>
    <row r="227">
      <c r="A227" s="16" t="inlineStr">
        <is>
          <t>14815025;27ce51f1-5b55-43d3-88bd-45bc4f4ebda6;;30001085;ussd_funeral_leads_altitude_20260601;;;;;U;2;2026-06-09 11:39:54+02;Lebohang Mabotja;2026-06-08 06:47:44+02;2026-06-08 06:47:44+02;;;;;;;;;27797774633;;;;;;;;;;;;;</t>
        </is>
      </c>
      <c r="B227" s="20" t="n">
        <v>1</v>
      </c>
    </row>
    <row r="228">
      <c r="A228" s="16" t="inlineStr">
        <is>
          <t>14815026;73c4141e-7944-41a5-a508-3dd1f0c0d547;;30001085;ussd_funeral_leads_altitude_20260601;;;27793299558;;A;7;2026-06-13 09:45:26+02;Virginia Letsatsi;2026-06-08 06:47:44+02;2026-06-08 06:47:44+02;;;;;;;;;27793299558;;;;;;;;;;;;;</t>
        </is>
      </c>
      <c r="B228" s="20" t="n">
        <v>1</v>
      </c>
    </row>
    <row r="229">
      <c r="A229" s="16" t="inlineStr">
        <is>
          <t>14815027;99263a7f-9a76-4510-a86b-28264c8d872b;;30001085;ussd_funeral_leads_altitude_20260601;;;;;AF;4;2026-06-22 11:27:24+02;Goitsimang Mogwasa;2026-06-08 06:47:44+02;2026-06-08 06:47:44+02;;;;;;;;;27725322325;;;;;;;;;;;;;</t>
        </is>
      </c>
      <c r="B229" s="20" t="n">
        <v>1</v>
      </c>
    </row>
    <row r="230">
      <c r="A230" s="16" t="inlineStr">
        <is>
          <t>14815029;0f47809c-0e49-4763-ad3a-3ce8fc23d5ba;;30001085;ussd_funeral_leads_altitude_20260601;;;;;ADC;6;2026-06-11 15:11:09+02;system;2026-06-08 06:47:44+02;2026-06-08 06:47:44+02;;;;;;;;;27765520821;;;;;;;;;;;;;</t>
        </is>
      </c>
      <c r="B230" s="20" t="n">
        <v>1</v>
      </c>
    </row>
    <row r="231">
      <c r="A231" s="16" t="inlineStr">
        <is>
          <t>14815030;75ad8371-1cc8-4b96-b7aa-c7c032e0b0c8;;30001085;ussd_funeral_leads_altitude_20260601;;;;;AA;6;2026-06-11 15:11:15+02;system;2026-06-08 06:47:44+02;2026-06-08 06:47:44+02;;;;;;;;;27609699866;;;;;;;;;;;;;</t>
        </is>
      </c>
      <c r="B231" s="20" t="n">
        <v>1</v>
      </c>
    </row>
    <row r="232">
      <c r="A232" s="16" t="inlineStr">
        <is>
          <t>14815031;8b09f9ab-c08a-46bd-bc5a-f42a412082a4;;30001085;ussd_funeral_leads_altitude_20260601;;;;;TDN;6;2026-06-11 15:11:15+02;system;2026-06-08 06:47:44+02;2026-06-08 06:47:44+02;;;;;;;;;27760243458;;;;;;;;;;;;;</t>
        </is>
      </c>
      <c r="B232" s="20" t="n">
        <v>1</v>
      </c>
    </row>
    <row r="233">
      <c r="A233" s="16" t="inlineStr">
        <is>
          <t>14815032;885d4666-6955-4b8c-bd40-56eca05d09c3;;30001085;ussd_funeral_leads_altitude_20260601;;;;;AA;6;2026-06-11 15:11:17+02;system;2026-06-08 06:47:44+02;2026-06-08 06:47:44+02;;;;;;;;;27661442334;;;;;;;;;;;;;</t>
        </is>
      </c>
      <c r="B233" s="20" t="n">
        <v>1</v>
      </c>
    </row>
    <row r="234">
      <c r="A234" s="16" t="inlineStr">
        <is>
          <t>14815033;4c2db43c-07e3-4b7e-9c76-a0dfa7eddd71;;30001085;ussd_funeral_leads_altitude_20260601;;;;;AE;6;2026-06-11 15:11:27+02;system;2026-06-08 06:47:44+02;2026-06-08 06:47:44+02;;;;;;;;;27725754501;;;;;;;;;;;;;</t>
        </is>
      </c>
      <c r="B234" s="20" t="n">
        <v>1</v>
      </c>
    </row>
    <row r="235">
      <c r="A235" s="16" t="inlineStr">
        <is>
          <t>14815034;74dcdb07-a1c2-4240-a2f9-71acc650e91d;;30001085;ussd_funeral_leads_altitude_20260601;;;;;NA;6;2026-06-11 15:11:32+02;system;2026-06-08 06:47:44+02;2026-06-08 06:47:44+02;;;;;;;;;27795580302;;;;;;;;;;;;;</t>
        </is>
      </c>
      <c r="B235" s="20" t="n">
        <v>1</v>
      </c>
    </row>
    <row r="236">
      <c r="A236" s="16" t="inlineStr">
        <is>
          <t>14815035;0ed9e5d5-865d-41ec-90e2-d20cc4d04efa;;30001085;ussd_funeral_leads_altitude_20260601;;;;;CBACK;5;2026-06-10 16:25:20+02;Gontse Monageng;2026-06-08 06:47:44+02;2026-06-08 06:47:44+02;;;;;;;;;27766694679;;;;;;;;;;;;;</t>
        </is>
      </c>
      <c r="B236" s="20" t="n">
        <v>1</v>
      </c>
    </row>
    <row r="237">
      <c r="A237" s="16" t="inlineStr">
        <is>
          <t>14815036;9d8d4a1d-0128-4d59-b0f5-b7b5783840d6;;30001085;ussd_funeral_leads_altitude_20260601;;;;;NI;1;2026-06-08 15:22:14+02;Vuyiswa Nxumalo;2026-06-08 06:47:44+02;2026-06-08 06:47:44+02;;;;;;;;;27795041409;;;;;;;;;;;;;</t>
        </is>
      </c>
      <c r="B237" s="20" t="n">
        <v>1</v>
      </c>
    </row>
    <row r="238">
      <c r="A238" s="16" t="inlineStr">
        <is>
          <t>14815038;900c52a0-eb7e-46da-8da6-d468fd808143;;30001085;ussd_funeral_leads_altitude_20260601;;;;;ADC;6;2026-06-11 15:11:38+02;system;2026-06-08 06:47:44+02;2026-06-08 06:47:44+02;;;;;;;;;27765398902;;;;;;;;;;;;;</t>
        </is>
      </c>
      <c r="B238" s="20" t="n">
        <v>1</v>
      </c>
    </row>
    <row r="239">
      <c r="A239" s="16" t="inlineStr">
        <is>
          <t>14815039;072d1862-555e-445c-afad-81805ef1d0e6;;30001085;ussd_funeral_leads_altitude_20260601;;;;;CU;13;2026-06-26 14:01:03+02;Gontse Monageng;2026-06-08 06:47:44+02;2026-06-08 06:47:44+02;;;;;;;;;27795759578;;;;;;;;;;;;;</t>
        </is>
      </c>
      <c r="B239" s="20" t="n">
        <v>1</v>
      </c>
    </row>
    <row r="240">
      <c r="A240" s="16" t="inlineStr">
        <is>
          <t>14815040;b350b2ea-adf9-4a54-9c00-4f82bdfde0aa;;30001085;ussd_funeral_leads_altitude_20260601;;;;;ADC;6;2026-06-11 15:11:40+02;system;2026-06-08 06:47:44+02;2026-06-08 06:47:44+02;;;;;;;;;27608122362;;;;;;;;;;;;;</t>
        </is>
      </c>
      <c r="B240" s="20" t="n">
        <v>1</v>
      </c>
    </row>
    <row r="241">
      <c r="A241" s="16" t="inlineStr">
        <is>
          <t>14815041;786c754b-f236-44b1-b938-c5171818c42f;;30001085;ussd_funeral_leads_altitude_20260601;;;;;N;7;2026-06-12 10:13:23+02;Vuyiswa Nxumalo;2026-06-08 06:47:44+02;2026-06-08 06:47:44+02;;;;;;;;;27660397160;;;;;;;;;;;;;</t>
        </is>
      </c>
      <c r="B241" s="20" t="n">
        <v>1</v>
      </c>
    </row>
    <row r="242">
      <c r="A242" s="16" t="inlineStr">
        <is>
          <t>14815042;69ba3060-2f2a-40ca-89d7-1131dd531654;;30001085;ussd_funeral_leads_altitude_20260601;;;;;AE;6;2026-06-11 15:11:47+02;system;2026-06-08 06:47:44+02;2026-06-08 06:47:44+02;;;;;;;;;27722478667;;;;;;;;;;;;;</t>
        </is>
      </c>
      <c r="B242" s="20" t="n">
        <v>1</v>
      </c>
    </row>
    <row r="243">
      <c r="A243" s="16" t="inlineStr">
        <is>
          <t>14815043;7a6b9865-f13d-4b85-871c-2bfaadce6f81;;30001085;ussd_funeral_leads_altitude_20260601;;;;;NA;6;2026-06-11 15:11:47+02;system;2026-06-08 06:47:44+02;2026-06-08 06:47:44+02;;;;;;;;;27722768231;;;;;;;;;;;;;</t>
        </is>
      </c>
      <c r="B243" s="20" t="n">
        <v>1</v>
      </c>
    </row>
    <row r="244">
      <c r="A244" s="16" t="inlineStr">
        <is>
          <t>14815044;98e216db-474f-4631-8a40-34083cfa1f57;;30001085;ussd_funeral_leads_altitude_20260601;;;;;DNQS;1;2026-06-08 14:59:09+02;Virginia Letsatsi;2026-06-08 06:47:44+02;2026-06-08 06:47:44+02;;;;;;;;;27675897223;;;;;;;;;;;;;</t>
        </is>
      </c>
      <c r="B244" s="20" t="n">
        <v>1</v>
      </c>
    </row>
    <row r="245">
      <c r="A245" s="16" t="inlineStr">
        <is>
          <t>14815045;9983f2e1-876f-42ab-b4e0-5f66298e7275;;30001085;ussd_funeral_leads_altitude_20260601;;;;;AE;6;2026-06-11 15:11:48+02;system;2026-06-08 06:47:44+02;2026-06-08 06:47:44+02;;;;;;;;;27720840849;;;;;;;;;;;;;</t>
        </is>
      </c>
      <c r="B245" s="20" t="n">
        <v>1</v>
      </c>
    </row>
    <row r="246">
      <c r="A246" s="16" t="inlineStr">
        <is>
          <t>14815046;f37bc3d9-21b7-4dc4-a825-c25f3edd654e;;30001085;ussd_funeral_leads_altitude_20260601;;;;;CBACK;6;2026-06-11 15:11:51+02;Gontse Monageng;2026-06-08 06:47:44+02;2026-06-08 06:47:44+02;;;;;;;;;27729441534;;;;;;;;;;;;;</t>
        </is>
      </c>
      <c r="B246" s="20" t="n">
        <v>1</v>
      </c>
    </row>
    <row r="247">
      <c r="A247" s="16" t="inlineStr">
        <is>
          <t>14815047;1a13da2d-862d-4313-ae33-636c9112cc84;;30001085;ussd_funeral_leads_altitude_20260601;;;;;AA;6;2026-06-11 15:08:44+02;system;2026-06-08 06:47:44+02;2026-06-08 06:47:44+02;;;;;;;;;27774781894;;;;;;;;;;;;;</t>
        </is>
      </c>
      <c r="B247" s="20" t="n">
        <v>1</v>
      </c>
    </row>
    <row r="248">
      <c r="A248" s="16" t="inlineStr">
        <is>
          <t>14815048;fda72beb-948b-4c64-a336-1d10d01abece;;30001085;ussd_funeral_leads_altitude_20260601;;;;;CU;6;2026-06-11 15:45:27+02;Goitsimang Mogwasa;2026-06-08 06:47:44+02;2026-06-08 06:47:44+02;;;;;;;;;27711820541;;;;;;;;;;;;;</t>
        </is>
      </c>
      <c r="B248" s="20" t="n">
        <v>1</v>
      </c>
    </row>
    <row r="249">
      <c r="A249" s="16" t="inlineStr">
        <is>
          <t>14815049;626c5570-d604-4c77-bf0f-b81fa187c73b;;30001085;ussd_funeral_leads_altitude_20260601;;;;;NA;6;2026-06-11 15:08:45+02;system;2026-06-08 06:47:44+02;2026-06-08 06:47:44+02;;;;;;;;;27726511280;;;;;;;;;;;;;</t>
        </is>
      </c>
      <c r="B249" s="20" t="n">
        <v>1</v>
      </c>
    </row>
    <row r="250">
      <c r="A250" s="16" t="inlineStr">
        <is>
          <t>14815050;7356d975-16a3-4d6b-bc4c-3d14c9c14ab9;;30001085;ussd_funeral_leads_altitude_20260601;;;27729749366;;SELECTED;4;2026-06-10 08:46:05+02;system;2026-06-08 06:47:44+02;2026-06-08 06:47:44+02;;;;;;;;;27729749366;;;;;;;;;;;;;</t>
        </is>
      </c>
      <c r="B250" s="20" t="n">
        <v>1</v>
      </c>
    </row>
    <row r="251">
      <c r="A251" s="16" t="inlineStr">
        <is>
          <t>14815051;2cc8cee7-bb5c-4bed-88b2-9d6950371f8e;;30001085;ussd_funeral_leads_altitude_20260601;;;;;NA;6;2026-06-11 15:08:49+02;system;2026-06-08 06:47:44+02;2026-06-08 06:47:44+02;;;;;;;;;27729276979;;;;;;;;;;;;;</t>
        </is>
      </c>
      <c r="B251" s="20" t="n">
        <v>1</v>
      </c>
    </row>
    <row r="252">
      <c r="A252" s="16" t="inlineStr">
        <is>
          <t>14815052;b937f508-5d74-4b75-b2ca-a1ecfcb8ed84;;30001085;ussd_funeral_leads_altitude_20260601;;;;;CU;6;2026-06-11 15:08:54+02;Gontse Monageng;2026-06-08 06:47:44+02;2026-06-08 06:47:44+02;;;;;;;;;27825953898;;;;;;;;;;;;;</t>
        </is>
      </c>
      <c r="B252" s="20" t="n">
        <v>1</v>
      </c>
    </row>
    <row r="253">
      <c r="A253" s="16" t="inlineStr">
        <is>
          <t>14815053;8a8141ab-03a8-4772-968e-c37e931e78db;;30001085;ussd_funeral_leads_altitude_20260601;;;27722611806;;ADC;6;2026-06-11 15:08:54+02;system;2026-06-08 06:47:44+02;2026-06-08 06:47:44+02;;;;;;;;;27722611806;;;;;;;;;;;;;</t>
        </is>
      </c>
      <c r="B253" s="20" t="n">
        <v>1</v>
      </c>
    </row>
    <row r="254">
      <c r="A254" s="16" t="inlineStr">
        <is>
          <t>14815054;703414c4-8a03-4901-a820-96ccbd33e03d;;30001085;ussd_funeral_leads_altitude_20260601;;;;;AA;6;2026-06-11 15:10:13+02;system;2026-06-08 06:47:44+02;2026-06-08 06:47:44+02;;;;;;;;;27824003199;;;;;;;;;;;;;</t>
        </is>
      </c>
      <c r="B254" s="20" t="n">
        <v>1</v>
      </c>
    </row>
    <row r="255">
      <c r="A255" s="16" t="inlineStr">
        <is>
          <t>14815055;66e1e5f5-4233-4492-93ff-84a9bc0f9e9b;;30001085;ussd_funeral_leads_altitude_20260601;;;;;CUA;6;2026-06-11 15:11:52+02;Lebohang Mabotja;2026-06-08 06:47:44+02;2026-06-08 06:47:44+02;;;;;;;;;27794171856;;;;;;;;;;;;;</t>
        </is>
      </c>
      <c r="B255" s="20" t="n">
        <v>1</v>
      </c>
    </row>
    <row r="256">
      <c r="A256" s="16" t="inlineStr">
        <is>
          <t>14815056;a3dd040a-0264-4117-a188-319bee5e3e5c;;30001085;ussd_funeral_leads_altitude_20260601;;;;;AA;6;2026-06-11 15:10:16+02;system;2026-06-08 06:47:44+02;2026-06-08 06:47:44+02;;;;;;;;;27797080590;;;;;;;;;;;;;</t>
        </is>
      </c>
      <c r="B256" s="20" t="n">
        <v>1</v>
      </c>
    </row>
    <row r="257">
      <c r="A257" s="16" t="inlineStr">
        <is>
          <t>14815057;d18bd496-0cfa-4e56-b7f3-48e725e4a1d9;;30001085;ussd_funeral_leads_altitude_20260601;;;;;CUA;1;2026-06-08 12:10:13+02;Lebohang Mabotja;2026-06-08 06:47:44+02;2026-06-08 06:47:44+02;;;;;;;;;27774269032;;;;;;;;;;;;;</t>
        </is>
      </c>
      <c r="B257" s="20" t="n">
        <v>1</v>
      </c>
    </row>
    <row r="258">
      <c r="A258" s="16" t="inlineStr">
        <is>
          <t>14815058;091385c4-beef-4c22-b61e-7ed39bb30191;;30001085;ussd_funeral_leads_altitude_20260601;;;;;AA;6;2026-06-11 15:11:55+02;system;2026-06-08 06:47:44+02;2026-06-08 06:47:44+02;;;;;;;;;27767144586;;;;;;;;;;;;;</t>
        </is>
      </c>
      <c r="B258" s="20" t="n">
        <v>1</v>
      </c>
    </row>
    <row r="259">
      <c r="A259" s="16" t="inlineStr">
        <is>
          <t>14815059;200e5efc-4281-4860-99dd-abe7b6a0809e;;30001085;ussd_funeral_leads_altitude_20260601;;;;;CU;6;2026-06-11 15:10:20+02;Lebohang Mabotja;2026-06-08 06:47:44+02;2026-06-08 06:47:44+02;;;;;;;;;27663235606;;;;;;;;;;;;;</t>
        </is>
      </c>
      <c r="B259" s="20" t="n">
        <v>1</v>
      </c>
    </row>
    <row r="260">
      <c r="A260" s="16" t="inlineStr">
        <is>
          <t>14815060;96cd9e8e-262f-41f0-8d79-d7c8dc9299eb;;30001085;ussd_funeral_leads_altitude_20260601;;;;;AA;6;2026-06-11 15:10:21+02;system;2026-06-08 06:47:44+02;2026-06-08 06:47:44+02;;;;;;;;;27762933779;;;;;;;;;;;;;</t>
        </is>
      </c>
      <c r="B260" s="20" t="n">
        <v>1</v>
      </c>
    </row>
    <row r="261">
      <c r="A261" s="16" t="inlineStr">
        <is>
          <t>14815061;f8ce1d11-69de-4e6a-9e47-17801c6c9744;;30001085;ussd_funeral_leads_altitude_20260601;;;;;AA;6;2026-06-11 15:07:12+02;system;2026-06-08 06:47:44+02;2026-06-08 06:47:44+02;;;;;;;;;27647988484;;;;;;;;;;;;;</t>
        </is>
      </c>
      <c r="B261" s="20" t="n">
        <v>1</v>
      </c>
    </row>
    <row r="262">
      <c r="A262" s="16" t="inlineStr">
        <is>
          <t>14815062;14cfc96c-b6bf-44e2-9390-3a3532e5b7a5;;30001085;ussd_funeral_leads_altitude_20260601;;;;;NA;6;2026-06-11 15:07:17+02;system;2026-06-08 06:47:44+02;2026-06-08 06:47:44+02;;;;;;;;;27729078890;;;;;;;;;;;;;</t>
        </is>
      </c>
      <c r="B262" s="20" t="n">
        <v>1</v>
      </c>
    </row>
    <row r="263">
      <c r="A263" s="16" t="inlineStr">
        <is>
          <t>14815063;d86455ea-5526-4cc7-adb3-689b38bb94d7;;30001085;ussd_funeral_leads_altitude_20260601;;;;;A;6;2026-06-12 10:08:25+02;Vuyiswa Nxumalo;2026-06-08 06:47:44+02;2026-06-08 06:47:44+02;;;;;;;;;27674528216;;;;;;;;;;;;;</t>
        </is>
      </c>
      <c r="B263" s="20" t="n">
        <v>1</v>
      </c>
    </row>
    <row r="264">
      <c r="A264" s="16" t="inlineStr">
        <is>
          <t>14815064;3ca0c110-82c7-4abe-9ffb-be58e02a328f;;30001085;ussd_funeral_leads_altitude_20260601;;;;;AA;6;2026-06-11 15:07:17+02;system;2026-06-08 06:47:44+02;2026-06-08 06:47:44+02;;;;;;;;;27794950077;;;;;;;;;;;;;</t>
        </is>
      </c>
      <c r="B264" s="20" t="n">
        <v>1</v>
      </c>
    </row>
    <row r="265">
      <c r="A265" s="16" t="inlineStr">
        <is>
          <t>14815065;1db27e1f-6749-47ab-80d5-5812fec86b73;;30001085;ussd_funeral_leads_altitude_20260601;;;;;DROP;6;2026-06-11 15:07:18+02;system;2026-06-08 06:47:44+02;2026-06-08 06:47:44+02;;;;;;;;;27795437789;;;;;;;;;;;;;</t>
        </is>
      </c>
      <c r="B265" s="20" t="n">
        <v>1</v>
      </c>
    </row>
    <row r="266">
      <c r="A266" s="16" t="inlineStr">
        <is>
          <t>14815066;feac7bae-0744-4ea7-b423-dbc7f8696b6c;;30001085;ussd_funeral_leads_altitude_20260601;;;;;DROP;6;2026-06-11 15:10:26+02;system;2026-06-08 06:47:44+02;2026-06-08 06:47:44+02;;;;;;;;;27665910738;;;;;;;;;;;;;</t>
        </is>
      </c>
      <c r="B266" s="20" t="n">
        <v>1</v>
      </c>
    </row>
    <row r="267">
      <c r="A267" s="16" t="inlineStr">
        <is>
          <t>14815067;154c12dd-6220-433f-925c-21ed0a9758a2;;30001085;ussd_funeral_leads_altitude_20260601;;;;;NA;6;2026-06-11 15:12:02+02;system;2026-06-08 06:47:44+02;2026-06-08 06:47:44+02;;;;;;;;;27649199454;;;;;;;;;;;;;</t>
        </is>
      </c>
      <c r="B267" s="20" t="n">
        <v>1</v>
      </c>
    </row>
    <row r="268">
      <c r="A268" s="16" t="inlineStr">
        <is>
          <t>14815068;68f6c848-1d5b-4dd8-8a43-fadd729553eb;;30001085;ussd_funeral_leads_altitude_20260601;;;;;CUA;6;2026-06-11 09:43:19+02;Vuyiswa Nxumalo;2026-06-08 06:47:44+02;2026-06-08 06:47:44+02;;;;;;;;;27723818582;;;;;;;;;;;;;</t>
        </is>
      </c>
      <c r="B268" s="20" t="n">
        <v>1</v>
      </c>
    </row>
    <row r="269">
      <c r="A269" s="16" t="inlineStr">
        <is>
          <t>14815069;855e09ad-e59c-461c-b771-63263c726780;;30001085;ussd_funeral_leads_altitude_20260601;;;;;NI;3;2026-06-10 11:49:29+02;Lebohang Mabotja;2026-06-08 06:47:44+02;2026-06-08 06:47:44+02;;;;;;;;;27848197008;;;;;;;;;;;;;</t>
        </is>
      </c>
      <c r="B269" s="20" t="n">
        <v>1</v>
      </c>
    </row>
    <row r="270">
      <c r="A270" s="16" t="inlineStr">
        <is>
          <t>14815070;ea28bc27-66d0-4acc-b316-008353d29dc7;;30001085;ussd_funeral_leads_altitude_20260601;;;;;NA;6;2026-06-11 15:45:23+02;system;2026-06-08 06:47:44+02;2026-06-08 06:47:44+02;;;;;;;;;27606535856;;;;;;;;;;;;;</t>
        </is>
      </c>
      <c r="B270" s="20" t="n">
        <v>1</v>
      </c>
    </row>
    <row r="271">
      <c r="A271" s="16" t="inlineStr">
        <is>
          <t>14815071;e9ff28ca-9d47-41d2-86b2-2e02bb230745;;30001085;ussd_funeral_leads_altitude_20260601;;;;;AA;6;2026-06-17 08:54:21+02;system;2026-06-08 06:47:44+02;2026-06-08 06:47:44+02;;;;;;;;;27795015211;;;;;;;;;;;;;</t>
        </is>
      </c>
      <c r="B271" s="20" t="n">
        <v>1</v>
      </c>
    </row>
    <row r="272">
      <c r="A272" s="16" t="inlineStr">
        <is>
          <t>14815072;c50ae23c-c71b-4f14-b5e1-cce1d13a0a0e;;30001085;ussd_funeral_leads_altitude_20260601;;;;;AF;1;2026-06-08 14:59:22+02;Gontse Monageng;2026-06-08 06:47:44+02;2026-06-08 06:47:44+02;;;;;;;;;27712159327;;;;;;;;;;;;;</t>
        </is>
      </c>
      <c r="B272" s="20" t="n">
        <v>1</v>
      </c>
    </row>
    <row r="273">
      <c r="A273" s="16" t="inlineStr">
        <is>
          <t>14815073;34115369-b9a8-466a-ae88-1b6e7061902f;;30001085;ussd_funeral_leads_altitude_20260601;;;;;CU;6;2026-06-11 14:27:24+02;Goitsimang Mogwasa;2026-06-08 06:47:44+02;2026-06-08 06:47:44+02;;;;;;;;;27761301645;;;;;;;;;;;;;</t>
        </is>
      </c>
      <c r="B273" s="20" t="n">
        <v>1</v>
      </c>
    </row>
    <row r="274">
      <c r="A274" s="16" t="inlineStr">
        <is>
          <t>14815074;c9a3d6b8-691a-48a5-8918-4b3db4407108;;30001085;ussd_funeral_leads_altitude_20260601;;;;;AE;6;2026-06-11 15:44:40+02;system;2026-06-08 06:47:44+02;2026-06-08 06:47:44+02;;;;;;;;;27720865973;;;;;;;;;;;;;</t>
        </is>
      </c>
      <c r="B274" s="20" t="n">
        <v>1</v>
      </c>
    </row>
    <row r="275">
      <c r="A275" s="16" t="inlineStr">
        <is>
          <t>14815075;5c5f27de-f542-4717-b186-9fdadfa213bd;;30001085;ussd_funeral_leads_altitude_20260601;;;;;AF;6;2026-06-11 15:44:34+02;Vuyiswa Nxumalo;2026-06-08 06:47:44+02;2026-06-08 06:47:44+02;;;;;;;;;27767570205;;;;;;;;;;;;;</t>
        </is>
      </c>
      <c r="B275" s="20" t="n">
        <v>1</v>
      </c>
    </row>
    <row r="276">
      <c r="A276" s="16" t="inlineStr">
        <is>
          <t>14815076;1174281a-2065-4ba8-a78a-33a292b78dbd;;30001085;ussd_funeral_leads_altitude_20260601;;;;;QAVER;4;2026-06-10 12:49:09+02;Gontse Monageng;2026-06-08 06:47:44+02;2026-06-08 06:47:44+02;;;;;;;;;27799234916;;;;;;;;;;;;;</t>
        </is>
      </c>
      <c r="B276" s="20" t="n">
        <v>1</v>
      </c>
    </row>
    <row r="277">
      <c r="A277" s="16" t="inlineStr">
        <is>
          <t>14815077;977fba64-5a42-411b-b0e0-13238f3ad40e;;30001085;ussd_funeral_leads_altitude_20260601;;;;;NA;6;2026-06-11 15:44:24+02;system;2026-06-08 06:47:44+02;2026-06-08 06:47:44+02;;;;;;;;;27727249462;;;;;;;;;;;;;</t>
        </is>
      </c>
      <c r="B277" s="20" t="n">
        <v>1</v>
      </c>
    </row>
    <row r="278">
      <c r="A278" s="16" t="inlineStr">
        <is>
          <t>14815078;2d9d2eb9-0150-4382-9475-efa8409da2b2;;30001085;ussd_funeral_leads_altitude_20260601;;;;;CBACK;3;2026-06-10 08:46:19+02;Gontse Monageng;2026-06-08 06:47:44+02;2026-06-08 06:47:44+02;;;;;;;;;27636085677;;;;;;;;;;;;;</t>
        </is>
      </c>
      <c r="B278" s="20" t="n">
        <v>1</v>
      </c>
    </row>
    <row r="279">
      <c r="A279" s="16" t="inlineStr">
        <is>
          <t>14815079;978ace02-cbd5-483c-9e3d-26f2f62f1d35;;30001085;ussd_funeral_leads_altitude_20260601;;;;;TDN;6;2026-06-11 15:44:24+02;system;2026-06-08 06:47:44+02;2026-06-08 06:47:44+02;;;;;;;;;27763775433;;;;;;;;;;;;;</t>
        </is>
      </c>
      <c r="B279" s="20" t="n">
        <v>1</v>
      </c>
    </row>
    <row r="280">
      <c r="A280" s="16" t="inlineStr">
        <is>
          <t>14815080;3456995d-c02d-4e08-a926-aa8d431752b3;;30001085;ussd_funeral_leads_altitude_20260601;;;;;CU;6;2026-06-11 15:04:49+02;Lebohang Mabotja;2026-06-08 06:47:44+02;2026-06-08 06:47:44+02;;;;;;;;;27769579450;;;;;;;;;;;;;</t>
        </is>
      </c>
      <c r="B280" s="20" t="n">
        <v>1</v>
      </c>
    </row>
    <row r="281">
      <c r="A281" s="16" t="inlineStr">
        <is>
          <t>14815081;886b4b54-73ee-41e3-bf8b-d73987d58f48;;30001085;ussd_funeral_leads_altitude_20260601;;;;;ADC;6;2026-06-12 08:07:42+02;system;2026-06-08 06:47:44+02;2026-06-08 06:47:44+02;;;;;;;;;27729282127;;;;;;;;;;;;;</t>
        </is>
      </c>
      <c r="B281" s="20" t="n">
        <v>1</v>
      </c>
    </row>
    <row r="282">
      <c r="A282" s="16" t="inlineStr">
        <is>
          <t>14815082;44ab28a7-555f-4881-aada-36eb15e99114;;30001085;ussd_funeral_leads_altitude_20260601;;;;;NA;6;2026-06-11 15:04:54+02;system;2026-06-08 06:47:44+02;2026-06-08 06:47:44+02;;;;;;;;;27646984265;;;;;;;;;;;;;</t>
        </is>
      </c>
      <c r="B282" s="20" t="n">
        <v>1</v>
      </c>
    </row>
    <row r="283">
      <c r="A283" s="16" t="inlineStr">
        <is>
          <t>14815084;1740c849-dd1f-4281-8dd7-0fc311fbd24d;;30001085;ussd_funeral_leads_altitude_20260601;;;;;NA;6;2026-06-11 15:05:45+02;system;2026-06-08 06:47:44+02;2026-06-08 06:47:44+02;;;;;;;;;27637692780;;;;;;;;;;;;;</t>
        </is>
      </c>
      <c r="B283" s="20" t="n">
        <v>1</v>
      </c>
    </row>
    <row r="284">
      <c r="A284" s="16" t="inlineStr">
        <is>
          <t>14815085;2a998f97-1fed-4d52-9e94-eae4ec1084cf;;30001085;ussd_funeral_leads_altitude_20260601;;;;;AA;6;2026-06-11 15:05:45+02;system;2026-06-08 06:47:44+02;2026-06-08 06:47:44+02;;;;;;;;;27712734424;;;;;;;;;;;;;</t>
        </is>
      </c>
      <c r="B284" s="20" t="n">
        <v>1</v>
      </c>
    </row>
    <row r="285">
      <c r="A285" s="16" t="inlineStr">
        <is>
          <t>14815086;c247bc7a-f659-4d25-9251-e315c8d5df98;;30001085;ussd_funeral_leads_altitude_20260601;;;;;AA;6;2026-06-11 15:05:50+02;system;2026-06-08 06:47:44+02;2026-06-08 06:47:44+02;;;;;;;;;27769740997;;;;;;;;;;;;;</t>
        </is>
      </c>
      <c r="B285" s="20" t="n">
        <v>1</v>
      </c>
    </row>
    <row r="286">
      <c r="A286" s="16" t="inlineStr">
        <is>
          <t>14815087;c1e95de0-cc4e-4c48-9381-6916f2a943a0;;30001085;ussd_funeral_leads_altitude_20260601;;;;;BLQ;6;2026-06-15 16:37:55+02;Virginia Letsatsi;2026-06-08 06:47:44+02;2026-06-08 06:47:44+02;;;;;;;;;27715617914;;;;;;;;;;;;;</t>
        </is>
      </c>
      <c r="B286" s="20" t="n">
        <v>1</v>
      </c>
    </row>
    <row r="287">
      <c r="A287" s="16" t="inlineStr">
        <is>
          <t>14815088;a1f4793f-7aad-4f41-913b-7702c76c0ab7;;30001085;ussd_funeral_leads_altitude_20260601;;;;;AA;6;2026-06-11 15:06:02+02;system;2026-06-08 06:47:44+02;2026-06-08 06:47:44+02;;;;;;;;;27715335100;;;;;;;;;;;;;</t>
        </is>
      </c>
      <c r="B287" s="20" t="n">
        <v>1</v>
      </c>
    </row>
    <row r="288">
      <c r="A288" s="16" t="inlineStr">
        <is>
          <t>14815089;cd9588f4-29ba-4a72-9708-75806d63ffff;;30001085;ussd_funeral_leads_altitude_20260601;;;;;NA;6;2026-06-11 15:03:14+02;system;2026-06-08 06:47:44+02;2026-06-08 06:47:44+02;;;;;;;;;27723673403;;;;;;;;;;;;;</t>
        </is>
      </c>
      <c r="B288" s="20" t="n">
        <v>1</v>
      </c>
    </row>
    <row r="289">
      <c r="A289" s="16" t="inlineStr">
        <is>
          <t>14815090;89d373c4-495d-401e-809b-f94e8d9c8e52;;30001085;ussd_funeral_leads_altitude_20260601;;;;;AA;6;2026-06-11 15:03:13+02;system;2026-06-08 06:47:44+02;2026-06-08 06:47:44+02;;;;;;;;;27661019870;;;;;;;;;;;;;</t>
        </is>
      </c>
      <c r="B289" s="20" t="n">
        <v>1</v>
      </c>
    </row>
    <row r="290">
      <c r="A290" s="16" t="inlineStr">
        <is>
          <t>14815091;32387d52-fd73-4933-ac75-422c2ca9fd53;;30001085;ussd_funeral_leads_altitude_20260601;;;;;AA;6;2026-06-11 15:03:28+02;system;2026-06-08 06:47:44+02;2026-06-08 06:47:44+02;;;;;;;;;27767574081;;;;;;;;;;;;;</t>
        </is>
      </c>
      <c r="B290" s="20" t="n">
        <v>1</v>
      </c>
    </row>
    <row r="291">
      <c r="A291" s="16" t="inlineStr">
        <is>
          <t>14815092;1f5ae5cb-5622-4fde-ae8b-3d87cdb9bd12;;30001085;ussd_funeral_leads_altitude_20260601;;;;;AA;6;2026-06-11 15:04:08+02;system;2026-06-08 06:47:44+02;2026-06-08 06:47:44+02;;;;;;;;;27715595506;;;;;;;;;;;;;</t>
        </is>
      </c>
      <c r="B291" s="20" t="n">
        <v>1</v>
      </c>
    </row>
    <row r="292">
      <c r="A292" s="16" t="inlineStr">
        <is>
          <t>14815093;96536189-83e1-4b1f-bad6-30e1d50c5530;;30001085;ussd_funeral_leads_altitude_20260601;;;;;AA;6;2026-06-11 15:04:14+02;system;2026-06-08 06:47:44+02;2026-06-08 06:47:44+02;;;;;;;;;27765949715;;;;;;;;;;;;;</t>
        </is>
      </c>
      <c r="B292" s="20" t="n">
        <v>1</v>
      </c>
    </row>
    <row r="293">
      <c r="A293" s="16" t="inlineStr">
        <is>
          <t>14815094;dcd572c1-e132-48f9-8b8a-fbd1f41a5466;;30001085;ussd_funeral_leads_altitude_20260601;;;;;AA;6;2026-06-11 15:04:21+02;system;2026-06-08 06:47:44+02;2026-06-08 06:47:44+02;;;;;;;;;27799791053;;;;;;;;;;;;;</t>
        </is>
      </c>
      <c r="B293" s="20" t="n">
        <v>1</v>
      </c>
    </row>
    <row r="294">
      <c r="A294" s="16" t="inlineStr">
        <is>
          <t>14815095;be15406d-61ec-4a24-b4f7-8b5ae12f3af8;;30001085;ussd_funeral_leads_altitude_20260601;;;27715597628;;AA;6;2026-06-11 15:04:33+02;system;2026-06-08 06:47:44+02;2026-06-08 06:47:44+02;;;;;;;;;27715597628;;;;;;;;;;;;;</t>
        </is>
      </c>
      <c r="B294" s="20" t="n">
        <v>1</v>
      </c>
    </row>
    <row r="295">
      <c r="A295" s="16" t="inlineStr">
        <is>
          <t>14815096;d5d72666-adfb-45f0-a286-c69e715ba4ed;;30001085;ussd_funeral_leads_altitude_20260601;;;;;AA;6;2026-06-11 15:04:42+02;system;2026-06-08 06:47:44+02;2026-06-08 06:47:44+02;;;;;;;;;27674762909;;;;;;;;;;;;;</t>
        </is>
      </c>
      <c r="B295" s="20" t="n">
        <v>1</v>
      </c>
    </row>
    <row r="296">
      <c r="A296" s="16" t="inlineStr">
        <is>
          <t>14815097;be7f1cb1-edea-440f-b3ee-52073c330519;;30001085;ussd_funeral_leads_altitude_20260601;;;;;AA;6;2026-06-11 15:06:24+02;system;2026-06-08 06:47:44+02;2026-06-08 06:47:44+02;;;;;;;;;27713083935;;;;;;;;;;;;;</t>
        </is>
      </c>
      <c r="B296" s="20" t="n">
        <v>1</v>
      </c>
    </row>
    <row r="297">
      <c r="A297" s="16" t="inlineStr">
        <is>
          <t>14815098;350fb17d-fd72-4c7c-b60d-4c43742c1fbb;;30001085;ussd_funeral_leads_altitude_20260601;;;;;A;6;2026-06-11 14:39:52+02;Virginia Letsatsi;2026-06-08 06:47:44+02;2026-06-08 06:47:44+02;;;;;;;;;27728295218;;;;;;;;;;;;;</t>
        </is>
      </c>
      <c r="B297" s="20" t="n">
        <v>1</v>
      </c>
    </row>
    <row r="298">
      <c r="A298" s="16" t="inlineStr">
        <is>
          <t>14815099;ed80ede6-4f87-4358-bcd2-b3985cbf3eba;;30001085;ussd_funeral_leads_altitude_20260601;;;;;AA;6;2026-06-11 15:06:29+02;system;2026-06-08 06:47:44+02;2026-06-08 06:47:44+02;;;;;;;;;27729178588;;;;;;;;;;;;;</t>
        </is>
      </c>
      <c r="B298" s="20" t="n">
        <v>1</v>
      </c>
    </row>
    <row r="299">
      <c r="A299" s="16" t="inlineStr">
        <is>
          <t>14815100;0d518d3c-a34f-4962-aab4-daf4c25bd001;;30001085;ussd_funeral_leads_altitude_20260601;;;;;AF;2;2026-06-09 11:23:12+02;Vuyiswa Nxumalo;2026-06-08 06:47:44+02;2026-06-08 06:47:44+02;;;;;;;;;27722441477;;;;;;;;;;;;;</t>
        </is>
      </c>
      <c r="B299" s="20" t="n">
        <v>1</v>
      </c>
    </row>
    <row r="300">
      <c r="A300" s="16" t="inlineStr">
        <is>
          <t>14815101;efb62f5e-141d-47d8-8ccd-045c15f87799;;30001085;ussd_funeral_leads_altitude_20260601;;;;;AA;6;2026-06-11 15:44:17+02;system;2026-06-08 06:47:44+02;2026-06-08 06:47:44+02;;;;;;;;;27713945515;;;;;;;;;;;;;</t>
        </is>
      </c>
      <c r="B300" s="20" t="n">
        <v>1</v>
      </c>
    </row>
    <row r="301">
      <c r="A301" s="16" t="inlineStr">
        <is>
          <t>14815102;db60d348-3335-4cb3-8612-24a044e08b1c;;30001085;ussd_funeral_leads_altitude_20260601;;;;;NA;6;2026-06-11 15:44:16+02;system;2026-06-08 06:47:44+02;2026-06-08 06:47:44+02;;;;;;;;;27765036736;;;;;;;;;;;;;</t>
        </is>
      </c>
      <c r="B301" s="20" t="n">
        <v>1</v>
      </c>
    </row>
    <row r="302">
      <c r="A302" s="16" t="inlineStr">
        <is>
          <t>14815103;a31a24ee-0495-414f-9a39-9d8a0c7fc683;;30001085;ussd_funeral_leads_altitude_20260601;;;;;NA;6;2026-06-11 15:44:16+02;system;2026-06-08 06:47:44+02;2026-06-08 06:47:44+02;;;;;;;;;27715818983;;;;;;;;;;;;;</t>
        </is>
      </c>
      <c r="B302" s="20" t="n">
        <v>1</v>
      </c>
    </row>
    <row r="303">
      <c r="A303" s="16" t="inlineStr">
        <is>
          <t>14815104;a2d89136-7cf2-4467-a299-c7bb97e20180;;30001085;ussd_funeral_leads_altitude_20260601;;;;;A;6;2026-06-11 10:23:58+02;Virginia Letsatsi;2026-06-08 06:47:44+02;2026-06-08 06:47:44+02;;;;;;;;;27660198701;;;;;;;;;;;;;</t>
        </is>
      </c>
      <c r="B303" s="20" t="n">
        <v>1</v>
      </c>
    </row>
    <row r="304">
      <c r="A304" s="16" t="inlineStr">
        <is>
          <t>14815105;6fbf721f-df53-480f-a979-e22552da6ba9;;30001085;ussd_funeral_leads_altitude_20260601;;;;;AA;6;2026-06-11 15:44:11+02;system;2026-06-08 06:47:44+02;2026-06-08 06:47:44+02;;;;;;;;;27713224776;;;;;;;;;;;;;</t>
        </is>
      </c>
      <c r="B304" s="20" t="n">
        <v>1</v>
      </c>
    </row>
    <row r="305">
      <c r="A305" s="16" t="inlineStr">
        <is>
          <t>14815106;7b53172c-0d11-47d6-aaa3-1380a248fd2f;;30001085;ussd_funeral_leads_altitude_20260601;;;;;CU;6;2026-06-11 15:38:42+02;Gontse Monageng;2026-06-08 06:47:44+02;2026-06-08 06:47:44+02;;;;;;;;;27646653466;;;;;;;;;;;;;</t>
        </is>
      </c>
      <c r="B305" s="20" t="n">
        <v>1</v>
      </c>
    </row>
    <row r="306">
      <c r="A306" s="16" t="inlineStr">
        <is>
          <t>14815107;e18dc7d4-76ee-4312-9512-f1866419c4f5;;30001085;ussd_funeral_leads_altitude_20260601;;;;;ADC;6;2026-06-11 15:38:38+02;system;2026-06-08 06:47:44+02;2026-06-08 06:47:44+02;;;;;;;;;27772859927;;;;;;;;;;;;;</t>
        </is>
      </c>
      <c r="B306" s="20" t="n">
        <v>1</v>
      </c>
    </row>
    <row r="307">
      <c r="A307" s="16" t="inlineStr">
        <is>
          <t>14815108;7ea27abb-8af3-4e74-9c4d-8859390117ff;;30001085;ussd_funeral_leads_altitude_20260601;;;;;ADC;6;2026-06-11 15:38:38+02;system;2026-06-08 06:47:44+02;2026-06-08 06:47:44+02;;;;;;;;;27765526943;;;;;;;;;;;;;</t>
        </is>
      </c>
      <c r="B307" s="20" t="n">
        <v>1</v>
      </c>
    </row>
    <row r="308">
      <c r="A308" s="16" t="inlineStr">
        <is>
          <t>14815110;541efa4a-4455-4b3f-92f5-06624c834400;;30001085;ussd_funeral_leads_altitude_20260601;;;;;NA;6;2026-06-11 15:38:38+02;system;2026-06-08 06:47:44+02;2026-06-08 06:47:44+02;;;;;;;;;27799330178;;;;;;;;;;;;;</t>
        </is>
      </c>
      <c r="B308" s="20" t="n">
        <v>1</v>
      </c>
    </row>
    <row r="309">
      <c r="A309" s="16" t="inlineStr">
        <is>
          <t>14815111;f379997d-9f6c-48b4-953c-1add8f5bface;;30001085;ussd_funeral_leads_altitude_20260601;;;;;AA;6;2026-06-11 15:38:31+02;system;2026-06-08 06:47:44+02;2026-06-08 06:47:44+02;;;;;;;;;27606302555;;;;;;;;;;;;;</t>
        </is>
      </c>
      <c r="B309" s="20" t="n">
        <v>1</v>
      </c>
    </row>
    <row r="310">
      <c r="A310" s="16" t="inlineStr">
        <is>
          <t>14815112;a3184bcf-fb0e-4109-856a-3dd2abb24c11;;30001085;ussd_funeral_leads_altitude_20260601;;;;;AA;6;2026-06-11 15:38:16+02;system;2026-06-08 06:47:44+02;2026-06-08 06:47:44+02;;;;;;;;;27609495613;;;;;;;;;;;;;</t>
        </is>
      </c>
      <c r="B310" s="20" t="n">
        <v>1</v>
      </c>
    </row>
    <row r="311">
      <c r="A311" s="16" t="inlineStr">
        <is>
          <t>14815113;90affaa6-075b-4d3d-83b7-c170c6595e40;;30001085;ussd_funeral_leads_altitude_20260601;;;;;AA;6;2026-06-11 15:38:11+02;system;2026-06-08 06:47:44+02;2026-06-08 06:47:44+02;;;;;;;;;27796126000;;;;;;;;;;;;;</t>
        </is>
      </c>
      <c r="B311" s="20" t="n">
        <v>1</v>
      </c>
    </row>
    <row r="312">
      <c r="A312" s="16" t="inlineStr">
        <is>
          <t>14815114;c487a3cd-2da4-41bc-8bc7-a48098d2d952;;30001085;ussd_funeral_leads_altitude_20260601;;;;;CU;6;2026-06-11 15:38:01+02;Vuyiswa Nxumalo;2026-06-08 06:47:44+02;2026-06-08 06:47:44+02;;;;;;;;;27764782063;;;;;;;;;;;;;</t>
        </is>
      </c>
      <c r="B312" s="20" t="n">
        <v>1</v>
      </c>
    </row>
    <row r="313">
      <c r="A313" s="16" t="inlineStr">
        <is>
          <t>14815115;4b67ba9d-c67e-4953-a022-33b0dfc96cdc;;30001085;ussd_funeral_leads_altitude_20260601;;;;;ADC;6;2026-06-11 15:37:53+02;system;2026-06-08 06:47:44+02;2026-06-08 06:47:44+02;;;;;;;;;27768424345;;;;;;;;;;;;;</t>
        </is>
      </c>
      <c r="B313" s="20" t="n">
        <v>1</v>
      </c>
    </row>
    <row r="314">
      <c r="A314" s="16" t="inlineStr">
        <is>
          <t>14815116;2d8bde73-ca36-48b8-9ee1-516d75f0535e;;30001085;ussd_funeral_leads_altitude_20260601;;;;;CU;6;2026-06-11 15:42:32+02;Gontse Monageng;2026-06-08 06:47:44+02;2026-06-08 06:47:44+02;;;;;;;;;27648049210;;;;;;;;;;;;;</t>
        </is>
      </c>
      <c r="B314" s="20" t="n">
        <v>1</v>
      </c>
    </row>
    <row r="315">
      <c r="A315" s="16" t="inlineStr">
        <is>
          <t>14815118;971ab33c-d346-4836-9887-81fdae16f92a;;30001085;ussd_funeral_leads_altitude_20260601;;;;;U;2;2026-06-09 11:18:36+02;Vuyiswa Nxumalo;2026-06-08 06:47:44+02;2026-06-08 06:47:44+02;;;;;;;;;27765673565;;;;;;;;;;;;;</t>
        </is>
      </c>
      <c r="B315" s="20" t="n">
        <v>1</v>
      </c>
    </row>
    <row r="316">
      <c r="A316" s="16" t="inlineStr">
        <is>
          <t>14815119;733f4418-5e0f-40f4-b5a8-a952ac481e4b;;30001085;ussd_funeral_leads_altitude_20260601;;;;;CBACK;1;2026-06-08 14:46:53+02;Gontse Monageng;2026-06-08 06:47:44+02;2026-06-08 06:47:44+02;;;;;;;;;27763042998;;;;;;;;;;;;;</t>
        </is>
      </c>
      <c r="B316" s="20" t="n">
        <v>1</v>
      </c>
    </row>
    <row r="317">
      <c r="A317" s="16" t="inlineStr">
        <is>
          <t>14815120;ed06a94b-4070-4693-959d-67531d9b494d;;30001085;ussd_funeral_leads_altitude_20260601;;;;;AA;6;2026-06-11 15:37:43+02;system;2026-06-08 06:47:44+02;2026-06-08 06:47:44+02;;;;;;;;;27829733249;;;;;;;;;;;;;</t>
        </is>
      </c>
      <c r="B317" s="20" t="n">
        <v>1</v>
      </c>
    </row>
    <row r="318">
      <c r="A318" s="16" t="inlineStr">
        <is>
          <t>14815121;ad92b79a-a859-484a-a5c0-9d362d5683d5;;30001085;ussd_funeral_leads_altitude_20260601;;;;;ADC;6;2026-06-11 15:37:36+02;system;2026-06-08 06:47:44+02;2026-06-08 06:47:44+02;;;;;;;;;27725275597;;;;;;;;;;;;;</t>
        </is>
      </c>
      <c r="B318" s="20" t="n">
        <v>1</v>
      </c>
    </row>
    <row r="319">
      <c r="A319" s="16" t="inlineStr">
        <is>
          <t>14815122;9ed065d2-d720-4ff6-9b83-253e7db9f9d9;;30001085;ussd_funeral_leads_altitude_20260601;;;;;AE;6;2026-06-11 14:57:53+02;system;2026-06-08 06:47:44+02;2026-06-08 06:47:44+02;;;;;;;;;27714602928;;;;;;;;;;;;;</t>
        </is>
      </c>
      <c r="B319" s="20" t="n">
        <v>1</v>
      </c>
    </row>
    <row r="320">
      <c r="A320" s="16" t="inlineStr">
        <is>
          <t>14815123;a56bd11a-688b-4185-b82d-406839c25ee9;;30001085;ussd_funeral_leads_altitude_20260601;;;;;CU;6;2026-06-11 10:42:54+02;Goitsimang Mogwasa;2026-06-08 06:47:44+02;2026-06-08 06:47:44+02;;;;;;;;;27661141410;;;;;;;;;;;;;</t>
        </is>
      </c>
      <c r="B320" s="20" t="n">
        <v>1</v>
      </c>
    </row>
    <row r="321">
      <c r="A321" s="16" t="inlineStr">
        <is>
          <t>14815124;d7899834-bb49-4ab7-9528-3bd7c716ed05;;30001085;ussd_funeral_leads_altitude_20260601;;;;;TDN;6;2026-06-11 14:58:13+02;system;2026-06-08 06:47:44+02;2026-06-08 06:47:44+02;;;;;;;;;27661679017;;;;;;;;;;;;;</t>
        </is>
      </c>
      <c r="B321" s="20" t="n">
        <v>1</v>
      </c>
    </row>
    <row r="322">
      <c r="A322" s="16" t="inlineStr">
        <is>
          <t>14815125;48242a76-8871-45dc-842e-39572c5736c7;;30001085;ussd_funeral_leads_altitude_20260601;;;;;CU;6;2026-06-11 14:58:20+02;Gontse Monageng;2026-06-08 06:47:44+02;2026-06-08 06:47:44+02;;;;;;;;;27818839076;;;;;;;;;;;;;</t>
        </is>
      </c>
      <c r="B322" s="20" t="n">
        <v>1</v>
      </c>
    </row>
    <row r="323">
      <c r="A323" s="16" t="inlineStr">
        <is>
          <t>14815126;c9f35001-0c24-4c2d-8d40-acf1e654aebb;;30001085;ussd_funeral_leads_altitude_20260601;;;;;TDN;6;2026-06-11 14:58:21+02;system;2026-06-08 06:47:44+02;2026-06-08 06:47:44+02;;;;;;;;;27673281126;;;;;;;;;;;;;</t>
        </is>
      </c>
      <c r="B323" s="20" t="n">
        <v>1</v>
      </c>
    </row>
    <row r="324">
      <c r="A324" s="16" t="inlineStr">
        <is>
          <t>14815127;a62f704f-ed3d-4c68-9ff4-ccb8bee711e9;;30001085;ussd_funeral_leads_altitude_20260601;;;;;NA;6;2026-06-11 14:59:13+02;system;2026-06-08 06:47:44+02;2026-06-08 06:47:44+02;;;;;;;;;27818623710;;;;;;;;;;;;;</t>
        </is>
      </c>
      <c r="B324" s="20" t="n">
        <v>1</v>
      </c>
    </row>
    <row r="325">
      <c r="A325" s="16" t="inlineStr">
        <is>
          <t>14815128;e01d5831-a10b-4bbf-b5b4-aab58f410da5;;30001085;ussd_funeral_leads_altitude_20260601;;;;;NA;6;2026-06-11 14:59:15+02;system;2026-06-08 06:47:44+02;2026-06-08 06:47:44+02;;;;;;;;;27827968345;;;;;;;;;;;;;</t>
        </is>
      </c>
      <c r="B325" s="20" t="n">
        <v>1</v>
      </c>
    </row>
    <row r="326">
      <c r="A326" s="16" t="inlineStr">
        <is>
          <t>14815129;1fbe3eb6-b205-4d13-81bf-8d087d5ef500;;30001085;ussd_funeral_leads_altitude_20260601;;;27799752263;;IABDN;6;2026-06-11 15:14:26+02;system;2026-06-08 06:47:44+02;2026-06-08 06:47:44+02;;;;;;;;;27799752263;;;;;;;;;;;;;</t>
        </is>
      </c>
      <c r="B326" s="20" t="n">
        <v>1</v>
      </c>
    </row>
    <row r="327">
      <c r="A327" s="16" t="inlineStr">
        <is>
          <t>14815130;8d6b2980-b671-4a55-8cd4-3edad71fa512;;30001085;ussd_funeral_leads_altitude_20260601;;;;;NA;6;2026-06-11 15:42:32+02;system;2026-06-08 06:47:44+02;2026-06-08 06:47:44+02;;;;;;;;;27768698782;;;;;;;;;;;;;</t>
        </is>
      </c>
      <c r="B327" s="20" t="n">
        <v>1</v>
      </c>
    </row>
    <row r="328">
      <c r="A328" s="16" t="inlineStr">
        <is>
          <t>14815131;e4a18d47-f0c0-4a5b-a38a-70800d994f19;;30001085;ussd_funeral_leads_altitude_20260601;;;;;SELECTED;5;2026-06-10 13:47:10+02;system;2026-06-08 06:47:44+02;2026-06-08 06:47:44+02;;;;;;;;;27711592476;;;;;;;;;;;;;</t>
        </is>
      </c>
      <c r="B328" s="20" t="n">
        <v>1</v>
      </c>
    </row>
    <row r="329">
      <c r="A329" s="16" t="inlineStr">
        <is>
          <t>14815132;01e3a946-5cff-4b6e-ac80-3482bc5c13b3;;30001085;ussd_funeral_leads_altitude_20260601;;;27723341990;;CU;6;2026-06-11 15:50:36+02;Gontse Monageng;2026-06-08 06:47:44+02;2026-06-08 06:47:44+02;;;;;;;;;27723341990;;;;;;;;;;;;;</t>
        </is>
      </c>
      <c r="B329" s="20" t="n">
        <v>1</v>
      </c>
    </row>
    <row r="330">
      <c r="A330" s="16" t="inlineStr">
        <is>
          <t>14815133;359e44d0-9462-4e8b-9240-c39e20057753;;30001085;ussd_funeral_leads_altitude_20260601;;;;;ADC;6;2026-06-11 14:59:44+02;system;2026-06-08 06:47:44+02;2026-06-08 06:47:44+02;;;;;;;;;27673992223;;;;;;;;;;;;;</t>
        </is>
      </c>
      <c r="B330" s="20" t="n">
        <v>1</v>
      </c>
    </row>
    <row r="331">
      <c r="A331" s="16" t="inlineStr">
        <is>
          <t>14815134;582f95a0-ee92-4935-88f2-1468d40cc454;;30001085;ussd_funeral_leads_altitude_20260601;;;;;TDN;6;2026-06-11 15:00:03+02;system;2026-06-08 06:47:44+02;2026-06-08 06:47:44+02;;;;;;;;;27792638454;;;;;;;;;;;;;</t>
        </is>
      </c>
      <c r="B331" s="20" t="n">
        <v>1</v>
      </c>
    </row>
    <row r="332">
      <c r="A332" s="16" t="inlineStr">
        <is>
          <t>14815135;f2ec4188-03b6-4246-b743-f0645d50dd32;;30001085;ussd_funeral_leads_altitude_20260601;;;;;ADC;6;2026-06-11 15:00:43+02;system;2026-06-08 06:47:44+02;2026-06-08 06:47:44+02;;;;;;;;;27767611304;;;;;;;;;;;;;</t>
        </is>
      </c>
      <c r="B332" s="20" t="n">
        <v>1</v>
      </c>
    </row>
    <row r="333">
      <c r="A333" s="16" t="inlineStr">
        <is>
          <t>14815136;b8edffca-be90-480f-9360-ec84a1922624;;30001085;ussd_funeral_leads_altitude_20260601;;;;;NA;6;2026-06-11 15:42:29+02;system;2026-06-08 06:47:44+02;2026-06-08 06:47:44+02;;;;;;;;;27722054522;;;;;;;;;;;;;</t>
        </is>
      </c>
      <c r="B333" s="20" t="n">
        <v>1</v>
      </c>
    </row>
    <row r="334">
      <c r="A334" s="16" t="inlineStr">
        <is>
          <t>14815137;deed85e5-1cc6-45c6-8cea-3b1a7cda6bbb;;30001085;ussd_funeral_leads_altitude_20260601;;;;;ADC;6;2026-06-12 08:07:42+02;system;2026-06-08 06:47:44+02;2026-06-08 06:47:44+02;;;;;;;;;27713922792;;;;;;;;;;;;;</t>
        </is>
      </c>
      <c r="B334" s="20" t="n">
        <v>1</v>
      </c>
    </row>
    <row r="335">
      <c r="A335" s="16" t="inlineStr">
        <is>
          <t>14815138;0b4368e3-839e-4e42-aed1-61721e329d7e;;30001085;ussd_funeral_leads_altitude_20260601;;;;;CU;8;2026-06-11 14:37:13+02;Goitsimang Mogwasa;2026-06-08 06:47:44+02;2026-06-08 06:47:44+02;;;;;;;;;27823773783;;;;;;;;;;;;;</t>
        </is>
      </c>
      <c r="B335" s="20" t="n">
        <v>1</v>
      </c>
    </row>
    <row r="336">
      <c r="A336" s="16" t="inlineStr">
        <is>
          <t>14815139;ad434845-d361-4a90-a17d-dc5c64504f45;;30001085;ussd_funeral_leads_altitude_20260601;;;27761395100;;AA;6;2026-06-11 17:12:04+02;system;2026-06-08 06:47:44+02;2026-06-08 06:47:44+02;;;;;;;;;27761395100;;;;;;;;;;;;;</t>
        </is>
      </c>
      <c r="B336" s="20" t="n">
        <v>1</v>
      </c>
    </row>
    <row r="337">
      <c r="A337" s="16" t="inlineStr">
        <is>
          <t>14815140;11892be2-f64e-4ccf-9572-5b23ad71994e;;30001085;ussd_funeral_leads_altitude_20260601;;;;;CU;6;2026-06-11 15:00:52+02;Vuyiswa Nxumalo;2026-06-08 06:47:44+02;2026-06-08 06:47:44+02;;;;;;;;;27663800796;;;;;;;;;;;;;</t>
        </is>
      </c>
      <c r="B337" s="20" t="n">
        <v>1</v>
      </c>
    </row>
    <row r="338">
      <c r="A338" s="16" t="inlineStr">
        <is>
          <t>14815141;880b6c9c-6cbb-4ced-8347-5a5541babe93;;30001085;ussd_funeral_leads_altitude_20260601;;;;;AE;6;2026-06-11 15:01:06+02;system;2026-06-08 06:47:44+02;2026-06-08 06:47:44+02;;;;;;;;;27796705956;;;;;;;;;;;;;</t>
        </is>
      </c>
      <c r="B338" s="20" t="n">
        <v>1</v>
      </c>
    </row>
    <row r="339">
      <c r="A339" s="16" t="inlineStr">
        <is>
          <t>14815142;04b89d53-d546-4f50-b16b-947d83eb14dd;;30001085;ussd_funeral_leads_altitude_20260601;;;;;NA;6;2026-06-11 15:01:06+02;system;2026-06-08 06:47:44+02;2026-06-08 06:47:44+02;;;;;;;;;27823983464;;;;;;;;;;;;;</t>
        </is>
      </c>
      <c r="B339" s="20" t="n">
        <v>1</v>
      </c>
    </row>
    <row r="340">
      <c r="A340" s="16" t="inlineStr">
        <is>
          <t>14815143;952176a8-865f-4d85-b260-5788bfe42920;;30001085;ussd_funeral_leads_altitude_20260601;;;;;AA;6;2026-06-11 15:01:10+02;system;2026-06-08 06:47:44+02;2026-06-08 06:47:44+02;;;;;;;;;27647473060;;;;;;;;;;;;;</t>
        </is>
      </c>
      <c r="B340" s="20" t="n">
        <v>1</v>
      </c>
    </row>
    <row r="341">
      <c r="A341" s="16" t="inlineStr">
        <is>
          <t>14815144;ad9ef99d-4e67-4e84-82c6-91fca0f1318a;;30001085;ussd_funeral_leads_altitude_20260601;;;;;ADC;6;2026-06-11 15:01:11+02;system;2026-06-08 06:47:44+02;2026-06-08 06:47:44+02;;;;;;;;;27797388741;;;;;;;;;;;;;</t>
        </is>
      </c>
      <c r="B341" s="20" t="n">
        <v>1</v>
      </c>
    </row>
    <row r="342">
      <c r="A342" s="16" t="inlineStr">
        <is>
          <t>14815145;ad2b0674-f3e7-4834-bb5a-69cffe506294;;30001085;ussd_funeral_leads_altitude_20260601;;;27765112862;;AE;6;2026-06-11 15:01:24+02;system;2026-06-08 06:47:44+02;2026-06-08 06:47:44+02;;;;;;;;;27765112862;;;;;;;;;;;;;</t>
        </is>
      </c>
      <c r="B342" s="20" t="n">
        <v>1</v>
      </c>
    </row>
    <row r="343">
      <c r="A343" s="16" t="inlineStr">
        <is>
          <t>14815146;7be42836-c9cb-49e9-90a3-2f9d2ea3b8fe;;30001085;ussd_funeral_leads_altitude_20260601;;;;;A;6;2026-06-11 11:41:52+02;Virginia Letsatsi;2026-06-08 06:47:44+02;2026-06-08 06:47:44+02;;;;;;;;;27792091013;;;;;;;;;;;;;</t>
        </is>
      </c>
      <c r="B343" s="20" t="n">
        <v>1</v>
      </c>
    </row>
    <row r="344">
      <c r="A344" s="16" t="inlineStr">
        <is>
          <t>14815148;34a57a0a-7b8b-4215-b27d-b68a402dd2d9;;30001085;ussd_funeral_leads_altitude_20260601;;;;;CU;6;2026-06-11 15:01:28+02;Vuyiswa Nxumalo;2026-06-08 06:47:44+02;2026-06-08 06:47:44+02;;;;;;;;;27760723628;;;;;;;;;;;;;</t>
        </is>
      </c>
      <c r="B344" s="20" t="n">
        <v>1</v>
      </c>
    </row>
    <row r="345">
      <c r="A345" s="16" t="inlineStr">
        <is>
          <t>14815149;8fb3b266-d8e9-47c0-ba4a-4495dc9f4dab;;30001085;ussd_funeral_leads_altitude_20260601;;;;;ADC;6;2026-06-11 15:01:34+02;system;2026-06-08 06:47:44+02;2026-06-08 06:47:44+02;;;;;;;;;27791549241;;;;;;;;;;;;;</t>
        </is>
      </c>
      <c r="B345" s="20" t="n">
        <v>1</v>
      </c>
    </row>
    <row r="346">
      <c r="A346" s="16" t="inlineStr">
        <is>
          <t>14815150;1672b5e3-bf11-4744-b8df-2b32d8740eb6;;30001085;ussd_funeral_leads_altitude_20260601;;;;;ADC;6;2026-06-12 08:07:42+02;system;2026-06-08 06:47:44+02;2026-06-08 06:47:44+02;;;;;;;;;27766189622;;;;;;;;;;;;;</t>
        </is>
      </c>
      <c r="B346" s="20" t="n">
        <v>1</v>
      </c>
    </row>
    <row r="347">
      <c r="A347" s="16" t="inlineStr">
        <is>
          <t>14815151;918c60cc-2715-4096-931d-362c8af532d2;;30001085;ussd_funeral_leads_altitude_20260601;;;;;AF;2;2026-06-09 11:14:12+02;Lebohang Mabotja;2026-06-08 06:47:44+02;2026-06-08 06:47:44+02;;;;;;;;;27637431363;;;;;;;;;;;;;</t>
        </is>
      </c>
      <c r="B347" s="20" t="n">
        <v>1</v>
      </c>
    </row>
    <row r="348">
      <c r="A348" s="16" t="inlineStr">
        <is>
          <t>14815152;f9049a64-61f3-4838-8d4e-63b7d1d1b9e7;;30001085;ussd_funeral_leads_altitude_20260601;;;;;NA;6;2026-06-11 15:43:59+02;system;2026-06-08 06:47:44+02;2026-06-08 06:47:44+02;;;;;;;;;27646083290;;;;;;;;;;;;;</t>
        </is>
      </c>
      <c r="B348" s="20" t="n">
        <v>1</v>
      </c>
    </row>
    <row r="349">
      <c r="A349" s="16" t="inlineStr">
        <is>
          <t>14815153;ba0312fb-eeff-4e40-b5da-75a33290bd0f;;30001085;ussd_funeral_leads_altitude_20260601;;;;;AA;6;2026-06-15 08:16:06+02;system;2026-06-08 06:47:44+02;2026-06-08 06:47:44+02;;;;;;;;;27664541503;;;;;;;;;;;;;</t>
        </is>
      </c>
      <c r="B349" s="20" t="n">
        <v>1</v>
      </c>
    </row>
    <row r="350">
      <c r="A350" s="16" t="inlineStr">
        <is>
          <t>14815154;98828583-4f72-4c8c-a9a2-4e2898a72339;;30001085;ussd_funeral_leads_altitude_20260601;;;;;QAVER;9;2026-06-13 11:41:54+02;Virginia Letsatsi;2026-06-08 06:47:44+02;2026-06-08 06:47:44+02;;;;;;;;;27721780847;;;;;;;;;;;;;</t>
        </is>
      </c>
      <c r="B350" s="20" t="n">
        <v>1</v>
      </c>
    </row>
    <row r="351">
      <c r="A351" s="16" t="inlineStr">
        <is>
          <t>14815155;7aed7a10-6f94-44bd-8d19-d39b430dc8a2;;30001085;ussd_funeral_leads_altitude_20260601;;;;;AA;6;2026-06-11 15:37:29+02;system;2026-06-08 06:47:44+02;2026-06-08 06:47:44+02;;;;;;;;;27791823451;;;;;;;;;;;;;</t>
        </is>
      </c>
      <c r="B351" s="20" t="n">
        <v>1</v>
      </c>
    </row>
    <row r="352">
      <c r="A352" s="16" t="inlineStr">
        <is>
          <t>14815156;a15dbb59-4960-409c-bcf9-72c419c982a7;;30001085;ussd_funeral_leads_altitude_20260601;;;;;NI;6;2026-06-11 15:01:35+02;Lebohang Mabotja;2026-06-08 06:47:44+02;2026-06-08 06:47:44+02;;;;;;;;;27636738521;;;;;;;;;;;;;</t>
        </is>
      </c>
      <c r="B352" s="20" t="n">
        <v>1</v>
      </c>
    </row>
    <row r="353">
      <c r="A353" s="16" t="inlineStr">
        <is>
          <t>14815157;df3702df-0afe-44a4-93af-3d7a7ddf22a0;;30001085;ussd_funeral_leads_altitude_20260601;;;;;ADC;6;2026-06-12 08:07:42+02;system;2026-06-08 06:47:44+02;2026-06-08 06:47:44+02;;;;;;;;;27607285239;;;;;;;;;;;;;</t>
        </is>
      </c>
      <c r="B353" s="20" t="n">
        <v>1</v>
      </c>
    </row>
    <row r="354">
      <c r="A354" s="16" t="inlineStr">
        <is>
          <t>14815158;3cf18f21-929d-44e8-9fcc-fe97459f4c18;;30001085;ussd_funeral_leads_altitude_20260601;;;;;TDN;6;2026-06-11 15:01:38+02;system;2026-06-08 06:47:44+02;2026-06-08 06:47:44+02;;;;;;;;;27660840800;;;;;;;;;;;;;</t>
        </is>
      </c>
      <c r="B354" s="20" t="n">
        <v>1</v>
      </c>
    </row>
    <row r="355">
      <c r="A355" s="16" t="inlineStr">
        <is>
          <t>14815159;b16735be-4e32-4dab-8d91-78a42eadd0c9;;30001085;ussd_funeral_leads_altitude_20260601;;;;;CU;6;2026-06-11 15:37:30+02;Virginia Letsatsi;2026-06-08 06:47:44+02;2026-06-08 06:47:44+02;;;;;;;;;27724088762;;;;;;;;;;;;;</t>
        </is>
      </c>
      <c r="B355" s="20" t="n">
        <v>1</v>
      </c>
    </row>
    <row r="356">
      <c r="A356" s="16" t="inlineStr">
        <is>
          <t>14815160;9eaa9d6a-a1d6-47b4-baae-dde3e9c746fa;;30001085;ussd_funeral_leads_altitude_20260601;;;;;LANG;6;2026-06-11 15:37:29+02;Goitsimang Mogwasa;2026-06-08 06:47:44+02;2026-06-08 06:47:44+02;;;;;;;;;27760564347;;;;;;;;;;;;;</t>
        </is>
      </c>
      <c r="B356" s="20" t="n">
        <v>1</v>
      </c>
    </row>
    <row r="357">
      <c r="A357" s="16" t="inlineStr">
        <is>
          <t>14815161;fc939abf-4d39-4f91-ad67-0d733293f0c5;;30001085;ussd_funeral_leads_altitude_20260601;;;;;CU;6;2026-06-11 15:36:42+02;Vuyiswa Nxumalo;2026-06-08 06:47:44+02;2026-06-08 06:47:44+02;;;;;;;;;27762610317;;;;;;;;;;;;;</t>
        </is>
      </c>
      <c r="B357" s="20" t="n">
        <v>1</v>
      </c>
    </row>
    <row r="358">
      <c r="A358" s="16" t="inlineStr">
        <is>
          <t>14815162;b9a04d03-d5ef-4386-b55c-b6d98a94176b;;30001085;ussd_funeral_leads_altitude_20260601;;;27660932286;;AA;6;2026-06-11 15:01:38+02;system;2026-06-08 06:47:44+02;2026-06-08 06:47:44+02;;;;;;;;;27660932286;;;;;;;;;;;;;</t>
        </is>
      </c>
      <c r="B358" s="20" t="n">
        <v>1</v>
      </c>
    </row>
    <row r="359">
      <c r="A359" s="16" t="inlineStr">
        <is>
          <t>14815163;ac239c02-d378-4267-a0f3-62aa9a2bdb40;;30001085;ussd_funeral_leads_altitude_20260601;;;27607527826;;DC;6;2026-06-25 13:45:08+02;Virginia Letsatsi;2026-06-08 06:47:44+02;2026-06-08 06:47:44+02;;;;;;;;;27607527826;;;;;;;;;;;;;</t>
        </is>
      </c>
      <c r="B359" s="20" t="n">
        <v>1</v>
      </c>
    </row>
    <row r="360">
      <c r="A360" s="16" t="inlineStr">
        <is>
          <t>14815164;f82131f2-96f4-4c79-ab06-ac08de3b9cad;;30001085;ussd_funeral_leads_altitude_20260601;;;;;CU;6;2026-06-11 15:02:10+02;Vuyiswa Nxumalo;2026-06-08 06:47:44+02;2026-06-08 06:47:44+02;;;;;;;;;27769658463;;;;;;;;;;;;;</t>
        </is>
      </c>
      <c r="B360" s="20" t="n">
        <v>1</v>
      </c>
    </row>
    <row r="361">
      <c r="A361" s="16" t="inlineStr">
        <is>
          <t>14815165;924d37fa-fc40-4217-bb79-1366116c52ee;;30001085;ussd_funeral_leads_altitude_20260601;;;;;AA;6;2026-06-11 15:02:12+02;system;2026-06-08 06:47:44+02;2026-06-08 06:47:44+02;;;;;;;;;27663488808;;;;;;;;;;;;;</t>
        </is>
      </c>
      <c r="B361" s="20" t="n">
        <v>1</v>
      </c>
    </row>
    <row r="362">
      <c r="A362" s="16" t="inlineStr">
        <is>
          <t>14815167;08cea109-b573-4e43-adc2-ea8ab60474fa;;30001085;ussd_funeral_leads_altitude_20260601;;;;;NI;1;2026-06-08 14:37:36+02;Lebohang Mabotja;2026-06-08 06:47:44+02;2026-06-08 06:47:44+02;;;;;;;;;27818132732;;;;;;;;;;;;;</t>
        </is>
      </c>
      <c r="B362" s="20" t="n">
        <v>1</v>
      </c>
    </row>
    <row r="363">
      <c r="A363" s="16" t="inlineStr">
        <is>
          <t>14815168;82724009-a3de-4df3-9592-4b38133c5d8d;;30001085;ussd_funeral_leads_altitude_20260601;;;;;ADC;6;2026-06-11 15:02:19+02;system;2026-06-08 06:47:44+02;2026-06-08 06:47:44+02;;;;;;;;;27609203683;;;;;;;;;;;;;</t>
        </is>
      </c>
      <c r="B363" s="20" t="n">
        <v>1</v>
      </c>
    </row>
    <row r="364">
      <c r="A364" s="16" t="inlineStr">
        <is>
          <t>14815169;d795c8c8-1892-4b10-9829-e40d5a6a3b4e;;30001085;ussd_funeral_leads_altitude_20260601;;;;;ADC;6;2026-06-11 14:53:33+02;system;2026-06-08 06:47:44+02;2026-06-08 06:47:44+02;;;;;;;;;27795625456;;;;;;;;;;;;;</t>
        </is>
      </c>
      <c r="B364" s="20" t="n">
        <v>1</v>
      </c>
    </row>
    <row r="365">
      <c r="A365" s="16" t="inlineStr">
        <is>
          <t>14815170;adbce58a-79a3-453b-933b-85ad83ea9d1e;;30001085;ussd_funeral_leads_altitude_20260601;;;;;AA;6;2026-06-11 14:54:26+02;system;2026-06-08 06:47:44+02;2026-06-08 06:47:44+02;;;;;;;;;27608314278;;;;;;;;;;;;;</t>
        </is>
      </c>
      <c r="B365" s="20" t="n">
        <v>1</v>
      </c>
    </row>
    <row r="366">
      <c r="A366" s="16" t="inlineStr">
        <is>
          <t>14815171;35eb4983-94b1-420d-b192-8b3cb2a3d06c;;30001085;ussd_funeral_leads_altitude_20260601;;;;;TDN;6;2026-06-11 14:54:26+02;system;2026-06-08 06:47:44+02;2026-06-08 06:47:44+02;;;;;;;;;27799347504;;;;;;;;;;;;;</t>
        </is>
      </c>
      <c r="B366" s="20" t="n">
        <v>1</v>
      </c>
    </row>
    <row r="367">
      <c r="A367" s="16" t="inlineStr">
        <is>
          <t>14815172;416f1334-1706-4051-8ee2-3cb9658dd903;;30001085;ussd_funeral_leads_altitude_20260601;;;;;AE;6;2026-06-11 14:54:32+02;system;2026-06-08 06:47:44+02;2026-06-08 06:47:44+02;;;;;;;;;27795386473;;;;;;;;;;;;;</t>
        </is>
      </c>
      <c r="B367" s="20" t="n">
        <v>1</v>
      </c>
    </row>
    <row r="368">
      <c r="A368" s="16" t="inlineStr">
        <is>
          <t>14815173;aa7bd2f3-049b-4ff5-a385-1bf4110a7946;;30001085;ussd_funeral_leads_altitude_20260601;;;;;AE;6;2026-06-11 14:54:43+02;system;2026-06-08 06:47:44+02;2026-06-08 06:47:44+02;;;;;;;;;27720744367;;;;;;;;;;;;;</t>
        </is>
      </c>
      <c r="B368" s="20" t="n">
        <v>1</v>
      </c>
    </row>
    <row r="369">
      <c r="A369" s="16" t="inlineStr">
        <is>
          <t>14815174;64bcbe25-55e1-4638-ab03-b78832f2ca74;;30001085;ussd_funeral_leads_altitude_20260601;;;;;A;7;2026-06-11 14:56:29+02;Virginia Letsatsi;2026-06-08 06:47:44+02;2026-06-08 06:47:44+02;;;;;;;;;27799509157;;;;;;;;;;;;;</t>
        </is>
      </c>
      <c r="B369" s="20" t="n">
        <v>1</v>
      </c>
    </row>
    <row r="370">
      <c r="A370" s="16" t="inlineStr">
        <is>
          <t>14815175;b5c8cd40-b151-49c4-823a-79a231ac19cf;;30001085;ussd_funeral_leads_altitude_20260601;;;;;CBACK;2;2026-06-09 11:09:56+02;Gontse Monageng;2026-06-08 06:47:44+02;2026-06-08 06:47:44+02;;;;;;;;;27649154906;;;;;;;;;;;;;</t>
        </is>
      </c>
      <c r="B370" s="20" t="n">
        <v>1</v>
      </c>
    </row>
    <row r="371">
      <c r="A371" s="16" t="inlineStr">
        <is>
          <t>14815176;479630e6-96c3-4ab9-b483-5c7154bfbf2b;;30001085;ussd_funeral_leads_altitude_20260601;;;;;DROP;6;2026-06-11 14:54:51+02;system;2026-06-08 06:47:44+02;2026-06-08 06:47:44+02;;;;;;;;;27714120730;;;;;;;;;;;;;</t>
        </is>
      </c>
      <c r="B371" s="20" t="n">
        <v>1</v>
      </c>
    </row>
    <row r="372">
      <c r="A372" s="16" t="inlineStr">
        <is>
          <t>14815177;13ad1244-0db1-46d3-b759-de67f31f8dac;;30001085;ussd_funeral_leads_altitude_20260601;;;;;AA;6;2026-06-11 15:36:38+02;system;2026-06-08 06:47:44+02;2026-06-08 06:47:44+02;;;;;;;;;27646904748;;;;;;;;;;;;;</t>
        </is>
      </c>
      <c r="B372" s="20" t="n">
        <v>1</v>
      </c>
    </row>
    <row r="373">
      <c r="A373" s="16" t="inlineStr">
        <is>
          <t>14815178;7cceb300-7dee-4194-9746-ac3c68fb516b;;30001085;ussd_funeral_leads_altitude_20260601;;;27661641563;;AA;6;2026-06-11 15:36:38+02;system;2026-06-08 06:47:44+02;2026-06-08 06:47:44+02;;;;;;;;;27661641563;;;;;;;;;;;;;</t>
        </is>
      </c>
      <c r="B373" s="20" t="n">
        <v>1</v>
      </c>
    </row>
    <row r="374">
      <c r="A374" s="16" t="inlineStr">
        <is>
          <t>14815179;1f881fde-eaed-4dbc-b805-d1252a978f25;;30001085;ussd_funeral_leads_altitude_20260601;;;;;NI;1;2026-06-08 14:35:57+02;Lebohang Mabotja;2026-06-08 06:47:44+02;2026-06-08 06:47:44+02;;;;;;;;;27785422623;;;;;;;;;;;;;</t>
        </is>
      </c>
      <c r="B374" s="20" t="n">
        <v>1</v>
      </c>
    </row>
    <row r="375">
      <c r="A375" s="16" t="inlineStr">
        <is>
          <t>14815180;c53f10ea-cf4f-4ab2-9569-0eb32a83234f;;30001085;ussd_funeral_leads_altitude_20260601;;;;;ADC;6;2026-06-11 14:54:51+02;system;2026-06-08 06:47:44+02;2026-06-08 06:47:44+02;;;;;;;;;27760681165;;;;;;;;;;;;;</t>
        </is>
      </c>
      <c r="B375" s="20" t="n">
        <v>1</v>
      </c>
    </row>
    <row r="376">
      <c r="A376" s="16" t="inlineStr">
        <is>
          <t>14815181;04d0d745-2e93-4819-a032-80e39fee6ef0;;30001085;ussd_funeral_leads_altitude_20260601;;;;;AA;6;2026-06-11 15:36:25+02;system;2026-06-08 06:47:44+02;2026-06-08 06:47:44+02;;;;;;;;;27762701133;;;;;;;;;;;;;</t>
        </is>
      </c>
      <c r="B376" s="20" t="n">
        <v>1</v>
      </c>
    </row>
    <row r="377">
      <c r="A377" s="16" t="inlineStr">
        <is>
          <t>14815182;9a4a0c4c-f207-4380-bfee-0dadd6aa6585;;30001085;ussd_funeral_leads_altitude_20260601;;;;;AA;6;2026-06-11 15:42:22+02;system;2026-06-08 06:47:44+02;2026-06-08 06:47:44+02;;;;;;;;;27766657142;;;;;;;;;;;;;</t>
        </is>
      </c>
      <c r="B377" s="20" t="n">
        <v>1</v>
      </c>
    </row>
    <row r="378">
      <c r="A378" s="16" t="inlineStr">
        <is>
          <t>14815183;8ece3404-ecb8-4eaf-8c85-4ef9eaa706d5;;30001085;ussd_funeral_leads_altitude_20260601;;;;;AA;6;2026-06-11 15:42:14+02;system;2026-06-08 06:47:44+02;2026-06-08 06:47:44+02;;;;;;;;;27607223101;;;;;;;;;;;;;</t>
        </is>
      </c>
      <c r="B378" s="20" t="n">
        <v>1</v>
      </c>
    </row>
    <row r="379">
      <c r="A379" s="16" t="inlineStr">
        <is>
          <t>14815184;b379eb09-a9d2-40c6-bd33-fa19de4843bb;;30001085;ussd_funeral_leads_altitude_20260601;;;27674464788;;NA;6;2026-06-19 08:34:00+02;system;2026-06-08 06:47:44+02;2026-06-08 06:47:44+02;;;;;;;;;27674464788;;;;;;;;;;;;;</t>
        </is>
      </c>
      <c r="B379" s="20" t="n">
        <v>1</v>
      </c>
    </row>
    <row r="380">
      <c r="A380" s="16" t="inlineStr">
        <is>
          <t>14815185;deaa16ff-3b8d-4eb1-8ab8-295b66c70d60;;30001085;ussd_funeral_leads_altitude_20260601;;;;;NA;6;2026-06-11 14:51:38+02;system;2026-06-08 06:47:44+02;2026-06-08 06:47:44+02;;;;;;;;;27727565750;;;;;;;;;;;;;</t>
        </is>
      </c>
      <c r="B380" s="20" t="n">
        <v>1</v>
      </c>
    </row>
    <row r="381">
      <c r="A381" s="16" t="inlineStr">
        <is>
          <t>14815186;7b26cd24-909f-4e05-8c10-c9ee75930fb4;;30001085;ussd_funeral_leads_altitude_20260601;;;;;CBACK;4;2026-06-10 14:53:28+02;Gontse Monageng;2026-06-08 06:47:44+02;2026-06-08 06:47:44+02;;;;;;;;;27648518974;;;;;;;;;;;;;</t>
        </is>
      </c>
      <c r="B381" s="20" t="n">
        <v>1</v>
      </c>
    </row>
    <row r="382">
      <c r="A382" s="16" t="inlineStr">
        <is>
          <t>14815187;ab851bfd-4f87-4f15-b739-c8e888806935;;30001085;ussd_funeral_leads_altitude_20260601;;;27647788362;;ADC;6;2026-06-11 14:51:38+02;system;2026-06-08 06:47:44+02;2026-06-08 06:47:44+02;;;;;;;;;27647788362;;;;;;;;;;;;;</t>
        </is>
      </c>
      <c r="B382" s="20" t="n">
        <v>1</v>
      </c>
    </row>
    <row r="383">
      <c r="A383" s="16" t="inlineStr">
        <is>
          <t>14815188;f7a0238b-4f24-462a-8ffd-a818a8fdffa8;;30001085;ussd_funeral_leads_altitude_20260601;;;27724731306;;AF;5;2026-06-11 10:43:42+02;Vuyiswa Nxumalo;2026-06-08 06:47:44+02;2026-06-08 06:47:44+02;;;;;;;;;27724731306;;;;;;;;;;;;;</t>
        </is>
      </c>
      <c r="B383" s="20" t="n">
        <v>1</v>
      </c>
    </row>
    <row r="384">
      <c r="A384" s="16" t="inlineStr">
        <is>
          <t>14815189;aeb7abaf-c0b0-45d6-bdef-500ee106a188;;30001085;ussd_funeral_leads_altitude_20260601;;;;;CBACK;3;2026-06-10 08:51:24+02;Gontse Monageng;2026-06-08 06:47:44+02;2026-06-08 06:47:44+02;;;;;;;;;27824293106;;;;;;;;;;;;;</t>
        </is>
      </c>
      <c r="B384" s="20" t="n">
        <v>1</v>
      </c>
    </row>
    <row r="385">
      <c r="A385" s="16" t="inlineStr">
        <is>
          <t>14815190;dfd1d755-3797-43ea-aca3-fda17cc779f0;;30001085;ussd_funeral_leads_altitude_20260601;;;;;NA;6;2026-06-11 14:51:39+02;system;2026-06-08 06:47:44+02;2026-06-08 06:47:44+02;;;;;;;;;27763651800;;;;;;;;;;;;;</t>
        </is>
      </c>
      <c r="B385" s="20" t="n">
        <v>1</v>
      </c>
    </row>
    <row r="386">
      <c r="A386" s="16" t="inlineStr">
        <is>
          <t>14815191;f3f6c6bd-8c60-41ed-9a6b-4d28b6838ffd;;30001085;ussd_funeral_leads_altitude_20260601;;;;;DNQS;2;2026-06-09 12:39:03+02;Vuyiswa Nxumalo;2026-06-08 06:47:44+02;2026-06-08 06:47:44+02;;;;;;;;;27664547837;;;;;;;;;;;;;</t>
        </is>
      </c>
      <c r="B386" s="20" t="n">
        <v>1</v>
      </c>
    </row>
    <row r="387">
      <c r="A387" s="16" t="inlineStr">
        <is>
          <t>14815192;01e3aac5-80bb-432e-91f2-f31b1988d8f2;;30001085;ussd_funeral_leads_altitude_20260601;;;;;NA;6;2026-06-11 14:51:48+02;system;2026-06-08 06:47:44+02;2026-06-08 06:47:44+02;;;;;;;;;27795211479;;;;;;;;;;;;;</t>
        </is>
      </c>
      <c r="B387" s="20" t="n">
        <v>1</v>
      </c>
    </row>
    <row r="388">
      <c r="A388" s="16" t="inlineStr">
        <is>
          <t>14815193;f063a49f-e476-446e-a1a8-815c15443941;;30001085;ussd_funeral_leads_altitude_20260601;;;;;AA;6;2026-06-11 14:51:56+02;system;2026-06-08 06:47:44+02;2026-06-08 06:47:44+02;;;;;;;;;27673474964;;;;;;;;;;;;;</t>
        </is>
      </c>
      <c r="B388" s="20" t="n">
        <v>1</v>
      </c>
    </row>
    <row r="389">
      <c r="A389" s="16" t="inlineStr">
        <is>
          <t>14815194;be8a6d50-22e5-4bb7-a84b-d6ae0aeb2458;;30001085;ussd_funeral_leads_altitude_20260601;;;;;ADC;6;2026-06-11 14:52:01+02;system;2026-06-08 06:47:44+02;2026-06-08 06:47:44+02;;;;;;;;;27711187605;;;;;;;;;;;;;</t>
        </is>
      </c>
      <c r="B389" s="20" t="n">
        <v>1</v>
      </c>
    </row>
    <row r="390">
      <c r="A390" s="16" t="inlineStr">
        <is>
          <t>14815195;5d2414d2-c164-44ef-973a-4b13af033fbd;;30001085;ussd_funeral_leads_altitude_20260601;;;;;A;8;2026-06-13 10:17:59+02;Virginia Letsatsi;2026-06-08 06:47:44+02;2026-06-08 06:47:44+02;;;;;;;;;27763789715;;;;;;;;;;;;;</t>
        </is>
      </c>
      <c r="B390" s="20" t="n">
        <v>1</v>
      </c>
    </row>
    <row r="391">
      <c r="A391" s="16" t="inlineStr">
        <is>
          <t>14815196;35766834-584f-419a-a1e3-15817649fb6f;;30001085;ussd_funeral_leads_altitude_20260601;;;;;ADC;6;2026-06-11 14:52:05+02;system;2026-06-08 06:47:44+02;2026-06-08 06:47:44+02;;;;;;;;;27825985074;;;;;;;;;;;;;</t>
        </is>
      </c>
      <c r="B391" s="20" t="n">
        <v>1</v>
      </c>
    </row>
    <row r="392">
      <c r="A392" s="16" t="inlineStr">
        <is>
          <t>14815197;5e71e148-e78f-4cf1-8098-4c2306ba1d64;;30001085;ussd_funeral_leads_altitude_20260601;;;;;CUA;3;2026-06-10 08:53:14+02;Vuyiswa Nxumalo;2026-06-08 06:47:44+02;2026-06-08 06:47:44+02;;;;;;;;;27764315224;;;;;;;;;;;;;</t>
        </is>
      </c>
      <c r="B392" s="20" t="n">
        <v>1</v>
      </c>
    </row>
    <row r="393">
      <c r="A393" s="16" t="inlineStr">
        <is>
          <t>14815198;c51d2481-3632-485a-a08c-12b76b99ca7d;;30001085;ussd_funeral_leads_altitude_20260601;;;;;AE;6;2026-06-11 14:52:04+02;system;2026-06-08 06:47:44+02;2026-06-08 06:47:44+02;;;;;;;;;27637642510;;;;;;;;;;;;;</t>
        </is>
      </c>
      <c r="B393" s="20" t="n">
        <v>1</v>
      </c>
    </row>
    <row r="394">
      <c r="A394" s="16" t="inlineStr">
        <is>
          <t>14815199;bf311964-a1c0-4588-b374-c785e1453a8b;;30001085;ussd_funeral_leads_altitude_20260601;;;;;ADC;6;2026-06-11 14:52:09+02;system;2026-06-08 06:47:44+02;2026-06-08 06:47:44+02;;;;;;;;;27646182867;;;;;;;;;;;;;</t>
        </is>
      </c>
      <c r="B394" s="20" t="n">
        <v>1</v>
      </c>
    </row>
    <row r="395">
      <c r="A395" s="16" t="inlineStr">
        <is>
          <t>14815200;2b9b0d9a-0021-4c91-83a4-2d4743a5fbc0;;30001085;ussd_funeral_leads_altitude_20260601;;;;;A;7;2026-06-11 15:53:49+02;Vuyiswa Nxumalo;2026-06-08 06:47:44+02;2026-06-08 06:47:44+02;;;;;;;;;27713039944;;;;;;;;;;;;;</t>
        </is>
      </c>
      <c r="B395" s="20" t="n">
        <v>1</v>
      </c>
    </row>
    <row r="396">
      <c r="A396" s="16" t="inlineStr">
        <is>
          <t>14815201;0a498449-b08a-4612-85c5-6a676db129fc;;30001085;ussd_funeral_leads_altitude_20260601;;;;;NA;6;2026-06-11 14:52:22+02;system;2026-06-08 06:47:44+02;2026-06-08 06:47:44+02;;;;;;;;;27646946029;;;;;;;;;;;;;</t>
        </is>
      </c>
      <c r="B396" s="20" t="n">
        <v>1</v>
      </c>
    </row>
    <row r="397">
      <c r="A397" s="16" t="inlineStr">
        <is>
          <t>14815202;a68db49c-0c68-47ed-b023-f11b145a4dcd;;30001085;ussd_funeral_leads_altitude_20260601;;;;;AA;6;2026-06-11 15:29:49+02;system;2026-06-08 06:47:44+02;2026-06-08 06:47:44+02;;;;;;;;;27827608086;;;;;;;;;;;;;</t>
        </is>
      </c>
      <c r="B397" s="20" t="n">
        <v>1</v>
      </c>
    </row>
    <row r="398">
      <c r="A398" s="16" t="inlineStr">
        <is>
          <t>14815203;120bee46-dcd8-4e7c-8e4a-eae767c49f32;;30001085;ussd_funeral_leads_altitude_20260601;;;;;CU;6;2026-06-11 15:29:45+02;Vuyiswa Nxumalo;2026-06-08 06:47:44+02;2026-06-08 06:47:44+02;;;;;;;;;27716435537;;;;;;;;;;;;;</t>
        </is>
      </c>
      <c r="B398" s="20" t="n">
        <v>1</v>
      </c>
    </row>
    <row r="399">
      <c r="A399" s="16" t="inlineStr">
        <is>
          <t>14815204;66a9e67c-9a4f-4bbf-a647-96d4139d0c46;;30001085;ussd_funeral_leads_altitude_20260601;;;;;NA;6;2026-06-11 15:29:45+02;system;2026-06-08 06:47:44+02;2026-06-08 06:47:44+02;;;;;;;;;27606993451;;;;;;;;;;;;;</t>
        </is>
      </c>
      <c r="B399" s="20" t="n">
        <v>1</v>
      </c>
    </row>
    <row r="400">
      <c r="A400" s="16" t="inlineStr">
        <is>
          <t>14815205;47a53b9a-460d-438c-b0ec-1d3e09e04ee0;;30001085;ussd_funeral_leads_altitude_20260601;;;;;TDN;6;2026-06-11 15:28:38+02;system;2026-06-08 06:47:44+02;2026-06-08 06:47:44+02;;;;;;;;;27818470346;;;;;;;;;;;;;</t>
        </is>
      </c>
      <c r="B400" s="20" t="n">
        <v>1</v>
      </c>
    </row>
    <row r="401">
      <c r="A401" s="16" t="inlineStr">
        <is>
          <t>14815206;e5bfc3c4-5bad-46bd-9280-0b782caf3a70;;30001085;ussd_funeral_leads_altitude_20260601;;;;;TDN;6;2026-06-11 15:28:30+02;system;2026-06-08 06:47:44+02;2026-06-08 06:47:44+02;;;;;;;;;27674803430;;;;;;;;;;;;;</t>
        </is>
      </c>
      <c r="B401" s="20" t="n">
        <v>1</v>
      </c>
    </row>
    <row r="402">
      <c r="A402" s="16" t="inlineStr">
        <is>
          <t>14815207;3c30b12d-d158-411b-bd0c-432fba6d4f79;;30001085;ussd_funeral_leads_altitude_20260601;;;;;ADC;6;2026-06-11 15:28:28+02;system;2026-06-08 06:47:44+02;2026-06-08 06:47:44+02;;;;;;;;;27766741831;;;;;;;;;;;;;</t>
        </is>
      </c>
      <c r="B402" s="20" t="n">
        <v>1</v>
      </c>
    </row>
    <row r="403">
      <c r="A403" s="16" t="inlineStr">
        <is>
          <t>14815208;f5402ca9-83ef-4e3b-a5b6-1fdfc90f5492;;30001085;ussd_funeral_leads_altitude_20260601;;;;;ADC;6;2026-06-11 15:28:27+02;system;2026-06-08 06:47:44+02;2026-06-08 06:47:44+02;;;;;;;;;27712018801;;;;;;;;;;;;;</t>
        </is>
      </c>
      <c r="B403" s="20" t="n">
        <v>1</v>
      </c>
    </row>
    <row r="404">
      <c r="A404" s="16" t="inlineStr">
        <is>
          <t>14815209;2e9b8dad-3c2b-4a73-8cd8-752b839e8cc1;;30001085;ussd_funeral_leads_altitude_20260601;;;;;AA;6;2026-06-11 15:28:21+02;system;2026-06-08 06:47:44+02;2026-06-08 06:47:44+02;;;;;;;;;27608785000;;;;;;;;;;;;;</t>
        </is>
      </c>
      <c r="B404" s="20" t="n">
        <v>1</v>
      </c>
    </row>
    <row r="405">
      <c r="A405" s="16" t="inlineStr">
        <is>
          <t>14815210;cb5fe145-99f6-46f9-a9cf-40664cfb1ca4;;30001085;ussd_funeral_leads_altitude_20260601;;;;;NA;6;2026-06-11 15:28:17+02;system;2026-06-08 06:47:44+02;2026-06-08 06:47:44+02;;;;;;;;;27606383872;;;;;;;;;;;;;</t>
        </is>
      </c>
      <c r="B405" s="20" t="n">
        <v>1</v>
      </c>
    </row>
    <row r="406">
      <c r="A406" s="16" t="inlineStr">
        <is>
          <t>14815211;e2b7f2ab-fb2a-402b-84fb-de487ab39b79;;30001085;ussd_funeral_leads_altitude_20260601;;;;;NA;6;2026-06-11 15:28:17+02;system;2026-06-08 06:47:44+02;2026-06-08 06:47:44+02;;;;;;;;;27769653807;;;;;;;;;;;;;</t>
        </is>
      </c>
      <c r="B406" s="20" t="n">
        <v>1</v>
      </c>
    </row>
    <row r="407">
      <c r="A407" s="16" t="inlineStr">
        <is>
          <t>14815212;4632b2c7-af74-4a61-a614-9ca56843d9b6;;30001085;ussd_funeral_leads_altitude_20260601;;;;;AE;6;2026-06-11 15:28:12+02;system;2026-06-08 06:47:44+02;2026-06-08 06:47:44+02;;;;;;;;;27822067291;;;;;;;;;;;;;</t>
        </is>
      </c>
      <c r="B407" s="20" t="n">
        <v>1</v>
      </c>
    </row>
    <row r="408">
      <c r="A408" s="16" t="inlineStr">
        <is>
          <t>14815213;7e92ae0c-25fa-46a2-87ec-7762ae272a11;;30001085;ussd_funeral_leads_altitude_20260601;;;;;CU;6;2026-06-11 15:28:12+02;Gontse Monageng;2026-06-08 06:47:44+02;2026-06-08 06:47:44+02;;;;;;;;;27606806692;;;;;;;;;;;;;</t>
        </is>
      </c>
      <c r="B408" s="20" t="n">
        <v>1</v>
      </c>
    </row>
    <row r="409">
      <c r="A409" s="16" t="inlineStr">
        <is>
          <t>14815214;bab1bb07-a3ad-499c-b137-923313e3620b;;30001085;ussd_funeral_leads_altitude_20260601;;;27763330805;;U;2;2026-06-09 12:04:18+02;Lebohang Mabotja;2026-06-08 06:47:44+02;2026-06-08 06:47:44+02;;;;;;;;;27763330805;;;;;;;;;;;;;</t>
        </is>
      </c>
      <c r="B409" s="20" t="n">
        <v>1</v>
      </c>
    </row>
    <row r="410">
      <c r="A410" s="16" t="inlineStr">
        <is>
          <t>14815215;c5224e50-efe8-4255-9ac8-ec598b1efa43;;30001085;ussd_funeral_leads_altitude_20260601;;;;;AA;6;2026-06-11 15:28:09+02;system;2026-06-08 06:47:44+02;2026-06-08 06:47:44+02;;;;;;;;;27609185736;;;;;;;;;;;;;</t>
        </is>
      </c>
      <c r="B410" s="20" t="n">
        <v>1</v>
      </c>
    </row>
    <row r="411">
      <c r="A411" s="16" t="inlineStr">
        <is>
          <t>14815216;145a214b-82f5-4b05-8f81-194406c6c170;;30001085;ussd_funeral_leads_altitude_20260601;;;;;AA;6;2026-06-11 15:28:06+02;system;2026-06-08 06:47:44+02;2026-06-08 06:47:44+02;;;;;;;;;27646453880;;;;;;;;;;;;;</t>
        </is>
      </c>
      <c r="B411" s="20" t="n">
        <v>1</v>
      </c>
    </row>
    <row r="412">
      <c r="A412" s="16" t="inlineStr">
        <is>
          <t>14815217;b4253312-44f3-4960-aa8d-1ea2d3f1e89b;;30001085;ussd_funeral_leads_altitude_20260601;;;;;AA;6;2026-06-11 15:27:58+02;system;2026-06-08 06:47:44+02;2026-06-08 06:47:44+02;;;;;;;;;27818850391;;;;;;;;;;;;;</t>
        </is>
      </c>
      <c r="B412" s="20" t="n">
        <v>1</v>
      </c>
    </row>
    <row r="413">
      <c r="A413" s="16" t="inlineStr">
        <is>
          <t>14815218;46402459-8aa0-4c08-9d79-6b6f75c41f3d;;30001085;ussd_funeral_leads_altitude_20260601;;;;;NI;1;2026-06-08 14:07:38+02;Lebohang Mabotja;2026-06-08 06:47:44+02;2026-06-08 06:47:44+02;;;;;;;;;27774268198;;;;;;;;;;;;;</t>
        </is>
      </c>
      <c r="B413" s="20" t="n">
        <v>1</v>
      </c>
    </row>
    <row r="414">
      <c r="A414" s="16" t="inlineStr">
        <is>
          <t>14815219;73fb04ed-4782-4beb-ab67-4e35c7f75a28;;30001085;ussd_funeral_leads_altitude_20260601;;;;;NA;6;2026-06-11 15:27:01+02;system;2026-06-08 06:47:44+02;2026-06-08 06:47:44+02;;;;;;;;;27675812284;;;;;;;;;;;;;</t>
        </is>
      </c>
      <c r="B414" s="20" t="n">
        <v>1</v>
      </c>
    </row>
    <row r="415">
      <c r="A415" s="16" t="inlineStr">
        <is>
          <t>14815220;1c8dc23f-65fb-4b4c-9024-0f29b4e77ff3;;30001085;ussd_funeral_leads_altitude_20260601;;;;;CU;6;2026-06-11 15:26:53+02;Vuyiswa Nxumalo;2026-06-08 06:47:44+02;2026-06-08 06:47:44+02;;;;;;;;;27726658121;;;;;;;;;;;;;</t>
        </is>
      </c>
      <c r="B415" s="20" t="n">
        <v>1</v>
      </c>
    </row>
    <row r="416">
      <c r="A416" s="16" t="inlineStr">
        <is>
          <t>14815221;4b6dfa36-a399-47fa-89a2-54286af944b7;;30001085;ussd_funeral_leads_altitude_20260601;;;27665015050;;AA;6;2026-06-11 15:29:42+02;system;2026-06-08 06:47:44+02;2026-06-08 06:47:44+02;;;;;;;;;27665015050;;;;;;;;;;;;;</t>
        </is>
      </c>
      <c r="B416" s="20" t="n">
        <v>1</v>
      </c>
    </row>
    <row r="417">
      <c r="A417" s="16" t="inlineStr">
        <is>
          <t>14815222;56a20114-6dbe-4c83-9a85-4bc0d9be9cd0;;30001085;ussd_funeral_leads_altitude_20260601;;;;;NA;6;2026-06-11 15:26:53+02;system;2026-06-08 06:47:44+02;2026-06-08 06:47:44+02;;;;;;;;;27793131562;;;;;;;;;;;;;</t>
        </is>
      </c>
      <c r="B417" s="20" t="n">
        <v>1</v>
      </c>
    </row>
    <row r="418">
      <c r="A418" s="16" t="inlineStr">
        <is>
          <t>14815223;1fe804f7-bf0c-43ab-8e07-197f8e4dd702;;30001085;ussd_funeral_leads_altitude_20260601;;;;;NA;6;2026-06-11 15:24:20+02;system;2026-06-08 06:47:44+02;2026-06-08 06:47:44+02;;;;;;;;;27762656451;;;;;;;;;;;;;</t>
        </is>
      </c>
      <c r="B418" s="20" t="n">
        <v>1</v>
      </c>
    </row>
    <row r="419">
      <c r="A419" s="16" t="inlineStr">
        <is>
          <t>14815225;8b0c069d-f5dc-4cfd-9218-3aef0b22fbff;;30001085;ussd_funeral_leads_altitude_20260601;;;;;AA;6;2026-06-11 15:24:20+02;system;2026-06-08 06:47:44+02;2026-06-08 06:47:44+02;;;;;;;;;27822567143;;;;;;;;;;;;;</t>
        </is>
      </c>
      <c r="B419" s="20" t="n">
        <v>1</v>
      </c>
    </row>
    <row r="420">
      <c r="A420" s="16" t="inlineStr">
        <is>
          <t>14815226;bf852b50-90ee-4d9e-954b-7db340f2191d;;30001085;ussd_funeral_leads_altitude_20260601;;;;;CU;6;2026-06-11 15:23:39+02;Gontse Monageng;2026-06-08 06:47:44+02;2026-06-08 06:47:44+02;;;;;;;;;27607701400;;;;;;;;;;;;;</t>
        </is>
      </c>
      <c r="B420" s="20" t="n">
        <v>1</v>
      </c>
    </row>
    <row r="421">
      <c r="A421" s="16" t="inlineStr">
        <is>
          <t>14815227;215e0c03-7b76-4676-8380-6d782e209488;;30001085;ussd_funeral_leads_altitude_20260601;;;;;AA;6;2026-06-11 15:23:40+02;system;2026-06-08 06:47:44+02;2026-06-08 06:47:44+02;;;;;;;;;27827501092;;;;;;;;;;;;;</t>
        </is>
      </c>
      <c r="B421" s="20" t="n">
        <v>1</v>
      </c>
    </row>
    <row r="422">
      <c r="A422" s="16" t="inlineStr">
        <is>
          <t>14815228;af6d547d-a88b-4a06-a427-896116f74631;;30001085;ussd_funeral_leads_altitude_20260601;;;;;AA;6;2026-06-11 15:23:33+02;system;2026-06-08 06:47:44+02;2026-06-08 06:47:44+02;;;;;;;;;27799107663;;;;;;;;;;;;;</t>
        </is>
      </c>
      <c r="B422" s="20" t="n">
        <v>1</v>
      </c>
    </row>
    <row r="423">
      <c r="A423" s="16" t="inlineStr">
        <is>
          <t>14815229;47a6b597-e797-4bd8-ae11-e573e5390adf;;30001085;ussd_funeral_leads_altitude_20260601;;;;;NA;6;2026-06-11 15:23:32+02;system;2026-06-08 06:47:44+02;2026-06-08 06:47:44+02;;;;;;;;;27769367659;;;;;;;;;;;;;</t>
        </is>
      </c>
      <c r="B423" s="20" t="n">
        <v>1</v>
      </c>
    </row>
    <row r="424">
      <c r="A424" s="16" t="inlineStr">
        <is>
          <t>14815231;2a0c5a86-8019-4692-8afc-ab69b205fc86;;30001085;ussd_funeral_leads_altitude_20260601;;;;;AA;6;2026-06-11 15:32:59+02;system;2026-06-08 06:47:44+02;2026-06-08 06:47:44+02;;;;;;;;;27772599464;;;;;;;;;;;;;</t>
        </is>
      </c>
      <c r="B424" s="20" t="n">
        <v>1</v>
      </c>
    </row>
    <row r="425">
      <c r="A425" s="16" t="inlineStr">
        <is>
          <t>14815232;408654ef-1b0d-4679-973a-4e192f3a535b;;30001085;ussd_funeral_leads_altitude_20260601;;;;;AE;6;2026-06-11 15:23:29+02;system;2026-06-08 06:47:44+02;2026-06-08 06:47:44+02;;;;;;;;;27660161384;;;;;;;;;;;;;</t>
        </is>
      </c>
      <c r="B425" s="20" t="n">
        <v>1</v>
      </c>
    </row>
    <row r="426">
      <c r="A426" s="16" t="inlineStr">
        <is>
          <t>14815233;fe5068c9-fcf2-4434-a129-809ab28fa7f7;;30001085;ussd_funeral_leads_altitude_20260601;;;;;TDN;6;2026-06-11 15:23:12+02;system;2026-06-08 06:47:44+02;2026-06-08 06:47:44+02;;;;;;;;;27825227102;;;;;;;;;;;;;</t>
        </is>
      </c>
      <c r="B426" s="20" t="n">
        <v>1</v>
      </c>
    </row>
    <row r="427">
      <c r="A427" s="16" t="inlineStr">
        <is>
          <t>14815234;97452f71-f1f5-4d03-8d5c-1d2898550770;;30001085;ussd_funeral_leads_altitude_20260601;;;;;AA;6;2026-06-11 15:23:00+02;system;2026-06-08 06:47:44+02;2026-06-08 06:47:44+02;;;;;;;;;27727566726;;;;;;;;;;;;;</t>
        </is>
      </c>
      <c r="B427" s="20" t="n">
        <v>1</v>
      </c>
    </row>
    <row r="428">
      <c r="A428" s="16" t="inlineStr">
        <is>
          <t>14815235;dbe1aa64-f680-4816-9040-1450eb7ae2fe;;30001085;ussd_funeral_leads_altitude_20260601;;;;;NA;6;2026-06-11 15:23:00+02;system;2026-06-08 06:47:44+02;2026-06-08 06:47:44+02;;;;;;;;;27723107102;;;;;;;;;;;;;</t>
        </is>
      </c>
      <c r="B428" s="20" t="n">
        <v>1</v>
      </c>
    </row>
    <row r="429">
      <c r="A429" s="16" t="inlineStr">
        <is>
          <t>14815236;dd0844fd-7766-49f1-a30e-fdd6c5cfb2d7;;30001085;ussd_funeral_leads_altitude_20260601;;;;;AE;6;2026-06-12 10:08:17+02;system;2026-06-08 06:47:44+02;2026-06-08 06:47:44+02;;;;;;;;;27674443050;;;;;;;;;;;;;</t>
        </is>
      </c>
      <c r="B429" s="20" t="n">
        <v>1</v>
      </c>
    </row>
    <row r="430">
      <c r="A430" s="16" t="inlineStr">
        <is>
          <t>14815238;57c83486-3bdf-49a1-913c-0d8bc0fbf02d;;30001085;ussd_funeral_leads_altitude_20260601;;;;;NA;6;2026-06-11 15:34:38+02;system;2026-06-08 06:47:44+02;2026-06-08 06:47:44+02;;;;;;;;;27660829943;;;;;;;;;;;;;</t>
        </is>
      </c>
      <c r="B430" s="20" t="n">
        <v>1</v>
      </c>
    </row>
    <row r="431">
      <c r="A431" s="16" t="inlineStr">
        <is>
          <t>14815239;93175e44-91f3-48c3-91a2-28460965f69c;;30001085;ussd_funeral_leads_altitude_20260601;;;;;AA;6;2026-06-11 15:26:39+02;system;2026-06-08 06:47:44+02;2026-06-08 06:47:44+02;;;;;;;;;27765538559;;;;;;;;;;;;;</t>
        </is>
      </c>
      <c r="B431" s="20" t="n">
        <v>1</v>
      </c>
    </row>
    <row r="432">
      <c r="A432" s="16" t="inlineStr">
        <is>
          <t>14815240;2baefeda-06a7-4fed-833b-86c2fd1aeb0c;;30001085;ussd_funeral_leads_altitude_20260601;;;;;AA;6;2026-06-11 15:32:58+02;system;2026-06-08 06:47:44+02;2026-06-08 06:47:44+02;;;;;;;;;27790513762;;;;;;;;;;;;;</t>
        </is>
      </c>
      <c r="B432" s="20" t="n">
        <v>1</v>
      </c>
    </row>
    <row r="433">
      <c r="A433" s="16" t="inlineStr">
        <is>
          <t>14815241;656d3ad5-7515-4452-a8e4-edf59152e4a3;;30001085;ussd_funeral_leads_altitude_20260601;;;;;DROP;6;2026-06-11 15:25:54+02;system;2026-06-08 06:47:44+02;2026-06-08 06:47:44+02;;;;;;;;;27768552505;;;;;;;;;;;;;</t>
        </is>
      </c>
      <c r="B433" s="20" t="n">
        <v>1</v>
      </c>
    </row>
    <row r="434">
      <c r="A434" s="16" t="inlineStr">
        <is>
          <t>14815242;550cb461-bda7-4cbc-8ca1-553ca9bee349;;30001085;ussd_funeral_leads_altitude_20260601;;;;;QAVER;2;2026-06-08 14:28:55+02;Vuyiswa Nxumalo;2026-06-08 06:47:44+02;2026-06-08 06:47:44+02;;;;;;;;;27607570535;;;;;;;;;;;;;</t>
        </is>
      </c>
      <c r="B434" s="20" t="n">
        <v>1</v>
      </c>
    </row>
    <row r="435">
      <c r="A435" s="16" t="inlineStr">
        <is>
          <t>14815243;753ec4a4-e615-4498-9c2f-6f585b1e90ef;;30001085;ussd_funeral_leads_altitude_20260601;;;;;A;7;2026-06-12 10:38:19+02;Goitsimang Mogwasa;2026-06-08 06:47:44+02;2026-06-08 06:47:44+02;;;;;;;;;27673310026;;;;;;;;;;;;;</t>
        </is>
      </c>
      <c r="B435" s="20" t="n">
        <v>1</v>
      </c>
    </row>
    <row r="436">
      <c r="A436" s="16" t="inlineStr">
        <is>
          <t>14815245;433c3e2b-283e-4f83-bc7e-649467425f6c;;30001085;ussd_funeral_leads_altitude_20260601;;;;;AA;6;2026-06-11 15:25:47+02;system;2026-06-08 06:47:44+02;2026-06-08 06:47:44+02;;;;;;;;;27664214379;;;;;;;;;;;;;</t>
        </is>
      </c>
      <c r="B436" s="20" t="n">
        <v>1</v>
      </c>
    </row>
    <row r="437">
      <c r="A437" s="16" t="inlineStr">
        <is>
          <t>14815246;38b2bbdd-6cec-47cd-8b6d-d737497d21ed;;30001085;ussd_funeral_leads_altitude_20260601;;;;;NA;6;2026-06-11 15:25:15+02;system;2026-06-08 06:47:44+02;2026-06-08 06:47:44+02;;;;;;;;;27797790491;;;;;;;;;;;;;</t>
        </is>
      </c>
      <c r="B437" s="20" t="n">
        <v>1</v>
      </c>
    </row>
    <row r="438">
      <c r="A438" s="16" t="inlineStr">
        <is>
          <t>14815247;3735e3fb-6042-4481-b7e3-09c072b08fb6;;30001085;ussd_funeral_leads_altitude_20260601;;;;;AE;6;2026-06-11 15:24:52+02;system;2026-06-08 06:47:44+02;2026-06-08 06:47:44+02;;;;;;;;;27723278313;;;;;;;;;;;;;</t>
        </is>
      </c>
      <c r="B438" s="20" t="n">
        <v>1</v>
      </c>
    </row>
    <row r="439">
      <c r="A439" s="16" t="inlineStr">
        <is>
          <t>14815248;dc3ba3dd-b53c-4bce-87e9-6e685b9cb258;;30001085;ussd_funeral_leads_altitude_20260601;;;;;AA;6;2026-06-11 15:26:34+02;system;2026-06-08 06:47:44+02;2026-06-08 06:47:44+02;;;;;;;;;27794255374;;;;;;;;;;;;;</t>
        </is>
      </c>
      <c r="B439" s="20" t="n">
        <v>1</v>
      </c>
    </row>
    <row r="440">
      <c r="A440" s="16" t="inlineStr">
        <is>
          <t>14815249;3073c1e2-305a-494b-865d-c99a114d549d;;30001085;ussd_funeral_leads_altitude_20260601;;;;;NA;6;2026-06-11 15:29:42+02;system;2026-06-08 06:47:44+02;2026-06-08 06:47:44+02;;;;;;;;;27646158976;;;;;;;;;;;;;</t>
        </is>
      </c>
      <c r="B440" s="20" t="n">
        <v>1</v>
      </c>
    </row>
    <row r="441">
      <c r="A441" s="16" t="inlineStr">
        <is>
          <t>14815250;a98fd972-3c27-4a17-b191-ca7f2b2172ee;;30001085;ussd_funeral_leads_altitude_20260601;;;;;AA;6;2026-06-11 15:28:55+02;system;2026-06-08 06:47:44+02;2026-06-08 06:47:44+02;;;;;;;;;27648071911;;;;;;;;;;;;;</t>
        </is>
      </c>
      <c r="B441" s="20" t="n">
        <v>1</v>
      </c>
    </row>
    <row r="442">
      <c r="A442" s="16" t="inlineStr">
        <is>
          <t>14815251;defd5b40-3f21-4f81-8cce-82c5ac3054ca;;30001085;ussd_funeral_leads_altitude_20260601;;;;;AA;6;2026-06-11 15:20:35+02;system;2026-06-08 06:47:44+02;2026-06-08 06:47:44+02;;;;;;;;;27673433968;;;;;;;;;;;;;</t>
        </is>
      </c>
      <c r="B442" s="20" t="n">
        <v>1</v>
      </c>
    </row>
    <row r="443">
      <c r="A443" s="16" t="inlineStr">
        <is>
          <t>14815252;90bd049d-099e-49e7-99cc-7476a3d7e8ae;;30001085;ussd_funeral_leads_altitude_20260601;;;;;CUA;1;2026-06-08 14:19:57+02;Goitsimang Mogwasa;2026-06-08 06:47:44+02;2026-06-08 06:47:44+02;;;;;;;;;27660368640;;;;;;;;;;;;;</t>
        </is>
      </c>
      <c r="B443" s="20" t="n">
        <v>1</v>
      </c>
    </row>
    <row r="444">
      <c r="A444" s="16" t="inlineStr">
        <is>
          <t>14815254;2a771e01-f27e-4018-a370-62880571f1cb;;30001085;ussd_funeral_leads_altitude_20260601;;;;;NA;6;2026-06-11 15:32:41+02;system;2026-06-08 06:47:44+02;2026-06-08 06:47:44+02;;;;;;;;;27674636083;;;;;;;;;;;;;</t>
        </is>
      </c>
      <c r="B444" s="20" t="n">
        <v>1</v>
      </c>
    </row>
    <row r="445">
      <c r="A445" s="16" t="inlineStr">
        <is>
          <t>14815255;9f855902-6e48-43d8-847c-93002fc1eb9f;;30001085;ussd_funeral_leads_altitude_20260601;;;;;AA;6;2026-06-11 15:18:26+02;system;2026-06-08 06:47:44+02;2026-06-08 06:47:44+02;;;;;;;;;27715378342;;;;;;;;;;;;;</t>
        </is>
      </c>
      <c r="B445" s="20" t="n">
        <v>1</v>
      </c>
    </row>
    <row r="446">
      <c r="A446" s="16" t="inlineStr">
        <is>
          <t>14815256;02932e73-adf8-49cf-b08d-c34909c51d8d;;30001085;ussd_funeral_leads_altitude_20260601;;;;;AA;6;2026-06-11 15:17:22+02;system;2026-06-08 06:47:44+02;2026-06-08 06:47:44+02;;;;;;;;;27774725838;;;;;;;;;;;;;</t>
        </is>
      </c>
      <c r="B446" s="20" t="n">
        <v>1</v>
      </c>
    </row>
    <row r="447">
      <c r="A447" s="16" t="inlineStr">
        <is>
          <t>14815257;808a7523-c56b-4b8e-aac0-96ed28c36323;;30001085;ussd_funeral_leads_altitude_20260601;;;;;ADC;6;2026-06-11 15:15:51+02;system;2026-06-08 06:47:44+02;2026-06-08 06:47:44+02;;;;;;;;;27823669080;;;;;;;;;;;;;</t>
        </is>
      </c>
      <c r="B447" s="20" t="n">
        <v>1</v>
      </c>
    </row>
    <row r="448">
      <c r="A448" s="16" t="inlineStr">
        <is>
          <t>14815258;be53677e-b297-4eca-a5bd-7b7f13ab7b6d;;30001085;ussd_funeral_leads_altitude_20260601;;;;;AA;6;2026-06-11 15:14:42+02;system;2026-06-08 06:47:44+02;2026-06-08 06:47:44+02;;;;;;;;;27648521827;;;;;;;;;;;;;</t>
        </is>
      </c>
      <c r="B448" s="20" t="n">
        <v>1</v>
      </c>
    </row>
    <row r="449">
      <c r="A449" s="16" t="inlineStr">
        <is>
          <t>14815259;4039fd8d-2b6e-4e07-bc6c-19cb21a3d403;;30001085;ussd_funeral_leads_altitude_20260601;;;;;ADC;6;2026-06-12 08:07:38+02;system;2026-06-08 06:47:44+02;2026-06-08 06:47:44+02;;;;;;;;;27791456827;;;;;;;;;;;;;</t>
        </is>
      </c>
      <c r="B449" s="20" t="n">
        <v>1</v>
      </c>
    </row>
    <row r="450">
      <c r="A450" s="16" t="inlineStr">
        <is>
          <t>14815260;cf415718-d412-49eb-9106-ed25f4f85a4d;;30001085;ussd_funeral_leads_altitude_20260601;;;;;TDN;6;2026-06-11 15:13:30+02;system;2026-06-08 06:47:44+02;2026-06-08 06:47:44+02;;;;;;;;;27765938917;;;;;;;;;;;;;</t>
        </is>
      </c>
      <c r="B450" s="20" t="n">
        <v>1</v>
      </c>
    </row>
    <row r="451">
      <c r="A451" s="16" t="inlineStr">
        <is>
          <t>14815261;09fc3b20-497d-4b15-9f7a-9cb2bf90b670;;30001085;ussd_funeral_leads_altitude_20260601;;;;;AE;6;2026-06-11 15:10:52+02;system;2026-06-08 06:47:44+02;2026-06-08 06:47:44+02;;;;;;;;;27793790400;;;;;;;;;;;;;</t>
        </is>
      </c>
      <c r="B451" s="20" t="n">
        <v>1</v>
      </c>
    </row>
    <row r="452">
      <c r="A452" s="16" t="inlineStr">
        <is>
          <t>14815262;2f7216c9-02cb-4684-a0a4-c2ba6143dbbe;;30001085;ussd_funeral_leads_altitude_20260601;;;;;AA;6;2026-06-11 15:08:40+02;system;2026-06-08 06:47:44+02;2026-06-08 06:47:44+02;;;;;;;;;27765000697;;;;;;;;;;;;;</t>
        </is>
      </c>
      <c r="B452" s="20" t="n">
        <v>1</v>
      </c>
    </row>
    <row r="453">
      <c r="A453" s="16" t="inlineStr">
        <is>
          <t>14815263;db63b5d6-294f-4b77-8b71-bc3044c6ab0c;;30001085;ussd_funeral_leads_altitude_20260601;;;;;NA;6;2026-06-11 15:06:34+02;system;2026-06-08 06:47:44+02;2026-06-08 06:47:44+02;;;;;;;;;27607372152;;;;;;;;;;;;;</t>
        </is>
      </c>
      <c r="B453" s="20" t="n">
        <v>1</v>
      </c>
    </row>
    <row r="454">
      <c r="A454" s="16" t="inlineStr">
        <is>
          <t>14815264;6ff693fb-6c08-4c57-aed8-f186fd8c8c1b;;30001085;ussd_funeral_leads_altitude_20260601;;;;;NA;6;2026-06-11 14:57:48+02;system;2026-06-08 06:47:44+02;2026-06-08 06:47:44+02;;;;;;;;;27763397442;;;;;;;;;;;;;</t>
        </is>
      </c>
      <c r="B454" s="20" t="n">
        <v>1</v>
      </c>
    </row>
    <row r="455">
      <c r="A455" s="16" t="inlineStr">
        <is>
          <t>14815265;01c689a0-2943-4937-aa00-28e589d1228c;;30001085;ussd_funeral_leads_altitude_20260601;;;;;ADC;6;2026-06-11 14:53:08+02;system;2026-06-08 06:47:44+02;2026-06-08 06:47:44+02;;;;;;;;;27795138901;;;;;;;;;;;;;</t>
        </is>
      </c>
      <c r="B455" s="20" t="n">
        <v>1</v>
      </c>
    </row>
    <row r="456">
      <c r="A456" s="16" t="inlineStr">
        <is>
          <t>14815266;f8a0ec1e-675a-408c-a869-781d5fb8f3ed;;30001085;ussd_funeral_leads_altitude_20260601;;;;;AE;6;2026-06-11 14:49:15+02;system;2026-06-08 06:47:44+02;2026-06-08 06:47:44+02;;;;;;;;;27724210898;;;;;;;;;;;;;</t>
        </is>
      </c>
      <c r="B456" s="20" t="n">
        <v>1</v>
      </c>
    </row>
    <row r="457">
      <c r="A457" s="16" t="inlineStr">
        <is>
          <t>14815268;34a693b6-c38d-4060-b0a9-f7df5cc0248a;;30001085;ussd_funeral_leads_altitude_20260601;;;;;AA;6;2026-06-11 15:04:48+02;system;2026-06-08 06:47:44+02;2026-06-08 06:47:44+02;;;;;;;;;27646678606;;;;;;;;;;;;;</t>
        </is>
      </c>
      <c r="B457" s="20" t="n">
        <v>1</v>
      </c>
    </row>
    <row r="458">
      <c r="A458" s="16" t="inlineStr">
        <is>
          <t>14815269;b6dbe4d1-c4f1-4074-9cb9-11b0c472576a;;30001085;ussd_funeral_leads_altitude_20260601;;;;;CU;6;2026-06-11 14:46:21+02;Lebohang Mabotja;2026-06-08 06:47:44+02;2026-06-08 06:47:44+02;;;;;;;;;27762502689;;;;;;;;;;;;;</t>
        </is>
      </c>
      <c r="B458" s="20" t="n">
        <v>1</v>
      </c>
    </row>
    <row r="459">
      <c r="A459" s="16" t="inlineStr">
        <is>
          <t>14815270;4bd05b47-1db5-4489-ba1f-ff18d6b2bc5f;;30001085;ussd_funeral_leads_altitude_20260601;;;;;NA;6;2026-06-11 14:45:23+02;system;2026-06-08 06:47:44+02;2026-06-08 06:47:44+02;;;;;;;;;27729682904;;;;;;;;;;;;;</t>
        </is>
      </c>
      <c r="B459" s="20" t="n">
        <v>1</v>
      </c>
    </row>
    <row r="460">
      <c r="A460" s="16" t="inlineStr">
        <is>
          <t>14815271;6512d763-0d2b-4138-bad8-142532f8062f;;30001085;ussd_funeral_leads_altitude_20260601;;;;;TDN;6;2026-06-11 14:42:46+02;system;2026-06-08 06:47:44+02;2026-06-08 06:47:44+02;;;;;;;;;27792913191;;;;;;;;;;;;;</t>
        </is>
      </c>
      <c r="B460" s="20" t="n">
        <v>1</v>
      </c>
    </row>
    <row r="461">
      <c r="A461" s="16" t="inlineStr">
        <is>
          <t>14815272;32ff409d-e7b8-4078-9c6f-0b9bbd88f159;;30001085;ussd_funeral_leads_altitude_20260601;;;;;AA;6;2026-06-11 15:02:52+02;system;2026-06-08 06:47:44+02;2026-06-08 06:47:44+02;;;;;;;;;27636725756;;;;;;;;;;;;;</t>
        </is>
      </c>
      <c r="B461" s="20" t="n">
        <v>1</v>
      </c>
    </row>
    <row r="462">
      <c r="A462" s="21" t="inlineStr">
        <is>
          <t>Grand Total</t>
        </is>
      </c>
      <c r="B462" s="21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2026-07-05T20:20:35Z</dcterms:created>
  <dcterms:modified xsi:type="dcterms:W3CDTF">2026-07-05T20:20:37Z</dcterms:modified>
</cp:coreProperties>
</file>