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" sheetId="1" r:id="rId1"/>
    <sheet name="Pivot" sheetId="2" r:id="rId2"/>
    <sheet name="Campaign Analysis" sheetId="3" r:id="rId3"/>
  </sheets>
  <calcPr calcId="124519" fullCalcOnLoad="1"/>
</workbook>
</file>

<file path=xl/sharedStrings.xml><?xml version="1.0" encoding="utf-8"?>
<sst xmlns="http://schemas.openxmlformats.org/spreadsheetml/2006/main" count="110124" uniqueCount="35407">
  <si>
    <t>Contact Id</t>
  </si>
  <si>
    <t>Customer Id</t>
  </si>
  <si>
    <t>Lead Reference</t>
  </si>
  <si>
    <t>List Id</t>
  </si>
  <si>
    <t>List Name</t>
  </si>
  <si>
    <t>Title</t>
  </si>
  <si>
    <t>Firstname</t>
  </si>
  <si>
    <t>Lastname</t>
  </si>
  <si>
    <t>Gender</t>
  </si>
  <si>
    <t>Last Outcome</t>
  </si>
  <si>
    <t>Outcome Description</t>
  </si>
  <si>
    <t>Called Count</t>
  </si>
  <si>
    <t>Last Called Date</t>
  </si>
  <si>
    <t>Last User</t>
  </si>
  <si>
    <t>Created At</t>
  </si>
  <si>
    <t>Updated At</t>
  </si>
  <si>
    <t>Address1</t>
  </si>
  <si>
    <t>Address2</t>
  </si>
  <si>
    <t>Address3</t>
  </si>
  <si>
    <t>Town</t>
  </si>
  <si>
    <t>County</t>
  </si>
  <si>
    <t>Country</t>
  </si>
  <si>
    <t>Postcode</t>
  </si>
  <si>
    <t>Email Address</t>
  </si>
  <si>
    <t>Tel1</t>
  </si>
  <si>
    <t>Tel2</t>
  </si>
  <si>
    <t>Tel3</t>
  </si>
  <si>
    <t>Tel4</t>
  </si>
  <si>
    <t>Tel5</t>
  </si>
  <si>
    <t>Tel6</t>
  </si>
  <si>
    <t>Owner Username</t>
  </si>
  <si>
    <t>Security Phrase</t>
  </si>
  <si>
    <t>Source Reference</t>
  </si>
  <si>
    <t>Industry</t>
  </si>
  <si>
    <t>Company Name</t>
  </si>
  <si>
    <t>Website</t>
  </si>
  <si>
    <t>Customer Reference</t>
  </si>
  <si>
    <t>Dob</t>
  </si>
  <si>
    <t>13560079</t>
  </si>
  <si>
    <t>872321b4-e567-4bc0-a997-334b40198d77</t>
  </si>
  <si>
    <t>300001075</t>
  </si>
  <si>
    <t>Prepaid Leads_Funeral_20260304</t>
  </si>
  <si>
    <t>CU</t>
  </si>
  <si>
    <t>Client Hung Up</t>
  </si>
  <si>
    <t>2026-03-09 12:31:49</t>
  </si>
  <si>
    <t>Kamogelo Matheba</t>
  </si>
  <si>
    <t>2026-03-04 08:40:28</t>
  </si>
  <si>
    <t>27797844032</t>
  </si>
  <si>
    <t>13557433</t>
  </si>
  <si>
    <t>666600a0-15be-4c47-8220-d82e4af03b07</t>
  </si>
  <si>
    <t>N</t>
  </si>
  <si>
    <t>No Answer</t>
  </si>
  <si>
    <t>2026-03-09 12:31:44</t>
  </si>
  <si>
    <t>Lwazi Dlamini</t>
  </si>
  <si>
    <t>27763598121</t>
  </si>
  <si>
    <t>13555643</t>
  </si>
  <si>
    <t>317edb25-bf15-4902-a486-8deb3fefe63f</t>
  </si>
  <si>
    <t>2026-03-09 12:31:37</t>
  </si>
  <si>
    <t>Tshepiso Thupi</t>
  </si>
  <si>
    <t>27712482794</t>
  </si>
  <si>
    <t>13563554</t>
  </si>
  <si>
    <t>01051d19-e2c9-41e9-a511-355072008b2c</t>
  </si>
  <si>
    <t>ADC</t>
  </si>
  <si>
    <t>Auto Dial Disconnected</t>
  </si>
  <si>
    <t>system</t>
  </si>
  <si>
    <t>27608303773</t>
  </si>
  <si>
    <t>13563580</t>
  </si>
  <si>
    <t>f0c28244-8bfc-4fb1-bb54-f981bf5ed952</t>
  </si>
  <si>
    <t>AE</t>
  </si>
  <si>
    <t>Auto Engaged</t>
  </si>
  <si>
    <t>27712531356</t>
  </si>
  <si>
    <t>13563537</t>
  </si>
  <si>
    <t>714c3c2c-f6d2-4953-a8a7-bbc91ff5826c</t>
  </si>
  <si>
    <t>27738969091</t>
  </si>
  <si>
    <t>13563485</t>
  </si>
  <si>
    <t>9431f968-782b-4cf8-b834-ae64330e29eb</t>
  </si>
  <si>
    <t>AA</t>
  </si>
  <si>
    <t>Answering Machine Autodial</t>
  </si>
  <si>
    <t>2026-03-09 12:31:36</t>
  </si>
  <si>
    <t>27712401656</t>
  </si>
  <si>
    <t>13563492</t>
  </si>
  <si>
    <t>2deab502-3b22-42a3-83f5-b363f1e5b43e</t>
  </si>
  <si>
    <t>27728487609</t>
  </si>
  <si>
    <t>13555239</t>
  </si>
  <si>
    <t>d84236f8-c170-4bfa-9109-ecf70a98b8a5</t>
  </si>
  <si>
    <t>2026-03-09 12:31:35</t>
  </si>
  <si>
    <t>27660460462</t>
  </si>
  <si>
    <t>13560217</t>
  </si>
  <si>
    <t>bef20362-ca43-4ff9-86ac-8e43e93c60a3</t>
  </si>
  <si>
    <t>27718095451</t>
  </si>
  <si>
    <t>13560199</t>
  </si>
  <si>
    <t>527dcd7a-89f3-4d2e-a4f6-8781c285d69d</t>
  </si>
  <si>
    <t>27769747581</t>
  </si>
  <si>
    <t>13559582</t>
  </si>
  <si>
    <t>96aec67f-39b3-4917-b822-694ba6468ed5</t>
  </si>
  <si>
    <t>27828808824</t>
  </si>
  <si>
    <t>13560384</t>
  </si>
  <si>
    <t>fd7ebf9f-c0fb-4725-b977-df26a3807716</t>
  </si>
  <si>
    <t>27824409354</t>
  </si>
  <si>
    <t>13562845</t>
  </si>
  <si>
    <t>f44a5124-2bd8-4300-8185-def96c0240e5</t>
  </si>
  <si>
    <t>27729709286</t>
  </si>
  <si>
    <t>13563335</t>
  </si>
  <si>
    <t>bb90e4c3-974d-4c23-a36a-105267b4f576</t>
  </si>
  <si>
    <t>27649930461</t>
  </si>
  <si>
    <t>13563404</t>
  </si>
  <si>
    <t>c8329e96-a933-4b0b-aa5b-ea829d60ec14</t>
  </si>
  <si>
    <t>27649417631</t>
  </si>
  <si>
    <t>13557805</t>
  </si>
  <si>
    <t>228418fa-b54a-40ad-9817-7cdc0a934f3a</t>
  </si>
  <si>
    <t>2026-03-09 12:31:34</t>
  </si>
  <si>
    <t>27767568003</t>
  </si>
  <si>
    <t>13557835</t>
  </si>
  <si>
    <t>cf5cefe6-7f0e-41d7-a289-f163721f8d96</t>
  </si>
  <si>
    <t>27767819305</t>
  </si>
  <si>
    <t>13557839</t>
  </si>
  <si>
    <t>81ed9681-7729-434d-888d-274f35df18ad</t>
  </si>
  <si>
    <t>27767850410</t>
  </si>
  <si>
    <t>13557840</t>
  </si>
  <si>
    <t>3397ac7a-26d6-408c-a6db-b4d8368fe214</t>
  </si>
  <si>
    <t>27767865845</t>
  </si>
  <si>
    <t>13563664</t>
  </si>
  <si>
    <t>ad2a4e54-09ae-4fb9-be60-0c0d504b9a0a</t>
  </si>
  <si>
    <t>27607263940</t>
  </si>
  <si>
    <t>13557708</t>
  </si>
  <si>
    <t>3e427c2f-a219-4d69-b15a-7bddf5b1d5ea</t>
  </si>
  <si>
    <t>2026-03-09 12:31:33</t>
  </si>
  <si>
    <t>27766609669</t>
  </si>
  <si>
    <t>13557738</t>
  </si>
  <si>
    <t>eb46aac1-f93d-4d74-8a0d-c828671fd5e6</t>
  </si>
  <si>
    <t>27766840687</t>
  </si>
  <si>
    <t>13557754</t>
  </si>
  <si>
    <t>1da73d8c-6e12-41c3-9161-a065d4bfb0fa</t>
  </si>
  <si>
    <t>27767000303</t>
  </si>
  <si>
    <t>13557802</t>
  </si>
  <si>
    <t>1ea889ad-5acc-4168-889e-ab7cb54b4661</t>
  </si>
  <si>
    <t>27767529246</t>
  </si>
  <si>
    <t>13556635</t>
  </si>
  <si>
    <t>88e3590e-ab47-4eae-bc49-1a2e35ac4724</t>
  </si>
  <si>
    <t>CBACK</t>
  </si>
  <si>
    <t>Callback</t>
  </si>
  <si>
    <t>2026-03-09 12:31:32</t>
  </si>
  <si>
    <t>Gugu Nkosi</t>
  </si>
  <si>
    <t>27725758907</t>
  </si>
  <si>
    <t>13557152</t>
  </si>
  <si>
    <t>d6b5304e-ea58-4626-b0e4-d4dcaf12546b</t>
  </si>
  <si>
    <t>27760694718</t>
  </si>
  <si>
    <t>13557163</t>
  </si>
  <si>
    <t>cbedf6b5-4cf8-4f90-bfb7-dd5621c72cfc</t>
  </si>
  <si>
    <t>27760798178</t>
  </si>
  <si>
    <t>13557165</t>
  </si>
  <si>
    <t>bef7e8aa-a404-4e79-a96d-b9c6ad90fa47</t>
  </si>
  <si>
    <t>27760816854</t>
  </si>
  <si>
    <t>13557255</t>
  </si>
  <si>
    <t>95a0b205-8f49-4dfc-a6cf-4fd634aa3f5a</t>
  </si>
  <si>
    <t>27761777301</t>
  </si>
  <si>
    <t>13557273</t>
  </si>
  <si>
    <t>11430fee-fd72-409d-9249-d6832ffdb5ff</t>
  </si>
  <si>
    <t>27761949757</t>
  </si>
  <si>
    <t>13557302</t>
  </si>
  <si>
    <t>b20e86b8-717d-459d-bf56-d8a07f91d18b</t>
  </si>
  <si>
    <t>27762265563</t>
  </si>
  <si>
    <t>13555416</t>
  </si>
  <si>
    <t>a522c559-6537-4cf4-b1fe-0a2c86e40c05</t>
  </si>
  <si>
    <t>2026-03-09 12:31:31</t>
  </si>
  <si>
    <t>Khensane Malele</t>
  </si>
  <si>
    <t>27665079637</t>
  </si>
  <si>
    <t>13555632</t>
  </si>
  <si>
    <t>d1e75482-2601-46c9-ac2e-427345d0d970</t>
  </si>
  <si>
    <t>27712319509</t>
  </si>
  <si>
    <t>13558215</t>
  </si>
  <si>
    <t>a572e757-0058-440d-b7ba-901ef0ad802c</t>
  </si>
  <si>
    <t>2026-03-09 12:31:30</t>
  </si>
  <si>
    <t>Sonia Mazuze</t>
  </si>
  <si>
    <t>27791402582</t>
  </si>
  <si>
    <t>13560838</t>
  </si>
  <si>
    <t>2a62f59e-a70b-4a63-8145-422a6a9c2b73</t>
  </si>
  <si>
    <t>2026-03-09 12:30:23</t>
  </si>
  <si>
    <t>Julia Jinxi</t>
  </si>
  <si>
    <t>27711876735</t>
  </si>
  <si>
    <t>13554973</t>
  </si>
  <si>
    <t>5666a55a-4f0c-4e5a-b222-0c24fdf3bb76</t>
  </si>
  <si>
    <t>NA</t>
  </si>
  <si>
    <t>No Answer Autodial</t>
  </si>
  <si>
    <t>2026-03-09 12:29:40</t>
  </si>
  <si>
    <t>27636530907</t>
  </si>
  <si>
    <t>13563265</t>
  </si>
  <si>
    <t>07e88b3d-4199-4e7a-8d89-a3f4915f8ea9</t>
  </si>
  <si>
    <t>27791849533</t>
  </si>
  <si>
    <t>13563284</t>
  </si>
  <si>
    <t>4144702c-5629-4b21-8f22-9f9110a9e020</t>
  </si>
  <si>
    <t>27664587031</t>
  </si>
  <si>
    <t>13563248</t>
  </si>
  <si>
    <t>2a9ff68d-1503-4c54-80b6-a0c17e5c2dbf</t>
  </si>
  <si>
    <t>27763812271</t>
  </si>
  <si>
    <t>13558231</t>
  </si>
  <si>
    <t>608fbf6b-1a40-4d49-88b2-7486b905359f</t>
  </si>
  <si>
    <t>2026-03-09 12:29:37</t>
  </si>
  <si>
    <t>27791602358</t>
  </si>
  <si>
    <t>13559670</t>
  </si>
  <si>
    <t>76ada485-29cb-4e0a-9136-3eb4c9b5c960</t>
  </si>
  <si>
    <t>27839424596</t>
  </si>
  <si>
    <t>13559688</t>
  </si>
  <si>
    <t>1e6f8f16-8b18-4ad0-be8c-1161a90d7bdc</t>
  </si>
  <si>
    <t>27848864790</t>
  </si>
  <si>
    <t>13561404</t>
  </si>
  <si>
    <t>e0a61969-dda5-4341-8d10-02024d66927f</t>
  </si>
  <si>
    <t>27715314538</t>
  </si>
  <si>
    <t>13562893</t>
  </si>
  <si>
    <t>a44247b2-d2f8-4158-82b1-74fa7b9af173</t>
  </si>
  <si>
    <t>Khosi Sithole</t>
  </si>
  <si>
    <t>27721796701</t>
  </si>
  <si>
    <t>13558135</t>
  </si>
  <si>
    <t>4a6522ce-84d1-4563-b727-84497556ca06</t>
  </si>
  <si>
    <t>2026-03-09 12:29:36</t>
  </si>
  <si>
    <t>27790447781</t>
  </si>
  <si>
    <t>13558178</t>
  </si>
  <si>
    <t>132de6e8-3ff8-44b6-90d3-e9785621d473</t>
  </si>
  <si>
    <t>Angelina Nyambi</t>
  </si>
  <si>
    <t>27791019243</t>
  </si>
  <si>
    <t>13558189</t>
  </si>
  <si>
    <t>7e7f5ad4-e4e5-46a6-9cd5-c153ae281b0b</t>
  </si>
  <si>
    <t>27791147207</t>
  </si>
  <si>
    <t>13558207</t>
  </si>
  <si>
    <t>1022fc61-4737-426c-ab10-b81421caad60</t>
  </si>
  <si>
    <t>27791300778</t>
  </si>
  <si>
    <t>13557694</t>
  </si>
  <si>
    <t>14fe183e-8ee1-4a93-be15-fcc1cd5de12f</t>
  </si>
  <si>
    <t>2026-03-09 12:29:34</t>
  </si>
  <si>
    <t>27766421876</t>
  </si>
  <si>
    <t>13558057</t>
  </si>
  <si>
    <t>c1126fce-b4f0-4e63-914e-6436dd9a54e9</t>
  </si>
  <si>
    <t>27774327263</t>
  </si>
  <si>
    <t>13558080</t>
  </si>
  <si>
    <t>42e0010e-8a8f-47ba-90ee-c9d8c260cabd</t>
  </si>
  <si>
    <t>27784707811</t>
  </si>
  <si>
    <t>13558082</t>
  </si>
  <si>
    <t>6c3ead5b-3287-4531-8565-54d72a85e372</t>
  </si>
  <si>
    <t>27784898536</t>
  </si>
  <si>
    <t>13558029</t>
  </si>
  <si>
    <t>bf492db0-559d-4e06-b02a-e2c0ec345f5b</t>
  </si>
  <si>
    <t>27769918987</t>
  </si>
  <si>
    <t>13557528</t>
  </si>
  <si>
    <t>faeac942-fa43-4128-98de-c89359809419</t>
  </si>
  <si>
    <t>2026-03-09 12:29:32</t>
  </si>
  <si>
    <t>27764780135</t>
  </si>
  <si>
    <t>13557682</t>
  </si>
  <si>
    <t>821d945d-c5f7-466e-9434-8c205c89f7cf</t>
  </si>
  <si>
    <t>NI</t>
  </si>
  <si>
    <t>Not Interested</t>
  </si>
  <si>
    <t>27766326784</t>
  </si>
  <si>
    <t>13555511</t>
  </si>
  <si>
    <t>960773f9-a8be-4b7c-ae3d-27ea58774743</t>
  </si>
  <si>
    <t>2026-03-09 12:29:30</t>
  </si>
  <si>
    <t>27681094831</t>
  </si>
  <si>
    <t>13556860</t>
  </si>
  <si>
    <t>5bbb80e4-2d9d-469f-824b-461811e6a4c2</t>
  </si>
  <si>
    <t>Portia Ncongwane</t>
  </si>
  <si>
    <t>27728103824</t>
  </si>
  <si>
    <t>13558445</t>
  </si>
  <si>
    <t>bb295406-dd98-4a46-af10-403bc3ce848c</t>
  </si>
  <si>
    <t>27794097515</t>
  </si>
  <si>
    <t>13557511</t>
  </si>
  <si>
    <t>fb76f843-8a0b-4354-9e2a-7a2ac909706d</t>
  </si>
  <si>
    <t>A</t>
  </si>
  <si>
    <t>Answering Machine</t>
  </si>
  <si>
    <t>kate matye</t>
  </si>
  <si>
    <t>27764629526</t>
  </si>
  <si>
    <t>13555367</t>
  </si>
  <si>
    <t>5588a7ed-8b40-4113-8fd2-db19fbc54357</t>
  </si>
  <si>
    <t>2026-03-09 12:29:29</t>
  </si>
  <si>
    <t>27664101673</t>
  </si>
  <si>
    <t>13555323</t>
  </si>
  <si>
    <t>0872569d-d84f-42e5-9582-ba3b30c1bdcc</t>
  </si>
  <si>
    <t>27663131978</t>
  </si>
  <si>
    <t>13555349</t>
  </si>
  <si>
    <t>66c2adf4-2a35-41a9-b9e0-a21c4bd8adc6</t>
  </si>
  <si>
    <t>27663845286</t>
  </si>
  <si>
    <t>13555308</t>
  </si>
  <si>
    <t>91d30786-bbd5-48ed-8724-6aae7f301b44</t>
  </si>
  <si>
    <t>2026-03-09 12:29:28</t>
  </si>
  <si>
    <t>27661725812</t>
  </si>
  <si>
    <t>13555276</t>
  </si>
  <si>
    <t>e55676e8-2ebd-4ed4-bfbe-1a83108223c0</t>
  </si>
  <si>
    <t>2026-03-09 12:29:24</t>
  </si>
  <si>
    <t>27661070529</t>
  </si>
  <si>
    <t>13562219</t>
  </si>
  <si>
    <t>a5fcc8f2-aabd-47c9-b327-6c75e68ce922</t>
  </si>
  <si>
    <t>CB</t>
  </si>
  <si>
    <t>Busy Tone</t>
  </si>
  <si>
    <t>2026-03-09 12:29:23</t>
  </si>
  <si>
    <t>Lebogang Kekana</t>
  </si>
  <si>
    <t>27798002204</t>
  </si>
  <si>
    <t>13560083</t>
  </si>
  <si>
    <t>6c3b6d8a-0a23-4cd3-9b75-3f9163ebea54</t>
  </si>
  <si>
    <t>2026-03-09 12:29:05</t>
  </si>
  <si>
    <t>Samukelisiwe Andile Zwane</t>
  </si>
  <si>
    <t>27648651258</t>
  </si>
  <si>
    <t>13563351</t>
  </si>
  <si>
    <t>8790df7e-0a60-4933-9913-0d2b6696a541</t>
  </si>
  <si>
    <t>2026-03-09 12:29:02</t>
  </si>
  <si>
    <t>27761389322</t>
  </si>
  <si>
    <t>13561049</t>
  </si>
  <si>
    <t>e153a4b2-9a66-411f-8370-b7d94daee67d</t>
  </si>
  <si>
    <t>2026-03-09 12:28:54</t>
  </si>
  <si>
    <t>Lefa Tsotetsi</t>
  </si>
  <si>
    <t>27674840846</t>
  </si>
  <si>
    <t>13559136</t>
  </si>
  <si>
    <t>3f0347ae-f666-4af4-a874-30c2e4884522</t>
  </si>
  <si>
    <t>2026-03-09 12:28:43</t>
  </si>
  <si>
    <t>Morongwa Kekana</t>
  </si>
  <si>
    <t>27823456604</t>
  </si>
  <si>
    <t>13559311</t>
  </si>
  <si>
    <t>ab967e95-6274-40a0-98d5-d1912161e4da</t>
  </si>
  <si>
    <t>2026-03-09 12:28:16</t>
  </si>
  <si>
    <t>Dikeledi Palaki</t>
  </si>
  <si>
    <t>27825386770</t>
  </si>
  <si>
    <t>13557328</t>
  </si>
  <si>
    <t>b8934d8e-b63d-45d8-b513-f89708a1d546</t>
  </si>
  <si>
    <t>2026-03-09 12:27:38</t>
  </si>
  <si>
    <t>27762532203</t>
  </si>
  <si>
    <t>13563120</t>
  </si>
  <si>
    <t>28c52909-6796-4a62-979e-c1621ec3638b</t>
  </si>
  <si>
    <t>2026-03-09 12:27:36</t>
  </si>
  <si>
    <t>27725608840</t>
  </si>
  <si>
    <t>13563134</t>
  </si>
  <si>
    <t>3f682688-9911-4a9e-a43e-c73da47de4d7</t>
  </si>
  <si>
    <t>27729240934</t>
  </si>
  <si>
    <t>13563145</t>
  </si>
  <si>
    <t>ff4b55a4-b1fc-4a2b-be53-0f1eac81456d</t>
  </si>
  <si>
    <t>27607969948</t>
  </si>
  <si>
    <t>13555100</t>
  </si>
  <si>
    <t>68bb86de-6369-495c-832e-eedd0fe4e5ce</t>
  </si>
  <si>
    <t>2026-03-09 12:27:35</t>
  </si>
  <si>
    <t>27647873976</t>
  </si>
  <si>
    <t>13563093</t>
  </si>
  <si>
    <t>06e1c7ff-33f2-4834-9df1-f5bd68901d74</t>
  </si>
  <si>
    <t>27767294288</t>
  </si>
  <si>
    <t>13563184</t>
  </si>
  <si>
    <t>51782be0-1987-40f3-af68-48665df39508</t>
  </si>
  <si>
    <t>27767102259</t>
  </si>
  <si>
    <t>13555209</t>
  </si>
  <si>
    <t>91071303-3747-4c97-b4dc-29edb1016b22</t>
  </si>
  <si>
    <t>2026-03-09 12:27:34</t>
  </si>
  <si>
    <t>27649998939</t>
  </si>
  <si>
    <t>13559775</t>
  </si>
  <si>
    <t>696f2fae-86ab-4347-a41a-59cba22025b9</t>
  </si>
  <si>
    <t>27608149377</t>
  </si>
  <si>
    <t>13559812</t>
  </si>
  <si>
    <t>64614b6f-e536-4ec2-ad5d-ba0e952b0466</t>
  </si>
  <si>
    <t>Kelly Dube</t>
  </si>
  <si>
    <t>27647018618</t>
  </si>
  <si>
    <t>13561304</t>
  </si>
  <si>
    <t>d80e3537-0086-479f-ad5c-b0a5e7852f8f</t>
  </si>
  <si>
    <t>27716542971</t>
  </si>
  <si>
    <t>13563188</t>
  </si>
  <si>
    <t>03abdf10-bc0d-4b5b-90a6-46d535c6bd5f</t>
  </si>
  <si>
    <t>27791989888</t>
  </si>
  <si>
    <t>13558662</t>
  </si>
  <si>
    <t>62141eb3-490c-4854-b5ab-ffbc00691ae5</t>
  </si>
  <si>
    <t>2026-03-09 12:27:33</t>
  </si>
  <si>
    <t>27796656979</t>
  </si>
  <si>
    <t>13558677</t>
  </si>
  <si>
    <t>87fba223-3f84-4a87-a1bf-2effafcce3bc</t>
  </si>
  <si>
    <t>27796805216</t>
  </si>
  <si>
    <t>13558876</t>
  </si>
  <si>
    <t>1a8b4f5f-33ab-4780-a568-c994809630be</t>
  </si>
  <si>
    <t>27799526632</t>
  </si>
  <si>
    <t>13559156</t>
  </si>
  <si>
    <t>33e774da-d825-47ed-a749-56b115db370e</t>
  </si>
  <si>
    <t>27823613589</t>
  </si>
  <si>
    <t>13559720</t>
  </si>
  <si>
    <t>f0459b52-bc9e-4233-9f38-5e99d05f0a55</t>
  </si>
  <si>
    <t>Freda Masopoga</t>
  </si>
  <si>
    <t>27637492650</t>
  </si>
  <si>
    <t>13558633</t>
  </si>
  <si>
    <t>53d1edf9-4efa-4bda-bd5d-d91d46d90b7b</t>
  </si>
  <si>
    <t>2026-03-09 12:27:32</t>
  </si>
  <si>
    <t>27796306922</t>
  </si>
  <si>
    <t>13558598</t>
  </si>
  <si>
    <t>89d72b47-2236-4dc4-9797-4496ca71e424</t>
  </si>
  <si>
    <t>2026-03-09 12:27:31</t>
  </si>
  <si>
    <t>27795976795</t>
  </si>
  <si>
    <t>13558586</t>
  </si>
  <si>
    <t>a4d211bc-da73-42a3-8295-a0a018e15e21</t>
  </si>
  <si>
    <t>27795802071</t>
  </si>
  <si>
    <t>13558531</t>
  </si>
  <si>
    <t>68163620-dd4b-40ef-8c53-a441872284ac</t>
  </si>
  <si>
    <t>2026-03-09 12:27:30</t>
  </si>
  <si>
    <t>27794983469</t>
  </si>
  <si>
    <t>13558545</t>
  </si>
  <si>
    <t>7863cc47-8d92-42e1-894e-c801bf910d9d</t>
  </si>
  <si>
    <t>27795331423</t>
  </si>
  <si>
    <t>13558583</t>
  </si>
  <si>
    <t>aa3e6c9e-dfc8-414a-b09a-c86011b0272e</t>
  </si>
  <si>
    <t>27795771256</t>
  </si>
  <si>
    <t>13558263</t>
  </si>
  <si>
    <t>8e41e7d4-7c82-40a5-b505-9cd5335d296d</t>
  </si>
  <si>
    <t>2026-03-09 12:27:29</t>
  </si>
  <si>
    <t>27791958202</t>
  </si>
  <si>
    <t>13557669</t>
  </si>
  <si>
    <t>f18dde40-4eeb-4d65-911c-b20517637244</t>
  </si>
  <si>
    <t>2026-03-09 12:27:28</t>
  </si>
  <si>
    <t>27766252759</t>
  </si>
  <si>
    <t>13557585</t>
  </si>
  <si>
    <t>2760af8d-b68c-4674-92b7-c2fd1396a69d</t>
  </si>
  <si>
    <t>27765390657</t>
  </si>
  <si>
    <t>13557701</t>
  </si>
  <si>
    <t>7f9c2d05-e854-4066-9add-bc90c24ed59d</t>
  </si>
  <si>
    <t>27766478601</t>
  </si>
  <si>
    <t>13557615</t>
  </si>
  <si>
    <t>e7ccd3d6-4049-43dc-8a2e-37d3e33260e8</t>
  </si>
  <si>
    <t>27765667036</t>
  </si>
  <si>
    <t>13557646</t>
  </si>
  <si>
    <t>fd1dd5e0-588f-443c-8e85-1654816b54e3</t>
  </si>
  <si>
    <t>27765970460</t>
  </si>
  <si>
    <t>13557928</t>
  </si>
  <si>
    <t>43b43803-8114-41c9-9bde-4ab12951b3ca</t>
  </si>
  <si>
    <t>27768792943</t>
  </si>
  <si>
    <t>13558259</t>
  </si>
  <si>
    <t>816f9770-8f0e-4d9c-a7bb-7f758428ce75</t>
  </si>
  <si>
    <t>27791902779</t>
  </si>
  <si>
    <t>13558261</t>
  </si>
  <si>
    <t>4b1b2ba3-5812-488e-a1ea-ffb4c3d3b719</t>
  </si>
  <si>
    <t>27791943124</t>
  </si>
  <si>
    <t>13557580</t>
  </si>
  <si>
    <t>fcc80d9c-d030-4085-8d61-1ce5620268bc</t>
  </si>
  <si>
    <t>2026-03-09 12:27:27</t>
  </si>
  <si>
    <t>27765330698</t>
  </si>
  <si>
    <t>13557529</t>
  </si>
  <si>
    <t>6c02fb5d-2555-431a-a5e3-4ca8ee540cea</t>
  </si>
  <si>
    <t>2026-03-09 12:27:22</t>
  </si>
  <si>
    <t>27764822747</t>
  </si>
  <si>
    <t>13557481</t>
  </si>
  <si>
    <t>85e1c690-efbf-434c-aafa-3e6fae25e39b</t>
  </si>
  <si>
    <t>2026-03-09 12:27:21</t>
  </si>
  <si>
    <t>Xoliswa Bekwa</t>
  </si>
  <si>
    <t>27764228173</t>
  </si>
  <si>
    <t>13557498</t>
  </si>
  <si>
    <t>8c9e9dcc-102d-4bb2-a404-e096eacc1af2</t>
  </si>
  <si>
    <t>Thelma Malatjie</t>
  </si>
  <si>
    <t>27764514902</t>
  </si>
  <si>
    <t>13558444</t>
  </si>
  <si>
    <t>0832954c-5659-4117-9059-7fdd3003005c</t>
  </si>
  <si>
    <t>27794055076</t>
  </si>
  <si>
    <t>13558447</t>
  </si>
  <si>
    <t>28756146-ef00-4978-aad5-7d98306a402c</t>
  </si>
  <si>
    <t>27794145014</t>
  </si>
  <si>
    <t>13558448</t>
  </si>
  <si>
    <t>7c74c574-eabf-4bb8-9210-eda4cf21548d</t>
  </si>
  <si>
    <t>27794151752</t>
  </si>
  <si>
    <t>13557453</t>
  </si>
  <si>
    <t>3a716afd-8362-4c04-88a8-83d5411e7c45</t>
  </si>
  <si>
    <t>27763970629</t>
  </si>
  <si>
    <t>13557527</t>
  </si>
  <si>
    <t>b795d877-cf52-4b40-b731-56cc7c5a61a0</t>
  </si>
  <si>
    <t>27764773651</t>
  </si>
  <si>
    <t>13558283</t>
  </si>
  <si>
    <t>db6c6415-68a5-45a3-92a6-f9e3da70a459</t>
  </si>
  <si>
    <t>2026-03-09 12:27:20</t>
  </si>
  <si>
    <t>27792252966</t>
  </si>
  <si>
    <t>13556546</t>
  </si>
  <si>
    <t>66e77b5a-9def-4144-ad48-bb0aa57078dd</t>
  </si>
  <si>
    <t>27724927662</t>
  </si>
  <si>
    <t>13558384</t>
  </si>
  <si>
    <t>fa0ba6d1-a0a1-4a48-9511-3adef8727951</t>
  </si>
  <si>
    <t>27793354708</t>
  </si>
  <si>
    <t>13558406</t>
  </si>
  <si>
    <t>360136e4-b44d-44c5-ba95-e2c2879c91de</t>
  </si>
  <si>
    <t>27793610766</t>
  </si>
  <si>
    <t>13558349</t>
  </si>
  <si>
    <t>42a575c4-860e-4060-a753-22815792c7e2</t>
  </si>
  <si>
    <t>27793002646</t>
  </si>
  <si>
    <t>13556419</t>
  </si>
  <si>
    <t>054feaad-bbe0-4bcf-81e5-b7d5c808a85e</t>
  </si>
  <si>
    <t>2026-03-09 12:27:19</t>
  </si>
  <si>
    <t>27723684520</t>
  </si>
  <si>
    <t>13556464</t>
  </si>
  <si>
    <t>efa889ae-e79b-49a6-a53b-e933404d1855</t>
  </si>
  <si>
    <t>27724146588</t>
  </si>
  <si>
    <t>13555220</t>
  </si>
  <si>
    <t>89cdd3ac-c33f-4151-ad1a-1cd0edcfa0f0</t>
  </si>
  <si>
    <t>2026-03-09 12:27:18</t>
  </si>
  <si>
    <t>27660141276</t>
  </si>
  <si>
    <t>13554933</t>
  </si>
  <si>
    <t>0cde144c-da65-4f73-9241-5e1424b4de56</t>
  </si>
  <si>
    <t>27632797376</t>
  </si>
  <si>
    <t>13556253</t>
  </si>
  <si>
    <t>bb980bfd-bf0a-4057-ba7c-7ac95612a9ff</t>
  </si>
  <si>
    <t>27722047638</t>
  </si>
  <si>
    <t>13556201</t>
  </si>
  <si>
    <t>23a490ee-a805-480c-be90-5bdabb011dfe</t>
  </si>
  <si>
    <t>27721527204</t>
  </si>
  <si>
    <t>13556716</t>
  </si>
  <si>
    <t>c0b6839b-5d11-4dde-89c2-5edb254c1251</t>
  </si>
  <si>
    <t>27726838351</t>
  </si>
  <si>
    <t>13556812</t>
  </si>
  <si>
    <t>2e0fd1a0-a17a-4a8e-b913-f05e5da42d00</t>
  </si>
  <si>
    <t>27727708592</t>
  </si>
  <si>
    <t>13561987</t>
  </si>
  <si>
    <t>38b4fff6-a8d2-43e6-ab4c-a679b98b408a</t>
  </si>
  <si>
    <t>27725135520</t>
  </si>
  <si>
    <t>13556835</t>
  </si>
  <si>
    <t>7881f04b-36a3-4bfb-b3df-b51a4fb79dc0</t>
  </si>
  <si>
    <t>2026-03-09 12:26:47</t>
  </si>
  <si>
    <t>27727940052</t>
  </si>
  <si>
    <t>13557918</t>
  </si>
  <si>
    <t>7261cc02-0d34-49cb-971a-eed45d6b7434</t>
  </si>
  <si>
    <t>2026-03-09 12:25:32</t>
  </si>
  <si>
    <t>Elizabeth Matla</t>
  </si>
  <si>
    <t>27768696625</t>
  </si>
  <si>
    <t>13562940</t>
  </si>
  <si>
    <t>8e93701f-0051-4eb9-9733-1c44d72d5ae7</t>
  </si>
  <si>
    <t>2026-03-09 12:25:23</t>
  </si>
  <si>
    <t>27723822346</t>
  </si>
  <si>
    <t>13555085</t>
  </si>
  <si>
    <t>f0c56440-835e-4130-b3c4-84c9a694d61c</t>
  </si>
  <si>
    <t>2026-03-09 12:25:22</t>
  </si>
  <si>
    <t>27647323577</t>
  </si>
  <si>
    <t>13559118</t>
  </si>
  <si>
    <t>ce0da992-4e15-44ba-81e6-bbc0bcd1ef90</t>
  </si>
  <si>
    <t>2026-03-09 12:25:20</t>
  </si>
  <si>
    <t>27823059200</t>
  </si>
  <si>
    <t>13559166</t>
  </si>
  <si>
    <t>2d98da0e-56ea-4eda-a359-bcdbc266444f</t>
  </si>
  <si>
    <t>27823762054</t>
  </si>
  <si>
    <t>13561877</t>
  </si>
  <si>
    <t>8da639b4-5fb1-475a-be0f-22015dad3789</t>
  </si>
  <si>
    <t>27799375444</t>
  </si>
  <si>
    <t>13558292</t>
  </si>
  <si>
    <t>de150bd0-345a-4b93-9375-694bed368241</t>
  </si>
  <si>
    <t>2026-03-09 12:25:19</t>
  </si>
  <si>
    <t>27792385054</t>
  </si>
  <si>
    <t>13558324</t>
  </si>
  <si>
    <t>5632924e-0d2b-4af4-8b56-fb64734f3212</t>
  </si>
  <si>
    <t>27792782949</t>
  </si>
  <si>
    <t>13558420</t>
  </si>
  <si>
    <t>f43059d5-b6e4-4047-9497-485d10eb37cb</t>
  </si>
  <si>
    <t>27793775098</t>
  </si>
  <si>
    <t>13558354</t>
  </si>
  <si>
    <t>6dc71fc8-7828-4522-963e-6b9e28f48caf</t>
  </si>
  <si>
    <t>27793030268</t>
  </si>
  <si>
    <t>13559074</t>
  </si>
  <si>
    <t>f7e0a387-4336-46f9-8540-074e6e8d9c4c</t>
  </si>
  <si>
    <t>27822531432</t>
  </si>
  <si>
    <t>13556568</t>
  </si>
  <si>
    <t>12bf6f5a-98e2-4d08-883d-728743654a79</t>
  </si>
  <si>
    <t>2026-03-09 12:25:18</t>
  </si>
  <si>
    <t>27725136575</t>
  </si>
  <si>
    <t>13556510</t>
  </si>
  <si>
    <t>75e5056e-58c6-4044-bc32-84a57c23773b</t>
  </si>
  <si>
    <t>2026-03-09 12:25:16</t>
  </si>
  <si>
    <t>27724573999</t>
  </si>
  <si>
    <t>13556542</t>
  </si>
  <si>
    <t>b2b14246-2351-4f32-b100-22760ae03197</t>
  </si>
  <si>
    <t>27724879380</t>
  </si>
  <si>
    <t>13556508</t>
  </si>
  <si>
    <t>5b51b51e-df24-420c-8f67-2c6408c5330d</t>
  </si>
  <si>
    <t>2026-03-09 12:25:13</t>
  </si>
  <si>
    <t>27724563283</t>
  </si>
  <si>
    <t>13556448</t>
  </si>
  <si>
    <t>625374ff-10b1-47c4-ac66-b3daf7484e82</t>
  </si>
  <si>
    <t>27724002150</t>
  </si>
  <si>
    <t>13556450</t>
  </si>
  <si>
    <t>d334d946-0457-4368-b882-7f6c00023552</t>
  </si>
  <si>
    <t>27724008932</t>
  </si>
  <si>
    <t>13556430</t>
  </si>
  <si>
    <t>3aa07748-a57f-4a11-b24a-057d63500bc1</t>
  </si>
  <si>
    <t>2026-03-09 12:25:12</t>
  </si>
  <si>
    <t>27723742964</t>
  </si>
  <si>
    <t>13556437</t>
  </si>
  <si>
    <t>62195a70-02fc-4715-a81d-b71531ba2390</t>
  </si>
  <si>
    <t>27723859449</t>
  </si>
  <si>
    <t>13556440</t>
  </si>
  <si>
    <t>2a3ad261-c8ca-485c-983e-4cf50b3e323d</t>
  </si>
  <si>
    <t>27723903278</t>
  </si>
  <si>
    <t>13556441</t>
  </si>
  <si>
    <t>be8d0404-775b-4b7f-af68-0a594156c48b</t>
  </si>
  <si>
    <t>27723925969</t>
  </si>
  <si>
    <t>13557443</t>
  </si>
  <si>
    <t>c7057baf-0168-4177-b07c-379dd30167c8</t>
  </si>
  <si>
    <t>2026-03-09 12:25:09</t>
  </si>
  <si>
    <t>27763807653</t>
  </si>
  <si>
    <t>13557385</t>
  </si>
  <si>
    <t>a50ff2d8-88f7-47ce-97f3-b776db6aabba</t>
  </si>
  <si>
    <t>2026-03-09 12:25:07</t>
  </si>
  <si>
    <t>27763100556</t>
  </si>
  <si>
    <t>13557388</t>
  </si>
  <si>
    <t>585dcc25-58a1-48b6-9c37-3881a2c23ba5</t>
  </si>
  <si>
    <t>27763104762</t>
  </si>
  <si>
    <t>13557390</t>
  </si>
  <si>
    <t>f86d5ad6-c26b-4d37-b78a-6b4362ca7262</t>
  </si>
  <si>
    <t>27763118198</t>
  </si>
  <si>
    <t>13555136</t>
  </si>
  <si>
    <t>4ba82755-4f2f-46f2-8bcb-e89e6912daf3</t>
  </si>
  <si>
    <t>2026-03-09 12:25:06</t>
  </si>
  <si>
    <t>27648514943</t>
  </si>
  <si>
    <t>13555094</t>
  </si>
  <si>
    <t>06882023-9f17-42c2-b408-0956d5cd7d4e</t>
  </si>
  <si>
    <t>DNC</t>
  </si>
  <si>
    <t>Do Not Call</t>
  </si>
  <si>
    <t>27647705857</t>
  </si>
  <si>
    <t>13555110</t>
  </si>
  <si>
    <t>d3674cd7-99cb-4e40-aa27-f7158f4f9f41</t>
  </si>
  <si>
    <t>27648154205</t>
  </si>
  <si>
    <t>13557334</t>
  </si>
  <si>
    <t>09319260-3499-4b5c-8a36-1ec5fe5db619</t>
  </si>
  <si>
    <t>27762614226</t>
  </si>
  <si>
    <t>13559227</t>
  </si>
  <si>
    <t>f6e01c20-ea46-4765-81e6-f2b519d1af40</t>
  </si>
  <si>
    <t>27824395159</t>
  </si>
  <si>
    <t>13558978</t>
  </si>
  <si>
    <t>1cdc521a-fee9-4ff6-b628-c756a051f0e3</t>
  </si>
  <si>
    <t>2026-03-09 12:24:11</t>
  </si>
  <si>
    <t>27818714410</t>
  </si>
  <si>
    <t>13558983</t>
  </si>
  <si>
    <t>9bdfa2eb-e9a1-4ce2-b7ae-f3693dacab38</t>
  </si>
  <si>
    <t>Jennifer Ngobeni</t>
  </si>
  <si>
    <t>27818801047</t>
  </si>
  <si>
    <t>13559006</t>
  </si>
  <si>
    <t>bd6cdccf-aa8a-4599-897b-5e783cf1c9e5</t>
  </si>
  <si>
    <t>27820500054</t>
  </si>
  <si>
    <t>13558917</t>
  </si>
  <si>
    <t>74038099-c94c-4854-9889-d0f7eb4fe307</t>
  </si>
  <si>
    <t>2026-03-09 12:24:10</t>
  </si>
  <si>
    <t>27810461309</t>
  </si>
  <si>
    <t>13558923</t>
  </si>
  <si>
    <t>7a00420b-06ad-419e-a538-66c1550f2073</t>
  </si>
  <si>
    <t>27814776693</t>
  </si>
  <si>
    <t>13558881</t>
  </si>
  <si>
    <t>b02067c3-cc86-4274-bdb7-5ce6998b629c</t>
  </si>
  <si>
    <t>2026-03-09 12:24:08</t>
  </si>
  <si>
    <t>27799602748</t>
  </si>
  <si>
    <t>13558909</t>
  </si>
  <si>
    <t>00af0b05-78b6-49f8-bee4-1dafa7ae4824</t>
  </si>
  <si>
    <t>27799913864</t>
  </si>
  <si>
    <t>13555036</t>
  </si>
  <si>
    <t>8791eaed-7099-4790-b433-e9ad06348860</t>
  </si>
  <si>
    <t>2026-03-09 12:24:07</t>
  </si>
  <si>
    <t>27646152093</t>
  </si>
  <si>
    <t>13557823</t>
  </si>
  <si>
    <t>3f7d0aa0-c161-43de-b5aa-ef77be4a25bd</t>
  </si>
  <si>
    <t>27767707657</t>
  </si>
  <si>
    <t>13557971</t>
  </si>
  <si>
    <t>0280d151-5828-4b1b-b8d0-652d5e00d66f</t>
  </si>
  <si>
    <t>TDN</t>
  </si>
  <si>
    <t>Temporary Disconnected Number</t>
  </si>
  <si>
    <t>27769209012</t>
  </si>
  <si>
    <t>13563020</t>
  </si>
  <si>
    <t>bb8d120a-786a-4718-9acb-a75a0559c4cd</t>
  </si>
  <si>
    <t>27766385273</t>
  </si>
  <si>
    <t>13559884</t>
  </si>
  <si>
    <t>fe33c2de-1b6f-4761-9ae4-d472eab06dcd</t>
  </si>
  <si>
    <t>2026-03-09 12:24:06</t>
  </si>
  <si>
    <t>27797669387</t>
  </si>
  <si>
    <t>13562978</t>
  </si>
  <si>
    <t>3144faba-e795-45f5-8646-3e451a00dd99</t>
  </si>
  <si>
    <t>27665537741</t>
  </si>
  <si>
    <t>13562968</t>
  </si>
  <si>
    <t>1ec93530-58a5-489d-b273-d83aa6e78045</t>
  </si>
  <si>
    <t>27768519270</t>
  </si>
  <si>
    <t>13559084</t>
  </si>
  <si>
    <t>7a54ff1e-0617-4391-a1ca-380e3a43b355</t>
  </si>
  <si>
    <t>2026-03-09 12:24:03</t>
  </si>
  <si>
    <t>27822601401</t>
  </si>
  <si>
    <t>13559030</t>
  </si>
  <si>
    <t>4ad03fdc-89a0-4a03-8ec1-d6be122b376b</t>
  </si>
  <si>
    <t>27820767144</t>
  </si>
  <si>
    <t>13559137</t>
  </si>
  <si>
    <t>6298bcb4-2a90-4dd5-b405-68cc7f73c593</t>
  </si>
  <si>
    <t>27823457955</t>
  </si>
  <si>
    <t>13559058</t>
  </si>
  <si>
    <t>00020186-c7eb-4177-95e7-1f9ada448cb5</t>
  </si>
  <si>
    <t>27822211458</t>
  </si>
  <si>
    <t>13559064</t>
  </si>
  <si>
    <t>8416557d-a015-4675-bf38-d99465d59f44</t>
  </si>
  <si>
    <t>27822237733</t>
  </si>
  <si>
    <t>13559159</t>
  </si>
  <si>
    <t>05357bc7-70f6-44be-b4a8-5cb58e083bee</t>
  </si>
  <si>
    <t>27823637985</t>
  </si>
  <si>
    <t>13559403</t>
  </si>
  <si>
    <t>8fd48d00-3c35-4695-b752-7a09c4d2b64f</t>
  </si>
  <si>
    <t>27826498934</t>
  </si>
  <si>
    <t>13557307</t>
  </si>
  <si>
    <t>ee4aa5b1-9874-4e89-a753-5d12b118ef69</t>
  </si>
  <si>
    <t>2026-03-09 12:24:02</t>
  </si>
  <si>
    <t>27762332668</t>
  </si>
  <si>
    <t>13558434</t>
  </si>
  <si>
    <t>91291488-290a-4639-870b-304cb5641d87</t>
  </si>
  <si>
    <t>27793930318</t>
  </si>
  <si>
    <t>13558787</t>
  </si>
  <si>
    <t>cf8cd740-e6e4-43a6-9d4a-4608b30d9443</t>
  </si>
  <si>
    <t>27798224048</t>
  </si>
  <si>
    <t>13558736</t>
  </si>
  <si>
    <t>b6c8abaa-4217-413a-ad2b-79d7f321b0dd</t>
  </si>
  <si>
    <t>27797576542</t>
  </si>
  <si>
    <t>13558750</t>
  </si>
  <si>
    <t>80375d18-0e16-4ccb-9dd2-41f65695e732</t>
  </si>
  <si>
    <t>27797718376</t>
  </si>
  <si>
    <t>13558753</t>
  </si>
  <si>
    <t>8297d334-71cc-4bce-a6ac-fa0d83f681b8</t>
  </si>
  <si>
    <t>27797748993</t>
  </si>
  <si>
    <t>13558762</t>
  </si>
  <si>
    <t>dd33af82-b093-4781-ad04-24d2e435f109</t>
  </si>
  <si>
    <t>27797932171</t>
  </si>
  <si>
    <t>13559089</t>
  </si>
  <si>
    <t>b03751e9-c0d0-4123-a30f-d85591d45363</t>
  </si>
  <si>
    <t>27822608665</t>
  </si>
  <si>
    <t>13559096</t>
  </si>
  <si>
    <t>23828316-725b-44ae-81ae-b794bff21cd9</t>
  </si>
  <si>
    <t>27822641781</t>
  </si>
  <si>
    <t>13559020</t>
  </si>
  <si>
    <t>05536288-932f-422b-b21a-437226c5b86d</t>
  </si>
  <si>
    <t>27820626861</t>
  </si>
  <si>
    <t>13559117</t>
  </si>
  <si>
    <t>757e9ac1-9aa8-473f-b26b-7d7738b0b523</t>
  </si>
  <si>
    <t>27822997448</t>
  </si>
  <si>
    <t>13557806</t>
  </si>
  <si>
    <t>aa9fb5d2-f011-4e27-957e-63c0713f9ca2</t>
  </si>
  <si>
    <t>2026-03-09 12:24:01</t>
  </si>
  <si>
    <t>27767568998</t>
  </si>
  <si>
    <t>13557813</t>
  </si>
  <si>
    <t>d833ff89-558f-46d5-8359-9df6ebc80976</t>
  </si>
  <si>
    <t>27767624773</t>
  </si>
  <si>
    <t>13557533</t>
  </si>
  <si>
    <t>f6636165-394d-4919-80ee-10f2b55d7595</t>
  </si>
  <si>
    <t>2026-03-09 12:23:59</t>
  </si>
  <si>
    <t>27764852066</t>
  </si>
  <si>
    <t>13557792</t>
  </si>
  <si>
    <t>6899b5d6-152b-4d53-91f1-2d885ae24e36</t>
  </si>
  <si>
    <t>27767450958</t>
  </si>
  <si>
    <t>13556233</t>
  </si>
  <si>
    <t>fe5dcdf6-0293-47f1-9c1e-d41a32ed8499</t>
  </si>
  <si>
    <t>2026-03-09 12:23:29</t>
  </si>
  <si>
    <t>27721851252</t>
  </si>
  <si>
    <t>13555711</t>
  </si>
  <si>
    <t>3979f2e2-26a5-413f-92f5-6a002116ec10</t>
  </si>
  <si>
    <t>2026-03-09 12:23:01</t>
  </si>
  <si>
    <t>27713136605</t>
  </si>
  <si>
    <t>13561230</t>
  </si>
  <si>
    <t>22d65d95-5f2b-404e-8efc-861c01c35021</t>
  </si>
  <si>
    <t>Happiness Sindance</t>
  </si>
  <si>
    <t>27673688815</t>
  </si>
  <si>
    <t>13561523</t>
  </si>
  <si>
    <t>eceb0eb8-4fa9-49ad-ba5f-f66cb394ff22</t>
  </si>
  <si>
    <t>27822622630</t>
  </si>
  <si>
    <t>13564206</t>
  </si>
  <si>
    <t>b3a45b9f-1806-44e6-adc9-2ff0c4b6251b</t>
  </si>
  <si>
    <t>27649002039</t>
  </si>
  <si>
    <t>13555071</t>
  </si>
  <si>
    <t>7487ee5b-1999-4174-9746-eeae1b5d9eb7</t>
  </si>
  <si>
    <t>2026-03-09 12:23:00</t>
  </si>
  <si>
    <t>Nduduzo Mbhele</t>
  </si>
  <si>
    <t>27646949543</t>
  </si>
  <si>
    <t>13557216</t>
  </si>
  <si>
    <t>d06e3711-9d82-4781-a452-8bca1cd91348</t>
  </si>
  <si>
    <t>Mpho Thipe</t>
  </si>
  <si>
    <t>27761370422</t>
  </si>
  <si>
    <t>13557540</t>
  </si>
  <si>
    <t>47de1853-0b30-4af8-9724-f8e354e8f824</t>
  </si>
  <si>
    <t>27764908743</t>
  </si>
  <si>
    <t>13557787</t>
  </si>
  <si>
    <t>0690cfd1-44f8-4c26-9237-561c1f36ce34</t>
  </si>
  <si>
    <t>27767403038</t>
  </si>
  <si>
    <t>13558251</t>
  </si>
  <si>
    <t>cf594e1c-7982-4fb9-b58c-f56f68f5a680</t>
  </si>
  <si>
    <t>27791826484</t>
  </si>
  <si>
    <t>13558419</t>
  </si>
  <si>
    <t>41596afb-bf22-4dd7-bb57-b6a536c33bb2</t>
  </si>
  <si>
    <t>2026-03-09 12:22:59</t>
  </si>
  <si>
    <t>27793747822</t>
  </si>
  <si>
    <t>13564126</t>
  </si>
  <si>
    <t>f9891b2d-16f2-4731-a3ae-c89770e218a4</t>
  </si>
  <si>
    <t>27673004800</t>
  </si>
  <si>
    <t>13556259</t>
  </si>
  <si>
    <t>a174b279-6ec7-483b-b8eb-a95d4063f275</t>
  </si>
  <si>
    <t>2026-03-09 12:22:01</t>
  </si>
  <si>
    <t>27722100219</t>
  </si>
  <si>
    <t>13556269</t>
  </si>
  <si>
    <t>5b6b1ddd-b0be-47e3-9923-f4e8065e5554</t>
  </si>
  <si>
    <t>27722155066</t>
  </si>
  <si>
    <t>13559372</t>
  </si>
  <si>
    <t>0e5504ad-6c23-4597-95bc-d32c829c027d</t>
  </si>
  <si>
    <t>27826239542</t>
  </si>
  <si>
    <t>13559376</t>
  </si>
  <si>
    <t>aadcb764-2658-4d71-a3dc-c8897825197c</t>
  </si>
  <si>
    <t>27826269927</t>
  </si>
  <si>
    <t>13559381</t>
  </si>
  <si>
    <t>63cdceb1-91d0-4257-8870-3887655d1703</t>
  </si>
  <si>
    <t>27826293684</t>
  </si>
  <si>
    <t>13562905</t>
  </si>
  <si>
    <t>aa606d0f-57e0-40b1-a4aa-f273f3d1583e</t>
  </si>
  <si>
    <t>27768224029</t>
  </si>
  <si>
    <t>13556283</t>
  </si>
  <si>
    <t>660ddf2a-2543-45cc-a24e-a4276c678f62</t>
  </si>
  <si>
    <t>2026-03-09 12:22:00</t>
  </si>
  <si>
    <t>27722234399</t>
  </si>
  <si>
    <t>13557208</t>
  </si>
  <si>
    <t>731aadb7-987c-4aad-b1b5-1ac435d68cc3</t>
  </si>
  <si>
    <t>27761271076</t>
  </si>
  <si>
    <t>13557951</t>
  </si>
  <si>
    <t>37dd4173-fc6f-4db6-aece-1a5c98fc4283</t>
  </si>
  <si>
    <t>27768991278</t>
  </si>
  <si>
    <t>13557943</t>
  </si>
  <si>
    <t>138780f6-d96c-4aa8-ab87-43297a676cc5</t>
  </si>
  <si>
    <t>2026-03-09 12:21:59</t>
  </si>
  <si>
    <t>27768899392</t>
  </si>
  <si>
    <t>13557578</t>
  </si>
  <si>
    <t>e3591dfb-30c6-4df6-ab84-149211bc2c46</t>
  </si>
  <si>
    <t>2026-03-09 12:21:56</t>
  </si>
  <si>
    <t>27765302174</t>
  </si>
  <si>
    <t>13557285</t>
  </si>
  <si>
    <t>e0d895bb-a6d0-4afe-94e7-53389dfb52ad</t>
  </si>
  <si>
    <t>2026-03-09 12:21:55</t>
  </si>
  <si>
    <t>27762073699</t>
  </si>
  <si>
    <t>13557422</t>
  </si>
  <si>
    <t>5e24fb1b-df1f-4dda-95f7-ca19eac3a905</t>
  </si>
  <si>
    <t>27763436649</t>
  </si>
  <si>
    <t>13557377</t>
  </si>
  <si>
    <t>5962458e-c4db-4e10-b381-13ea8344b45f</t>
  </si>
  <si>
    <t>27763033557</t>
  </si>
  <si>
    <t>13558389</t>
  </si>
  <si>
    <t>fe7afb39-8b95-480e-b053-8815318012af</t>
  </si>
  <si>
    <t>27793418894</t>
  </si>
  <si>
    <t>13558402</t>
  </si>
  <si>
    <t>f8b00d58-b906-413e-b5b2-9cf8e0717967</t>
  </si>
  <si>
    <t>27793558294</t>
  </si>
  <si>
    <t>13564330</t>
  </si>
  <si>
    <t>125a901f-ab0d-4924-9b5b-bae5e0312242</t>
  </si>
  <si>
    <t>2026-03-09 12:21:54</t>
  </si>
  <si>
    <t>27715689835</t>
  </si>
  <si>
    <t>13556261</t>
  </si>
  <si>
    <t>7b2178e8-f7ef-4f74-ab2c-a4dbb65b9e66</t>
  </si>
  <si>
    <t>2026-03-09 12:21:25</t>
  </si>
  <si>
    <t>27722114469</t>
  </si>
  <si>
    <t>13558737</t>
  </si>
  <si>
    <t>75f36233-21ee-408e-a3eb-4a6d152001f6</t>
  </si>
  <si>
    <t>27797586959</t>
  </si>
  <si>
    <t>13562183</t>
  </si>
  <si>
    <t>e91a1ca0-f341-4fd5-b25f-fb1bd9ee9f92</t>
  </si>
  <si>
    <t>27721196216</t>
  </si>
  <si>
    <t>13562199</t>
  </si>
  <si>
    <t>c013d4b0-e986-4b0a-832a-1ceec17a716d</t>
  </si>
  <si>
    <t>27713748041</t>
  </si>
  <si>
    <t>13561964</t>
  </si>
  <si>
    <t>d6607b68-821e-4823-8f16-e65b6e306e9f</t>
  </si>
  <si>
    <t>27715635234</t>
  </si>
  <si>
    <t>13556265</t>
  </si>
  <si>
    <t>6caa92e4-621f-4493-a689-9835db0341cd</t>
  </si>
  <si>
    <t>2026-03-09 12:21:24</t>
  </si>
  <si>
    <t>27722143240</t>
  </si>
  <si>
    <t>13556746</t>
  </si>
  <si>
    <t>156ec406-8f88-4c75-be7e-b8bf48812085</t>
  </si>
  <si>
    <t>27727093870</t>
  </si>
  <si>
    <t>13558549</t>
  </si>
  <si>
    <t>4199b9bc-eb82-4479-a6ea-6a0e341939b2</t>
  </si>
  <si>
    <t>27795390739</t>
  </si>
  <si>
    <t>13558790</t>
  </si>
  <si>
    <t>327611b1-e7b8-4c82-82a7-e5190a2743ed</t>
  </si>
  <si>
    <t>27798233407</t>
  </si>
  <si>
    <t>13559038</t>
  </si>
  <si>
    <t>b5d99022-483a-490b-9edb-57c75458eee2</t>
  </si>
  <si>
    <t>27820857748</t>
  </si>
  <si>
    <t>13559012</t>
  </si>
  <si>
    <t>22dbd37a-3369-4019-a181-47f05c2964cf</t>
  </si>
  <si>
    <t>2026-03-09 12:21:21</t>
  </si>
  <si>
    <t>27820551225</t>
  </si>
  <si>
    <t>13556675</t>
  </si>
  <si>
    <t>d3d3630a-adc4-40a3-9d5b-b370a87652a1</t>
  </si>
  <si>
    <t>2026-03-09 12:21:20</t>
  </si>
  <si>
    <t>27726447650</t>
  </si>
  <si>
    <t>13558310</t>
  </si>
  <si>
    <t>6f6e4aa9-7f90-4f7d-8421-14f83f1f7ba7</t>
  </si>
  <si>
    <t>27792657602</t>
  </si>
  <si>
    <t>13558344</t>
  </si>
  <si>
    <t>58d62e69-1945-49ed-b7e8-495e9319bc8c</t>
  </si>
  <si>
    <t>27792971803</t>
  </si>
  <si>
    <t>13558355</t>
  </si>
  <si>
    <t>db5abc1d-433f-43c0-a039-e2284da1517f</t>
  </si>
  <si>
    <t>2026-03-09 12:21:19</t>
  </si>
  <si>
    <t>27793032946</t>
  </si>
  <si>
    <t>13557602</t>
  </si>
  <si>
    <t>e56bae1d-291f-494c-8b4b-a7c3c1aa56bd</t>
  </si>
  <si>
    <t>27765539210</t>
  </si>
  <si>
    <t>13558262</t>
  </si>
  <si>
    <t>ae91b5ae-c955-44ee-8198-5ad7e09a8435</t>
  </si>
  <si>
    <t>27791943346</t>
  </si>
  <si>
    <t>13558537</t>
  </si>
  <si>
    <t>d2edfabe-f07f-4af9-9749-49f77f5218ca</t>
  </si>
  <si>
    <t>27795144956</t>
  </si>
  <si>
    <t>13563253</t>
  </si>
  <si>
    <t>4dae60ab-ba21-479c-a8fc-6e9641821dc0</t>
  </si>
  <si>
    <t>EC</t>
  </si>
  <si>
    <t>Existing Client</t>
  </si>
  <si>
    <t>27606324425</t>
  </si>
  <si>
    <t>13560182</t>
  </si>
  <si>
    <t>584e9bf2-b89d-49d0-a767-aa365851767e</t>
  </si>
  <si>
    <t>2026-03-09 12:20:55</t>
  </si>
  <si>
    <t>27818159563</t>
  </si>
  <si>
    <t>13560399</t>
  </si>
  <si>
    <t>8a087150-e08e-443c-b5ff-2c03ffafd8de</t>
  </si>
  <si>
    <t>27765229023</t>
  </si>
  <si>
    <t>13560122</t>
  </si>
  <si>
    <t>6efd7589-c2ee-4cd8-a7e4-a695179a603c</t>
  </si>
  <si>
    <t>2026-03-09 12:20:53</t>
  </si>
  <si>
    <t>27716493314</t>
  </si>
  <si>
    <t>13559995</t>
  </si>
  <si>
    <t>d1713847-ac20-4c56-a3c7-73576b875fc5</t>
  </si>
  <si>
    <t>27763106855</t>
  </si>
  <si>
    <t>13559477</t>
  </si>
  <si>
    <t>52392908-7066-4075-9ca7-ce23e460bf7e</t>
  </si>
  <si>
    <t>GTB</t>
  </si>
  <si>
    <t>Go To Branch</t>
  </si>
  <si>
    <t>2026-03-09 12:20:52</t>
  </si>
  <si>
    <t>27827357192</t>
  </si>
  <si>
    <t>13559749</t>
  </si>
  <si>
    <t>bc69626d-77f4-48fa-9e1f-e289b5b55f46</t>
  </si>
  <si>
    <t>2026-03-09 12:20:44</t>
  </si>
  <si>
    <t>27726470734</t>
  </si>
  <si>
    <t>13557160</t>
  </si>
  <si>
    <t>c0aa2f0e-b363-4a47-9537-d5908935cc59</t>
  </si>
  <si>
    <t>QAVER</t>
  </si>
  <si>
    <t>Sale Made</t>
  </si>
  <si>
    <t>2026-03-09 12:20:05</t>
  </si>
  <si>
    <t>Nokuthula Mtsweni</t>
  </si>
  <si>
    <t>27760751464</t>
  </si>
  <si>
    <t>13561962</t>
  </si>
  <si>
    <t>cdb5bb13-fcb3-4d0a-941a-2c4bab879dd8</t>
  </si>
  <si>
    <t>2026-03-09 12:19:24</t>
  </si>
  <si>
    <t>27609748401</t>
  </si>
  <si>
    <t>13558676</t>
  </si>
  <si>
    <t>18fe8f9b-eac4-458b-a45a-253704d03bd5</t>
  </si>
  <si>
    <t>2026-03-09 12:19:22</t>
  </si>
  <si>
    <t>27796801176</t>
  </si>
  <si>
    <t>13561534</t>
  </si>
  <si>
    <t>ec8b6d7c-6be5-4b7f-8a55-9e6592192290</t>
  </si>
  <si>
    <t>2026-03-09 12:19:21</t>
  </si>
  <si>
    <t>27649864164</t>
  </si>
  <si>
    <t>13561935</t>
  </si>
  <si>
    <t>47afcde2-b7f5-48d4-a2d1-bce69f4dfcca</t>
  </si>
  <si>
    <t>27660206777</t>
  </si>
  <si>
    <t>13561938</t>
  </si>
  <si>
    <t>93b65962-4466-4690-9d8c-9bc5c19d8996</t>
  </si>
  <si>
    <t>27763998356</t>
  </si>
  <si>
    <t>13561979</t>
  </si>
  <si>
    <t>1a20dda3-b4db-4ff8-8f1f-1946bccabfac</t>
  </si>
  <si>
    <t>27761338237</t>
  </si>
  <si>
    <t>13558478</t>
  </si>
  <si>
    <t>59754b97-5daa-45cd-8c8b-073b74cd6a93</t>
  </si>
  <si>
    <t>2026-03-09 12:19:20</t>
  </si>
  <si>
    <t>Lebogang Mdau</t>
  </si>
  <si>
    <t>27794429406</t>
  </si>
  <si>
    <t>13560133</t>
  </si>
  <si>
    <t>ca04b8e9-044d-4a2b-aae9-d72d159a2720</t>
  </si>
  <si>
    <t>27738617378</t>
  </si>
  <si>
    <t>13558510</t>
  </si>
  <si>
    <t>8cdf3526-0e96-4d0e-98f1-90495487d211</t>
  </si>
  <si>
    <t>27794780606</t>
  </si>
  <si>
    <t>13560218</t>
  </si>
  <si>
    <t>975b16df-ef28-4050-96ed-180aefa8d7ab</t>
  </si>
  <si>
    <t>27721807270</t>
  </si>
  <si>
    <t>13559545</t>
  </si>
  <si>
    <t>16a557f9-1516-41ec-b8f0-fd8261e101c9</t>
  </si>
  <si>
    <t>2026-03-09 12:19:19</t>
  </si>
  <si>
    <t>27828241206</t>
  </si>
  <si>
    <t>13557782</t>
  </si>
  <si>
    <t>3fc11e60-5001-46ca-8c3a-72d5f6b64b80</t>
  </si>
  <si>
    <t>2026-03-09 12:19:16</t>
  </si>
  <si>
    <t>27767365749</t>
  </si>
  <si>
    <t>13559301</t>
  </si>
  <si>
    <t>1cf7c93d-966b-4101-b0ca-75701b5e2cfe</t>
  </si>
  <si>
    <t>27825323382</t>
  </si>
  <si>
    <t>13559404</t>
  </si>
  <si>
    <t>292bc411-80da-45f4-9f62-67e4e5606ae0</t>
  </si>
  <si>
    <t>27826573585</t>
  </si>
  <si>
    <t>13559355</t>
  </si>
  <si>
    <t>ebac2a49-157b-4553-a082-40c7134b3f5b</t>
  </si>
  <si>
    <t>27825981261</t>
  </si>
  <si>
    <t>13556295</t>
  </si>
  <si>
    <t>e3f88864-4327-4fa5-b16e-02d1a5357868</t>
  </si>
  <si>
    <t>2026-03-09 12:18:14</t>
  </si>
  <si>
    <t>27722331325</t>
  </si>
  <si>
    <t>13561779</t>
  </si>
  <si>
    <t>db06c47e-4a55-4832-807d-825ff333f321</t>
  </si>
  <si>
    <t>27826381519</t>
  </si>
  <si>
    <t>13558166</t>
  </si>
  <si>
    <t>a8a61aa3-2d61-4f1f-b54c-5e5fdcdbd465</t>
  </si>
  <si>
    <t>2026-03-09 12:18:13</t>
  </si>
  <si>
    <t>27790859885</t>
  </si>
  <si>
    <t>13560253</t>
  </si>
  <si>
    <t>12c07b7f-0442-4a5f-bd73-dfa226092d63</t>
  </si>
  <si>
    <t>27647014551</t>
  </si>
  <si>
    <t>13559594</t>
  </si>
  <si>
    <t>a45fb95c-acc4-4829-8f3f-87ad15802573</t>
  </si>
  <si>
    <t>27829285938</t>
  </si>
  <si>
    <t>13560372</t>
  </si>
  <si>
    <t>b15719e1-6e2d-4ffe-8d8b-8b35834909ca</t>
  </si>
  <si>
    <t>27674878328</t>
  </si>
  <si>
    <t>13562019</t>
  </si>
  <si>
    <t>7810cd4b-970c-452c-aa74-1c051b44f099</t>
  </si>
  <si>
    <t>27723472021</t>
  </si>
  <si>
    <t>13559601</t>
  </si>
  <si>
    <t>c8b86266-ebcb-4dc6-bf05-7cf753be1f2d</t>
  </si>
  <si>
    <t>2026-03-09 12:18:04</t>
  </si>
  <si>
    <t>27829349407</t>
  </si>
  <si>
    <t>13559643</t>
  </si>
  <si>
    <t>23e0487c-f002-48e9-8b0e-5e408b3b12ec</t>
  </si>
  <si>
    <t>27834005278</t>
  </si>
  <si>
    <t>13559238</t>
  </si>
  <si>
    <t>4a775bf2-10d0-4d37-af15-685cc2009541</t>
  </si>
  <si>
    <t>2026-03-09 12:17:25</t>
  </si>
  <si>
    <t>27824539323</t>
  </si>
  <si>
    <t>13555103</t>
  </si>
  <si>
    <t>7cdffcde-833e-4c9d-a55e-b7808a3ff442</t>
  </si>
  <si>
    <t>2026-03-09 12:16:52</t>
  </si>
  <si>
    <t>27647972495</t>
  </si>
  <si>
    <t>13556338</t>
  </si>
  <si>
    <t>a8bb1c59-0b08-4152-a704-447dfcf6727b</t>
  </si>
  <si>
    <t>27722859217</t>
  </si>
  <si>
    <t>13556365</t>
  </si>
  <si>
    <t>a82566b9-10b1-4847-ac8b-9b1b8180c693</t>
  </si>
  <si>
    <t>27723144619</t>
  </si>
  <si>
    <t>13558945</t>
  </si>
  <si>
    <t>f35f9ff9-dab8-43af-b048-0893644a0d73</t>
  </si>
  <si>
    <t>Lethabo Twala</t>
  </si>
  <si>
    <t>27818226077</t>
  </si>
  <si>
    <t>13556459</t>
  </si>
  <si>
    <t>674dd32d-57be-4656-a00e-016b93c5c56e</t>
  </si>
  <si>
    <t>2026-03-09 12:16:51</t>
  </si>
  <si>
    <t>27724119800</t>
  </si>
  <si>
    <t>13558053</t>
  </si>
  <si>
    <t>4b1a980b-0df7-4875-865b-f9ca49ede8eb</t>
  </si>
  <si>
    <t>27774041363</t>
  </si>
  <si>
    <t>13558056</t>
  </si>
  <si>
    <t>8b2a6196-f0b6-4ef6-8bed-da7d6870d73e</t>
  </si>
  <si>
    <t>27774256939</t>
  </si>
  <si>
    <t>13558067</t>
  </si>
  <si>
    <t>73d942c6-818d-42cd-ab58-6ad9f2b2cf4d</t>
  </si>
  <si>
    <t>27780821504</t>
  </si>
  <si>
    <t>13559555</t>
  </si>
  <si>
    <t>5bb06344-b0b1-4284-8aa9-5854b9ad4ed6</t>
  </si>
  <si>
    <t>27828394135</t>
  </si>
  <si>
    <t>13558503</t>
  </si>
  <si>
    <t>f4acd657-bf49-4ece-9421-723bc49819a0</t>
  </si>
  <si>
    <t>27794684512</t>
  </si>
  <si>
    <t>13560050</t>
  </si>
  <si>
    <t>7f4f0893-a479-4d6d-a4e7-cd8f0ed8ab5f</t>
  </si>
  <si>
    <t>Hlompho Ditjhaba</t>
  </si>
  <si>
    <t>27794000138</t>
  </si>
  <si>
    <t>13560177</t>
  </si>
  <si>
    <t>af637abb-e110-402e-b738-cb713699dd64</t>
  </si>
  <si>
    <t>27673396427</t>
  </si>
  <si>
    <t>13562231</t>
  </si>
  <si>
    <t>a57f8db2-5f13-4920-84f2-2d73892670cd</t>
  </si>
  <si>
    <t>27791115455</t>
  </si>
  <si>
    <t>13556476</t>
  </si>
  <si>
    <t>1f5c7363-596c-47ad-9d47-fd06e3122a70</t>
  </si>
  <si>
    <t>2026-03-09 12:16:50</t>
  </si>
  <si>
    <t>27724233776</t>
  </si>
  <si>
    <t>13560180</t>
  </si>
  <si>
    <t>6fb6458f-f1ec-4855-9712-e13aa3d7d474</t>
  </si>
  <si>
    <t>27711592285</t>
  </si>
  <si>
    <t>13559986</t>
  </si>
  <si>
    <t>c4e46f1f-c353-4b71-9788-e99760b0868b</t>
  </si>
  <si>
    <t>27714099052</t>
  </si>
  <si>
    <t>13560948</t>
  </si>
  <si>
    <t>e0b23825-2be1-418f-abb7-bda8bcec371e</t>
  </si>
  <si>
    <t>27797196569</t>
  </si>
  <si>
    <t>13561195</t>
  </si>
  <si>
    <t>50889722-66a7-461d-84e8-3153f14035e5</t>
  </si>
  <si>
    <t>27647861343</t>
  </si>
  <si>
    <t>13561458</t>
  </si>
  <si>
    <t>97324f8f-6559-4ebc-ae85-33cf07c72cb5</t>
  </si>
  <si>
    <t>2026-03-09 12:16:15</t>
  </si>
  <si>
    <t>27795913162</t>
  </si>
  <si>
    <t>13564011</t>
  </si>
  <si>
    <t>a0e30291-108c-403c-8495-bdc0faf0d81b</t>
  </si>
  <si>
    <t>27774784610</t>
  </si>
  <si>
    <t>13562511</t>
  </si>
  <si>
    <t>8ae58731-69fa-4042-8d50-05076188b5f9</t>
  </si>
  <si>
    <t>27660659461</t>
  </si>
  <si>
    <t>13561470</t>
  </si>
  <si>
    <t>9981f5a0-2099-416f-8ffa-4fbf8fc0560d</t>
  </si>
  <si>
    <t>2026-03-09 12:16:11</t>
  </si>
  <si>
    <t>27764591782</t>
  </si>
  <si>
    <t>13560411</t>
  </si>
  <si>
    <t>a43fdc55-55eb-455b-8350-acf1026f3a72</t>
  </si>
  <si>
    <t>2026-03-09 12:16:07</t>
  </si>
  <si>
    <t>27649903209</t>
  </si>
  <si>
    <t>13560839</t>
  </si>
  <si>
    <t>5c56966a-67a6-4b9f-aa5c-c4b0154d0a87</t>
  </si>
  <si>
    <t>27774095853</t>
  </si>
  <si>
    <t>13561205</t>
  </si>
  <si>
    <t>600497a6-7bbc-4bff-8d84-99cacbe302a6</t>
  </si>
  <si>
    <t>27636765077</t>
  </si>
  <si>
    <t>13563685</t>
  </si>
  <si>
    <t>b2769a34-a881-44d3-877f-cdfba85832ea</t>
  </si>
  <si>
    <t>27673811745</t>
  </si>
  <si>
    <t>13555161</t>
  </si>
  <si>
    <t>9bc2641a-b06a-449c-86ce-e1ad799fb914</t>
  </si>
  <si>
    <t>2026-03-09 12:15:30</t>
  </si>
  <si>
    <t>27648932155</t>
  </si>
  <si>
    <t>13562141</t>
  </si>
  <si>
    <t>ae78769e-667e-4d42-83dc-70ad89cf0f85</t>
  </si>
  <si>
    <t>2026-03-09 12:15:06</t>
  </si>
  <si>
    <t>27797888531</t>
  </si>
  <si>
    <t>13563861</t>
  </si>
  <si>
    <t>0dbbb971-3bd7-4c3e-97f7-1fd89179e215</t>
  </si>
  <si>
    <t>27761241080</t>
  </si>
  <si>
    <t>13563890</t>
  </si>
  <si>
    <t>0342b1f3-86dd-42c0-a98f-ed58c524f6e0</t>
  </si>
  <si>
    <t>27713391258</t>
  </si>
  <si>
    <t>13560390</t>
  </si>
  <si>
    <t>f764c547-ec21-4670-b897-8b22949ad342</t>
  </si>
  <si>
    <t>DC</t>
  </si>
  <si>
    <t>Disconnected</t>
  </si>
  <si>
    <t>2026-03-09 12:14:53</t>
  </si>
  <si>
    <t>27769518555</t>
  </si>
  <si>
    <t>13555394</t>
  </si>
  <si>
    <t>8d85d1bc-73f6-4b9f-b508-2976bfdd08ce</t>
  </si>
  <si>
    <t>2026-03-09 12:14:05</t>
  </si>
  <si>
    <t>27664599431</t>
  </si>
  <si>
    <t>13562606</t>
  </si>
  <si>
    <t>ef8225b5-ef76-4b11-888e-e6f0faa63127</t>
  </si>
  <si>
    <t>27608142270</t>
  </si>
  <si>
    <t>13563987</t>
  </si>
  <si>
    <t>654f3408-b37c-487c-9a55-eb3d88e6790d</t>
  </si>
  <si>
    <t>2026-03-09 12:14:04</t>
  </si>
  <si>
    <t>27665571301</t>
  </si>
  <si>
    <t>13562449</t>
  </si>
  <si>
    <t>5131a43b-ec2e-4a2b-9040-5f17ca4de99d</t>
  </si>
  <si>
    <t>27665545039</t>
  </si>
  <si>
    <t>13562498</t>
  </si>
  <si>
    <t>a8990f6d-bf4d-44ce-804a-eb3ad2a71f90</t>
  </si>
  <si>
    <t>27649518873</t>
  </si>
  <si>
    <t>13555455</t>
  </si>
  <si>
    <t>16704c4e-b1ef-46df-864c-671dc48fc878</t>
  </si>
  <si>
    <t>2026-03-09 12:13:52</t>
  </si>
  <si>
    <t>Thorh Tekela</t>
  </si>
  <si>
    <t>27673208956</t>
  </si>
  <si>
    <t>13562809</t>
  </si>
  <si>
    <t>df1191a6-bd27-4ff5-97dc-854a0445d08f</t>
  </si>
  <si>
    <t>U</t>
  </si>
  <si>
    <t>Unemployed</t>
  </si>
  <si>
    <t>2026-03-09 12:13:22</t>
  </si>
  <si>
    <t>27727372258</t>
  </si>
  <si>
    <t>13561897</t>
  </si>
  <si>
    <t>49540f95-4f56-44a4-8935-c7f612d4495e</t>
  </si>
  <si>
    <t>2026-03-09 12:12:49</t>
  </si>
  <si>
    <t>27761203443</t>
  </si>
  <si>
    <t>13562718</t>
  </si>
  <si>
    <t>faa8e384-c076-4bfa-9b85-8cc1e846f596</t>
  </si>
  <si>
    <t>27766631161</t>
  </si>
  <si>
    <t>13562736</t>
  </si>
  <si>
    <t>ee6b5da2-2f5b-42ed-bb9d-69e78c959187</t>
  </si>
  <si>
    <t>27724040584</t>
  </si>
  <si>
    <t>13555864</t>
  </si>
  <si>
    <t>4c970d51-6018-436c-9ac7-53157f016d99</t>
  </si>
  <si>
    <t>2026-03-09 12:12:47</t>
  </si>
  <si>
    <t>27714992034</t>
  </si>
  <si>
    <t>13555873</t>
  </si>
  <si>
    <t>30e34057-91c7-448b-a7b6-85ccf725953b</t>
  </si>
  <si>
    <t>27715113089</t>
  </si>
  <si>
    <t>13558618</t>
  </si>
  <si>
    <t>e05d8b04-d05f-4fbd-9b6d-2f432f2fdb30</t>
  </si>
  <si>
    <t>2026-03-09 12:12:46</t>
  </si>
  <si>
    <t>27796155789</t>
  </si>
  <si>
    <t>13562851</t>
  </si>
  <si>
    <t>d2fa638e-757e-481a-a0be-19bedb2daa6c</t>
  </si>
  <si>
    <t>27716539551</t>
  </si>
  <si>
    <t>13559866</t>
  </si>
  <si>
    <t>f9dba6b8-0de4-492b-83ff-d890e6b178d4</t>
  </si>
  <si>
    <t>2026-03-09 12:12:02</t>
  </si>
  <si>
    <t>27765193506</t>
  </si>
  <si>
    <t>13560475</t>
  </si>
  <si>
    <t>d8cfd56e-7735-4972-812e-39b680b70862</t>
  </si>
  <si>
    <t>27661093000</t>
  </si>
  <si>
    <t>13562440</t>
  </si>
  <si>
    <t>f63bb595-4e9f-4440-85b1-d068138bad72</t>
  </si>
  <si>
    <t>27648968223</t>
  </si>
  <si>
    <t>13562971</t>
  </si>
  <si>
    <t>c312af31-be58-4e0e-985f-3c94b9dfa0cf</t>
  </si>
  <si>
    <t>27723131494</t>
  </si>
  <si>
    <t>13563041</t>
  </si>
  <si>
    <t>d67fde6a-b4d2-4f59-afb6-f380fdfd77a7</t>
  </si>
  <si>
    <t>27724926662</t>
  </si>
  <si>
    <t>13555796</t>
  </si>
  <si>
    <t>3ae3a9c7-f85e-49a2-b01a-74c205ea7280</t>
  </si>
  <si>
    <t>2026-03-09 12:12:01</t>
  </si>
  <si>
    <t>Nontobeko Hlatshwayo</t>
  </si>
  <si>
    <t>27714098416</t>
  </si>
  <si>
    <t>13555866</t>
  </si>
  <si>
    <t>a044c4b5-816f-4499-8a24-2bbcdc0b9c05</t>
  </si>
  <si>
    <t>27714997923</t>
  </si>
  <si>
    <t>13555828</t>
  </si>
  <si>
    <t>799e7eaa-84d6-4f24-a4f0-7c00c78cb86a</t>
  </si>
  <si>
    <t>27714494416</t>
  </si>
  <si>
    <t>13562975</t>
  </si>
  <si>
    <t>09edc7ba-027c-4b36-99f6-10bb2fd8280c</t>
  </si>
  <si>
    <t>27609091500</t>
  </si>
  <si>
    <t>13562829</t>
  </si>
  <si>
    <t>a79a258d-1277-46b2-8ead-0efb24b50e2e</t>
  </si>
  <si>
    <t>27648643047</t>
  </si>
  <si>
    <t>13562999</t>
  </si>
  <si>
    <t>40fd5ba6-17a0-452c-a474-1657a7d0a3a7</t>
  </si>
  <si>
    <t>27721716741</t>
  </si>
  <si>
    <t>13562965</t>
  </si>
  <si>
    <t>ead714a4-5a4f-4457-a889-c4e3cc641e3a</t>
  </si>
  <si>
    <t>27768582787</t>
  </si>
  <si>
    <t>13563054</t>
  </si>
  <si>
    <t>c41f4ef2-4440-446a-a7b1-408dff8c0d1a</t>
  </si>
  <si>
    <t>27723692761</t>
  </si>
  <si>
    <t>13558343</t>
  </si>
  <si>
    <t>12a9469d-f4fe-4e7c-9c13-ded48e0cf3ff</t>
  </si>
  <si>
    <t>CCB</t>
  </si>
  <si>
    <t>Call Dropped</t>
  </si>
  <si>
    <t>2026-03-09 12:11:30</t>
  </si>
  <si>
    <t>27792970999</t>
  </si>
  <si>
    <t>13556878</t>
  </si>
  <si>
    <t>c2c243ce-f033-414a-95bc-0978fd75542b</t>
  </si>
  <si>
    <t>2026-03-09 12:11:26</t>
  </si>
  <si>
    <t>27728246276</t>
  </si>
  <si>
    <t>13559344</t>
  </si>
  <si>
    <t>df30697d-74bf-43d2-ac95-40e36ba8bede</t>
  </si>
  <si>
    <t>2026-03-09 12:11:23</t>
  </si>
  <si>
    <t>27825847615</t>
  </si>
  <si>
    <t>13560967</t>
  </si>
  <si>
    <t>c6167e29-516b-4380-8ca4-ee24c951f1da</t>
  </si>
  <si>
    <t>2026-03-09 12:11:15</t>
  </si>
  <si>
    <t>Mpho Choma</t>
  </si>
  <si>
    <t>27660749245</t>
  </si>
  <si>
    <t>13558011</t>
  </si>
  <si>
    <t>ce1a5a00-6d71-4b79-bd91-983bd6d91cab</t>
  </si>
  <si>
    <t>2026-03-09 12:10:52</t>
  </si>
  <si>
    <t>27769593384</t>
  </si>
  <si>
    <t>13561819</t>
  </si>
  <si>
    <t>1f8bfa91-797e-48e5-800b-23e069ce3b6c</t>
  </si>
  <si>
    <t>27762781891</t>
  </si>
  <si>
    <t>13563124</t>
  </si>
  <si>
    <t>1ce429f3-9394-4218-8aac-06d8b3c9c5df</t>
  </si>
  <si>
    <t>27767140654</t>
  </si>
  <si>
    <t>13563130</t>
  </si>
  <si>
    <t>8d13e7f2-215d-4566-b933-4315aad810ed</t>
  </si>
  <si>
    <t>27761846273</t>
  </si>
  <si>
    <t>13557972</t>
  </si>
  <si>
    <t>8dd74fe4-deb7-4dc0-a7fd-27713bbe5988</t>
  </si>
  <si>
    <t>2026-03-09 12:10:51</t>
  </si>
  <si>
    <t>27769212341</t>
  </si>
  <si>
    <t>13559014</t>
  </si>
  <si>
    <t>bb1ddecc-f3a4-455c-8f3c-461fc4e7cb22</t>
  </si>
  <si>
    <t>2026-03-09 12:10:25</t>
  </si>
  <si>
    <t>27820568152</t>
  </si>
  <si>
    <t>13558146</t>
  </si>
  <si>
    <t>4b6ca6c3-53ec-44cc-9a34-7be0436b1cdb</t>
  </si>
  <si>
    <t>2026-03-09 12:10:14</t>
  </si>
  <si>
    <t>27790604893</t>
  </si>
  <si>
    <t>13563062</t>
  </si>
  <si>
    <t>65027bfc-a873-4d92-8b9a-e0775038172c</t>
  </si>
  <si>
    <t>Karabo Matla</t>
  </si>
  <si>
    <t>27727420647</t>
  </si>
  <si>
    <t>13555837</t>
  </si>
  <si>
    <t>4f58610e-f39d-4657-828e-95169a394432</t>
  </si>
  <si>
    <t>2026-03-09 12:10:13</t>
  </si>
  <si>
    <t>27714656859</t>
  </si>
  <si>
    <t>13556127</t>
  </si>
  <si>
    <t>d9be03c1-76f0-4537-9b73-a558792a96ad</t>
  </si>
  <si>
    <t>27720896250</t>
  </si>
  <si>
    <t>13563116</t>
  </si>
  <si>
    <t>29f3283b-0694-43ef-98bf-4619bd7192b2</t>
  </si>
  <si>
    <t>27769143629</t>
  </si>
  <si>
    <t>13563141</t>
  </si>
  <si>
    <t>96c31a5c-7156-47ae-92ee-9400e4534ec5</t>
  </si>
  <si>
    <t>27726307320</t>
  </si>
  <si>
    <t>13562739</t>
  </si>
  <si>
    <t>10951000-b8a4-4b5a-a17c-c9703db7c4da</t>
  </si>
  <si>
    <t>2026-03-09 12:10:04</t>
  </si>
  <si>
    <t>Siviwe Magawu</t>
  </si>
  <si>
    <t>27767764763</t>
  </si>
  <si>
    <t>13562963</t>
  </si>
  <si>
    <t>d84a1fb0-cc5a-42cf-9ea3-aac34b224e29</t>
  </si>
  <si>
    <t>2026-03-09 12:10:02</t>
  </si>
  <si>
    <t>27646171415</t>
  </si>
  <si>
    <t>13559705</t>
  </si>
  <si>
    <t>88333df2-7d0f-46f5-8509-3fac5b565c5c</t>
  </si>
  <si>
    <t>2026-03-09 12:09:11</t>
  </si>
  <si>
    <t>27608352181</t>
  </si>
  <si>
    <t>13563560</t>
  </si>
  <si>
    <t>4cdc5904-ba9a-4302-992a-3cce337f36a9</t>
  </si>
  <si>
    <t>27729732228</t>
  </si>
  <si>
    <t>13557871</t>
  </si>
  <si>
    <t>6c4b1d09-63c8-4a2a-a85d-8a6403db9e80</t>
  </si>
  <si>
    <t>2026-03-09 12:09:10</t>
  </si>
  <si>
    <t>27768174225</t>
  </si>
  <si>
    <t>13561478</t>
  </si>
  <si>
    <t>1d3a2020-5032-4254-a81c-06ae7e6c0e3e</t>
  </si>
  <si>
    <t>27649526309</t>
  </si>
  <si>
    <t>13563544</t>
  </si>
  <si>
    <t>9f72ed13-f82e-44e2-8ce4-44eef13c6888</t>
  </si>
  <si>
    <t>27768389322</t>
  </si>
  <si>
    <t>13555824</t>
  </si>
  <si>
    <t>1f86bcdb-c97b-49a9-91c6-3b861ec3d82e</t>
  </si>
  <si>
    <t>2026-03-09 12:08:57</t>
  </si>
  <si>
    <t>27714433738</t>
  </si>
  <si>
    <t>13556782</t>
  </si>
  <si>
    <t>4fea8c41-b8e7-4bc4-a0ac-e3fca8c8295a</t>
  </si>
  <si>
    <t>27727409012</t>
  </si>
  <si>
    <t>13556921</t>
  </si>
  <si>
    <t>7d42830d-566a-4c64-a0a8-6bf34b1c9afc</t>
  </si>
  <si>
    <t>27728636754</t>
  </si>
  <si>
    <t>13555923</t>
  </si>
  <si>
    <t>0bcff249-2011-4983-9c32-19aab59a8e77</t>
  </si>
  <si>
    <t>2026-03-09 12:08:54</t>
  </si>
  <si>
    <t>27715526431</t>
  </si>
  <si>
    <t>13556285</t>
  </si>
  <si>
    <t>c3dbb65a-7499-45d9-92b5-0e06e4a1881d</t>
  </si>
  <si>
    <t>2026-03-09 12:08:50</t>
  </si>
  <si>
    <t>27722244829</t>
  </si>
  <si>
    <t>13555803</t>
  </si>
  <si>
    <t>d55d5d2c-b148-48c5-91a0-85e021af6dbf</t>
  </si>
  <si>
    <t>27714200932</t>
  </si>
  <si>
    <t>13560516</t>
  </si>
  <si>
    <t>6ce88785-7145-416f-beda-9ca9a873f796</t>
  </si>
  <si>
    <t>2026-03-09 12:08:30</t>
  </si>
  <si>
    <t>27760396324</t>
  </si>
  <si>
    <t>13558258</t>
  </si>
  <si>
    <t>ed86c96f-8532-429a-832a-6c9cce7010ea</t>
  </si>
  <si>
    <t>2026-03-09 12:08:16</t>
  </si>
  <si>
    <t>27791898691</t>
  </si>
  <si>
    <t>13557893</t>
  </si>
  <si>
    <t>e8e06580-ed70-4fd5-9863-40997d281be5</t>
  </si>
  <si>
    <t>2026-03-09 12:08:04</t>
  </si>
  <si>
    <t>27768351405</t>
  </si>
  <si>
    <t>13560903</t>
  </si>
  <si>
    <t>ec9d2a99-c163-4e3c-b33a-9c1460cb4fd3</t>
  </si>
  <si>
    <t>Sibulele Konongo</t>
  </si>
  <si>
    <t>27711338914</t>
  </si>
  <si>
    <t>13563822</t>
  </si>
  <si>
    <t>b37e640c-0465-406a-ab78-0d1efed72b43</t>
  </si>
  <si>
    <t>BLQ</t>
  </si>
  <si>
    <t>Bad Line Quality</t>
  </si>
  <si>
    <t>27774921293</t>
  </si>
  <si>
    <t>13556182</t>
  </si>
  <si>
    <t>46f2270f-4353-403d-a059-45584929f73d</t>
  </si>
  <si>
    <t>2026-03-09 12:07:57</t>
  </si>
  <si>
    <t>Dimakatso Nkomo</t>
  </si>
  <si>
    <t>27721397207</t>
  </si>
  <si>
    <t>13557489</t>
  </si>
  <si>
    <t>ee1df7a0-66e6-4399-bab3-c3ffd38d8e15</t>
  </si>
  <si>
    <t>2026-03-09 12:07:56</t>
  </si>
  <si>
    <t>27764378185</t>
  </si>
  <si>
    <t>13557888</t>
  </si>
  <si>
    <t>cf682063-9ee3-4885-8c9e-2a2891c56eb2</t>
  </si>
  <si>
    <t>27768287528</t>
  </si>
  <si>
    <t>13558827</t>
  </si>
  <si>
    <t>bac80c4b-1b04-4077-b98f-63f8a5266389</t>
  </si>
  <si>
    <t>27799001328</t>
  </si>
  <si>
    <t>13556685</t>
  </si>
  <si>
    <t>f4cd2600-1727-4cdb-9936-4aee4b20afab</t>
  </si>
  <si>
    <t>2026-03-09 12:07:12</t>
  </si>
  <si>
    <t>27726529117</t>
  </si>
  <si>
    <t>13555502</t>
  </si>
  <si>
    <t>aecaabe1-68f6-4277-a5db-d3bee034d1e2</t>
  </si>
  <si>
    <t>2026-03-09 12:07:08</t>
  </si>
  <si>
    <t>27675651864</t>
  </si>
  <si>
    <t>13560022</t>
  </si>
  <si>
    <t>40bccc6f-0018-42dd-a0ff-2add8fb52a14</t>
  </si>
  <si>
    <t>27764123795</t>
  </si>
  <si>
    <t>13560932</t>
  </si>
  <si>
    <t>aaef8c70-3eec-4f4c-bf9f-df5b6ab2a2b3</t>
  </si>
  <si>
    <t>Karabo Mpinga</t>
  </si>
  <si>
    <t>27762521408</t>
  </si>
  <si>
    <t>13561813</t>
  </si>
  <si>
    <t>a5868078-1fdb-42d1-99d0-8c55bfe273f1</t>
  </si>
  <si>
    <t>27662345508</t>
  </si>
  <si>
    <t>13564183</t>
  </si>
  <si>
    <t>06e77227-52c5-4d53-b03f-4d02fa90ecca</t>
  </si>
  <si>
    <t>27764915206</t>
  </si>
  <si>
    <t>13556783</t>
  </si>
  <si>
    <t>aa102b7a-3b74-4460-987a-8c46f1e49180</t>
  </si>
  <si>
    <t>2026-03-09 12:07:07</t>
  </si>
  <si>
    <t>Goitsimang Mogwasa</t>
  </si>
  <si>
    <t>27727412412</t>
  </si>
  <si>
    <t>13563817</t>
  </si>
  <si>
    <t>c0c3d4a2-11ef-46ab-8811-2ffe4dbe6902</t>
  </si>
  <si>
    <t>27606631065</t>
  </si>
  <si>
    <t>13564004</t>
  </si>
  <si>
    <t>5ccb679e-118a-4b77-8343-2690766a4fae</t>
  </si>
  <si>
    <t>2026-03-09 12:06:56</t>
  </si>
  <si>
    <t>27715216866</t>
  </si>
  <si>
    <t>13564678</t>
  </si>
  <si>
    <t>a0c91ea9-019a-4bec-956a-63a071a4948c</t>
  </si>
  <si>
    <t>2026-03-09 12:06:51</t>
  </si>
  <si>
    <t>Dipuo Selepe</t>
  </si>
  <si>
    <t>27661672246</t>
  </si>
  <si>
    <t>13561700</t>
  </si>
  <si>
    <t>07b53f50-a48e-4b32-ab73-79e55a71d3de</t>
  </si>
  <si>
    <t>2026-03-09 12:06:01</t>
  </si>
  <si>
    <t>Sibusiso Ncube</t>
  </si>
  <si>
    <t>27648281510</t>
  </si>
  <si>
    <t>13562464</t>
  </si>
  <si>
    <t>6e17bcd3-00fc-40cf-bcba-3f89ad1b936a</t>
  </si>
  <si>
    <t>2026-03-09 12:05:49</t>
  </si>
  <si>
    <t>27715570892</t>
  </si>
  <si>
    <t>13561076</t>
  </si>
  <si>
    <t>0e6f1d73-8835-40ba-8001-d9cacdffa7fb</t>
  </si>
  <si>
    <t>2026-03-09 12:05:30</t>
  </si>
  <si>
    <t>27764327038</t>
  </si>
  <si>
    <t>13557731</t>
  </si>
  <si>
    <t>7f0a0125-ccf3-4443-8745-11d33659b2a3</t>
  </si>
  <si>
    <t>2026-03-09 12:04:47</t>
  </si>
  <si>
    <t>27766797779</t>
  </si>
  <si>
    <t>13557747</t>
  </si>
  <si>
    <t>eaea3e98-5dbf-4fa8-ab63-8ca4388b9daf</t>
  </si>
  <si>
    <t>27766964638</t>
  </si>
  <si>
    <t>13562281</t>
  </si>
  <si>
    <t>1d78ce00-4a49-4a35-ae65-d8e0c756f63b</t>
  </si>
  <si>
    <t>27765731265</t>
  </si>
  <si>
    <t>13557719</t>
  </si>
  <si>
    <t>0d52d76d-96a3-4704-826f-6a8c038fd8eb</t>
  </si>
  <si>
    <t>2026-03-09 12:04:46</t>
  </si>
  <si>
    <t>27766681071</t>
  </si>
  <si>
    <t>13562689</t>
  </si>
  <si>
    <t>c3a79208-a661-4f5f-b9f8-6d87a42530c3</t>
  </si>
  <si>
    <t>27664349567</t>
  </si>
  <si>
    <t>13563628</t>
  </si>
  <si>
    <t>6dfd9cbd-8782-486b-9669-b4b124007286</t>
  </si>
  <si>
    <t>27729777857</t>
  </si>
  <si>
    <t>13558089</t>
  </si>
  <si>
    <t>a7aa7632-69c1-4cb8-b4a6-94c96ea1c069</t>
  </si>
  <si>
    <t>2026-03-09 12:04:45</t>
  </si>
  <si>
    <t>27788792034</t>
  </si>
  <si>
    <t>13556723</t>
  </si>
  <si>
    <t>967de087-ee15-431e-9a4a-4c340231724e</t>
  </si>
  <si>
    <t>2026-03-09 12:04:44</t>
  </si>
  <si>
    <t>27726868570</t>
  </si>
  <si>
    <t>13561884</t>
  </si>
  <si>
    <t>989dbafe-f60b-4fdd-ae0c-2b4de8d90423</t>
  </si>
  <si>
    <t>2026-03-09 12:04:13</t>
  </si>
  <si>
    <t>27774177782</t>
  </si>
  <si>
    <t>13557512</t>
  </si>
  <si>
    <t>5decf6b7-2631-49d6-b2ad-242502e9609d</t>
  </si>
  <si>
    <t>2026-03-09 12:04:08</t>
  </si>
  <si>
    <t>27764639260</t>
  </si>
  <si>
    <t>13562089</t>
  </si>
  <si>
    <t>4efd3927-0f28-48cf-970e-f22b8ffbe603</t>
  </si>
  <si>
    <t>2026-03-09 12:03:45</t>
  </si>
  <si>
    <t>Khensane Mabasa</t>
  </si>
  <si>
    <t>27647003009</t>
  </si>
  <si>
    <t>13563046</t>
  </si>
  <si>
    <t>96178165-3b16-493f-8fbf-d6a0d985456d</t>
  </si>
  <si>
    <t>2026-03-09 12:03:26</t>
  </si>
  <si>
    <t>27720187116</t>
  </si>
  <si>
    <t>13557724</t>
  </si>
  <si>
    <t>0b67431d-c757-4b0a-a01a-4c8780710a4e</t>
  </si>
  <si>
    <t>2026-03-09 12:03:13</t>
  </si>
  <si>
    <t>27766742219</t>
  </si>
  <si>
    <t>13564179</t>
  </si>
  <si>
    <t>21f70add-fcaf-4f6a-8e13-af916b86c606</t>
  </si>
  <si>
    <t>27763535670</t>
  </si>
  <si>
    <t>13556836</t>
  </si>
  <si>
    <t>227588b8-feb9-434b-a0c6-7852cf0d8c4d</t>
  </si>
  <si>
    <t>2026-03-09 12:02:18</t>
  </si>
  <si>
    <t>27727941007</t>
  </si>
  <si>
    <t>13564098</t>
  </si>
  <si>
    <t>7e91f90c-8f7f-49a9-94bb-82ef309664ec</t>
  </si>
  <si>
    <t>2026-03-09 12:01:29</t>
  </si>
  <si>
    <t>27649675053</t>
  </si>
  <si>
    <t>13559165</t>
  </si>
  <si>
    <t>385b369a-3d98-40c0-81d0-7a6f3fa8faba</t>
  </si>
  <si>
    <t>2026-03-09 12:01:24</t>
  </si>
  <si>
    <t>27823758695</t>
  </si>
  <si>
    <t>13555109</t>
  </si>
  <si>
    <t>6a1a6cae-b25b-4967-991c-b6665f731de6</t>
  </si>
  <si>
    <t>2026-03-09 12:01:20</t>
  </si>
  <si>
    <t>27648153722</t>
  </si>
  <si>
    <t>13556246</t>
  </si>
  <si>
    <t>3dbfb34d-341d-432a-853a-4faeeb6bef2e</t>
  </si>
  <si>
    <t>2026-03-09 12:01:19</t>
  </si>
  <si>
    <t>Lesedi Moletsane</t>
  </si>
  <si>
    <t>27721988266</t>
  </si>
  <si>
    <t>13561348</t>
  </si>
  <si>
    <t>0f24113e-d28b-491b-800c-d4af4e470a01</t>
  </si>
  <si>
    <t>27729099440</t>
  </si>
  <si>
    <t>13557213</t>
  </si>
  <si>
    <t>3fe82178-3e5d-4215-a6bc-9fd7eaf19621</t>
  </si>
  <si>
    <t>2026-03-09 12:01:18</t>
  </si>
  <si>
    <t>27761330717</t>
  </si>
  <si>
    <t>13557623</t>
  </si>
  <si>
    <t>22a144ac-667c-4a0e-998c-a5d4cb60cfcd</t>
  </si>
  <si>
    <t>27765737254</t>
  </si>
  <si>
    <t>13563500</t>
  </si>
  <si>
    <t>97aaa6f7-f7c4-4751-9e79-66640ad59aa9</t>
  </si>
  <si>
    <t>2026-03-09 12:00:09</t>
  </si>
  <si>
    <t>27636166983</t>
  </si>
  <si>
    <t>13555309</t>
  </si>
  <si>
    <t>d053232e-91ec-4c88-a39b-41c6077622af</t>
  </si>
  <si>
    <t>2026-03-09 11:59:55</t>
  </si>
  <si>
    <t>27661757154</t>
  </si>
  <si>
    <t>13555660</t>
  </si>
  <si>
    <t>737fd16a-4dde-4c2a-af25-f14a1937175d</t>
  </si>
  <si>
    <t>2026-03-09 11:59:54</t>
  </si>
  <si>
    <t>27712637197</t>
  </si>
  <si>
    <t>13556019</t>
  </si>
  <si>
    <t>dd7ea710-85dc-4c47-ac26-cbf18442ef80</t>
  </si>
  <si>
    <t>27716618702</t>
  </si>
  <si>
    <t>13561650</t>
  </si>
  <si>
    <t>b6181fcb-b973-447f-b518-2cdeff9e9e8f</t>
  </si>
  <si>
    <t>27764232355</t>
  </si>
  <si>
    <t>13564843</t>
  </si>
  <si>
    <t>1877dc58-abdc-4632-b03c-64a55b3496b3</t>
  </si>
  <si>
    <t>27608364915</t>
  </si>
  <si>
    <t>13564804</t>
  </si>
  <si>
    <t>9ac04ed1-483a-4074-9e85-69a1cec8766f</t>
  </si>
  <si>
    <t>27607716447</t>
  </si>
  <si>
    <t>13555918</t>
  </si>
  <si>
    <t>af688a67-4b8b-4879-850d-e149208ab8a7</t>
  </si>
  <si>
    <t>2026-03-09 11:59:53</t>
  </si>
  <si>
    <t>27715504290</t>
  </si>
  <si>
    <t>13557188</t>
  </si>
  <si>
    <t>2da76921-37fb-4e3a-b09c-eb42adf37358</t>
  </si>
  <si>
    <t>2026-03-09 11:58:55</t>
  </si>
  <si>
    <t>27761083232</t>
  </si>
  <si>
    <t>13558523</t>
  </si>
  <si>
    <t>1dd86694-3e2b-476e-bb8c-03e0bacda83e</t>
  </si>
  <si>
    <t>2026-03-09 11:58:49</t>
  </si>
  <si>
    <t>27794858055</t>
  </si>
  <si>
    <t>13561421</t>
  </si>
  <si>
    <t>21945341-9ce4-4453-b679-e89795e940c8</t>
  </si>
  <si>
    <t>2026-03-09 11:58:25</t>
  </si>
  <si>
    <t>27647266886</t>
  </si>
  <si>
    <t>13561903</t>
  </si>
  <si>
    <t>689242ce-f99a-460f-bb3d-f1dc5bbc6da4</t>
  </si>
  <si>
    <t>2026-03-09 11:58:16</t>
  </si>
  <si>
    <t>27607151033</t>
  </si>
  <si>
    <t>13562725</t>
  </si>
  <si>
    <t>d93a7c44-b63c-4585-8f02-73b5eb7564cc</t>
  </si>
  <si>
    <t>27606636806</t>
  </si>
  <si>
    <t>13555697</t>
  </si>
  <si>
    <t>edf3a16f-176f-447c-b3f9-0d8f582f2803</t>
  </si>
  <si>
    <t>2026-03-09 11:58:15</t>
  </si>
  <si>
    <t>27713017114</t>
  </si>
  <si>
    <t>13559003</t>
  </si>
  <si>
    <t>d6ca0e5a-b315-4373-8ac0-c452255c730f</t>
  </si>
  <si>
    <t>27820464239</t>
  </si>
  <si>
    <t>13561763</t>
  </si>
  <si>
    <t>81ef2c6f-3033-4844-8579-1a6bf1510034</t>
  </si>
  <si>
    <t>27760496197</t>
  </si>
  <si>
    <t>13559015</t>
  </si>
  <si>
    <t>d48ca2df-797c-43ff-b4a9-4f8e39a7d235</t>
  </si>
  <si>
    <t>2026-03-09 11:56:47</t>
  </si>
  <si>
    <t>Khomotso Mokoena</t>
  </si>
  <si>
    <t>27820594420</t>
  </si>
  <si>
    <t>13559695</t>
  </si>
  <si>
    <t>f2c346ca-9aaf-459d-8a2c-d8729e85d04e</t>
  </si>
  <si>
    <t>AFFORD</t>
  </si>
  <si>
    <t>Affordability</t>
  </si>
  <si>
    <t>27692538643</t>
  </si>
  <si>
    <t>13560923</t>
  </si>
  <si>
    <t>e5bf6bc8-73d3-448c-95e5-e9d9fb99415e</t>
  </si>
  <si>
    <t>27711538293</t>
  </si>
  <si>
    <t>13561844</t>
  </si>
  <si>
    <t>3018b2a2-f23a-471d-b1ce-b31d97ea4435</t>
  </si>
  <si>
    <t>27762612164</t>
  </si>
  <si>
    <t>13555176</t>
  </si>
  <si>
    <t>c9fa51a8-99f9-44f9-a61e-7049676c93eb</t>
  </si>
  <si>
    <t>2026-03-09 11:56:04</t>
  </si>
  <si>
    <t>27649276334</t>
  </si>
  <si>
    <t>13557183</t>
  </si>
  <si>
    <t>e18e5a0a-8288-4f8f-afd0-256c93bfab99</t>
  </si>
  <si>
    <t>27761035232</t>
  </si>
  <si>
    <t>13556875</t>
  </si>
  <si>
    <t>437009bf-e8ae-4e03-84d5-4a65e48af7fc</t>
  </si>
  <si>
    <t>DROP</t>
  </si>
  <si>
    <t>Dropped</t>
  </si>
  <si>
    <t>2026-03-09 11:55:46</t>
  </si>
  <si>
    <t>27728236762</t>
  </si>
  <si>
    <t>13557214</t>
  </si>
  <si>
    <t>bdb02e37-dfed-4d5c-bcd7-1cb95e5628fb</t>
  </si>
  <si>
    <t>27761335519</t>
  </si>
  <si>
    <t>13560567</t>
  </si>
  <si>
    <t>9a11e512-ec0a-4245-b132-2b2e685f62d0</t>
  </si>
  <si>
    <t>27763085636</t>
  </si>
  <si>
    <t>13562305</t>
  </si>
  <si>
    <t>f04e5d25-40f2-437e-a347-95ab4cb4741f</t>
  </si>
  <si>
    <t>27799719585</t>
  </si>
  <si>
    <t>13561055</t>
  </si>
  <si>
    <t>59e9e903-e7fc-4e5f-96f5-081cfbab513f</t>
  </si>
  <si>
    <t>2026-03-09 11:55:07</t>
  </si>
  <si>
    <t>27711937711</t>
  </si>
  <si>
    <t>13560297</t>
  </si>
  <si>
    <t>2b241231-08d3-4796-b95d-6fbf91fd570d</t>
  </si>
  <si>
    <t>2026-03-09 11:55:03</t>
  </si>
  <si>
    <t>27663967908</t>
  </si>
  <si>
    <t>13562228</t>
  </si>
  <si>
    <t>ba565767-936d-4e5f-bb06-e22f17eddff6</t>
  </si>
  <si>
    <t>27712678301</t>
  </si>
  <si>
    <t>13561435</t>
  </si>
  <si>
    <t>d8d3e279-e39f-4fa7-810d-8a0b1e95060c</t>
  </si>
  <si>
    <t>2026-03-09 11:54:09</t>
  </si>
  <si>
    <t>27798896588</t>
  </si>
  <si>
    <t>13561441</t>
  </si>
  <si>
    <t>ab4c7a6e-05f1-42b4-92ab-6c231a85ba08</t>
  </si>
  <si>
    <t>27767413447</t>
  </si>
  <si>
    <t>13562887</t>
  </si>
  <si>
    <t>1d8d5630-1466-4068-842e-dafb2f248f83</t>
  </si>
  <si>
    <t>27747541319</t>
  </si>
  <si>
    <t>13559931</t>
  </si>
  <si>
    <t>1d67adcd-fd4f-44b4-98de-ae855a357f0f</t>
  </si>
  <si>
    <t>2026-03-09 11:53:10</t>
  </si>
  <si>
    <t>27818723061</t>
  </si>
  <si>
    <t>13561293</t>
  </si>
  <si>
    <t>0e9b6e8a-3280-4c4a-b1b3-685e0007ad5e</t>
  </si>
  <si>
    <t>2026-03-09 11:52:47</t>
  </si>
  <si>
    <t>27649951041</t>
  </si>
  <si>
    <t>13563923</t>
  </si>
  <si>
    <t>8d1c70ec-13b0-4b0f-a474-b37b7fd41daf</t>
  </si>
  <si>
    <t>27674584626</t>
  </si>
  <si>
    <t>13559873</t>
  </si>
  <si>
    <t>ab15ab82-e0e9-40e5-b3ce-c73ca1b16834</t>
  </si>
  <si>
    <t>2026-03-09 11:52:45</t>
  </si>
  <si>
    <t>27798016667</t>
  </si>
  <si>
    <t>13560674</t>
  </si>
  <si>
    <t>79f07bb9-2d48-4aed-b66e-77818e91fd57</t>
  </si>
  <si>
    <t>2026-03-09 11:51:48</t>
  </si>
  <si>
    <t>27764393155</t>
  </si>
  <si>
    <t>13564299</t>
  </si>
  <si>
    <t>384418e4-49b8-48a6-98eb-96f43811e233</t>
  </si>
  <si>
    <t>2026-03-09 11:50:55</t>
  </si>
  <si>
    <t>27724916542</t>
  </si>
  <si>
    <t>13564261</t>
  </si>
  <si>
    <t>ed573e77-35f6-4fc3-84b2-8ffe4c30e387</t>
  </si>
  <si>
    <t>2026-03-09 11:50:54</t>
  </si>
  <si>
    <t>27636278212</t>
  </si>
  <si>
    <t>13563611</t>
  </si>
  <si>
    <t>dd620bd1-550c-4ae6-8ca0-c112403d0de6</t>
  </si>
  <si>
    <t>2026-03-09 11:50:53</t>
  </si>
  <si>
    <t>27769095755</t>
  </si>
  <si>
    <t>13563550</t>
  </si>
  <si>
    <t>6234592a-a1c7-42be-8ad8-4858da0a1c85</t>
  </si>
  <si>
    <t>27649634536</t>
  </si>
  <si>
    <t>13555706</t>
  </si>
  <si>
    <t>f0ebc6f2-32dd-4e80-a615-c0dfd40560dd</t>
  </si>
  <si>
    <t>2026-03-09 11:50:51</t>
  </si>
  <si>
    <t>27713111925</t>
  </si>
  <si>
    <t>13555215</t>
  </si>
  <si>
    <t>3ab2e14c-c892-44c0-8433-b56dd6195777</t>
  </si>
  <si>
    <t>2026-03-09 11:49:54</t>
  </si>
  <si>
    <t>27660065611</t>
  </si>
  <si>
    <t>13559497</t>
  </si>
  <si>
    <t>eedcc700-70e3-429b-9a32-fd0d396a7535</t>
  </si>
  <si>
    <t>2026-03-09 11:49:14</t>
  </si>
  <si>
    <t>27827574532</t>
  </si>
  <si>
    <t>13560733</t>
  </si>
  <si>
    <t>aad53c68-0c82-49b5-83ac-a86f935ba557</t>
  </si>
  <si>
    <t>2026-03-09 11:48:24</t>
  </si>
  <si>
    <t>27762224661</t>
  </si>
  <si>
    <t>13559097</t>
  </si>
  <si>
    <t>b668d191-9725-4e9b-ab09-67f1924b1d80</t>
  </si>
  <si>
    <t>2026-03-09 11:48:08</t>
  </si>
  <si>
    <t>27822646836</t>
  </si>
  <si>
    <t>13556626</t>
  </si>
  <si>
    <t>5cbf53e8-0393-4364-a566-5eaf983f2c92</t>
  </si>
  <si>
    <t>2026-03-09 11:47:49</t>
  </si>
  <si>
    <t>27725622199</t>
  </si>
  <si>
    <t>13556398</t>
  </si>
  <si>
    <t>53c994f4-63e8-4641-890e-5b228fefd3a7</t>
  </si>
  <si>
    <t>2026-03-09 11:47:47</t>
  </si>
  <si>
    <t>27723482297</t>
  </si>
  <si>
    <t>13561242</t>
  </si>
  <si>
    <t>501efa4c-973f-4209-897d-15ecf4740a38</t>
  </si>
  <si>
    <t>27713396804</t>
  </si>
  <si>
    <t>13559758</t>
  </si>
  <si>
    <t>9bca56ea-f6dd-4923-8ad2-e13cbb8d1aa6</t>
  </si>
  <si>
    <t>2026-03-09 11:47:37</t>
  </si>
  <si>
    <t>27646126142</t>
  </si>
  <si>
    <t>13563803</t>
  </si>
  <si>
    <t>92b95c4e-af49-4886-b102-6c42d62d3541</t>
  </si>
  <si>
    <t>2026-03-09 11:47:30</t>
  </si>
  <si>
    <t>27764681886</t>
  </si>
  <si>
    <t>13561154</t>
  </si>
  <si>
    <t>17324411-e623-4d65-8a7a-601f41319c42</t>
  </si>
  <si>
    <t>2026-03-09 11:47:13</t>
  </si>
  <si>
    <t>27712437022</t>
  </si>
  <si>
    <t>13562526</t>
  </si>
  <si>
    <t>8e23cf52-f768-494f-a825-17c7f6e85022</t>
  </si>
  <si>
    <t>2026-03-09 11:47:11</t>
  </si>
  <si>
    <t>27646622283</t>
  </si>
  <si>
    <t>13559223</t>
  </si>
  <si>
    <t>946817f1-46fe-42ed-bc6c-0e62c34e7281</t>
  </si>
  <si>
    <t>2026-03-09 11:47:08</t>
  </si>
  <si>
    <t>27824358409</t>
  </si>
  <si>
    <t>13562733</t>
  </si>
  <si>
    <t>3e0d1d77-020c-4814-9e7a-5ea2504debb5</t>
  </si>
  <si>
    <t>27768559387</t>
  </si>
  <si>
    <t>13562575</t>
  </si>
  <si>
    <t>50471eee-8a8b-4d02-8181-21e5881f0873</t>
  </si>
  <si>
    <t>27714510455</t>
  </si>
  <si>
    <t>13562906</t>
  </si>
  <si>
    <t>05f52018-3602-48af-beb1-cbb26e96662f</t>
  </si>
  <si>
    <t>27769556670</t>
  </si>
  <si>
    <t>13557605</t>
  </si>
  <si>
    <t>8f8bd1df-10ea-4cbd-8225-910b18c3f674</t>
  </si>
  <si>
    <t>2026-03-09 11:47:07</t>
  </si>
  <si>
    <t>27765562257</t>
  </si>
  <si>
    <t>13557739</t>
  </si>
  <si>
    <t>6ab5bd22-abbd-408e-b9db-f5a2b2f62a81</t>
  </si>
  <si>
    <t>27766842134</t>
  </si>
  <si>
    <t>13558504</t>
  </si>
  <si>
    <t>dad35795-283c-4fa4-b81a-d7da45bd32b7</t>
  </si>
  <si>
    <t>27794696833</t>
  </si>
  <si>
    <t>13560693</t>
  </si>
  <si>
    <t>7eb56128-70d7-41ca-9c77-ebf7c5f7faf9</t>
  </si>
  <si>
    <t>27722895643</t>
  </si>
  <si>
    <t>13560609</t>
  </si>
  <si>
    <t>5a69b9d5-f60f-4b6e-9de0-62ac18d31f44</t>
  </si>
  <si>
    <t>27793988570</t>
  </si>
  <si>
    <t>13560629</t>
  </si>
  <si>
    <t>8e99f996-b249-4458-a75b-74473e700375</t>
  </si>
  <si>
    <t>27769391294</t>
  </si>
  <si>
    <t>13557073</t>
  </si>
  <si>
    <t>2ded14f7-6b04-4b89-abad-40aef2041530</t>
  </si>
  <si>
    <t>2026-03-09 11:47:06</t>
  </si>
  <si>
    <t>27734198363</t>
  </si>
  <si>
    <t>13560962</t>
  </si>
  <si>
    <t>7f818bda-5872-4a5f-b029-f271a6fd91a3</t>
  </si>
  <si>
    <t>27721258006</t>
  </si>
  <si>
    <t>13561064</t>
  </si>
  <si>
    <t>75798ff1-3a17-4943-87f6-70b71bb11dd9</t>
  </si>
  <si>
    <t>27726604341</t>
  </si>
  <si>
    <t>13561137</t>
  </si>
  <si>
    <t>93c93a5a-1f8e-4aaa-8633-237b8d27e004</t>
  </si>
  <si>
    <t>27647814017</t>
  </si>
  <si>
    <t>13557220</t>
  </si>
  <si>
    <t>f78f14c8-bee1-46d3-9bff-06af181337ed</t>
  </si>
  <si>
    <t>2026-03-09 11:47:04</t>
  </si>
  <si>
    <t>27761386712</t>
  </si>
  <si>
    <t>13557379</t>
  </si>
  <si>
    <t>2eb4e9c6-da19-4494-9da9-4ce6652dea80</t>
  </si>
  <si>
    <t>27763046061</t>
  </si>
  <si>
    <t>13557911</t>
  </si>
  <si>
    <t>edf54262-2c78-4bda-bb87-39ad13bb6dff</t>
  </si>
  <si>
    <t>27768597465</t>
  </si>
  <si>
    <t>13559964</t>
  </si>
  <si>
    <t>8d33c28a-c0e8-441f-b4b0-75c6d075c14a</t>
  </si>
  <si>
    <t>27762726666</t>
  </si>
  <si>
    <t>13555894</t>
  </si>
  <si>
    <t>ce61d81a-a3f7-42ba-8587-6e078fbef17f</t>
  </si>
  <si>
    <t>2026-03-09 11:47:03</t>
  </si>
  <si>
    <t>27715290207</t>
  </si>
  <si>
    <t>13558143</t>
  </si>
  <si>
    <t>28bf4455-005c-4180-ad71-c723d9f99090</t>
  </si>
  <si>
    <t>27790562336</t>
  </si>
  <si>
    <t>13558702</t>
  </si>
  <si>
    <t>c784d3b9-87aa-4cb7-b68b-b3dcbfad5783</t>
  </si>
  <si>
    <t>27797141530</t>
  </si>
  <si>
    <t>13564189</t>
  </si>
  <si>
    <t>5b6b6b45-0a2d-4302-aeff-da27bfe53b64</t>
  </si>
  <si>
    <t>27791039289</t>
  </si>
  <si>
    <t>13555514</t>
  </si>
  <si>
    <t>65a4a655-5c68-4b0a-aae9-30c5fdc056fa</t>
  </si>
  <si>
    <t>2026-03-09 11:47:02</t>
  </si>
  <si>
    <t>27710459773</t>
  </si>
  <si>
    <t>13558287</t>
  </si>
  <si>
    <t>33fcc3d0-1f4c-4f59-a1b2-f329b875e708</t>
  </si>
  <si>
    <t>27792344805</t>
  </si>
  <si>
    <t>13560530</t>
  </si>
  <si>
    <t>9b8ebf1b-e5cd-4763-8f91-577a20a47bee</t>
  </si>
  <si>
    <t>27723213371</t>
  </si>
  <si>
    <t>13561673</t>
  </si>
  <si>
    <t>238badb8-c8cf-4087-a211-f50dc79e7c46</t>
  </si>
  <si>
    <t>27711692998</t>
  </si>
  <si>
    <t>13563740</t>
  </si>
  <si>
    <t>5f7bdf2e-8e1b-4c26-8343-10a49ea3fa2d</t>
  </si>
  <si>
    <t>27724314940</t>
  </si>
  <si>
    <t>13557205</t>
  </si>
  <si>
    <t>a2a0607d-fe37-42b3-847f-ee837d0aa78b</t>
  </si>
  <si>
    <t>2026-03-09 11:47:01</t>
  </si>
  <si>
    <t>27761239668</t>
  </si>
  <si>
    <t>13557321</t>
  </si>
  <si>
    <t>d7e49b52-ef48-4df6-9197-3da08b52288e</t>
  </si>
  <si>
    <t>27762462205</t>
  </si>
  <si>
    <t>13560550</t>
  </si>
  <si>
    <t>ac28022d-637b-4256-b512-d651cdf38ca7</t>
  </si>
  <si>
    <t>27761205370</t>
  </si>
  <si>
    <t>13562026</t>
  </si>
  <si>
    <t>5214cbb9-616b-40a2-9c4c-e08c387e700c</t>
  </si>
  <si>
    <t>27646930800</t>
  </si>
  <si>
    <t>13562144</t>
  </si>
  <si>
    <t>6bbdaaac-d652-437c-8a93-c47d7f8b3e31</t>
  </si>
  <si>
    <t>27649360866</t>
  </si>
  <si>
    <t>13563200</t>
  </si>
  <si>
    <t>e1bc717c-543b-4ca6-81a0-67552bac5694</t>
  </si>
  <si>
    <t>27647801754</t>
  </si>
  <si>
    <t>13563710</t>
  </si>
  <si>
    <t>bc66b313-0e92-4686-a1a9-c349c850bda9</t>
  </si>
  <si>
    <t>27768400441</t>
  </si>
  <si>
    <t>13564071</t>
  </si>
  <si>
    <t>a9abfd11-d298-4d33-8b86-86c95e4cb074</t>
  </si>
  <si>
    <t>27608054735</t>
  </si>
  <si>
    <t>13556937</t>
  </si>
  <si>
    <t>e188dd2d-5ff4-4b41-ad0c-369d9b223dd8</t>
  </si>
  <si>
    <t>2026-03-09 11:47:00</t>
  </si>
  <si>
    <t>27728825809</t>
  </si>
  <si>
    <t>13557448</t>
  </si>
  <si>
    <t>c6ab6a12-9e42-4f9e-862d-9cce6521c1df</t>
  </si>
  <si>
    <t>27763880013</t>
  </si>
  <si>
    <t>13556563</t>
  </si>
  <si>
    <t>c0e3b575-06c9-47f4-9e20-aca0090c5402</t>
  </si>
  <si>
    <t>27725072578</t>
  </si>
  <si>
    <t>13558075</t>
  </si>
  <si>
    <t>97dc8977-e584-4fcf-b1ad-60d5bd7335a6</t>
  </si>
  <si>
    <t>27783152627</t>
  </si>
  <si>
    <t>13558119</t>
  </si>
  <si>
    <t>ba9ce615-be0a-488b-801a-9b754ad048a3</t>
  </si>
  <si>
    <t>Andani Tapani</t>
  </si>
  <si>
    <t>27790301514</t>
  </si>
  <si>
    <t>13560912</t>
  </si>
  <si>
    <t>cadc7f9f-deb1-484f-8c9b-94952d5b5289</t>
  </si>
  <si>
    <t>27825307062</t>
  </si>
  <si>
    <t>13562458</t>
  </si>
  <si>
    <t>e62bb5ed-30ac-4b7f-bfed-0ec3fd954872</t>
  </si>
  <si>
    <t>27769566770</t>
  </si>
  <si>
    <t>13558456</t>
  </si>
  <si>
    <t>97d0d384-ef51-492e-a76f-6801d3467235</t>
  </si>
  <si>
    <t>2026-03-09 11:46:59</t>
  </si>
  <si>
    <t>27794231996</t>
  </si>
  <si>
    <t>13560085</t>
  </si>
  <si>
    <t>fdcebb32-2ee5-40e1-ae8b-58a77d25d5b4</t>
  </si>
  <si>
    <t>27715381037</t>
  </si>
  <si>
    <t>13560186</t>
  </si>
  <si>
    <t>12765046-7a40-4a9d-a919-c15288977242</t>
  </si>
  <si>
    <t>27606235964</t>
  </si>
  <si>
    <t>13560412</t>
  </si>
  <si>
    <t>ff268e22-f8cf-4332-8a43-b6227b4572f5</t>
  </si>
  <si>
    <t>27674445786</t>
  </si>
  <si>
    <t>13559067</t>
  </si>
  <si>
    <t>bc5df4e1-3531-4cb8-9f31-96953a47ac1e</t>
  </si>
  <si>
    <t>2026-03-09 11:46:58</t>
  </si>
  <si>
    <t>27822252040</t>
  </si>
  <si>
    <t>13559763</t>
  </si>
  <si>
    <t>44b56a5c-55a4-48b5-bfeb-5b0f9214a6d3</t>
  </si>
  <si>
    <t>27769668232</t>
  </si>
  <si>
    <t>13560484</t>
  </si>
  <si>
    <t>d043bc19-581f-490a-a200-e36dee64654a</t>
  </si>
  <si>
    <t>27721806853</t>
  </si>
  <si>
    <t>13559972</t>
  </si>
  <si>
    <t>575c4f42-e74d-423b-95bb-eda66ab007d1</t>
  </si>
  <si>
    <t>27722735466</t>
  </si>
  <si>
    <t>13564190</t>
  </si>
  <si>
    <t>f053f14c-ba10-4b5c-97b5-8367ad90d090</t>
  </si>
  <si>
    <t>27724658195</t>
  </si>
  <si>
    <t>13564259</t>
  </si>
  <si>
    <t>1a2b4e3d-780c-48b0-80e9-176f980a34cc</t>
  </si>
  <si>
    <t>27769897957</t>
  </si>
  <si>
    <t>13564595</t>
  </si>
  <si>
    <t>40189ff3-c618-453b-846f-882e3428c46f</t>
  </si>
  <si>
    <t>27647241859</t>
  </si>
  <si>
    <t>13560522</t>
  </si>
  <si>
    <t>00d1c453-2be8-444c-96cf-e6c4b352f7a2</t>
  </si>
  <si>
    <t>2026-03-09 11:46:57</t>
  </si>
  <si>
    <t>27674996906</t>
  </si>
  <si>
    <t>13560593</t>
  </si>
  <si>
    <t>9fb1f071-57f4-449b-a007-63b8b15d0356</t>
  </si>
  <si>
    <t>2026-03-09 11:46:56</t>
  </si>
  <si>
    <t>27609460665</t>
  </si>
  <si>
    <t>13560797</t>
  </si>
  <si>
    <t>304b2a45-4f16-4438-abf0-7f0ee1b9f361</t>
  </si>
  <si>
    <t>2026-03-09 11:46:55</t>
  </si>
  <si>
    <t>27665124067</t>
  </si>
  <si>
    <t>13560659</t>
  </si>
  <si>
    <t>daed6c12-8f8c-4b5d-8da2-46293b4530d0</t>
  </si>
  <si>
    <t>27721856611</t>
  </si>
  <si>
    <t>13561071</t>
  </si>
  <si>
    <t>71642eed-bf40-4fc7-9f00-8ac14726da25</t>
  </si>
  <si>
    <t>27607041817</t>
  </si>
  <si>
    <t>13561167</t>
  </si>
  <si>
    <t>0f70848c-e1e7-4b83-994d-7bef3c188a05</t>
  </si>
  <si>
    <t>27607506007</t>
  </si>
  <si>
    <t>13561209</t>
  </si>
  <si>
    <t>215d37d1-87a4-41de-9ab2-eaebf1e33f42</t>
  </si>
  <si>
    <t>27723818311</t>
  </si>
  <si>
    <t>13564601</t>
  </si>
  <si>
    <t>7811ca06-b5cd-4409-8f3d-cd4807789cb7</t>
  </si>
  <si>
    <t>27674828421</t>
  </si>
  <si>
    <t>13564630</t>
  </si>
  <si>
    <t>1b9c4e7a-d484-441b-86dd-1b5391b7806b</t>
  </si>
  <si>
    <t>27726129683</t>
  </si>
  <si>
    <t>13564779</t>
  </si>
  <si>
    <t>216283de-b90a-48ef-8ba2-21bbf8f6aa62</t>
  </si>
  <si>
    <t>27607319185</t>
  </si>
  <si>
    <t>13564801</t>
  </si>
  <si>
    <t>e77cfeac-2237-4add-9997-ba0913af4030</t>
  </si>
  <si>
    <t>27607675360</t>
  </si>
  <si>
    <t>13564821</t>
  </si>
  <si>
    <t>21319c5c-1b3b-4018-92a8-1f528f1b21d9</t>
  </si>
  <si>
    <t>2026-03-09 11:46:54</t>
  </si>
  <si>
    <t>27607972378</t>
  </si>
  <si>
    <t>13561519</t>
  </si>
  <si>
    <t>a5cc6bd4-d305-40af-90ad-fbe345253a7c</t>
  </si>
  <si>
    <t>2026-03-09 11:46:53</t>
  </si>
  <si>
    <t>27713768227</t>
  </si>
  <si>
    <t>13561468</t>
  </si>
  <si>
    <t>c95400ac-d946-4ce5-9487-e40bcbaccc90</t>
  </si>
  <si>
    <t>27760980443</t>
  </si>
  <si>
    <t>13561632</t>
  </si>
  <si>
    <t>ec2dbf55-cb56-487b-9e89-f96da33d6b18</t>
  </si>
  <si>
    <t>27729337301</t>
  </si>
  <si>
    <t>13561675</t>
  </si>
  <si>
    <t>724a0e38-1ac1-4693-ba6d-bc026a457e39</t>
  </si>
  <si>
    <t>27607473508</t>
  </si>
  <si>
    <t>13561386</t>
  </si>
  <si>
    <t>073a5ac5-4e45-4e3d-9e5b-c70021d7a493</t>
  </si>
  <si>
    <t>27647256014</t>
  </si>
  <si>
    <t>13564023</t>
  </si>
  <si>
    <t>885a2020-cdc8-4274-aef3-19f8ff255811</t>
  </si>
  <si>
    <t>2026-03-09 11:46:52</t>
  </si>
  <si>
    <t>27649532156</t>
  </si>
  <si>
    <t>13563944</t>
  </si>
  <si>
    <t>eb413c6f-b316-4189-a725-98be6f5d23b3</t>
  </si>
  <si>
    <t>27728397101</t>
  </si>
  <si>
    <t>13562818</t>
  </si>
  <si>
    <t>cdb8c6da-3191-434e-a3f4-9f7e8f7e2482</t>
  </si>
  <si>
    <t>27661194531</t>
  </si>
  <si>
    <t>13563277</t>
  </si>
  <si>
    <t>7bbae33c-220e-434e-870a-50a72fd05136</t>
  </si>
  <si>
    <t>2026-03-09 11:46:51</t>
  </si>
  <si>
    <t>27637227634</t>
  </si>
  <si>
    <t>13563157</t>
  </si>
  <si>
    <t>e4f5e9aa-0df3-42f0-a4cb-65e6656a2a5e</t>
  </si>
  <si>
    <t>27721290988</t>
  </si>
  <si>
    <t>13556181</t>
  </si>
  <si>
    <t>19d769f9-810b-4162-bbf8-66ef669e0c04</t>
  </si>
  <si>
    <t>2026-03-09 11:46:50</t>
  </si>
  <si>
    <t>27721377787</t>
  </si>
  <si>
    <t>13555316</t>
  </si>
  <si>
    <t>4af5ca08-0d43-42c7-ba46-ee78a48f015f</t>
  </si>
  <si>
    <t>27662439642</t>
  </si>
  <si>
    <t>13556089</t>
  </si>
  <si>
    <t>f10aae62-d630-4264-b91c-013fb79b9a40</t>
  </si>
  <si>
    <t>27720629243</t>
  </si>
  <si>
    <t>13556722</t>
  </si>
  <si>
    <t>b2711ba2-f726-40c9-86f1-d009bcff0975</t>
  </si>
  <si>
    <t>27726866319</t>
  </si>
  <si>
    <t>13563110</t>
  </si>
  <si>
    <t>72f47761-496b-4de2-85b8-b4f86e910166</t>
  </si>
  <si>
    <t>27665289985</t>
  </si>
  <si>
    <t>13563573</t>
  </si>
  <si>
    <t>a0559cf4-1df0-41dd-975a-9863122b3af3</t>
  </si>
  <si>
    <t>27766722075</t>
  </si>
  <si>
    <t>13560118</t>
  </si>
  <si>
    <t>a63415bb-d4ee-4b84-a30a-c904ca534362</t>
  </si>
  <si>
    <t>2026-03-09 11:46:49</t>
  </si>
  <si>
    <t>27713424423</t>
  </si>
  <si>
    <t>13562040</t>
  </si>
  <si>
    <t>66a752f0-bed5-46be-b291-ebe9576255a1</t>
  </si>
  <si>
    <t>2026-03-09 11:46:48</t>
  </si>
  <si>
    <t>27774366905</t>
  </si>
  <si>
    <t>13560711</t>
  </si>
  <si>
    <t>12e6974f-5db0-430f-a8e0-6135b0df2693</t>
  </si>
  <si>
    <t>2026-03-09 11:46:47</t>
  </si>
  <si>
    <t>27797430717</t>
  </si>
  <si>
    <t>13562488</t>
  </si>
  <si>
    <t>e2261cff-ce09-41a4-be58-4575ce23b6b4</t>
  </si>
  <si>
    <t>27727882734</t>
  </si>
  <si>
    <t>13556857</t>
  </si>
  <si>
    <t>d05efcf1-83d1-4c4c-b723-6f06d1715024</t>
  </si>
  <si>
    <t>2026-03-09 11:46:46</t>
  </si>
  <si>
    <t>27728093547</t>
  </si>
  <si>
    <t>13560563</t>
  </si>
  <si>
    <t>d781939f-0bd9-4001-ae0c-5802b0ca84aa</t>
  </si>
  <si>
    <t>27715123961</t>
  </si>
  <si>
    <t>13562338</t>
  </si>
  <si>
    <t>5b8ce50a-3b50-40df-a2a3-c31f87b4786b</t>
  </si>
  <si>
    <t>27711256401</t>
  </si>
  <si>
    <t>13561537</t>
  </si>
  <si>
    <t>fe97926f-846f-4c3d-9d8a-d537b5f696e6</t>
  </si>
  <si>
    <t>2026-03-09 11:46:44</t>
  </si>
  <si>
    <t>27796522335</t>
  </si>
  <si>
    <t>13560799</t>
  </si>
  <si>
    <t>3fffdec1-4088-40f2-911f-ffbad840ee3e</t>
  </si>
  <si>
    <t>2026-03-09 11:46:31</t>
  </si>
  <si>
    <t>27820432060</t>
  </si>
  <si>
    <t>13560816</t>
  </si>
  <si>
    <t>a29c4b9d-72eb-4bd5-9f95-8b29fe03a6c8</t>
  </si>
  <si>
    <t>27663722409</t>
  </si>
  <si>
    <t>13560829</t>
  </si>
  <si>
    <t>4f124278-ca81-4e03-aaba-9b93e18bd249</t>
  </si>
  <si>
    <t>27728255163</t>
  </si>
  <si>
    <t>13560870</t>
  </si>
  <si>
    <t>01ff2b50-4005-4a22-9836-2018846fb81f</t>
  </si>
  <si>
    <t>2026-03-09 11:46:30</t>
  </si>
  <si>
    <t>27729771750</t>
  </si>
  <si>
    <t>13561032</t>
  </si>
  <si>
    <t>80d78144-4c0d-43a3-89fe-403369ac3ae6</t>
  </si>
  <si>
    <t>27799153273</t>
  </si>
  <si>
    <t>13560916</t>
  </si>
  <si>
    <t>6f2f44ce-9f8b-40e2-9831-a527214d62cc</t>
  </si>
  <si>
    <t>LANG</t>
  </si>
  <si>
    <t>Language Barrier</t>
  </si>
  <si>
    <t>27769762801</t>
  </si>
  <si>
    <t>13562366</t>
  </si>
  <si>
    <t>046ead3a-1c1e-453a-8543-b4674d717046</t>
  </si>
  <si>
    <t>27729972629</t>
  </si>
  <si>
    <t>13556653</t>
  </si>
  <si>
    <t>2d019e88-9ad1-4b22-9612-1115aa977ee3</t>
  </si>
  <si>
    <t>2026-03-09 11:46:22</t>
  </si>
  <si>
    <t>27726051090</t>
  </si>
  <si>
    <t>13561090</t>
  </si>
  <si>
    <t>9b986f62-b49e-439c-877e-8e16a4bc1ae3</t>
  </si>
  <si>
    <t>27711952972</t>
  </si>
  <si>
    <t>13561105</t>
  </si>
  <si>
    <t>57708ea7-268b-45e2-a384-de3fc09d2536</t>
  </si>
  <si>
    <t>27716161802</t>
  </si>
  <si>
    <t>13561109</t>
  </si>
  <si>
    <t>f5b4dc79-94bf-4c07-b06a-8be21d8bfb32</t>
  </si>
  <si>
    <t>27646729618</t>
  </si>
  <si>
    <t>13555056</t>
  </si>
  <si>
    <t>78046e12-81b5-46d9-b64b-e922d4cb004d</t>
  </si>
  <si>
    <t>2026-03-09 11:46:21</t>
  </si>
  <si>
    <t>27646458210</t>
  </si>
  <si>
    <t>13555077</t>
  </si>
  <si>
    <t>3a050d9a-03fe-48fb-baa5-4d2977b00342</t>
  </si>
  <si>
    <t>27647037168</t>
  </si>
  <si>
    <t>13554943</t>
  </si>
  <si>
    <t>cfb68240-baed-481b-b420-2e533a6ab0a1</t>
  </si>
  <si>
    <t>27636149919</t>
  </si>
  <si>
    <t>13555376</t>
  </si>
  <si>
    <t>f12345e9-29fa-4e7a-934f-0af99de5aca5</t>
  </si>
  <si>
    <t>27664174919</t>
  </si>
  <si>
    <t>13556658</t>
  </si>
  <si>
    <t>388ab665-f295-41ef-9e68-b4bca3e7bc60</t>
  </si>
  <si>
    <t>27726122176</t>
  </si>
  <si>
    <t>13556672</t>
  </si>
  <si>
    <t>e63d6be4-d250-4fcd-b2fa-49f611b8fbc3</t>
  </si>
  <si>
    <t>27726388312</t>
  </si>
  <si>
    <t>13556844</t>
  </si>
  <si>
    <t>e7c25c98-f29b-47f7-ae6f-7698cef45589</t>
  </si>
  <si>
    <t>27728009109</t>
  </si>
  <si>
    <t>13556758</t>
  </si>
  <si>
    <t>0037cf5e-18e7-4dff-87f5-a7d1ffc5bae5</t>
  </si>
  <si>
    <t>27727227328</t>
  </si>
  <si>
    <t>13561111</t>
  </si>
  <si>
    <t>a9d03937-d0de-49f8-9167-bc42aeb99d77</t>
  </si>
  <si>
    <t>27606349716</t>
  </si>
  <si>
    <t>13561150</t>
  </si>
  <si>
    <t>ded86698-028c-4ec8-8020-2027ea262b93</t>
  </si>
  <si>
    <t>27664281226</t>
  </si>
  <si>
    <t>13556845</t>
  </si>
  <si>
    <t>61ad9997-3757-4ec9-835e-c5366b50ab54</t>
  </si>
  <si>
    <t>2026-03-09 11:46:20</t>
  </si>
  <si>
    <t>27728017156</t>
  </si>
  <si>
    <t>13556879</t>
  </si>
  <si>
    <t>9e353afc-8c99-45b9-81fe-811c6db2015b</t>
  </si>
  <si>
    <t>27728251981</t>
  </si>
  <si>
    <t>13557159</t>
  </si>
  <si>
    <t>e3c43fc4-6ef4-4abc-98e7-88ac6e308735</t>
  </si>
  <si>
    <t>2026-03-09 11:46:19</t>
  </si>
  <si>
    <t>27760734606</t>
  </si>
  <si>
    <t>13557202</t>
  </si>
  <si>
    <t>61c159c7-6784-419e-8a35-62e64d78c1b1</t>
  </si>
  <si>
    <t>27761205110</t>
  </si>
  <si>
    <t>13555392</t>
  </si>
  <si>
    <t>38de159a-ec75-46f7-96ec-4049c6f19f06</t>
  </si>
  <si>
    <t>2026-03-09 11:46:10</t>
  </si>
  <si>
    <t>27664574913</t>
  </si>
  <si>
    <t>13557316</t>
  </si>
  <si>
    <t>bab660c6-dde2-481a-b361-a594142be4c2</t>
  </si>
  <si>
    <t>27762420954</t>
  </si>
  <si>
    <t>13557430</t>
  </si>
  <si>
    <t>e717d4b1-6cfe-4be4-bbba-30ada84d0227</t>
  </si>
  <si>
    <t>2026-03-09 11:46:09</t>
  </si>
  <si>
    <t>27763560252</t>
  </si>
  <si>
    <t>13561201</t>
  </si>
  <si>
    <t>cb6b3f23-7cfb-42f7-b842-39c9b6008d4b</t>
  </si>
  <si>
    <t>27607093075</t>
  </si>
  <si>
    <t>13557693</t>
  </si>
  <si>
    <t>9e8b1815-d9b8-4450-a36c-e2a1f74d554f</t>
  </si>
  <si>
    <t>2026-03-09 11:46:07</t>
  </si>
  <si>
    <t>27766421777</t>
  </si>
  <si>
    <t>13562377</t>
  </si>
  <si>
    <t>40884b88-a33b-45c9-924c-759b0a973fe9</t>
  </si>
  <si>
    <t>27607258243</t>
  </si>
  <si>
    <t>13556320</t>
  </si>
  <si>
    <t>c14b59ff-6e6a-431a-bba2-9d7b43b6a60f</t>
  </si>
  <si>
    <t>2026-03-09 11:46:06</t>
  </si>
  <si>
    <t>27722652887</t>
  </si>
  <si>
    <t>13556499</t>
  </si>
  <si>
    <t>41d0807f-ccba-410c-b13d-7afdd6d2feff</t>
  </si>
  <si>
    <t>27724496006</t>
  </si>
  <si>
    <t>13557599</t>
  </si>
  <si>
    <t>67876101-961b-4914-935b-a4b64dbcbdfd</t>
  </si>
  <si>
    <t>27765516867</t>
  </si>
  <si>
    <t>13557841</t>
  </si>
  <si>
    <t>9fdf21f7-2fcc-4dc1-b30d-7a663c1def95</t>
  </si>
  <si>
    <t>27767867737</t>
  </si>
  <si>
    <t>13560518</t>
  </si>
  <si>
    <t>2257c1cc-860d-40d2-969c-214e60fa4fbb</t>
  </si>
  <si>
    <t>27768834261</t>
  </si>
  <si>
    <t>13560554</t>
  </si>
  <si>
    <t>12f57ba6-5496-494e-a1f0-75c79bfe3850</t>
  </si>
  <si>
    <t>27822155120</t>
  </si>
  <si>
    <t>13562419</t>
  </si>
  <si>
    <t>1d448641-d291-4d5f-949b-659dbe7a517e</t>
  </si>
  <si>
    <t>27729170642</t>
  </si>
  <si>
    <t>13564924</t>
  </si>
  <si>
    <t>76589e50-4a3b-4623-93b3-a65fedf359cd</t>
  </si>
  <si>
    <t>27610893867</t>
  </si>
  <si>
    <t>13560741</t>
  </si>
  <si>
    <t>7e4f4e9e-58c2-4686-83f3-e27b5158b7a1</t>
  </si>
  <si>
    <t>2026-03-09 11:46:05</t>
  </si>
  <si>
    <t>27648932784</t>
  </si>
  <si>
    <t>13563946</t>
  </si>
  <si>
    <t>b8d7d765-9940-49e6-ba97-8e438980c8e7</t>
  </si>
  <si>
    <t>27715866028</t>
  </si>
  <si>
    <t>13561262</t>
  </si>
  <si>
    <t>693f365b-8b95-4ae1-ad53-4b882e6bf30c</t>
  </si>
  <si>
    <t>2026-03-09 11:46:04</t>
  </si>
  <si>
    <t>27722073061</t>
  </si>
  <si>
    <t>13562349</t>
  </si>
  <si>
    <t>e8a36da3-7d87-4636-82d2-6afeee59c6a2</t>
  </si>
  <si>
    <t>27663896932</t>
  </si>
  <si>
    <t>13564730</t>
  </si>
  <si>
    <t>c3a416eb-4136-4455-a2f1-c9ad2052dd65</t>
  </si>
  <si>
    <t>27606502642</t>
  </si>
  <si>
    <t>13562006</t>
  </si>
  <si>
    <t>13770eb7-cf37-450a-a930-d59781b7e32b</t>
  </si>
  <si>
    <t>2026-03-09 11:46:03</t>
  </si>
  <si>
    <t>27721960867</t>
  </si>
  <si>
    <t>13558201</t>
  </si>
  <si>
    <t>8a3c0a7d-d678-4641-a237-ea9a07cd4e26</t>
  </si>
  <si>
    <t>2026-03-09 11:46:02</t>
  </si>
  <si>
    <t>27791220720</t>
  </si>
  <si>
    <t>13558804</t>
  </si>
  <si>
    <t>e750566c-fd2a-4622-b752-fca3e1fa4efd</t>
  </si>
  <si>
    <t>27798436674</t>
  </si>
  <si>
    <t>13558821</t>
  </si>
  <si>
    <t>8f305da0-8bd9-45a1-8f8c-ae01e5a842c2</t>
  </si>
  <si>
    <t>27798754049</t>
  </si>
  <si>
    <t>13559210</t>
  </si>
  <si>
    <t>9dfc83af-15f2-4ce9-86f4-d43a862c83c5</t>
  </si>
  <si>
    <t>27824220884</t>
  </si>
  <si>
    <t>13564742</t>
  </si>
  <si>
    <t>0742ed16-6bd4-446d-a997-24e5a97486ef</t>
  </si>
  <si>
    <t>27606689118</t>
  </si>
  <si>
    <t>13559326</t>
  </si>
  <si>
    <t>e1381b7a-0114-46fd-b470-003d9479bf14</t>
  </si>
  <si>
    <t>2026-03-09 11:45:55</t>
  </si>
  <si>
    <t>27825443749</t>
  </si>
  <si>
    <t>13556403</t>
  </si>
  <si>
    <t>974257c2-d595-4493-8bca-5fd59b410aed</t>
  </si>
  <si>
    <t>2026-03-09 11:45:54</t>
  </si>
  <si>
    <t>27723531106</t>
  </si>
  <si>
    <t>13555566</t>
  </si>
  <si>
    <t>b918b18d-9cb2-4164-99da-cdff04d53a00</t>
  </si>
  <si>
    <t>Tshepo Maluleke</t>
  </si>
  <si>
    <t>27711561601</t>
  </si>
  <si>
    <t>13558761</t>
  </si>
  <si>
    <t>e0229202-5acb-4d42-87a0-f742d8f9fea3</t>
  </si>
  <si>
    <t>27797891040</t>
  </si>
  <si>
    <t>13561683</t>
  </si>
  <si>
    <t>50bf8c62-530f-47a4-87e7-8c236fa89c13</t>
  </si>
  <si>
    <t>27725016483</t>
  </si>
  <si>
    <t>13561726</t>
  </si>
  <si>
    <t>04ec5898-bf9c-421b-999c-fcc1e6f50313</t>
  </si>
  <si>
    <t>27791980337</t>
  </si>
  <si>
    <t>13562173</t>
  </si>
  <si>
    <t>438fe074-f5b8-4692-a2e9-e31d2d39d283</t>
  </si>
  <si>
    <t>27660563380</t>
  </si>
  <si>
    <t>13562392</t>
  </si>
  <si>
    <t>bcb51654-6d34-4909-b1f6-585adc7ae921</t>
  </si>
  <si>
    <t>2026-03-09 11:45:50</t>
  </si>
  <si>
    <t>27716496329</t>
  </si>
  <si>
    <t>13563407</t>
  </si>
  <si>
    <t>a8085ba1-3482-4dce-94c5-8f330e2b22e8</t>
  </si>
  <si>
    <t>27713120523</t>
  </si>
  <si>
    <t>13557372</t>
  </si>
  <si>
    <t>e29683b2-6ee9-414b-b49f-af7cd08a1f3c</t>
  </si>
  <si>
    <t>2026-03-09 11:45:34</t>
  </si>
  <si>
    <t>27762986924</t>
  </si>
  <si>
    <t>13557522</t>
  </si>
  <si>
    <t>362936e6-6d2c-4bd0-a70e-f2d6880dc8a1</t>
  </si>
  <si>
    <t>2026-03-09 11:45:33</t>
  </si>
  <si>
    <t>27764743700</t>
  </si>
  <si>
    <t>13557555</t>
  </si>
  <si>
    <t>4d3a956d-d529-4cb4-8106-f5a67e0064bf</t>
  </si>
  <si>
    <t>27765082666</t>
  </si>
  <si>
    <t>13558477</t>
  </si>
  <si>
    <t>9a2d2023-6516-4050-8eb5-1e78be67e397</t>
  </si>
  <si>
    <t>27794420148</t>
  </si>
  <si>
    <t>13560036</t>
  </si>
  <si>
    <t>e67cc286-9382-47a4-bff5-9ea3c57f896e</t>
  </si>
  <si>
    <t>27827669443</t>
  </si>
  <si>
    <t>13559988</t>
  </si>
  <si>
    <t>99265439-dcb5-4cf3-8ce9-d514aefe6d73</t>
  </si>
  <si>
    <t>27607572872</t>
  </si>
  <si>
    <t>13555489</t>
  </si>
  <si>
    <t>b6d0882f-d0f4-4007-8f63-a6a994dd7377</t>
  </si>
  <si>
    <t>2026-03-09 11:45:32</t>
  </si>
  <si>
    <t>27674588533</t>
  </si>
  <si>
    <t>13560096</t>
  </si>
  <si>
    <t>a2490e95-f97f-4bd3-a4f7-c541ecb6cf15</t>
  </si>
  <si>
    <t>27712815442</t>
  </si>
  <si>
    <t>13560113</t>
  </si>
  <si>
    <t>5fec9689-f58c-4daf-98cb-941fe871f294</t>
  </si>
  <si>
    <t>2026-03-09 11:45:31</t>
  </si>
  <si>
    <t>27797751744</t>
  </si>
  <si>
    <t>13563308</t>
  </si>
  <si>
    <t>c65c6a55-9242-4060-93b8-4fee777ad2f1</t>
  </si>
  <si>
    <t>27728896014</t>
  </si>
  <si>
    <t>13563587</t>
  </si>
  <si>
    <t>ce6c4806-daec-4aa3-80be-dd897203a96c</t>
  </si>
  <si>
    <t>2026-03-09 11:45:30</t>
  </si>
  <si>
    <t>27674963235</t>
  </si>
  <si>
    <t>13563813</t>
  </si>
  <si>
    <t>927f4058-9cd2-42e0-bd26-de394a92dc35</t>
  </si>
  <si>
    <t>27760119843</t>
  </si>
  <si>
    <t>13564333</t>
  </si>
  <si>
    <t>1383dfa9-69a7-44fd-97e2-1230776c35dd</t>
  </si>
  <si>
    <t>27765600283</t>
  </si>
  <si>
    <t>13564608</t>
  </si>
  <si>
    <t>c79e81be-2a4f-4f4e-98a8-0cc466a31b4c</t>
  </si>
  <si>
    <t>27767675629</t>
  </si>
  <si>
    <t>13564623</t>
  </si>
  <si>
    <t>ed9b26c1-fc86-495f-821e-6fca4fb08730</t>
  </si>
  <si>
    <t>2026-03-09 11:45:21</t>
  </si>
  <si>
    <t>27637157044</t>
  </si>
  <si>
    <t>13558253</t>
  </si>
  <si>
    <t>d0f2d608-f608-4af4-8d86-f350faf9301c</t>
  </si>
  <si>
    <t>2026-03-09 11:45:20</t>
  </si>
  <si>
    <t>27791850369</t>
  </si>
  <si>
    <t>13558533</t>
  </si>
  <si>
    <t>55953442-0db6-41a6-9850-1061d0088722</t>
  </si>
  <si>
    <t>27795034114</t>
  </si>
  <si>
    <t>13558554</t>
  </si>
  <si>
    <t>6ad2c5da-c6b4-4be8-a5d1-fa36c24b96ef</t>
  </si>
  <si>
    <t>27795445144</t>
  </si>
  <si>
    <t>13564657</t>
  </si>
  <si>
    <t>818f7444-b748-4ae0-bd03-6ca4143e5f48</t>
  </si>
  <si>
    <t>27766377075</t>
  </si>
  <si>
    <t>13564677</t>
  </si>
  <si>
    <t>162f6b60-939e-4695-b58f-d50eb80aeb96</t>
  </si>
  <si>
    <t>27727684657</t>
  </si>
  <si>
    <t>13558142</t>
  </si>
  <si>
    <t>ac2c3e67-3424-441d-a5be-30d602200890</t>
  </si>
  <si>
    <t>2026-03-09 11:45:18</t>
  </si>
  <si>
    <t>27790560529</t>
  </si>
  <si>
    <t>13558660</t>
  </si>
  <si>
    <t>f0eb21d4-4171-4f42-a4b4-16f711cbef7f</t>
  </si>
  <si>
    <t>27796649661</t>
  </si>
  <si>
    <t>13557661</t>
  </si>
  <si>
    <t>c1fb6ed9-6783-47a8-90d2-18ec3d09a0e5</t>
  </si>
  <si>
    <t>2026-03-09 11:45:16</t>
  </si>
  <si>
    <t>27766189258</t>
  </si>
  <si>
    <t>13557686</t>
  </si>
  <si>
    <t>fb0a456a-8f6f-4019-a623-bedf5bc16445</t>
  </si>
  <si>
    <t>27766392486</t>
  </si>
  <si>
    <t>13557720</t>
  </si>
  <si>
    <t>023c7c39-dc65-4ceb-bc92-30d942334ca1</t>
  </si>
  <si>
    <t>27766687207</t>
  </si>
  <si>
    <t>13558756</t>
  </si>
  <si>
    <t>96034832-d51e-492b-a52a-54a4cc695d47</t>
  </si>
  <si>
    <t>27797809753</t>
  </si>
  <si>
    <t>13557323</t>
  </si>
  <si>
    <t>c1743ec5-3a8d-4fde-9171-4e018c4469cd</t>
  </si>
  <si>
    <t>2026-03-09 11:45:15</t>
  </si>
  <si>
    <t>27762476636</t>
  </si>
  <si>
    <t>13558423</t>
  </si>
  <si>
    <t>44328958-6681-4bd1-b4fe-5a6c4ebe8bc8</t>
  </si>
  <si>
    <t>27793793736</t>
  </si>
  <si>
    <t>13558446</t>
  </si>
  <si>
    <t>6ce8ff73-a3df-4e64-bca7-166646edd9bb</t>
  </si>
  <si>
    <t>27794141517</t>
  </si>
  <si>
    <t>13558356</t>
  </si>
  <si>
    <t>4a42abaa-42e5-49b2-bd7e-4ba4dea8f524</t>
  </si>
  <si>
    <t>27793034465</t>
  </si>
  <si>
    <t>13557617</t>
  </si>
  <si>
    <t>f5a01b6d-6153-4fc9-ad80-38ea3cceca02</t>
  </si>
  <si>
    <t>27765680548</t>
  </si>
  <si>
    <t>13557657</t>
  </si>
  <si>
    <t>88212e9b-3f7d-4523-8869-9d58d4cd0223</t>
  </si>
  <si>
    <t>27766160185</t>
  </si>
  <si>
    <t>13564747</t>
  </si>
  <si>
    <t>fa94ccde-b492-4804-a3df-b2f91ccc7d30</t>
  </si>
  <si>
    <t>27606721138</t>
  </si>
  <si>
    <t>13555579</t>
  </si>
  <si>
    <t>b2ea444c-b669-45fe-99ed-4d3f08553061</t>
  </si>
  <si>
    <t>2026-03-09 11:45:14</t>
  </si>
  <si>
    <t>27711666847</t>
  </si>
  <si>
    <t>13557404</t>
  </si>
  <si>
    <t>a49f428e-247c-40f9-bd91-6bee8055342f</t>
  </si>
  <si>
    <t>27763259947</t>
  </si>
  <si>
    <t>13558848</t>
  </si>
  <si>
    <t>067bdbdb-c7cb-4301-aa0c-b929116c4167</t>
  </si>
  <si>
    <t>27799240768</t>
  </si>
  <si>
    <t>13558770</t>
  </si>
  <si>
    <t>b4dd81df-7f56-4afa-9840-b3f3bc8bb485</t>
  </si>
  <si>
    <t>27798005855</t>
  </si>
  <si>
    <t>13558964</t>
  </si>
  <si>
    <t>6d949a15-c7a4-447c-a01e-39b56911efb8</t>
  </si>
  <si>
    <t>27818495110</t>
  </si>
  <si>
    <t>13564866</t>
  </si>
  <si>
    <t>07b50596-3775-469f-89ff-33e4fede0b8b</t>
  </si>
  <si>
    <t>27608775934</t>
  </si>
  <si>
    <t>13564873</t>
  </si>
  <si>
    <t>f12752b3-a13d-4db2-b679-d0137a81b9cd</t>
  </si>
  <si>
    <t>27608870999</t>
  </si>
  <si>
    <t>13564091</t>
  </si>
  <si>
    <t>930c171f-5443-444e-b7aa-da6bafa43f14</t>
  </si>
  <si>
    <t>27769896554</t>
  </si>
  <si>
    <t>13564893</t>
  </si>
  <si>
    <t>5e8dd37e-560a-49f4-9ae0-741d4b558b4e</t>
  </si>
  <si>
    <t>27609237284</t>
  </si>
  <si>
    <t>13555572</t>
  </si>
  <si>
    <t>73e6250e-72f2-4aa9-a037-0f20eb095044</t>
  </si>
  <si>
    <t>2026-03-09 11:45:13</t>
  </si>
  <si>
    <t>27711622793</t>
  </si>
  <si>
    <t>13558973</t>
  </si>
  <si>
    <t>d276539e-6c5c-41d8-a649-640c9c466042</t>
  </si>
  <si>
    <t>27818639444</t>
  </si>
  <si>
    <t>13554990</t>
  </si>
  <si>
    <t>ba396f91-28b2-47db-a593-260eb5c7cfa6</t>
  </si>
  <si>
    <t>2026-03-09 11:45:11</t>
  </si>
  <si>
    <t>27636962149</t>
  </si>
  <si>
    <t>13556277</t>
  </si>
  <si>
    <t>c92641c4-daec-4448-8b35-df7c3908356e</t>
  </si>
  <si>
    <t>27722189449</t>
  </si>
  <si>
    <t>13555295</t>
  </si>
  <si>
    <t>7c04de3c-bc8f-4bc2-bab6-1735c7de72ce</t>
  </si>
  <si>
    <t>27661443608</t>
  </si>
  <si>
    <t>13555481</t>
  </si>
  <si>
    <t>1a8544d4-66bb-424e-9cd0-0d77e08ed690</t>
  </si>
  <si>
    <t>27674151062</t>
  </si>
  <si>
    <t>13555508</t>
  </si>
  <si>
    <t>9f9e59b1-0022-48a3-8b5c-f94fb040b0d8</t>
  </si>
  <si>
    <t>27675777030</t>
  </si>
  <si>
    <t>13555510</t>
  </si>
  <si>
    <t>93486433-adf6-4961-b32d-7e7ad69b8b25</t>
  </si>
  <si>
    <t>27675853272</t>
  </si>
  <si>
    <t>13555445</t>
  </si>
  <si>
    <t>e8eb05e1-7358-4ebd-ba57-e67266a27120</t>
  </si>
  <si>
    <t>27665880714</t>
  </si>
  <si>
    <t>13555351</t>
  </si>
  <si>
    <t>d046a448-5c54-4503-8cb0-79afc667d026</t>
  </si>
  <si>
    <t>27663848150</t>
  </si>
  <si>
    <t>13555356</t>
  </si>
  <si>
    <t>e340463e-48ee-41d9-b7cc-9ca2f6860a4b</t>
  </si>
  <si>
    <t>Lehlohonolo Thomas Jnr Baloyi</t>
  </si>
  <si>
    <t>27663934126</t>
  </si>
  <si>
    <t>13554956</t>
  </si>
  <si>
    <t>6aa169e4-8d6f-4704-a632-56853f963333</t>
  </si>
  <si>
    <t>2026-03-09 11:45:10</t>
  </si>
  <si>
    <t>27636326796</t>
  </si>
  <si>
    <t>13554965</t>
  </si>
  <si>
    <t>2e566b63-9a98-472c-935d-050de5d111ee</t>
  </si>
  <si>
    <t>27636466948</t>
  </si>
  <si>
    <t>13555200</t>
  </si>
  <si>
    <t>0de53875-6603-4e3f-bbce-16cf91642126</t>
  </si>
  <si>
    <t>27649856403</t>
  </si>
  <si>
    <t>13555121</t>
  </si>
  <si>
    <t>586317f3-6d3c-491a-b3d6-29e86fd7d988</t>
  </si>
  <si>
    <t>2026-03-09 11:45:09</t>
  </si>
  <si>
    <t>27648323409</t>
  </si>
  <si>
    <t>13555131</t>
  </si>
  <si>
    <t>7886a9f1-5c20-4d44-a513-5cf00fa34a71</t>
  </si>
  <si>
    <t>27648444329</t>
  </si>
  <si>
    <t>13555065</t>
  </si>
  <si>
    <t>0644d1e9-da00-4533-9778-ab6970fe2da6</t>
  </si>
  <si>
    <t>27646762782</t>
  </si>
  <si>
    <t>13555075</t>
  </si>
  <si>
    <t>acec5cae-814b-4a96-b762-6bd57dca98ef</t>
  </si>
  <si>
    <t>27647021841</t>
  </si>
  <si>
    <t>13555163</t>
  </si>
  <si>
    <t>124ccaa2-0501-49b5-82b3-4132240b0d25</t>
  </si>
  <si>
    <t>27648945232</t>
  </si>
  <si>
    <t>13558987</t>
  </si>
  <si>
    <t>0754eadb-e363-42d9-b990-09a0196b9b40</t>
  </si>
  <si>
    <t>2026-03-09 11:45:08</t>
  </si>
  <si>
    <t>27818830232</t>
  </si>
  <si>
    <t>13559157</t>
  </si>
  <si>
    <t>d0b52f9a-fa2c-4659-9c49-f6b95333be95</t>
  </si>
  <si>
    <t>27823619578</t>
  </si>
  <si>
    <t>13559469</t>
  </si>
  <si>
    <t>2343754f-479d-4f77-be66-bf3871b0d8a4</t>
  </si>
  <si>
    <t>27827261334</t>
  </si>
  <si>
    <t>13559412</t>
  </si>
  <si>
    <t>39f4ac01-1e84-45ce-b204-1edd4d29cb8d</t>
  </si>
  <si>
    <t>27826649640</t>
  </si>
  <si>
    <t>13559461</t>
  </si>
  <si>
    <t>5c4a33ba-38d5-45e0-adb5-26357d008125</t>
  </si>
  <si>
    <t>27827116459</t>
  </si>
  <si>
    <t>13560028</t>
  </si>
  <si>
    <t>0ff6e449-cf32-4acc-bb4b-52b9a5be5d4c</t>
  </si>
  <si>
    <t>27825209013</t>
  </si>
  <si>
    <t>13560077</t>
  </si>
  <si>
    <t>18475e35-0758-4954-a9bf-971cc5ddfab5</t>
  </si>
  <si>
    <t>27792918520</t>
  </si>
  <si>
    <t>13560155</t>
  </si>
  <si>
    <t>79ac7c17-7922-4d6b-a906-b3e1c8b65237</t>
  </si>
  <si>
    <t>27715721928</t>
  </si>
  <si>
    <t>13560087</t>
  </si>
  <si>
    <t>059b3510-010e-42a9-b45c-7ae619706e05</t>
  </si>
  <si>
    <t>27794317011</t>
  </si>
  <si>
    <t>13560165</t>
  </si>
  <si>
    <t>77e03adc-66fc-46c9-a537-13f0a20b05b0</t>
  </si>
  <si>
    <t>27799532465</t>
  </si>
  <si>
    <t>13559672</t>
  </si>
  <si>
    <t>d54fbaba-6200-4be1-816c-6ccf080129d9</t>
  </si>
  <si>
    <t>2026-03-09 11:45:07</t>
  </si>
  <si>
    <t>27839792192</t>
  </si>
  <si>
    <t>13559766</t>
  </si>
  <si>
    <t>0c2f611e-343c-43c2-b02b-9b05c66ceac9</t>
  </si>
  <si>
    <t>27713189216</t>
  </si>
  <si>
    <t>13559883</t>
  </si>
  <si>
    <t>e82ca207-8870-45a2-9f2a-f3bba1ad3af3</t>
  </si>
  <si>
    <t>27769572183</t>
  </si>
  <si>
    <t>13559894</t>
  </si>
  <si>
    <t>8112e34d-1385-436c-81dc-be72a4d43e95</t>
  </si>
  <si>
    <t>27764989125</t>
  </si>
  <si>
    <t>13559721</t>
  </si>
  <si>
    <t>08660b2b-1c98-4127-bd2d-b69fd3d4ec55</t>
  </si>
  <si>
    <t>27727523119</t>
  </si>
  <si>
    <t>13561279</t>
  </si>
  <si>
    <t>650d2311-0a57-42c2-975e-4b9e40622b3b</t>
  </si>
  <si>
    <t>2026-03-09 11:45:06</t>
  </si>
  <si>
    <t>27648963878</t>
  </si>
  <si>
    <t>13561286</t>
  </si>
  <si>
    <t>594a323e-d74e-4242-990f-fe22e328e570</t>
  </si>
  <si>
    <t>2026-03-09 11:45:05</t>
  </si>
  <si>
    <t>27660120003</t>
  </si>
  <si>
    <t>13560451</t>
  </si>
  <si>
    <t>f650c7bd-f9f2-486a-bc94-fea864e269de</t>
  </si>
  <si>
    <t>27726600154</t>
  </si>
  <si>
    <t>13560515</t>
  </si>
  <si>
    <t>fd501507-0789-4aea-a6fd-d694b62ea6f9</t>
  </si>
  <si>
    <t>27769118702</t>
  </si>
  <si>
    <t>13560527</t>
  </si>
  <si>
    <t>876c2642-fb7d-4b67-9b7b-cdc788555ba6</t>
  </si>
  <si>
    <t>27726793253</t>
  </si>
  <si>
    <t>13560546</t>
  </si>
  <si>
    <t>864f4c39-121b-4890-aecd-f1274d8abdf4</t>
  </si>
  <si>
    <t>27768153184</t>
  </si>
  <si>
    <t>13560678</t>
  </si>
  <si>
    <t>2519eefb-6d14-4a19-919e-097ecc306afe</t>
  </si>
  <si>
    <t>27729316760</t>
  </si>
  <si>
    <t>13560687</t>
  </si>
  <si>
    <t>f66599bb-1299-4b38-bd29-7b0f6456ef39</t>
  </si>
  <si>
    <t>2026-03-09 11:45:04</t>
  </si>
  <si>
    <t>27792839453</t>
  </si>
  <si>
    <t>13560811</t>
  </si>
  <si>
    <t>90d6ef0a-c84c-4ffa-922a-2dc0e3a65c6c</t>
  </si>
  <si>
    <t>27716689676</t>
  </si>
  <si>
    <t>13560821</t>
  </si>
  <si>
    <t>ace6cec5-8938-4d30-a528-b738919ed56b</t>
  </si>
  <si>
    <t>27766214956</t>
  </si>
  <si>
    <t>13560851</t>
  </si>
  <si>
    <t>3c958c40-bf64-4f17-afec-01f90c1b62a3</t>
  </si>
  <si>
    <t>27769236844</t>
  </si>
  <si>
    <t>13560953</t>
  </si>
  <si>
    <t>62085a49-0163-4688-b2cd-ef36283749b2</t>
  </si>
  <si>
    <t>27762669543</t>
  </si>
  <si>
    <t>13561087</t>
  </si>
  <si>
    <t>399fd130-39bc-478e-9f74-c44278ac46d8</t>
  </si>
  <si>
    <t>2026-03-09 11:45:03</t>
  </si>
  <si>
    <t>27607277912</t>
  </si>
  <si>
    <t>13561145</t>
  </si>
  <si>
    <t>3816187e-6149-4f93-afac-e06514f856cf</t>
  </si>
  <si>
    <t>27728883509</t>
  </si>
  <si>
    <t>13561562</t>
  </si>
  <si>
    <t>84813a38-6717-45bc-80c1-cd4e8235481c</t>
  </si>
  <si>
    <t>27722678637</t>
  </si>
  <si>
    <t>13561756</t>
  </si>
  <si>
    <t>74452f2f-7da0-41da-b548-358c79101654</t>
  </si>
  <si>
    <t>27765913216</t>
  </si>
  <si>
    <t>13561787</t>
  </si>
  <si>
    <t>6ae64f27-6db5-43ad-8c17-33062f71cd68</t>
  </si>
  <si>
    <t>2026-03-09 11:45:02</t>
  </si>
  <si>
    <t>27713228792</t>
  </si>
  <si>
    <t>13561845</t>
  </si>
  <si>
    <t>d95c8ac0-c365-420c-9be6-176dc9daf956</t>
  </si>
  <si>
    <t>27762683999</t>
  </si>
  <si>
    <t>13561958</t>
  </si>
  <si>
    <t>7fa428b8-8174-4c26-8421-456b13cac76a</t>
  </si>
  <si>
    <t>27818979377</t>
  </si>
  <si>
    <t>13561970</t>
  </si>
  <si>
    <t>4c00f774-4e6a-4153-a1a0-8d95b5a440f5</t>
  </si>
  <si>
    <t>27674947412</t>
  </si>
  <si>
    <t>13563869</t>
  </si>
  <si>
    <t>3bec0c45-996d-4cea-9539-a66e47536b8b</t>
  </si>
  <si>
    <t>27660690118</t>
  </si>
  <si>
    <t>13559668</t>
  </si>
  <si>
    <t>551c9193-f15b-4b9a-b6e3-7904599e6973</t>
  </si>
  <si>
    <t>2026-03-09 11:44:52</t>
  </si>
  <si>
    <t>27839268146</t>
  </si>
  <si>
    <t>13563791</t>
  </si>
  <si>
    <t>0ebefb97-594a-42e7-aa18-ec931c3daa7a</t>
  </si>
  <si>
    <t>2026-03-09 11:44:48</t>
  </si>
  <si>
    <t>27769267775</t>
  </si>
  <si>
    <t>13563992</t>
  </si>
  <si>
    <t>5ecfae3d-4fed-45b7-9283-3e71e1e777b5</t>
  </si>
  <si>
    <t>2026-03-09 11:44:47</t>
  </si>
  <si>
    <t>27761162682</t>
  </si>
  <si>
    <t>13563930</t>
  </si>
  <si>
    <t>3204ab70-e972-419e-9a16-617a52b89ef5</t>
  </si>
  <si>
    <t>27606148754</t>
  </si>
  <si>
    <t>13563952</t>
  </si>
  <si>
    <t>ac9c39f8-85fc-4240-af35-3873619e80f5</t>
  </si>
  <si>
    <t>27769427247</t>
  </si>
  <si>
    <t>13563959</t>
  </si>
  <si>
    <t>d90680bd-3fa5-4e15-aa41-126f000f3d97</t>
  </si>
  <si>
    <t>27768541329</t>
  </si>
  <si>
    <t>13562472</t>
  </si>
  <si>
    <t>fde5a97e-b25b-4d0a-87e3-f29bf9b13314</t>
  </si>
  <si>
    <t>27712191694</t>
  </si>
  <si>
    <t>13562530</t>
  </si>
  <si>
    <t>9d100478-c66f-4fce-8439-29ba87611100</t>
  </si>
  <si>
    <t>27711851173</t>
  </si>
  <si>
    <t>13562777</t>
  </si>
  <si>
    <t>c22ef844-7d1a-4172-bc07-048fe5625643</t>
  </si>
  <si>
    <t>27711378449</t>
  </si>
  <si>
    <t>13557922</t>
  </si>
  <si>
    <t>777fda8c-940d-4392-b235-1366290ebd88</t>
  </si>
  <si>
    <t>2026-03-09 11:44:46</t>
  </si>
  <si>
    <t>27768757254</t>
  </si>
  <si>
    <t>13558734</t>
  </si>
  <si>
    <t>c8abf8ac-3ebd-4d13-b375-3bcc6bc9a25d</t>
  </si>
  <si>
    <t>27797557232</t>
  </si>
  <si>
    <t>13562797</t>
  </si>
  <si>
    <t>379604c5-dfbe-4bcf-b3b4-251a2c1c93f1</t>
  </si>
  <si>
    <t>27769084341</t>
  </si>
  <si>
    <t>13558668</t>
  </si>
  <si>
    <t>6afe60cd-9b8c-48af-a0a6-384fa95a6feb</t>
  </si>
  <si>
    <t>2026-03-09 11:44:45</t>
  </si>
  <si>
    <t>27796701091</t>
  </si>
  <si>
    <t>13561035</t>
  </si>
  <si>
    <t>b78626ba-c242-45b3-b4d8-2b5a32e6a8ef</t>
  </si>
  <si>
    <t>27791977808</t>
  </si>
  <si>
    <t>13562899</t>
  </si>
  <si>
    <t>17bc1a8e-fab9-44c6-92d6-84c25134a825</t>
  </si>
  <si>
    <t>2026-03-09 11:44:32</t>
  </si>
  <si>
    <t>27725338298</t>
  </si>
  <si>
    <t>13562987</t>
  </si>
  <si>
    <t>1e17a544-01b0-48bd-895a-bab1de3afb3d</t>
  </si>
  <si>
    <t>27637872325</t>
  </si>
  <si>
    <t>13562833</t>
  </si>
  <si>
    <t>5ada37b9-fa67-4513-ad21-4d473c43e833</t>
  </si>
  <si>
    <t>27726961186</t>
  </si>
  <si>
    <t>13562864</t>
  </si>
  <si>
    <t>99c457ec-cc40-4b52-b808-fd02764095ac</t>
  </si>
  <si>
    <t>27791801077</t>
  </si>
  <si>
    <t>13563169</t>
  </si>
  <si>
    <t>71425244-5cc6-4e18-b6a6-17a1ec98fc43</t>
  </si>
  <si>
    <t>2026-03-09 11:44:31</t>
  </si>
  <si>
    <t>27762547112</t>
  </si>
  <si>
    <t>13563226</t>
  </si>
  <si>
    <t>a8357b06-731f-48bf-88f8-89f3128c66b6</t>
  </si>
  <si>
    <t>27761147417</t>
  </si>
  <si>
    <t>13563291</t>
  </si>
  <si>
    <t>abdd119d-e691-4ec2-9fa7-7213ad07ff7e</t>
  </si>
  <si>
    <t>2026-03-09 11:44:29</t>
  </si>
  <si>
    <t>27663266103</t>
  </si>
  <si>
    <t>13563318</t>
  </si>
  <si>
    <t>4410e265-e640-47e0-892f-1115c37c04c9</t>
  </si>
  <si>
    <t>27712632061</t>
  </si>
  <si>
    <t>13563347</t>
  </si>
  <si>
    <t>786731c8-54ad-4c0d-845f-ba1ef25ac551</t>
  </si>
  <si>
    <t>27716414803</t>
  </si>
  <si>
    <t>13563360</t>
  </si>
  <si>
    <t>b6fed9eb-3918-40c0-bc27-43abf2edda6a</t>
  </si>
  <si>
    <t>2026-03-09 11:44:28</t>
  </si>
  <si>
    <t>27711592168</t>
  </si>
  <si>
    <t>13563349</t>
  </si>
  <si>
    <t>b55acc3b-3941-485b-a418-3d8513faa27b</t>
  </si>
  <si>
    <t>27660779029</t>
  </si>
  <si>
    <t>13563501</t>
  </si>
  <si>
    <t>fbecf83a-299f-45f8-af70-17f86b66b117</t>
  </si>
  <si>
    <t>27711391060</t>
  </si>
  <si>
    <t>13563513</t>
  </si>
  <si>
    <t>246462c9-ad5d-4cbe-a4c9-47cedd2e8ac1</t>
  </si>
  <si>
    <t>27660928096</t>
  </si>
  <si>
    <t>13563526</t>
  </si>
  <si>
    <t>37cf3136-6f46-4915-9360-ed175fe078e7</t>
  </si>
  <si>
    <t>27637198283</t>
  </si>
  <si>
    <t>13563578</t>
  </si>
  <si>
    <t>20d78ba4-b6ad-48c2-8bfc-ac3d47a8a822</t>
  </si>
  <si>
    <t>2026-03-09 11:44:19</t>
  </si>
  <si>
    <t>27673902554</t>
  </si>
  <si>
    <t>13563536</t>
  </si>
  <si>
    <t>87a43999-d2d4-4c67-bb38-91adc5b947fe</t>
  </si>
  <si>
    <t>27674419454</t>
  </si>
  <si>
    <t>13563684</t>
  </si>
  <si>
    <t>6fd3a013-cd66-415d-8ddb-785dac610fc1</t>
  </si>
  <si>
    <t>2026-03-09 11:44:18</t>
  </si>
  <si>
    <t>27766039953</t>
  </si>
  <si>
    <t>13563715</t>
  </si>
  <si>
    <t>77d58845-1a88-4130-8eff-880024c863d6</t>
  </si>
  <si>
    <t>2026-03-09 11:44:16</t>
  </si>
  <si>
    <t>27725304513</t>
  </si>
  <si>
    <t>13564074</t>
  </si>
  <si>
    <t>92caac4d-4d47-4e58-8362-c7f43b34836a</t>
  </si>
  <si>
    <t>27729028108</t>
  </si>
  <si>
    <t>13564153</t>
  </si>
  <si>
    <t>d112c9de-aa7f-4d5b-87a8-d370aa485bd3</t>
  </si>
  <si>
    <t>2026-03-09 11:44:15</t>
  </si>
  <si>
    <t>27764666108</t>
  </si>
  <si>
    <t>13564182</t>
  </si>
  <si>
    <t>de0610d0-cb39-44a9-84c8-967e711d803c</t>
  </si>
  <si>
    <t>27763670106</t>
  </si>
  <si>
    <t>13564149</t>
  </si>
  <si>
    <t>8df7e8cd-6064-4cf9-8586-6f1ec466f229</t>
  </si>
  <si>
    <t>27647993155</t>
  </si>
  <si>
    <t>13555996</t>
  </si>
  <si>
    <t>399f628d-7d2b-4853-af3d-600c78320f75</t>
  </si>
  <si>
    <t>2026-03-09 11:44:13</t>
  </si>
  <si>
    <t>27716235282</t>
  </si>
  <si>
    <t>13564268</t>
  </si>
  <si>
    <t>49c0b674-a311-446d-902e-53f842157b71</t>
  </si>
  <si>
    <t>27768034634</t>
  </si>
  <si>
    <t>13555863</t>
  </si>
  <si>
    <t>2ee533ee-845c-4e6e-85ae-3987e2aa6fd2</t>
  </si>
  <si>
    <t>CALBACK</t>
  </si>
  <si>
    <t>2026-03-09 11:44:08</t>
  </si>
  <si>
    <t>Comfort Lentswane</t>
  </si>
  <si>
    <t>27714984187</t>
  </si>
  <si>
    <t>13555919</t>
  </si>
  <si>
    <t>5d8cd095-23ad-4aa6-a8a5-c6158762c65c</t>
  </si>
  <si>
    <t>27715504615</t>
  </si>
  <si>
    <t>13557118</t>
  </si>
  <si>
    <t>cdd1fd36-638e-45f4-9caa-8b573187cbcb</t>
  </si>
  <si>
    <t>27760354265</t>
  </si>
  <si>
    <t>13555753</t>
  </si>
  <si>
    <t>42fdf7eb-914c-41e2-b6d1-87d25ec04ae2</t>
  </si>
  <si>
    <t>2026-03-09 11:44:07</t>
  </si>
  <si>
    <t>27713643769</t>
  </si>
  <si>
    <t>13555765</t>
  </si>
  <si>
    <t>aeecff19-1803-489a-8495-1d960067a6c2</t>
  </si>
  <si>
    <t>27713761482</t>
  </si>
  <si>
    <t>13555623</t>
  </si>
  <si>
    <t>4a7be6da-9068-4018-9843-5f04c69d6406</t>
  </si>
  <si>
    <t>27712270834</t>
  </si>
  <si>
    <t>13555790</t>
  </si>
  <si>
    <t>25b20dd7-012f-4851-b775-abaa17dcf6e7</t>
  </si>
  <si>
    <t>27714029199</t>
  </si>
  <si>
    <t>13555848</t>
  </si>
  <si>
    <t>1551b2c2-319b-472d-80f9-a00c03629fcd</t>
  </si>
  <si>
    <t>27714836611</t>
  </si>
  <si>
    <t>13555935</t>
  </si>
  <si>
    <t>2c9cb66d-f5fb-4c55-955a-413670cb35ae</t>
  </si>
  <si>
    <t>2026-03-09 11:44:06</t>
  </si>
  <si>
    <t>27715614591</t>
  </si>
  <si>
    <t>13556022</t>
  </si>
  <si>
    <t>fb3dbb75-a0f2-480e-b1f1-25dde8f69354</t>
  </si>
  <si>
    <t>27716723063</t>
  </si>
  <si>
    <t>13564271</t>
  </si>
  <si>
    <t>4cbc7ace-3f57-4015-a892-be0d55755524</t>
  </si>
  <si>
    <t>27609289937</t>
  </si>
  <si>
    <t>13564301</t>
  </si>
  <si>
    <t>88ec5c8b-9d96-4f2d-b57d-840146b4e4fb</t>
  </si>
  <si>
    <t>27720986192</t>
  </si>
  <si>
    <t>13555618</t>
  </si>
  <si>
    <t>4df601ec-43d5-4f96-a982-88c81e6d87ef</t>
  </si>
  <si>
    <t>2026-03-09 11:44:05</t>
  </si>
  <si>
    <t>27712192430</t>
  </si>
  <si>
    <t>13556964</t>
  </si>
  <si>
    <t>05675dfe-567b-42da-b699-5c54c055a6df</t>
  </si>
  <si>
    <t>27729066077</t>
  </si>
  <si>
    <t>13564375</t>
  </si>
  <si>
    <t>3f0ec44c-b711-48e7-b128-5bc0f37fe3cf</t>
  </si>
  <si>
    <t>27606549395</t>
  </si>
  <si>
    <t>13564309</t>
  </si>
  <si>
    <t>d57fbd3b-1079-45c3-a616-aa769b8fa081</t>
  </si>
  <si>
    <t>27790177857</t>
  </si>
  <si>
    <t>13564443</t>
  </si>
  <si>
    <t>6ed79481-89f9-4ca0-92fd-17b0c1e3af17</t>
  </si>
  <si>
    <t>27768011333</t>
  </si>
  <si>
    <t>13558369</t>
  </si>
  <si>
    <t>d54ab41c-be43-4eb9-ac57-9bee0f4a836d</t>
  </si>
  <si>
    <t>2026-03-09 11:43:58</t>
  </si>
  <si>
    <t>27793175396</t>
  </si>
  <si>
    <t>13564481</t>
  </si>
  <si>
    <t>35b8556a-e755-419f-a802-76c542dcf4a6</t>
  </si>
  <si>
    <t>27609037608</t>
  </si>
  <si>
    <t>13556691</t>
  </si>
  <si>
    <t>3c0b17ce-8ab2-4d8a-a1d0-2e2335213d6d</t>
  </si>
  <si>
    <t>2026-03-09 11:43:57</t>
  </si>
  <si>
    <t>27726591656</t>
  </si>
  <si>
    <t>13557007</t>
  </si>
  <si>
    <t>1f501b91-d058-4e2f-a89b-f0a5ba975ad4</t>
  </si>
  <si>
    <t>27729506303</t>
  </si>
  <si>
    <t>13564532</t>
  </si>
  <si>
    <t>4dcf7f54-a02c-46b5-a7c0-c4a2b467d368</t>
  </si>
  <si>
    <t>27714066401</t>
  </si>
  <si>
    <t>13556580</t>
  </si>
  <si>
    <t>5bee868c-6818-4be4-94cc-8cf895094895</t>
  </si>
  <si>
    <t>2026-03-09 11:43:48</t>
  </si>
  <si>
    <t>27725228944</t>
  </si>
  <si>
    <t>13564568</t>
  </si>
  <si>
    <t>96b8198a-2d95-4221-a427-d5992821fbcb</t>
  </si>
  <si>
    <t>27760995971</t>
  </si>
  <si>
    <t>13555666</t>
  </si>
  <si>
    <t>f959c62e-1200-40c8-9578-74325eea8bae</t>
  </si>
  <si>
    <t>2026-03-09 11:43:47</t>
  </si>
  <si>
    <t>27712707314</t>
  </si>
  <si>
    <t>13556072</t>
  </si>
  <si>
    <t>82120c4c-8122-48b8-aa84-8edd0de68e43</t>
  </si>
  <si>
    <t>27720521228</t>
  </si>
  <si>
    <t>13556136</t>
  </si>
  <si>
    <t>7f2699cd-c25a-4b9c-b2a1-d6789ca0c9c5</t>
  </si>
  <si>
    <t>27721000340</t>
  </si>
  <si>
    <t>13557055</t>
  </si>
  <si>
    <t>d9ef7c63-baf8-466d-beaf-0486ed463d23</t>
  </si>
  <si>
    <t>27729989583</t>
  </si>
  <si>
    <t>13563342</t>
  </si>
  <si>
    <t>0a2e7630-dcd4-4eeb-a11f-0645d2955a6f</t>
  </si>
  <si>
    <t>27727524541</t>
  </si>
  <si>
    <t>13563346</t>
  </si>
  <si>
    <t>5bfed6cb-9976-49c8-ac7d-f2a5bdfe97a3</t>
  </si>
  <si>
    <t>27609563965</t>
  </si>
  <si>
    <t>13561925</t>
  </si>
  <si>
    <t>169a9d69-1fbd-4bb7-b5c3-23e2835f039b</t>
  </si>
  <si>
    <t>2026-03-09 11:43:29</t>
  </si>
  <si>
    <t>27711223795</t>
  </si>
  <si>
    <t>13561936</t>
  </si>
  <si>
    <t>d5266c00-f1c9-4529-bc40-ae06d280dd6b</t>
  </si>
  <si>
    <t>2026-03-09 11:43:14</t>
  </si>
  <si>
    <t>27663591875</t>
  </si>
  <si>
    <t>13561949</t>
  </si>
  <si>
    <t>a3e20228-71d9-4de8-b330-97656f1396e0</t>
  </si>
  <si>
    <t>27712097650</t>
  </si>
  <si>
    <t>13561367</t>
  </si>
  <si>
    <t>a9847e8b-4f52-4984-89cb-e3d893539df2</t>
  </si>
  <si>
    <t>2026-03-09 11:43:13</t>
  </si>
  <si>
    <t>27722554380</t>
  </si>
  <si>
    <t>13561389</t>
  </si>
  <si>
    <t>9cc08877-c996-4c20-973c-fcc8921cc0df</t>
  </si>
  <si>
    <t>27721473990</t>
  </si>
  <si>
    <t>13561340</t>
  </si>
  <si>
    <t>06bd7e3f-c5cc-42a6-ab9e-b453461fa5c9</t>
  </si>
  <si>
    <t>27725700618</t>
  </si>
  <si>
    <t>13562196</t>
  </si>
  <si>
    <t>0b585752-fe78-49e9-baca-667a80a065a7</t>
  </si>
  <si>
    <t>27767998863</t>
  </si>
  <si>
    <t>13562209</t>
  </si>
  <si>
    <t>508a9be6-44dd-4ded-9fa0-4cca83faffa6</t>
  </si>
  <si>
    <t>27712626846</t>
  </si>
  <si>
    <t>13558282</t>
  </si>
  <si>
    <t>385403f7-581d-4080-acc2-acbadfc73710</t>
  </si>
  <si>
    <t>2026-03-09 11:43:12</t>
  </si>
  <si>
    <t>27792242625</t>
  </si>
  <si>
    <t>13561314</t>
  </si>
  <si>
    <t>286bfc11-65bc-4078-9ef0-585e2d7c0272</t>
  </si>
  <si>
    <t>27661706058</t>
  </si>
  <si>
    <t>13562288</t>
  </si>
  <si>
    <t>a3405be1-aafd-4e8e-a742-aa98ac1b5c5b</t>
  </si>
  <si>
    <t>2026-03-09 11:43:10</t>
  </si>
  <si>
    <t>27761686538</t>
  </si>
  <si>
    <t>13562344</t>
  </si>
  <si>
    <t>d41ef93b-2e63-4f73-b4c9-56f190378a1d</t>
  </si>
  <si>
    <t>27799390846</t>
  </si>
  <si>
    <t>13555695</t>
  </si>
  <si>
    <t>f1be4ac8-ea4d-491b-ab3a-b9247116feee</t>
  </si>
  <si>
    <t>2026-03-09 11:43:09</t>
  </si>
  <si>
    <t>27713001680</t>
  </si>
  <si>
    <t>13561317</t>
  </si>
  <si>
    <t>2afd774b-aaaf-4b42-a7b7-9e08f0344c6f</t>
  </si>
  <si>
    <t>27660271718</t>
  </si>
  <si>
    <t>13564791</t>
  </si>
  <si>
    <t>917dbea3-d4a7-4b45-b77c-9b6d7bd43394</t>
  </si>
  <si>
    <t>27607529313</t>
  </si>
  <si>
    <t>13555551</t>
  </si>
  <si>
    <t>5fdcffee-49c2-463e-a679-5687ac146410</t>
  </si>
  <si>
    <t>2026-03-09 11:43:08</t>
  </si>
  <si>
    <t>27711423114</t>
  </si>
  <si>
    <t>13555707</t>
  </si>
  <si>
    <t>a2d5cc8c-0e51-40c2-a728-2c1fccf63fcd</t>
  </si>
  <si>
    <t>27713113306</t>
  </si>
  <si>
    <t>13561796</t>
  </si>
  <si>
    <t>170a76a7-a1c7-4255-bae2-4ceba333bddd</t>
  </si>
  <si>
    <t>27647507886</t>
  </si>
  <si>
    <t>13561883</t>
  </si>
  <si>
    <t>9f49d814-aee0-4ca4-84d7-7ce50c93af10</t>
  </si>
  <si>
    <t>27711647915</t>
  </si>
  <si>
    <t>13564787</t>
  </si>
  <si>
    <t>72545c53-6a6a-454e-8f44-d2fa359a377e</t>
  </si>
  <si>
    <t>27607452875</t>
  </si>
  <si>
    <t>13555471</t>
  </si>
  <si>
    <t>8f0a9728-0fca-46f6-b952-2e381796cdde</t>
  </si>
  <si>
    <t>2026-03-09 11:43:07</t>
  </si>
  <si>
    <t>27673599158</t>
  </si>
  <si>
    <t>13555477</t>
  </si>
  <si>
    <t>0610589e-905b-471e-9ae2-bbc9e04c8e8f</t>
  </si>
  <si>
    <t>27673860510</t>
  </si>
  <si>
    <t>13555483</t>
  </si>
  <si>
    <t>558934c6-4759-46e3-a57c-da1acf0474f8</t>
  </si>
  <si>
    <t>27674221673</t>
  </si>
  <si>
    <t>13555708</t>
  </si>
  <si>
    <t>a0bb4117-2796-4f4d-a35c-1f7606fcf4ab</t>
  </si>
  <si>
    <t>27713120732</t>
  </si>
  <si>
    <t>13561299</t>
  </si>
  <si>
    <t>2695d564-05b8-49fc-896f-95c554b14443</t>
  </si>
  <si>
    <t>27674542756</t>
  </si>
  <si>
    <t>13555459</t>
  </si>
  <si>
    <t>01157dcb-6cd2-48ee-a2ef-2459f427ff2d</t>
  </si>
  <si>
    <t>2026-03-09 11:43:06</t>
  </si>
  <si>
    <t>27673296212</t>
  </si>
  <si>
    <t>13555724</t>
  </si>
  <si>
    <t>d32c5c00-38f5-4866-8a4c-8a902e68d9a6</t>
  </si>
  <si>
    <t>27713225911</t>
  </si>
  <si>
    <t>13555728</t>
  </si>
  <si>
    <t>a0dacba2-fc45-42b2-8112-9fc1764bff5b</t>
  </si>
  <si>
    <t>27713252592</t>
  </si>
  <si>
    <t>13555731</t>
  </si>
  <si>
    <t>92fbeb0a-8f4b-4d7f-9e21-d871e4860cd3</t>
  </si>
  <si>
    <t>27713285485</t>
  </si>
  <si>
    <t>13561811</t>
  </si>
  <si>
    <t>ec7e8653-4e76-45e0-bb7b-0be7b13a507c</t>
  </si>
  <si>
    <t>27791097532</t>
  </si>
  <si>
    <t>13564696</t>
  </si>
  <si>
    <t>f6af78e5-0bc2-4d16-9b87-72d804cfe499</t>
  </si>
  <si>
    <t>27606025975</t>
  </si>
  <si>
    <t>13564861</t>
  </si>
  <si>
    <t>14115b0f-b386-4416-b9dd-0f1bd5d238d1</t>
  </si>
  <si>
    <t>27608661464</t>
  </si>
  <si>
    <t>13555733</t>
  </si>
  <si>
    <t>bdaf8d00-7403-4cd6-9610-f4278339cc56</t>
  </si>
  <si>
    <t>2026-03-09 11:43:05</t>
  </si>
  <si>
    <t>27713352692</t>
  </si>
  <si>
    <t>13555737</t>
  </si>
  <si>
    <t>fee24f2e-cd90-4bb9-b483-b51f5050f0e2</t>
  </si>
  <si>
    <t>27713414260</t>
  </si>
  <si>
    <t>13561838</t>
  </si>
  <si>
    <t>346da912-6c59-48fe-8a24-b434efc0ff68</t>
  </si>
  <si>
    <t>27762203662</t>
  </si>
  <si>
    <t>13564846</t>
  </si>
  <si>
    <t>d7ead14f-bd8a-4122-8a70-b2c51d30bc32</t>
  </si>
  <si>
    <t>27608405125</t>
  </si>
  <si>
    <t>13564855</t>
  </si>
  <si>
    <t>01d43cef-f0fc-4ef7-9e0e-020a7bdda65e</t>
  </si>
  <si>
    <t>27608560359</t>
  </si>
  <si>
    <t>13555740</t>
  </si>
  <si>
    <t>9a159da9-1d41-41f0-a4af-ab22d6e7e8b6</t>
  </si>
  <si>
    <t>2026-03-09 11:43:04</t>
  </si>
  <si>
    <t>27713432146</t>
  </si>
  <si>
    <t>13562329</t>
  </si>
  <si>
    <t>016ad499-d15f-468c-abd2-e0dbab319d65</t>
  </si>
  <si>
    <t>27661281329</t>
  </si>
  <si>
    <t>13555742</t>
  </si>
  <si>
    <t>cc8c77d5-104d-4e60-85d0-c869b56ea2de</t>
  </si>
  <si>
    <t>2026-03-09 11:43:03</t>
  </si>
  <si>
    <t>27713434633</t>
  </si>
  <si>
    <t>13561315</t>
  </si>
  <si>
    <t>abb7c281-3b56-47f2-8344-30e904031427</t>
  </si>
  <si>
    <t>27714421786</t>
  </si>
  <si>
    <t>13561864</t>
  </si>
  <si>
    <t>71c96abe-95b3-479c-a332-a7ba9438b91f</t>
  </si>
  <si>
    <t>27661793055</t>
  </si>
  <si>
    <t>13564778</t>
  </si>
  <si>
    <t>d1f8828f-68bd-4deb-a378-ce487a829f49</t>
  </si>
  <si>
    <t>27607313254</t>
  </si>
  <si>
    <t>13564783</t>
  </si>
  <si>
    <t>15bd220c-a4f1-4b5e-aa8d-a04baee11765</t>
  </si>
  <si>
    <t>27607388105</t>
  </si>
  <si>
    <t>13555759</t>
  </si>
  <si>
    <t>e431542b-992a-4d62-8921-e9639c523b94</t>
  </si>
  <si>
    <t>2026-03-09 11:43:02</t>
  </si>
  <si>
    <t>27713721569</t>
  </si>
  <si>
    <t>13555746</t>
  </si>
  <si>
    <t>50bc4851-4774-4ffa-bc12-4030d2eaca12</t>
  </si>
  <si>
    <t>27713449959</t>
  </si>
  <si>
    <t>13555750</t>
  </si>
  <si>
    <t>15d9b16f-f089-4083-8ebe-4e34f1279c9c</t>
  </si>
  <si>
    <t>27713515118</t>
  </si>
  <si>
    <t>13563901</t>
  </si>
  <si>
    <t>00a2614e-c8b2-4d47-ba25-84632121f360</t>
  </si>
  <si>
    <t>27720525428</t>
  </si>
  <si>
    <t>13563933</t>
  </si>
  <si>
    <t>e92f61c2-4a7d-4464-8378-d7cce0d66f86</t>
  </si>
  <si>
    <t>27728649770</t>
  </si>
  <si>
    <t>13564814</t>
  </si>
  <si>
    <t>b0a75be4-3c9b-4182-851f-83be7e52fddf</t>
  </si>
  <si>
    <t>27607798567</t>
  </si>
  <si>
    <t>13555766</t>
  </si>
  <si>
    <t>ecd0c270-35a5-4de5-87e9-704c207ba318</t>
  </si>
  <si>
    <t>2026-03-09 11:43:01</t>
  </si>
  <si>
    <t>27713777809</t>
  </si>
  <si>
    <t>13555769</t>
  </si>
  <si>
    <t>017d0883-e8fd-4a0c-9332-b31e3a1cb002</t>
  </si>
  <si>
    <t>27713786136</t>
  </si>
  <si>
    <t>13555773</t>
  </si>
  <si>
    <t>519360f0-bedc-4d43-9589-5ff45e8e6427</t>
  </si>
  <si>
    <t>27713838475</t>
  </si>
  <si>
    <t>13555946</t>
  </si>
  <si>
    <t>f00ace4b-5b7f-464d-9e48-e59f68296828</t>
  </si>
  <si>
    <t>27715708773</t>
  </si>
  <si>
    <t>13560679</t>
  </si>
  <si>
    <t>a9224093-771a-4cf6-b5c1-79175da65a01</t>
  </si>
  <si>
    <t>27765309880</t>
  </si>
  <si>
    <t>13560689</t>
  </si>
  <si>
    <t>e79642cb-017f-4f1b-b078-a253a4bc5b81</t>
  </si>
  <si>
    <t>27799842140</t>
  </si>
  <si>
    <t>13560661</t>
  </si>
  <si>
    <t>890cf3f9-3a5d-4d97-934b-fc6a35c0bcad</t>
  </si>
  <si>
    <t>27727665977</t>
  </si>
  <si>
    <t>13561916</t>
  </si>
  <si>
    <t>5db79763-e0cf-49bf-a6bf-e33d48d0cc5f</t>
  </si>
  <si>
    <t>27724652145</t>
  </si>
  <si>
    <t>13564863</t>
  </si>
  <si>
    <t>48f56110-d364-4029-b599-efe2b0f4d975</t>
  </si>
  <si>
    <t>27608708689</t>
  </si>
  <si>
    <t>13564810</t>
  </si>
  <si>
    <t>a5a8dc04-7a06-4168-baff-004ae92e3480</t>
  </si>
  <si>
    <t>27607746553</t>
  </si>
  <si>
    <t>13555776</t>
  </si>
  <si>
    <t>c46f30a6-7367-481e-bffe-36a22d718b22</t>
  </si>
  <si>
    <t>2026-03-09 11:43:00</t>
  </si>
  <si>
    <t>27713873947</t>
  </si>
  <si>
    <t>13555705</t>
  </si>
  <si>
    <t>0f1240b3-e575-4008-aed0-6e68e8914686</t>
  </si>
  <si>
    <t>27713106647</t>
  </si>
  <si>
    <t>13560694</t>
  </si>
  <si>
    <t>0848c927-c532-496d-9e82-9c6575eb63ba</t>
  </si>
  <si>
    <t>27728897227</t>
  </si>
  <si>
    <t>13561310</t>
  </si>
  <si>
    <t>081b23f9-a8d5-4624-bf64-207f2a0266a7</t>
  </si>
  <si>
    <t>27714648122</t>
  </si>
  <si>
    <t>13555778</t>
  </si>
  <si>
    <t>b86570f2-378b-425a-b0ee-d51490937cc2</t>
  </si>
  <si>
    <t>2026-03-09 11:42:59</t>
  </si>
  <si>
    <t>27713900092</t>
  </si>
  <si>
    <t>13555865</t>
  </si>
  <si>
    <t>d9036d1e-2590-4733-a4e1-3b75708048c7</t>
  </si>
  <si>
    <t>27714996997</t>
  </si>
  <si>
    <t>13555880</t>
  </si>
  <si>
    <t>0df4d2fd-02fe-4b9a-8309-5bd49af51796</t>
  </si>
  <si>
    <t>27715147746</t>
  </si>
  <si>
    <t>13555847</t>
  </si>
  <si>
    <t>9f634f94-860c-49f3-aaeb-e9f6e3bba766</t>
  </si>
  <si>
    <t>27714829081</t>
  </si>
  <si>
    <t>13562123</t>
  </si>
  <si>
    <t>bb3f00b7-5b4a-418c-9108-20eaca9639e4</t>
  </si>
  <si>
    <t>27647354703</t>
  </si>
  <si>
    <t>13564009</t>
  </si>
  <si>
    <t>fc734b30-719f-4542-a625-2dd8a134b438</t>
  </si>
  <si>
    <t>27768206627</t>
  </si>
  <si>
    <t>13564785</t>
  </si>
  <si>
    <t>4876d0bc-a442-4bf0-9f6d-eecb9b363160</t>
  </si>
  <si>
    <t>27607426318</t>
  </si>
  <si>
    <t>13555819</t>
  </si>
  <si>
    <t>6d4b132b-5519-4860-8613-7463d9d5addd</t>
  </si>
  <si>
    <t>2026-03-09 11:42:58</t>
  </si>
  <si>
    <t>27714384321</t>
  </si>
  <si>
    <t>13555826</t>
  </si>
  <si>
    <t>5b82d7c1-d1e6-4628-b4f2-e43b405d90c4</t>
  </si>
  <si>
    <t>27714475452</t>
  </si>
  <si>
    <t>13560676</t>
  </si>
  <si>
    <t>b2aed147-ad82-4f42-8c87-ff5cfa3b9dd2</t>
  </si>
  <si>
    <t>27714123938</t>
  </si>
  <si>
    <t>13560664</t>
  </si>
  <si>
    <t>ca66b1b1-e52a-4f7a-aa60-2b15a27e8afb</t>
  </si>
  <si>
    <t>27763023898</t>
  </si>
  <si>
    <t>13561871</t>
  </si>
  <si>
    <t>e27f2bfb-bee4-49f6-ad1c-ed2e450ec499</t>
  </si>
  <si>
    <t>27791998533</t>
  </si>
  <si>
    <t>13562098</t>
  </si>
  <si>
    <t>23352764-5547-4d8d-94dd-cdd1b782d4cc</t>
  </si>
  <si>
    <t>27649366095</t>
  </si>
  <si>
    <t>13562448</t>
  </si>
  <si>
    <t>d809b481-9515-471a-9f29-2f45740df5f1</t>
  </si>
  <si>
    <t>27715635977</t>
  </si>
  <si>
    <t>13562506</t>
  </si>
  <si>
    <t>e2a6027e-e8b8-4293-80d2-f647157c6dd2</t>
  </si>
  <si>
    <t>27760638784</t>
  </si>
  <si>
    <t>13562713</t>
  </si>
  <si>
    <t>3d0b0386-9c23-4163-9e57-a0a8cbc7df44</t>
  </si>
  <si>
    <t>27637985202</t>
  </si>
  <si>
    <t>13555883</t>
  </si>
  <si>
    <t>4ef94605-6e43-47e4-9623-53ce72bc57cd</t>
  </si>
  <si>
    <t>2026-03-09 11:42:57</t>
  </si>
  <si>
    <t>27715179427</t>
  </si>
  <si>
    <t>13555895</t>
  </si>
  <si>
    <t>f833086d-0473-42f9-a6f4-05ae01863c8a</t>
  </si>
  <si>
    <t>27715307426</t>
  </si>
  <si>
    <t>13555897</t>
  </si>
  <si>
    <t>8189bd45-ad6d-43ef-9dd5-6bb4da761523</t>
  </si>
  <si>
    <t>27715333770</t>
  </si>
  <si>
    <t>13555899</t>
  </si>
  <si>
    <t>e85ab7d7-acf7-4be0-baec-8c1703289947</t>
  </si>
  <si>
    <t>27715339375</t>
  </si>
  <si>
    <t>13561872</t>
  </si>
  <si>
    <t>3265af8f-db7f-4dc6-8a7e-ec299d53b0bd</t>
  </si>
  <si>
    <t>27797056911</t>
  </si>
  <si>
    <t>13561362</t>
  </si>
  <si>
    <t>c16cd3df-2251-462c-8a63-6981fa4d1d99</t>
  </si>
  <si>
    <t>27721980323</t>
  </si>
  <si>
    <t>13561966</t>
  </si>
  <si>
    <t>87937f5f-7f55-4f27-9122-50cfd1e9d1b4</t>
  </si>
  <si>
    <t>27792531170</t>
  </si>
  <si>
    <t>13555933</t>
  </si>
  <si>
    <t>6380d123-8888-47db-9e51-2d17026d8b39</t>
  </si>
  <si>
    <t>2026-03-09 11:42:56</t>
  </si>
  <si>
    <t>27715600269</t>
  </si>
  <si>
    <t>13561311</t>
  </si>
  <si>
    <t>0c07549e-054c-4816-907d-28390c93b4ba</t>
  </si>
  <si>
    <t>27729146592</t>
  </si>
  <si>
    <t>13562838</t>
  </si>
  <si>
    <t>e5618e19-a932-4322-a77e-ca68c07f90fe</t>
  </si>
  <si>
    <t>27729228676</t>
  </si>
  <si>
    <t>13559350</t>
  </si>
  <si>
    <t>9fd62944-b3cf-4ac8-9db1-212c428d5690</t>
  </si>
  <si>
    <t>2026-03-09 11:42:53</t>
  </si>
  <si>
    <t>27825925968</t>
  </si>
  <si>
    <t>13555151</t>
  </si>
  <si>
    <t>54357bae-079b-4697-ad72-7f1fc7046e2d</t>
  </si>
  <si>
    <t>2026-03-09 11:42:42</t>
  </si>
  <si>
    <t>Inathi Mamie Maloyi</t>
  </si>
  <si>
    <t>27648771589</t>
  </si>
  <si>
    <t>13555346</t>
  </si>
  <si>
    <t>11209c2a-4298-4eb0-82b9-7376292dd4a3</t>
  </si>
  <si>
    <t>MR</t>
  </si>
  <si>
    <t>DLAMINI</t>
  </si>
  <si>
    <t>2026-03-09 11:42:29</t>
  </si>
  <si>
    <t>2026-03-06 11:04:40</t>
  </si>
  <si>
    <t>27663754836</t>
  </si>
  <si>
    <t>13562599</t>
  </si>
  <si>
    <t>decd3dfd-511e-4ff6-97df-0ba7894f8c33</t>
  </si>
  <si>
    <t>2026-03-09 11:42:27</t>
  </si>
  <si>
    <t>27607461214</t>
  </si>
  <si>
    <t>13562529</t>
  </si>
  <si>
    <t>1bed81a4-a3b3-4a96-8af0-12fc8daec598</t>
  </si>
  <si>
    <t>27673406631</t>
  </si>
  <si>
    <t>13562544</t>
  </si>
  <si>
    <t>2cb5b4dc-cbe2-4eca-958d-f718a90c1a1c</t>
  </si>
  <si>
    <t>27726445888</t>
  </si>
  <si>
    <t>13562619</t>
  </si>
  <si>
    <t>47bbcd35-752a-40f6-89eb-c74bdaf7d299</t>
  </si>
  <si>
    <t>27727363125</t>
  </si>
  <si>
    <t>13562624</t>
  </si>
  <si>
    <t>fed290ee-cd43-479a-a3d0-9c263eee0fb8</t>
  </si>
  <si>
    <t>2026-03-09 11:42:25</t>
  </si>
  <si>
    <t>27712678634</t>
  </si>
  <si>
    <t>13562688</t>
  </si>
  <si>
    <t>8508407e-aa5b-4b9e-b6bc-d88bd3dca494</t>
  </si>
  <si>
    <t>2026-03-09 11:42:19</t>
  </si>
  <si>
    <t>27662600543</t>
  </si>
  <si>
    <t>13562625</t>
  </si>
  <si>
    <t>f0042f39-e1a7-40f3-bbca-dff4f44e2ad8</t>
  </si>
  <si>
    <t>27721723192</t>
  </si>
  <si>
    <t>13562628</t>
  </si>
  <si>
    <t>fbd2373b-cfc1-41da-985f-1382ebd60ea6</t>
  </si>
  <si>
    <t>27727516397</t>
  </si>
  <si>
    <t>13562649</t>
  </si>
  <si>
    <t>15cc1c8b-8f99-4aef-9b2f-89968f757fcc</t>
  </si>
  <si>
    <t>27711014190</t>
  </si>
  <si>
    <t>13562695</t>
  </si>
  <si>
    <t>6af84e6c-f988-4664-ad17-00c9601f7c85</t>
  </si>
  <si>
    <t>2026-03-09 11:42:18</t>
  </si>
  <si>
    <t>27729158937</t>
  </si>
  <si>
    <t>13562709</t>
  </si>
  <si>
    <t>f485f05a-d402-48b7-8bba-b0767795a972</t>
  </si>
  <si>
    <t>27774344122</t>
  </si>
  <si>
    <t>13562711</t>
  </si>
  <si>
    <t>6e3a22d1-d11c-43ad-a9e0-8188cb5a4031</t>
  </si>
  <si>
    <t>27675756596</t>
  </si>
  <si>
    <t>13562745</t>
  </si>
  <si>
    <t>26b829dc-6503-458e-b1d4-55045971ca96</t>
  </si>
  <si>
    <t>27765373952</t>
  </si>
  <si>
    <t>13562751</t>
  </si>
  <si>
    <t>75846646-1c6f-45d9-a38f-1c64c4c52967</t>
  </si>
  <si>
    <t>27648177958</t>
  </si>
  <si>
    <t>13562771</t>
  </si>
  <si>
    <t>d6245487-cc8b-4bb4-bffa-926cfea86728</t>
  </si>
  <si>
    <t>27761648212</t>
  </si>
  <si>
    <t>13562774</t>
  </si>
  <si>
    <t>d847e6be-d9c3-4f15-83bc-79c59bbbee22</t>
  </si>
  <si>
    <t>27728288262</t>
  </si>
  <si>
    <t>13562775</t>
  </si>
  <si>
    <t>cc850a9c-5e75-483c-bca5-378384b4494b</t>
  </si>
  <si>
    <t>27726131292</t>
  </si>
  <si>
    <t>13562842</t>
  </si>
  <si>
    <t>c0a3e1b8-76e8-42d0-bbf4-6839a238ce22</t>
  </si>
  <si>
    <t>27768621980</t>
  </si>
  <si>
    <t>13562889</t>
  </si>
  <si>
    <t>8e322922-1373-4e61-9713-bb7806724481</t>
  </si>
  <si>
    <t>2026-03-09 11:42:17</t>
  </si>
  <si>
    <t>27765511627</t>
  </si>
  <si>
    <t>13562983</t>
  </si>
  <si>
    <t>404c99d2-423d-4564-96b4-720ef9282e7a</t>
  </si>
  <si>
    <t>27764720896</t>
  </si>
  <si>
    <t>13562929</t>
  </si>
  <si>
    <t>b523fc23-c362-4587-9391-4ff39b2669f3</t>
  </si>
  <si>
    <t>27608285733</t>
  </si>
  <si>
    <t>13562865</t>
  </si>
  <si>
    <t>2eb3532a-c958-407e-ad6c-23341529bfbc</t>
  </si>
  <si>
    <t>27720993892</t>
  </si>
  <si>
    <t>13562868</t>
  </si>
  <si>
    <t>41d9837b-3696-4c37-aab7-ad14dc8c9ced</t>
  </si>
  <si>
    <t>27725748859</t>
  </si>
  <si>
    <t>13562869</t>
  </si>
  <si>
    <t>6887fcc6-68fa-422e-81e7-05381c5386a8</t>
  </si>
  <si>
    <t>VENDA</t>
  </si>
  <si>
    <t>2026-03-06 06:29:43</t>
  </si>
  <si>
    <t>27761056836</t>
  </si>
  <si>
    <t>13563028</t>
  </si>
  <si>
    <t>b7e82c87-32c2-487e-829b-245aca47d582</t>
  </si>
  <si>
    <t>27723986372</t>
  </si>
  <si>
    <t>13562945</t>
  </si>
  <si>
    <t>46e13dee-23f4-4c30-bef7-9f7aeeb4ed12</t>
  </si>
  <si>
    <t>2026-03-09 11:42:16</t>
  </si>
  <si>
    <t>27713489710</t>
  </si>
  <si>
    <t>13563014</t>
  </si>
  <si>
    <t>d892a2ee-3dc9-41eb-ad2e-5861615474e0</t>
  </si>
  <si>
    <t>27608583176</t>
  </si>
  <si>
    <t>13563053</t>
  </si>
  <si>
    <t>d7a6043a-72a8-42bc-b40c-cd98b0bed582</t>
  </si>
  <si>
    <t>27721950870</t>
  </si>
  <si>
    <t>13563061</t>
  </si>
  <si>
    <t>022620ae-3b73-4d11-bfa7-a8916f294fa4</t>
  </si>
  <si>
    <t>27726294354</t>
  </si>
  <si>
    <t>13563132</t>
  </si>
  <si>
    <t>ffcb2e03-d1fb-4609-b320-1232f70b5a20</t>
  </si>
  <si>
    <t>27608734423</t>
  </si>
  <si>
    <t>13563135</t>
  </si>
  <si>
    <t>868955a6-22c3-45bf-8e4d-5d110a17bff3</t>
  </si>
  <si>
    <t>27665447543</t>
  </si>
  <si>
    <t>13563144</t>
  </si>
  <si>
    <t>e4e5d55f-d32b-4420-a28c-7f6dcd887004</t>
  </si>
  <si>
    <t>2026-03-09 11:42:15</t>
  </si>
  <si>
    <t>27606783024</t>
  </si>
  <si>
    <t>13563150</t>
  </si>
  <si>
    <t>0e09e379-59a4-4e80-840f-9457c59ccb77</t>
  </si>
  <si>
    <t>27763725678</t>
  </si>
  <si>
    <t>13563154</t>
  </si>
  <si>
    <t>0babd3cd-f3d2-4f4e-b670-b33f14b26052</t>
  </si>
  <si>
    <t>27675454713</t>
  </si>
  <si>
    <t>13563162</t>
  </si>
  <si>
    <t>483d3d0c-cbaa-408a-b5b6-ca1aaa014167</t>
  </si>
  <si>
    <t>27764706377</t>
  </si>
  <si>
    <t>13555524</t>
  </si>
  <si>
    <t>2bc02338-364e-4713-b072-aea9201de7f9</t>
  </si>
  <si>
    <t>2026-03-09 11:42:14</t>
  </si>
  <si>
    <t>27711146215</t>
  </si>
  <si>
    <t>13555528</t>
  </si>
  <si>
    <t>584a9880-af50-4cca-a794-8881783311ca</t>
  </si>
  <si>
    <t>27711151918</t>
  </si>
  <si>
    <t>13555530</t>
  </si>
  <si>
    <t>0a650fe0-cd5d-41ef-9a5c-c5f9ef23e84d</t>
  </si>
  <si>
    <t>27711166954</t>
  </si>
  <si>
    <t>13555685</t>
  </si>
  <si>
    <t>5aee3778-0d74-47af-8c25-a044dac67dba</t>
  </si>
  <si>
    <t>27712944458</t>
  </si>
  <si>
    <t>13564689</t>
  </si>
  <si>
    <t>617f296a-459e-4009-a450-8993ea4d524d</t>
  </si>
  <si>
    <t>27606039008</t>
  </si>
  <si>
    <t>13555693</t>
  </si>
  <si>
    <t>bb139ce8-171c-4493-aa2d-c6d07f2745ef</t>
  </si>
  <si>
    <t>2026-03-09 11:42:13</t>
  </si>
  <si>
    <t>27712996203</t>
  </si>
  <si>
    <t>13564692</t>
  </si>
  <si>
    <t>596171fb-63b8-45a7-98bb-97e1f2e2288b</t>
  </si>
  <si>
    <t>27604322503</t>
  </si>
  <si>
    <t>13555488</t>
  </si>
  <si>
    <t>57492d17-b60c-4951-991e-b0534ad79064</t>
  </si>
  <si>
    <t>2026-03-09 11:42:11</t>
  </si>
  <si>
    <t>27674582742</t>
  </si>
  <si>
    <t>13564604</t>
  </si>
  <si>
    <t>2b42e5a1-7099-4f6a-b5a0-d04b025b3dda</t>
  </si>
  <si>
    <t>27766347557</t>
  </si>
  <si>
    <t>13564606</t>
  </si>
  <si>
    <t>79aee2b3-e1dd-4dc4-9aed-576b33347884</t>
  </si>
  <si>
    <t>27660115859</t>
  </si>
  <si>
    <t>13555668</t>
  </si>
  <si>
    <t>290d2774-374c-417f-882d-f8d647305cec</t>
  </si>
  <si>
    <t>2026-03-09 11:42:09</t>
  </si>
  <si>
    <t>27712732252</t>
  </si>
  <si>
    <t>13555676</t>
  </si>
  <si>
    <t>8e1d8065-74e1-491e-85c8-8a2c28f09e0c</t>
  </si>
  <si>
    <t>27712865461</t>
  </si>
  <si>
    <t>13555677</t>
  </si>
  <si>
    <t>3ceb8930-b212-4490-954d-1ca4c9d85a6f</t>
  </si>
  <si>
    <t>27712865858</t>
  </si>
  <si>
    <t>13564646</t>
  </si>
  <si>
    <t>bf428f57-bc08-4754-8787-75a2d3b20931</t>
  </si>
  <si>
    <t>27763619256</t>
  </si>
  <si>
    <t>13564653</t>
  </si>
  <si>
    <t>801ccf59-dbbd-4a25-bea3-6069826a7c44</t>
  </si>
  <si>
    <t>27724369075</t>
  </si>
  <si>
    <t>13564656</t>
  </si>
  <si>
    <t>2d5dfa9f-f67a-463e-bbcd-2eb79e2ac183</t>
  </si>
  <si>
    <t>27760956317</t>
  </si>
  <si>
    <t>13555657</t>
  </si>
  <si>
    <t>b8bd089b-e40d-456d-881a-3af4012756fd</t>
  </si>
  <si>
    <t>2026-03-09 11:42:08</t>
  </si>
  <si>
    <t>27712608407</t>
  </si>
  <si>
    <t>13555647</t>
  </si>
  <si>
    <t>ae3832eb-e5c2-48e7-8226-ef544949f324</t>
  </si>
  <si>
    <t>27712511605</t>
  </si>
  <si>
    <t>13555649</t>
  </si>
  <si>
    <t>b1cc536f-bcfa-4a6d-a047-64066b515b10</t>
  </si>
  <si>
    <t>27712523380</t>
  </si>
  <si>
    <t>13564642</t>
  </si>
  <si>
    <t>7f9c9425-b42a-493a-bc47-6987b28f8914</t>
  </si>
  <si>
    <t>27714317851</t>
  </si>
  <si>
    <t>13564612</t>
  </si>
  <si>
    <t>f4fe3a11-8300-481a-80ac-196af5dbfacb</t>
  </si>
  <si>
    <t>27725428192</t>
  </si>
  <si>
    <t>13555583</t>
  </si>
  <si>
    <t>a35c85a9-1fb2-499b-940c-c635b408f53c</t>
  </si>
  <si>
    <t>2026-03-09 11:42:07</t>
  </si>
  <si>
    <t>27711761906</t>
  </si>
  <si>
    <t>13555604</t>
  </si>
  <si>
    <t>d54d4cce-e319-47ba-9c00-7ab2f34bd6bf</t>
  </si>
  <si>
    <t>27712074563</t>
  </si>
  <si>
    <t>13555626</t>
  </si>
  <si>
    <t>826770a9-ed41-45d9-9ea5-0f2c94d450d8</t>
  </si>
  <si>
    <t>27712276119</t>
  </si>
  <si>
    <t>13564663</t>
  </si>
  <si>
    <t>917a2e56-dcd4-459e-aa4e-21ffbf1c3188</t>
  </si>
  <si>
    <t>27665235471</t>
  </si>
  <si>
    <t>13564667</t>
  </si>
  <si>
    <t>aa5dd5cc-bb25-4217-bc2b-43555969c65f</t>
  </si>
  <si>
    <t>27606944819</t>
  </si>
  <si>
    <t>13564681</t>
  </si>
  <si>
    <t>3f911852-6d37-46d7-b791-1617b74d419f</t>
  </si>
  <si>
    <t>27674924201</t>
  </si>
  <si>
    <t>13555531</t>
  </si>
  <si>
    <t>75c3449c-d494-4a2b-9c3b-595f436f917a</t>
  </si>
  <si>
    <t>2026-03-09 11:42:06</t>
  </si>
  <si>
    <t>27711194794</t>
  </si>
  <si>
    <t>13555542</t>
  </si>
  <si>
    <t>b348727a-e64e-4b3f-a71f-4c38411cdd1b</t>
  </si>
  <si>
    <t>27711314951</t>
  </si>
  <si>
    <t>13555571</t>
  </si>
  <si>
    <t>f402305e-ceff-4822-921e-05a3849d3cac</t>
  </si>
  <si>
    <t>27711622593</t>
  </si>
  <si>
    <t>13555546</t>
  </si>
  <si>
    <t>a526c5c1-61fe-4968-b452-81b52eb567d2</t>
  </si>
  <si>
    <t>27711366374</t>
  </si>
  <si>
    <t>13555590</t>
  </si>
  <si>
    <t>11865c1e-703f-4e3d-9e6f-6ccc09218cf9</t>
  </si>
  <si>
    <t>27711903756</t>
  </si>
  <si>
    <t>13555681</t>
  </si>
  <si>
    <t>caa3cda1-4c8a-43eb-8c22-a7147dab9f81</t>
  </si>
  <si>
    <t>27712915876</t>
  </si>
  <si>
    <t>13555598</t>
  </si>
  <si>
    <t>e0f86b0c-9b46-4de7-b518-dfb7cd2dc55b</t>
  </si>
  <si>
    <t>27711941721</t>
  </si>
  <si>
    <t>13555529</t>
  </si>
  <si>
    <t>ccbf8b19-5565-4374-b97f-27eedf283a6b</t>
  </si>
  <si>
    <t>2026-03-09 11:42:05</t>
  </si>
  <si>
    <t>27711153208</t>
  </si>
  <si>
    <t>13556617</t>
  </si>
  <si>
    <t>a5dcaa42-dc8e-4f45-9307-0dfe49d2f9ee</t>
  </si>
  <si>
    <t>2026-03-09 11:41:39</t>
  </si>
  <si>
    <t>27725575301</t>
  </si>
  <si>
    <t>13563167</t>
  </si>
  <si>
    <t>bbc2a77b-2cf7-40bb-a7b3-b1524d5b86cb</t>
  </si>
  <si>
    <t>2026-03-09 11:41:30</t>
  </si>
  <si>
    <t>27648079316</t>
  </si>
  <si>
    <t>13563172</t>
  </si>
  <si>
    <t>1ba66e5c-1470-4416-8ad2-c5b8ffc67490</t>
  </si>
  <si>
    <t>27636648572</t>
  </si>
  <si>
    <t>13563173</t>
  </si>
  <si>
    <t>7caaa7f4-a17f-4f35-b8dc-13ada861cc8e</t>
  </si>
  <si>
    <t>27637335614</t>
  </si>
  <si>
    <t>13563174</t>
  </si>
  <si>
    <t>46d16f7b-566a-42e7-a06d-e662a4165fbc</t>
  </si>
  <si>
    <t>2026-03-09 11:41:29</t>
  </si>
  <si>
    <t>27661774112</t>
  </si>
  <si>
    <t>13563178</t>
  </si>
  <si>
    <t>45f8dcfb-fdee-4515-a5c6-6ddfe5957321</t>
  </si>
  <si>
    <t>27646905879</t>
  </si>
  <si>
    <t>13563221</t>
  </si>
  <si>
    <t>96668949-7cb3-48a9-8c94-e197c76b7d41</t>
  </si>
  <si>
    <t>27675812531</t>
  </si>
  <si>
    <t>13563230</t>
  </si>
  <si>
    <t>ca81ccd8-206b-46f4-b6ea-e8fbb5828695</t>
  </si>
  <si>
    <t>27716956725</t>
  </si>
  <si>
    <t>13563240</t>
  </si>
  <si>
    <t>de8aa8e1-e505-42ee-a89b-36cbc8e4f766</t>
  </si>
  <si>
    <t>27760870519</t>
  </si>
  <si>
    <t>13563242</t>
  </si>
  <si>
    <t>e603ce5a-8328-440d-98d3-b65b0fb8a7c8</t>
  </si>
  <si>
    <t>27769515502</t>
  </si>
  <si>
    <t>13563247</t>
  </si>
  <si>
    <t>1b6398cf-5cc1-4f38-8c80-05f3db37b85c</t>
  </si>
  <si>
    <t>27660570178</t>
  </si>
  <si>
    <t>13563257</t>
  </si>
  <si>
    <t>c304026f-4845-4135-8128-24ac9ff18a2f</t>
  </si>
  <si>
    <t>27727832958</t>
  </si>
  <si>
    <t>13563259</t>
  </si>
  <si>
    <t>953f73df-b74e-48b9-8688-6dbba87eff9c</t>
  </si>
  <si>
    <t>27726661295</t>
  </si>
  <si>
    <t>13563268</t>
  </si>
  <si>
    <t>c17e8c54-5ad8-4bb7-acad-699a02e98983</t>
  </si>
  <si>
    <t>2026-03-09 11:41:24</t>
  </si>
  <si>
    <t>27773893953</t>
  </si>
  <si>
    <t>13563269</t>
  </si>
  <si>
    <t>ba0cad44-2fc7-4dd0-8bd5-cdb581793aad</t>
  </si>
  <si>
    <t>27603546713</t>
  </si>
  <si>
    <t>13563273</t>
  </si>
  <si>
    <t>34e342cb-c4dc-4827-bec8-fa40c54c5220</t>
  </si>
  <si>
    <t>27761986342</t>
  </si>
  <si>
    <t>13563260</t>
  </si>
  <si>
    <t>11d7ccf0-b650-4f72-8163-91b328e606f5</t>
  </si>
  <si>
    <t>27726771691</t>
  </si>
  <si>
    <t>13563279</t>
  </si>
  <si>
    <t>28fe0cd5-550c-45f3-9ee4-2579199dea2f</t>
  </si>
  <si>
    <t>2026-03-09 11:41:19</t>
  </si>
  <si>
    <t>27665825797</t>
  </si>
  <si>
    <t>13563281</t>
  </si>
  <si>
    <t>b125cd59-af62-485e-a60f-5b21c566f7b7</t>
  </si>
  <si>
    <t>27791906743</t>
  </si>
  <si>
    <t>13563287</t>
  </si>
  <si>
    <t>dc99c87a-6438-48b0-b392-745b7f495962</t>
  </si>
  <si>
    <t>2026-03-09 11:41:18</t>
  </si>
  <si>
    <t>27762248727</t>
  </si>
  <si>
    <t>13563321</t>
  </si>
  <si>
    <t>dcc104c8-5e2d-4457-a63b-b7162568765d</t>
  </si>
  <si>
    <t>2026-03-09 11:41:11</t>
  </si>
  <si>
    <t>27786659412</t>
  </si>
  <si>
    <t>13563327</t>
  </si>
  <si>
    <t>0e776dc5-61b6-4a72-b794-c2113cea2023</t>
  </si>
  <si>
    <t>2026-03-09 11:41:10</t>
  </si>
  <si>
    <t>27761582787</t>
  </si>
  <si>
    <t>13563331</t>
  </si>
  <si>
    <t>629df3b9-1389-40f5-8fbe-ad6fcbc99857</t>
  </si>
  <si>
    <t>27646393797</t>
  </si>
  <si>
    <t>13563343</t>
  </si>
  <si>
    <t>57738a16-8644-471d-b5f5-b95c2f6ded3d</t>
  </si>
  <si>
    <t>27762957865</t>
  </si>
  <si>
    <t>13563348</t>
  </si>
  <si>
    <t>5227b7cd-af0f-4118-95b5-e1edf3706aa4</t>
  </si>
  <si>
    <t>27715929161</t>
  </si>
  <si>
    <t>13563558</t>
  </si>
  <si>
    <t>26b50ba4-d045-4e7b-9156-aed9bba960f4</t>
  </si>
  <si>
    <t>27725618493</t>
  </si>
  <si>
    <t>13563576</t>
  </si>
  <si>
    <t>d2422cd0-7c11-40ba-8664-28e32ddb0fc6</t>
  </si>
  <si>
    <t>27606778496</t>
  </si>
  <si>
    <t>13563584</t>
  </si>
  <si>
    <t>d84e3b93-7b24-4244-b6bd-ab623d582257</t>
  </si>
  <si>
    <t>27768425710</t>
  </si>
  <si>
    <t>13563589</t>
  </si>
  <si>
    <t>a0118f25-c6b7-4836-b520-1c5de53d2999</t>
  </si>
  <si>
    <t>27763881222</t>
  </si>
  <si>
    <t>13563603</t>
  </si>
  <si>
    <t>9b4696c1-00e7-45c2-a73d-6a3d85ba1f77</t>
  </si>
  <si>
    <t>27662035230</t>
  </si>
  <si>
    <t>13563547</t>
  </si>
  <si>
    <t>4d810473-4a94-4319-ba10-1b0d6831cb6a</t>
  </si>
  <si>
    <t>27720588754</t>
  </si>
  <si>
    <t>13564441</t>
  </si>
  <si>
    <t>af2b1042-d879-40a5-9b3c-15808a4c6bfb</t>
  </si>
  <si>
    <t>27713030822</t>
  </si>
  <si>
    <t>13564447</t>
  </si>
  <si>
    <t>56475dea-41c5-4a9a-911e-4e8b4f9ce3f7</t>
  </si>
  <si>
    <t>2026-03-09 11:41:09</t>
  </si>
  <si>
    <t>27725355075</t>
  </si>
  <si>
    <t>13564450</t>
  </si>
  <si>
    <t>fd58792b-af30-4bdc-980f-76201d03c087</t>
  </si>
  <si>
    <t>27767406254</t>
  </si>
  <si>
    <t>13564461</t>
  </si>
  <si>
    <t>995a23b8-1565-4f75-8933-a812f46849f8</t>
  </si>
  <si>
    <t>27607528918</t>
  </si>
  <si>
    <t>13564470</t>
  </si>
  <si>
    <t>510f381a-9be0-4be5-b959-e4680508157a</t>
  </si>
  <si>
    <t>27769982628</t>
  </si>
  <si>
    <t>13564472</t>
  </si>
  <si>
    <t>43c343fc-459f-4f5e-ad3e-5a3d6039064f</t>
  </si>
  <si>
    <t>2026-03-09 11:41:07</t>
  </si>
  <si>
    <t>27648778197</t>
  </si>
  <si>
    <t>13564474</t>
  </si>
  <si>
    <t>af553d76-955a-4948-8c17-e44f9250a128</t>
  </si>
  <si>
    <t>2026-03-09 11:41:03</t>
  </si>
  <si>
    <t>27764588438</t>
  </si>
  <si>
    <t>13564484</t>
  </si>
  <si>
    <t>191f3b2e-607a-4811-a7fa-508758c8c1e0</t>
  </si>
  <si>
    <t>27606158254</t>
  </si>
  <si>
    <t>13564492</t>
  </si>
  <si>
    <t>445dc364-134b-4010-9c0c-a1191b9abce4</t>
  </si>
  <si>
    <t>27646097734</t>
  </si>
  <si>
    <t>13564512</t>
  </si>
  <si>
    <t>e620b6b5-e258-4d83-a4c4-e89cf150354b</t>
  </si>
  <si>
    <t>27726180880</t>
  </si>
  <si>
    <t>13558856</t>
  </si>
  <si>
    <t>bed74adb-c34e-4c57-b0e7-436aa779a546</t>
  </si>
  <si>
    <t>2026-03-09 11:41:02</t>
  </si>
  <si>
    <t>27799321773</t>
  </si>
  <si>
    <t>13560555</t>
  </si>
  <si>
    <t>5b4c6c6b-a916-4715-9e89-4c7abe3ca824</t>
  </si>
  <si>
    <t>27607842364</t>
  </si>
  <si>
    <t>13560566</t>
  </si>
  <si>
    <t>f60fec57-b1f5-4f26-b446-ca376136e81c</t>
  </si>
  <si>
    <t>27609726282</t>
  </si>
  <si>
    <t>13564544</t>
  </si>
  <si>
    <t>0876c474-6cd9-420b-b479-7fff780cb3ec</t>
  </si>
  <si>
    <t>27607049469</t>
  </si>
  <si>
    <t>13564551</t>
  </si>
  <si>
    <t>aa82a67a-7b04-4c14-ae51-ea198d52a0e3</t>
  </si>
  <si>
    <t>27768170682</t>
  </si>
  <si>
    <t>13560573</t>
  </si>
  <si>
    <t>b487ffcd-43c0-4250-bfa4-aaf04fe0cee3</t>
  </si>
  <si>
    <t>2026-03-09 11:41:01</t>
  </si>
  <si>
    <t>27673729870</t>
  </si>
  <si>
    <t>13560577</t>
  </si>
  <si>
    <t>f17b7aba-0937-4306-9278-5b51dd94001e</t>
  </si>
  <si>
    <t>27728004910</t>
  </si>
  <si>
    <t>13560579</t>
  </si>
  <si>
    <t>bb394684-f6c1-4a22-92a4-c9cd1a1e54b4</t>
  </si>
  <si>
    <t>27822949096</t>
  </si>
  <si>
    <t>13556614</t>
  </si>
  <si>
    <t>929d5694-1e3e-4baf-b02f-97e6a1daa41e</t>
  </si>
  <si>
    <t>2026-03-09 11:41:00</t>
  </si>
  <si>
    <t>27725549949</t>
  </si>
  <si>
    <t>13560592</t>
  </si>
  <si>
    <t>cc87353c-a43d-4a43-9c61-2c449d472563</t>
  </si>
  <si>
    <t>27766892254</t>
  </si>
  <si>
    <t>13560603</t>
  </si>
  <si>
    <t>d6f13eaa-8825-4815-bb43-5c4ef841b8ef</t>
  </si>
  <si>
    <t>27720370783</t>
  </si>
  <si>
    <t>13564572</t>
  </si>
  <si>
    <t>86b5bfe3-1f76-4497-9d61-887cabeae026</t>
  </si>
  <si>
    <t>27714207127</t>
  </si>
  <si>
    <t>13564581</t>
  </si>
  <si>
    <t>8db747f2-4ded-43aa-8b9e-3b75c753f6e7</t>
  </si>
  <si>
    <t>27636539769</t>
  </si>
  <si>
    <t>13556145</t>
  </si>
  <si>
    <t>06c662d1-12e8-4908-8478-5bcfef53a13a</t>
  </si>
  <si>
    <t>2026-03-09 11:40:59</t>
  </si>
  <si>
    <t>27721045350</t>
  </si>
  <si>
    <t>13556023</t>
  </si>
  <si>
    <t>d67951db-abdf-4e5b-bf59-bc8840b2eb18</t>
  </si>
  <si>
    <t>27716742497</t>
  </si>
  <si>
    <t>13556164</t>
  </si>
  <si>
    <t>cb126132-ec1e-4b63-b0bf-d07ea112e206</t>
  </si>
  <si>
    <t>27721191140</t>
  </si>
  <si>
    <t>13556165</t>
  </si>
  <si>
    <t>92a9eeba-c0d9-4b46-8299-32b691b26634</t>
  </si>
  <si>
    <t>27721202770</t>
  </si>
  <si>
    <t>13556030</t>
  </si>
  <si>
    <t>460b8d87-e1f6-4d13-965f-1618c52cb62e</t>
  </si>
  <si>
    <t>27717730311</t>
  </si>
  <si>
    <t>13556172</t>
  </si>
  <si>
    <t>933dffa1-67fd-45bb-ad49-d6a8415b51e5</t>
  </si>
  <si>
    <t>27721287107</t>
  </si>
  <si>
    <t>13564584</t>
  </si>
  <si>
    <t>4493b0a6-95af-454e-8183-33dc5d8d62d9</t>
  </si>
  <si>
    <t>27714795204</t>
  </si>
  <si>
    <t>13556000</t>
  </si>
  <si>
    <t>0ecf6473-3e96-4974-91e8-c58250397cf0</t>
  </si>
  <si>
    <t>2026-03-09 11:40:58</t>
  </si>
  <si>
    <t>27716280666</t>
  </si>
  <si>
    <t>13564586</t>
  </si>
  <si>
    <t>c1f7fb0f-5679-46f5-ab1d-d20776f06e81</t>
  </si>
  <si>
    <t>27648941718</t>
  </si>
  <si>
    <t>13555958</t>
  </si>
  <si>
    <t>572cb60d-7b90-4bb4-9ef8-25f31e2d45f0</t>
  </si>
  <si>
    <t>2026-03-09 11:40:57</t>
  </si>
  <si>
    <t>27715825304</t>
  </si>
  <si>
    <t>13555961</t>
  </si>
  <si>
    <t>e51fbfc4-3847-4551-8024-7a0a0dba0926</t>
  </si>
  <si>
    <t>27715837554</t>
  </si>
  <si>
    <t>13555977</t>
  </si>
  <si>
    <t>7e323159-f548-4a70-81f6-67c71a53d36b</t>
  </si>
  <si>
    <t>27715921251</t>
  </si>
  <si>
    <t>13556027</t>
  </si>
  <si>
    <t>ff228ca1-9b35-4eba-81f2-6dfc55d54c1a</t>
  </si>
  <si>
    <t>2026-03-09 11:40:55</t>
  </si>
  <si>
    <t>27716851789</t>
  </si>
  <si>
    <t>13556133</t>
  </si>
  <si>
    <t>90ec023c-9bbf-455b-b91a-a7608773c9c9</t>
  </si>
  <si>
    <t>2026-03-09 11:40:54</t>
  </si>
  <si>
    <t>27720970670</t>
  </si>
  <si>
    <t>13556135</t>
  </si>
  <si>
    <t>6a537ad3-2f1d-4c72-beea-aa8721a8f2de</t>
  </si>
  <si>
    <t>27720990892</t>
  </si>
  <si>
    <t>13556103</t>
  </si>
  <si>
    <t>ed610fc1-de22-4224-ac5e-49540e58c388</t>
  </si>
  <si>
    <t>2026-03-09 11:40:52</t>
  </si>
  <si>
    <t>27720725049</t>
  </si>
  <si>
    <t>13556118</t>
  </si>
  <si>
    <t>75e00417-20b0-46d8-a445-70c6fc83a54b</t>
  </si>
  <si>
    <t>27720845470</t>
  </si>
  <si>
    <t>13556124</t>
  </si>
  <si>
    <t>215df2f9-2951-49b3-828c-674c24f81845</t>
  </si>
  <si>
    <t>27720873726</t>
  </si>
  <si>
    <t>13556131</t>
  </si>
  <si>
    <t>f91d3ed6-b443-4e26-a341-8ee37419b418</t>
  </si>
  <si>
    <t>27720964303</t>
  </si>
  <si>
    <t>13556085</t>
  </si>
  <si>
    <t>b4a6e5e6-e81c-4a0d-8571-75e4df3afedf</t>
  </si>
  <si>
    <t>2026-03-09 11:40:51</t>
  </si>
  <si>
    <t>27720600877</t>
  </si>
  <si>
    <t>13556090</t>
  </si>
  <si>
    <t>1b15dcb3-883b-4801-8cae-69c0afb183ec</t>
  </si>
  <si>
    <t>27720635246</t>
  </si>
  <si>
    <t>13556099</t>
  </si>
  <si>
    <t>87b61cb1-76fa-4fae-8697-baf2875b9715</t>
  </si>
  <si>
    <t>27720715724</t>
  </si>
  <si>
    <t>13560625</t>
  </si>
  <si>
    <t>d314098b-32ec-47df-b727-f8d8090e43a5</t>
  </si>
  <si>
    <t>27663643130</t>
  </si>
  <si>
    <t>13556054</t>
  </si>
  <si>
    <t>d7ed2681-7c53-4a0a-9443-c3823769b42a</t>
  </si>
  <si>
    <t>2026-03-09 11:40:50</t>
  </si>
  <si>
    <t>27720361806</t>
  </si>
  <si>
    <t>13556056</t>
  </si>
  <si>
    <t>2dad6362-5e2f-4439-9002-f743dad2ed0a</t>
  </si>
  <si>
    <t>27720381077</t>
  </si>
  <si>
    <t>13556062</t>
  </si>
  <si>
    <t>22a05b39-878b-4e8d-a935-6c79f62d6101</t>
  </si>
  <si>
    <t>27720419145</t>
  </si>
  <si>
    <t>13555674</t>
  </si>
  <si>
    <t>ac174c47-b836-4082-8792-d222e8f2b3dd</t>
  </si>
  <si>
    <t>2026-03-09 11:40:49</t>
  </si>
  <si>
    <t>27712841632</t>
  </si>
  <si>
    <t>13556052</t>
  </si>
  <si>
    <t>bf981615-e5a9-414a-a0d5-6d1a4e7528de</t>
  </si>
  <si>
    <t>27720333875</t>
  </si>
  <si>
    <t>13556034</t>
  </si>
  <si>
    <t>701b80b2-ead0-426e-acc0-ab147930ab51</t>
  </si>
  <si>
    <t>27719191214</t>
  </si>
  <si>
    <t>13556040</t>
  </si>
  <si>
    <t>57d272b4-139d-46af-b03a-e7c23a8be3fa</t>
  </si>
  <si>
    <t>27720126880</t>
  </si>
  <si>
    <t>13555057</t>
  </si>
  <si>
    <t>fdda46dc-3189-4d1a-9caa-4259740c5efd</t>
  </si>
  <si>
    <t>2026-03-09 11:40:33</t>
  </si>
  <si>
    <t>27646483982</t>
  </si>
  <si>
    <t>13563605</t>
  </si>
  <si>
    <t>9eb043dc-4d65-4bb0-995b-4aa9913e780b</t>
  </si>
  <si>
    <t>2026-03-09 11:40:29</t>
  </si>
  <si>
    <t>27606902931</t>
  </si>
  <si>
    <t>13563609</t>
  </si>
  <si>
    <t>ba68948d-cb59-4c03-9b8c-af82a1124459</t>
  </si>
  <si>
    <t>27715267877</t>
  </si>
  <si>
    <t>13560504</t>
  </si>
  <si>
    <t>b0c5b279-59b0-4515-9ec8-d051dbeda922</t>
  </si>
  <si>
    <t>2026-03-09 11:40:28</t>
  </si>
  <si>
    <t>27673230444</t>
  </si>
  <si>
    <t>13560701</t>
  </si>
  <si>
    <t>9ed4e802-13b2-40d6-80b3-915a996be687</t>
  </si>
  <si>
    <t>27760478638</t>
  </si>
  <si>
    <t>13560703</t>
  </si>
  <si>
    <t>87f97f74-7238-472a-a978-1398d7f8302d</t>
  </si>
  <si>
    <t>27768891753</t>
  </si>
  <si>
    <t>13560706</t>
  </si>
  <si>
    <t>4d8b2044-3fa8-4c81-9919-7dd3358d625c</t>
  </si>
  <si>
    <t>27765333540</t>
  </si>
  <si>
    <t>13563615</t>
  </si>
  <si>
    <t>1e3f30b1-2c86-4264-80aa-c4f71da030e3</t>
  </si>
  <si>
    <t>27721083402</t>
  </si>
  <si>
    <t>13560724</t>
  </si>
  <si>
    <t>818653b4-8e34-444e-9dfa-22bd963dbb59</t>
  </si>
  <si>
    <t>2026-03-09 11:40:27</t>
  </si>
  <si>
    <t>27674556759</t>
  </si>
  <si>
    <t>13563641</t>
  </si>
  <si>
    <t>c623c4d9-4197-40ed-a8a1-84494a3d5cb4</t>
  </si>
  <si>
    <t>27714567245</t>
  </si>
  <si>
    <t>13563686</t>
  </si>
  <si>
    <t>f7ad836b-195f-4760-b327-b939c573be9f</t>
  </si>
  <si>
    <t>27714757641</t>
  </si>
  <si>
    <t>13563646</t>
  </si>
  <si>
    <t>0b6d12dc-c83f-494b-8eaf-0eb6f448d1a6</t>
  </si>
  <si>
    <t>27712444260</t>
  </si>
  <si>
    <t>13560726</t>
  </si>
  <si>
    <t>d65d7723-c80d-400b-99f8-4958236a8899</t>
  </si>
  <si>
    <t>2026-03-09 11:40:26</t>
  </si>
  <si>
    <t>27763750975</t>
  </si>
  <si>
    <t>13563701</t>
  </si>
  <si>
    <t>c02caf11-fb81-47e9-b9c6-6327cd29225d</t>
  </si>
  <si>
    <t>27764555485</t>
  </si>
  <si>
    <t>13563703</t>
  </si>
  <si>
    <t>d33a752a-9a38-4e2a-bf97-3cc0ad2c2d2b</t>
  </si>
  <si>
    <t>27637903613</t>
  </si>
  <si>
    <t>13560742</t>
  </si>
  <si>
    <t>e09c0798-9a7a-43cc-ba30-569bc60bd650</t>
  </si>
  <si>
    <t>2026-03-09 11:40:20</t>
  </si>
  <si>
    <t>27791926814</t>
  </si>
  <si>
    <t>13560770</t>
  </si>
  <si>
    <t>0d3216e5-ba84-477b-aa9e-723107d9d638</t>
  </si>
  <si>
    <t>2026-03-09 11:40:17</t>
  </si>
  <si>
    <t>27674567218</t>
  </si>
  <si>
    <t>13560774</t>
  </si>
  <si>
    <t>62631b4f-e7e5-498e-8171-d576e03313cf</t>
  </si>
  <si>
    <t>27790283713</t>
  </si>
  <si>
    <t>13563708</t>
  </si>
  <si>
    <t>f2752a67-32ad-4096-bf65-8fbb7219ed4c</t>
  </si>
  <si>
    <t>27660809607</t>
  </si>
  <si>
    <t>13563711</t>
  </si>
  <si>
    <t>3659a6a2-1fbd-4e61-967d-ee2e928b4985</t>
  </si>
  <si>
    <t>27665875484</t>
  </si>
  <si>
    <t>13560788</t>
  </si>
  <si>
    <t>1d734e6e-172d-4e8a-93df-bb91391c3e7f</t>
  </si>
  <si>
    <t>2026-03-09 11:40:16</t>
  </si>
  <si>
    <t>27792764164</t>
  </si>
  <si>
    <t>13560805</t>
  </si>
  <si>
    <t>49ec7d2f-2fe7-4624-8e61-4e5dbbe62d4a</t>
  </si>
  <si>
    <t>27823573707</t>
  </si>
  <si>
    <t>13560818</t>
  </si>
  <si>
    <t>9439f3f3-86ef-4573-9ac2-ffa97fca80fd</t>
  </si>
  <si>
    <t>27798305148</t>
  </si>
  <si>
    <t>13563720</t>
  </si>
  <si>
    <t>a210ed6e-6af7-4362-abe6-dbca87fc5a2b</t>
  </si>
  <si>
    <t>27765109669</t>
  </si>
  <si>
    <t>13563736</t>
  </si>
  <si>
    <t>586f0d7e-d8d1-46c8-a5d5-2d3eb9ccb018</t>
  </si>
  <si>
    <t>27774874879</t>
  </si>
  <si>
    <t>13561000</t>
  </si>
  <si>
    <t>62a5180a-a024-4468-a04c-445b266df91c</t>
  </si>
  <si>
    <t>2026-03-09 11:40:15</t>
  </si>
  <si>
    <t>27765570210</t>
  </si>
  <si>
    <t>13563749</t>
  </si>
  <si>
    <t>d286490d-033f-434b-9c07-8d9c1882962e</t>
  </si>
  <si>
    <t>27649908678</t>
  </si>
  <si>
    <t>13563778</t>
  </si>
  <si>
    <t>492f8385-1dc2-4c42-8757-479bcf32b9d5</t>
  </si>
  <si>
    <t>2026-03-09 11:40:13</t>
  </si>
  <si>
    <t>27724963701</t>
  </si>
  <si>
    <t>13561118</t>
  </si>
  <si>
    <t>8969d150-c5ef-4221-b9a4-f8b407fc1d0a</t>
  </si>
  <si>
    <t>2026-03-09 11:40:12</t>
  </si>
  <si>
    <t>27673311473</t>
  </si>
  <si>
    <t>13561163</t>
  </si>
  <si>
    <t>e7b91011-949b-4f9a-a12e-d5fe5f188d9c</t>
  </si>
  <si>
    <t>27649269511</t>
  </si>
  <si>
    <t>13561125</t>
  </si>
  <si>
    <t>f816b953-f879-4a86-adb8-a912bf43f84a</t>
  </si>
  <si>
    <t>27648222013</t>
  </si>
  <si>
    <t>13561181</t>
  </si>
  <si>
    <t>45022560-1d28-4cea-bf38-30ef9823b9c9</t>
  </si>
  <si>
    <t>27725876441</t>
  </si>
  <si>
    <t>13561142</t>
  </si>
  <si>
    <t>69ba9d90-edab-4019-9ba2-01d960646295</t>
  </si>
  <si>
    <t>27713138400</t>
  </si>
  <si>
    <t>13561148</t>
  </si>
  <si>
    <t>fa8c13bc-7a83-4e65-bf6b-1e72bcfca3c5</t>
  </si>
  <si>
    <t>27713600110</t>
  </si>
  <si>
    <t>13563752</t>
  </si>
  <si>
    <t>db79c90a-13a7-4903-a717-b544bb40f846</t>
  </si>
  <si>
    <t>27637723926</t>
  </si>
  <si>
    <t>13561184</t>
  </si>
  <si>
    <t>d047666f-1f94-4549-9397-ebefd78bc2b9</t>
  </si>
  <si>
    <t>2026-03-09 11:40:11</t>
  </si>
  <si>
    <t>27647837239</t>
  </si>
  <si>
    <t>13564055</t>
  </si>
  <si>
    <t>4485c011-028b-4bc3-95ff-4ff3b05e957c</t>
  </si>
  <si>
    <t>27769226046</t>
  </si>
  <si>
    <t>13563797</t>
  </si>
  <si>
    <t>49fe37a1-a674-44a1-adf2-164ee0d99737</t>
  </si>
  <si>
    <t>27608129740</t>
  </si>
  <si>
    <t>13563805</t>
  </si>
  <si>
    <t>c2440709-d8c7-4073-a20a-8c90637c5a18</t>
  </si>
  <si>
    <t>27607112747</t>
  </si>
  <si>
    <t>13563821</t>
  </si>
  <si>
    <t>e4b4fc00-4d76-405b-9cc8-446863229637</t>
  </si>
  <si>
    <t>27769064249</t>
  </si>
  <si>
    <t>13564073</t>
  </si>
  <si>
    <t>c4fb6089-4e93-49ab-86c9-4276de5fd361</t>
  </si>
  <si>
    <t>2026-03-09 11:40:09</t>
  </si>
  <si>
    <t>27765850673</t>
  </si>
  <si>
    <t>13561185</t>
  </si>
  <si>
    <t>213187b9-7e52-4139-9a3a-ddbc74451819</t>
  </si>
  <si>
    <t>2026-03-09 11:40:08</t>
  </si>
  <si>
    <t>27648822829</t>
  </si>
  <si>
    <t>13561496</t>
  </si>
  <si>
    <t>6c8f5fbd-595f-455a-858c-4d5e01899607</t>
  </si>
  <si>
    <t>27766424229</t>
  </si>
  <si>
    <t>13564077</t>
  </si>
  <si>
    <t>05fe6422-2881-4319-b333-08fa91100c16</t>
  </si>
  <si>
    <t>27725534687</t>
  </si>
  <si>
    <t>13564082</t>
  </si>
  <si>
    <t>e869cdea-4dfc-438b-9b33-e18376a43446</t>
  </si>
  <si>
    <t>27712107609</t>
  </si>
  <si>
    <t>13564086</t>
  </si>
  <si>
    <t>a0cb8bd5-6bde-43c4-b8cd-469992b29933</t>
  </si>
  <si>
    <t>27720705793</t>
  </si>
  <si>
    <t>13564102</t>
  </si>
  <si>
    <t>8276e403-4d16-40ed-b646-d724e4b31527</t>
  </si>
  <si>
    <t>27608652532</t>
  </si>
  <si>
    <t>13564376</t>
  </si>
  <si>
    <t>d415bcbf-502d-4f50-a639-8aa88c0c8404</t>
  </si>
  <si>
    <t>2026-03-09 11:40:06</t>
  </si>
  <si>
    <t>27607825780</t>
  </si>
  <si>
    <t>13561513</t>
  </si>
  <si>
    <t>acce30e5-6c2f-4442-ba59-77d649911d58</t>
  </si>
  <si>
    <t>2026-03-09 11:40:05</t>
  </si>
  <si>
    <t>27646176571</t>
  </si>
  <si>
    <t>13561516</t>
  </si>
  <si>
    <t>c7ece4ef-3bbb-44e6-b94f-d17c99c790b8</t>
  </si>
  <si>
    <t>27768541284</t>
  </si>
  <si>
    <t>13564276</t>
  </si>
  <si>
    <t>ef2e6a9b-0340-4a9b-93df-9a2e0acb2461</t>
  </si>
  <si>
    <t>27665834094</t>
  </si>
  <si>
    <t>13564395</t>
  </si>
  <si>
    <t>9fa22bbd-5507-42b4-9253-3fc24b5c520b</t>
  </si>
  <si>
    <t>27727862790</t>
  </si>
  <si>
    <t>13564396</t>
  </si>
  <si>
    <t>05e19b63-2e06-4401-aff1-dd86e422890a</t>
  </si>
  <si>
    <t>27711064284</t>
  </si>
  <si>
    <t>13564422</t>
  </si>
  <si>
    <t>f914c070-bce3-434e-b835-020cc2793e91</t>
  </si>
  <si>
    <t>27649187373</t>
  </si>
  <si>
    <t>13561546</t>
  </si>
  <si>
    <t>16fc642a-81ad-4e16-b274-559ac9851964</t>
  </si>
  <si>
    <t>2026-03-09 11:40:04</t>
  </si>
  <si>
    <t>27818836853</t>
  </si>
  <si>
    <t>13561551</t>
  </si>
  <si>
    <t>389202a2-3ccd-4484-99f4-978c2092cf56</t>
  </si>
  <si>
    <t>27764281542</t>
  </si>
  <si>
    <t>13564425</t>
  </si>
  <si>
    <t>5dee21f9-399e-4b83-bbd7-8a6381085091</t>
  </si>
  <si>
    <t>27722678497</t>
  </si>
  <si>
    <t>13564428</t>
  </si>
  <si>
    <t>9be08a61-cb74-4f4f-bec5-e7fb00085432</t>
  </si>
  <si>
    <t>27723905219</t>
  </si>
  <si>
    <t>13561566</t>
  </si>
  <si>
    <t>0cacea54-9948-40c8-95ff-8931867f77d7</t>
  </si>
  <si>
    <t>2026-03-09 11:39:52</t>
  </si>
  <si>
    <t>27713402596</t>
  </si>
  <si>
    <t>13561776</t>
  </si>
  <si>
    <t>3dbdad0e-c115-48c7-bd34-84f79d4c7cae</t>
  </si>
  <si>
    <t>27646674064</t>
  </si>
  <si>
    <t>13561782</t>
  </si>
  <si>
    <t>3ad8e9c7-0592-4a2e-9232-afcc587ac6ef</t>
  </si>
  <si>
    <t>27768244599</t>
  </si>
  <si>
    <t>13561784</t>
  </si>
  <si>
    <t>3dcd775f-fcfe-40b3-8d37-463375275a55</t>
  </si>
  <si>
    <t>27715642933</t>
  </si>
  <si>
    <t>13564429</t>
  </si>
  <si>
    <t>60e42af0-fb72-40c7-ace9-55471c97f198</t>
  </si>
  <si>
    <t>27606469973</t>
  </si>
  <si>
    <t>13564431</t>
  </si>
  <si>
    <t>099db017-d825-4df6-b9e7-8fb5832c4634</t>
  </si>
  <si>
    <t>27647237984</t>
  </si>
  <si>
    <t>13564436</t>
  </si>
  <si>
    <t>0e837eff-5d4e-4f91-81ec-c7fa6ba87a33</t>
  </si>
  <si>
    <t>27728028111</t>
  </si>
  <si>
    <t>13555051</t>
  </si>
  <si>
    <t>5cb18ac8-f019-4460-a8dc-9c570085b9f7</t>
  </si>
  <si>
    <t>2026-03-09 11:39:51</t>
  </si>
  <si>
    <t>27646406328</t>
  </si>
  <si>
    <t>13562487</t>
  </si>
  <si>
    <t>d26ed99e-4324-43aa-9ba0-0db9144144d4</t>
  </si>
  <si>
    <t>27728619173</t>
  </si>
  <si>
    <t>13558659</t>
  </si>
  <si>
    <t>beca4a29-62c7-421c-b8bb-23e25e75160b</t>
  </si>
  <si>
    <t>2026-03-09 11:39:44</t>
  </si>
  <si>
    <t>27796613176</t>
  </si>
  <si>
    <t>13555409</t>
  </si>
  <si>
    <t>ac39d7c4-5aeb-4da4-b23a-fe289e045b69</t>
  </si>
  <si>
    <t>2026-03-09 11:39:31</t>
  </si>
  <si>
    <t>27664956464</t>
  </si>
  <si>
    <t>13555436</t>
  </si>
  <si>
    <t>c3aa56e7-c1ab-47d4-bdf1-39cd227b96a6</t>
  </si>
  <si>
    <t>27665520709</t>
  </si>
  <si>
    <t>13555442</t>
  </si>
  <si>
    <t>18d57e17-6e12-440a-9b67-fbe2f2a295e7</t>
  </si>
  <si>
    <t>27665721654</t>
  </si>
  <si>
    <t>13555444</t>
  </si>
  <si>
    <t>887566d7-a686-4b00-96cb-1a6782cd43de</t>
  </si>
  <si>
    <t>27665862822</t>
  </si>
  <si>
    <t>13555446</t>
  </si>
  <si>
    <t>ed6734dc-fdab-4473-9863-90847dee4fe8</t>
  </si>
  <si>
    <t>27665912285</t>
  </si>
  <si>
    <t>13555451</t>
  </si>
  <si>
    <t>f02d4fab-a0ea-42f1-b207-1c810db022dd</t>
  </si>
  <si>
    <t>27673043456</t>
  </si>
  <si>
    <t>13555374</t>
  </si>
  <si>
    <t>7030776e-a006-4adc-81b5-210b55baf765</t>
  </si>
  <si>
    <t>2026-03-09 11:39:30</t>
  </si>
  <si>
    <t>27664146073</t>
  </si>
  <si>
    <t>13555404</t>
  </si>
  <si>
    <t>99e9ffaf-74d1-4d80-b672-5ce7abe0ebe3</t>
  </si>
  <si>
    <t>27664784227</t>
  </si>
  <si>
    <t>13555411</t>
  </si>
  <si>
    <t>e5e311e6-0052-4550-b663-ea03abba26e0</t>
  </si>
  <si>
    <t>27664962616</t>
  </si>
  <si>
    <t>13555421</t>
  </si>
  <si>
    <t>9c6ca856-7bcf-4d98-b789-ec63d3ee6f64</t>
  </si>
  <si>
    <t>27665140855</t>
  </si>
  <si>
    <t>13555434</t>
  </si>
  <si>
    <t>fbdd802a-f2c4-4ad7-9fc6-a9dd22688396</t>
  </si>
  <si>
    <t>27665397841</t>
  </si>
  <si>
    <t>13555344</t>
  </si>
  <si>
    <t>891bd0df-d58c-47bf-8f31-49468e7a316e</t>
  </si>
  <si>
    <t>27663600957</t>
  </si>
  <si>
    <t>13555357</t>
  </si>
  <si>
    <t>2345f80b-9e9f-4dfd-89b2-dd1a61f59752</t>
  </si>
  <si>
    <t>27663957422</t>
  </si>
  <si>
    <t>13555330</t>
  </si>
  <si>
    <t>f7c84048-1ba3-4732-9bf2-26c821d1d146</t>
  </si>
  <si>
    <t>2026-03-09 11:39:29</t>
  </si>
  <si>
    <t>27663269274</t>
  </si>
  <si>
    <t>13556404</t>
  </si>
  <si>
    <t>4c28f23e-99b6-493c-9359-93a538530d47</t>
  </si>
  <si>
    <t>2026-03-09 11:39:28</t>
  </si>
  <si>
    <t>27723541882</t>
  </si>
  <si>
    <t>13555268</t>
  </si>
  <si>
    <t>83d35a6c-74be-4912-8d77-b0cc3e60b9ac</t>
  </si>
  <si>
    <t>27660921472</t>
  </si>
  <si>
    <t>13555272</t>
  </si>
  <si>
    <t>03ec79f3-890e-43d8-a6aa-d7513b9b2a19</t>
  </si>
  <si>
    <t>27661025833</t>
  </si>
  <si>
    <t>13555265</t>
  </si>
  <si>
    <t>c34120ed-4528-4a24-b325-e29700e6a950</t>
  </si>
  <si>
    <t>27660905389</t>
  </si>
  <si>
    <t>13555321</t>
  </si>
  <si>
    <t>50af2fd4-6fe3-452f-af52-61cdb09b71c2</t>
  </si>
  <si>
    <t>27663120299</t>
  </si>
  <si>
    <t>13555327</t>
  </si>
  <si>
    <t>c0aeef49-3e8b-456f-8d08-50bdfc043a8b</t>
  </si>
  <si>
    <t>27663181633</t>
  </si>
  <si>
    <t>13556385</t>
  </si>
  <si>
    <t>ef357db1-3ac2-4186-a531-ce4afe985e72</t>
  </si>
  <si>
    <t>2026-03-09 11:39:27</t>
  </si>
  <si>
    <t>27723386388</t>
  </si>
  <si>
    <t>13556396</t>
  </si>
  <si>
    <t>eeffd7a9-f6db-468e-886a-ad3e22d0afc1</t>
  </si>
  <si>
    <t>27723476983</t>
  </si>
  <si>
    <t>13556399</t>
  </si>
  <si>
    <t>d66e418c-ee96-46bc-8d87-f30b595bd836</t>
  </si>
  <si>
    <t>27723483724</t>
  </si>
  <si>
    <t>13556402</t>
  </si>
  <si>
    <t>95dde964-37bb-490a-8672-8337dc96ef08</t>
  </si>
  <si>
    <t>27723530728</t>
  </si>
  <si>
    <t>13555285</t>
  </si>
  <si>
    <t>905303e3-ab01-4959-bff2-13369ae4ebf6</t>
  </si>
  <si>
    <t>27661239896</t>
  </si>
  <si>
    <t>13555297</t>
  </si>
  <si>
    <t>c028e11d-ab04-4ff9-ac35-a610ea839de0</t>
  </si>
  <si>
    <t>27661507901</t>
  </si>
  <si>
    <t>13556332</t>
  </si>
  <si>
    <t>9ca536ea-d33a-4890-ba5e-08b37d9772ee</t>
  </si>
  <si>
    <t>2026-03-09 11:39:25</t>
  </si>
  <si>
    <t>27722774175</t>
  </si>
  <si>
    <t>13556345</t>
  </si>
  <si>
    <t>785b2c84-b1d2-417c-a88e-ca18e3d57c2f</t>
  </si>
  <si>
    <t>27722924966</t>
  </si>
  <si>
    <t>13556374</t>
  </si>
  <si>
    <t>183aca8e-f40d-4f3d-84fd-cd7b51c8793b</t>
  </si>
  <si>
    <t>27723253635</t>
  </si>
  <si>
    <t>13560047</t>
  </si>
  <si>
    <t>a084c449-2664-4c7b-83c7-7e673735f344</t>
  </si>
  <si>
    <t>2026-03-09 11:39:22</t>
  </si>
  <si>
    <t>27723857065</t>
  </si>
  <si>
    <t>13556325</t>
  </si>
  <si>
    <t>ada4e618-eb33-4e37-8b09-b41d86ccd593</t>
  </si>
  <si>
    <t>2026-03-09 11:39:21</t>
  </si>
  <si>
    <t>27722711838</t>
  </si>
  <si>
    <t>13556323</t>
  </si>
  <si>
    <t>d5006055-a471-46ee-b744-192199ee5b0e</t>
  </si>
  <si>
    <t>2026-03-09 11:39:19</t>
  </si>
  <si>
    <t>27722702121</t>
  </si>
  <si>
    <t>13556258</t>
  </si>
  <si>
    <t>ed7ef78c-d043-4611-868a-2142d0b38476</t>
  </si>
  <si>
    <t>27722093448</t>
  </si>
  <si>
    <t>13556275</t>
  </si>
  <si>
    <t>9f7909dc-155a-4ed4-9fa4-b791d9ab486e</t>
  </si>
  <si>
    <t>27722186354</t>
  </si>
  <si>
    <t>13556284</t>
  </si>
  <si>
    <t>a4ceafd9-3851-48c2-9b64-8012c8a84a89</t>
  </si>
  <si>
    <t>27722241676</t>
  </si>
  <si>
    <t>13554977</t>
  </si>
  <si>
    <t>873d4a62-6498-43dc-a562-36f0188083ee</t>
  </si>
  <si>
    <t>2026-03-09 11:39:18</t>
  </si>
  <si>
    <t>27636597673</t>
  </si>
  <si>
    <t>13556235</t>
  </si>
  <si>
    <t>b7ce3f39-e6fc-4581-b50b-cd9b0486bada</t>
  </si>
  <si>
    <t>27721860097</t>
  </si>
  <si>
    <t>13556236</t>
  </si>
  <si>
    <t>4d385d08-0dc8-4b83-a7d4-ae7240b135eb</t>
  </si>
  <si>
    <t>27721863923</t>
  </si>
  <si>
    <t>13556245</t>
  </si>
  <si>
    <t>2e851a2b-3065-415c-8ba9-8f56d17b71ec</t>
  </si>
  <si>
    <t>27721966781</t>
  </si>
  <si>
    <t>13556251</t>
  </si>
  <si>
    <t>ffcb691a-1eb8-41e6-b695-6d469dfc57c2</t>
  </si>
  <si>
    <t>27722027345</t>
  </si>
  <si>
    <t>13556280</t>
  </si>
  <si>
    <t>58404132-b1e6-4323-8a90-ba6298220ced</t>
  </si>
  <si>
    <t>27722221361</t>
  </si>
  <si>
    <t>13556197</t>
  </si>
  <si>
    <t>f7ed8cc1-db26-4d8a-b089-15944326f929</t>
  </si>
  <si>
    <t>27721501661</t>
  </si>
  <si>
    <t>13556206</t>
  </si>
  <si>
    <t>d5272942-b31c-43ac-98b5-7f69f26c37b4</t>
  </si>
  <si>
    <t>27721567214</t>
  </si>
  <si>
    <t>13556211</t>
  </si>
  <si>
    <t>8fa852c5-a7ec-4190-87ce-32effa3e5074</t>
  </si>
  <si>
    <t>27721596885</t>
  </si>
  <si>
    <t>13556213</t>
  </si>
  <si>
    <t>7034ebc7-c758-4386-ae22-ad794282dbc7</t>
  </si>
  <si>
    <t>27721610082</t>
  </si>
  <si>
    <t>13556216</t>
  </si>
  <si>
    <t>9803e790-f825-4c56-b43c-c8bb652033f2</t>
  </si>
  <si>
    <t>27721716170</t>
  </si>
  <si>
    <t>13554951</t>
  </si>
  <si>
    <t>f680d0dd-0cd2-4f61-9a82-4f38ea077425</t>
  </si>
  <si>
    <t>2026-03-09 11:39:17</t>
  </si>
  <si>
    <t>27636214818</t>
  </si>
  <si>
    <t>13554952</t>
  </si>
  <si>
    <t>3540e02b-372f-4d35-b154-0e6c8c1a4b73</t>
  </si>
  <si>
    <t>27636243021</t>
  </si>
  <si>
    <t>13554983</t>
  </si>
  <si>
    <t>04e634f8-24d4-48c0-8e56-8d93b91c7236</t>
  </si>
  <si>
    <t>27636744496</t>
  </si>
  <si>
    <t>13554998</t>
  </si>
  <si>
    <t>3b89cc0c-7198-4f87-b3eb-deaf0a92f6af</t>
  </si>
  <si>
    <t>27637253170</t>
  </si>
  <si>
    <t>13555024</t>
  </si>
  <si>
    <t>f7d9ef9d-3712-4a6d-8254-4d394b1cc044</t>
  </si>
  <si>
    <t>27646052837</t>
  </si>
  <si>
    <t>13556179</t>
  </si>
  <si>
    <t>eb92be74-afe5-49db-91f0-6da4451936bb</t>
  </si>
  <si>
    <t>27721358275</t>
  </si>
  <si>
    <t>13555214</t>
  </si>
  <si>
    <t>a63f0188-dc80-4e7f-ad7a-d8751099875d</t>
  </si>
  <si>
    <t>2026-03-09 11:39:16</t>
  </si>
  <si>
    <t>27660054401</t>
  </si>
  <si>
    <t>13555245</t>
  </si>
  <si>
    <t>74acbc6c-6161-4a1f-b26c-91b6f1b732bc</t>
  </si>
  <si>
    <t>27660536487</t>
  </si>
  <si>
    <t>13554941</t>
  </si>
  <si>
    <t>d6ccbc53-abe4-479a-bc67-12e6254b32c4</t>
  </si>
  <si>
    <t>27636110826</t>
  </si>
  <si>
    <t>13554958</t>
  </si>
  <si>
    <t>de065561-af01-4369-92e7-a4485065780c</t>
  </si>
  <si>
    <t>27636345738</t>
  </si>
  <si>
    <t>13554969</t>
  </si>
  <si>
    <t>62127392-e996-4584-87c4-1acc93f64d6d</t>
  </si>
  <si>
    <t>27636479518</t>
  </si>
  <si>
    <t>13555207</t>
  </si>
  <si>
    <t>a49e39af-9889-4d29-a013-ae04edd8e0ed</t>
  </si>
  <si>
    <t>27649966210</t>
  </si>
  <si>
    <t>13555212</t>
  </si>
  <si>
    <t>19589002-6b1e-4cf6-9474-4bbfd7f30d6c</t>
  </si>
  <si>
    <t>27660050564</t>
  </si>
  <si>
    <t>13555160</t>
  </si>
  <si>
    <t>ec51dd7a-f8a0-47a8-a7ca-b001a660fa9f</t>
  </si>
  <si>
    <t>2026-03-09 11:38:57</t>
  </si>
  <si>
    <t>27648917223</t>
  </si>
  <si>
    <t>13555187</t>
  </si>
  <si>
    <t>3f1d7b74-a719-435d-9b73-46214ab6a35a</t>
  </si>
  <si>
    <t>27649473749</t>
  </si>
  <si>
    <t>13555148</t>
  </si>
  <si>
    <t>f7c5314f-8cff-4ca2-99fb-48d1b8fab907</t>
  </si>
  <si>
    <t>2026-03-09 11:38:56</t>
  </si>
  <si>
    <t>27648731703</t>
  </si>
  <si>
    <t>13555152</t>
  </si>
  <si>
    <t>0e536b86-b0d8-4dd1-a92d-6050a1895383</t>
  </si>
  <si>
    <t>27648823470</t>
  </si>
  <si>
    <t>13555153</t>
  </si>
  <si>
    <t>19f84100-9ab2-4a35-b33b-0abb9a6f0c25</t>
  </si>
  <si>
    <t>27648832942</t>
  </si>
  <si>
    <t>13555154</t>
  </si>
  <si>
    <t>7345ca11-8ea3-4a0a-9628-87b702887b1a</t>
  </si>
  <si>
    <t>27648854490</t>
  </si>
  <si>
    <t>13555170</t>
  </si>
  <si>
    <t>905478e4-9c7a-4110-9d1a-05fc05766432</t>
  </si>
  <si>
    <t>27649114029</t>
  </si>
  <si>
    <t>13555172</t>
  </si>
  <si>
    <t>e6e00bb7-5cf7-40ce-94e3-b687d4a689a8</t>
  </si>
  <si>
    <t>27649211721</t>
  </si>
  <si>
    <t>13563159</t>
  </si>
  <si>
    <t>89e251f9-e479-4f6e-9339-c9f9282fbd0c</t>
  </si>
  <si>
    <t>2026-03-09 11:38:52</t>
  </si>
  <si>
    <t>27767802182</t>
  </si>
  <si>
    <t>13555125</t>
  </si>
  <si>
    <t>a5f8ead8-a213-4287-a388-e4de987e7ef1</t>
  </si>
  <si>
    <t>2026-03-09 11:38:49</t>
  </si>
  <si>
    <t>27648407936</t>
  </si>
  <si>
    <t>13555127</t>
  </si>
  <si>
    <t>6702a57e-8b3e-4ed6-81c7-07dd355d5850</t>
  </si>
  <si>
    <t>27648420991</t>
  </si>
  <si>
    <t>13555135</t>
  </si>
  <si>
    <t>111f6d69-83e0-4993-afd6-938c62de0ef8</t>
  </si>
  <si>
    <t>27648486206</t>
  </si>
  <si>
    <t>13555108</t>
  </si>
  <si>
    <t>d665fc2f-4735-497e-bad0-8c7dc1ea5d6a</t>
  </si>
  <si>
    <t>27648121622</t>
  </si>
  <si>
    <t>13561531</t>
  </si>
  <si>
    <t>66b5fcfb-dea6-40ff-b7f0-cc402842dab3</t>
  </si>
  <si>
    <t>27791035930</t>
  </si>
  <si>
    <t>13562765</t>
  </si>
  <si>
    <t>dd517454-ff48-401c-9163-8ebf99ecf096</t>
  </si>
  <si>
    <t>27646203865</t>
  </si>
  <si>
    <t>13556840</t>
  </si>
  <si>
    <t>f7c0a783-911b-4f12-bc7e-36b20522f875</t>
  </si>
  <si>
    <t>2026-03-09 11:38:45</t>
  </si>
  <si>
    <t>27727978115</t>
  </si>
  <si>
    <t>13560533</t>
  </si>
  <si>
    <t>8fe301eb-d725-4b09-acdb-3d81ef078b88</t>
  </si>
  <si>
    <t>2026-03-09 11:38:23</t>
  </si>
  <si>
    <t>27739203270</t>
  </si>
  <si>
    <t>13560538</t>
  </si>
  <si>
    <t>6288a3b6-4010-4582-ab7f-1134ad1f0f87</t>
  </si>
  <si>
    <t>27660663446</t>
  </si>
  <si>
    <t>13560539</t>
  </si>
  <si>
    <t>c93baf45-12c0-4bc8-85a5-4bae8bee054d</t>
  </si>
  <si>
    <t>27659537173</t>
  </si>
  <si>
    <t>13560545</t>
  </si>
  <si>
    <t>c02d6a3f-4b8f-4de7-b6a7-523de6cffe01</t>
  </si>
  <si>
    <t>27637685272</t>
  </si>
  <si>
    <t>13560548</t>
  </si>
  <si>
    <t>6da9212b-f73d-44ef-adf4-a57ea994d687</t>
  </si>
  <si>
    <t>27609361465</t>
  </si>
  <si>
    <t>13560551</t>
  </si>
  <si>
    <t>b8a1e868-41d0-4c6a-80ec-d4865f83e09d</t>
  </si>
  <si>
    <t>27797518488</t>
  </si>
  <si>
    <t>13563373</t>
  </si>
  <si>
    <t>ad60b7aa-60e4-4624-9568-4f675eca822d</t>
  </si>
  <si>
    <t>27727058016</t>
  </si>
  <si>
    <t>13560508</t>
  </si>
  <si>
    <t>68b02964-72a3-4368-a775-b834fc7dc9e7</t>
  </si>
  <si>
    <t>2026-03-09 11:38:22</t>
  </si>
  <si>
    <t>27772921332</t>
  </si>
  <si>
    <t>13560510</t>
  </si>
  <si>
    <t>ecab8e0d-ea5b-4c74-a44f-4691fd76149b</t>
  </si>
  <si>
    <t>27724670063</t>
  </si>
  <si>
    <t>13560526</t>
  </si>
  <si>
    <t>7256f32f-0d60-44b0-9593-2bc25a2edf30</t>
  </si>
  <si>
    <t>27724690147</t>
  </si>
  <si>
    <t>13560535</t>
  </si>
  <si>
    <t>2b7cf445-7e14-4875-ade5-ab100909f182</t>
  </si>
  <si>
    <t>27798322341</t>
  </si>
  <si>
    <t>13560536</t>
  </si>
  <si>
    <t>9177e81d-aed7-4738-93e6-f0bc212ea828</t>
  </si>
  <si>
    <t>27849749571</t>
  </si>
  <si>
    <t>13563375</t>
  </si>
  <si>
    <t>43dcb3fd-d0fb-468e-b45a-ca15c2dcefab</t>
  </si>
  <si>
    <t>27731983109</t>
  </si>
  <si>
    <t>13564698</t>
  </si>
  <si>
    <t>fe0b73ae-a29e-4384-9426-2da89692a3eb</t>
  </si>
  <si>
    <t>27606071719</t>
  </si>
  <si>
    <t>13560479</t>
  </si>
  <si>
    <t>ed7d8504-e374-499f-9c3d-f2cf36e0ccf8</t>
  </si>
  <si>
    <t>2026-03-09 11:38:20</t>
  </si>
  <si>
    <t>Ntombifuthi Mthethwa</t>
  </si>
  <si>
    <t>27646900806</t>
  </si>
  <si>
    <t>13560485</t>
  </si>
  <si>
    <t>d4eed87e-bf14-4d73-a67b-60c87a7e7422</t>
  </si>
  <si>
    <t>27767482835</t>
  </si>
  <si>
    <t>13560472</t>
  </si>
  <si>
    <t>1dcc8e0e-59d7-4688-9b43-fa06222165e0</t>
  </si>
  <si>
    <t>27714034135</t>
  </si>
  <si>
    <t>13563401</t>
  </si>
  <si>
    <t>5561110a-b6fa-4da9-839c-bec4c32aaa62</t>
  </si>
  <si>
    <t>27720178817</t>
  </si>
  <si>
    <t>13560444</t>
  </si>
  <si>
    <t>b3fd558e-7822-45c1-970c-2123f94a8a95</t>
  </si>
  <si>
    <t>2026-03-09 11:38:19</t>
  </si>
  <si>
    <t>27767709135</t>
  </si>
  <si>
    <t>13560445</t>
  </si>
  <si>
    <t>e1ea6096-bcf0-43fc-b293-50e27dd2575c</t>
  </si>
  <si>
    <t>27774132122</t>
  </si>
  <si>
    <t>13560453</t>
  </si>
  <si>
    <t>87f00c91-0736-4506-bb7f-50ede2d4fbee</t>
  </si>
  <si>
    <t>27711291297</t>
  </si>
  <si>
    <t>13560465</t>
  </si>
  <si>
    <t>293fb477-c3ad-4255-9a43-eb4777dde2d7</t>
  </si>
  <si>
    <t>27765426601</t>
  </si>
  <si>
    <t>13563962</t>
  </si>
  <si>
    <t>d47c7759-ace9-4a9d-a9c6-5514e44fef42</t>
  </si>
  <si>
    <t>27714283722</t>
  </si>
  <si>
    <t>13561263</t>
  </si>
  <si>
    <t>3e0dbcaa-b2e1-4d10-a1e4-8526307926dd</t>
  </si>
  <si>
    <t>2026-03-09 11:38:18</t>
  </si>
  <si>
    <t>27722219268</t>
  </si>
  <si>
    <t>13561278</t>
  </si>
  <si>
    <t>f9d40d60-725a-46ff-ae4c-c4418473439f</t>
  </si>
  <si>
    <t>27647923045</t>
  </si>
  <si>
    <t>13561282</t>
  </si>
  <si>
    <t>2383f12c-f98e-42ba-834b-85377ede8eb7</t>
  </si>
  <si>
    <t>27609292751</t>
  </si>
  <si>
    <t>13560437</t>
  </si>
  <si>
    <t>dac131b4-75ce-4c39-bae9-e6331286e8ab</t>
  </si>
  <si>
    <t>27796654145</t>
  </si>
  <si>
    <t>13561251</t>
  </si>
  <si>
    <t>c4f0a732-a23e-49b6-9e43-d461eb563d61</t>
  </si>
  <si>
    <t>2026-03-09 11:38:17</t>
  </si>
  <si>
    <t>27712319322</t>
  </si>
  <si>
    <t>13561236</t>
  </si>
  <si>
    <t>cb399175-9e0f-4e13-930e-4dcf2df29389</t>
  </si>
  <si>
    <t>27714485247</t>
  </si>
  <si>
    <t>13561247</t>
  </si>
  <si>
    <t>3bb7d168-7afd-46c6-aaa4-5832782b6d70</t>
  </si>
  <si>
    <t>27725691174</t>
  </si>
  <si>
    <t>13564710</t>
  </si>
  <si>
    <t>4e9b45cc-c10e-4352-b1e1-faa77ab61740</t>
  </si>
  <si>
    <t>27606193279</t>
  </si>
  <si>
    <t>13559987</t>
  </si>
  <si>
    <t>fa50b7c9-6931-41d4-8741-3ab3307b4a90</t>
  </si>
  <si>
    <t>2026-03-09 11:38:16</t>
  </si>
  <si>
    <t>27713444214</t>
  </si>
  <si>
    <t>13561226</t>
  </si>
  <si>
    <t>5db38884-8454-4109-a88b-a571af52ee41</t>
  </si>
  <si>
    <t>27665424721</t>
  </si>
  <si>
    <t>13561232</t>
  </si>
  <si>
    <t>b8fcbca6-396d-4920-b68d-84a9cfac837a</t>
  </si>
  <si>
    <t>27722218059</t>
  </si>
  <si>
    <t>13559937</t>
  </si>
  <si>
    <t>e2e25a11-5db4-4ccb-aca7-64b81a9d074e</t>
  </si>
  <si>
    <t>2026-03-09 11:38:10</t>
  </si>
  <si>
    <t>27725128485</t>
  </si>
  <si>
    <t>13559939</t>
  </si>
  <si>
    <t>63d83ccf-a500-4a3c-96e3-9a4e794c3d9a</t>
  </si>
  <si>
    <t>27794719043</t>
  </si>
  <si>
    <t>13559940</t>
  </si>
  <si>
    <t>16a44600-9d83-4137-a5da-e2173983c8c4</t>
  </si>
  <si>
    <t>27718772193</t>
  </si>
  <si>
    <t>13559944</t>
  </si>
  <si>
    <t>e9e9d226-bbda-4c9f-ae4e-06d690f682aa</t>
  </si>
  <si>
    <t>27766515429</t>
  </si>
  <si>
    <t>13559955</t>
  </si>
  <si>
    <t>c279c16e-1f95-4e19-8208-6973099f032e</t>
  </si>
  <si>
    <t>27724534175</t>
  </si>
  <si>
    <t>13563408</t>
  </si>
  <si>
    <t>cf44aa75-48f8-433c-a56d-87f5731247fd</t>
  </si>
  <si>
    <t>27715127784</t>
  </si>
  <si>
    <t>13563417</t>
  </si>
  <si>
    <t>cde312ab-ca30-4144-b126-11c816ef2d0b</t>
  </si>
  <si>
    <t>27765311173</t>
  </si>
  <si>
    <t>13559886</t>
  </si>
  <si>
    <t>0f88ddcf-5459-4d6b-867d-389b7d8f2c0b</t>
  </si>
  <si>
    <t>2026-03-09 11:38:08</t>
  </si>
  <si>
    <t>27727513636</t>
  </si>
  <si>
    <t>13559893</t>
  </si>
  <si>
    <t>76bc104d-0a0b-4f53-9ccc-3d0bccc4745f</t>
  </si>
  <si>
    <t>27646094880</t>
  </si>
  <si>
    <t>13559904</t>
  </si>
  <si>
    <t>c5d0c622-351d-4091-b307-9390f744d8c4</t>
  </si>
  <si>
    <t>27799537688</t>
  </si>
  <si>
    <t>13559908</t>
  </si>
  <si>
    <t>b7d1fa99-e131-450d-8827-14326aae0778</t>
  </si>
  <si>
    <t>27649136421</t>
  </si>
  <si>
    <t>13559909</t>
  </si>
  <si>
    <t>9a997af4-4f30-4e1a-aa03-28cce8bbfbbd</t>
  </si>
  <si>
    <t>27663184182</t>
  </si>
  <si>
    <t>13559911</t>
  </si>
  <si>
    <t>994aac47-968c-4599-9a3a-58cf2459295b</t>
  </si>
  <si>
    <t>27825951964</t>
  </si>
  <si>
    <t>13559913</t>
  </si>
  <si>
    <t>69537c24-4f89-4b77-8859-0d9aa05fdfdf</t>
  </si>
  <si>
    <t>27764622780</t>
  </si>
  <si>
    <t>13559871</t>
  </si>
  <si>
    <t>62b4eb4a-a3df-4750-9a35-1940dad313d3</t>
  </si>
  <si>
    <t>2026-03-09 11:38:04</t>
  </si>
  <si>
    <t>27648520498</t>
  </si>
  <si>
    <t>13559875</t>
  </si>
  <si>
    <t>53be4fc0-3491-46a4-8a15-084dcb7206b3</t>
  </si>
  <si>
    <t>27761798139</t>
  </si>
  <si>
    <t>13559835</t>
  </si>
  <si>
    <t>019293ad-2658-4e2f-9cc6-167be5ec1a96</t>
  </si>
  <si>
    <t>2026-03-09 11:38:03</t>
  </si>
  <si>
    <t>27799034751</t>
  </si>
  <si>
    <t>13559847</t>
  </si>
  <si>
    <t>b743dfdf-9c6f-43c8-88b3-5874f7b90b51</t>
  </si>
  <si>
    <t>27826231874</t>
  </si>
  <si>
    <t>13559862</t>
  </si>
  <si>
    <t>4fa48691-4f81-4261-b678-1aa5819a35f1</t>
  </si>
  <si>
    <t>27824334474</t>
  </si>
  <si>
    <t>13559867</t>
  </si>
  <si>
    <t>a3304bd4-043a-4d68-8c9b-2b4839addbbe</t>
  </si>
  <si>
    <t>27772792970</t>
  </si>
  <si>
    <t>13559820</t>
  </si>
  <si>
    <t>c5bda48d-2cb9-4817-b2a9-40fecffdefb2</t>
  </si>
  <si>
    <t>27824380664</t>
  </si>
  <si>
    <t>13559822</t>
  </si>
  <si>
    <t>2f9b9e92-390c-4f80-8412-e0d4237ad168</t>
  </si>
  <si>
    <t>27766905329</t>
  </si>
  <si>
    <t>13559827</t>
  </si>
  <si>
    <t>285f8872-ca9b-41be-9f84-9120a9e76c18</t>
  </si>
  <si>
    <t>27637152925</t>
  </si>
  <si>
    <t>13559801</t>
  </si>
  <si>
    <t>faa688a5-4a94-4d84-94f4-d17dfcb1bb87</t>
  </si>
  <si>
    <t>2026-03-09 11:38:01</t>
  </si>
  <si>
    <t>27827809492</t>
  </si>
  <si>
    <t>13563435</t>
  </si>
  <si>
    <t>99b6376d-e2ea-4b96-936f-2bd7c4a0a6d4</t>
  </si>
  <si>
    <t>2026-03-09 11:37:59</t>
  </si>
  <si>
    <t>27714568716</t>
  </si>
  <si>
    <t>13563439</t>
  </si>
  <si>
    <t>4673a7f5-3ee7-43e5-b132-0fdcdeb0e883</t>
  </si>
  <si>
    <t>27665170016</t>
  </si>
  <si>
    <t>13563456</t>
  </si>
  <si>
    <t>a5f246e9-8d32-4119-9c03-122508b6e834</t>
  </si>
  <si>
    <t>27767493680</t>
  </si>
  <si>
    <t>13564712</t>
  </si>
  <si>
    <t>3adc9496-2769-4e28-ac13-337b196541f9</t>
  </si>
  <si>
    <t>27606223616</t>
  </si>
  <si>
    <t>13564717</t>
  </si>
  <si>
    <t>19451496-6b15-4317-9133-e4975327610e</t>
  </si>
  <si>
    <t>27606299745</t>
  </si>
  <si>
    <t>13563458</t>
  </si>
  <si>
    <t>0d04fa5c-4b9c-4274-bf82-9618116e3d93</t>
  </si>
  <si>
    <t>2026-03-09 11:37:58</t>
  </si>
  <si>
    <t>27722666086</t>
  </si>
  <si>
    <t>13563460</t>
  </si>
  <si>
    <t>d233604f-90c6-497a-95e3-94cd3deafd27</t>
  </si>
  <si>
    <t>27726961664</t>
  </si>
  <si>
    <t>13563428</t>
  </si>
  <si>
    <t>356c4b1f-4644-4778-949b-223704044a23</t>
  </si>
  <si>
    <t>27715625314</t>
  </si>
  <si>
    <t>13563433</t>
  </si>
  <si>
    <t>469b1f29-10c8-4414-b9b3-025e0ab3a500</t>
  </si>
  <si>
    <t>27762831940</t>
  </si>
  <si>
    <t>13564732</t>
  </si>
  <si>
    <t>3b6569ff-9fde-4ed7-a4cc-43ce938f5ceb</t>
  </si>
  <si>
    <t>27606559390</t>
  </si>
  <si>
    <t>13564718</t>
  </si>
  <si>
    <t>29175e24-4892-41c9-8b56-0a322cfc7207</t>
  </si>
  <si>
    <t>2026-03-09 11:37:57</t>
  </si>
  <si>
    <t>27606315894</t>
  </si>
  <si>
    <t>13564726</t>
  </si>
  <si>
    <t>4191cc0e-a399-477e-b4b8-4476d1a5474b</t>
  </si>
  <si>
    <t>27606440535</t>
  </si>
  <si>
    <t>13563479</t>
  </si>
  <si>
    <t>916c6e16-a6dd-4257-b8be-3ed5ac2c7f0d</t>
  </si>
  <si>
    <t>2026-03-09 11:37:52</t>
  </si>
  <si>
    <t>27720217278</t>
  </si>
  <si>
    <t>13563969</t>
  </si>
  <si>
    <t>0e26ed12-3994-4179-8afc-e08ca2d92f90</t>
  </si>
  <si>
    <t>2026-03-09 11:37:51</t>
  </si>
  <si>
    <t>27791046314</t>
  </si>
  <si>
    <t>13563461</t>
  </si>
  <si>
    <t>a2d67c4e-6959-4e2a-b2df-97c2de97bc3d</t>
  </si>
  <si>
    <t>27726988737</t>
  </si>
  <si>
    <t>13563472</t>
  </si>
  <si>
    <t>1febe807-a1ee-4ca6-a6b2-9fc12e962c21</t>
  </si>
  <si>
    <t>27729899890</t>
  </si>
  <si>
    <t>13563484</t>
  </si>
  <si>
    <t>054941b5-fb49-4c17-8bfb-11008e7428c8</t>
  </si>
  <si>
    <t>27675752367</t>
  </si>
  <si>
    <t>13563487</t>
  </si>
  <si>
    <t>8dd7042a-37e9-4964-a917-a7e73bcc4b0d</t>
  </si>
  <si>
    <t>27721282572</t>
  </si>
  <si>
    <t>13563496</t>
  </si>
  <si>
    <t>b84f1d3d-468f-4f68-b305-9fa9bf1b12b5</t>
  </si>
  <si>
    <t>27723270612</t>
  </si>
  <si>
    <t>13563533</t>
  </si>
  <si>
    <t>1e5ad290-d43d-44ed-a98e-6092bf9a0286</t>
  </si>
  <si>
    <t>27606163234</t>
  </si>
  <si>
    <t>13564743</t>
  </si>
  <si>
    <t>85cc50b7-1aa2-490a-b8b3-24a3e401d071</t>
  </si>
  <si>
    <t>27606689400</t>
  </si>
  <si>
    <t>13564761</t>
  </si>
  <si>
    <t>b09d08d4-6e06-468f-8d5a-ed40e34dd107</t>
  </si>
  <si>
    <t>27607005490</t>
  </si>
  <si>
    <t>13564772</t>
  </si>
  <si>
    <t>d368391f-65fc-440d-aa6e-053f837f19c4</t>
  </si>
  <si>
    <t>27607189858</t>
  </si>
  <si>
    <t>13560438</t>
  </si>
  <si>
    <t>d4d296fe-1eb6-4dde-93f6-fcaa4e0271ab</t>
  </si>
  <si>
    <t>2026-03-09 11:37:50</t>
  </si>
  <si>
    <t>27820513787</t>
  </si>
  <si>
    <t>13563985</t>
  </si>
  <si>
    <t>b5f421f9-309b-45aa-89fb-8caeb98ba69a</t>
  </si>
  <si>
    <t>27762450545</t>
  </si>
  <si>
    <t>13563966</t>
  </si>
  <si>
    <t>f3609684-81a1-462d-bc5e-02a589df8dcb</t>
  </si>
  <si>
    <t>27648804402</t>
  </si>
  <si>
    <t>13563508</t>
  </si>
  <si>
    <t>d186e4a6-5843-4a20-a90b-db8783770e6a</t>
  </si>
  <si>
    <t>27729261080</t>
  </si>
  <si>
    <t>13564751</t>
  </si>
  <si>
    <t>817cd651-5b3a-44a5-ba1f-b851fa50b895</t>
  </si>
  <si>
    <t>27606783863</t>
  </si>
  <si>
    <t>13564763</t>
  </si>
  <si>
    <t>79b10fb1-e852-4709-becf-64ac95b1d93e</t>
  </si>
  <si>
    <t>27607033507</t>
  </si>
  <si>
    <t>13557123</t>
  </si>
  <si>
    <t>fa1e8a09-fb46-460b-bb5f-993f0df09f79</t>
  </si>
  <si>
    <t>2026-03-09 11:37:46</t>
  </si>
  <si>
    <t>27760458253</t>
  </si>
  <si>
    <t>13559760</t>
  </si>
  <si>
    <t>1060e00d-827c-47eb-9ffc-fe2a7381ae64</t>
  </si>
  <si>
    <t>2026-03-09 11:37:30</t>
  </si>
  <si>
    <t>27727369689</t>
  </si>
  <si>
    <t>13559742</t>
  </si>
  <si>
    <t>a7738017-fc54-4cff-b669-88641b767cda</t>
  </si>
  <si>
    <t>2026-03-09 11:37:29</t>
  </si>
  <si>
    <t>27794532204</t>
  </si>
  <si>
    <t>13559751</t>
  </si>
  <si>
    <t>16eef542-9283-4ffb-a7ab-797b5d7dbe52</t>
  </si>
  <si>
    <t>27790444882</t>
  </si>
  <si>
    <t>13559658</t>
  </si>
  <si>
    <t>7df6553f-f601-4a29-bf3d-eff0a17d8d86</t>
  </si>
  <si>
    <t>2026-03-09 11:37:28</t>
  </si>
  <si>
    <t>27835790172</t>
  </si>
  <si>
    <t>13559671</t>
  </si>
  <si>
    <t>63baccd7-dd41-47cd-9c21-b2b900bfca8f</t>
  </si>
  <si>
    <t>27839472955</t>
  </si>
  <si>
    <t>13559708</t>
  </si>
  <si>
    <t>f67553da-7e31-4b0a-9aeb-94e2eb13bd24</t>
  </si>
  <si>
    <t>27607183284</t>
  </si>
  <si>
    <t>13559711</t>
  </si>
  <si>
    <t>23d2f1f9-abae-4d02-9342-d6e184843ea9</t>
  </si>
  <si>
    <t>27714023908</t>
  </si>
  <si>
    <t>13559654</t>
  </si>
  <si>
    <t>8a5e5ba6-d378-4c84-a665-bcd43f5d1341</t>
  </si>
  <si>
    <t>2026-03-09 11:37:27</t>
  </si>
  <si>
    <t>27835554470</t>
  </si>
  <si>
    <t>13559641</t>
  </si>
  <si>
    <t>8f911e7a-5b6e-4647-9565-6b45ca4337d5</t>
  </si>
  <si>
    <t>2026-03-09 11:37:26</t>
  </si>
  <si>
    <t>27833725573</t>
  </si>
  <si>
    <t>13559650</t>
  </si>
  <si>
    <t>bf2b13a4-8f3e-44c9-9667-9591fb84e745</t>
  </si>
  <si>
    <t>27834737967</t>
  </si>
  <si>
    <t>13560404</t>
  </si>
  <si>
    <t>dd97335f-1ce7-4a5b-b757-0f5033d9f2cf</t>
  </si>
  <si>
    <t>2026-03-09 11:37:25</t>
  </si>
  <si>
    <t>27822303614</t>
  </si>
  <si>
    <t>13559630</t>
  </si>
  <si>
    <t>93e5791c-a2e2-44ad-a9a4-5ad386b01834</t>
  </si>
  <si>
    <t>27829754795</t>
  </si>
  <si>
    <t>13560415</t>
  </si>
  <si>
    <t>1956b2da-38e8-428b-a91e-aaf75e8ef015</t>
  </si>
  <si>
    <t>2026-03-09 11:37:24</t>
  </si>
  <si>
    <t>27724243189</t>
  </si>
  <si>
    <t>13560421</t>
  </si>
  <si>
    <t>cf359fd2-e589-46f8-9d4b-0a3fb5015cd0</t>
  </si>
  <si>
    <t>27767983310</t>
  </si>
  <si>
    <t>13555041</t>
  </si>
  <si>
    <t>6595e3b4-8a51-4d15-be24-9a4c6576e9ad</t>
  </si>
  <si>
    <t>2026-03-09 11:37:19</t>
  </si>
  <si>
    <t>27646250414</t>
  </si>
  <si>
    <t>13560368</t>
  </si>
  <si>
    <t>1829e52c-e580-454c-9ed5-3020835af186</t>
  </si>
  <si>
    <t>2026-03-09 11:37:18</t>
  </si>
  <si>
    <t>27792821005</t>
  </si>
  <si>
    <t>13560317</t>
  </si>
  <si>
    <t>e93a554a-34fe-4cda-90fc-2b5378243cba</t>
  </si>
  <si>
    <t>2026-03-09 11:37:17</t>
  </si>
  <si>
    <t>27664379333</t>
  </si>
  <si>
    <t>13560326</t>
  </si>
  <si>
    <t>15325ad4-1e8b-4ab1-aaa4-8fe7761fb957</t>
  </si>
  <si>
    <t>27766096296</t>
  </si>
  <si>
    <t>13560335</t>
  </si>
  <si>
    <t>559a7fad-c77e-45fc-83ac-bd9fa0a463f1</t>
  </si>
  <si>
    <t>27760904942</t>
  </si>
  <si>
    <t>13560345</t>
  </si>
  <si>
    <t>bc0bb2e6-0be3-418e-aaab-e0a2b8509f0c</t>
  </si>
  <si>
    <t>27799840574</t>
  </si>
  <si>
    <t>13560348</t>
  </si>
  <si>
    <t>837dd794-2952-4b4c-87af-96baa98668e6</t>
  </si>
  <si>
    <t>27715383536</t>
  </si>
  <si>
    <t>13560359</t>
  </si>
  <si>
    <t>170d3170-bdc2-4bef-ac37-cec48be2f25b</t>
  </si>
  <si>
    <t>27846760610</t>
  </si>
  <si>
    <t>13560362</t>
  </si>
  <si>
    <t>feb644ca-2ef5-4ee3-b893-3717aa499fcb</t>
  </si>
  <si>
    <t>27796465293</t>
  </si>
  <si>
    <t>13560367</t>
  </si>
  <si>
    <t>a9a6b77f-1054-48eb-ab8b-6d9512883923</t>
  </si>
  <si>
    <t>27673646151</t>
  </si>
  <si>
    <t>13560385</t>
  </si>
  <si>
    <t>6782052e-7d9f-4faa-8493-b10bfe9435e3</t>
  </si>
  <si>
    <t>27663690016</t>
  </si>
  <si>
    <t>13560386</t>
  </si>
  <si>
    <t>e3acb15a-9857-4169-a09d-911894dbcd2b</t>
  </si>
  <si>
    <t>27648738163</t>
  </si>
  <si>
    <t>13560306</t>
  </si>
  <si>
    <t>e80f4eeb-03c9-4f8c-9a04-fa0d96fe95cd</t>
  </si>
  <si>
    <t>2026-03-09 11:37:16</t>
  </si>
  <si>
    <t>27823088617</t>
  </si>
  <si>
    <t>13560311</t>
  </si>
  <si>
    <t>0d5a6569-a852-4583-9ad2-8a013854a163</t>
  </si>
  <si>
    <t>27767966704</t>
  </si>
  <si>
    <t>13560313</t>
  </si>
  <si>
    <t>80825fdd-2ff4-4e55-b71b-9f9cc7bc2a0f</t>
  </si>
  <si>
    <t>27794737307</t>
  </si>
  <si>
    <t>13560300</t>
  </si>
  <si>
    <t>63d78607-d2c9-498d-a55a-fec84f29876b</t>
  </si>
  <si>
    <t>27763464934</t>
  </si>
  <si>
    <t>13560211</t>
  </si>
  <si>
    <t>09a47ece-d404-4a39-ae0e-b2c29aa73684</t>
  </si>
  <si>
    <t>2026-03-09 11:37:13</t>
  </si>
  <si>
    <t>27799542956</t>
  </si>
  <si>
    <t>13560214</t>
  </si>
  <si>
    <t>4b66db4d-625c-4fc1-9143-c26b945fdda8</t>
  </si>
  <si>
    <t>27711822930</t>
  </si>
  <si>
    <t>13560194</t>
  </si>
  <si>
    <t>8ef99bea-eff3-4304-85c5-342ca5112f86</t>
  </si>
  <si>
    <t>27829607813</t>
  </si>
  <si>
    <t>13560198</t>
  </si>
  <si>
    <t>ceba5811-e0d9-4de3-8efb-4af4adedd9e2</t>
  </si>
  <si>
    <t>27722145019</t>
  </si>
  <si>
    <t>13560295</t>
  </si>
  <si>
    <t>ece3d637-a0be-40d9-b514-a3a8c884139e</t>
  </si>
  <si>
    <t>27725409842</t>
  </si>
  <si>
    <t>13560171</t>
  </si>
  <si>
    <t>6809ba92-0db0-46fc-a902-e8c765e55899</t>
  </si>
  <si>
    <t>2026-03-09 11:37:12</t>
  </si>
  <si>
    <t>27727063061</t>
  </si>
  <si>
    <t>13560183</t>
  </si>
  <si>
    <t>f60a5ff1-43b3-4710-84fa-9c5a64837f9b</t>
  </si>
  <si>
    <t>27825105351</t>
  </si>
  <si>
    <t>13560187</t>
  </si>
  <si>
    <t>6840b867-4b9f-4abe-848b-66b8dfd392e5</t>
  </si>
  <si>
    <t>27722148815</t>
  </si>
  <si>
    <t>13560192</t>
  </si>
  <si>
    <t>fd217e98-4637-4cd4-8f6a-5cbaf15fca8e</t>
  </si>
  <si>
    <t>27761693673</t>
  </si>
  <si>
    <t>13560163</t>
  </si>
  <si>
    <t>43747c40-14e1-42f7-9c2c-d5d1d39988ee</t>
  </si>
  <si>
    <t>2026-03-09 11:37:11</t>
  </si>
  <si>
    <t>27795381729</t>
  </si>
  <si>
    <t>13560061</t>
  </si>
  <si>
    <t>a988cd43-33d0-4e87-83ab-130e91220e78</t>
  </si>
  <si>
    <t>2026-03-09 11:37:09</t>
  </si>
  <si>
    <t>27829618293</t>
  </si>
  <si>
    <t>13560150</t>
  </si>
  <si>
    <t>5b9f5ba8-aca3-4973-aa27-fd0e53311505</t>
  </si>
  <si>
    <t>27607118650</t>
  </si>
  <si>
    <t>13560153</t>
  </si>
  <si>
    <t>3d996682-d257-4e3b-a6f4-a6c2b56b871b</t>
  </si>
  <si>
    <t>27723298419</t>
  </si>
  <si>
    <t>13560098</t>
  </si>
  <si>
    <t>84cf03b4-7371-4eaa-af2e-dd7bbaef3aec</t>
  </si>
  <si>
    <t>27796153315</t>
  </si>
  <si>
    <t>13560105</t>
  </si>
  <si>
    <t>b59dfdbb-07de-4230-a4af-06639bcbd434</t>
  </si>
  <si>
    <t>27722272082</t>
  </si>
  <si>
    <t>13560053</t>
  </si>
  <si>
    <t>b916fdfd-8d15-4822-b6d2-df12ff0cfd60</t>
  </si>
  <si>
    <t>2026-03-09 11:37:08</t>
  </si>
  <si>
    <t>27606874596</t>
  </si>
  <si>
    <t>13560059</t>
  </si>
  <si>
    <t>119cc7a0-6b83-49ba-b2e5-3456569f264b</t>
  </si>
  <si>
    <t>27663574144</t>
  </si>
  <si>
    <t>13560101</t>
  </si>
  <si>
    <t>f5afa8b1-568a-40c6-aae1-9d6123a0eb02</t>
  </si>
  <si>
    <t>27825127777</t>
  </si>
  <si>
    <t>13559470</t>
  </si>
  <si>
    <t>cdefca5b-6ba3-4618-bbf1-c4c01662ec7f</t>
  </si>
  <si>
    <t>2026-03-09 11:37:07</t>
  </si>
  <si>
    <t>27827262650</t>
  </si>
  <si>
    <t>13559504</t>
  </si>
  <si>
    <t>0e8096fd-901f-4720-9765-c45668d1668b</t>
  </si>
  <si>
    <t>27827649817</t>
  </si>
  <si>
    <t>13559549</t>
  </si>
  <si>
    <t>7fff9a35-fc60-40e7-accf-9a5e8f506c4c</t>
  </si>
  <si>
    <t>27828330239</t>
  </si>
  <si>
    <t>13560034</t>
  </si>
  <si>
    <t>52f3a693-a766-4df0-8d54-d76085b81dea</t>
  </si>
  <si>
    <t>27720964252</t>
  </si>
  <si>
    <t>13560054</t>
  </si>
  <si>
    <t>0345b6d7-e815-4189-b824-3c1c5c3136a5</t>
  </si>
  <si>
    <t>27765115426</t>
  </si>
  <si>
    <t>13559999</t>
  </si>
  <si>
    <t>3f71a83c-5aeb-4b52-bcdb-8316507be71e</t>
  </si>
  <si>
    <t>27766803908</t>
  </si>
  <si>
    <t>13559371</t>
  </si>
  <si>
    <t>f118d623-f770-4118-b59b-ecff084602c9</t>
  </si>
  <si>
    <t>2026-03-09 11:37:04</t>
  </si>
  <si>
    <t>27826238170</t>
  </si>
  <si>
    <t>13559313</t>
  </si>
  <si>
    <t>b9d7efff-90ce-4172-98a8-fb940b6cd3e2</t>
  </si>
  <si>
    <t>27825390915</t>
  </si>
  <si>
    <t>13559332</t>
  </si>
  <si>
    <t>b9c91113-5a40-48fa-9287-f8ac593f08b4</t>
  </si>
  <si>
    <t>27825584420</t>
  </si>
  <si>
    <t>13559459</t>
  </si>
  <si>
    <t>6c4d531f-7608-4270-b03c-4b3f63f47b37</t>
  </si>
  <si>
    <t>27827104211</t>
  </si>
  <si>
    <t>13559462</t>
  </si>
  <si>
    <t>fde3e9bb-d59b-42c3-8419-c84705e03ff9</t>
  </si>
  <si>
    <t>Thapelo Obed</t>
  </si>
  <si>
    <t>Mphakeng</t>
  </si>
  <si>
    <t>2026-03-06 06:41:17</t>
  </si>
  <si>
    <t>27827126781</t>
  </si>
  <si>
    <t>13559271</t>
  </si>
  <si>
    <t>fa4d7241-845a-4857-885c-3ed106863f69</t>
  </si>
  <si>
    <t>2026-03-09 11:37:03</t>
  </si>
  <si>
    <t>27825009781</t>
  </si>
  <si>
    <t>13559278</t>
  </si>
  <si>
    <t>5514cf73-9529-48f2-a35d-c679f04bf4d4</t>
  </si>
  <si>
    <t>27825068757</t>
  </si>
  <si>
    <t>13559251</t>
  </si>
  <si>
    <t>7573afff-6ec6-432f-95ff-11862096596c</t>
  </si>
  <si>
    <t>27824773301</t>
  </si>
  <si>
    <t>13559297</t>
  </si>
  <si>
    <t>93c6fef0-3558-4afc-9db9-e23942c28eb9</t>
  </si>
  <si>
    <t>27825179778</t>
  </si>
  <si>
    <t>13559298</t>
  </si>
  <si>
    <t>caf4fba8-41b2-43af-b6ad-8d3670de4623</t>
  </si>
  <si>
    <t>27825188989</t>
  </si>
  <si>
    <t>13559302</t>
  </si>
  <si>
    <t>4188e7f5-10f8-400c-9979-9f8a8caccb3b</t>
  </si>
  <si>
    <t>27825326527</t>
  </si>
  <si>
    <t>13559095</t>
  </si>
  <si>
    <t>5827e5e6-3ff4-43df-81c3-ee528f8d3f1c</t>
  </si>
  <si>
    <t>2026-03-09 11:37:02</t>
  </si>
  <si>
    <t>27822631406</t>
  </si>
  <si>
    <t>13559176</t>
  </si>
  <si>
    <t>339bb85b-bc18-4e70-9f60-b19cb2673f3b</t>
  </si>
  <si>
    <t>27823905138</t>
  </si>
  <si>
    <t>13559110</t>
  </si>
  <si>
    <t>69e867b6-e997-49c7-a227-102f223a822b</t>
  </si>
  <si>
    <t>27822919178</t>
  </si>
  <si>
    <t>13559212</t>
  </si>
  <si>
    <t>076d23ab-fc5b-4393-8612-8c0c0c2d11ec</t>
  </si>
  <si>
    <t>27824231643</t>
  </si>
  <si>
    <t>13559062</t>
  </si>
  <si>
    <t>ad77bc24-0e7e-4ec7-b2ec-6ed2fef5f203</t>
  </si>
  <si>
    <t>27822220065</t>
  </si>
  <si>
    <t>13559236</t>
  </si>
  <si>
    <t>f9f4f70c-be00-4260-8362-7293a007bcdb</t>
  </si>
  <si>
    <t>27824514623</t>
  </si>
  <si>
    <t>13559161</t>
  </si>
  <si>
    <t>e60b90d4-0f85-43bc-a804-4ac59f6cebaa</t>
  </si>
  <si>
    <t>27823675602</t>
  </si>
  <si>
    <t>13559455</t>
  </si>
  <si>
    <t>257cf437-35e2-42b9-b1fb-20e5192322c1</t>
  </si>
  <si>
    <t>27827060450</t>
  </si>
  <si>
    <t>13559082</t>
  </si>
  <si>
    <t>d0326f3e-b51a-4e3b-9860-df54881b5c45</t>
  </si>
  <si>
    <t>2026-03-09 11:37:01</t>
  </si>
  <si>
    <t>27822579602</t>
  </si>
  <si>
    <t>13559090</t>
  </si>
  <si>
    <t>95859383-1dbc-41f0-9df1-7cad68578fa6</t>
  </si>
  <si>
    <t>27822609927</t>
  </si>
  <si>
    <t>13559027</t>
  </si>
  <si>
    <t>bff7e0e8-1f8e-45e5-abd7-5f867451e07b</t>
  </si>
  <si>
    <t>27820741610</t>
  </si>
  <si>
    <t>13559011</t>
  </si>
  <si>
    <t>dcdae34d-b238-4399-b9a1-46f1b06ed4a4</t>
  </si>
  <si>
    <t>2026-03-09 11:37:00</t>
  </si>
  <si>
    <t>27820526779</t>
  </si>
  <si>
    <t>13564876</t>
  </si>
  <si>
    <t>ef657fb7-1e3b-483e-bf42-cf16c8b8f4ea</t>
  </si>
  <si>
    <t>27608886434</t>
  </si>
  <si>
    <t>13564894</t>
  </si>
  <si>
    <t>866feef3-6e82-4716-a307-cf19f163c3de</t>
  </si>
  <si>
    <t>27609256888</t>
  </si>
  <si>
    <t>13564905</t>
  </si>
  <si>
    <t>326eb320-6111-49a1-ad1f-618e2f07ff9a</t>
  </si>
  <si>
    <t>27609413258</t>
  </si>
  <si>
    <t>13564915</t>
  </si>
  <si>
    <t>07751dee-0c25-4f15-bc34-b7697e87e09c</t>
  </si>
  <si>
    <t>27609541796</t>
  </si>
  <si>
    <t>13563653</t>
  </si>
  <si>
    <t>ed48293d-d838-43a5-bb05-e8afde80209f</t>
  </si>
  <si>
    <t>2026-03-09 11:36:59</t>
  </si>
  <si>
    <t>27660565203</t>
  </si>
  <si>
    <t>13563672</t>
  </si>
  <si>
    <t>561c203c-c4dc-450d-b312-f13ea2518d4b</t>
  </si>
  <si>
    <t>27764478089</t>
  </si>
  <si>
    <t>13555414</t>
  </si>
  <si>
    <t>361caaef-96c9-4b16-b960-ee81e911abe1</t>
  </si>
  <si>
    <t>2026-03-09 11:36:46</t>
  </si>
  <si>
    <t>27665021886</t>
  </si>
  <si>
    <t>13563651</t>
  </si>
  <si>
    <t>716c3d12-503c-4865-8e7d-3ce99f880c61</t>
  </si>
  <si>
    <t>27715470485</t>
  </si>
  <si>
    <t>13563652</t>
  </si>
  <si>
    <t>35952e5c-83e7-4b8a-ba33-fb1bbf9e8377</t>
  </si>
  <si>
    <t>27722142430</t>
  </si>
  <si>
    <t>13558131</t>
  </si>
  <si>
    <t>891032fd-bf67-4b7f-b875-5bea2db0d103</t>
  </si>
  <si>
    <t>2026-03-09 11:36:43</t>
  </si>
  <si>
    <t>27790389848</t>
  </si>
  <si>
    <t>13558785</t>
  </si>
  <si>
    <t>a06e424d-72f0-41ad-91b9-898344818c4d</t>
  </si>
  <si>
    <t>2026-03-09 11:36:31</t>
  </si>
  <si>
    <t>27798186554</t>
  </si>
  <si>
    <t>13558729</t>
  </si>
  <si>
    <t>5ba2b8b8-6f40-4418-a8a8-0f74678b31b0</t>
  </si>
  <si>
    <t>27797515081</t>
  </si>
  <si>
    <t>13558900</t>
  </si>
  <si>
    <t>16a49e9e-d21a-4bef-ade5-77184b4a7c6a</t>
  </si>
  <si>
    <t>27799780802</t>
  </si>
  <si>
    <t>13558863</t>
  </si>
  <si>
    <t>6f899b02-7f03-4f7f-81d1-bbf0509e1015</t>
  </si>
  <si>
    <t>27799450726</t>
  </si>
  <si>
    <t>13558773</t>
  </si>
  <si>
    <t>c583207a-b595-4c0e-97dc-4f483690bbb8</t>
  </si>
  <si>
    <t>27798028461</t>
  </si>
  <si>
    <t>13558986</t>
  </si>
  <si>
    <t>ddcd8b2e-0912-4eec-9179-b8223171e742</t>
  </si>
  <si>
    <t>27818819849</t>
  </si>
  <si>
    <t>13558969</t>
  </si>
  <si>
    <t>ff754ce1-6d64-49f9-9f7e-c2868312b4ca</t>
  </si>
  <si>
    <t>27818594140</t>
  </si>
  <si>
    <t>13558603</t>
  </si>
  <si>
    <t>15220adc-f340-45ff-938e-727717c16439</t>
  </si>
  <si>
    <t>2026-03-09 11:36:30</t>
  </si>
  <si>
    <t>27796047373</t>
  </si>
  <si>
    <t>13558604</t>
  </si>
  <si>
    <t>c6ccfb49-8c53-4c22-bffb-5121cdd112d0</t>
  </si>
  <si>
    <t>27796061156</t>
  </si>
  <si>
    <t>13558634</t>
  </si>
  <si>
    <t>13e59b9c-e403-447d-9841-0e59030eb644</t>
  </si>
  <si>
    <t>27796311015</t>
  </si>
  <si>
    <t>13558257</t>
  </si>
  <si>
    <t>95b58ffb-0b8d-4192-9a78-1d3eab2252b1</t>
  </si>
  <si>
    <t>2026-03-09 11:36:29</t>
  </si>
  <si>
    <t>27791881876</t>
  </si>
  <si>
    <t>13558271</t>
  </si>
  <si>
    <t>0a65c5f8-82b8-4c69-a8f7-7fdd9174634b</t>
  </si>
  <si>
    <t>27792066540</t>
  </si>
  <si>
    <t>13557925</t>
  </si>
  <si>
    <t>1f64c366-837d-441b-9c01-693114af7f6a</t>
  </si>
  <si>
    <t>2026-03-09 11:36:28</t>
  </si>
  <si>
    <t>27768777258</t>
  </si>
  <si>
    <t>13558098</t>
  </si>
  <si>
    <t>d76db575-156d-4429-827a-b2003cff117d</t>
  </si>
  <si>
    <t>27790158940</t>
  </si>
  <si>
    <t>13558102</t>
  </si>
  <si>
    <t>133841b6-1734-4291-ae06-4be28d84a0c5</t>
  </si>
  <si>
    <t>27790182063</t>
  </si>
  <si>
    <t>13558596</t>
  </si>
  <si>
    <t>ff91589c-db69-40f9-9cec-de0ae1a26eb9</t>
  </si>
  <si>
    <t>27795959656</t>
  </si>
  <si>
    <t>13558208</t>
  </si>
  <si>
    <t>8f883d15-4df7-4090-918b-505208b3ca36</t>
  </si>
  <si>
    <t>27791324641</t>
  </si>
  <si>
    <t>13557961</t>
  </si>
  <si>
    <t>2c71462c-3677-4315-baec-6f04fb1df062</t>
  </si>
  <si>
    <t>2026-03-09 11:36:27</t>
  </si>
  <si>
    <t>27769072663</t>
  </si>
  <si>
    <t>13557963</t>
  </si>
  <si>
    <t>175bf0c5-984a-4b1e-961f-1cdbf349a18f</t>
  </si>
  <si>
    <t>27769098703</t>
  </si>
  <si>
    <t>13558021</t>
  </si>
  <si>
    <t>c6901ab6-4ef3-4fec-a62a-95a57758ccc5</t>
  </si>
  <si>
    <t>27769775969</t>
  </si>
  <si>
    <t>13558088</t>
  </si>
  <si>
    <t>b28a8146-25ac-4a5a-8c0d-b262cd61d021</t>
  </si>
  <si>
    <t>27787395050</t>
  </si>
  <si>
    <t>13558552</t>
  </si>
  <si>
    <t>1b61cc8b-af7b-4a0d-866b-b42ce0f96eb5</t>
  </si>
  <si>
    <t>27795407999</t>
  </si>
  <si>
    <t>13558577</t>
  </si>
  <si>
    <t>c1fb77a1-8872-4adb-a10b-db0f7fde68f6</t>
  </si>
  <si>
    <t>27795705595</t>
  </si>
  <si>
    <t>13557665</t>
  </si>
  <si>
    <t>d5a4b4ec-8aa4-4722-89ad-9516e4938864</t>
  </si>
  <si>
    <t>2026-03-09 11:36:25</t>
  </si>
  <si>
    <t>27766217212</t>
  </si>
  <si>
    <t>13557691</t>
  </si>
  <si>
    <t>1800c224-5422-4c10-b5a9-28de75fc9934</t>
  </si>
  <si>
    <t>27766408906</t>
  </si>
  <si>
    <t>13557764</t>
  </si>
  <si>
    <t>dab3a297-0904-4bf6-b216-1eaea47fa83a</t>
  </si>
  <si>
    <t>27767131372</t>
  </si>
  <si>
    <t>13557799</t>
  </si>
  <si>
    <t>6203669d-88e0-4689-9322-acc1280549fd</t>
  </si>
  <si>
    <t>27767511481</t>
  </si>
  <si>
    <t>13557836</t>
  </si>
  <si>
    <t>7a032d45-56e2-47b9-989e-f9eadf0f80bc</t>
  </si>
  <si>
    <t>27767820656</t>
  </si>
  <si>
    <t>13557903</t>
  </si>
  <si>
    <t>08fd5d60-47ed-4cb8-8e3e-27c390a854de</t>
  </si>
  <si>
    <t>27768518772</t>
  </si>
  <si>
    <t>13557910</t>
  </si>
  <si>
    <t>c2f2ac43-82c1-4413-8060-342a1ea1979a</t>
  </si>
  <si>
    <t>27768593460</t>
  </si>
  <si>
    <t>13557667</t>
  </si>
  <si>
    <t>60ba17a3-b5db-469a-90b9-e8037558bc25</t>
  </si>
  <si>
    <t>2026-03-09 11:36:24</t>
  </si>
  <si>
    <t>27766234362</t>
  </si>
  <si>
    <t>13557759</t>
  </si>
  <si>
    <t>d1cf0ba2-9a77-4858-81b3-00332d477463</t>
  </si>
  <si>
    <t>27767055341</t>
  </si>
  <si>
    <t>13557651</t>
  </si>
  <si>
    <t>fc4996e0-a681-4d53-b53a-45fa3b1dd306</t>
  </si>
  <si>
    <t>2026-03-09 11:36:23</t>
  </si>
  <si>
    <t>27766115293</t>
  </si>
  <si>
    <t>13557631</t>
  </si>
  <si>
    <t>b8910174-ec8a-4258-b560-a1953d963645</t>
  </si>
  <si>
    <t>2026-03-09 11:36:21</t>
  </si>
  <si>
    <t>27765811537</t>
  </si>
  <si>
    <t>13557620</t>
  </si>
  <si>
    <t>8dffbed3-4a68-4d8d-aa54-57c271a1004b</t>
  </si>
  <si>
    <t>2026-03-09 11:36:20</t>
  </si>
  <si>
    <t>27765702618</t>
  </si>
  <si>
    <t>13557590</t>
  </si>
  <si>
    <t>9eed4970-b384-4ee9-aa80-f8aa01da5bf7</t>
  </si>
  <si>
    <t>2026-03-09 11:36:19</t>
  </si>
  <si>
    <t>27765461266</t>
  </si>
  <si>
    <t>13556846</t>
  </si>
  <si>
    <t>ca4c90b6-0dd2-4634-9c50-89770ba0aa85</t>
  </si>
  <si>
    <t>2026-03-09 11:36:18</t>
  </si>
  <si>
    <t>27728032360</t>
  </si>
  <si>
    <t>13557499</t>
  </si>
  <si>
    <t>118335b4-c40b-47c1-8ef3-102a5b2cf346</t>
  </si>
  <si>
    <t>27764529867</t>
  </si>
  <si>
    <t>13557573</t>
  </si>
  <si>
    <t>b5244952-04f4-432b-b68a-4f422a984cff</t>
  </si>
  <si>
    <t>27765265035</t>
  </si>
  <si>
    <t>13557526</t>
  </si>
  <si>
    <t>a98d0aa6-a124-406e-a229-0c575f6abf4b</t>
  </si>
  <si>
    <t>27764762545</t>
  </si>
  <si>
    <t>13557582</t>
  </si>
  <si>
    <t>9dca9fee-09ee-4c0e-9c50-ff8ff98ec60a</t>
  </si>
  <si>
    <t>27765377371</t>
  </si>
  <si>
    <t>13556832</t>
  </si>
  <si>
    <t>453d4f6a-6edc-4a74-9607-8d244b36b29a</t>
  </si>
  <si>
    <t>2026-03-09 11:36:17</t>
  </si>
  <si>
    <t>27727900528</t>
  </si>
  <si>
    <t>13556813</t>
  </si>
  <si>
    <t>46374432-4b20-4c40-8fa7-4abd48174fe2</t>
  </si>
  <si>
    <t>27727715674</t>
  </si>
  <si>
    <t>13556797</t>
  </si>
  <si>
    <t>b56f3e98-0f37-4727-a7fe-2192bc3a0850</t>
  </si>
  <si>
    <t>2026-03-09 11:36:00</t>
  </si>
  <si>
    <t>27727589524</t>
  </si>
  <si>
    <t>13556810</t>
  </si>
  <si>
    <t>db89d193-dcbb-4edc-a7c9-bc55922751a4</t>
  </si>
  <si>
    <t>27727700434</t>
  </si>
  <si>
    <t>13556766</t>
  </si>
  <si>
    <t>3bda3d89-d158-412f-af36-7ab4dcb89b8a</t>
  </si>
  <si>
    <t>2026-03-09 11:35:59</t>
  </si>
  <si>
    <t>27727281943</t>
  </si>
  <si>
    <t>13556787</t>
  </si>
  <si>
    <t>2ba84873-ff6c-4cba-b838-0a12f27c0bc8</t>
  </si>
  <si>
    <t>27727470230</t>
  </si>
  <si>
    <t>13556788</t>
  </si>
  <si>
    <t>a60df2a1-43ab-4406-a787-734b79743436</t>
  </si>
  <si>
    <t>27727484528</t>
  </si>
  <si>
    <t>13556735</t>
  </si>
  <si>
    <t>638b7ad6-bfe8-45d9-93db-c495a983ae58</t>
  </si>
  <si>
    <t>2026-03-09 11:35:58</t>
  </si>
  <si>
    <t>27726984149</t>
  </si>
  <si>
    <t>13556737</t>
  </si>
  <si>
    <t>b66610ce-1880-4fa2-95d9-f3dbe8778cad</t>
  </si>
  <si>
    <t>27727002146</t>
  </si>
  <si>
    <t>13556714</t>
  </si>
  <si>
    <t>2b8545f6-5889-4ba6-9d65-86beeb8bbf7e</t>
  </si>
  <si>
    <t>27726793889</t>
  </si>
  <si>
    <t>13556709</t>
  </si>
  <si>
    <t>5e1a197f-380c-4f88-b25e-118dd203f5d7</t>
  </si>
  <si>
    <t>2026-03-09 11:35:57</t>
  </si>
  <si>
    <t>27726750342</t>
  </si>
  <si>
    <t>13556711</t>
  </si>
  <si>
    <t>23c96dc1-ee5c-4e54-873a-7a3e63db0d5a</t>
  </si>
  <si>
    <t>27726760501</t>
  </si>
  <si>
    <t>13562202</t>
  </si>
  <si>
    <t>df5856b8-d4c3-47e7-a7de-79b81868ec19</t>
  </si>
  <si>
    <t>2026-03-09 11:35:52</t>
  </si>
  <si>
    <t>27715054754</t>
  </si>
  <si>
    <t>13556670</t>
  </si>
  <si>
    <t>23012689-2f97-4427-8dfc-9d6e0b42a5af</t>
  </si>
  <si>
    <t>2026-03-09 11:35:46</t>
  </si>
  <si>
    <t>27726362912</t>
  </si>
  <si>
    <t>13556652</t>
  </si>
  <si>
    <t>430c0a1e-5924-40c4-bef5-60c9636a72ac</t>
  </si>
  <si>
    <t>2026-03-09 11:35:45</t>
  </si>
  <si>
    <t>27726037328</t>
  </si>
  <si>
    <t>13556659</t>
  </si>
  <si>
    <t>cae644dd-b25e-4d72-ace1-53907ed68528</t>
  </si>
  <si>
    <t>27726129928</t>
  </si>
  <si>
    <t>13556669</t>
  </si>
  <si>
    <t>090e85cc-9c6f-4d06-94b9-ae9b67b69da9</t>
  </si>
  <si>
    <t>27726360651</t>
  </si>
  <si>
    <t>13556616</t>
  </si>
  <si>
    <t>25b87977-a066-48db-a256-7a0a01a93e14</t>
  </si>
  <si>
    <t>27725552640</t>
  </si>
  <si>
    <t>13556636</t>
  </si>
  <si>
    <t>d4f17acc-3e3a-4ee5-ac20-7e27fa9aec83</t>
  </si>
  <si>
    <t>27725767652</t>
  </si>
  <si>
    <t>13562453</t>
  </si>
  <si>
    <t>d6a8cd91-461c-4494-a3b8-f023605cf503</t>
  </si>
  <si>
    <t>27722012634</t>
  </si>
  <si>
    <t>13558809</t>
  </si>
  <si>
    <t>24233fc2-a7e3-416c-9d34-85adc8db4c1e</t>
  </si>
  <si>
    <t>2026-03-09 11:35:31</t>
  </si>
  <si>
    <t>27798451307</t>
  </si>
  <si>
    <t>13558374</t>
  </si>
  <si>
    <t>cbc2cf71-a10d-4426-84ce-eda4567f08c0</t>
  </si>
  <si>
    <t>2026-03-09 11:35:30</t>
  </si>
  <si>
    <t>27793222151</t>
  </si>
  <si>
    <t>13558416</t>
  </si>
  <si>
    <t>bbe5de77-93c6-48a6-aca4-775eb4603139</t>
  </si>
  <si>
    <t>27793708650</t>
  </si>
  <si>
    <t>13557495</t>
  </si>
  <si>
    <t>9271eafe-bcf1-466a-bf5b-f109c72d2b0c</t>
  </si>
  <si>
    <t>27764438338</t>
  </si>
  <si>
    <t>13558440</t>
  </si>
  <si>
    <t>7be1d276-6546-4226-a15a-785ec0a9924e</t>
  </si>
  <si>
    <t>27793999890</t>
  </si>
  <si>
    <t>13558351</t>
  </si>
  <si>
    <t>d7bd4aa9-c2cd-4d77-8122-2fb17e447ad8</t>
  </si>
  <si>
    <t>27793016341</t>
  </si>
  <si>
    <t>13557456</t>
  </si>
  <si>
    <t>683201bb-f3de-4dbe-8ec3-3186e0088f60</t>
  </si>
  <si>
    <t>27764004242</t>
  </si>
  <si>
    <t>13558411</t>
  </si>
  <si>
    <t>30eae1ec-d433-490d-b34f-c6001d3ac8f7</t>
  </si>
  <si>
    <t>2026-03-09 11:35:29</t>
  </si>
  <si>
    <t>27793674767</t>
  </si>
  <si>
    <t>13557162</t>
  </si>
  <si>
    <t>84abd6d4-5744-439c-b1f9-2b6fe1fbc84f</t>
  </si>
  <si>
    <t>2026-03-09 11:35:28</t>
  </si>
  <si>
    <t>27760775218</t>
  </si>
  <si>
    <t>13558316</t>
  </si>
  <si>
    <t>d8d97e17-2746-4ba3-8ddf-901f99c9142e</t>
  </si>
  <si>
    <t>27792742672</t>
  </si>
  <si>
    <t>13557164</t>
  </si>
  <si>
    <t>7a70874a-33ea-49fb-b489-006b515cf946</t>
  </si>
  <si>
    <t>2026-03-09 11:35:27</t>
  </si>
  <si>
    <t>27760800843</t>
  </si>
  <si>
    <t>13557436</t>
  </si>
  <si>
    <t>16b19419-8efc-4140-a9ad-1ec6a5a426ba</t>
  </si>
  <si>
    <t>27763638285</t>
  </si>
  <si>
    <t>13556558</t>
  </si>
  <si>
    <t>8dde0a25-0ecd-4453-8770-201757651b8b</t>
  </si>
  <si>
    <t>27725031354</t>
  </si>
  <si>
    <t>13557144</t>
  </si>
  <si>
    <t>9c984eed-2e07-4e94-bcdd-0f2d7462abf4</t>
  </si>
  <si>
    <t>2026-03-09 11:35:26</t>
  </si>
  <si>
    <t>27760591575</t>
  </si>
  <si>
    <t>13557137</t>
  </si>
  <si>
    <t>517e4f25-e0aa-4f89-ab1a-d6a1b843d391</t>
  </si>
  <si>
    <t>2026-03-09 11:35:25</t>
  </si>
  <si>
    <t>27760559176</t>
  </si>
  <si>
    <t>13557139</t>
  </si>
  <si>
    <t>c994ce70-b98a-496f-93ae-523e4fa4018e</t>
  </si>
  <si>
    <t>27760572567</t>
  </si>
  <si>
    <t>13559857</t>
  </si>
  <si>
    <t>0d79d689-a1b8-4d66-baf1-f32a79e1e3fb</t>
  </si>
  <si>
    <t>2026-03-09 11:35:07</t>
  </si>
  <si>
    <t>27711074886</t>
  </si>
  <si>
    <t>13557040</t>
  </si>
  <si>
    <t>0cca9801-bcf9-457f-a1ad-0707f86caf8e</t>
  </si>
  <si>
    <t>2026-03-09 11:35:06</t>
  </si>
  <si>
    <t>27729890997</t>
  </si>
  <si>
    <t>13557043</t>
  </si>
  <si>
    <t>344643d9-2e99-4490-b62c-a8bdb229b110</t>
  </si>
  <si>
    <t>27729930981</t>
  </si>
  <si>
    <t>13557061</t>
  </si>
  <si>
    <t>0375e984-c270-4098-ba01-d0715c064b11</t>
  </si>
  <si>
    <t>27731607408</t>
  </si>
  <si>
    <t>13557096</t>
  </si>
  <si>
    <t>0ec2b5da-27ea-4f36-aec2-b4596feb559a</t>
  </si>
  <si>
    <t>27760120883</t>
  </si>
  <si>
    <t>13557117</t>
  </si>
  <si>
    <t>da5b9d89-dd92-41e4-8bfb-f18aee33688d</t>
  </si>
  <si>
    <t>27760346783</t>
  </si>
  <si>
    <t>13557038</t>
  </si>
  <si>
    <t>ec3114c9-641f-470c-a0a9-f94a0289f6b0</t>
  </si>
  <si>
    <t>2026-03-09 11:35:04</t>
  </si>
  <si>
    <t>27729865954</t>
  </si>
  <si>
    <t>13556980</t>
  </si>
  <si>
    <t>5f146cee-7c78-4118-a508-8d8007374c7b</t>
  </si>
  <si>
    <t>2026-03-09 11:35:03</t>
  </si>
  <si>
    <t>27729178219</t>
  </si>
  <si>
    <t>13556987</t>
  </si>
  <si>
    <t>dd257c8c-dc4e-4aaf-a8d0-b10790f4f5c4</t>
  </si>
  <si>
    <t>27729259074</t>
  </si>
  <si>
    <t>13556991</t>
  </si>
  <si>
    <t>deddc162-cabd-4e3d-9c55-4a5f8d945377</t>
  </si>
  <si>
    <t>27729297449</t>
  </si>
  <si>
    <t>13556994</t>
  </si>
  <si>
    <t>f8f5a656-0bbf-4fe8-b244-f73279fdb2ae</t>
  </si>
  <si>
    <t>27729304015</t>
  </si>
  <si>
    <t>13556995</t>
  </si>
  <si>
    <t>78e67438-b9b6-448a-87c5-83dd791c3da7</t>
  </si>
  <si>
    <t>27729322920</t>
  </si>
  <si>
    <t>13556955</t>
  </si>
  <si>
    <t>49ebf113-8e6a-435a-8384-479cedeb498f</t>
  </si>
  <si>
    <t>2026-03-09 11:35:02</t>
  </si>
  <si>
    <t>27728962941</t>
  </si>
  <si>
    <t>13556923</t>
  </si>
  <si>
    <t>c1ced98c-8c4e-45c4-a397-a95cff949def</t>
  </si>
  <si>
    <t>2026-03-09 11:35:01</t>
  </si>
  <si>
    <t>27728675753</t>
  </si>
  <si>
    <t>13563585</t>
  </si>
  <si>
    <t>ecc5b402-5027-4a55-96bd-f0cb17fbbf74</t>
  </si>
  <si>
    <t>2026-03-09 11:34:59</t>
  </si>
  <si>
    <t>27769747724</t>
  </si>
  <si>
    <t>13556874</t>
  </si>
  <si>
    <t>32af5762-84f7-4940-a785-aa67b67bc50c</t>
  </si>
  <si>
    <t>2026-03-09 11:34:57</t>
  </si>
  <si>
    <t>27728222420</t>
  </si>
  <si>
    <t>13556913</t>
  </si>
  <si>
    <t>d6068a27-5a7c-4fe9-8560-766bcd69926f</t>
  </si>
  <si>
    <t>27728562586</t>
  </si>
  <si>
    <t>13556918</t>
  </si>
  <si>
    <t>e04eba03-00bf-438c-a063-1500746cadcc</t>
  </si>
  <si>
    <t>27728608118</t>
  </si>
  <si>
    <t>13555732</t>
  </si>
  <si>
    <t>1d0f3504-b6b0-40ff-a8e5-58cb05de03b0</t>
  </si>
  <si>
    <t>2026-03-09 11:34:56</t>
  </si>
  <si>
    <t>27713344771</t>
  </si>
  <si>
    <t>13556851</t>
  </si>
  <si>
    <t>27d7f9ca-64a9-4b2e-8ee8-f654afdd1874</t>
  </si>
  <si>
    <t>27728074359</t>
  </si>
  <si>
    <t>13561228</t>
  </si>
  <si>
    <t>a8328106-e52c-433a-9c2c-f82b8f3d8642</t>
  </si>
  <si>
    <t>27724074616</t>
  </si>
  <si>
    <t>13563400</t>
  </si>
  <si>
    <t>39b163b8-cf0b-45de-aa88-d544669d8b88</t>
  </si>
  <si>
    <t>2026-03-09 11:34:47</t>
  </si>
  <si>
    <t>27763968657</t>
  </si>
  <si>
    <t>13561099</t>
  </si>
  <si>
    <t>8c24b3dd-b2c0-4c02-a929-1e0abf1ccb52</t>
  </si>
  <si>
    <t>2026-03-09 11:34:31</t>
  </si>
  <si>
    <t>27665308487</t>
  </si>
  <si>
    <t>13561106</t>
  </si>
  <si>
    <t>81ba95ae-d253-4eef-9a6e-8a1e32f4dcaf</t>
  </si>
  <si>
    <t>27723091342</t>
  </si>
  <si>
    <t>13561615</t>
  </si>
  <si>
    <t>ef56c4e7-e067-47f7-af41-28c8277ad218</t>
  </si>
  <si>
    <t>27675554623</t>
  </si>
  <si>
    <t>13561617</t>
  </si>
  <si>
    <t>a00e1bc8-92c1-47bf-a1a3-9efecd476249</t>
  </si>
  <si>
    <t>27725843045</t>
  </si>
  <si>
    <t>13561567</t>
  </si>
  <si>
    <t>58bdf3a0-99d7-41df-8347-d93e89751322</t>
  </si>
  <si>
    <t>27663595129</t>
  </si>
  <si>
    <t>13561044</t>
  </si>
  <si>
    <t>c56d1b0b-e90f-47dc-a666-aea81f4ce0a8</t>
  </si>
  <si>
    <t>2026-03-09 11:34:30</t>
  </si>
  <si>
    <t>27648838128</t>
  </si>
  <si>
    <t>13561634</t>
  </si>
  <si>
    <t>d2f6ad95-b40d-4742-81e1-44aa7bbf3196</t>
  </si>
  <si>
    <t>27820645752</t>
  </si>
  <si>
    <t>13561656</t>
  </si>
  <si>
    <t>983087b1-6ad1-4e44-89f3-581ae6b7c095</t>
  </si>
  <si>
    <t>27673544120</t>
  </si>
  <si>
    <t>13563768</t>
  </si>
  <si>
    <t>2a285068-5603-4510-82a2-75ab0918c09b</t>
  </si>
  <si>
    <t>27760590851</t>
  </si>
  <si>
    <t>13560707</t>
  </si>
  <si>
    <t>b677d3ea-e373-480e-8d56-96ae4eca6fce</t>
  </si>
  <si>
    <t>2026-03-09 11:34:16</t>
  </si>
  <si>
    <t>27797960405</t>
  </si>
  <si>
    <t>13562062</t>
  </si>
  <si>
    <t>7f59caf6-9622-4dc4-b78c-4ac0eb6bf9c7</t>
  </si>
  <si>
    <t>2026-03-09 11:34:15</t>
  </si>
  <si>
    <t>27774574005</t>
  </si>
  <si>
    <t>13561034</t>
  </si>
  <si>
    <t>4c353904-4dcb-413f-988b-a4af773eb6bf</t>
  </si>
  <si>
    <t>2026-03-09 11:34:07</t>
  </si>
  <si>
    <t>27768757371</t>
  </si>
  <si>
    <t>13561038</t>
  </si>
  <si>
    <t>ec8b2574-4de3-46a0-889c-c1fae2f5c34e</t>
  </si>
  <si>
    <t>27661060377</t>
  </si>
  <si>
    <t>13561678</t>
  </si>
  <si>
    <t>ad2f2acc-8ca1-4e56-90aa-917d3f9b8861</t>
  </si>
  <si>
    <t>27791483813</t>
  </si>
  <si>
    <t>13560983</t>
  </si>
  <si>
    <t>c8ca8796-b106-41ef-8047-b8f5a439c9e0</t>
  </si>
  <si>
    <t>2026-03-09 11:34:06</t>
  </si>
  <si>
    <t>27722588955</t>
  </si>
  <si>
    <t>13560988</t>
  </si>
  <si>
    <t>bf58d983-54d5-45ba-88a4-bde7b756d367</t>
  </si>
  <si>
    <t>27713450416</t>
  </si>
  <si>
    <t>13560991</t>
  </si>
  <si>
    <t>ec0a39c0-fab5-4e88-b2f0-ec3c94c0cce0</t>
  </si>
  <si>
    <t>27790283499</t>
  </si>
  <si>
    <t>13560999</t>
  </si>
  <si>
    <t>278d58a8-3e12-43b2-86b6-263a126ffcac</t>
  </si>
  <si>
    <t>27719572902</t>
  </si>
  <si>
    <t>13561007</t>
  </si>
  <si>
    <t>63ea9f25-1f28-40fe-9dae-bf80886486e8</t>
  </si>
  <si>
    <t>27767357536</t>
  </si>
  <si>
    <t>13561011</t>
  </si>
  <si>
    <t>0c258b5e-a533-4c5d-b737-b2c0dfb54ad2</t>
  </si>
  <si>
    <t>27729306435</t>
  </si>
  <si>
    <t>13561015</t>
  </si>
  <si>
    <t>7c21006e-50ae-4e39-a0b1-1d45e9bc5ecb</t>
  </si>
  <si>
    <t>27648139239</t>
  </si>
  <si>
    <t>13561692</t>
  </si>
  <si>
    <t>988ee07e-e3d2-49c9-94f9-27eeb1d91057</t>
  </si>
  <si>
    <t>27660448400</t>
  </si>
  <si>
    <t>13559611</t>
  </si>
  <si>
    <t>685f34f0-3f80-4bd6-8a92-d96bfdc44d9d</t>
  </si>
  <si>
    <t>2026-03-09 11:34:05</t>
  </si>
  <si>
    <t>27829517300</t>
  </si>
  <si>
    <t>13560843</t>
  </si>
  <si>
    <t>cb86a207-d5c3-4acc-91d3-5950b2460b12</t>
  </si>
  <si>
    <t>27661809648</t>
  </si>
  <si>
    <t>13560844</t>
  </si>
  <si>
    <t>545cea25-ed7b-406e-a4ed-e3cbd248d495</t>
  </si>
  <si>
    <t>27663881731</t>
  </si>
  <si>
    <t>13560860</t>
  </si>
  <si>
    <t>b1474103-ff94-4148-8cd5-5cc8b93ed00e</t>
  </si>
  <si>
    <t>27723389225</t>
  </si>
  <si>
    <t>13560889</t>
  </si>
  <si>
    <t>c6a68ad2-f6e8-419f-95f5-8b108d4e945c</t>
  </si>
  <si>
    <t>27724290417</t>
  </si>
  <si>
    <t>13560891</t>
  </si>
  <si>
    <t>06aa7495-2128-4595-a5d3-4fdd2ed44470</t>
  </si>
  <si>
    <t>27763581195</t>
  </si>
  <si>
    <t>13560922</t>
  </si>
  <si>
    <t>f486a99a-c059-4ed0-9a6b-784b4294337d</t>
  </si>
  <si>
    <t>27823811011</t>
  </si>
  <si>
    <t>13560927</t>
  </si>
  <si>
    <t>baad7d4a-3492-4692-a236-a8faf093dd9d</t>
  </si>
  <si>
    <t>ME Nkosi</t>
  </si>
  <si>
    <t>2026-03-04 14:06:48</t>
  </si>
  <si>
    <t>27792024875</t>
  </si>
  <si>
    <t>13561703</t>
  </si>
  <si>
    <t>03e12c1e-9fb6-4ae5-bf50-b28236963230</t>
  </si>
  <si>
    <t>27790569623</t>
  </si>
  <si>
    <t>13561728</t>
  </si>
  <si>
    <t>dd51d406-e427-4f49-b07b-99df3639437b</t>
  </si>
  <si>
    <t>27760311283</t>
  </si>
  <si>
    <t>13563775</t>
  </si>
  <si>
    <t>45558bc4-0fcc-4af6-8a71-236df4edb890</t>
  </si>
  <si>
    <t>27649187490</t>
  </si>
  <si>
    <t>13563776</t>
  </si>
  <si>
    <t>2f75ded3-60c8-4967-b642-1f2f2762d31d</t>
  </si>
  <si>
    <t>27723298271</t>
  </si>
  <si>
    <t>13558005</t>
  </si>
  <si>
    <t>d5349502-593c-4748-92a7-c0040496d655</t>
  </si>
  <si>
    <t>2026-03-09 11:34:04</t>
  </si>
  <si>
    <t>27769551615</t>
  </si>
  <si>
    <t>13558013</t>
  </si>
  <si>
    <t>76eabf26-f7fd-47df-a0bd-2dcd573bebb2</t>
  </si>
  <si>
    <t>27769635258</t>
  </si>
  <si>
    <t>13560152</t>
  </si>
  <si>
    <t>25e4f7be-0456-489e-8265-c968a32322ae</t>
  </si>
  <si>
    <t>27766609889</t>
  </si>
  <si>
    <t>13560156</t>
  </si>
  <si>
    <t>8c821323-9579-4b42-b5ec-cc3cf8416e96</t>
  </si>
  <si>
    <t>27711062308</t>
  </si>
  <si>
    <t>13560173</t>
  </si>
  <si>
    <t>4aecf150-4f17-48e1-8a8d-a4f7e6c0a326</t>
  </si>
  <si>
    <t>27713874109</t>
  </si>
  <si>
    <t>13559303</t>
  </si>
  <si>
    <t>4afd4799-4153-4e86-903b-44ad20669528</t>
  </si>
  <si>
    <t>2026-03-09 11:34:03</t>
  </si>
  <si>
    <t>27825337609</t>
  </si>
  <si>
    <t>13559305</t>
  </si>
  <si>
    <t>9440be72-a617-4b44-b200-578c6cf7bb19</t>
  </si>
  <si>
    <t>27825354160</t>
  </si>
  <si>
    <t>13559307</t>
  </si>
  <si>
    <t>bfa321a2-7ca2-4989-8d3b-0c1b5180efe0</t>
  </si>
  <si>
    <t>27825358842</t>
  </si>
  <si>
    <t>13559312</t>
  </si>
  <si>
    <t>1c8ec612-b3c5-4384-aa3d-48c467138719</t>
  </si>
  <si>
    <t>27825388406</t>
  </si>
  <si>
    <t>13560151</t>
  </si>
  <si>
    <t>c2a66484-c603-4cc9-90c2-f15d43ee5489</t>
  </si>
  <si>
    <t>27769492833</t>
  </si>
  <si>
    <t>13558003</t>
  </si>
  <si>
    <t>c20e9355-8803-45de-87f2-3c94a5df2811</t>
  </si>
  <si>
    <t>2026-03-09 11:34:01</t>
  </si>
  <si>
    <t>27769546752</t>
  </si>
  <si>
    <t>13560221</t>
  </si>
  <si>
    <t>70ca5053-1b30-4a1f-a59f-c9f1dfd0595d</t>
  </si>
  <si>
    <t>27766712213</t>
  </si>
  <si>
    <t>13559285</t>
  </si>
  <si>
    <t>f9c97d1c-85be-4b04-bdef-dc52d794b623</t>
  </si>
  <si>
    <t>2026-03-09 11:34:00</t>
  </si>
  <si>
    <t>27825101532</t>
  </si>
  <si>
    <t>13559288</t>
  </si>
  <si>
    <t>c02f4fe5-02ad-4391-9291-ef78fe8d4e39</t>
  </si>
  <si>
    <t>27825121113</t>
  </si>
  <si>
    <t>13559289</t>
  </si>
  <si>
    <t>e80d4006-ae04-4dd2-8714-851ef40c1486</t>
  </si>
  <si>
    <t>27825126474</t>
  </si>
  <si>
    <t>13559293</t>
  </si>
  <si>
    <t>2f1fdc30-f3af-40b4-8e77-76834c22263c</t>
  </si>
  <si>
    <t>27825144009</t>
  </si>
  <si>
    <t>13559294</t>
  </si>
  <si>
    <t>41dc58a9-6cec-4720-9906-f361454806e7</t>
  </si>
  <si>
    <t>27825166518</t>
  </si>
  <si>
    <t>13558196</t>
  </si>
  <si>
    <t>74b19048-f467-4721-8cf3-f9b64eb33e3e</t>
  </si>
  <si>
    <t>2026-03-09 11:33:59</t>
  </si>
  <si>
    <t>27791190568</t>
  </si>
  <si>
    <t>13559275</t>
  </si>
  <si>
    <t>1605b8f7-77fb-4786-a8d2-3881fad72b03</t>
  </si>
  <si>
    <t>27825037737</t>
  </si>
  <si>
    <t>13559283</t>
  </si>
  <si>
    <t>6618ce38-334b-4470-a29a-6bd9a52b7393</t>
  </si>
  <si>
    <t>27825092385</t>
  </si>
  <si>
    <t>13559284</t>
  </si>
  <si>
    <t>222fb348-c5c1-4c06-badd-4cb6860ef8ef</t>
  </si>
  <si>
    <t>27825097890</t>
  </si>
  <si>
    <t>13560859</t>
  </si>
  <si>
    <t>99b11474-0695-4777-a5b8-4cae247d5424</t>
  </si>
  <si>
    <t>27720684163</t>
  </si>
  <si>
    <t>13559466</t>
  </si>
  <si>
    <t>ebf909b9-96dd-4c2c-b912-b01a0e7ea2f5</t>
  </si>
  <si>
    <t>2026-03-09 11:33:58</t>
  </si>
  <si>
    <t>27827237331</t>
  </si>
  <si>
    <t>13559463</t>
  </si>
  <si>
    <t>69768470-b868-4afb-825a-abeb7a85653b</t>
  </si>
  <si>
    <t>27827137784</t>
  </si>
  <si>
    <t>13560191</t>
  </si>
  <si>
    <t>dd79d60f-7bd8-447b-a5e5-f3de14d04a0c</t>
  </si>
  <si>
    <t>27760131439</t>
  </si>
  <si>
    <t>13558227</t>
  </si>
  <si>
    <t>7cbc0055-a4fa-434f-b655-b0a22c0622fb</t>
  </si>
  <si>
    <t>2026-03-09 11:33:57</t>
  </si>
  <si>
    <t>27791563424</t>
  </si>
  <si>
    <t>13560174</t>
  </si>
  <si>
    <t>fa0b3fa2-7d9f-4e8f-b1a2-54bc7f35f17d</t>
  </si>
  <si>
    <t>27725485971</t>
  </si>
  <si>
    <t>13560178</t>
  </si>
  <si>
    <t>25509b9d-6213-4531-bcb3-e9e14b866af6</t>
  </si>
  <si>
    <t>27721160737</t>
  </si>
  <si>
    <t>13555616</t>
  </si>
  <si>
    <t>5e86b3c6-e140-46ec-a2c0-3ec1fe2ed767</t>
  </si>
  <si>
    <t>2026-03-09 11:33:56</t>
  </si>
  <si>
    <t>27712168452</t>
  </si>
  <si>
    <t>13555620</t>
  </si>
  <si>
    <t>5709f445-cff2-4404-8316-261a4cc9c7df</t>
  </si>
  <si>
    <t>27712207040</t>
  </si>
  <si>
    <t>13564585</t>
  </si>
  <si>
    <t>ab12df29-fee1-4016-8689-23ac5638844d</t>
  </si>
  <si>
    <t>2026-03-09 11:33:48</t>
  </si>
  <si>
    <t>27762685996</t>
  </si>
  <si>
    <t>13556015</t>
  </si>
  <si>
    <t>1f6efe20-74a0-4edd-a3d2-2025aa9f1a8e</t>
  </si>
  <si>
    <t>2026-03-09 11:33:39</t>
  </si>
  <si>
    <t>27716511752</t>
  </si>
  <si>
    <t>13559420</t>
  </si>
  <si>
    <t>1ffb09fb-d727-444d-a76e-927970d8f11a</t>
  </si>
  <si>
    <t>2026-03-09 11:33:36</t>
  </si>
  <si>
    <t>27826709579</t>
  </si>
  <si>
    <t>13560224</t>
  </si>
  <si>
    <t>fc1bd578-3171-4dd7-aaff-0328a4510555</t>
  </si>
  <si>
    <t>2026-03-09 11:33:35</t>
  </si>
  <si>
    <t>27606894461</t>
  </si>
  <si>
    <t>13560226</t>
  </si>
  <si>
    <t>8ebebb56-19e0-488e-bf02-a782937decc3</t>
  </si>
  <si>
    <t>27673184659</t>
  </si>
  <si>
    <t>13560232</t>
  </si>
  <si>
    <t>a83c2bc4-b8cd-4de9-8ed4-ab772e84f794</t>
  </si>
  <si>
    <t>27637589641</t>
  </si>
  <si>
    <t>13560249</t>
  </si>
  <si>
    <t>40e3fc99-aa5e-4db2-bd9c-216402135788</t>
  </si>
  <si>
    <t>2026-03-09 11:33:34</t>
  </si>
  <si>
    <t>27712646774</t>
  </si>
  <si>
    <t>13560258</t>
  </si>
  <si>
    <t>0a6a364e-43cf-4bd0-87ce-fe45c8d186d5</t>
  </si>
  <si>
    <t>27766753541</t>
  </si>
  <si>
    <t>13560280</t>
  </si>
  <si>
    <t>a13ac850-5dd1-499a-91e8-2b346a772734</t>
  </si>
  <si>
    <t>27660529886</t>
  </si>
  <si>
    <t>13560290</t>
  </si>
  <si>
    <t>c140363c-7ad8-43a5-8f9f-df117da65db2</t>
  </si>
  <si>
    <t>27724445219</t>
  </si>
  <si>
    <t>13560304</t>
  </si>
  <si>
    <t>15c9198f-d5e9-4c2f-808b-dc2c304c9cb2</t>
  </si>
  <si>
    <t>2026-03-09 11:33:32</t>
  </si>
  <si>
    <t>27716781888</t>
  </si>
  <si>
    <t>13560305</t>
  </si>
  <si>
    <t>591f9024-3635-4038-9645-e0698df272a8</t>
  </si>
  <si>
    <t>27720663853</t>
  </si>
  <si>
    <t>13560309</t>
  </si>
  <si>
    <t>27c241b8-07dd-4f8e-868f-6c6a7f8bec4e</t>
  </si>
  <si>
    <t>27827027943</t>
  </si>
  <si>
    <t>13560315</t>
  </si>
  <si>
    <t>5bc1deaf-16ba-4f81-8cdf-fd61fec4ec7b</t>
  </si>
  <si>
    <t>27799525439</t>
  </si>
  <si>
    <t>13560320</t>
  </si>
  <si>
    <t>ca8cebdd-851b-4666-9c00-32d072caffc6</t>
  </si>
  <si>
    <t>27795396230</t>
  </si>
  <si>
    <t>13560292</t>
  </si>
  <si>
    <t>91f13400-987a-4d06-a06c-ae36d2be3e52</t>
  </si>
  <si>
    <t>27822386794</t>
  </si>
  <si>
    <t>13560299</t>
  </si>
  <si>
    <t>198563c8-cdf7-43d0-880a-2afb9cb620de</t>
  </si>
  <si>
    <t>27716351590</t>
  </si>
  <si>
    <t>13560323</t>
  </si>
  <si>
    <t>3a01d7cd-c301-4ba6-81b2-84de789533fd</t>
  </si>
  <si>
    <t>2026-03-09 11:33:29</t>
  </si>
  <si>
    <t>27766274274</t>
  </si>
  <si>
    <t>13560332</t>
  </si>
  <si>
    <t>dc2ff4f7-dca7-4912-8c92-a99634dedb66</t>
  </si>
  <si>
    <t>27772645746</t>
  </si>
  <si>
    <t>13560406</t>
  </si>
  <si>
    <t>6881aeed-f493-468a-b50f-4f127de4b331</t>
  </si>
  <si>
    <t>2026-03-09 11:33:28</t>
  </si>
  <si>
    <t>27820876672</t>
  </si>
  <si>
    <t>13560333</t>
  </si>
  <si>
    <t>ba6d3136-3a4b-424a-ac54-fdde96bc2340</t>
  </si>
  <si>
    <t>27827627966</t>
  </si>
  <si>
    <t>13560396</t>
  </si>
  <si>
    <t>54c33184-5dea-42f8-8b33-059f29ccb2cf</t>
  </si>
  <si>
    <t>27660304586</t>
  </si>
  <si>
    <t>13560397</t>
  </si>
  <si>
    <t>4c86b80e-e6d8-4aa2-abb9-fc22f90eebbe</t>
  </si>
  <si>
    <t>27714413816</t>
  </si>
  <si>
    <t>13560407</t>
  </si>
  <si>
    <t>4d49f7d9-9589-429f-b073-10db22f61b5f</t>
  </si>
  <si>
    <t>2026-03-09 11:33:27</t>
  </si>
  <si>
    <t>27765011984</t>
  </si>
  <si>
    <t>13564500</t>
  </si>
  <si>
    <t>71cdebad-d92a-43d2-b9d6-a3148607d5ff</t>
  </si>
  <si>
    <t>2026-03-09 11:33:22</t>
  </si>
  <si>
    <t>27791333047</t>
  </si>
  <si>
    <t>13560408</t>
  </si>
  <si>
    <t>381b7ba3-9d2e-499a-9263-650779d15318</t>
  </si>
  <si>
    <t>2026-03-09 11:33:20</t>
  </si>
  <si>
    <t>27606661883</t>
  </si>
  <si>
    <t>13559561</t>
  </si>
  <si>
    <t>029de056-2f7b-4df6-a910-46a8044719b5</t>
  </si>
  <si>
    <t>27828459315</t>
  </si>
  <si>
    <t>13559564</t>
  </si>
  <si>
    <t>15d563c3-a661-4d27-82d1-b992fc332f60</t>
  </si>
  <si>
    <t>27828535808</t>
  </si>
  <si>
    <t>13559567</t>
  </si>
  <si>
    <t>f863c747-ba9a-4de7-a814-861d706af339</t>
  </si>
  <si>
    <t>27828562313</t>
  </si>
  <si>
    <t>13559568</t>
  </si>
  <si>
    <t>0ae93294-c3cd-4f69-88b6-b6ebd0221b1d</t>
  </si>
  <si>
    <t>27828565500</t>
  </si>
  <si>
    <t>13559639</t>
  </si>
  <si>
    <t>0853409d-ee9a-4041-a300-98114f888793</t>
  </si>
  <si>
    <t>27832867218</t>
  </si>
  <si>
    <t>13559627</t>
  </si>
  <si>
    <t>46779850-96ab-40ce-a9c1-46add7c4b43c</t>
  </si>
  <si>
    <t>27829735699</t>
  </si>
  <si>
    <t>13563158</t>
  </si>
  <si>
    <t>76aec4e7-3fb5-4ff6-bc51-1dc21cc6c747</t>
  </si>
  <si>
    <t>27721457604</t>
  </si>
  <si>
    <t>13559570</t>
  </si>
  <si>
    <t>1694a536-db4e-418c-827e-f81ede450575</t>
  </si>
  <si>
    <t>2026-03-09 11:33:19</t>
  </si>
  <si>
    <t>27828600716</t>
  </si>
  <si>
    <t>13559597</t>
  </si>
  <si>
    <t>b55a96f8-6433-4398-ad1b-4d9fccb71f62</t>
  </si>
  <si>
    <t>27829311416</t>
  </si>
  <si>
    <t>13559600</t>
  </si>
  <si>
    <t>8fc27b70-c602-4e09-867a-6cf5f99b412d</t>
  </si>
  <si>
    <t>27829344527</t>
  </si>
  <si>
    <t>13559612</t>
  </si>
  <si>
    <t>2dfd746d-52f4-4479-8599-60b1166ea868</t>
  </si>
  <si>
    <t>27829539632</t>
  </si>
  <si>
    <t>13559645</t>
  </si>
  <si>
    <t>07908ab0-6549-4859-b0ee-1ea6d905e0d8</t>
  </si>
  <si>
    <t>27834242706</t>
  </si>
  <si>
    <t>13559648</t>
  </si>
  <si>
    <t>561db654-cca0-4ddf-b0b3-96776fa35e98</t>
  </si>
  <si>
    <t>27834512400</t>
  </si>
  <si>
    <t>13559651</t>
  </si>
  <si>
    <t>a03611b5-81fc-444d-bc79-2663379e8694</t>
  </si>
  <si>
    <t>27835337882</t>
  </si>
  <si>
    <t>13559663</t>
  </si>
  <si>
    <t>9b7b9c6f-93c6-47aa-b441-6c5d9df55070</t>
  </si>
  <si>
    <t>27837554673</t>
  </si>
  <si>
    <t>13559664</t>
  </si>
  <si>
    <t>ac5b66fb-ea79-44d6-9007-5398fd064c15</t>
  </si>
  <si>
    <t>27837636983</t>
  </si>
  <si>
    <t>13559617</t>
  </si>
  <si>
    <t>e0d9a5a5-5da8-4529-8694-55007e4d5af2</t>
  </si>
  <si>
    <t>2026-03-09 11:33:18</t>
  </si>
  <si>
    <t>27829642124</t>
  </si>
  <si>
    <t>13559622</t>
  </si>
  <si>
    <t>c5c3b839-3035-4d42-9388-05928d0ead4e</t>
  </si>
  <si>
    <t>27829681063</t>
  </si>
  <si>
    <t>13559625</t>
  </si>
  <si>
    <t>7237a55c-a0b1-4cce-a5d3-b387060b8ebe</t>
  </si>
  <si>
    <t>27829719498</t>
  </si>
  <si>
    <t>13559626</t>
  </si>
  <si>
    <t>0638cf65-f0fa-48d8-85c6-3d62f4f9527b</t>
  </si>
  <si>
    <t>27829725732</t>
  </si>
  <si>
    <t>13559666</t>
  </si>
  <si>
    <t>2642143b-08b5-426b-abc7-cdf91f11f81a</t>
  </si>
  <si>
    <t>27838790992</t>
  </si>
  <si>
    <t>13560506</t>
  </si>
  <si>
    <t>ec273436-8786-4f5e-9fdf-350eb8428073</t>
  </si>
  <si>
    <t>27728221525</t>
  </si>
  <si>
    <t>13561149</t>
  </si>
  <si>
    <t>16a61d86-9284-4d64-a6fb-ad9b72860198</t>
  </si>
  <si>
    <t>27727109270</t>
  </si>
  <si>
    <t>13561160</t>
  </si>
  <si>
    <t>3aaf0cb1-f4dd-45c4-abe7-58e549dc61a6</t>
  </si>
  <si>
    <t>2026-03-09 11:33:17</t>
  </si>
  <si>
    <t>27713997082</t>
  </si>
  <si>
    <t>13561168</t>
  </si>
  <si>
    <t>749682b5-3387-4cab-a881-b2a1febf925c</t>
  </si>
  <si>
    <t>27715695695</t>
  </si>
  <si>
    <t>13561172</t>
  </si>
  <si>
    <t>e4468c90-fd61-4081-b300-5ff85fb2460c</t>
  </si>
  <si>
    <t>27715168626</t>
  </si>
  <si>
    <t>13561174</t>
  </si>
  <si>
    <t>153a6a75-fdab-49d4-8800-2e06c1f9fdff</t>
  </si>
  <si>
    <t>27716484505</t>
  </si>
  <si>
    <t>13556657</t>
  </si>
  <si>
    <t>90ae9539-06b1-48c2-bdb1-e701ebdf0351</t>
  </si>
  <si>
    <t>2026-03-09 11:33:16</t>
  </si>
  <si>
    <t>27726118843</t>
  </si>
  <si>
    <t>13561175</t>
  </si>
  <si>
    <t>e0f7e15c-89b2-4446-b2e5-6dc56496ed06</t>
  </si>
  <si>
    <t>27607872049</t>
  </si>
  <si>
    <t>13561179</t>
  </si>
  <si>
    <t>e5802bbc-6c64-4c1b-a34e-e488037fbbe7</t>
  </si>
  <si>
    <t>27661370396</t>
  </si>
  <si>
    <t>13561180</t>
  </si>
  <si>
    <t>4d7bd152-50b1-4839-a84b-3a1905fcf115</t>
  </si>
  <si>
    <t>27722565006</t>
  </si>
  <si>
    <t>13561198</t>
  </si>
  <si>
    <t>f2ef1554-2f47-441b-a576-051ad566d968</t>
  </si>
  <si>
    <t>27722181497</t>
  </si>
  <si>
    <t>13557127</t>
  </si>
  <si>
    <t>580840df-da3d-4874-8ff5-5535c639bc3b</t>
  </si>
  <si>
    <t>2026-03-09 11:32:50</t>
  </si>
  <si>
    <t>27760495095</t>
  </si>
  <si>
    <t>13557130</t>
  </si>
  <si>
    <t>8007492a-3f90-4750-a0d4-2443d363511d</t>
  </si>
  <si>
    <t>27760517678</t>
  </si>
  <si>
    <t>13557135</t>
  </si>
  <si>
    <t>cdb66866-7f84-4711-97de-da2e0f150a9d</t>
  </si>
  <si>
    <t>2026-03-09 11:32:49</t>
  </si>
  <si>
    <t>27760545265</t>
  </si>
  <si>
    <t>13557140</t>
  </si>
  <si>
    <t>066b8a35-3a30-4dec-a54e-cf1f89484885</t>
  </si>
  <si>
    <t>27760582338</t>
  </si>
  <si>
    <t>13556317</t>
  </si>
  <si>
    <t>891d8422-21a3-4740-96e7-230f318dbcfb</t>
  </si>
  <si>
    <t>2026-03-09 11:32:48</t>
  </si>
  <si>
    <t>27722635893</t>
  </si>
  <si>
    <t>13557143</t>
  </si>
  <si>
    <t>2c182e66-8ffa-4c4b-894d-ed7d958a3a14</t>
  </si>
  <si>
    <t>2026-03-09 11:32:47</t>
  </si>
  <si>
    <t>27760589181</t>
  </si>
  <si>
    <t>13557155</t>
  </si>
  <si>
    <t>d9a25693-b651-4a9b-9c9c-00d0b28fefc4</t>
  </si>
  <si>
    <t>27760718624</t>
  </si>
  <si>
    <t>13557998</t>
  </si>
  <si>
    <t>ec2b74be-b1a6-46ee-a1af-7c6523d07fc6</t>
  </si>
  <si>
    <t>27769524493</t>
  </si>
  <si>
    <t>13561208</t>
  </si>
  <si>
    <t>81301aa5-779d-4cd8-9d40-6ceff2907261</t>
  </si>
  <si>
    <t>27664584316</t>
  </si>
  <si>
    <t>13559304</t>
  </si>
  <si>
    <t>b38cc4f2-0d6d-4d17-bf74-21db37dff27b</t>
  </si>
  <si>
    <t>2026-03-09 11:32:44</t>
  </si>
  <si>
    <t>27825349677</t>
  </si>
  <si>
    <t>13560513</t>
  </si>
  <si>
    <t>30c20ded-cfb1-45d4-bec2-8cea191d660a</t>
  </si>
  <si>
    <t>2026-03-09 11:32:27</t>
  </si>
  <si>
    <t>27660943418</t>
  </si>
  <si>
    <t>13560514</t>
  </si>
  <si>
    <t>d7628e77-2989-4c84-b5a2-29174b6d5288</t>
  </si>
  <si>
    <t>27793457869</t>
  </si>
  <si>
    <t>13560517</t>
  </si>
  <si>
    <t>f5b86dc4-1b2a-40f7-8406-b5cf1d5db5dd</t>
  </si>
  <si>
    <t>27763124484</t>
  </si>
  <si>
    <t>13557156</t>
  </si>
  <si>
    <t>6eeb4a85-3a7c-47eb-b7cb-b7312bcc72c8</t>
  </si>
  <si>
    <t>2026-03-09 11:32:26</t>
  </si>
  <si>
    <t>27760719765</t>
  </si>
  <si>
    <t>13557157</t>
  </si>
  <si>
    <t>da94e1d2-fde0-46c0-ab51-be5ed834ed97</t>
  </si>
  <si>
    <t>27760730424</t>
  </si>
  <si>
    <t>13560521</t>
  </si>
  <si>
    <t>5f817c65-54ff-4b00-a686-3f31ea1ba00a</t>
  </si>
  <si>
    <t>27663237404</t>
  </si>
  <si>
    <t>13557161</t>
  </si>
  <si>
    <t>99ec705d-021f-4e7a-b45e-0624477cac12</t>
  </si>
  <si>
    <t>2026-03-09 11:32:25</t>
  </si>
  <si>
    <t>27760768055</t>
  </si>
  <si>
    <t>13557170</t>
  </si>
  <si>
    <t>19fe0a17-e71c-4634-9ebd-d24639a4e143</t>
  </si>
  <si>
    <t>27760923694</t>
  </si>
  <si>
    <t>13558620</t>
  </si>
  <si>
    <t>f573c24b-1d16-4eb9-9b17-a07f965807be</t>
  </si>
  <si>
    <t>27796180669</t>
  </si>
  <si>
    <t>13560523</t>
  </si>
  <si>
    <t>e4f801f5-c4d2-4aaf-995f-bcdc5b17d741</t>
  </si>
  <si>
    <t>27798461769</t>
  </si>
  <si>
    <t>13560525</t>
  </si>
  <si>
    <t>da6d4b7a-d7ee-4168-a414-d8a663e66973</t>
  </si>
  <si>
    <t>27722685514</t>
  </si>
  <si>
    <t>13560528</t>
  </si>
  <si>
    <t>a186efc6-989f-4325-9aae-6078f89e10d4</t>
  </si>
  <si>
    <t>27761067260</t>
  </si>
  <si>
    <t>13557171</t>
  </si>
  <si>
    <t>8cd18ab9-70b3-48f2-9fd6-f60863cba9d1</t>
  </si>
  <si>
    <t>2026-03-09 11:32:24</t>
  </si>
  <si>
    <t>27760929728</t>
  </si>
  <si>
    <t>13557174</t>
  </si>
  <si>
    <t>ec7c6f5c-9728-46f2-8c76-3a87b14e369c</t>
  </si>
  <si>
    <t>27760944695</t>
  </si>
  <si>
    <t>13560529</t>
  </si>
  <si>
    <t>5745922e-7afe-4585-a7a4-5c36b8aa8e63</t>
  </si>
  <si>
    <t>27716565857</t>
  </si>
  <si>
    <t>13557178</t>
  </si>
  <si>
    <t>1219573f-31dc-4eea-adfa-d06b9560d5b8</t>
  </si>
  <si>
    <t>2026-03-09 11:32:23</t>
  </si>
  <si>
    <t>27761002738</t>
  </si>
  <si>
    <t>13561006</t>
  </si>
  <si>
    <t>4702be1a-9dd1-4358-8ebd-7feab35e5564</t>
  </si>
  <si>
    <t>27711232968</t>
  </si>
  <si>
    <t>13561012</t>
  </si>
  <si>
    <t>389e3b5a-1ba6-4b75-aac5-cfb5fac061ff</t>
  </si>
  <si>
    <t>27762049646</t>
  </si>
  <si>
    <t>13561031</t>
  </si>
  <si>
    <t>f6d381e3-bcaa-442c-b002-ac0e090c092f</t>
  </si>
  <si>
    <t>27795716836</t>
  </si>
  <si>
    <t>13561036</t>
  </si>
  <si>
    <t>8a4f7c5f-f7a1-41b7-9ade-0b2c876423dc</t>
  </si>
  <si>
    <t>2026-03-09 11:32:22</t>
  </si>
  <si>
    <t>27823928069</t>
  </si>
  <si>
    <t>13561037</t>
  </si>
  <si>
    <t>76d174a2-31f2-45ab-b007-9c8534aadf43</t>
  </si>
  <si>
    <t>27712984780</t>
  </si>
  <si>
    <t>13561039</t>
  </si>
  <si>
    <t>8641efe2-d8b2-4f9d-bbc7-87087e2ce410</t>
  </si>
  <si>
    <t>2026-03-09 11:32:21</t>
  </si>
  <si>
    <t>27714817043</t>
  </si>
  <si>
    <t>13561045</t>
  </si>
  <si>
    <t>8b83d620-59ad-4fd7-89e8-cc27c9f1cb99</t>
  </si>
  <si>
    <t>27826813752</t>
  </si>
  <si>
    <t>13561047</t>
  </si>
  <si>
    <t>872e77cb-c92a-48f8-a093-c57d0a2d7372</t>
  </si>
  <si>
    <t>27724070720</t>
  </si>
  <si>
    <t>13561051</t>
  </si>
  <si>
    <t>3e00892f-829b-4d2d-ba08-2c8af98a04aa</t>
  </si>
  <si>
    <t>2026-03-09 11:32:20</t>
  </si>
  <si>
    <t>27769877428</t>
  </si>
  <si>
    <t>13557184</t>
  </si>
  <si>
    <t>c60d822a-4208-4bcf-86ee-bd46efda790a</t>
  </si>
  <si>
    <t>2026-03-09 11:32:19</t>
  </si>
  <si>
    <t>27761036951</t>
  </si>
  <si>
    <t>13557671</t>
  </si>
  <si>
    <t>dfc602e9-f33c-476c-8fa0-5562dd6d1e3a</t>
  </si>
  <si>
    <t>27766255840</t>
  </si>
  <si>
    <t>13561059</t>
  </si>
  <si>
    <t>51d1a7c3-2a0d-4a0f-b6f2-ee45bb23c25c</t>
  </si>
  <si>
    <t>27818165043</t>
  </si>
  <si>
    <t>13561095</t>
  </si>
  <si>
    <t>0cf4d878-6c6e-49c6-85c6-36d1326ccd4d</t>
  </si>
  <si>
    <t>27661199174</t>
  </si>
  <si>
    <t>13561053</t>
  </si>
  <si>
    <t>81d28b74-0195-462b-9558-b2062d714a1a</t>
  </si>
  <si>
    <t>27824275358</t>
  </si>
  <si>
    <t>13561056</t>
  </si>
  <si>
    <t>e9e63614-7044-4a18-88dd-3c988036a1d1</t>
  </si>
  <si>
    <t>27673132295</t>
  </si>
  <si>
    <t>13555382</t>
  </si>
  <si>
    <t>5b6352b8-b842-4259-bd1b-c632b771e93e</t>
  </si>
  <si>
    <t>2026-03-09 11:32:12</t>
  </si>
  <si>
    <t>27664305071</t>
  </si>
  <si>
    <t>13558000</t>
  </si>
  <si>
    <t>af6aea93-1955-4572-b724-59d12c210c3f</t>
  </si>
  <si>
    <t>27769540993</t>
  </si>
  <si>
    <t>13561114</t>
  </si>
  <si>
    <t>4187f315-0d17-42f3-9097-5e972c199bff</t>
  </si>
  <si>
    <t>27637994048</t>
  </si>
  <si>
    <t>13561116</t>
  </si>
  <si>
    <t>25cca651-bfd4-48f2-8949-56350d959b63</t>
  </si>
  <si>
    <t>27649571101</t>
  </si>
  <si>
    <t>13561122</t>
  </si>
  <si>
    <t>bf342b25-b40e-41eb-adfa-a690cf643f0c</t>
  </si>
  <si>
    <t>2026-03-09 11:32:11</t>
  </si>
  <si>
    <t>27649629022</t>
  </si>
  <si>
    <t>13561128</t>
  </si>
  <si>
    <t>607eff95-384b-412e-a852-3131a63bdf71</t>
  </si>
  <si>
    <t>27606475222</t>
  </si>
  <si>
    <t>13561144</t>
  </si>
  <si>
    <t>16f64d4f-517e-4f3c-bfc6-7a8eb832cdeb</t>
  </si>
  <si>
    <t>27715967203</t>
  </si>
  <si>
    <t>13558002</t>
  </si>
  <si>
    <t>0d01992e-563c-47b3-917d-adb75ed252cd</t>
  </si>
  <si>
    <t>2026-03-09 11:32:09</t>
  </si>
  <si>
    <t>27769545088</t>
  </si>
  <si>
    <t>13561065</t>
  </si>
  <si>
    <t>d90d6442-5386-4b1d-85f4-8f01760e42f6</t>
  </si>
  <si>
    <t>2026-03-09 11:32:07</t>
  </si>
  <si>
    <t>27728733255</t>
  </si>
  <si>
    <t>13561066</t>
  </si>
  <si>
    <t>bb12a8df-ec1b-4c3a-a3a7-82526e142938</t>
  </si>
  <si>
    <t>27660940846</t>
  </si>
  <si>
    <t>13561073</t>
  </si>
  <si>
    <t>68d5edf1-11f9-434f-b246-845264325a16</t>
  </si>
  <si>
    <t>27664679087</t>
  </si>
  <si>
    <t>13561077</t>
  </si>
  <si>
    <t>9bd9b5dc-bb71-4949-a6fb-9f22ea1202e5</t>
  </si>
  <si>
    <t>2026-03-09 11:32:00</t>
  </si>
  <si>
    <t>27795939696</t>
  </si>
  <si>
    <t>13561078</t>
  </si>
  <si>
    <t>717437c1-121a-44ef-9fcb-e478206fc5d8</t>
  </si>
  <si>
    <t>27818143952</t>
  </si>
  <si>
    <t>13561086</t>
  </si>
  <si>
    <t>4c68d6e0-84b4-4ac1-8c41-d97b2f8d3ecf</t>
  </si>
  <si>
    <t>27608737502</t>
  </si>
  <si>
    <t>13561088</t>
  </si>
  <si>
    <t>2d5d846b-5b66-4003-988f-d1ab20e2b5c3</t>
  </si>
  <si>
    <t>27636628588</t>
  </si>
  <si>
    <t>13561089</t>
  </si>
  <si>
    <t>d7a662f9-0129-4014-a64b-21bb9fe1aa0c</t>
  </si>
  <si>
    <t>27660247853</t>
  </si>
  <si>
    <t>13557685</t>
  </si>
  <si>
    <t>f61c1e32-57fe-4d71-8e02-69c2b3293634</t>
  </si>
  <si>
    <t>2026-03-09 11:31:59</t>
  </si>
  <si>
    <t>27766378990</t>
  </si>
  <si>
    <t>13557978</t>
  </si>
  <si>
    <t>34eed08e-4c95-45ab-9f59-e679268e9cbd</t>
  </si>
  <si>
    <t>27769257551</t>
  </si>
  <si>
    <t>13557982</t>
  </si>
  <si>
    <t>2ddc6bbe-d44b-4b12-b565-45f0148663b1</t>
  </si>
  <si>
    <t>27769329670</t>
  </si>
  <si>
    <t>13561079</t>
  </si>
  <si>
    <t>295f5daf-1569-4dee-b839-c7674a6051d6</t>
  </si>
  <si>
    <t>27794055967</t>
  </si>
  <si>
    <t>13561081</t>
  </si>
  <si>
    <t>5fba7a24-9bdc-4527-b1af-4378aa7e55a4</t>
  </si>
  <si>
    <t>27661946258</t>
  </si>
  <si>
    <t>13561082</t>
  </si>
  <si>
    <t>e1fd7928-fcf4-49df-a54d-2a95051534ce</t>
  </si>
  <si>
    <t>27673303639</t>
  </si>
  <si>
    <t>13561085</t>
  </si>
  <si>
    <t>af6781ab-cc5d-4a7d-96a6-1b6ddde5e818</t>
  </si>
  <si>
    <t>27725284491</t>
  </si>
  <si>
    <t>13561091</t>
  </si>
  <si>
    <t>9f2ccaeb-aeb0-4faa-a114-24c38476a872</t>
  </si>
  <si>
    <t>27665056038</t>
  </si>
  <si>
    <t>13561093</t>
  </si>
  <si>
    <t>592c7465-cb84-4fe5-a8bc-cbd7c75bf495</t>
  </si>
  <si>
    <t>27724125061</t>
  </si>
  <si>
    <t>13561094</t>
  </si>
  <si>
    <t>dcc328c3-e5a7-41df-ad1a-a592e7c189a6</t>
  </si>
  <si>
    <t>27726746657</t>
  </si>
  <si>
    <t>13559306</t>
  </si>
  <si>
    <t>cab387bc-d6a9-4ed5-a602-347b8b86006b</t>
  </si>
  <si>
    <t>2026-03-09 11:31:58</t>
  </si>
  <si>
    <t>27825358629</t>
  </si>
  <si>
    <t>13562816</t>
  </si>
  <si>
    <t>88d35afb-ea9e-4330-af5c-f08c5b5ef9c7</t>
  </si>
  <si>
    <t>2026-03-09 11:31:45</t>
  </si>
  <si>
    <t>27714872857</t>
  </si>
  <si>
    <t>13559467</t>
  </si>
  <si>
    <t>f02c366d-9e67-4ab8-bbb6-ef30bc5f0e35</t>
  </si>
  <si>
    <t>2026-03-09 11:31:29</t>
  </si>
  <si>
    <t>27827244683</t>
  </si>
  <si>
    <t>13559480</t>
  </si>
  <si>
    <t>242affc4-a08a-4e68-aa13-50607783ffc1</t>
  </si>
  <si>
    <t>27827410514</t>
  </si>
  <si>
    <t>13559764</t>
  </si>
  <si>
    <t>ef1e788f-929d-427c-a295-566f8de9ec34</t>
  </si>
  <si>
    <t>27766388725</t>
  </si>
  <si>
    <t>13560531</t>
  </si>
  <si>
    <t>c1a85f7c-657b-44d9-afbb-54e7c048e872</t>
  </si>
  <si>
    <t>27767141342</t>
  </si>
  <si>
    <t>13560540</t>
  </si>
  <si>
    <t>a7580a00-b370-4720-9868-33ff9851a583</t>
  </si>
  <si>
    <t>27727984065</t>
  </si>
  <si>
    <t>13560542</t>
  </si>
  <si>
    <t>558bad8e-7342-483b-871d-81d64cfd3d47</t>
  </si>
  <si>
    <t>27723638290</t>
  </si>
  <si>
    <t>13560543</t>
  </si>
  <si>
    <t>8d04bab7-de55-4073-baa1-a492e67fb984</t>
  </si>
  <si>
    <t>27765158704</t>
  </si>
  <si>
    <t>13560549</t>
  </si>
  <si>
    <t>417fc832-2100-4c6c-9c79-d4531f53d45f</t>
  </si>
  <si>
    <t>27826734264</t>
  </si>
  <si>
    <t>13560552</t>
  </si>
  <si>
    <t>69575a1c-f6d6-4bb0-b3de-8f60991b8245</t>
  </si>
  <si>
    <t>27793525093</t>
  </si>
  <si>
    <t>13560556</t>
  </si>
  <si>
    <t>502dbbfc-ee97-49d5-8f1b-53350d9af6ae</t>
  </si>
  <si>
    <t>2026-03-09 11:31:26</t>
  </si>
  <si>
    <t>27768177648</t>
  </si>
  <si>
    <t>13560557</t>
  </si>
  <si>
    <t>4663685b-6bdf-4963-8fc1-0ea0f9d9ac91</t>
  </si>
  <si>
    <t>27729176395</t>
  </si>
  <si>
    <t>13560559</t>
  </si>
  <si>
    <t>b199beba-414b-4eef-8fcf-c681c1f78be2</t>
  </si>
  <si>
    <t>2026-03-09 11:31:25</t>
  </si>
  <si>
    <t>27722931547</t>
  </si>
  <si>
    <t>13560562</t>
  </si>
  <si>
    <t>36547b0c-9b85-4727-b2fd-ad60627a2388</t>
  </si>
  <si>
    <t>27825924817</t>
  </si>
  <si>
    <t>13560565</t>
  </si>
  <si>
    <t>4fe39299-a306-4b3c-b7cd-a84281c16b52</t>
  </si>
  <si>
    <t>27799692873</t>
  </si>
  <si>
    <t>13559482</t>
  </si>
  <si>
    <t>34170eda-a9f6-446d-912e-b731537dd8f4</t>
  </si>
  <si>
    <t>2026-03-09 11:31:24</t>
  </si>
  <si>
    <t>27827422709</t>
  </si>
  <si>
    <t>13559485</t>
  </si>
  <si>
    <t>216c4a6c-9b39-4630-852e-012f2f5657af</t>
  </si>
  <si>
    <t>27827451612</t>
  </si>
  <si>
    <t>13559488</t>
  </si>
  <si>
    <t>550a52c6-9419-4336-967a-badf3394bd39</t>
  </si>
  <si>
    <t>27827464016</t>
  </si>
  <si>
    <t>13559489</t>
  </si>
  <si>
    <t>f0c85556-c7db-4c46-a602-0dd20c790639</t>
  </si>
  <si>
    <t>27827476386</t>
  </si>
  <si>
    <t>13560574</t>
  </si>
  <si>
    <t>0cc8057b-bc88-4e36-8a3f-b1e4e0d30792</t>
  </si>
  <si>
    <t>27712296324</t>
  </si>
  <si>
    <t>13560576</t>
  </si>
  <si>
    <t>400ff554-a50d-40de-a963-59328c403111</t>
  </si>
  <si>
    <t>2026-03-09 11:31:23</t>
  </si>
  <si>
    <t>27797737914</t>
  </si>
  <si>
    <t>13559491</t>
  </si>
  <si>
    <t>76d0cca1-dc89-46cf-bba6-a185106e7b57</t>
  </si>
  <si>
    <t>2026-03-09 11:31:22</t>
  </si>
  <si>
    <t>27827517078</t>
  </si>
  <si>
    <t>13560578</t>
  </si>
  <si>
    <t>fd129751-7dd4-426b-89dd-2d5e87ce1502</t>
  </si>
  <si>
    <t>27765657647</t>
  </si>
  <si>
    <t>13560613</t>
  </si>
  <si>
    <t>f16a6794-b2e0-4a0d-aaf8-daa234a2a371</t>
  </si>
  <si>
    <t>27716940931</t>
  </si>
  <si>
    <t>13560624</t>
  </si>
  <si>
    <t>78635470-f38b-47c0-8695-54b327e6e3d9</t>
  </si>
  <si>
    <t>27712840939</t>
  </si>
  <si>
    <t>13560648</t>
  </si>
  <si>
    <t>c40f4fcf-5084-4cb3-9517-9b283b308145</t>
  </si>
  <si>
    <t>27721741197</t>
  </si>
  <si>
    <t>13560671</t>
  </si>
  <si>
    <t>a72fe95b-75ca-4993-b77e-f9184bfb2bbe</t>
  </si>
  <si>
    <t>2026-03-09 11:31:20</t>
  </si>
  <si>
    <t>27797940041</t>
  </si>
  <si>
    <t>13559493</t>
  </si>
  <si>
    <t>e9670e34-94fd-45c8-ab01-24d06f3d11e7</t>
  </si>
  <si>
    <t>2026-03-09 11:31:19</t>
  </si>
  <si>
    <t>27827530036</t>
  </si>
  <si>
    <t>13560743</t>
  </si>
  <si>
    <t>85271feb-fcd1-43b6-a6ca-8c40a1ac5481</t>
  </si>
  <si>
    <t>27711541970</t>
  </si>
  <si>
    <t>13560745</t>
  </si>
  <si>
    <t>0fb8bb69-e7fa-42b3-8574-7076fd0f438d</t>
  </si>
  <si>
    <t>2026-03-09 11:31:16</t>
  </si>
  <si>
    <t>27764119629</t>
  </si>
  <si>
    <t>13560127</t>
  </si>
  <si>
    <t>a336960d-9273-480d-ae0b-b19571d89a8b</t>
  </si>
  <si>
    <t>2026-03-09 11:31:08</t>
  </si>
  <si>
    <t>27766941933</t>
  </si>
  <si>
    <t>13560747</t>
  </si>
  <si>
    <t>4f05fdbf-d284-4f11-90a2-8a44ac2d7952</t>
  </si>
  <si>
    <t>27797530388</t>
  </si>
  <si>
    <t>13560748</t>
  </si>
  <si>
    <t>7662050c-2155-4731-bf26-ebb2d918750c</t>
  </si>
  <si>
    <t>27799078331</t>
  </si>
  <si>
    <t>13560751</t>
  </si>
  <si>
    <t>710a1b79-cb87-417c-b35b-db24b1021cdf</t>
  </si>
  <si>
    <t>27721601382</t>
  </si>
  <si>
    <t>13560752</t>
  </si>
  <si>
    <t>0d002675-85e0-4c62-9046-66c920d77fdc</t>
  </si>
  <si>
    <t>27725511794</t>
  </si>
  <si>
    <t>13560862</t>
  </si>
  <si>
    <t>9ca2a3d6-9c4c-4e87-8e03-9fe5e44fc37a</t>
  </si>
  <si>
    <t>27722312146</t>
  </si>
  <si>
    <t>13560972</t>
  </si>
  <si>
    <t>cb370950-6268-4d0b-892b-a44a40019c1c</t>
  </si>
  <si>
    <t>27826431684</t>
  </si>
  <si>
    <t>13560146</t>
  </si>
  <si>
    <t>f80a8361-761a-4235-91db-53f3d371e904</t>
  </si>
  <si>
    <t>2026-03-09 11:31:06</t>
  </si>
  <si>
    <t>27637202164</t>
  </si>
  <si>
    <t>13560980</t>
  </si>
  <si>
    <t>abb74145-ae69-40a9-8667-7cb75fca6855</t>
  </si>
  <si>
    <t>2026-03-09 11:31:05</t>
  </si>
  <si>
    <t>27712353562</t>
  </si>
  <si>
    <t>13560775</t>
  </si>
  <si>
    <t>042ab3d9-72f8-42bb-aafc-e6d9a3d82ea2</t>
  </si>
  <si>
    <t>2026-03-09 11:30:56</t>
  </si>
  <si>
    <t>27796227365</t>
  </si>
  <si>
    <t>13560753</t>
  </si>
  <si>
    <t>259dd437-4236-4cd3-a5bb-6b1e89dbbfef</t>
  </si>
  <si>
    <t>27717594554</t>
  </si>
  <si>
    <t>13560845</t>
  </si>
  <si>
    <t>675d6524-87b1-45ab-9395-e21297fc57af</t>
  </si>
  <si>
    <t>27766762500</t>
  </si>
  <si>
    <t>13560981</t>
  </si>
  <si>
    <t>5c51f2be-6faf-48d5-b404-d78ae9c30ca5</t>
  </si>
  <si>
    <t>27731854992</t>
  </si>
  <si>
    <t>13560984</t>
  </si>
  <si>
    <t>35e2c394-a0a3-4d85-b650-e0673bd4f39c</t>
  </si>
  <si>
    <t>27823247735</t>
  </si>
  <si>
    <t>13560985</t>
  </si>
  <si>
    <t>2531f546-4cb8-4ff0-ad5e-3ef44ac3b46a</t>
  </si>
  <si>
    <t>27609273213</t>
  </si>
  <si>
    <t>13559499</t>
  </si>
  <si>
    <t>41fa47de-401e-425a-b715-761567d66ae1</t>
  </si>
  <si>
    <t>2026-03-09 11:30:53</t>
  </si>
  <si>
    <t>27827600078</t>
  </si>
  <si>
    <t>13560114</t>
  </si>
  <si>
    <t>d8ca6fec-8f85-4e5b-be56-cf137e248484</t>
  </si>
  <si>
    <t>2026-03-09 11:30:52</t>
  </si>
  <si>
    <t>27764889284</t>
  </si>
  <si>
    <t>13560116</t>
  </si>
  <si>
    <t>b1e3c68f-be07-4faf-b7df-44f887e48639</t>
  </si>
  <si>
    <t>27715015128</t>
  </si>
  <si>
    <t>13560126</t>
  </si>
  <si>
    <t>1217b104-552b-4bf0-8850-390e131ae582</t>
  </si>
  <si>
    <t>NOKIDS NOWIFE</t>
  </si>
  <si>
    <t>2026-03-05 06:49:19</t>
  </si>
  <si>
    <t>27763139861</t>
  </si>
  <si>
    <t>13560848</t>
  </si>
  <si>
    <t>5818c2f7-41dd-4c9d-b842-eb092040e96e</t>
  </si>
  <si>
    <t>27790225553</t>
  </si>
  <si>
    <t>13560849</t>
  </si>
  <si>
    <t>68207f3d-13e6-4fd9-b3e5-86710f00a6eb</t>
  </si>
  <si>
    <t>27762454438</t>
  </si>
  <si>
    <t>13560855</t>
  </si>
  <si>
    <t>c35361f8-a707-40a0-9907-f4db40221167</t>
  </si>
  <si>
    <t>2026-03-09 11:30:50</t>
  </si>
  <si>
    <t>27724703845</t>
  </si>
  <si>
    <t>13560857</t>
  </si>
  <si>
    <t>f375e401-30f9-48aa-b226-9581657581cf</t>
  </si>
  <si>
    <t>27665539408</t>
  </si>
  <si>
    <t>13560971</t>
  </si>
  <si>
    <t>62306037-09e3-46be-9a08-634b65b31891</t>
  </si>
  <si>
    <t>27795079499</t>
  </si>
  <si>
    <t>13562588</t>
  </si>
  <si>
    <t>44b6b2d3-3aa4-43d6-995b-d26da31c1fd7</t>
  </si>
  <si>
    <t>2026-03-09 11:30:49</t>
  </si>
  <si>
    <t>27729990543</t>
  </si>
  <si>
    <t>13560718</t>
  </si>
  <si>
    <t>88caeae1-f312-4ea3-8a4b-8ff4d4a2c74a</t>
  </si>
  <si>
    <t>2026-03-09 11:30:48</t>
  </si>
  <si>
    <t>27729867810</t>
  </si>
  <si>
    <t>13562602</t>
  </si>
  <si>
    <t>f5ccba51-21cf-4667-9113-69f102d13258</t>
  </si>
  <si>
    <t>27767628991</t>
  </si>
  <si>
    <t>13562678</t>
  </si>
  <si>
    <t>3a5f12df-fb6b-4597-b1ca-f28691ae1607</t>
  </si>
  <si>
    <t>27774318176</t>
  </si>
  <si>
    <t>13564046</t>
  </si>
  <si>
    <t>3237bb8b-d9e7-41cc-8f85-cc1d72c768aa</t>
  </si>
  <si>
    <t>27715306989</t>
  </si>
  <si>
    <t>13564065</t>
  </si>
  <si>
    <t>ee3812b8-b2c7-4fb6-8ca5-e775848568cb</t>
  </si>
  <si>
    <t>2026-03-09 11:30:47</t>
  </si>
  <si>
    <t>27714127971</t>
  </si>
  <si>
    <t>13561480</t>
  </si>
  <si>
    <t>671bd520-2354-4995-b34f-37287889129f</t>
  </si>
  <si>
    <t>2026-03-09 11:30:18</t>
  </si>
  <si>
    <t>27763940101</t>
  </si>
  <si>
    <t>13561139</t>
  </si>
  <si>
    <t>3248a29a-70ee-4196-98ea-ee45c730c15a</t>
  </si>
  <si>
    <t>2026-03-09 11:30:17</t>
  </si>
  <si>
    <t>27648216422</t>
  </si>
  <si>
    <t>13559676</t>
  </si>
  <si>
    <t>b4aae759-8ce0-411f-ad16-127ed352009a</t>
  </si>
  <si>
    <t>2026-03-09 11:30:10</t>
  </si>
  <si>
    <t>27840926483</t>
  </si>
  <si>
    <t>13561483</t>
  </si>
  <si>
    <t>39f57ce6-cfd1-4bb6-9e98-da3d24445320</t>
  </si>
  <si>
    <t>27607938846</t>
  </si>
  <si>
    <t>13561484</t>
  </si>
  <si>
    <t>02789c38-b05b-4208-9204-485c30eb4d90</t>
  </si>
  <si>
    <t>27663466390</t>
  </si>
  <si>
    <t>13557287</t>
  </si>
  <si>
    <t>ade87f28-478c-4fc5-9159-a5685331f0fe</t>
  </si>
  <si>
    <t>2026-03-09 11:30:07</t>
  </si>
  <si>
    <t>27762095575</t>
  </si>
  <si>
    <t>13560334</t>
  </si>
  <si>
    <t>57035bb7-a068-406f-b626-4d644c9fef94</t>
  </si>
  <si>
    <t>2026-03-09 11:30:06</t>
  </si>
  <si>
    <t>27818800563</t>
  </si>
  <si>
    <t>13560336</t>
  </si>
  <si>
    <t>544e9cda-c002-4387-af07-84b55593d3b8</t>
  </si>
  <si>
    <t>27760894545</t>
  </si>
  <si>
    <t>13559680</t>
  </si>
  <si>
    <t>5fe54fe3-96af-4122-a511-aa45be517dab</t>
  </si>
  <si>
    <t>27845041515</t>
  </si>
  <si>
    <t>13559682</t>
  </si>
  <si>
    <t>d61f2e6a-7011-4115-b0ee-f61196971f89</t>
  </si>
  <si>
    <t>27846214998</t>
  </si>
  <si>
    <t>13561485</t>
  </si>
  <si>
    <t>849ff0dc-fa59-4889-9641-89e9f1806f5d</t>
  </si>
  <si>
    <t>27797859017</t>
  </si>
  <si>
    <t>13561486</t>
  </si>
  <si>
    <t>032a52e5-5a3c-4609-8e0b-cf8e13102332</t>
  </si>
  <si>
    <t>27799392163</t>
  </si>
  <si>
    <t>13561492</t>
  </si>
  <si>
    <t>239c6fad-7a65-4a38-a07a-99fac2ec36f9</t>
  </si>
  <si>
    <t>27762453115</t>
  </si>
  <si>
    <t>13561493</t>
  </si>
  <si>
    <t>5b80600f-08bb-4a28-be6d-f06851b9f9bb</t>
  </si>
  <si>
    <t>27649858090</t>
  </si>
  <si>
    <t>13561498</t>
  </si>
  <si>
    <t>fb068de6-79cf-4bc3-addd-fff110b27bb6</t>
  </si>
  <si>
    <t>27794221395</t>
  </si>
  <si>
    <t>13562143</t>
  </si>
  <si>
    <t>315e4a19-02f5-4e00-aed7-f2bffab13362</t>
  </si>
  <si>
    <t>27760114719</t>
  </si>
  <si>
    <t>13555999</t>
  </si>
  <si>
    <t>97241ceb-5816-413a-925f-2f91e853471f</t>
  </si>
  <si>
    <t>2026-03-09 11:30:05</t>
  </si>
  <si>
    <t>27716265310</t>
  </si>
  <si>
    <t>13556006</t>
  </si>
  <si>
    <t>2f8d0e32-245b-4dd6-bad5-4a7a57395dbc</t>
  </si>
  <si>
    <t>27716410181</t>
  </si>
  <si>
    <t>13560343</t>
  </si>
  <si>
    <t>fdfb35ea-24d0-476c-9f97-ef30138e415e</t>
  </si>
  <si>
    <t>27799692184</t>
  </si>
  <si>
    <t>13560352</t>
  </si>
  <si>
    <t>1683b96e-51b9-4a23-afde-e02007c73235</t>
  </si>
  <si>
    <t>27768662590</t>
  </si>
  <si>
    <t>13559739</t>
  </si>
  <si>
    <t>88204a47-6902-496c-aeb9-d65808237518</t>
  </si>
  <si>
    <t>27716647122</t>
  </si>
  <si>
    <t>13559740</t>
  </si>
  <si>
    <t>47593b8b-baf1-466b-b480-dd18258718e8</t>
  </si>
  <si>
    <t>27728943906</t>
  </si>
  <si>
    <t>13559741</t>
  </si>
  <si>
    <t>d9fc9072-aba1-4825-adab-00b247b52d19</t>
  </si>
  <si>
    <t>27767767346</t>
  </si>
  <si>
    <t>13559746</t>
  </si>
  <si>
    <t>5f13062f-7c32-47bc-a465-5d815b64df8b</t>
  </si>
  <si>
    <t>27826709329</t>
  </si>
  <si>
    <t>13559683</t>
  </si>
  <si>
    <t>bb0c08d3-5f00-42d5-aef8-428f01633bfc</t>
  </si>
  <si>
    <t>27847259011</t>
  </si>
  <si>
    <t>13555967</t>
  </si>
  <si>
    <t>f2a6c560-2676-411b-b891-fe33667f86e3</t>
  </si>
  <si>
    <t>2026-03-09 11:30:04</t>
  </si>
  <si>
    <t>27715871963</t>
  </si>
  <si>
    <t>13555973</t>
  </si>
  <si>
    <t>2968bd5f-ae96-40b2-b333-bc67c50c1d84</t>
  </si>
  <si>
    <t>27715901287</t>
  </si>
  <si>
    <t>13555981</t>
  </si>
  <si>
    <t>ce9452e9-dc7e-46ea-b9ff-cdab65fead74</t>
  </si>
  <si>
    <t>27715945758</t>
  </si>
  <si>
    <t>13555986</t>
  </si>
  <si>
    <t>f7897ece-a9f6-46e0-ab13-d43cf1c6fac1</t>
  </si>
  <si>
    <t>27716067600</t>
  </si>
  <si>
    <t>13555990</t>
  </si>
  <si>
    <t>cd99c07c-113d-48cf-b2a1-02edc991f768</t>
  </si>
  <si>
    <t>27716166293</t>
  </si>
  <si>
    <t>13559747</t>
  </si>
  <si>
    <t>f15110cf-3666-4024-aa11-ae86e0f10386</t>
  </si>
  <si>
    <t>27763472638</t>
  </si>
  <si>
    <t>13559748</t>
  </si>
  <si>
    <t>21cb5919-db15-479c-a135-ff81c64a609a</t>
  </si>
  <si>
    <t>27798216104</t>
  </si>
  <si>
    <t>13555949</t>
  </si>
  <si>
    <t>b6134730-eba6-46dd-a8af-883b5093a17a</t>
  </si>
  <si>
    <t>2026-03-09 11:30:03</t>
  </si>
  <si>
    <t>27715731448</t>
  </si>
  <si>
    <t>13555972</t>
  </si>
  <si>
    <t>e1e43a1a-1d7d-41f6-8e51-e58dc5ef7e19</t>
  </si>
  <si>
    <t>27715895040</t>
  </si>
  <si>
    <t>13555941</t>
  </si>
  <si>
    <t>754c2452-cb66-44a8-89b5-519dd9c048d4</t>
  </si>
  <si>
    <t>27715670775</t>
  </si>
  <si>
    <t>13559752</t>
  </si>
  <si>
    <t>f27d38ac-3925-4801-8ae0-559353124c2f</t>
  </si>
  <si>
    <t>27790645312</t>
  </si>
  <si>
    <t>13555934</t>
  </si>
  <si>
    <t>e71d5ae6-4ce2-409b-84f5-68f4c514d43e</t>
  </si>
  <si>
    <t>2026-03-09 11:30:02</t>
  </si>
  <si>
    <t>27715608266</t>
  </si>
  <si>
    <t>13555936</t>
  </si>
  <si>
    <t>09d612ea-5dc6-43ce-9fa0-24ff239f402c</t>
  </si>
  <si>
    <t>27715614672</t>
  </si>
  <si>
    <t>13560354</t>
  </si>
  <si>
    <t>6107eb38-d199-4eb1-9997-19b4a3a63fdb</t>
  </si>
  <si>
    <t>27820935540</t>
  </si>
  <si>
    <t>13560388</t>
  </si>
  <si>
    <t>1d141d01-890f-4b52-97fd-c707f69c704a</t>
  </si>
  <si>
    <t>27721113159</t>
  </si>
  <si>
    <t>13559891</t>
  </si>
  <si>
    <t>f4b1c4bd-7314-4dfb-b406-f01be31cd450</t>
  </si>
  <si>
    <t>2026-03-09 11:29:59</t>
  </si>
  <si>
    <t>27609516968</t>
  </si>
  <si>
    <t>13559906</t>
  </si>
  <si>
    <t>b76af35c-3571-4f05-aa40-ca71a3a9e6e3</t>
  </si>
  <si>
    <t>2026-03-09 11:29:58</t>
  </si>
  <si>
    <t>27721027455</t>
  </si>
  <si>
    <t>13559910</t>
  </si>
  <si>
    <t>a03aa15d-a8fc-45c9-b2a6-48df0f53c635</t>
  </si>
  <si>
    <t>2026-03-09 11:29:57</t>
  </si>
  <si>
    <t>27794549399</t>
  </si>
  <si>
    <t>13559912</t>
  </si>
  <si>
    <t>469935f9-1e33-4b0c-aa1c-71b96f72b326</t>
  </si>
  <si>
    <t>27608481792</t>
  </si>
  <si>
    <t>13560501</t>
  </si>
  <si>
    <t>a490a29e-189f-47ab-9cf8-c7fe65c5ba18</t>
  </si>
  <si>
    <t>27716300902</t>
  </si>
  <si>
    <t>13560502</t>
  </si>
  <si>
    <t>87281760-bf98-4876-8da0-119c154c97f3</t>
  </si>
  <si>
    <t>27797263385</t>
  </si>
  <si>
    <t>13560505</t>
  </si>
  <si>
    <t>3817c885-b6a1-46d7-ba12-ea0726b0088c</t>
  </si>
  <si>
    <t>27648687057</t>
  </si>
  <si>
    <t>13559885</t>
  </si>
  <si>
    <t>045420c7-9acd-4c6c-914d-f849e28d2f1c</t>
  </si>
  <si>
    <t>2026-03-09 11:29:54</t>
  </si>
  <si>
    <t>27607351277</t>
  </si>
  <si>
    <t>13555921</t>
  </si>
  <si>
    <t>f979dd05-f152-47bb-adc6-76d78c70edcc</t>
  </si>
  <si>
    <t>2026-03-09 11:29:53</t>
  </si>
  <si>
    <t>27715518563</t>
  </si>
  <si>
    <t>13555922</t>
  </si>
  <si>
    <t>68436662-7788-4918-b35f-c2df07116b40</t>
  </si>
  <si>
    <t>27715519526</t>
  </si>
  <si>
    <t>13555898</t>
  </si>
  <si>
    <t>d16197c7-58e6-44a7-8da6-5988a39cf9a5</t>
  </si>
  <si>
    <t>2026-03-09 11:29:51</t>
  </si>
  <si>
    <t>27715338859</t>
  </si>
  <si>
    <t>13555901</t>
  </si>
  <si>
    <t>32ae3023-346d-403b-aa38-83cc75f63361</t>
  </si>
  <si>
    <t>27715347099</t>
  </si>
  <si>
    <t>13555911</t>
  </si>
  <si>
    <t>82d66d7b-81d8-4c10-b26c-79fbfced15a3</t>
  </si>
  <si>
    <t>27715438777</t>
  </si>
  <si>
    <t>13560355</t>
  </si>
  <si>
    <t>41655603-0092-41b7-af01-e755f186add4</t>
  </si>
  <si>
    <t>27827162760</t>
  </si>
  <si>
    <t>13559756</t>
  </si>
  <si>
    <t>251b3881-b547-43d9-9799-17d4ea441d0e</t>
  </si>
  <si>
    <t>27711135805</t>
  </si>
  <si>
    <t>13555882</t>
  </si>
  <si>
    <t>dc8a4559-772b-438b-a739-d7853a537019</t>
  </si>
  <si>
    <t>2026-03-09 11:29:50</t>
  </si>
  <si>
    <t>27715167568</t>
  </si>
  <si>
    <t>13560356</t>
  </si>
  <si>
    <t>49877e66-a074-4ada-ad71-003a4057b377</t>
  </si>
  <si>
    <t>27762585364</t>
  </si>
  <si>
    <t>13559759</t>
  </si>
  <si>
    <t>1e0bb4a0-c774-4f64-b2b0-ca0d488b11ad</t>
  </si>
  <si>
    <t>27769737450</t>
  </si>
  <si>
    <t>13559761</t>
  </si>
  <si>
    <t>d8476ff3-0786-4cfb-94e8-b3beb3d25b9c</t>
  </si>
  <si>
    <t>27648057376</t>
  </si>
  <si>
    <t>13559769</t>
  </si>
  <si>
    <t>20788292-7db1-47ac-bcfb-7df0d372361c</t>
  </si>
  <si>
    <t>27606463190</t>
  </si>
  <si>
    <t>13559770</t>
  </si>
  <si>
    <t>51c3ac88-99d1-4acb-9e78-cafbbf972cba</t>
  </si>
  <si>
    <t>27794131908</t>
  </si>
  <si>
    <t>13560363</t>
  </si>
  <si>
    <t>168a045a-18ef-4ebd-939e-e62fbbba5692</t>
  </si>
  <si>
    <t>2026-03-09 11:29:49</t>
  </si>
  <si>
    <t>27723801472</t>
  </si>
  <si>
    <t>13560366</t>
  </si>
  <si>
    <t>1acddb63-ed2a-4b8d-9b27-5636501c7322</t>
  </si>
  <si>
    <t>27797007440</t>
  </si>
  <si>
    <t>13560370</t>
  </si>
  <si>
    <t>e168b3ef-6395-4e97-8066-3ac6e2fb3712</t>
  </si>
  <si>
    <t>27824962952</t>
  </si>
  <si>
    <t>13559771</t>
  </si>
  <si>
    <t>fda0a008-2d7b-4b06-b2bf-0e38cd002769</t>
  </si>
  <si>
    <t>27798136553</t>
  </si>
  <si>
    <t>13559781</t>
  </si>
  <si>
    <t>aa10b9dc-4bc6-4396-a5eb-4e608e70fabb</t>
  </si>
  <si>
    <t>27762749154</t>
  </si>
  <si>
    <t>13559783</t>
  </si>
  <si>
    <t>dd38b556-0a87-4ac2-a372-cdee883b52ca</t>
  </si>
  <si>
    <t>27763833826</t>
  </si>
  <si>
    <t>13560373</t>
  </si>
  <si>
    <t>1395b2dc-d7e2-4984-a4d6-426a49860da3</t>
  </si>
  <si>
    <t>2026-03-09 11:29:48</t>
  </si>
  <si>
    <t>27715480857</t>
  </si>
  <si>
    <t>13559832</t>
  </si>
  <si>
    <t>a1622ea4-e078-40ea-98c8-6897bc348eca</t>
  </si>
  <si>
    <t>27794687073</t>
  </si>
  <si>
    <t>13559834</t>
  </si>
  <si>
    <t>56a341e7-1e13-4272-aaae-894253894c80</t>
  </si>
  <si>
    <t>27795034321</t>
  </si>
  <si>
    <t>13559773</t>
  </si>
  <si>
    <t>998415e9-4c07-4668-bbd5-0852bdd730f0</t>
  </si>
  <si>
    <t>27762399787</t>
  </si>
  <si>
    <t>13559825</t>
  </si>
  <si>
    <t>909747ff-c07b-44fd-9684-c1d71c27be2f</t>
  </si>
  <si>
    <t>27647214411</t>
  </si>
  <si>
    <t>13559828</t>
  </si>
  <si>
    <t>8dc3763b-f2b7-4d4e-9481-5e0667e9396e</t>
  </si>
  <si>
    <t>27791487514</t>
  </si>
  <si>
    <t>13557089</t>
  </si>
  <si>
    <t>f809e4db-959b-4f9e-b833-3fbdf36ffe0c</t>
  </si>
  <si>
    <t>2026-03-09 11:29:47</t>
  </si>
  <si>
    <t>27740476215</t>
  </si>
  <si>
    <t>13559838</t>
  </si>
  <si>
    <t>575b534e-75f5-4652-8c89-efb02e86c022</t>
  </si>
  <si>
    <t>27727118204</t>
  </si>
  <si>
    <t>13556961</t>
  </si>
  <si>
    <t>64c5025f-0260-48c6-9f74-d88338aa6b11</t>
  </si>
  <si>
    <t>2026-03-09 11:29:30</t>
  </si>
  <si>
    <t>27729031837</t>
  </si>
  <si>
    <t>13560389</t>
  </si>
  <si>
    <t>1f71812a-8674-4b51-a2eb-fdbf1f397b89</t>
  </si>
  <si>
    <t>2026-03-09 11:29:26</t>
  </si>
  <si>
    <t>27797513472</t>
  </si>
  <si>
    <t>13559876</t>
  </si>
  <si>
    <t>288f8c96-70aa-4ae3-b96b-3a1d72882b7c</t>
  </si>
  <si>
    <t>2026-03-09 11:29:23</t>
  </si>
  <si>
    <t>27762093781</t>
  </si>
  <si>
    <t>13559879</t>
  </si>
  <si>
    <t>e74f5455-ccad-4ba8-ab47-c3bcd5425cb7</t>
  </si>
  <si>
    <t>2026-03-09 11:29:22</t>
  </si>
  <si>
    <t>27818549983</t>
  </si>
  <si>
    <t>13559881</t>
  </si>
  <si>
    <t>cfee71ca-2647-46a4-b7d4-ba20ac139914</t>
  </si>
  <si>
    <t>27822864479</t>
  </si>
  <si>
    <t>13559888</t>
  </si>
  <si>
    <t>0f9198b5-e92f-4efc-b618-404981256233</t>
  </si>
  <si>
    <t>27795414178</t>
  </si>
  <si>
    <t>13555494</t>
  </si>
  <si>
    <t>0f863335-73bc-4d69-8b20-95cb442ce337</t>
  </si>
  <si>
    <t>2026-03-09 11:29:05</t>
  </si>
  <si>
    <t>27674740791</t>
  </si>
  <si>
    <t>13560123</t>
  </si>
  <si>
    <t>716ab13d-e421-48cb-b495-5db6bc93f7b9</t>
  </si>
  <si>
    <t>2026-03-09 11:29:04</t>
  </si>
  <si>
    <t>Ngako Mojela</t>
  </si>
  <si>
    <t>27793898110</t>
  </si>
  <si>
    <t>13562554</t>
  </si>
  <si>
    <t>8643db99-1aa1-4609-acdd-f2089fe9d287</t>
  </si>
  <si>
    <t>2026-03-09 11:28:34</t>
  </si>
  <si>
    <t>27720204951</t>
  </si>
  <si>
    <t>13560580</t>
  </si>
  <si>
    <t>a4031a85-cdf7-49cf-be3a-c3b03fe97339</t>
  </si>
  <si>
    <t>2026-03-09 11:28:32</t>
  </si>
  <si>
    <t>27722230448</t>
  </si>
  <si>
    <t>13564655</t>
  </si>
  <si>
    <t>858f7e54-9488-4130-8769-95904d60c496</t>
  </si>
  <si>
    <t>27774358839</t>
  </si>
  <si>
    <t>13555669</t>
  </si>
  <si>
    <t>b1d0fd81-2dd5-4804-bfd0-255930628532</t>
  </si>
  <si>
    <t>2026-03-09 11:28:31</t>
  </si>
  <si>
    <t>27712735579</t>
  </si>
  <si>
    <t>13556110</t>
  </si>
  <si>
    <t>c6b0061a-c2e0-4366-86d4-a5854c7eb998</t>
  </si>
  <si>
    <t>2026-03-09 11:28:25</t>
  </si>
  <si>
    <t>27720794094</t>
  </si>
  <si>
    <t>13556647</t>
  </si>
  <si>
    <t>aafe37ca-209f-4a77-8e2b-638a4152d6ac</t>
  </si>
  <si>
    <t>27725945101</t>
  </si>
  <si>
    <t>13556648</t>
  </si>
  <si>
    <t>486963e7-e92f-4a3b-9659-adb5bc944ab9</t>
  </si>
  <si>
    <t>27725959047</t>
  </si>
  <si>
    <t>13556649</t>
  </si>
  <si>
    <t>3dd9f3ec-f758-4d6c-bd18-5c4a0f1c0f60</t>
  </si>
  <si>
    <t>27725966781</t>
  </si>
  <si>
    <t>13556637</t>
  </si>
  <si>
    <t>50f1dcaf-21e5-492a-98ad-ed0acbf57617</t>
  </si>
  <si>
    <t>27725771812</t>
  </si>
  <si>
    <t>13559793</t>
  </si>
  <si>
    <t>621e6dc1-65c7-4f0c-b352-7f6f8432e563</t>
  </si>
  <si>
    <t>27793138895</t>
  </si>
  <si>
    <t>13562158</t>
  </si>
  <si>
    <t>6e4fddb0-4a0d-45d5-92ed-37c9ac841d36</t>
  </si>
  <si>
    <t>27647037659</t>
  </si>
  <si>
    <t>13556631</t>
  </si>
  <si>
    <t>eabaa54d-5171-4b31-9fbb-d027471701fd</t>
  </si>
  <si>
    <t>2026-03-09 11:28:24</t>
  </si>
  <si>
    <t>27725674154</t>
  </si>
  <si>
    <t>13556633</t>
  </si>
  <si>
    <t>83427e2d-7f8c-4573-8875-67636e7b6941</t>
  </si>
  <si>
    <t>27725698293</t>
  </si>
  <si>
    <t>13556634</t>
  </si>
  <si>
    <t>7f330dee-f78f-4eae-b55e-5d7fed34c28c</t>
  </si>
  <si>
    <t>27725748030</t>
  </si>
  <si>
    <t>13559583</t>
  </si>
  <si>
    <t>632405f0-54e2-42a0-8d7d-cae786e2779b</t>
  </si>
  <si>
    <t>27828863332</t>
  </si>
  <si>
    <t>13559592</t>
  </si>
  <si>
    <t>114c1387-4f4c-4d9b-a9ee-0311d8f87332</t>
  </si>
  <si>
    <t>27829269016</t>
  </si>
  <si>
    <t>13559796</t>
  </si>
  <si>
    <t>f3cc558f-99fe-4091-8341-9119d9ae353f</t>
  </si>
  <si>
    <t>27636662456</t>
  </si>
  <si>
    <t>13559803</t>
  </si>
  <si>
    <t>eebee423-cc26-46be-864f-ff065871e6db</t>
  </si>
  <si>
    <t>27768802829</t>
  </si>
  <si>
    <t>13559821</t>
  </si>
  <si>
    <t>11ee8785-2123-4c63-8f4b-d827f556fc48</t>
  </si>
  <si>
    <t>27826295262</t>
  </si>
  <si>
    <t>13564575</t>
  </si>
  <si>
    <t>c0ee7351-8cf9-4369-87ba-27a4cc011aef</t>
  </si>
  <si>
    <t>27722635237</t>
  </si>
  <si>
    <t>13556612</t>
  </si>
  <si>
    <t>8eeb618d-f143-478a-9ced-720a0ff0b295</t>
  </si>
  <si>
    <t>2026-03-09 11:28:23</t>
  </si>
  <si>
    <t>27725547629</t>
  </si>
  <si>
    <t>13556622</t>
  </si>
  <si>
    <t>b4b6d4bd-eeb4-4787-9412-b7cbe2a99d06</t>
  </si>
  <si>
    <t>27725603948</t>
  </si>
  <si>
    <t>13556630</t>
  </si>
  <si>
    <t>44b08f1f-a625-41e6-afbf-9f52cbff434a</t>
  </si>
  <si>
    <t>27725667494</t>
  </si>
  <si>
    <t>13559791</t>
  </si>
  <si>
    <t>7d182b9f-b3b8-4006-accf-11d55a756a88</t>
  </si>
  <si>
    <t>27673928549</t>
  </si>
  <si>
    <t>13563847</t>
  </si>
  <si>
    <t>2ddf6646-69a0-4be3-802a-90c32b73d8d6</t>
  </si>
  <si>
    <t>27675511416</t>
  </si>
  <si>
    <t>13556593</t>
  </si>
  <si>
    <t>8ef72d58-d429-4fe4-9057-46444f440173</t>
  </si>
  <si>
    <t>2026-03-09 11:28:21</t>
  </si>
  <si>
    <t>27725366525</t>
  </si>
  <si>
    <t>13556596</t>
  </si>
  <si>
    <t>e2467e15-390a-410f-9903-1e287d5be97f</t>
  </si>
  <si>
    <t>27725390362</t>
  </si>
  <si>
    <t>13556600</t>
  </si>
  <si>
    <t>22640d96-0cfa-4a97-94f1-00d029875b9c</t>
  </si>
  <si>
    <t>27725422437</t>
  </si>
  <si>
    <t>13556606</t>
  </si>
  <si>
    <t>12971e8a-da44-40e2-834f-f0d8f9164707</t>
  </si>
  <si>
    <t>27725515713</t>
  </si>
  <si>
    <t>13556607</t>
  </si>
  <si>
    <t>f4b1873f-2cb1-4cba-97cb-d924f81ce7ae</t>
  </si>
  <si>
    <t>27725518438</t>
  </si>
  <si>
    <t>13556167</t>
  </si>
  <si>
    <t>e7e6e543-f0f7-4d5e-bd51-e16df535aa92</t>
  </si>
  <si>
    <t>2026-03-09 11:28:20</t>
  </si>
  <si>
    <t>27721231914</t>
  </si>
  <si>
    <t>13556168</t>
  </si>
  <si>
    <t>62db63cb-46ba-41ac-b3f9-be7ef8379ac7</t>
  </si>
  <si>
    <t>27721233995</t>
  </si>
  <si>
    <t>13556171</t>
  </si>
  <si>
    <t>142af700-a035-432f-b4a6-c7a48ec45153</t>
  </si>
  <si>
    <t>27721282627</t>
  </si>
  <si>
    <t>13556176</t>
  </si>
  <si>
    <t>4ca6d3c7-b0dd-44b5-8723-c262c16ca5d1</t>
  </si>
  <si>
    <t>27721346363</t>
  </si>
  <si>
    <t>13556586</t>
  </si>
  <si>
    <t>d45f2c36-dc70-4742-b82e-cf0b34f5c9bd</t>
  </si>
  <si>
    <t>27725283165</t>
  </si>
  <si>
    <t>13556587</t>
  </si>
  <si>
    <t>40d25abc-a4cf-4e6c-842c-6cc9ad7bf4f8</t>
  </si>
  <si>
    <t>27725310321</t>
  </si>
  <si>
    <t>13556589</t>
  </si>
  <si>
    <t>d74c9469-a189-4b8a-b4f7-eedb795ae334</t>
  </si>
  <si>
    <t>27725344063</t>
  </si>
  <si>
    <t>13559571</t>
  </si>
  <si>
    <t>dd6d359a-cecb-49aa-8a4a-6c161516c467</t>
  </si>
  <si>
    <t>27828620069</t>
  </si>
  <si>
    <t>13562533</t>
  </si>
  <si>
    <t>3f814b23-39dc-4b03-92d3-bb4bc8c08db5</t>
  </si>
  <si>
    <t>27608634313</t>
  </si>
  <si>
    <t>13562639</t>
  </si>
  <si>
    <t>4dfde1da-c945-4ee1-a549-3e93670e8e6b</t>
  </si>
  <si>
    <t>27712766555</t>
  </si>
  <si>
    <t>13556151</t>
  </si>
  <si>
    <t>a9ce1d4f-7fce-4e31-8bb1-e618c98889cc</t>
  </si>
  <si>
    <t>2026-03-09 11:28:19</t>
  </si>
  <si>
    <t>27721093233</t>
  </si>
  <si>
    <t>13556153</t>
  </si>
  <si>
    <t>41f904bc-7887-4cfc-bb48-21902696784c</t>
  </si>
  <si>
    <t>27721115263</t>
  </si>
  <si>
    <t>13556159</t>
  </si>
  <si>
    <t>55c3a24a-3714-4bdf-8c5f-75319125efb2</t>
  </si>
  <si>
    <t>27721146493</t>
  </si>
  <si>
    <t>13556162</t>
  </si>
  <si>
    <t>1f6e75eb-1178-42ba-8b7c-b5e9f88a71ba</t>
  </si>
  <si>
    <t>27721177155</t>
  </si>
  <si>
    <t>13559792</t>
  </si>
  <si>
    <t>6f1fb8c8-c5d1-4ff9-875c-b134e8323755</t>
  </si>
  <si>
    <t>27721990979</t>
  </si>
  <si>
    <t>13556148</t>
  </si>
  <si>
    <t>b56f588a-6171-4d5f-a198-8349ee78c225</t>
  </si>
  <si>
    <t>2026-03-09 11:28:18</t>
  </si>
  <si>
    <t>27721076929</t>
  </si>
  <si>
    <t>13556149</t>
  </si>
  <si>
    <t>45fde262-4e33-4876-a489-e41daba3195e</t>
  </si>
  <si>
    <t>27721089770</t>
  </si>
  <si>
    <t>13556141</t>
  </si>
  <si>
    <t>2e8d2f71-4c40-46a9-a3ad-8e81dcf32a62</t>
  </si>
  <si>
    <t>27721025765</t>
  </si>
  <si>
    <t>13562992</t>
  </si>
  <si>
    <t>cc1c6e9d-030a-4ee7-be1d-71f105c1ee78</t>
  </si>
  <si>
    <t>27761411419</t>
  </si>
  <si>
    <t>13556140</t>
  </si>
  <si>
    <t>7412a281-2a4d-456b-8171-8f56996c130e</t>
  </si>
  <si>
    <t>2026-03-09 11:28:04</t>
  </si>
  <si>
    <t>27721025348</t>
  </si>
  <si>
    <t>13559577</t>
  </si>
  <si>
    <t>13ee276c-25db-49c9-a3d5-c3fd7da1be62</t>
  </si>
  <si>
    <t>2026-03-09 11:28:02</t>
  </si>
  <si>
    <t>27828662074</t>
  </si>
  <si>
    <t>13563076</t>
  </si>
  <si>
    <t>c63594bc-1c31-4e51-9d1f-df14003dad4d</t>
  </si>
  <si>
    <t>2026-03-09 11:27:59</t>
  </si>
  <si>
    <t>27660520800</t>
  </si>
  <si>
    <t>13563310</t>
  </si>
  <si>
    <t>b246e081-8cd8-4cb4-9c18-983a76d31e7f</t>
  </si>
  <si>
    <t>2026-03-09 11:27:57</t>
  </si>
  <si>
    <t>27760935264</t>
  </si>
  <si>
    <t>13556119</t>
  </si>
  <si>
    <t>a97ccbd1-5bc1-45b6-9873-fbe30e3aaaf0</t>
  </si>
  <si>
    <t>2026-03-09 11:27:56</t>
  </si>
  <si>
    <t>27720850189</t>
  </si>
  <si>
    <t>13556121</t>
  </si>
  <si>
    <t>1c2cf8b4-00c0-4792-8c6e-cb71ed25e1eb</t>
  </si>
  <si>
    <t>27720855899</t>
  </si>
  <si>
    <t>13556125</t>
  </si>
  <si>
    <t>64da7878-6c8c-4001-a146-775c87c3a848</t>
  </si>
  <si>
    <t>COA</t>
  </si>
  <si>
    <t>Client Overage Limit</t>
  </si>
  <si>
    <t>27720875413</t>
  </si>
  <si>
    <t>13563785</t>
  </si>
  <si>
    <t>5a462b8d-2c55-480e-aa4d-6a1f2969e6d2</t>
  </si>
  <si>
    <t>27766252741</t>
  </si>
  <si>
    <t>13563792</t>
  </si>
  <si>
    <t>513abca7-43fc-4e3e-87f6-6199c558c5aa</t>
  </si>
  <si>
    <t>27608411381</t>
  </si>
  <si>
    <t>13564416</t>
  </si>
  <si>
    <t>6f668221-9a2b-4028-8ebf-1bfe5de0da94</t>
  </si>
  <si>
    <t>2026-03-09 11:27:53</t>
  </si>
  <si>
    <t>27711349048</t>
  </si>
  <si>
    <t>13556115</t>
  </si>
  <si>
    <t>a1cd4ad0-b532-4372-b04a-6d05ad9e1bc4</t>
  </si>
  <si>
    <t>2026-03-09 11:27:49</t>
  </si>
  <si>
    <t>27720823803</t>
  </si>
  <si>
    <t>13556113</t>
  </si>
  <si>
    <t>c32559a1-5e54-436b-bd16-817cf76c0060</t>
  </si>
  <si>
    <t>2026-03-09 11:27:47</t>
  </si>
  <si>
    <t>27720815645</t>
  </si>
  <si>
    <t>13556112</t>
  </si>
  <si>
    <t>683a8b05-ca5a-49b9-9f9a-4eac5eff41c3</t>
  </si>
  <si>
    <t>2026-03-09 11:27:46</t>
  </si>
  <si>
    <t>27720808836</t>
  </si>
  <si>
    <t>13556109</t>
  </si>
  <si>
    <t>a5e3eef7-21ff-4222-814f-76d5dd4cc6e7</t>
  </si>
  <si>
    <t>2026-03-09 11:27:45</t>
  </si>
  <si>
    <t>27720793205</t>
  </si>
  <si>
    <t>13558562</t>
  </si>
  <si>
    <t>0693d692-28f3-4216-b833-aa436fa86741</t>
  </si>
  <si>
    <t>2026-03-09 11:27:27</t>
  </si>
  <si>
    <t>27795541621</t>
  </si>
  <si>
    <t>13561499</t>
  </si>
  <si>
    <t>6dfdb8fd-aeb2-45ff-a0c5-fbabd0aec35a</t>
  </si>
  <si>
    <t>2026-03-09 11:27:14</t>
  </si>
  <si>
    <t>27715259970</t>
  </si>
  <si>
    <t>13556671</t>
  </si>
  <si>
    <t>b6528491-c828-404b-be6f-afbc9c50113e</t>
  </si>
  <si>
    <t>2026-03-09 11:27:13</t>
  </si>
  <si>
    <t>27726376585</t>
  </si>
  <si>
    <t>13556680</t>
  </si>
  <si>
    <t>bd1c6188-b68b-404d-8582-9e2fac8efe62</t>
  </si>
  <si>
    <t>27726487922</t>
  </si>
  <si>
    <t>13559715</t>
  </si>
  <si>
    <t>891c9e44-d70a-401a-918c-004de152dd4b</t>
  </si>
  <si>
    <t>27768837517</t>
  </si>
  <si>
    <t>13559916</t>
  </si>
  <si>
    <t>3988fd7a-cd29-4374-a910-749889cab1d3</t>
  </si>
  <si>
    <t>27720944630</t>
  </si>
  <si>
    <t>13562139</t>
  </si>
  <si>
    <t>4af9e723-b15b-4d5e-9c03-51d22c5e3fef</t>
  </si>
  <si>
    <t>27723604246</t>
  </si>
  <si>
    <t>13562142</t>
  </si>
  <si>
    <t>5abda48c-1af9-46a8-81f9-ef062b024de4</t>
  </si>
  <si>
    <t>2026-03-09 11:27:02</t>
  </si>
  <si>
    <t>27714139862</t>
  </si>
  <si>
    <t>13556660</t>
  </si>
  <si>
    <t>bed919c0-74a9-4b7c-b850-ae964ea338c8</t>
  </si>
  <si>
    <t>2026-03-09 11:27:01</t>
  </si>
  <si>
    <t>27726133919</t>
  </si>
  <si>
    <t>13556662</t>
  </si>
  <si>
    <t>c04ebd87-9a61-471e-9a09-75a9ee92c854</t>
  </si>
  <si>
    <t>27726165488</t>
  </si>
  <si>
    <t>13556666</t>
  </si>
  <si>
    <t>fb26ca6b-2578-42aa-b39c-ba72e7d3c610</t>
  </si>
  <si>
    <t>27726233843</t>
  </si>
  <si>
    <t>13561505</t>
  </si>
  <si>
    <t>cb33a3be-7c0e-4c5c-beb4-1c2eec95c964</t>
  </si>
  <si>
    <t>27729900472</t>
  </si>
  <si>
    <t>13556901</t>
  </si>
  <si>
    <t>4e77295d-e7dd-4e33-aed9-10cc9a800917</t>
  </si>
  <si>
    <t>2026-03-09 11:26:56</t>
  </si>
  <si>
    <t>27728479965</t>
  </si>
  <si>
    <t>13556902</t>
  </si>
  <si>
    <t>ffbc3fe1-d643-4f8e-b3e3-6de80f78cfdc</t>
  </si>
  <si>
    <t>AC</t>
  </si>
  <si>
    <t>Already Contacted</t>
  </si>
  <si>
    <t>27728489266</t>
  </si>
  <si>
    <t>13556903</t>
  </si>
  <si>
    <t>cd58aacb-d6ea-4bf3-96ad-925429e1515c</t>
  </si>
  <si>
    <t>27728491225</t>
  </si>
  <si>
    <t>13556915</t>
  </si>
  <si>
    <t>482ad5f9-e00d-4eed-be48-f987ac96a3cc</t>
  </si>
  <si>
    <t>27728587560</t>
  </si>
  <si>
    <t>13561385</t>
  </si>
  <si>
    <t>d691c0bb-653f-4c17-b00a-25b7be1776a5</t>
  </si>
  <si>
    <t>27713729781</t>
  </si>
  <si>
    <t>13556881</t>
  </si>
  <si>
    <t>9352c0b6-7dae-4771-a2a4-a3c74040b1ba</t>
  </si>
  <si>
    <t>2026-03-09 11:26:55</t>
  </si>
  <si>
    <t>27728274123</t>
  </si>
  <si>
    <t>13556887</t>
  </si>
  <si>
    <t>7c457365-3bf3-489b-8d52-e03bcaa5f868</t>
  </si>
  <si>
    <t>27728290687</t>
  </si>
  <si>
    <t>13556898</t>
  </si>
  <si>
    <t>22990d86-1f6a-4b58-b287-4f78ee8f9016</t>
  </si>
  <si>
    <t>27728397765</t>
  </si>
  <si>
    <t>13556900</t>
  </si>
  <si>
    <t>c5b6796f-268b-4737-bb02-3ce0f4243f2c</t>
  </si>
  <si>
    <t>27728420506</t>
  </si>
  <si>
    <t>13556930</t>
  </si>
  <si>
    <t>6e0a2e8d-64ae-48df-997c-5e05d8b7cbd8</t>
  </si>
  <si>
    <t>27728759135</t>
  </si>
  <si>
    <t>13559684</t>
  </si>
  <si>
    <t>31441dae-ac8e-4a2d-8abe-f8cbf015d73f</t>
  </si>
  <si>
    <t>27847364394</t>
  </si>
  <si>
    <t>13559685</t>
  </si>
  <si>
    <t>7fc898d4-769c-406e-9a9b-98c7b6fd2941</t>
  </si>
  <si>
    <t>27848402200</t>
  </si>
  <si>
    <t>13559686</t>
  </si>
  <si>
    <t>cb22b0e4-83fd-4241-afab-b4f37bdd6a67</t>
  </si>
  <si>
    <t>27848704494</t>
  </si>
  <si>
    <t>13561508</t>
  </si>
  <si>
    <t>effe734a-59e8-4ac5-9478-75f7d8e40123</t>
  </si>
  <si>
    <t>27763494010</t>
  </si>
  <si>
    <t>13561706</t>
  </si>
  <si>
    <t>74cdd2f6-8653-4af9-a97a-66a5ead5f393</t>
  </si>
  <si>
    <t>27774963969</t>
  </si>
  <si>
    <t>13556922</t>
  </si>
  <si>
    <t>9020f9d9-ae69-47b1-bdb1-6b45a77b618b</t>
  </si>
  <si>
    <t>2026-03-09 11:26:54</t>
  </si>
  <si>
    <t>27728658475</t>
  </si>
  <si>
    <t>13556924</t>
  </si>
  <si>
    <t>ccfb436f-9e32-4a41-9928-7ff08406f736</t>
  </si>
  <si>
    <t>27728688815</t>
  </si>
  <si>
    <t>13556929</t>
  </si>
  <si>
    <t>bc346725-894e-4d70-a47b-8420220f9097</t>
  </si>
  <si>
    <t>27728752952</t>
  </si>
  <si>
    <t>13557081</t>
  </si>
  <si>
    <t>9493b67f-c414-4fca-ba31-798f04a247d1</t>
  </si>
  <si>
    <t>27735588704</t>
  </si>
  <si>
    <t>13561376</t>
  </si>
  <si>
    <t>8f2458f5-9a66-42e3-a844-457c2261c31b</t>
  </si>
  <si>
    <t>27665906919</t>
  </si>
  <si>
    <t>13561382</t>
  </si>
  <si>
    <t>bc08fdfb-06f3-453a-9b05-8e89fbd630f8</t>
  </si>
  <si>
    <t>27722466360</t>
  </si>
  <si>
    <t>13556839</t>
  </si>
  <si>
    <t>74b4eb08-e8c9-4cd2-ae9c-1a170d23f391</t>
  </si>
  <si>
    <t>2026-03-09 11:26:53</t>
  </si>
  <si>
    <t>27727969511</t>
  </si>
  <si>
    <t>13556863</t>
  </si>
  <si>
    <t>fa1b655f-be3e-40a9-99d2-cbb89a88d6c5</t>
  </si>
  <si>
    <t>27728128701</t>
  </si>
  <si>
    <t>13556876</t>
  </si>
  <si>
    <t>70aaa3ae-8d16-4de3-b203-828693294e20</t>
  </si>
  <si>
    <t>27728237238</t>
  </si>
  <si>
    <t>13559696</t>
  </si>
  <si>
    <t>0af1c26f-0eb1-4805-a1a4-c0117b5aa6ff</t>
  </si>
  <si>
    <t>27714397493</t>
  </si>
  <si>
    <t>13559698</t>
  </si>
  <si>
    <t>fd168a26-3cf1-48d4-9da9-cde9fb104620</t>
  </si>
  <si>
    <t>27820579014</t>
  </si>
  <si>
    <t>13561388</t>
  </si>
  <si>
    <t>7667c0a0-1f0c-42a2-9711-df74af26ab3f</t>
  </si>
  <si>
    <t>27661782197</t>
  </si>
  <si>
    <t>13556833</t>
  </si>
  <si>
    <t>f26e1dc8-5f09-4bb0-b211-5a17cf74cdcc</t>
  </si>
  <si>
    <t>2026-03-09 11:26:52</t>
  </si>
  <si>
    <t>27727911088</t>
  </si>
  <si>
    <t>13556850</t>
  </si>
  <si>
    <t>d8256ea6-c17a-461a-95fb-f7aef18bc3c4</t>
  </si>
  <si>
    <t>27728068459</t>
  </si>
  <si>
    <t>13556822</t>
  </si>
  <si>
    <t>1f2668c9-5298-4495-915f-a9a8650c1078</t>
  </si>
  <si>
    <t>27727769692</t>
  </si>
  <si>
    <t>13556828</t>
  </si>
  <si>
    <t>3311b0b3-bc5a-4c6b-b314-4d12ac706cd3</t>
  </si>
  <si>
    <t>27727843945</t>
  </si>
  <si>
    <t>13559690</t>
  </si>
  <si>
    <t>844d7e63-08e4-4be2-b021-a8411dc15924</t>
  </si>
  <si>
    <t>27849994022</t>
  </si>
  <si>
    <t>13559692</t>
  </si>
  <si>
    <t>9516bda5-6063-4d51-807e-d26e03b50178</t>
  </si>
  <si>
    <t>27665168684</t>
  </si>
  <si>
    <t>13559919</t>
  </si>
  <si>
    <t>972f75a2-adb9-4fa5-9e13-4142749ca4c6</t>
  </si>
  <si>
    <t>27722461028</t>
  </si>
  <si>
    <t>13561391</t>
  </si>
  <si>
    <t>241cad2f-e67b-44b0-8e77-133d88557f26</t>
  </si>
  <si>
    <t>27647059863</t>
  </si>
  <si>
    <t>13562252</t>
  </si>
  <si>
    <t>1a08d1d8-5000-46c7-b731-367a2d5cadcd</t>
  </si>
  <si>
    <t>27820661534</t>
  </si>
  <si>
    <t>13562261</t>
  </si>
  <si>
    <t>b7850446-e5c1-47b2-b63c-a6fe3a6b137c</t>
  </si>
  <si>
    <t>27609479164</t>
  </si>
  <si>
    <t>13556843</t>
  </si>
  <si>
    <t>5fa4e77a-23fe-44ef-86c5-8ff130aeaab3</t>
  </si>
  <si>
    <t>2026-03-09 11:26:51</t>
  </si>
  <si>
    <t>27727999809</t>
  </si>
  <si>
    <t>13562105</t>
  </si>
  <si>
    <t>e83acec7-4e0e-44d5-bc3a-c8447b93881b</t>
  </si>
  <si>
    <t>2026-03-09 11:26:50</t>
  </si>
  <si>
    <t>27797084146</t>
  </si>
  <si>
    <t>13560433</t>
  </si>
  <si>
    <t>75841c33-fa6b-4192-ac91-3756a61b6149</t>
  </si>
  <si>
    <t>2026-03-09 11:26:49</t>
  </si>
  <si>
    <t>27725999981</t>
  </si>
  <si>
    <t>13560436</t>
  </si>
  <si>
    <t>a384106b-7639-487d-9dfb-3880a7ea298c</t>
  </si>
  <si>
    <t>27796363670</t>
  </si>
  <si>
    <t>13562111</t>
  </si>
  <si>
    <t>9a053d6d-c970-4042-9630-c2a661e7cf07</t>
  </si>
  <si>
    <t>27712557501</t>
  </si>
  <si>
    <t>13562112</t>
  </si>
  <si>
    <t>500eedab-93ec-473b-9063-2954a9c960e4</t>
  </si>
  <si>
    <t>27660458606</t>
  </si>
  <si>
    <t>13562117</t>
  </si>
  <si>
    <t>28c68eec-34be-4173-9e88-8048a8eb3fda</t>
  </si>
  <si>
    <t>27729637222</t>
  </si>
  <si>
    <t>13559699</t>
  </si>
  <si>
    <t>83f6a213-5aa5-4548-b739-a57de35189fb</t>
  </si>
  <si>
    <t>2026-03-09 11:26:46</t>
  </si>
  <si>
    <t>27723783297</t>
  </si>
  <si>
    <t>13560456</t>
  </si>
  <si>
    <t>dcb33d76-f428-4c3a-bebc-21016fee3ba9</t>
  </si>
  <si>
    <t>27793929570</t>
  </si>
  <si>
    <t>13562125</t>
  </si>
  <si>
    <t>e1800f88-da22-4fcd-b067-1764408de2ba</t>
  </si>
  <si>
    <t>27820776453</t>
  </si>
  <si>
    <t>13559703</t>
  </si>
  <si>
    <t>eb8f5812-8c7e-4e31-8278-9639893ce2ce</t>
  </si>
  <si>
    <t>2026-03-09 11:26:45</t>
  </si>
  <si>
    <t>27724562338</t>
  </si>
  <si>
    <t>13562130</t>
  </si>
  <si>
    <t>61c638da-705c-4aa0-a04c-3fed487d1970</t>
  </si>
  <si>
    <t>2026-03-09 11:26:44</t>
  </si>
  <si>
    <t>27799786340</t>
  </si>
  <si>
    <t>13556677</t>
  </si>
  <si>
    <t>d46ca5f0-14ed-46fe-8d50-fb865a741d21</t>
  </si>
  <si>
    <t>2026-03-09 11:26:43</t>
  </si>
  <si>
    <t>27726469709</t>
  </si>
  <si>
    <t>13556681</t>
  </si>
  <si>
    <t>08590801-04ed-4f67-bfbd-9b31b322c277</t>
  </si>
  <si>
    <t>27726490226</t>
  </si>
  <si>
    <t>13559707</t>
  </si>
  <si>
    <t>5d5caa16-723a-4460-978a-ff513ae1005f</t>
  </si>
  <si>
    <t>27767969012</t>
  </si>
  <si>
    <t>13560498</t>
  </si>
  <si>
    <t>1cdd095f-4a98-4b09-80c8-9bb69ac460b4</t>
  </si>
  <si>
    <t>27769680019</t>
  </si>
  <si>
    <t>13562136</t>
  </si>
  <si>
    <t>f52c3b10-004a-4abf-b71a-42dc0e1eb81e</t>
  </si>
  <si>
    <t>27794200747</t>
  </si>
  <si>
    <t>13557106</t>
  </si>
  <si>
    <t>8c2ff8c6-3cf3-4d20-b423-6c5e0da1a5a7</t>
  </si>
  <si>
    <t>2026-03-09 11:26:31</t>
  </si>
  <si>
    <t>27760260020</t>
  </si>
  <si>
    <t>13557120</t>
  </si>
  <si>
    <t>2eeb0b14-1ef2-4ca9-8032-6add742c4dfc</t>
  </si>
  <si>
    <t>2026-03-09 11:26:15</t>
  </si>
  <si>
    <t>27760358231</t>
  </si>
  <si>
    <t>13559716</t>
  </si>
  <si>
    <t>0428f6e9-1449-402b-b76f-b094b059f6ca</t>
  </si>
  <si>
    <t>27712625831</t>
  </si>
  <si>
    <t>13557087</t>
  </si>
  <si>
    <t>8ea368ad-b570-4849-a1e4-92c21dbb5000</t>
  </si>
  <si>
    <t>2026-03-09 11:26:14</t>
  </si>
  <si>
    <t>27737958090</t>
  </si>
  <si>
    <t>13557092</t>
  </si>
  <si>
    <t>2c963b39-24c6-4fce-bee2-3b89ad0f8eaf</t>
  </si>
  <si>
    <t>27745583258</t>
  </si>
  <si>
    <t>13557107</t>
  </si>
  <si>
    <t>74f108a6-8fc0-4182-8aa9-6ebd24a36839</t>
  </si>
  <si>
    <t>27760261199</t>
  </si>
  <si>
    <t>13557108</t>
  </si>
  <si>
    <t>49a954e6-104a-4388-a664-67778c7ff1ab</t>
  </si>
  <si>
    <t>27760276238</t>
  </si>
  <si>
    <t>13557112</t>
  </si>
  <si>
    <t>8f63e759-fc60-405d-9e68-5614f63b81a0</t>
  </si>
  <si>
    <t>27760321126</t>
  </si>
  <si>
    <t>13561751</t>
  </si>
  <si>
    <t>4d4f7783-6858-4e06-ab7e-ff393299ac57</t>
  </si>
  <si>
    <t>27665138062</t>
  </si>
  <si>
    <t>13557063</t>
  </si>
  <si>
    <t>e9fc162b-3a0c-455f-9f23-0194095a2d5a</t>
  </si>
  <si>
    <t>2026-03-09 11:26:13</t>
  </si>
  <si>
    <t>27732250045</t>
  </si>
  <si>
    <t>13557064</t>
  </si>
  <si>
    <t>02f6fd86-a168-4537-a0d3-d3423d4075f8</t>
  </si>
  <si>
    <t>27732351919</t>
  </si>
  <si>
    <t>13557068</t>
  </si>
  <si>
    <t>bcb639a3-b78a-46d4-a59a-9a9a26c30c47</t>
  </si>
  <si>
    <t>27733235045</t>
  </si>
  <si>
    <t>13557069</t>
  </si>
  <si>
    <t>bc8f5fb6-19da-440f-9d7a-862eafe7d0a3</t>
  </si>
  <si>
    <t>27733338686</t>
  </si>
  <si>
    <t>13557079</t>
  </si>
  <si>
    <t>2ec2130f-5f08-4b9d-b08e-af7852f01de9</t>
  </si>
  <si>
    <t>27735183515</t>
  </si>
  <si>
    <t>13557080</t>
  </si>
  <si>
    <t>f17ec548-8f3e-4b63-adf9-404ba279897d</t>
  </si>
  <si>
    <t>27735189290</t>
  </si>
  <si>
    <t>13557084</t>
  </si>
  <si>
    <t>0fb20afe-12ce-44d0-a11d-54c55d01379d</t>
  </si>
  <si>
    <t>27736567249</t>
  </si>
  <si>
    <t>13557085</t>
  </si>
  <si>
    <t>2ec7ffde-7dd0-4d72-a461-72b66a7b549e</t>
  </si>
  <si>
    <t>27736964995</t>
  </si>
  <si>
    <t>13557094</t>
  </si>
  <si>
    <t>91a56026-dea2-47da-a10d-2d25600050c1</t>
  </si>
  <si>
    <t>27747483810</t>
  </si>
  <si>
    <t>13557103</t>
  </si>
  <si>
    <t>0d52197b-3917-44d5-8c55-02099f5e8ea8</t>
  </si>
  <si>
    <t>27760222115</t>
  </si>
  <si>
    <t>13561898</t>
  </si>
  <si>
    <t>0d44a506-5979-4ce5-8558-e16d1819d40c</t>
  </si>
  <si>
    <t>27660045017</t>
  </si>
  <si>
    <t>13557057</t>
  </si>
  <si>
    <t>3c701121-f93b-4e72-8528-02016ebaf15d</t>
  </si>
  <si>
    <t>2026-03-09 11:26:12</t>
  </si>
  <si>
    <t>27730223330</t>
  </si>
  <si>
    <t>13557070</t>
  </si>
  <si>
    <t>f1b8c83a-6074-45d3-bdb4-eb063f66de0e</t>
  </si>
  <si>
    <t>27733412528</t>
  </si>
  <si>
    <t>13557075</t>
  </si>
  <si>
    <t>f40967d4-8afd-4f0c-9a34-5d6fca5666bf</t>
  </si>
  <si>
    <t>27734582233</t>
  </si>
  <si>
    <t>13559725</t>
  </si>
  <si>
    <t>f772aa13-57c9-4344-84e1-cb62ad1373de</t>
  </si>
  <si>
    <t>27798988149</t>
  </si>
  <si>
    <t>13560509</t>
  </si>
  <si>
    <t>0a5f36b7-8e32-486e-8491-8d6407b4ae35</t>
  </si>
  <si>
    <t>27825333475</t>
  </si>
  <si>
    <t>13561369</t>
  </si>
  <si>
    <t>83151d07-a624-4599-b29b-a3022112eb2e</t>
  </si>
  <si>
    <t>27727331924</t>
  </si>
  <si>
    <t>13561357</t>
  </si>
  <si>
    <t>3e51f5b6-510b-44d2-be3a-5234cfb1958b</t>
  </si>
  <si>
    <t>27637214278</t>
  </si>
  <si>
    <t>13557030</t>
  </si>
  <si>
    <t>151acf66-d41b-45b5-b322-3ed040ad748a</t>
  </si>
  <si>
    <t>2026-03-09 11:26:11</t>
  </si>
  <si>
    <t>27729772390</t>
  </si>
  <si>
    <t>13557033</t>
  </si>
  <si>
    <t>df886cf3-5fc7-4278-b4a0-2651ab56b607</t>
  </si>
  <si>
    <t>27729798271</t>
  </si>
  <si>
    <t>13557034</t>
  </si>
  <si>
    <t>d96ecc0a-1c11-4696-b799-2bfbdabec8da</t>
  </si>
  <si>
    <t>27729799280</t>
  </si>
  <si>
    <t>13557036</t>
  </si>
  <si>
    <t>b9ad362b-220d-4ba3-b047-04a06e809f6f</t>
  </si>
  <si>
    <t>27729825183</t>
  </si>
  <si>
    <t>13557037</t>
  </si>
  <si>
    <t>2af4b061-82db-4f5d-aefa-f549ddc68ba9</t>
  </si>
  <si>
    <t>27729847777</t>
  </si>
  <si>
    <t>13557028</t>
  </si>
  <si>
    <t>39cfdc8f-6039-4228-93cc-93332f891817</t>
  </si>
  <si>
    <t>2026-03-09 11:26:10</t>
  </si>
  <si>
    <t>27729736408</t>
  </si>
  <si>
    <t>13557020</t>
  </si>
  <si>
    <t>2c2976b2-f56d-4b3a-aa14-eee9bcee44b0</t>
  </si>
  <si>
    <t>27729592035</t>
  </si>
  <si>
    <t>13557021</t>
  </si>
  <si>
    <t>e961282a-3314-4588-9eba-8100ab61b320</t>
  </si>
  <si>
    <t>27729614938</t>
  </si>
  <si>
    <t>13557022</t>
  </si>
  <si>
    <t>b6b2065f-f8e7-4db0-a58a-299558274482</t>
  </si>
  <si>
    <t>27729642504</t>
  </si>
  <si>
    <t>13557024</t>
  </si>
  <si>
    <t>e36a2e82-3781-4199-9871-1c9f85cda7d9</t>
  </si>
  <si>
    <t>27729661354</t>
  </si>
  <si>
    <t>13557027</t>
  </si>
  <si>
    <t>aa05dd96-c164-4315-8b5a-05da71c3767b</t>
  </si>
  <si>
    <t>27729718307</t>
  </si>
  <si>
    <t>13557006</t>
  </si>
  <si>
    <t>3d1df18b-0be1-49f4-80bc-273304f598c3</t>
  </si>
  <si>
    <t>2026-03-09 11:26:07</t>
  </si>
  <si>
    <t>27729504411</t>
  </si>
  <si>
    <t>13557018</t>
  </si>
  <si>
    <t>a2c3df1c-742e-43b3-bf64-24f4c0a9c218</t>
  </si>
  <si>
    <t>27729573557</t>
  </si>
  <si>
    <t>13559727</t>
  </si>
  <si>
    <t>8f699197-80c1-4115-8fbe-b3cd92b20049</t>
  </si>
  <si>
    <t>27664264533</t>
  </si>
  <si>
    <t>13556992</t>
  </si>
  <si>
    <t>a76542e0-fcaa-440e-94bc-0879d99bdc14</t>
  </si>
  <si>
    <t>2026-03-09 11:26:06</t>
  </si>
  <si>
    <t>27729300348</t>
  </si>
  <si>
    <t>13560512</t>
  </si>
  <si>
    <t>5562a76c-14f9-4da3-a375-20a1640c7082</t>
  </si>
  <si>
    <t>27824349580</t>
  </si>
  <si>
    <t>13561370</t>
  </si>
  <si>
    <t>859453c5-7989-43b4-b925-0726e78ba200</t>
  </si>
  <si>
    <t>27729595254</t>
  </si>
  <si>
    <t>13556953</t>
  </si>
  <si>
    <t>43ed774e-982a-4a69-a717-ef5449a0de4b</t>
  </si>
  <si>
    <t>2026-03-09 11:26:05</t>
  </si>
  <si>
    <t>27728956540</t>
  </si>
  <si>
    <t>13556970</t>
  </si>
  <si>
    <t>b26fd920-f78d-4be2-b35e-1b0e03c51be8</t>
  </si>
  <si>
    <t>27729110210</t>
  </si>
  <si>
    <t>13559738</t>
  </si>
  <si>
    <t>74f61a2b-fae2-4583-9323-fcec1dbcea6d</t>
  </si>
  <si>
    <t>27609262090</t>
  </si>
  <si>
    <t>13561375</t>
  </si>
  <si>
    <t>0e2a0e00-b17e-46c6-b330-22575bd7ac8d</t>
  </si>
  <si>
    <t>27665620129</t>
  </si>
  <si>
    <t>13556939</t>
  </si>
  <si>
    <t>bfb23676-b3a5-4543-88d3-a8acfef2c214</t>
  </si>
  <si>
    <t>2026-03-09 11:26:04</t>
  </si>
  <si>
    <t>27728830202</t>
  </si>
  <si>
    <t>13556949</t>
  </si>
  <si>
    <t>13e99cea-d5d8-45f0-8c66-afac71c47d9b</t>
  </si>
  <si>
    <t>27728931235</t>
  </si>
  <si>
    <t>13556952</t>
  </si>
  <si>
    <t>9bb8280f-e9ed-4ae2-ab08-ef61d92da027</t>
  </si>
  <si>
    <t>27728955909</t>
  </si>
  <si>
    <t>13556983</t>
  </si>
  <si>
    <t>1d8460ee-8ffe-47d8-9420-9c95ffcc31f5</t>
  </si>
  <si>
    <t>27729215114</t>
  </si>
  <si>
    <t>13561372</t>
  </si>
  <si>
    <t>3d31cdf2-ff10-4946-af92-b2fb1735e438</t>
  </si>
  <si>
    <t>27722987805</t>
  </si>
  <si>
    <t>13556974</t>
  </si>
  <si>
    <t>56c67613-dc06-4f2f-97fa-67434c7117d1</t>
  </si>
  <si>
    <t>2026-03-09 11:26:03</t>
  </si>
  <si>
    <t>27729132534</t>
  </si>
  <si>
    <t>13556981</t>
  </si>
  <si>
    <t>f4af29b7-ffd9-4430-a93f-1802680ff892</t>
  </si>
  <si>
    <t>27729184567</t>
  </si>
  <si>
    <t>13561374</t>
  </si>
  <si>
    <t>f552cdec-375b-450f-9a7b-dbb9bb6a875d</t>
  </si>
  <si>
    <t>27711741889</t>
  </si>
  <si>
    <t>13556966</t>
  </si>
  <si>
    <t>5cefed18-44d9-406d-97e3-0facfc06f90d</t>
  </si>
  <si>
    <t>2026-03-09 11:25:43</t>
  </si>
  <si>
    <t>27729070657</t>
  </si>
  <si>
    <t>13555486</t>
  </si>
  <si>
    <t>df6ee3c0-357f-4ed8-a057-ec07c3b50c77</t>
  </si>
  <si>
    <t>2026-03-09 11:25:39</t>
  </si>
  <si>
    <t>27674331309</t>
  </si>
  <si>
    <t>13564113</t>
  </si>
  <si>
    <t>a13cd9c7-4caa-4aaa-a3fe-0100547ae792</t>
  </si>
  <si>
    <t>2026-03-09 11:25:38</t>
  </si>
  <si>
    <t>27720755565</t>
  </si>
  <si>
    <t>13564130</t>
  </si>
  <si>
    <t>7006887f-0b08-4666-ad9e-356c2247b80e</t>
  </si>
  <si>
    <t>2026-03-09 11:25:37</t>
  </si>
  <si>
    <t>27730979550</t>
  </si>
  <si>
    <t>13564132</t>
  </si>
  <si>
    <t>f245fe84-e684-4e99-9945-251dc2acb477</t>
  </si>
  <si>
    <t>27716645878</t>
  </si>
  <si>
    <t>13564140</t>
  </si>
  <si>
    <t>e5a6f468-0341-4daf-8a97-e8889f988948</t>
  </si>
  <si>
    <t>27722020612</t>
  </si>
  <si>
    <t>13564267</t>
  </si>
  <si>
    <t>f81b142e-5560-4298-8b7b-98dac00c90f7</t>
  </si>
  <si>
    <t>27648761653</t>
  </si>
  <si>
    <t>13564168</t>
  </si>
  <si>
    <t>c7383f24-0556-49bf-9183-8d26ea523048</t>
  </si>
  <si>
    <t>2026-03-09 11:25:36</t>
  </si>
  <si>
    <t>27721559157</t>
  </si>
  <si>
    <t>13564170</t>
  </si>
  <si>
    <t>75efa9c4-6440-492a-b650-ffecdca57175</t>
  </si>
  <si>
    <t>27721935779</t>
  </si>
  <si>
    <t>13564171</t>
  </si>
  <si>
    <t>939af9cc-1a35-4500-adcf-12c9ea3f5bf4</t>
  </si>
  <si>
    <t>27791486938</t>
  </si>
  <si>
    <t>13564248</t>
  </si>
  <si>
    <t>38f71dc9-ef0b-41ea-b79d-cd424a17e9d4</t>
  </si>
  <si>
    <t>27646055493</t>
  </si>
  <si>
    <t>13564262</t>
  </si>
  <si>
    <t>1aab89cb-4658-4b9c-aa8c-d5ae3016bca4</t>
  </si>
  <si>
    <t>27762841487</t>
  </si>
  <si>
    <t>13564275</t>
  </si>
  <si>
    <t>44bc5f22-c05b-4a85-82f4-c88fff3cdbb5</t>
  </si>
  <si>
    <t>2026-03-09 11:25:35</t>
  </si>
  <si>
    <t>27648409578</t>
  </si>
  <si>
    <t>13564278</t>
  </si>
  <si>
    <t>b3f53541-4475-4949-a4e0-aae7826e2f47</t>
  </si>
  <si>
    <t>27790136826</t>
  </si>
  <si>
    <t>13564280</t>
  </si>
  <si>
    <t>9d3860a1-c26e-4302-9481-98c131aa510c</t>
  </si>
  <si>
    <t>27716824270</t>
  </si>
  <si>
    <t>13564287</t>
  </si>
  <si>
    <t>10703efe-f4cd-466c-96cf-d75d89e7c8ce</t>
  </si>
  <si>
    <t>2026-03-09 11:25:34</t>
  </si>
  <si>
    <t>27763576601</t>
  </si>
  <si>
    <t>13564290</t>
  </si>
  <si>
    <t>5b691019-f9fa-4fcc-8662-4ad9ebed03e8</t>
  </si>
  <si>
    <t>27790527889</t>
  </si>
  <si>
    <t>13564303</t>
  </si>
  <si>
    <t>cab1b351-dc13-49f3-b412-4dda17a4cf0c</t>
  </si>
  <si>
    <t>27766118030</t>
  </si>
  <si>
    <t>13564306</t>
  </si>
  <si>
    <t>8728cc1e-df6f-4fc6-a55f-d6fb0c876080</t>
  </si>
  <si>
    <t>27664091301</t>
  </si>
  <si>
    <t>13564316</t>
  </si>
  <si>
    <t>6bd426b1-d236-478d-827c-cedb45b75ca6</t>
  </si>
  <si>
    <t>2026-03-09 11:25:33</t>
  </si>
  <si>
    <t>27660760409</t>
  </si>
  <si>
    <t>13564329</t>
  </si>
  <si>
    <t>5dec263e-f6b9-483d-bbad-9cc8a5d8d821</t>
  </si>
  <si>
    <t>27711513753</t>
  </si>
  <si>
    <t>13564352</t>
  </si>
  <si>
    <t>8bc70a3e-2d8a-4174-9d7a-906ab06f2193</t>
  </si>
  <si>
    <t>2026-03-09 11:25:32</t>
  </si>
  <si>
    <t>27664954904</t>
  </si>
  <si>
    <t>13564334</t>
  </si>
  <si>
    <t>fafcba60-74c3-41ad-bdae-e2ed29f6a3c5</t>
  </si>
  <si>
    <t>27766883213</t>
  </si>
  <si>
    <t>13564356</t>
  </si>
  <si>
    <t>236a6ab9-2d9a-4705-9bec-5a2362664138</t>
  </si>
  <si>
    <t>2026-03-09 11:25:30</t>
  </si>
  <si>
    <t>27606003167</t>
  </si>
  <si>
    <t>13564358</t>
  </si>
  <si>
    <t>1ad36ba1-c08a-424f-ae54-21fbf5808136</t>
  </si>
  <si>
    <t>27763236224</t>
  </si>
  <si>
    <t>13564363</t>
  </si>
  <si>
    <t>cf9f2f5b-4029-4914-9c7d-692a7aafaa14</t>
  </si>
  <si>
    <t>27715449792</t>
  </si>
  <si>
    <t>13564369</t>
  </si>
  <si>
    <t>096acf1c-47a9-4971-bb19-9a8965aac781</t>
  </si>
  <si>
    <t>2026-03-09 11:25:29</t>
  </si>
  <si>
    <t>27790743806</t>
  </si>
  <si>
    <t>13564372</t>
  </si>
  <si>
    <t>e55961e7-0f89-4212-be83-c4cdea3280fd</t>
  </si>
  <si>
    <t>27787724338</t>
  </si>
  <si>
    <t>13564377</t>
  </si>
  <si>
    <t>bd664566-4f21-4f6f-a38c-675fa75b7e56</t>
  </si>
  <si>
    <t>27774189126</t>
  </si>
  <si>
    <t>13564378</t>
  </si>
  <si>
    <t>743929d4-9cf1-4956-a96d-bc5013632e31</t>
  </si>
  <si>
    <t>27637493388</t>
  </si>
  <si>
    <t>13564389</t>
  </si>
  <si>
    <t>53df0f5c-b7b7-417a-88bf-4c8299ea00f9</t>
  </si>
  <si>
    <t>27664509829</t>
  </si>
  <si>
    <t>13559099</t>
  </si>
  <si>
    <t>b4209d3e-e6bc-462b-b607-65c3c64d2a2f</t>
  </si>
  <si>
    <t>2026-03-09 11:25:27</t>
  </si>
  <si>
    <t>27822685576</t>
  </si>
  <si>
    <t>13559108</t>
  </si>
  <si>
    <t>1d1c3ffa-d6dc-4741-ac92-969b721155c5</t>
  </si>
  <si>
    <t>27822911869</t>
  </si>
  <si>
    <t>13556805</t>
  </si>
  <si>
    <t>bf5db4fb-df2a-4d34-8cec-e12650ce0943</t>
  </si>
  <si>
    <t>2026-03-09 11:25:26</t>
  </si>
  <si>
    <t>27727669406</t>
  </si>
  <si>
    <t>13556806</t>
  </si>
  <si>
    <t>4dbba2af-8746-417f-882f-cbe4c8dc1221</t>
  </si>
  <si>
    <t>27727678630</t>
  </si>
  <si>
    <t>13556811</t>
  </si>
  <si>
    <t>8110c7a5-b1d4-4929-88eb-9066b09d609c</t>
  </si>
  <si>
    <t>27727702744</t>
  </si>
  <si>
    <t>13556820</t>
  </si>
  <si>
    <t>d2ff611c-9953-48f5-bcc8-22d18080ceb6</t>
  </si>
  <si>
    <t>27727759357</t>
  </si>
  <si>
    <t>13559073</t>
  </si>
  <si>
    <t>c3f7f9f6-997f-4622-8a0b-f3f070a66bc5</t>
  </si>
  <si>
    <t>27822342468</t>
  </si>
  <si>
    <t>13561351</t>
  </si>
  <si>
    <t>73a4ff2f-8351-4c13-a5c0-aa9a21f857c8</t>
  </si>
  <si>
    <t>27647243815</t>
  </si>
  <si>
    <t>13556817</t>
  </si>
  <si>
    <t>cb2fa3f9-3584-4af7-82f7-d9c2aa58dfb3</t>
  </si>
  <si>
    <t>2026-03-09 11:25:25</t>
  </si>
  <si>
    <t>27727743122</t>
  </si>
  <si>
    <t>13561352</t>
  </si>
  <si>
    <t>12971537-904d-4ec9-bee9-b05be08988d0</t>
  </si>
  <si>
    <t>27664584938</t>
  </si>
  <si>
    <t>13564165</t>
  </si>
  <si>
    <t>114a30e8-cd44-4b41-9866-9a3542231fb9</t>
  </si>
  <si>
    <t>27609368420</t>
  </si>
  <si>
    <t>13556798</t>
  </si>
  <si>
    <t>edcca19d-c91a-4ee1-b422-596ebec0ea2a</t>
  </si>
  <si>
    <t>2026-03-09 11:25:24</t>
  </si>
  <si>
    <t>27727594022</t>
  </si>
  <si>
    <t>13556789</t>
  </si>
  <si>
    <t>3c7e3112-d592-4de6-9362-6fc1d9bd4389</t>
  </si>
  <si>
    <t>2026-03-09 11:25:23</t>
  </si>
  <si>
    <t>27727485028</t>
  </si>
  <si>
    <t>13556791</t>
  </si>
  <si>
    <t>20113d67-ea4e-492e-8d04-51ae6c7e6cc7</t>
  </si>
  <si>
    <t>27727509036</t>
  </si>
  <si>
    <t>13556799</t>
  </si>
  <si>
    <t>8ebdcecd-5a36-49c6-ab1f-5adbf9b30230</t>
  </si>
  <si>
    <t>27727595825</t>
  </si>
  <si>
    <t>13556800</t>
  </si>
  <si>
    <t>8a2a3378-03bb-48c3-aa20-67c20d543623</t>
  </si>
  <si>
    <t>27727614115</t>
  </si>
  <si>
    <t>13556803</t>
  </si>
  <si>
    <t>30a2f400-fe38-4423-8275-914bf95f8477</t>
  </si>
  <si>
    <t>27727629042</t>
  </si>
  <si>
    <t>13558890</t>
  </si>
  <si>
    <t>7a5e8971-77e9-4c9b-9e54-5c3ea46dc00e</t>
  </si>
  <si>
    <t>27799667576</t>
  </si>
  <si>
    <t>13558985</t>
  </si>
  <si>
    <t>7f83baba-c5ca-4a66-b352-47650f2f49db</t>
  </si>
  <si>
    <t>27818815765</t>
  </si>
  <si>
    <t>13561344</t>
  </si>
  <si>
    <t>14edd824-5763-4cfb-8bd0-ad5ddddcfd34</t>
  </si>
  <si>
    <t>27646042679</t>
  </si>
  <si>
    <t>13561346</t>
  </si>
  <si>
    <t>3fdbad68-3a07-4b7a-8e92-a92480b547e1</t>
  </si>
  <si>
    <t>27647884390</t>
  </si>
  <si>
    <t>13558887</t>
  </si>
  <si>
    <t>5e6a14bc-d91e-4bb6-9d01-01151e080155</t>
  </si>
  <si>
    <t>2026-03-09 11:25:22</t>
  </si>
  <si>
    <t>27799661275</t>
  </si>
  <si>
    <t>13558893</t>
  </si>
  <si>
    <t>a6f2a43c-a415-48aa-816c-21d3b3e747f0</t>
  </si>
  <si>
    <t>27799693147</t>
  </si>
  <si>
    <t>13558894</t>
  </si>
  <si>
    <t>b1d7b1f7-79d7-4195-86c0-f3e20d7c5b20</t>
  </si>
  <si>
    <t>27799710814</t>
  </si>
  <si>
    <t>13558898</t>
  </si>
  <si>
    <t>e91bdf15-58a4-41d1-8b74-c7e1f68301cc</t>
  </si>
  <si>
    <t>27799777271</t>
  </si>
  <si>
    <t>13558872</t>
  </si>
  <si>
    <t>36217553-037e-4e26-bf00-7c5b6f890d27</t>
  </si>
  <si>
    <t>27799510770</t>
  </si>
  <si>
    <t>13558875</t>
  </si>
  <si>
    <t>902cc274-a9ff-4b02-82f1-3f2ee049e558</t>
  </si>
  <si>
    <t>27799524962</t>
  </si>
  <si>
    <t>13558877</t>
  </si>
  <si>
    <t>0fdb3c08-dfaa-438a-ada9-d30dcc9166b7</t>
  </si>
  <si>
    <t>27799559450</t>
  </si>
  <si>
    <t>13561343</t>
  </si>
  <si>
    <t>179805b9-efaa-4053-8525-7a189b729cc6</t>
  </si>
  <si>
    <t>27607527162</t>
  </si>
  <si>
    <t>13558864</t>
  </si>
  <si>
    <t>996661c1-370f-4362-87fd-e68bf4cc1467</t>
  </si>
  <si>
    <t>2026-03-09 11:25:21</t>
  </si>
  <si>
    <t>27799465757</t>
  </si>
  <si>
    <t>13558868</t>
  </si>
  <si>
    <t>5a495356-43d0-4de9-9738-db5e20445c49</t>
  </si>
  <si>
    <t>27799493580</t>
  </si>
  <si>
    <t>13561476</t>
  </si>
  <si>
    <t>0d2eb943-07cf-4641-ae2a-db6b984229db</t>
  </si>
  <si>
    <t>27768246425</t>
  </si>
  <si>
    <t>13562159</t>
  </si>
  <si>
    <t>763ac583-72f5-4e18-b56b-3d62312be776</t>
  </si>
  <si>
    <t>27726555017</t>
  </si>
  <si>
    <t>13556734</t>
  </si>
  <si>
    <t>915203fc-8749-465a-9222-396cf7bc1f87</t>
  </si>
  <si>
    <t>2026-03-09 11:25:20</t>
  </si>
  <si>
    <t>27726975933</t>
  </si>
  <si>
    <t>13563854</t>
  </si>
  <si>
    <t>512cadf4-5a3a-4fe5-bad0-fba950e15b69</t>
  </si>
  <si>
    <t>27791345887</t>
  </si>
  <si>
    <t>13556719</t>
  </si>
  <si>
    <t>01fa96bb-7358-4129-a006-dcf8afbb2077</t>
  </si>
  <si>
    <t>2026-03-09 11:25:19</t>
  </si>
  <si>
    <t>27726855790</t>
  </si>
  <si>
    <t>13556724</t>
  </si>
  <si>
    <t>3e8aa208-b54d-4e0b-9cf7-a81dfb75ffa5</t>
  </si>
  <si>
    <t>27726874788</t>
  </si>
  <si>
    <t>13556732</t>
  </si>
  <si>
    <t>cd9460df-815b-40c2-b318-6edbc0f5deaf</t>
  </si>
  <si>
    <t>27726958384</t>
  </si>
  <si>
    <t>13556733</t>
  </si>
  <si>
    <t>341413a6-d4ad-4235-95f6-20f5f2cf0f5b</t>
  </si>
  <si>
    <t>27726961676</t>
  </si>
  <si>
    <t>13561211</t>
  </si>
  <si>
    <t>5dbedc91-bed8-4c37-98da-c03bc771366f</t>
  </si>
  <si>
    <t>2026-03-09 11:25:18</t>
  </si>
  <si>
    <t>27714286352</t>
  </si>
  <si>
    <t>13556158</t>
  </si>
  <si>
    <t>1fcf229e-4593-43cd-8d49-b66dfc034872</t>
  </si>
  <si>
    <t>2026-03-09 11:25:05</t>
  </si>
  <si>
    <t>27721142657</t>
  </si>
  <si>
    <t>13563528</t>
  </si>
  <si>
    <t>79bb7950-61a6-4324-96aa-5c30e228d916</t>
  </si>
  <si>
    <t>2026-03-09 11:24:49</t>
  </si>
  <si>
    <t>27712071981</t>
  </si>
  <si>
    <t>13558371</t>
  </si>
  <si>
    <t>74ca8e6d-af7e-4fc9-80d0-67490a5f4ec7</t>
  </si>
  <si>
    <t>2026-03-09 11:24:43</t>
  </si>
  <si>
    <t>27793196177</t>
  </si>
  <si>
    <t>13556712</t>
  </si>
  <si>
    <t>a7f063a7-a889-4829-91c7-90b753f57ea0</t>
  </si>
  <si>
    <t>2026-03-09 11:24:42</t>
  </si>
  <si>
    <t>27726772834</t>
  </si>
  <si>
    <t>13556684</t>
  </si>
  <si>
    <t>96ebf393-5591-4fb6-aea6-9b8a24fdacc0</t>
  </si>
  <si>
    <t>2026-03-09 11:24:40</t>
  </si>
  <si>
    <t>27726512965</t>
  </si>
  <si>
    <t>13556686</t>
  </si>
  <si>
    <t>1aaaf7e1-1a12-4a41-a9bd-6900cb446e7f</t>
  </si>
  <si>
    <t>27726538487</t>
  </si>
  <si>
    <t>13556695</t>
  </si>
  <si>
    <t>81cfb141-f339-444d-aa40-fa2f1c818970</t>
  </si>
  <si>
    <t>27726617250</t>
  </si>
  <si>
    <t>13556710</t>
  </si>
  <si>
    <t>182c71a2-47a3-40d7-9a8e-0c513888371d</t>
  </si>
  <si>
    <t>27726757946</t>
  </si>
  <si>
    <t>13561104</t>
  </si>
  <si>
    <t>37095304-56e7-4022-aca3-f8bd8bedafeb</t>
  </si>
  <si>
    <t>27729368010</t>
  </si>
  <si>
    <t>13561107</t>
  </si>
  <si>
    <t>cec240b1-5a42-49aa-813f-1e8999db62a2</t>
  </si>
  <si>
    <t>27728234645</t>
  </si>
  <si>
    <t>13561108</t>
  </si>
  <si>
    <t>ba5a55ff-52ef-4430-bd22-ee76e00b10b8</t>
  </si>
  <si>
    <t>27712936042</t>
  </si>
  <si>
    <t>13561177</t>
  </si>
  <si>
    <t>001db330-8971-4ef4-bb72-d0d8a38d8222</t>
  </si>
  <si>
    <t>27660189600</t>
  </si>
  <si>
    <t>13556682</t>
  </si>
  <si>
    <t>5a4463d0-1e7c-4206-9f6d-dbbc068a7069</t>
  </si>
  <si>
    <t>2026-03-09 11:24:39</t>
  </si>
  <si>
    <t>27726496727</t>
  </si>
  <si>
    <t>13556708</t>
  </si>
  <si>
    <t>019775bf-8b46-49a6-9e26-0283f1fb274d</t>
  </si>
  <si>
    <t>27726745262</t>
  </si>
  <si>
    <t>13558337</t>
  </si>
  <si>
    <t>60ee7fe0-5e6d-4783-a08b-df1f16882a50</t>
  </si>
  <si>
    <t>27792937853</t>
  </si>
  <si>
    <t>13561097</t>
  </si>
  <si>
    <t>65ad0772-e9bd-4c99-bfb8-d326e258d5c6</t>
  </si>
  <si>
    <t>27675853775</t>
  </si>
  <si>
    <t>13556692</t>
  </si>
  <si>
    <t>57106bd7-54c2-4d47-9435-20b6d4dbfbdf</t>
  </si>
  <si>
    <t>2026-03-09 11:24:38</t>
  </si>
  <si>
    <t>27726606975</t>
  </si>
  <si>
    <t>13556706</t>
  </si>
  <si>
    <t>70137c15-d3c5-4c09-ad7a-299997885506</t>
  </si>
  <si>
    <t>27726719237</t>
  </si>
  <si>
    <t>13556707</t>
  </si>
  <si>
    <t>0c354b29-bd76-4283-b36d-557a4cd1f49b</t>
  </si>
  <si>
    <t>27726722909</t>
  </si>
  <si>
    <t>13556527</t>
  </si>
  <si>
    <t>5cc380a3-93b1-43c1-8c95-07d7f46777e0</t>
  </si>
  <si>
    <t>27724755315</t>
  </si>
  <si>
    <t>13558290</t>
  </si>
  <si>
    <t>0dc0d71b-77f1-4039-aa0d-73df1b05cbcc</t>
  </si>
  <si>
    <t>27792366153</t>
  </si>
  <si>
    <t>13556552</t>
  </si>
  <si>
    <t>d9571441-b492-44c1-b5db-aab264948674</t>
  </si>
  <si>
    <t>27724970479</t>
  </si>
  <si>
    <t>13558318</t>
  </si>
  <si>
    <t>41ec777e-0c68-4d70-9b11-77146446a318</t>
  </si>
  <si>
    <t>27792745910</t>
  </si>
  <si>
    <t>13558326</t>
  </si>
  <si>
    <t>50b0c908-1777-4d30-a4a6-85effce39a77</t>
  </si>
  <si>
    <t>27792791246</t>
  </si>
  <si>
    <t>13557439</t>
  </si>
  <si>
    <t>88f5f5e5-daba-4e81-9544-96c889951687</t>
  </si>
  <si>
    <t>2026-03-09 11:24:37</t>
  </si>
  <si>
    <t>27763730819</t>
  </si>
  <si>
    <t>13557371</t>
  </si>
  <si>
    <t>64ba6340-db77-4a0f-841c-101c95c85a7a</t>
  </si>
  <si>
    <t>27762980959</t>
  </si>
  <si>
    <t>13557376</t>
  </si>
  <si>
    <t>11297b93-bac3-4450-98f6-322ceed3d6f4</t>
  </si>
  <si>
    <t>27763009547</t>
  </si>
  <si>
    <t>13557381</t>
  </si>
  <si>
    <t>0cb854fa-d594-4aa0-abd1-21759a1105b5</t>
  </si>
  <si>
    <t>27763057820</t>
  </si>
  <si>
    <t>13556423</t>
  </si>
  <si>
    <t>0198f894-6498-45ae-bce6-4306f4134ca3</t>
  </si>
  <si>
    <t>27723691187</t>
  </si>
  <si>
    <t>13556435</t>
  </si>
  <si>
    <t>d7ecc59b-73c5-4c7e-a2f8-192d30a6ebfc</t>
  </si>
  <si>
    <t>27723816985</t>
  </si>
  <si>
    <t>13556451</t>
  </si>
  <si>
    <t>9c6b279d-ec39-4f66-a1a0-0f3dc125b770</t>
  </si>
  <si>
    <t>27724035938</t>
  </si>
  <si>
    <t>13556452</t>
  </si>
  <si>
    <t>844077cd-33de-44b0-baba-8b6762b80a51</t>
  </si>
  <si>
    <t>27724037218</t>
  </si>
  <si>
    <t>13557411</t>
  </si>
  <si>
    <t>ffa0d27b-8d38-456d-9afc-2b6686ded34f</t>
  </si>
  <si>
    <t>27763305407</t>
  </si>
  <si>
    <t>13557364</t>
  </si>
  <si>
    <t>d6f4f0e4-2f53-4ea4-b66c-0833bd70cd32</t>
  </si>
  <si>
    <t>2026-03-09 11:24:36</t>
  </si>
  <si>
    <t>27762926168</t>
  </si>
  <si>
    <t>13557365</t>
  </si>
  <si>
    <t>4036f233-5df8-42ef-909f-f066b3c71b14</t>
  </si>
  <si>
    <t>27762927364</t>
  </si>
  <si>
    <t>13557340</t>
  </si>
  <si>
    <t>75182732-cc00-4d53-a62d-fd8362e356f3</t>
  </si>
  <si>
    <t>2026-03-09 11:24:35</t>
  </si>
  <si>
    <t>27762755423</t>
  </si>
  <si>
    <t>13557359</t>
  </si>
  <si>
    <t>08c5808a-69c7-4477-add3-9a0d5eb972d0</t>
  </si>
  <si>
    <t>27762900578</t>
  </si>
  <si>
    <t>13557267</t>
  </si>
  <si>
    <t>164d876d-169d-408d-827d-494e2b054dc0</t>
  </si>
  <si>
    <t>2026-03-09 11:24:34</t>
  </si>
  <si>
    <t>27761866234</t>
  </si>
  <si>
    <t>13557268</t>
  </si>
  <si>
    <t>6ff50e16-1ea7-43cb-bf29-a7823d78eae3</t>
  </si>
  <si>
    <t>27761871319</t>
  </si>
  <si>
    <t>13557282</t>
  </si>
  <si>
    <t>48722b6b-b11e-43fe-af6e-0b4480ad946e</t>
  </si>
  <si>
    <t>27762064446</t>
  </si>
  <si>
    <t>13557306</t>
  </si>
  <si>
    <t>e1d4f41e-abec-4839-bc2f-cb75a401c852</t>
  </si>
  <si>
    <t>27762320789</t>
  </si>
  <si>
    <t>13557187</t>
  </si>
  <si>
    <t>216e1406-9f3c-4108-870d-f4f0d5e415b6</t>
  </si>
  <si>
    <t>2026-03-09 11:24:33</t>
  </si>
  <si>
    <t>27761061092</t>
  </si>
  <si>
    <t>13557259</t>
  </si>
  <si>
    <t>83b554c3-7152-4119-8018-0f91dd4e43c1</t>
  </si>
  <si>
    <t>27761788963</t>
  </si>
  <si>
    <t>13557215</t>
  </si>
  <si>
    <t>70bdad65-597f-4f4d-92fe-ce0045e4fec1</t>
  </si>
  <si>
    <t>27761354588</t>
  </si>
  <si>
    <t>13563345</t>
  </si>
  <si>
    <t>a21563f9-add4-4933-81e5-97387c35bf94</t>
  </si>
  <si>
    <t>2026-03-09 11:24:32</t>
  </si>
  <si>
    <t>27726259660</t>
  </si>
  <si>
    <t>13560581</t>
  </si>
  <si>
    <t>b07a4b66-aca4-45da-8fb1-88fa640a893a</t>
  </si>
  <si>
    <t>2026-03-09 11:24:05</t>
  </si>
  <si>
    <t>27724763677</t>
  </si>
  <si>
    <t>13561905</t>
  </si>
  <si>
    <t>d0a77e5b-06fd-432e-987f-12894ac1ffea</t>
  </si>
  <si>
    <t>27636779780</t>
  </si>
  <si>
    <t>13561912</t>
  </si>
  <si>
    <t>9cd781f3-4c33-4796-9cc1-498a6a63b716</t>
  </si>
  <si>
    <t>27798417155</t>
  </si>
  <si>
    <t>13561913</t>
  </si>
  <si>
    <t>f8dc1b3b-8276-417a-90a1-169d661d3ac0</t>
  </si>
  <si>
    <t>27823447760</t>
  </si>
  <si>
    <t>13558859</t>
  </si>
  <si>
    <t>270f8601-393c-4fcc-9ec7-6d2b08070854</t>
  </si>
  <si>
    <t>2026-03-09 11:23:58</t>
  </si>
  <si>
    <t>27799410849</t>
  </si>
  <si>
    <t>13559804</t>
  </si>
  <si>
    <t>56a135f7-04bd-4ae1-aa29-b55bb9f8352f</t>
  </si>
  <si>
    <t>27772835170</t>
  </si>
  <si>
    <t>13561324</t>
  </si>
  <si>
    <t>35f1233e-692b-4e30-84c6-10c6e35c43c3</t>
  </si>
  <si>
    <t>27663186282</t>
  </si>
  <si>
    <t>13557311</t>
  </si>
  <si>
    <t>1ebffb1e-45ce-4900-af78-1cbaac290938</t>
  </si>
  <si>
    <t>2026-03-09 11:23:57</t>
  </si>
  <si>
    <t>27762356645</t>
  </si>
  <si>
    <t>13557317</t>
  </si>
  <si>
    <t>9bb29313-ac32-479c-91aa-5338eb9db592</t>
  </si>
  <si>
    <t>27762423258</t>
  </si>
  <si>
    <t>13559807</t>
  </si>
  <si>
    <t>d96c1161-617b-4bae-85df-482491f27594</t>
  </si>
  <si>
    <t>27714532325</t>
  </si>
  <si>
    <t>13559808</t>
  </si>
  <si>
    <t>a8f1db26-6dad-40a9-b50e-285bd9922969</t>
  </si>
  <si>
    <t>27661037534</t>
  </si>
  <si>
    <t>13557292</t>
  </si>
  <si>
    <t>399a3c2b-22ce-4725-9802-ff98455e35e0</t>
  </si>
  <si>
    <t>2026-03-09 11:23:55</t>
  </si>
  <si>
    <t>27762152308</t>
  </si>
  <si>
    <t>13557303</t>
  </si>
  <si>
    <t>3fdbe43b-ae49-4b7b-b69d-f40ee711c31a</t>
  </si>
  <si>
    <t>27762271623</t>
  </si>
  <si>
    <t>13557304</t>
  </si>
  <si>
    <t>ba1f892f-d91c-4ef1-9837-153aa9261a9b</t>
  </si>
  <si>
    <t>27762274385</t>
  </si>
  <si>
    <t>13557309</t>
  </si>
  <si>
    <t>02497dc9-9748-45ac-86c0-13bf5cc6a9f8</t>
  </si>
  <si>
    <t>27762345258</t>
  </si>
  <si>
    <t>13560601</t>
  </si>
  <si>
    <t>acbd0afd-71bc-4748-b5ee-30b509b1a6ef</t>
  </si>
  <si>
    <t>27792068900</t>
  </si>
  <si>
    <t>13557269</t>
  </si>
  <si>
    <t>a7dd3e76-1972-453d-b455-a90b5c67ceae</t>
  </si>
  <si>
    <t>2026-03-09 11:23:54</t>
  </si>
  <si>
    <t>27761873175</t>
  </si>
  <si>
    <t>13557272</t>
  </si>
  <si>
    <t>b8ad3f36-9c8b-468d-9665-e0a77117b66b</t>
  </si>
  <si>
    <t>27761941097</t>
  </si>
  <si>
    <t>13557290</t>
  </si>
  <si>
    <t>9fd58f70-493b-44b3-b3c4-20b995c0ec14</t>
  </si>
  <si>
    <t>27762138754</t>
  </si>
  <si>
    <t>13561330</t>
  </si>
  <si>
    <t>a499a9ca-b65a-4b9f-8333-2d92eaf7c984</t>
  </si>
  <si>
    <t>27661911114</t>
  </si>
  <si>
    <t>13561331</t>
  </si>
  <si>
    <t>a5625a97-ecdc-48da-8989-04d1fb4bdb64</t>
  </si>
  <si>
    <t>27715115228</t>
  </si>
  <si>
    <t>13561333</t>
  </si>
  <si>
    <t>be25e565-1c6b-4a3f-9ab0-bb57b23ba933</t>
  </si>
  <si>
    <t>27721275737</t>
  </si>
  <si>
    <t>13557249</t>
  </si>
  <si>
    <t>f2568200-0452-4c94-911d-be327bd403f7</t>
  </si>
  <si>
    <t>2026-03-09 11:23:53</t>
  </si>
  <si>
    <t>27761719674</t>
  </si>
  <si>
    <t>13557252</t>
  </si>
  <si>
    <t>71ba7476-dd4d-4e5f-a6c4-43da4731489a</t>
  </si>
  <si>
    <t>27761734034</t>
  </si>
  <si>
    <t>13557254</t>
  </si>
  <si>
    <t>dd535db8-a78a-4e4c-b0e4-677a8636614c</t>
  </si>
  <si>
    <t>27761759923</t>
  </si>
  <si>
    <t>13557263</t>
  </si>
  <si>
    <t>d4e67b31-6369-4369-9ebf-54bef776d612</t>
  </si>
  <si>
    <t>27761837024</t>
  </si>
  <si>
    <t>13561339</t>
  </si>
  <si>
    <t>5640fe88-725c-4c0a-a89c-fa990c27ccb1</t>
  </si>
  <si>
    <t>27726892345</t>
  </si>
  <si>
    <t>13557233</t>
  </si>
  <si>
    <t>2b8d72cb-82e3-453a-b8df-bfb06cfe6927</t>
  </si>
  <si>
    <t>2026-03-09 11:23:52</t>
  </si>
  <si>
    <t>27761553213</t>
  </si>
  <si>
    <t>13557224</t>
  </si>
  <si>
    <t>3679a77b-734b-4a36-abfd-2966277fd009</t>
  </si>
  <si>
    <t>2026-03-09 11:23:51</t>
  </si>
  <si>
    <t>27761456826</t>
  </si>
  <si>
    <t>13557231</t>
  </si>
  <si>
    <t>ee91f1db-6716-4609-9746-1e9c7760145c</t>
  </si>
  <si>
    <t>27761546274</t>
  </si>
  <si>
    <t>13557219</t>
  </si>
  <si>
    <t>a3cf7013-7822-4969-b6ff-f66f697f5a96</t>
  </si>
  <si>
    <t>27761385324</t>
  </si>
  <si>
    <t>13559809</t>
  </si>
  <si>
    <t>9bd07b86-d72b-4b33-81d1-e18cd5b75638</t>
  </si>
  <si>
    <t>27825819984</t>
  </si>
  <si>
    <t>13560606</t>
  </si>
  <si>
    <t>b48088e4-bde9-4e86-9235-dcf37f366091</t>
  </si>
  <si>
    <t>27791420440</t>
  </si>
  <si>
    <t>13557212</t>
  </si>
  <si>
    <t>7cc1cac0-94f0-4660-b768-464e2d636491</t>
  </si>
  <si>
    <t>2026-03-09 11:23:48</t>
  </si>
  <si>
    <t>27761320266</t>
  </si>
  <si>
    <t>13557197</t>
  </si>
  <si>
    <t>f8a2ad1b-d0ce-43d3-88ec-29a4c980efcb</t>
  </si>
  <si>
    <t>2026-03-09 11:23:47</t>
  </si>
  <si>
    <t>27761179953</t>
  </si>
  <si>
    <t>13557199</t>
  </si>
  <si>
    <t>f1071b3b-e223-475b-9ed0-78e22614263d</t>
  </si>
  <si>
    <t>27761183414</t>
  </si>
  <si>
    <t>13557206</t>
  </si>
  <si>
    <t>f8a0f316-ddd7-4d45-a740-0448c596c44f</t>
  </si>
  <si>
    <t>27761243970</t>
  </si>
  <si>
    <t>13559815</t>
  </si>
  <si>
    <t>a4a3a9df-4b1b-4929-b556-344d4075b11a</t>
  </si>
  <si>
    <t>27762543668</t>
  </si>
  <si>
    <t>13559817</t>
  </si>
  <si>
    <t>ae80fbdb-92b8-46ad-966d-dba4be885447</t>
  </si>
  <si>
    <t>27796719702</t>
  </si>
  <si>
    <t>13557189</t>
  </si>
  <si>
    <t>575a0706-8c2e-4930-a768-b25a5a4e560a</t>
  </si>
  <si>
    <t>2026-03-09 11:23:46</t>
  </si>
  <si>
    <t>27761088383</t>
  </si>
  <si>
    <t>13557194</t>
  </si>
  <si>
    <t>b92379db-e2b7-4eab-9361-a9b99df52f5e</t>
  </si>
  <si>
    <t>27761134974</t>
  </si>
  <si>
    <t>13557196</t>
  </si>
  <si>
    <t>be72d75d-d52b-4d38-aca6-edcafe511ba6</t>
  </si>
  <si>
    <t>27761143193</t>
  </si>
  <si>
    <t>13561341</t>
  </si>
  <si>
    <t>40499a39-46e2-4444-8b78-8cbd88608024</t>
  </si>
  <si>
    <t>27675790682</t>
  </si>
  <si>
    <t>13557181</t>
  </si>
  <si>
    <t>6fc9c139-a8bd-4d9e-bb01-9c1668db2f6e</t>
  </si>
  <si>
    <t>2026-03-09 11:23:45</t>
  </si>
  <si>
    <t>27761014141</t>
  </si>
  <si>
    <t>13559712</t>
  </si>
  <si>
    <t>5320010a-3f51-40ed-a981-f064e9e19085</t>
  </si>
  <si>
    <t>2026-03-09 11:23:19</t>
  </si>
  <si>
    <t>27766999058</t>
  </si>
  <si>
    <t>13563440</t>
  </si>
  <si>
    <t>62e62e39-0cd5-4306-a89a-e331ce9f9fb3</t>
  </si>
  <si>
    <t>27767798967</t>
  </si>
  <si>
    <t>13561757</t>
  </si>
  <si>
    <t>4a5fa26f-9ecd-4bd7-87bc-85914d90ea59</t>
  </si>
  <si>
    <t>2026-03-09 11:23:17</t>
  </si>
  <si>
    <t>27665523796</t>
  </si>
  <si>
    <t>13561760</t>
  </si>
  <si>
    <t>c74b69e9-25aa-477a-999d-21b32ce84606</t>
  </si>
  <si>
    <t>27772011521</t>
  </si>
  <si>
    <t>13555613</t>
  </si>
  <si>
    <t>fe81ee46-2f50-4879-9b76-32ba4e9c4ad1</t>
  </si>
  <si>
    <t>2026-03-09 11:23:16</t>
  </si>
  <si>
    <t>27712135593</t>
  </si>
  <si>
    <t>13557664</t>
  </si>
  <si>
    <t>fc4fdff5-df41-4c78-ab36-d641d5e5a12a</t>
  </si>
  <si>
    <t>2026-03-09 11:23:15</t>
  </si>
  <si>
    <t>27766206202</t>
  </si>
  <si>
    <t>13557650</t>
  </si>
  <si>
    <t>6e1d7af1-32ee-4469-ba4a-c5cd4b08c570</t>
  </si>
  <si>
    <t>2026-03-09 11:23:14</t>
  </si>
  <si>
    <t>27766036254</t>
  </si>
  <si>
    <t>13557658</t>
  </si>
  <si>
    <t>dab62c30-1be2-4891-986a-b977c8e45f2e</t>
  </si>
  <si>
    <t>27766166879</t>
  </si>
  <si>
    <t>13559920</t>
  </si>
  <si>
    <t>6fe434fe-d353-4ccd-a71e-aa1eae210efa</t>
  </si>
  <si>
    <t>27818431032</t>
  </si>
  <si>
    <t>13559921</t>
  </si>
  <si>
    <t>72358c77-07af-4550-bbad-ebc2296127f9</t>
  </si>
  <si>
    <t>27820482474</t>
  </si>
  <si>
    <t>13560790</t>
  </si>
  <si>
    <t>56bd70e2-608d-4004-880c-15aab785feaa</t>
  </si>
  <si>
    <t>27820634647</t>
  </si>
  <si>
    <t>13557633</t>
  </si>
  <si>
    <t>ee0c53f7-c854-4890-89b0-ce8b0dac0567</t>
  </si>
  <si>
    <t>2026-03-09 11:23:13</t>
  </si>
  <si>
    <t>27765858797</t>
  </si>
  <si>
    <t>13557649</t>
  </si>
  <si>
    <t>4ed5d0c5-eb79-47ee-96a2-e7a29874115a</t>
  </si>
  <si>
    <t>27766026634</t>
  </si>
  <si>
    <t>13560794</t>
  </si>
  <si>
    <t>7d01f62e-fbd1-40bd-a748-9d0425748f26</t>
  </si>
  <si>
    <t>27798524805</t>
  </si>
  <si>
    <t>13557629</t>
  </si>
  <si>
    <t>f0b4cd6e-c6be-43d1-be97-dd962527c17e</t>
  </si>
  <si>
    <t>2026-03-09 11:23:12</t>
  </si>
  <si>
    <t>27765800241</t>
  </si>
  <si>
    <t>13557628</t>
  </si>
  <si>
    <t>c5f37867-e9b1-4172-b995-8e19d9f9c11d</t>
  </si>
  <si>
    <t>2026-03-09 11:23:11</t>
  </si>
  <si>
    <t>27765793872</t>
  </si>
  <si>
    <t>13557619</t>
  </si>
  <si>
    <t>b933fda5-0707-42f0-a3f0-014b17e3b974</t>
  </si>
  <si>
    <t>2026-03-09 11:23:10</t>
  </si>
  <si>
    <t>27765690768</t>
  </si>
  <si>
    <t>13557600</t>
  </si>
  <si>
    <t>97df489b-c5a6-4ab7-9a7f-91c1cc3f06a0</t>
  </si>
  <si>
    <t>2026-03-09 11:23:09</t>
  </si>
  <si>
    <t>27765532694</t>
  </si>
  <si>
    <t>13557604</t>
  </si>
  <si>
    <t>e7d30fd2-b99b-4ec9-9825-82049dbb4015</t>
  </si>
  <si>
    <t>27765550999</t>
  </si>
  <si>
    <t>13557614</t>
  </si>
  <si>
    <t>559adf04-912d-49d8-981e-1f97be7462a1</t>
  </si>
  <si>
    <t>27765659767</t>
  </si>
  <si>
    <t>13559922</t>
  </si>
  <si>
    <t>75268498-df53-48cd-9c1b-8bef0fa992cc</t>
  </si>
  <si>
    <t>27665707897</t>
  </si>
  <si>
    <t>13559925</t>
  </si>
  <si>
    <t>c5781ebc-ef9e-4159-85a6-de349e9b6324</t>
  </si>
  <si>
    <t>27649941998</t>
  </si>
  <si>
    <t>13557587</t>
  </si>
  <si>
    <t>eb20cd8c-9b2f-4c11-a89c-62dfadffa43a</t>
  </si>
  <si>
    <t>2026-03-09 11:23:08</t>
  </si>
  <si>
    <t>27765396902</t>
  </si>
  <si>
    <t>13559936</t>
  </si>
  <si>
    <t>f506fa48-614b-4a02-887c-e16dd58eaf1d</t>
  </si>
  <si>
    <t>27722540695</t>
  </si>
  <si>
    <t>13561240</t>
  </si>
  <si>
    <t>10d57b21-c5c2-4b93-9a4d-9056bd9bc20e</t>
  </si>
  <si>
    <t>27665957191</t>
  </si>
  <si>
    <t>13560795</t>
  </si>
  <si>
    <t>4d02a03a-d22a-4b63-a7f1-668b0f83e560</t>
  </si>
  <si>
    <t>27798570553</t>
  </si>
  <si>
    <t>13560796</t>
  </si>
  <si>
    <t>a34ce6a1-0b9c-444e-be75-12c229425999</t>
  </si>
  <si>
    <t>27818623224</t>
  </si>
  <si>
    <t>13561765</t>
  </si>
  <si>
    <t>668453d4-42f6-43ad-beb7-d51d12b94da7</t>
  </si>
  <si>
    <t>27663447587</t>
  </si>
  <si>
    <t>13559938</t>
  </si>
  <si>
    <t>ca4cd75b-1745-4a6c-a89b-b311adcc64cd</t>
  </si>
  <si>
    <t>2026-03-09 11:23:07</t>
  </si>
  <si>
    <t>27713684789</t>
  </si>
  <si>
    <t>13559943</t>
  </si>
  <si>
    <t>897b0e74-44c6-4099-8190-eb3f3f1b1cb5</t>
  </si>
  <si>
    <t>27726189218</t>
  </si>
  <si>
    <t>13560803</t>
  </si>
  <si>
    <t>49aeab8b-67a8-4808-b555-59384214fa3d</t>
  </si>
  <si>
    <t>27774524584</t>
  </si>
  <si>
    <t>13560804</t>
  </si>
  <si>
    <t>835dbd32-8e72-4056-a457-f664a2f6ba40</t>
  </si>
  <si>
    <t>27664159679</t>
  </si>
  <si>
    <t>13561766</t>
  </si>
  <si>
    <t>e82ad316-ac2c-4c66-b40a-b3a45f9e63d5</t>
  </si>
  <si>
    <t>27794696774</t>
  </si>
  <si>
    <t>13559945</t>
  </si>
  <si>
    <t>3930c689-c392-45f1-ae05-c46061918ebc</t>
  </si>
  <si>
    <t>2026-03-09 11:23:06</t>
  </si>
  <si>
    <t>27795365049</t>
  </si>
  <si>
    <t>13559979</t>
  </si>
  <si>
    <t>730a9db3-ba60-400a-93fa-422df6fa1c7c</t>
  </si>
  <si>
    <t>27715858674</t>
  </si>
  <si>
    <t>13559980</t>
  </si>
  <si>
    <t>bad4e538-9fe1-4ce7-b980-7703908a26b0</t>
  </si>
  <si>
    <t>27724844640</t>
  </si>
  <si>
    <t>13561769</t>
  </si>
  <si>
    <t>09c3df1d-da93-41bd-b022-6aef534d5acc</t>
  </si>
  <si>
    <t>27649956450</t>
  </si>
  <si>
    <t>13561874</t>
  </si>
  <si>
    <t>c33657ee-5295-4619-b9ae-eebeb025c9d2</t>
  </si>
  <si>
    <t>27607181863</t>
  </si>
  <si>
    <t>13561875</t>
  </si>
  <si>
    <t>1f3d65d8-e312-4c46-bf93-9d3147c00163</t>
  </si>
  <si>
    <t>27637860427</t>
  </si>
  <si>
    <t>13558325</t>
  </si>
  <si>
    <t>6bd396e3-3337-4dc5-b6b7-f1ab8659b43c</t>
  </si>
  <si>
    <t>2026-03-09 11:23:05</t>
  </si>
  <si>
    <t>27792788741</t>
  </si>
  <si>
    <t>13560817</t>
  </si>
  <si>
    <t>8dc1f4e6-4684-4048-a3c0-e2c5c3c6e882</t>
  </si>
  <si>
    <t>27721890500</t>
  </si>
  <si>
    <t>13561876</t>
  </si>
  <si>
    <t>e316aa70-8da3-4d15-b964-d79500e67d3e</t>
  </si>
  <si>
    <t>27761428020</t>
  </si>
  <si>
    <t>13561878</t>
  </si>
  <si>
    <t>0fa1042b-b8e9-4137-9acb-e04667223dc8</t>
  </si>
  <si>
    <t>27799818167</t>
  </si>
  <si>
    <t>13558311</t>
  </si>
  <si>
    <t>4e43dbb7-5f5a-43ec-b458-1a607c2aeb26</t>
  </si>
  <si>
    <t>2026-03-09 11:23:04</t>
  </si>
  <si>
    <t>27792690582</t>
  </si>
  <si>
    <t>13556439</t>
  </si>
  <si>
    <t>15d48887-f9c8-440a-afee-069e05f5edd6</t>
  </si>
  <si>
    <t>2026-03-09 11:23:02</t>
  </si>
  <si>
    <t>27723897390</t>
  </si>
  <si>
    <t>13560833</t>
  </si>
  <si>
    <t>662c19ec-1470-46f0-b727-e430df9ccaf3</t>
  </si>
  <si>
    <t>27727924881</t>
  </si>
  <si>
    <t>13561894</t>
  </si>
  <si>
    <t>35d5f8ba-605f-4f78-bdd6-8fe45bd62d68</t>
  </si>
  <si>
    <t>27769592500</t>
  </si>
  <si>
    <t>13561888</t>
  </si>
  <si>
    <t>c85463d6-2dcd-4a50-8055-84ac88dafead</t>
  </si>
  <si>
    <t>27730337733</t>
  </si>
  <si>
    <t>13560432</t>
  </si>
  <si>
    <t>65cf468d-a331-43a8-906a-c797f35eb0eb</t>
  </si>
  <si>
    <t>2026-03-09 11:23:01</t>
  </si>
  <si>
    <t>27720876605</t>
  </si>
  <si>
    <t>13561227</t>
  </si>
  <si>
    <t>09b4505b-ccd1-4a7a-9149-9bf3882ba45f</t>
  </si>
  <si>
    <t>27721240238</t>
  </si>
  <si>
    <t>13560837</t>
  </si>
  <si>
    <t>afed55fb-5823-43b5-94f2-e64fd69ec951</t>
  </si>
  <si>
    <t>27673584585</t>
  </si>
  <si>
    <t>13561896</t>
  </si>
  <si>
    <t>4f5b2509-e8c8-4705-b217-220ea0b0e9de</t>
  </si>
  <si>
    <t>27764602107</t>
  </si>
  <si>
    <t>13559985</t>
  </si>
  <si>
    <t>c62132a8-c4c2-4bd2-b811-eec608fcffc1</t>
  </si>
  <si>
    <t>2026-03-09 11:23:00</t>
  </si>
  <si>
    <t>27712501144</t>
  </si>
  <si>
    <t>13561214</t>
  </si>
  <si>
    <t>eb5cd904-94d2-4a81-a78b-568bf5bdb10a</t>
  </si>
  <si>
    <t>27660783623</t>
  </si>
  <si>
    <t>13561216</t>
  </si>
  <si>
    <t>779d54a9-989e-48fa-bd91-981c078ff947</t>
  </si>
  <si>
    <t>27664579205</t>
  </si>
  <si>
    <t>13561885</t>
  </si>
  <si>
    <t>1f83e12f-d716-4100-a642-0d7804daaa68</t>
  </si>
  <si>
    <t>27711802807</t>
  </si>
  <si>
    <t>13556512</t>
  </si>
  <si>
    <t>a3fa89f3-5c3d-48ea-ad87-df77a2c8d9eb</t>
  </si>
  <si>
    <t>2026-03-09 11:22:59</t>
  </si>
  <si>
    <t>27724578789</t>
  </si>
  <si>
    <t>13561222</t>
  </si>
  <si>
    <t>c15b39da-5ae2-48b2-9f38-054db1543567</t>
  </si>
  <si>
    <t>27606129539</t>
  </si>
  <si>
    <t>13561891</t>
  </si>
  <si>
    <t>ce12ae9e-4698-497e-84bd-9010099980b7</t>
  </si>
  <si>
    <t>27795769854</t>
  </si>
  <si>
    <t>13561887</t>
  </si>
  <si>
    <t>68918ef8-637a-4088-b157-8f3fa2a9c6cb</t>
  </si>
  <si>
    <t>27822267175</t>
  </si>
  <si>
    <t>13563874</t>
  </si>
  <si>
    <t>2980955c-5910-4b70-a7b8-a6d770a285f6</t>
  </si>
  <si>
    <t>2026-03-09 11:22:38</t>
  </si>
  <si>
    <t>27608639387</t>
  </si>
  <si>
    <t>13563875</t>
  </si>
  <si>
    <t>b2fe7b78-40df-4176-8bfa-ecec97ad6802</t>
  </si>
  <si>
    <t>27727080716</t>
  </si>
  <si>
    <t>13563889</t>
  </si>
  <si>
    <t>b9371304-524b-426d-945b-a88874b451bc</t>
  </si>
  <si>
    <t>27764774949</t>
  </si>
  <si>
    <t>13563896</t>
  </si>
  <si>
    <t>8e1a56b1-1876-4907-9610-14be9e9e7ee0</t>
  </si>
  <si>
    <t>27675787827</t>
  </si>
  <si>
    <t>13563844</t>
  </si>
  <si>
    <t>41324fc6-997f-47cc-ada4-6a30b6ea88b4</t>
  </si>
  <si>
    <t>2026-03-09 11:22:37</t>
  </si>
  <si>
    <t>27766881843</t>
  </si>
  <si>
    <t>13563872</t>
  </si>
  <si>
    <t>1f005919-768d-44b9-b14d-8cdb38267674</t>
  </si>
  <si>
    <t>27767052106</t>
  </si>
  <si>
    <t>13564180</t>
  </si>
  <si>
    <t>aa572485-4862-4b91-b84d-782db35434cd</t>
  </si>
  <si>
    <t>27766317246</t>
  </si>
  <si>
    <t>13562150</t>
  </si>
  <si>
    <t>045ea966-62c1-4c66-a6a5-5791c15fabac</t>
  </si>
  <si>
    <t>2026-03-09 11:22:36</t>
  </si>
  <si>
    <t>27728845535</t>
  </si>
  <si>
    <t>13562133</t>
  </si>
  <si>
    <t>0f16e83b-d0ea-46ed-bca6-733dbc6f9070</t>
  </si>
  <si>
    <t>2026-03-09 11:22:34</t>
  </si>
  <si>
    <t>27609229443</t>
  </si>
  <si>
    <t>13564034</t>
  </si>
  <si>
    <t>bc7b5814-e6d1-411c-bac7-6efad997b858</t>
  </si>
  <si>
    <t>27716933972</t>
  </si>
  <si>
    <t>13562108</t>
  </si>
  <si>
    <t>bba1d85f-12da-4570-9c7d-4062dd860441</t>
  </si>
  <si>
    <t>2026-03-09 11:22:33</t>
  </si>
  <si>
    <t>27673109539</t>
  </si>
  <si>
    <t>13562124</t>
  </si>
  <si>
    <t>f58bd56d-0e66-43d7-89d2-628a595aaf82</t>
  </si>
  <si>
    <t>27648141955</t>
  </si>
  <si>
    <t>13562126</t>
  </si>
  <si>
    <t>46c13587-f46b-4dc9-8f0d-bf3fb672269d</t>
  </si>
  <si>
    <t>27712119763</t>
  </si>
  <si>
    <t>13562050</t>
  </si>
  <si>
    <t>e100b12d-b58e-40e0-95ae-c6aeb90478ca</t>
  </si>
  <si>
    <t>27769307695</t>
  </si>
  <si>
    <t>13562054</t>
  </si>
  <si>
    <t>47a2c153-7474-4fec-93e7-2cdbbd8f58dd</t>
  </si>
  <si>
    <t>27795760873</t>
  </si>
  <si>
    <t>13562021</t>
  </si>
  <si>
    <t>7faf7845-acc6-44ca-9790-585a09206c5b</t>
  </si>
  <si>
    <t>2026-03-09 11:22:32</t>
  </si>
  <si>
    <t>27727671674</t>
  </si>
  <si>
    <t>13562025</t>
  </si>
  <si>
    <t>2c0edef2-990f-4f6a-af05-9e5a7fe367bc</t>
  </si>
  <si>
    <t>27799784106</t>
  </si>
  <si>
    <t>13562368</t>
  </si>
  <si>
    <t>77be278a-6c43-480a-9682-44241d8880fa</t>
  </si>
  <si>
    <t>27764351064</t>
  </si>
  <si>
    <t>13561631</t>
  </si>
  <si>
    <t>ce8f3792-c99b-43a9-aa9b-3f9aa368170c</t>
  </si>
  <si>
    <t>2026-03-09 11:22:28</t>
  </si>
  <si>
    <t>27713685035</t>
  </si>
  <si>
    <t>13562010</t>
  </si>
  <si>
    <t>76b616c5-45e6-4ad4-b63b-38aacebb0d20</t>
  </si>
  <si>
    <t>27769788536</t>
  </si>
  <si>
    <t>13562011</t>
  </si>
  <si>
    <t>2ddf640e-8d52-4a05-bac6-6f2bfc3695c5</t>
  </si>
  <si>
    <t>27790971596</t>
  </si>
  <si>
    <t>13561980</t>
  </si>
  <si>
    <t>0f21be32-1ed3-4aa2-a745-9a9d7a15b1bf</t>
  </si>
  <si>
    <t>27791320422</t>
  </si>
  <si>
    <t>13562384</t>
  </si>
  <si>
    <t>85328112-60a7-43d3-8d67-0fdbd1b2090b</t>
  </si>
  <si>
    <t>27664400308</t>
  </si>
  <si>
    <t>13556212</t>
  </si>
  <si>
    <t>65b0995d-35a2-4ae9-9770-acfede82ea3a</t>
  </si>
  <si>
    <t>2026-03-09 11:22:21</t>
  </si>
  <si>
    <t>27721605132</t>
  </si>
  <si>
    <t>13557960</t>
  </si>
  <si>
    <t>e7867cd9-9971-4904-8c06-68189e95b3fb</t>
  </si>
  <si>
    <t>27769058540</t>
  </si>
  <si>
    <t>13557976</t>
  </si>
  <si>
    <t>edafc4ef-2e9d-4eb4-aad2-deb51847126d</t>
  </si>
  <si>
    <t>27769235330</t>
  </si>
  <si>
    <t>13560807</t>
  </si>
  <si>
    <t>d1134b34-beda-4db4-8ef2-d49e1c755e8f</t>
  </si>
  <si>
    <t>27673798919</t>
  </si>
  <si>
    <t>13561708</t>
  </si>
  <si>
    <t>6fad8143-9529-42d3-b83a-9b56c4878d1d</t>
  </si>
  <si>
    <t>27606594685</t>
  </si>
  <si>
    <t>13557952</t>
  </si>
  <si>
    <t>f052e049-4b8c-434a-a672-eac38fc9fa59</t>
  </si>
  <si>
    <t>2026-03-09 11:22:20</t>
  </si>
  <si>
    <t>27769011955</t>
  </si>
  <si>
    <t>13557959</t>
  </si>
  <si>
    <t>109f1bfb-dd69-4faa-8e30-642a8e04c15f</t>
  </si>
  <si>
    <t>27769058284</t>
  </si>
  <si>
    <t>13557915</t>
  </si>
  <si>
    <t>07642530-78e4-4348-8de9-ced7b8e78fbb</t>
  </si>
  <si>
    <t>27768668852</t>
  </si>
  <si>
    <t>13557917</t>
  </si>
  <si>
    <t>41f0138d-d8b5-4349-be12-30c2b6a5b4ec</t>
  </si>
  <si>
    <t>27768693447</t>
  </si>
  <si>
    <t>13557923</t>
  </si>
  <si>
    <t>80a4b3cd-65fb-4f14-b067-c49b75e5a658</t>
  </si>
  <si>
    <t>27768768865</t>
  </si>
  <si>
    <t>13557931</t>
  </si>
  <si>
    <t>b5a3c963-7e22-4a19-a8fd-0055ff9f0794</t>
  </si>
  <si>
    <t>27768800480</t>
  </si>
  <si>
    <t>13557937</t>
  </si>
  <si>
    <t>3049db4a-d486-40de-8e9f-dd85717a1924</t>
  </si>
  <si>
    <t>27768836359</t>
  </si>
  <si>
    <t>13557941</t>
  </si>
  <si>
    <t>1c7b690a-d222-41de-bcee-050a1cd439ba</t>
  </si>
  <si>
    <t>27768884055</t>
  </si>
  <si>
    <t>13559947</t>
  </si>
  <si>
    <t>50cf3777-56c3-463e-aa14-e6b9cc3bc785</t>
  </si>
  <si>
    <t>27608280700</t>
  </si>
  <si>
    <t>13561709</t>
  </si>
  <si>
    <t>fdca4a5e-6cd5-41b4-9ec2-17e3fd87ccde</t>
  </si>
  <si>
    <t>27714111883</t>
  </si>
  <si>
    <t>13557890</t>
  </si>
  <si>
    <t>1c7df236-2be5-4e2f-9177-0e9735e1c30f</t>
  </si>
  <si>
    <t>2026-03-09 11:22:19</t>
  </si>
  <si>
    <t>27768298645</t>
  </si>
  <si>
    <t>13557898</t>
  </si>
  <si>
    <t>cf000260-b968-480d-acf6-611de2aaab78</t>
  </si>
  <si>
    <t>27768435055</t>
  </si>
  <si>
    <t>13557902</t>
  </si>
  <si>
    <t>5a1ad11c-379a-45d2-a252-adf14cf98cdd</t>
  </si>
  <si>
    <t>27768516938</t>
  </si>
  <si>
    <t>13557904</t>
  </si>
  <si>
    <t>3c92d6ff-68f0-49c9-b38b-997b628f6e9e</t>
  </si>
  <si>
    <t>27768524307</t>
  </si>
  <si>
    <t>13557909</t>
  </si>
  <si>
    <t>36616310-0fbe-4777-8053-bce2a52416ae</t>
  </si>
  <si>
    <t>27768588459</t>
  </si>
  <si>
    <t>13557913</t>
  </si>
  <si>
    <t>c10a5da5-e1c6-409f-85da-24323011a4c2</t>
  </si>
  <si>
    <t>27768623359</t>
  </si>
  <si>
    <t>13557914</t>
  </si>
  <si>
    <t>3f20de6f-6d6c-48e9-aea7-d96e4edd11df</t>
  </si>
  <si>
    <t>27768661259</t>
  </si>
  <si>
    <t>13559950</t>
  </si>
  <si>
    <t>a103ac9a-a090-4134-a4a8-cba625fc7cc3</t>
  </si>
  <si>
    <t>27794494770</t>
  </si>
  <si>
    <t>13560815</t>
  </si>
  <si>
    <t>13e50896-d879-46f2-aaaf-d1541e322cb1</t>
  </si>
  <si>
    <t>27661651437</t>
  </si>
  <si>
    <t>13561711</t>
  </si>
  <si>
    <t>4abc29ef-ab28-4710-8e80-1694dfff3f65</t>
  </si>
  <si>
    <t>27721447595</t>
  </si>
  <si>
    <t>13557859</t>
  </si>
  <si>
    <t>f393cead-8dbf-42dc-a617-cec8cb414f3b</t>
  </si>
  <si>
    <t>2026-03-09 11:22:18</t>
  </si>
  <si>
    <t>27768071010</t>
  </si>
  <si>
    <t>13557845</t>
  </si>
  <si>
    <t>84cdb9dc-6493-41d1-a27a-b08a3511b474</t>
  </si>
  <si>
    <t>27767936115</t>
  </si>
  <si>
    <t>13557848</t>
  </si>
  <si>
    <t>36fd4589-c227-47a9-a08a-9efcf45ee331</t>
  </si>
  <si>
    <t>27767965853</t>
  </si>
  <si>
    <t>13557849</t>
  </si>
  <si>
    <t>beccf4cf-9017-48c6-95c8-f2c1a2b9e327</t>
  </si>
  <si>
    <t>27767968556</t>
  </si>
  <si>
    <t>13559958</t>
  </si>
  <si>
    <t>9944b1f5-8922-4656-a805-11de99388e40</t>
  </si>
  <si>
    <t>27649958332</t>
  </si>
  <si>
    <t>13557801</t>
  </si>
  <si>
    <t>16e9b3ac-eade-441c-8145-3ce858495c71</t>
  </si>
  <si>
    <t>2026-03-09 11:22:16</t>
  </si>
  <si>
    <t>27767521915</t>
  </si>
  <si>
    <t>13557811</t>
  </si>
  <si>
    <t>c8684c86-0baf-4c4a-a573-67a22015ef20</t>
  </si>
  <si>
    <t>27767599930</t>
  </si>
  <si>
    <t>13557815</t>
  </si>
  <si>
    <t>9bcdc4c9-02f0-4261-befe-e669f0c856f9</t>
  </si>
  <si>
    <t>27767652285</t>
  </si>
  <si>
    <t>13557828</t>
  </si>
  <si>
    <t>75c7bf4d-8331-46aa-a595-db144fdd9eb4</t>
  </si>
  <si>
    <t>27767752651</t>
  </si>
  <si>
    <t>13557829</t>
  </si>
  <si>
    <t>d1cadc3e-fd05-4ce1-b5ea-b0399f57eafc</t>
  </si>
  <si>
    <t>27767757594</t>
  </si>
  <si>
    <t>13561715</t>
  </si>
  <si>
    <t>2f8d0cf9-55e5-4fe9-bfbd-f7a36d687451</t>
  </si>
  <si>
    <t>27720665034</t>
  </si>
  <si>
    <t>13557769</t>
  </si>
  <si>
    <t>8c1406c4-d961-439c-b774-3372c2f950a1</t>
  </si>
  <si>
    <t>2026-03-09 11:22:15</t>
  </si>
  <si>
    <t>27767225145</t>
  </si>
  <si>
    <t>13557771</t>
  </si>
  <si>
    <t>96678e11-57d9-4c20-9eaa-fceecacf1d76</t>
  </si>
  <si>
    <t>27767234245</t>
  </si>
  <si>
    <t>13557786</t>
  </si>
  <si>
    <t>e0c600a3-fde0-477b-b62d-7517282218c4</t>
  </si>
  <si>
    <t>27767401621</t>
  </si>
  <si>
    <t>13557793</t>
  </si>
  <si>
    <t>1543b39a-fb42-485a-ae96-6918f65a42e0</t>
  </si>
  <si>
    <t>27767453284</t>
  </si>
  <si>
    <t>13557796</t>
  </si>
  <si>
    <t>1c438cde-5188-44bd-82f8-e2e1f28382fe</t>
  </si>
  <si>
    <t>27767489551</t>
  </si>
  <si>
    <t>13561716</t>
  </si>
  <si>
    <t>5ace935a-5075-4989-b724-2d279e31ae38</t>
  </si>
  <si>
    <t>27675391005</t>
  </si>
  <si>
    <t>13557763</t>
  </si>
  <si>
    <t>1e3b1671-4f5b-473f-839d-60cf72be270b</t>
  </si>
  <si>
    <t>2026-03-09 11:22:14</t>
  </si>
  <si>
    <t>27767116463</t>
  </si>
  <si>
    <t>13557736</t>
  </si>
  <si>
    <t>1a636c34-8669-42f5-b339-8215cf44a86e</t>
  </si>
  <si>
    <t>27766828717</t>
  </si>
  <si>
    <t>13557756</t>
  </si>
  <si>
    <t>bcece127-3c94-452d-a5fc-f618afe8e7a5</t>
  </si>
  <si>
    <t>27767013725</t>
  </si>
  <si>
    <t>13559959</t>
  </si>
  <si>
    <t>279cf9a0-5d8f-476f-9975-549ec35b9701</t>
  </si>
  <si>
    <t>27663259921</t>
  </si>
  <si>
    <t>13561745</t>
  </si>
  <si>
    <t>ac9ce3e9-ac00-41b0-8af7-0ec989b52afb</t>
  </si>
  <si>
    <t>27664944758</t>
  </si>
  <si>
    <t>13557722</t>
  </si>
  <si>
    <t>60ea1b98-1936-4540-8bb8-222f94bb0048</t>
  </si>
  <si>
    <t>2026-03-09 11:22:13</t>
  </si>
  <si>
    <t>27766707313</t>
  </si>
  <si>
    <t>13557718</t>
  </si>
  <si>
    <t>c99c75d6-2f88-4cb4-9edb-a6eb7416d3b0</t>
  </si>
  <si>
    <t>2026-03-09 11:22:12</t>
  </si>
  <si>
    <t>27766671230</t>
  </si>
  <si>
    <t>13559961</t>
  </si>
  <si>
    <t>df30a5dc-ae76-4dd0-ab02-e2cae4efa5d5</t>
  </si>
  <si>
    <t>27797997606</t>
  </si>
  <si>
    <t>13558038</t>
  </si>
  <si>
    <t>eab018c5-4a98-49bd-9cd2-8902aa28b249</t>
  </si>
  <si>
    <t>MZWANDILE</t>
  </si>
  <si>
    <t>BUZO</t>
  </si>
  <si>
    <t>2026-03-09 11:21:58</t>
  </si>
  <si>
    <t>2026-03-09 10:15:46</t>
  </si>
  <si>
    <t>27772477116</t>
  </si>
  <si>
    <t>13557712</t>
  </si>
  <si>
    <t>d6c57565-f250-4f63-8ec1-df39931381c1</t>
  </si>
  <si>
    <t>2026-03-09 11:21:52</t>
  </si>
  <si>
    <t>27766624097</t>
  </si>
  <si>
    <t>13559965</t>
  </si>
  <si>
    <t>051b0249-b751-4617-9152-5cbe1bc9c934</t>
  </si>
  <si>
    <t>27792242829</t>
  </si>
  <si>
    <t>13559974</t>
  </si>
  <si>
    <t>7452adf0-cd16-4947-b733-a169bc2b2d84</t>
  </si>
  <si>
    <t>27714908351</t>
  </si>
  <si>
    <t>13559253</t>
  </si>
  <si>
    <t>49f9f35d-b7ed-4c06-9757-ef5acbcc54b2</t>
  </si>
  <si>
    <t>2026-03-09 11:21:42</t>
  </si>
  <si>
    <t>27824783416</t>
  </si>
  <si>
    <t>13562567</t>
  </si>
  <si>
    <t>add27f44-8f8e-4928-8a2d-1dd7e59e04dc</t>
  </si>
  <si>
    <t>2026-03-09 11:21:28</t>
  </si>
  <si>
    <t>27630709735</t>
  </si>
  <si>
    <t>13562954</t>
  </si>
  <si>
    <t>bcb7e054-5979-4914-b132-07bfa401a3c4</t>
  </si>
  <si>
    <t>2026-03-09 11:21:26</t>
  </si>
  <si>
    <t>27716592865</t>
  </si>
  <si>
    <t>13558858</t>
  </si>
  <si>
    <t>950b9d9f-35aa-41bd-9f3f-eff2e88ca9d6</t>
  </si>
  <si>
    <t>2026-03-09 11:21:14</t>
  </si>
  <si>
    <t>27799343948</t>
  </si>
  <si>
    <t>13558861</t>
  </si>
  <si>
    <t>103c6e00-3b11-4224-9fd5-3811546ae31d</t>
  </si>
  <si>
    <t>27799431699</t>
  </si>
  <si>
    <t>13561233</t>
  </si>
  <si>
    <t>adf6112c-a546-48fb-a76a-fa5785187a02</t>
  </si>
  <si>
    <t>27646283642</t>
  </si>
  <si>
    <t>13558854</t>
  </si>
  <si>
    <t>25d22e2f-18a6-4262-888a-909e23ec8c43</t>
  </si>
  <si>
    <t>2026-03-09 11:21:13</t>
  </si>
  <si>
    <t>27799299182</t>
  </si>
  <si>
    <t>13561249</t>
  </si>
  <si>
    <t>cc76fa5e-a6ad-4690-945a-e4359cc074b4</t>
  </si>
  <si>
    <t>27606118968</t>
  </si>
  <si>
    <t>13561229</t>
  </si>
  <si>
    <t>55fd5860-2b24-44f9-ab14-e6f72b2c0945</t>
  </si>
  <si>
    <t>27673040203</t>
  </si>
  <si>
    <t>13561234</t>
  </si>
  <si>
    <t>5b92455b-d8b4-4e67-8365-c4a14d29207f</t>
  </si>
  <si>
    <t>27665726560</t>
  </si>
  <si>
    <t>13561238</t>
  </si>
  <si>
    <t>900ce7a8-7d1d-4f15-86ec-7b2d8ed8d069</t>
  </si>
  <si>
    <t>27674521824</t>
  </si>
  <si>
    <t>13560864</t>
  </si>
  <si>
    <t>ab915bf7-c550-4364-b2b6-474bc625a8c0</t>
  </si>
  <si>
    <t>27724036655</t>
  </si>
  <si>
    <t>13561510</t>
  </si>
  <si>
    <t>076fdbc2-f304-44c0-8036-8bbc5cbe0722</t>
  </si>
  <si>
    <t>27675515187</t>
  </si>
  <si>
    <t>13561250</t>
  </si>
  <si>
    <t>e90a2929-1df8-4b93-a6c3-213920879c69</t>
  </si>
  <si>
    <t>2026-03-09 11:21:12</t>
  </si>
  <si>
    <t>27649419589</t>
  </si>
  <si>
    <t>13561252</t>
  </si>
  <si>
    <t>f009bd63-1e1c-4cae-9035-f7f1af80899d</t>
  </si>
  <si>
    <t>27711063912</t>
  </si>
  <si>
    <t>13561256</t>
  </si>
  <si>
    <t>5a6a8127-7a60-4101-a5af-6f88e677efba</t>
  </si>
  <si>
    <t>27660321147</t>
  </si>
  <si>
    <t>13561257</t>
  </si>
  <si>
    <t>b21c1d6b-f04f-4d3f-b955-a8400730ee85</t>
  </si>
  <si>
    <t>27607918348</t>
  </si>
  <si>
    <t>13561511</t>
  </si>
  <si>
    <t>695986fe-93bf-4764-a699-508458d81860</t>
  </si>
  <si>
    <t>27711341003</t>
  </si>
  <si>
    <t>13561517</t>
  </si>
  <si>
    <t>bf9a094c-a364-4de8-81ff-3e72a60e76ee</t>
  </si>
  <si>
    <t>27790387043</t>
  </si>
  <si>
    <t>13561518</t>
  </si>
  <si>
    <t>221dfeea-4903-405d-bc01-f42d2675116e</t>
  </si>
  <si>
    <t>27674556629</t>
  </si>
  <si>
    <t>13561258</t>
  </si>
  <si>
    <t>49ab7e34-2033-4306-872d-1564d1ea43ae</t>
  </si>
  <si>
    <t>2026-03-09 11:21:11</t>
  </si>
  <si>
    <t>27714523232</t>
  </si>
  <si>
    <t>13560868</t>
  </si>
  <si>
    <t>efedc326-54da-4834-bd00-8e470b9e3568</t>
  </si>
  <si>
    <t>27713241514</t>
  </si>
  <si>
    <t>13561524</t>
  </si>
  <si>
    <t>0ec545e8-af52-4efa-b6cd-b4a69cc658b8</t>
  </si>
  <si>
    <t>27665879455</t>
  </si>
  <si>
    <t>13561693</t>
  </si>
  <si>
    <t>d96ad6b2-fb02-4af2-94c6-91b2535b7214</t>
  </si>
  <si>
    <t>27661757894</t>
  </si>
  <si>
    <t>13558275</t>
  </si>
  <si>
    <t>ee5aecc1-19fe-46a4-bb26-2acc68d0c09a</t>
  </si>
  <si>
    <t>2026-03-09 11:21:10</t>
  </si>
  <si>
    <t>27792157050</t>
  </si>
  <si>
    <t>13558526</t>
  </si>
  <si>
    <t>0d20de5f-8267-4509-acae-61c94980e02b</t>
  </si>
  <si>
    <t>27794901280</t>
  </si>
  <si>
    <t>13558530</t>
  </si>
  <si>
    <t>e8ce430d-4772-40ae-96c4-c99773254081</t>
  </si>
  <si>
    <t>27794960792</t>
  </si>
  <si>
    <t>13558532</t>
  </si>
  <si>
    <t>ff5a303e-88df-44d6-a938-b62c975cf806</t>
  </si>
  <si>
    <t>27794983832</t>
  </si>
  <si>
    <t>13561261</t>
  </si>
  <si>
    <t>bbad274b-d1b8-4537-a649-911597f95a00</t>
  </si>
  <si>
    <t>27713878981</t>
  </si>
  <si>
    <t>13560965</t>
  </si>
  <si>
    <t>3c5722b1-29ce-4f02-a6fb-61a87c6e71ad</t>
  </si>
  <si>
    <t>2026-03-09 11:21:07</t>
  </si>
  <si>
    <t>27660656148</t>
  </si>
  <si>
    <t>13558270</t>
  </si>
  <si>
    <t>2f2f9b9c-dc77-41b0-acd2-2d574d6ac560</t>
  </si>
  <si>
    <t>2026-03-09 11:21:06</t>
  </si>
  <si>
    <t>27792039834</t>
  </si>
  <si>
    <t>13558260</t>
  </si>
  <si>
    <t>5a978f19-2a42-45b9-8c09-8d77dd503cf9</t>
  </si>
  <si>
    <t>2026-03-09 11:21:05</t>
  </si>
  <si>
    <t>27791920072</t>
  </si>
  <si>
    <t>13558266</t>
  </si>
  <si>
    <t>3ebaa44e-1d27-4c3f-89bb-4c1499a672a7</t>
  </si>
  <si>
    <t>27791986234</t>
  </si>
  <si>
    <t>13558267</t>
  </si>
  <si>
    <t>6531640d-133f-419d-b48c-7cfd21365f71</t>
  </si>
  <si>
    <t>27791986863</t>
  </si>
  <si>
    <t>13558268</t>
  </si>
  <si>
    <t>b72d360a-8b15-4e71-b5cb-3bd5accc722d</t>
  </si>
  <si>
    <t>27791992734</t>
  </si>
  <si>
    <t>13558269</t>
  </si>
  <si>
    <t>d1861f15-0b6f-49a9-afd3-067dfb51086f</t>
  </si>
  <si>
    <t>27791999853</t>
  </si>
  <si>
    <t>13558244</t>
  </si>
  <si>
    <t>2a15a4e5-2486-45d9-af2d-897d0ff2d857</t>
  </si>
  <si>
    <t>2026-03-09 11:21:04</t>
  </si>
  <si>
    <t>27791706334</t>
  </si>
  <si>
    <t>13558256</t>
  </si>
  <si>
    <t>c3135a16-ce54-4ac8-ad8d-e4ac35b99d00</t>
  </si>
  <si>
    <t>27791881629</t>
  </si>
  <si>
    <t>13558238</t>
  </si>
  <si>
    <t>6b88e51e-c43f-4f0f-ae83-77d52b64d4a5</t>
  </si>
  <si>
    <t>27791637522</t>
  </si>
  <si>
    <t>13561266</t>
  </si>
  <si>
    <t>45865233-a3fb-4fa0-9aa3-23c40ea8ade7</t>
  </si>
  <si>
    <t>27714780632</t>
  </si>
  <si>
    <t>13561697</t>
  </si>
  <si>
    <t>73d63b16-40be-49ce-8175-e93dfc677bdf</t>
  </si>
  <si>
    <t>27766420768</t>
  </si>
  <si>
    <t>13558237</t>
  </si>
  <si>
    <t>10775250-2e01-494c-8a22-abdd5fc9dd64</t>
  </si>
  <si>
    <t>2026-03-09 11:20:46</t>
  </si>
  <si>
    <t>27791636499</t>
  </si>
  <si>
    <t>13563463</t>
  </si>
  <si>
    <t>da0b8a87-08b1-48cd-84f3-2c2056d1e65f</t>
  </si>
  <si>
    <t>27665429199</t>
  </si>
  <si>
    <t>13558122</t>
  </si>
  <si>
    <t>c3f797a8-504a-4f5e-b84a-ed1e4ea6d477</t>
  </si>
  <si>
    <t>2026-03-09 11:20:45</t>
  </si>
  <si>
    <t>27790320464</t>
  </si>
  <si>
    <t>13558233</t>
  </si>
  <si>
    <t>35b5f2b8-b0bf-46d7-86c3-146e942c2477</t>
  </si>
  <si>
    <t>27791605233</t>
  </si>
  <si>
    <t>13561267</t>
  </si>
  <si>
    <t>870b1415-2280-4e6c-be23-f681bf40a566</t>
  </si>
  <si>
    <t>27607691003</t>
  </si>
  <si>
    <t>13561274</t>
  </si>
  <si>
    <t>caca5afd-a91e-4d5f-bbdf-bc88a76290ba</t>
  </si>
  <si>
    <t>27646151869</t>
  </si>
  <si>
    <t>13561287</t>
  </si>
  <si>
    <t>20d322ca-9080-4f7f-a2de-e399ec8aebc3</t>
  </si>
  <si>
    <t>27712161810</t>
  </si>
  <si>
    <t>13558120</t>
  </si>
  <si>
    <t>605d5452-f602-463c-8b12-566a5fd5d799</t>
  </si>
  <si>
    <t>2026-03-09 11:20:44</t>
  </si>
  <si>
    <t>27790305198</t>
  </si>
  <si>
    <t>13558116</t>
  </si>
  <si>
    <t>719eb60b-b7d2-41e3-acfd-02093d824329</t>
  </si>
  <si>
    <t>2026-03-09 11:20:43</t>
  </si>
  <si>
    <t>27790264304</t>
  </si>
  <si>
    <t>13561291</t>
  </si>
  <si>
    <t>14a3ec73-9458-40fc-a8ab-0393cd69fe34</t>
  </si>
  <si>
    <t>27722876154</t>
  </si>
  <si>
    <t>13558106</t>
  </si>
  <si>
    <t>2293c456-46b2-42b2-9aa1-cd58b916ffe1</t>
  </si>
  <si>
    <t>2026-03-09 11:20:42</t>
  </si>
  <si>
    <t>27790203533</t>
  </si>
  <si>
    <t>13558111</t>
  </si>
  <si>
    <t>775c8dc0-4ced-416a-b4fb-bc7f3e9c6fbb</t>
  </si>
  <si>
    <t>27790221814</t>
  </si>
  <si>
    <t>13560970</t>
  </si>
  <si>
    <t>6c35eef1-9042-4fe4-a114-69275f0402b5</t>
  </si>
  <si>
    <t>2026-03-09 11:20:41</t>
  </si>
  <si>
    <t>27724438383</t>
  </si>
  <si>
    <t>13561698</t>
  </si>
  <si>
    <t>f005a3f7-aba9-440d-8d64-89cb3b9f1759</t>
  </si>
  <si>
    <t>27729619635</t>
  </si>
  <si>
    <t>13561699</t>
  </si>
  <si>
    <t>c1daa680-7b1f-4ea9-af95-217b3fbdd3ef</t>
  </si>
  <si>
    <t>27711965561</t>
  </si>
  <si>
    <t>13558069</t>
  </si>
  <si>
    <t>b9398aea-c6ca-49fe-897c-af5ea3281217</t>
  </si>
  <si>
    <t>2026-03-09 11:20:40</t>
  </si>
  <si>
    <t>27781552477</t>
  </si>
  <si>
    <t>13558077</t>
  </si>
  <si>
    <t>114f596b-a391-47af-9825-b0e2e8f58cbd</t>
  </si>
  <si>
    <t>27783562440</t>
  </si>
  <si>
    <t>13558083</t>
  </si>
  <si>
    <t>b20539d7-6907-4c87-ae3d-ae34d4cf0958</t>
  </si>
  <si>
    <t>27785361505</t>
  </si>
  <si>
    <t>13558045</t>
  </si>
  <si>
    <t>04612644-4ca3-459e-8df8-6a0420328df5</t>
  </si>
  <si>
    <t>27773702466</t>
  </si>
  <si>
    <t>13560430</t>
  </si>
  <si>
    <t>da8076a2-e6f8-4973-80d1-465cd4c7af6f</t>
  </si>
  <si>
    <t>27796898397</t>
  </si>
  <si>
    <t>13558024</t>
  </si>
  <si>
    <t>33828301-de8e-453c-8613-91d9d4b877cf</t>
  </si>
  <si>
    <t>2026-03-09 11:20:39</t>
  </si>
  <si>
    <t>27769834457</t>
  </si>
  <si>
    <t>13558030</t>
  </si>
  <si>
    <t>a84aff90-7769-4f2b-9288-1bcb96ad5d2f</t>
  </si>
  <si>
    <t>27769924646</t>
  </si>
  <si>
    <t>13558036</t>
  </si>
  <si>
    <t>7a9298cb-2997-4bff-84b7-2d5b76d822a4</t>
  </si>
  <si>
    <t>27769983870</t>
  </si>
  <si>
    <t>13558015</t>
  </si>
  <si>
    <t>65892678-34b9-479f-9415-8b95caffeddb</t>
  </si>
  <si>
    <t>2026-03-09 11:20:38</t>
  </si>
  <si>
    <t>27769694929</t>
  </si>
  <si>
    <t>13561971</t>
  </si>
  <si>
    <t>54af6827-0bc9-423a-87f2-87e51adb065b</t>
  </si>
  <si>
    <t>27793408706</t>
  </si>
  <si>
    <t>13564181</t>
  </si>
  <si>
    <t>ecaee778-af48-426b-9c7f-051fdebd2298</t>
  </si>
  <si>
    <t>27760533299</t>
  </si>
  <si>
    <t>13561942</t>
  </si>
  <si>
    <t>de3be888-705e-46e3-9ad2-3546ffbbdc6a</t>
  </si>
  <si>
    <t>2026-03-09 11:20:37</t>
  </si>
  <si>
    <t>27662042208</t>
  </si>
  <si>
    <t>13561950</t>
  </si>
  <si>
    <t>553832f6-ddd9-4a69-aa0d-7f96d69b09f4</t>
  </si>
  <si>
    <t>27712888992</t>
  </si>
  <si>
    <t>13561963</t>
  </si>
  <si>
    <t>656687e8-e4df-4e36-91fa-26649231a974</t>
  </si>
  <si>
    <t>27648064290</t>
  </si>
  <si>
    <t>13564185</t>
  </si>
  <si>
    <t>acf5568c-0b5c-4aaa-a0b8-89b2dd902005</t>
  </si>
  <si>
    <t>27674793139</t>
  </si>
  <si>
    <t>13564196</t>
  </si>
  <si>
    <t>4e2d9e8f-8294-4b72-b63d-3e0c316860b7</t>
  </si>
  <si>
    <t>27762379470</t>
  </si>
  <si>
    <t>13562356</t>
  </si>
  <si>
    <t>2cc95b3d-781c-4b0e-a7a2-70c8ff1e55bf</t>
  </si>
  <si>
    <t>2026-03-09 11:20:36</t>
  </si>
  <si>
    <t>27774251751</t>
  </si>
  <si>
    <t>13561922</t>
  </si>
  <si>
    <t>636f5892-b004-4602-93b5-69f06fa39997</t>
  </si>
  <si>
    <t>27722591240</t>
  </si>
  <si>
    <t>13562421</t>
  </si>
  <si>
    <t>0c1d8254-a4c2-434b-b3e4-c4f63162ce0d</t>
  </si>
  <si>
    <t>27646114754</t>
  </si>
  <si>
    <t>13564205</t>
  </si>
  <si>
    <t>f3c03669-eeb7-49a7-b37e-89b6cf5fca07</t>
  </si>
  <si>
    <t>27637281806</t>
  </si>
  <si>
    <t>13562348</t>
  </si>
  <si>
    <t>0a56b4d2-b2bb-4b3c-880d-e3241c8e1c7f</t>
  </si>
  <si>
    <t>2026-03-09 11:20:34</t>
  </si>
  <si>
    <t>27763252230</t>
  </si>
  <si>
    <t>13562319</t>
  </si>
  <si>
    <t>186017e6-f7f7-41d2-9920-36d4ee00c39f</t>
  </si>
  <si>
    <t>2026-03-09 11:20:32</t>
  </si>
  <si>
    <t>27791580029</t>
  </si>
  <si>
    <t>13562330</t>
  </si>
  <si>
    <t>e3ca2cdb-de75-4571-9b8d-b64513238261</t>
  </si>
  <si>
    <t>27648013899</t>
  </si>
  <si>
    <t>13562342</t>
  </si>
  <si>
    <t>d37901ab-2129-410d-bab3-7b48302b74c7</t>
  </si>
  <si>
    <t>27607818584</t>
  </si>
  <si>
    <t>13562343</t>
  </si>
  <si>
    <t>7a41873a-32cb-4aa6-b60d-0d3af04de5e5</t>
  </si>
  <si>
    <t>27798562408</t>
  </si>
  <si>
    <t>13563245</t>
  </si>
  <si>
    <t>919f90f6-849c-49c5-a705-cc033b8572c6</t>
  </si>
  <si>
    <t>2026-03-09 11:20:27</t>
  </si>
  <si>
    <t>27726055879</t>
  </si>
  <si>
    <t>13558232</t>
  </si>
  <si>
    <t>493e0eaa-6bbd-453d-9e01-7093860650e1</t>
  </si>
  <si>
    <t>2026-03-09 11:20:23</t>
  </si>
  <si>
    <t>27791604214</t>
  </si>
  <si>
    <t>13561491</t>
  </si>
  <si>
    <t>3b0f844b-f8e6-4e88-8e10-ef6b558232d8</t>
  </si>
  <si>
    <t>2026-03-09 11:20:20</t>
  </si>
  <si>
    <t>27761916024</t>
  </si>
  <si>
    <t>13559256</t>
  </si>
  <si>
    <t>fbad1701-08a8-453b-bee7-5a38e476f4bf</t>
  </si>
  <si>
    <t>2026-03-09 11:20:00</t>
  </si>
  <si>
    <t>27824826331</t>
  </si>
  <si>
    <t>13558202</t>
  </si>
  <si>
    <t>2b39c578-0e59-4435-a8ab-d90631eaff1d</t>
  </si>
  <si>
    <t>2026-03-09 11:19:46</t>
  </si>
  <si>
    <t>27791232448</t>
  </si>
  <si>
    <t>13558203</t>
  </si>
  <si>
    <t>bec863cd-8bd1-48e1-9c59-3de409fc5c8d</t>
  </si>
  <si>
    <t>27791236143</t>
  </si>
  <si>
    <t>13558211</t>
  </si>
  <si>
    <t>f03a478c-7155-4c46-b842-b54e4efcea82</t>
  </si>
  <si>
    <t>27791332424</t>
  </si>
  <si>
    <t>13558217</t>
  </si>
  <si>
    <t>1cebcb6c-9596-4bd5-ac4c-e0f18baae415</t>
  </si>
  <si>
    <t>27791436447</t>
  </si>
  <si>
    <t>13558229</t>
  </si>
  <si>
    <t>cfbbb4a8-e30c-465d-ae75-ff17d0d36519</t>
  </si>
  <si>
    <t>27791592072</t>
  </si>
  <si>
    <t>13560324</t>
  </si>
  <si>
    <t>0297158c-6271-4d08-a397-d85825819840</t>
  </si>
  <si>
    <t>27637227377</t>
  </si>
  <si>
    <t>13558185</t>
  </si>
  <si>
    <t>506d46cc-ef4e-49a6-8098-9182a3bccdb0</t>
  </si>
  <si>
    <t>2026-03-09 11:19:45</t>
  </si>
  <si>
    <t>27791082646</t>
  </si>
  <si>
    <t>13561292</t>
  </si>
  <si>
    <t>78991998-06ac-4edc-a345-d976e5f360c8</t>
  </si>
  <si>
    <t>27647325182</t>
  </si>
  <si>
    <t>13558156</t>
  </si>
  <si>
    <t>e62b425c-bca8-43b7-8c83-71288435d5a4</t>
  </si>
  <si>
    <t>2026-03-09 11:19:44</t>
  </si>
  <si>
    <t>27790726293</t>
  </si>
  <si>
    <t>13558157</t>
  </si>
  <si>
    <t>50ce3b7f-5ff8-4cbe-bb20-1135848b7039</t>
  </si>
  <si>
    <t>27790768581</t>
  </si>
  <si>
    <t>13558170</t>
  </si>
  <si>
    <t>6f18ff36-5b28-4b02-a1ad-99c1a370f5b4</t>
  </si>
  <si>
    <t>27790916996</t>
  </si>
  <si>
    <t>13558191</t>
  </si>
  <si>
    <t>b3c27a32-3e9a-4c2a-81ec-7b58a7a66423</t>
  </si>
  <si>
    <t>27791154546</t>
  </si>
  <si>
    <t>13558194</t>
  </si>
  <si>
    <t>442e0fab-fcac-406a-85ae-6517c29155ce</t>
  </si>
  <si>
    <t>27791187554</t>
  </si>
  <si>
    <t>13561295</t>
  </si>
  <si>
    <t>1e9d8e81-828f-4431-9fe7-90f87e571c9d</t>
  </si>
  <si>
    <t>27646991258</t>
  </si>
  <si>
    <t>13560427</t>
  </si>
  <si>
    <t>671bee51-38d8-42b9-b2d7-3a75e2185933</t>
  </si>
  <si>
    <t>27794346854</t>
  </si>
  <si>
    <t>13558133</t>
  </si>
  <si>
    <t>1b16bc9e-b0b8-415c-88b6-038090fbeecf</t>
  </si>
  <si>
    <t>2026-03-09 11:19:43</t>
  </si>
  <si>
    <t>27790414974</t>
  </si>
  <si>
    <t>13558134</t>
  </si>
  <si>
    <t>0e35a5c4-3d4c-4e6c-b06c-d4e798573243</t>
  </si>
  <si>
    <t>27790422272</t>
  </si>
  <si>
    <t>13556545</t>
  </si>
  <si>
    <t>823b0a42-aa16-4c5a-a5de-23458887cb49</t>
  </si>
  <si>
    <t>2026-03-09 11:19:42</t>
  </si>
  <si>
    <t>27724910542</t>
  </si>
  <si>
    <t>13558129</t>
  </si>
  <si>
    <t>eee32f13-6fc6-452e-ae11-86f932ac27b1</t>
  </si>
  <si>
    <t>27790375438</t>
  </si>
  <si>
    <t>13562284</t>
  </si>
  <si>
    <t>fed1aaab-b5eb-48ed-9a57-410d33ce8ae8</t>
  </si>
  <si>
    <t>27794833639</t>
  </si>
  <si>
    <t>13562285</t>
  </si>
  <si>
    <t>7677de98-8557-48dc-b0b1-3fa65dc0b4f7</t>
  </si>
  <si>
    <t>27715831519</t>
  </si>
  <si>
    <t>13562318</t>
  </si>
  <si>
    <t>e21298f9-4cb5-44ef-9c89-460e539df6b7</t>
  </si>
  <si>
    <t>27761041080</t>
  </si>
  <si>
    <t>13564208</t>
  </si>
  <si>
    <t>fb5cc5b1-fbc9-4ddb-872a-4424eb02cbfb</t>
  </si>
  <si>
    <t>27720354552</t>
  </si>
  <si>
    <t>13562254</t>
  </si>
  <si>
    <t>34b2705d-ec0d-40ee-b9dd-850c9be6af5a</t>
  </si>
  <si>
    <t>2026-03-09 11:19:41</t>
  </si>
  <si>
    <t>27648297282</t>
  </si>
  <si>
    <t>13562272</t>
  </si>
  <si>
    <t>487a53f9-cc8d-41eb-b4d1-ca4f27673d04</t>
  </si>
  <si>
    <t>27774491206</t>
  </si>
  <si>
    <t>13562186</t>
  </si>
  <si>
    <t>b3dd20ae-61bd-407d-983f-029b36e42ffb</t>
  </si>
  <si>
    <t>2026-03-09 11:19:40</t>
  </si>
  <si>
    <t>27825203771</t>
  </si>
  <si>
    <t>13562232</t>
  </si>
  <si>
    <t>bc151a9a-e35c-4c04-9345-a9dcda7aa5d2</t>
  </si>
  <si>
    <t>27764448246</t>
  </si>
  <si>
    <t>13564214</t>
  </si>
  <si>
    <t>7de4bafb-7cd5-412f-adec-a167bec48761</t>
  </si>
  <si>
    <t>27646766878</t>
  </si>
  <si>
    <t>13564217</t>
  </si>
  <si>
    <t>7ebef2b0-8521-4c31-b784-148f2ad9b0c0</t>
  </si>
  <si>
    <t>27791261642</t>
  </si>
  <si>
    <t>13562431</t>
  </si>
  <si>
    <t>216e3e63-58f3-43ca-97b0-132801b5a891</t>
  </si>
  <si>
    <t>2026-03-09 11:19:34</t>
  </si>
  <si>
    <t>27651448458</t>
  </si>
  <si>
    <t>13562166</t>
  </si>
  <si>
    <t>032bbeb3-f9a1-43ef-b95d-22e49a8392ef</t>
  </si>
  <si>
    <t>2026-03-09 11:19:33</t>
  </si>
  <si>
    <t>27763780401</t>
  </si>
  <si>
    <t>13561429</t>
  </si>
  <si>
    <t>257a7389-6d66-4fc4-999e-edae5a66cb27</t>
  </si>
  <si>
    <t>27647735762</t>
  </si>
  <si>
    <t>13561403</t>
  </si>
  <si>
    <t>1e2d2d26-9ad4-4076-bd4e-47c164ecfc3f</t>
  </si>
  <si>
    <t>2026-03-09 11:19:32</t>
  </si>
  <si>
    <t>27714979764</t>
  </si>
  <si>
    <t>13561407</t>
  </si>
  <si>
    <t>8d50b373-2fb9-4e71-9a9e-0c6d0b081a73</t>
  </si>
  <si>
    <t>27765784126</t>
  </si>
  <si>
    <t>13561409</t>
  </si>
  <si>
    <t>6df8afae-7add-454f-8b94-a1633cfe995d</t>
  </si>
  <si>
    <t>27715842697</t>
  </si>
  <si>
    <t>13562445</t>
  </si>
  <si>
    <t>e84dd2c0-63db-4b82-8f30-81b67c5593fc</t>
  </si>
  <si>
    <t>27726513424</t>
  </si>
  <si>
    <t>13564219</t>
  </si>
  <si>
    <t>8ecaf502-db2d-414e-a50c-2d4991cfcfd6</t>
  </si>
  <si>
    <t>27648634027</t>
  </si>
  <si>
    <t>13555543</t>
  </si>
  <si>
    <t>feb74f7e-7af6-4375-9d39-41a0b74b90c1</t>
  </si>
  <si>
    <t>2026-03-09 11:19:31</t>
  </si>
  <si>
    <t>27711315713</t>
  </si>
  <si>
    <t>13561365</t>
  </si>
  <si>
    <t>c8840069-a842-4437-b3d6-1a8549768f55</t>
  </si>
  <si>
    <t>27664071336</t>
  </si>
  <si>
    <t>13561380</t>
  </si>
  <si>
    <t>75830bb0-9c78-486e-ad70-7b55d998527d</t>
  </si>
  <si>
    <t>27662575580</t>
  </si>
  <si>
    <t>13561354</t>
  </si>
  <si>
    <t>fbfb44fa-338f-4cb2-990a-4da5dc666e85</t>
  </si>
  <si>
    <t>27607318721</t>
  </si>
  <si>
    <t>13561361</t>
  </si>
  <si>
    <t>4a1ba05a-3ffb-4341-976c-325488a01709</t>
  </si>
  <si>
    <t>27664548271</t>
  </si>
  <si>
    <t>13564237</t>
  </si>
  <si>
    <t>50a70e5e-a69d-4853-8828-82035c06391f</t>
  </si>
  <si>
    <t>27608196399</t>
  </si>
  <si>
    <t>13561318</t>
  </si>
  <si>
    <t>7fb01a21-f00f-40d9-9282-c128b2103203</t>
  </si>
  <si>
    <t>2026-03-09 11:19:30</t>
  </si>
  <si>
    <t>27724988850</t>
  </si>
  <si>
    <t>13561327</t>
  </si>
  <si>
    <t>4f0e6098-a614-4beb-a7d9-a6e5a47c8b1b</t>
  </si>
  <si>
    <t>27646307642</t>
  </si>
  <si>
    <t>13564240</t>
  </si>
  <si>
    <t>14127cf7-29af-4f3c-811a-d08ff10cb6ee</t>
  </si>
  <si>
    <t>27768758599</t>
  </si>
  <si>
    <t>13556759</t>
  </si>
  <si>
    <t>b8c46794-d580-41fd-918d-e2adcd3d71ea</t>
  </si>
  <si>
    <t>2026-03-09 11:19:16</t>
  </si>
  <si>
    <t>27727230511</t>
  </si>
  <si>
    <t>13556764</t>
  </si>
  <si>
    <t>1fd43628-c253-40ad-80e1-bacd4badf60f</t>
  </si>
  <si>
    <t>27727254656</t>
  </si>
  <si>
    <t>13556769</t>
  </si>
  <si>
    <t>6a9602af-d0a0-4a4e-afc9-ec2401d1d779</t>
  </si>
  <si>
    <t>27727320832</t>
  </si>
  <si>
    <t>13556772</t>
  </si>
  <si>
    <t>589707ae-d81b-4982-bf8c-6322e0dac74a</t>
  </si>
  <si>
    <t>27727338761</t>
  </si>
  <si>
    <t>13562156</t>
  </si>
  <si>
    <t>6740ad2e-1e4f-478b-b32a-cc5037f78c63</t>
  </si>
  <si>
    <t>27799566170</t>
  </si>
  <si>
    <t>13556754</t>
  </si>
  <si>
    <t>5d42febc-8818-423d-999a-ae1e9dec5726</t>
  </si>
  <si>
    <t>2026-03-09 11:19:15</t>
  </si>
  <si>
    <t>27727164590</t>
  </si>
  <si>
    <t>13556757</t>
  </si>
  <si>
    <t>ddceabd7-e06f-4efd-98da-4ed474e327ef</t>
  </si>
  <si>
    <t>27727211748</t>
  </si>
  <si>
    <t>13561423</t>
  </si>
  <si>
    <t>e845f2a2-e9b9-4eb7-a122-1dbaeb16b66e</t>
  </si>
  <si>
    <t>27646245951</t>
  </si>
  <si>
    <t>13556752</t>
  </si>
  <si>
    <t>5c034893-2c84-41a9-b24f-22f5b4c67cb2</t>
  </si>
  <si>
    <t>2026-03-09 11:19:13</t>
  </si>
  <si>
    <t>27727155739</t>
  </si>
  <si>
    <t>13556753</t>
  </si>
  <si>
    <t>d01ace62-184b-48df-a205-314ffdc2dfb0</t>
  </si>
  <si>
    <t>27727155880</t>
  </si>
  <si>
    <t>13556748</t>
  </si>
  <si>
    <t>8ebc4ac2-3f30-49c0-aae0-8d73270f2c91</t>
  </si>
  <si>
    <t>2026-03-09 11:19:12</t>
  </si>
  <si>
    <t>27727106218</t>
  </si>
  <si>
    <t>13556749</t>
  </si>
  <si>
    <t>bb90f462-671b-41a5-92fa-6a6cac8d88fa</t>
  </si>
  <si>
    <t>27727119135</t>
  </si>
  <si>
    <t>13558648</t>
  </si>
  <si>
    <t>b5f34324-40f6-40a5-8ccf-716d9d2bbcd1</t>
  </si>
  <si>
    <t>27796518084</t>
  </si>
  <si>
    <t>13558635</t>
  </si>
  <si>
    <t>3074cc95-34e0-42e1-bb91-e28dc69050c7</t>
  </si>
  <si>
    <t>2026-03-09 11:19:10</t>
  </si>
  <si>
    <t>27796319467</t>
  </si>
  <si>
    <t>13558639</t>
  </si>
  <si>
    <t>afc0cbfd-afb7-4c41-be42-00a35b158af9</t>
  </si>
  <si>
    <t>27796353048</t>
  </si>
  <si>
    <t>13558623</t>
  </si>
  <si>
    <t>017d6fc2-2923-4f42-b888-2651103e374f</t>
  </si>
  <si>
    <t>2026-03-09 11:19:09</t>
  </si>
  <si>
    <t>27796219300</t>
  </si>
  <si>
    <t>13558624</t>
  </si>
  <si>
    <t>c5c45266-1a14-415b-b185-db9ae1990496</t>
  </si>
  <si>
    <t>27796230732</t>
  </si>
  <si>
    <t>13558631</t>
  </si>
  <si>
    <t>0cda50dc-0d97-46aa-9508-9e75bd81b43c</t>
  </si>
  <si>
    <t>27796290498</t>
  </si>
  <si>
    <t>13558632</t>
  </si>
  <si>
    <t>95208a53-5cb6-422a-ac57-477d17c4931c</t>
  </si>
  <si>
    <t>27796291100</t>
  </si>
  <si>
    <t>13558611</t>
  </si>
  <si>
    <t>d48620db-3ca7-4101-af96-08caf514805f</t>
  </si>
  <si>
    <t>2026-03-09 11:19:08</t>
  </si>
  <si>
    <t>27796106778</t>
  </si>
  <si>
    <t>13558615</t>
  </si>
  <si>
    <t>67bc4073-60bb-4f26-8e6e-6a186f441bff</t>
  </si>
  <si>
    <t>27796126377</t>
  </si>
  <si>
    <t>13558617</t>
  </si>
  <si>
    <t>e740ef04-3535-48ea-9d20-5be7ed8e4161</t>
  </si>
  <si>
    <t>27796146680</t>
  </si>
  <si>
    <t>13558619</t>
  </si>
  <si>
    <t>d0262b30-cdb1-40aa-81b0-2b2c51fe315a</t>
  </si>
  <si>
    <t>27796157761</t>
  </si>
  <si>
    <t>13556742</t>
  </si>
  <si>
    <t>4ef203e7-5869-4742-a4c3-9449e0dd3da8</t>
  </si>
  <si>
    <t>2026-03-09 11:19:07</t>
  </si>
  <si>
    <t>27727068650</t>
  </si>
  <si>
    <t>13556745</t>
  </si>
  <si>
    <t>ef820815-496a-4530-b9a3-316043870293</t>
  </si>
  <si>
    <t>27727078498</t>
  </si>
  <si>
    <t>13558606</t>
  </si>
  <si>
    <t>8393d604-ec14-443b-9ad5-42d635b8b788</t>
  </si>
  <si>
    <t>27796066116</t>
  </si>
  <si>
    <t>13558599</t>
  </si>
  <si>
    <t>25542c10-a58a-4e05-81f1-6eb8fe40d704</t>
  </si>
  <si>
    <t>2026-03-09 11:19:06</t>
  </si>
  <si>
    <t>27795995978</t>
  </si>
  <si>
    <t>13558602</t>
  </si>
  <si>
    <t>bc712ddf-56ac-49d2-a5e3-229fbbd632e0</t>
  </si>
  <si>
    <t>27796033680</t>
  </si>
  <si>
    <t>13556739</t>
  </si>
  <si>
    <t>8f6abe28-8172-47ba-8e92-c71aff8c54dd</t>
  </si>
  <si>
    <t>2026-03-09 11:19:05</t>
  </si>
  <si>
    <t>27727018274</t>
  </si>
  <si>
    <t>13558592</t>
  </si>
  <si>
    <t>96a55d24-cdf7-402a-9286-1ee0d076c79c</t>
  </si>
  <si>
    <t>27795911253</t>
  </si>
  <si>
    <t>13558594</t>
  </si>
  <si>
    <t>c5a96d26-e7e7-4c62-8fb6-c8d6b8a90d6b</t>
  </si>
  <si>
    <t>27795942499</t>
  </si>
  <si>
    <t>13558595</t>
  </si>
  <si>
    <t>452f2981-08e8-4bd1-b9a2-7077108b32e6</t>
  </si>
  <si>
    <t>27795950528</t>
  </si>
  <si>
    <t>13563531</t>
  </si>
  <si>
    <t>dffc61c0-cfb1-47b8-aa42-4237e9f30eca</t>
  </si>
  <si>
    <t>2026-03-09 11:19:01</t>
  </si>
  <si>
    <t>27768366472</t>
  </si>
  <si>
    <t>13558589</t>
  </si>
  <si>
    <t>02f12f9c-7a94-45ce-ad23-3016db184977</t>
  </si>
  <si>
    <t>2026-03-09 11:18:58</t>
  </si>
  <si>
    <t>27795868059</t>
  </si>
  <si>
    <t>13558579</t>
  </si>
  <si>
    <t>66200db8-3975-4116-9345-51442dd79e5c</t>
  </si>
  <si>
    <t>2026-03-09 11:18:56</t>
  </si>
  <si>
    <t>27795725872</t>
  </si>
  <si>
    <t>13558582</t>
  </si>
  <si>
    <t>dd2fa171-0290-4f12-96a1-7693e47990a4</t>
  </si>
  <si>
    <t>27795765000</t>
  </si>
  <si>
    <t>13558584</t>
  </si>
  <si>
    <t>f2014940-0d3b-4457-ac34-1e8007e3562d</t>
  </si>
  <si>
    <t>27795776041</t>
  </si>
  <si>
    <t>13558587</t>
  </si>
  <si>
    <t>197b6c43-139d-4e41-b913-7abd2c543755</t>
  </si>
  <si>
    <t>27795803491</t>
  </si>
  <si>
    <t>13555888</t>
  </si>
  <si>
    <t>9ed6e676-c850-4c2f-8ce0-1f33ead4c070</t>
  </si>
  <si>
    <t>2026-03-09 11:18:55</t>
  </si>
  <si>
    <t>27715227156</t>
  </si>
  <si>
    <t>13558573</t>
  </si>
  <si>
    <t>5a5e03c7-4608-4910-8632-a5253d397e6c</t>
  </si>
  <si>
    <t>27795686383</t>
  </si>
  <si>
    <t>13558575</t>
  </si>
  <si>
    <t>7bfca019-3ceb-4f6e-b918-95796e65b9c6</t>
  </si>
  <si>
    <t>27795702538</t>
  </si>
  <si>
    <t>13558578</t>
  </si>
  <si>
    <t>dbd264a7-47ad-484d-b017-c4c840130931</t>
  </si>
  <si>
    <t>27795722005</t>
  </si>
  <si>
    <t>13558569</t>
  </si>
  <si>
    <t>040fdefe-33c4-4699-8e88-32c268a3f6ba</t>
  </si>
  <si>
    <t>2026-03-09 11:18:49</t>
  </si>
  <si>
    <t>27795647297</t>
  </si>
  <si>
    <t>13558557</t>
  </si>
  <si>
    <t>09d45ec9-8aad-47c5-81f0-455702dbd0e4</t>
  </si>
  <si>
    <t>2026-03-09 11:18:43</t>
  </si>
  <si>
    <t>27795492351</t>
  </si>
  <si>
    <t>13558558</t>
  </si>
  <si>
    <t>05c195d9-b181-492f-a3f3-05787a0ce0bc</t>
  </si>
  <si>
    <t>27795492744</t>
  </si>
  <si>
    <t>13558564</t>
  </si>
  <si>
    <t>8a65da9b-12e2-4d2f-a25a-dd253fa1f5c5</t>
  </si>
  <si>
    <t>27795543272</t>
  </si>
  <si>
    <t>13558566</t>
  </si>
  <si>
    <t>a08f923b-17f6-4792-9e26-7662ec6a1ccd</t>
  </si>
  <si>
    <t>27795570267</t>
  </si>
  <si>
    <t>13558568</t>
  </si>
  <si>
    <t>7d36c9f8-1b00-4824-ba31-bd8237a59290</t>
  </si>
  <si>
    <t>27795633530</t>
  </si>
  <si>
    <t>13564542</t>
  </si>
  <si>
    <t>192076ec-694d-459f-814c-99986be5034e</t>
  </si>
  <si>
    <t>27774387548</t>
  </si>
  <si>
    <t>13556736</t>
  </si>
  <si>
    <t>870b2bb2-8ccb-49a1-a997-a09c1aca1694</t>
  </si>
  <si>
    <t>2026-03-09 11:18:42</t>
  </si>
  <si>
    <t>27727000133</t>
  </si>
  <si>
    <t>13556847</t>
  </si>
  <si>
    <t>c311abc0-f11c-4f9e-be99-59841777bc81</t>
  </si>
  <si>
    <t>27728052086</t>
  </si>
  <si>
    <t>13558551</t>
  </si>
  <si>
    <t>ba1a18b5-97f7-428c-a5ab-165f2cdbb106</t>
  </si>
  <si>
    <t>27795405569</t>
  </si>
  <si>
    <t>13558553</t>
  </si>
  <si>
    <t>ae501c99-bcb5-4457-9aab-ba9e45c8acef</t>
  </si>
  <si>
    <t>27795417534</t>
  </si>
  <si>
    <t>13558837</t>
  </si>
  <si>
    <t>414626ca-bbf1-4a50-9495-1da5949bd6cb</t>
  </si>
  <si>
    <t>2026-03-09 11:18:05</t>
  </si>
  <si>
    <t>27799098984</t>
  </si>
  <si>
    <t>13558840</t>
  </si>
  <si>
    <t>4ca2182f-e3c5-482a-88b2-6bc8bc17c12a</t>
  </si>
  <si>
    <t>27799159508</t>
  </si>
  <si>
    <t>13558853</t>
  </si>
  <si>
    <t>8f1d1e8a-ce0f-4069-9a39-4d10296e4d98</t>
  </si>
  <si>
    <t>27799291667</t>
  </si>
  <si>
    <t>13560440</t>
  </si>
  <si>
    <t>ae68c352-b193-4848-b900-f4965ecd7dfd</t>
  </si>
  <si>
    <t>27726233619</t>
  </si>
  <si>
    <t>13558814</t>
  </si>
  <si>
    <t>0b3464c7-2ffd-4a81-b106-14e8d55d16d0</t>
  </si>
  <si>
    <t>2026-03-09 11:18:04</t>
  </si>
  <si>
    <t>27798566916</t>
  </si>
  <si>
    <t>13558833</t>
  </si>
  <si>
    <t>24ef7b98-a2b0-4e6f-8d04-07424192a48b</t>
  </si>
  <si>
    <t>27799065119</t>
  </si>
  <si>
    <t>13560441</t>
  </si>
  <si>
    <t>672bbaba-64d6-4389-b55f-6d4cdbee899b</t>
  </si>
  <si>
    <t>27761111931</t>
  </si>
  <si>
    <t>13561525</t>
  </si>
  <si>
    <t>8aa2a578-3352-4e8e-b1ae-8a63e75a6826</t>
  </si>
  <si>
    <t>2026-03-09 11:17:59</t>
  </si>
  <si>
    <t>27714810306</t>
  </si>
  <si>
    <t>13560457</t>
  </si>
  <si>
    <t>db5bf228-a297-4f74-94df-2225e17920ad</t>
  </si>
  <si>
    <t>2026-03-09 11:17:58</t>
  </si>
  <si>
    <t>27720507303</t>
  </si>
  <si>
    <t>13561528</t>
  </si>
  <si>
    <t>8f03eb6f-493c-4668-ad88-fd407d7a2ae5</t>
  </si>
  <si>
    <t>2026-03-09 11:17:55</t>
  </si>
  <si>
    <t>27609296248</t>
  </si>
  <si>
    <t>13558800</t>
  </si>
  <si>
    <t>5bd569d6-8533-4a9a-a480-c7745f85fee8</t>
  </si>
  <si>
    <t>2026-03-09 11:17:54</t>
  </si>
  <si>
    <t>27798408185</t>
  </si>
  <si>
    <t>13560459</t>
  </si>
  <si>
    <t>d30e3611-0b81-4002-95c3-08bd74270fbc</t>
  </si>
  <si>
    <t>27613362435</t>
  </si>
  <si>
    <t>13561532</t>
  </si>
  <si>
    <t>7da39795-31a8-4b3c-9e19-d35698afdf3e</t>
  </si>
  <si>
    <t>27729166692</t>
  </si>
  <si>
    <t>13561533</t>
  </si>
  <si>
    <t>682d9cc5-5dc6-4d6a-9ebf-1820355d9ad2</t>
  </si>
  <si>
    <t>27725462217</t>
  </si>
  <si>
    <t>13557570</t>
  </si>
  <si>
    <t>cfccd377-6ee5-4545-b90a-1d691d489cd9</t>
  </si>
  <si>
    <t>2026-03-09 11:17:52</t>
  </si>
  <si>
    <t>27765218069</t>
  </si>
  <si>
    <t>13558764</t>
  </si>
  <si>
    <t>15399993-6d55-4d4f-a576-dd854c013753</t>
  </si>
  <si>
    <t>2026-03-09 11:17:50</t>
  </si>
  <si>
    <t>27797962238</t>
  </si>
  <si>
    <t>13558769</t>
  </si>
  <si>
    <t>285ea995-c2be-4a98-9200-0b7410f272ee</t>
  </si>
  <si>
    <t>27797993996</t>
  </si>
  <si>
    <t>13558744</t>
  </si>
  <si>
    <t>ad7a2772-f4b5-4126-984b-59a020683f58</t>
  </si>
  <si>
    <t>2026-03-09 11:17:49</t>
  </si>
  <si>
    <t>27797635986</t>
  </si>
  <si>
    <t>13558747</t>
  </si>
  <si>
    <t>8fdff5e5-f450-4992-85c1-8d40d146852d</t>
  </si>
  <si>
    <t>27797669448</t>
  </si>
  <si>
    <t>13558752</t>
  </si>
  <si>
    <t>d420635c-282b-4406-951b-a42176e79907</t>
  </si>
  <si>
    <t>27797741155</t>
  </si>
  <si>
    <t>13560482</t>
  </si>
  <si>
    <t>efe3068e-12c1-4acf-b995-71bf098b68a5</t>
  </si>
  <si>
    <t>27711449751</t>
  </si>
  <si>
    <t>13560460</t>
  </si>
  <si>
    <t>57383756-4735-41f0-b090-297997cd7187</t>
  </si>
  <si>
    <t>27790351125</t>
  </si>
  <si>
    <t>13560486</t>
  </si>
  <si>
    <t>e4cef1c3-3200-467a-9fef-2b09f0c9c3a0</t>
  </si>
  <si>
    <t>2026-03-09 11:17:48</t>
  </si>
  <si>
    <t>27768214571</t>
  </si>
  <si>
    <t>13560488</t>
  </si>
  <si>
    <t>ac9500a1-9064-4f6f-ba22-62d23b946680</t>
  </si>
  <si>
    <t>2026-03-09 11:17:46</t>
  </si>
  <si>
    <t>27711020249</t>
  </si>
  <si>
    <t>13561679</t>
  </si>
  <si>
    <t>734d5247-8822-4ef3-84e1-78eab5e1e06f</t>
  </si>
  <si>
    <t>27794470287</t>
  </si>
  <si>
    <t>13558681</t>
  </si>
  <si>
    <t>31dd381f-201b-4439-b3aa-02332277c126</t>
  </si>
  <si>
    <t>2026-03-09 11:17:45</t>
  </si>
  <si>
    <t>27796845783</t>
  </si>
  <si>
    <t>13561009</t>
  </si>
  <si>
    <t>b277a753-80d9-4562-8065-70a59fdfe5de</t>
  </si>
  <si>
    <t>27765398890</t>
  </si>
  <si>
    <t>13561010</t>
  </si>
  <si>
    <t>0e9c6f09-54a9-4173-9537-f8995c6f6fc3</t>
  </si>
  <si>
    <t>27721727399</t>
  </si>
  <si>
    <t>13558671</t>
  </si>
  <si>
    <t>56b63421-5523-4ab6-bf39-027c37f0c023</t>
  </si>
  <si>
    <t>2026-03-09 11:17:44</t>
  </si>
  <si>
    <t>27796743376</t>
  </si>
  <si>
    <t>13560490</t>
  </si>
  <si>
    <t>460ece06-bc03-4b2d-a43f-16a9c54cb72f</t>
  </si>
  <si>
    <t>27793278106</t>
  </si>
  <si>
    <t>13558658</t>
  </si>
  <si>
    <t>70e378cd-f4b2-4e75-b41b-6ced502c046a</t>
  </si>
  <si>
    <t>2026-03-09 11:17:43</t>
  </si>
  <si>
    <t>27796608624</t>
  </si>
  <si>
    <t>13558665</t>
  </si>
  <si>
    <t>326c6161-6444-4c12-aa62-253966ec45f3</t>
  </si>
  <si>
    <t>27796686014</t>
  </si>
  <si>
    <t>13558666</t>
  </si>
  <si>
    <t>3bbedde1-ce50-4b3a-8d81-9562fdd7be01</t>
  </si>
  <si>
    <t>27796692175</t>
  </si>
  <si>
    <t>13560491</t>
  </si>
  <si>
    <t>8f7ee28d-a48b-4056-844d-9b99850cddbe</t>
  </si>
  <si>
    <t>27608192721</t>
  </si>
  <si>
    <t>13561685</t>
  </si>
  <si>
    <t>3f5ceeeb-27cc-4d14-945b-0d9d64b83ca6</t>
  </si>
  <si>
    <t>27766527427</t>
  </si>
  <si>
    <t>13558651</t>
  </si>
  <si>
    <t>f4887b1f-b19a-449c-8c0e-e3a2a602e89c</t>
  </si>
  <si>
    <t>2026-03-09 11:17:42</t>
  </si>
  <si>
    <t>27796536054</t>
  </si>
  <si>
    <t>13558652</t>
  </si>
  <si>
    <t>a7b02eba-3472-41ae-9a34-65a594548057</t>
  </si>
  <si>
    <t>27796544678</t>
  </si>
  <si>
    <t>13558654</t>
  </si>
  <si>
    <t>34177f08-c0d5-4f4d-99f1-af564443838b</t>
  </si>
  <si>
    <t>27796575783</t>
  </si>
  <si>
    <t>13558656</t>
  </si>
  <si>
    <t>573229b1-dc4b-45b1-ab5a-5d7010b08d96</t>
  </si>
  <si>
    <t>27796582319</t>
  </si>
  <si>
    <t>13558657</t>
  </si>
  <si>
    <t>cd3bff13-eefd-46af-9086-cf408169c023</t>
  </si>
  <si>
    <t>27796608084</t>
  </si>
  <si>
    <t>13558646</t>
  </si>
  <si>
    <t>9fe7994c-020b-4eae-9ba2-389584df8bf7</t>
  </si>
  <si>
    <t>2026-03-09 11:17:40</t>
  </si>
  <si>
    <t>27796453724</t>
  </si>
  <si>
    <t>13561691</t>
  </si>
  <si>
    <t>ed3b20e1-0d99-4f3c-9241-79bec6429fca</t>
  </si>
  <si>
    <t>27646095451</t>
  </si>
  <si>
    <t>13557179</t>
  </si>
  <si>
    <t>85410eb7-85ad-4d30-85bb-07cb54a4985c</t>
  </si>
  <si>
    <t>2026-03-09 11:17:38</t>
  </si>
  <si>
    <t>27761007939</t>
  </si>
  <si>
    <t>13558650</t>
  </si>
  <si>
    <t>5c41abe4-362a-4d15-8be7-edd5a8ead7f7</t>
  </si>
  <si>
    <t>27796534611</t>
  </si>
  <si>
    <t>13564478</t>
  </si>
  <si>
    <t>0dfb8509-e5c3-4778-9b6b-2cacb23e3374</t>
  </si>
  <si>
    <t>27725691297</t>
  </si>
  <si>
    <t>13564537</t>
  </si>
  <si>
    <t>55ec98fb-be1a-42ad-923c-17e4b548895c</t>
  </si>
  <si>
    <t>27665480970</t>
  </si>
  <si>
    <t>13558663</t>
  </si>
  <si>
    <t>65f77efa-609c-4cf7-8a05-c6c890c8cc7b</t>
  </si>
  <si>
    <t>2026-03-09 11:17:37</t>
  </si>
  <si>
    <t>27796675571</t>
  </si>
  <si>
    <t>13558675</t>
  </si>
  <si>
    <t>91233eab-d472-479a-8391-cf0d0f98e8fd</t>
  </si>
  <si>
    <t>27796797006</t>
  </si>
  <si>
    <t>13558811</t>
  </si>
  <si>
    <t>b46222e5-0623-4227-8536-6543fb02f7a5</t>
  </si>
  <si>
    <t>27798557376</t>
  </si>
  <si>
    <t>13562525</t>
  </si>
  <si>
    <t>a69f0707-688e-4337-a6dd-2464f91e207c</t>
  </si>
  <si>
    <t>27606604415</t>
  </si>
  <si>
    <t>13563384</t>
  </si>
  <si>
    <t>fe775903-cf8f-48af-bb85-9e123f90b2ee</t>
  </si>
  <si>
    <t>27760374670</t>
  </si>
  <si>
    <t>13564517</t>
  </si>
  <si>
    <t>c1d92e42-8c3c-4ec6-9d0f-7cb0a6856c26</t>
  </si>
  <si>
    <t>27722786810</t>
  </si>
  <si>
    <t>13563395</t>
  </si>
  <si>
    <t>1e9b7463-f804-434a-88e2-3e54f4700a5e</t>
  </si>
  <si>
    <t>2026-03-09 11:17:35</t>
  </si>
  <si>
    <t>27675898873</t>
  </si>
  <si>
    <t>13558691</t>
  </si>
  <si>
    <t>7da64e21-9898-41c7-ae72-12014445f79e</t>
  </si>
  <si>
    <t>2026-03-09 11:17:29</t>
  </si>
  <si>
    <t>27796963752</t>
  </si>
  <si>
    <t>13558801</t>
  </si>
  <si>
    <t>5f1d6fef-9bff-4111-aa22-0bf47dacf61a</t>
  </si>
  <si>
    <t>27798408192</t>
  </si>
  <si>
    <t>13561620</t>
  </si>
  <si>
    <t>d9d55f6a-d4df-4a6d-a5ed-1eabc340b890</t>
  </si>
  <si>
    <t>2026-03-09 11:17:28</t>
  </si>
  <si>
    <t>27649757102</t>
  </si>
  <si>
    <t>13563399</t>
  </si>
  <si>
    <t>a463f3a6-4a34-411f-81c2-f778b023be12</t>
  </si>
  <si>
    <t>27711490683</t>
  </si>
  <si>
    <t>13558727</t>
  </si>
  <si>
    <t>cae70e6a-fef1-4ae7-b671-9ffb993bdae4</t>
  </si>
  <si>
    <t>2026-03-09 11:17:12</t>
  </si>
  <si>
    <t>27797486446</t>
  </si>
  <si>
    <t>13558728</t>
  </si>
  <si>
    <t>68d7c0ea-cd0e-4a54-b581-6dc6efe6b725</t>
  </si>
  <si>
    <t>27797508230</t>
  </si>
  <si>
    <t>13558732</t>
  </si>
  <si>
    <t>e0e60bf1-5b61-42d6-b100-3bde8324c1fb</t>
  </si>
  <si>
    <t>27797535269</t>
  </si>
  <si>
    <t>13560493</t>
  </si>
  <si>
    <t>04961e39-26fc-45c4-8527-d2eed42b455f</t>
  </si>
  <si>
    <t>27820589748</t>
  </si>
  <si>
    <t>13558695</t>
  </si>
  <si>
    <t>3d9c845d-f862-493c-9338-e0bfab38231c</t>
  </si>
  <si>
    <t>2026-03-09 11:17:11</t>
  </si>
  <si>
    <t>27797066513</t>
  </si>
  <si>
    <t>13558698</t>
  </si>
  <si>
    <t>574b3e44-1099-49eb-a05e-6f6fb0cc0b94</t>
  </si>
  <si>
    <t>27797081620</t>
  </si>
  <si>
    <t>13558714</t>
  </si>
  <si>
    <t>618c3eb0-8b17-416d-9536-ed00bd6b2cf4</t>
  </si>
  <si>
    <t>27797261105</t>
  </si>
  <si>
    <t>13560494</t>
  </si>
  <si>
    <t>574fafdf-0bcc-4a7c-bb59-56cbec19a1bc</t>
  </si>
  <si>
    <t>27720304085</t>
  </si>
  <si>
    <t>13558690</t>
  </si>
  <si>
    <t>61d13d49-6bf6-424a-8952-09ed8f6b9117</t>
  </si>
  <si>
    <t>2026-03-09 11:17:10</t>
  </si>
  <si>
    <t>27796955780</t>
  </si>
  <si>
    <t>13558693</t>
  </si>
  <si>
    <t>3730c834-9a2a-4824-aa73-7cac88777c24</t>
  </si>
  <si>
    <t>27797047302</t>
  </si>
  <si>
    <t>13561600</t>
  </si>
  <si>
    <t>0782a355-c8e9-455c-acbe-019fb1a04005</t>
  </si>
  <si>
    <t>27665242285</t>
  </si>
  <si>
    <t>13558686</t>
  </si>
  <si>
    <t>64fc409d-4e62-4a48-a9a9-6481f92467ec</t>
  </si>
  <si>
    <t>2026-03-09 11:17:09</t>
  </si>
  <si>
    <t>27796865427</t>
  </si>
  <si>
    <t>13558687</t>
  </si>
  <si>
    <t>5ba8ced9-27cb-4c30-ae11-dca32d62dc46</t>
  </si>
  <si>
    <t>27796881133</t>
  </si>
  <si>
    <t>13558684</t>
  </si>
  <si>
    <t>ffb53474-bcf2-480b-aafd-881722a4e7cc</t>
  </si>
  <si>
    <t>2026-03-09 11:17:02</t>
  </si>
  <si>
    <t>27796854790</t>
  </si>
  <si>
    <t>13558678</t>
  </si>
  <si>
    <t>3c3f63f2-2d9b-4957-bbc3-95a188e997d9</t>
  </si>
  <si>
    <t>2026-03-09 11:16:56</t>
  </si>
  <si>
    <t>27796820350</t>
  </si>
  <si>
    <t>13558683</t>
  </si>
  <si>
    <t>48ff105f-481c-479f-8bdf-3fcfebb97226</t>
  </si>
  <si>
    <t>27796849883</t>
  </si>
  <si>
    <t>13555872</t>
  </si>
  <si>
    <t>ae7f9b03-1f63-40f4-a4a2-3eb7c6daa053</t>
  </si>
  <si>
    <t>2026-03-09 11:16:32</t>
  </si>
  <si>
    <t>27715093304</t>
  </si>
  <si>
    <t>13556249</t>
  </si>
  <si>
    <t>4f7defaa-c0c4-4253-89c6-f063cb27ab2e</t>
  </si>
  <si>
    <t>2026-03-09 11:16:19</t>
  </si>
  <si>
    <t>27722018081</t>
  </si>
  <si>
    <t>13562246</t>
  </si>
  <si>
    <t>903c46d7-2f9f-466c-ae18-676e2fb1815b</t>
  </si>
  <si>
    <t>2026-03-09 11:16:11</t>
  </si>
  <si>
    <t>27768765883</t>
  </si>
  <si>
    <t>13562236</t>
  </si>
  <si>
    <t>44592091-bc9a-4e52-b02a-0782a725d573</t>
  </si>
  <si>
    <t>2026-03-09 11:16:10</t>
  </si>
  <si>
    <t>27636650925</t>
  </si>
  <si>
    <t>13562239</t>
  </si>
  <si>
    <t>67f4fc61-eceb-4be6-b68c-5081aa5ffdde</t>
  </si>
  <si>
    <t>27714213979</t>
  </si>
  <si>
    <t>13562241</t>
  </si>
  <si>
    <t>2b05f5be-cce2-4fe3-9cfe-cb5ab544630c</t>
  </si>
  <si>
    <t>27723645122</t>
  </si>
  <si>
    <t>13562242</t>
  </si>
  <si>
    <t>8cc25565-6963-4638-948e-667eceb5c791</t>
  </si>
  <si>
    <t>27712866627</t>
  </si>
  <si>
    <t>13562244</t>
  </si>
  <si>
    <t>555640bb-d800-4f0a-b387-a0e38211cc57</t>
  </si>
  <si>
    <t>27729760267</t>
  </si>
  <si>
    <t>13562249</t>
  </si>
  <si>
    <t>5f5db281-176e-4eaf-a28e-a756964f31ea</t>
  </si>
  <si>
    <t>27773946073</t>
  </si>
  <si>
    <t>13561393</t>
  </si>
  <si>
    <t>b6e4bb18-fa10-4f43-9156-9d383348e546</t>
  </si>
  <si>
    <t>2026-03-09 11:16:09</t>
  </si>
  <si>
    <t>27726986140</t>
  </si>
  <si>
    <t>13562230</t>
  </si>
  <si>
    <t>4619bdef-8c31-4552-bab5-6d5adf95fb55</t>
  </si>
  <si>
    <t>27713849724</t>
  </si>
  <si>
    <t>13562235</t>
  </si>
  <si>
    <t>6fea1178-bd11-4c24-b483-9ac360c27fff</t>
  </si>
  <si>
    <t>27637485796</t>
  </si>
  <si>
    <t>13561395</t>
  </si>
  <si>
    <t>686cbd52-886c-4830-a4ea-de74accda8cd</t>
  </si>
  <si>
    <t>2026-03-09 11:16:08</t>
  </si>
  <si>
    <t>27660839723</t>
  </si>
  <si>
    <t>13562201</t>
  </si>
  <si>
    <t>23a46ba9-20ff-4b8a-acb4-76fbdb71220e</t>
  </si>
  <si>
    <t>27796338418</t>
  </si>
  <si>
    <t>13562212</t>
  </si>
  <si>
    <t>19861200-28cc-4bc5-bcf7-0315460ca34c</t>
  </si>
  <si>
    <t>27649668379</t>
  </si>
  <si>
    <t>13562214</t>
  </si>
  <si>
    <t>612d5f26-26ab-4c4e-bc76-67a7de2ae587</t>
  </si>
  <si>
    <t>27715685459</t>
  </si>
  <si>
    <t>13562221</t>
  </si>
  <si>
    <t>f170e052-a55c-42d1-bd68-2f168f4c085b</t>
  </si>
  <si>
    <t>27716892054</t>
  </si>
  <si>
    <t>13561401</t>
  </si>
  <si>
    <t>7f5f13d8-c3c7-4858-b607-9b8c781d4977</t>
  </si>
  <si>
    <t>2026-03-09 11:16:07</t>
  </si>
  <si>
    <t>27713890089</t>
  </si>
  <si>
    <t>13562195</t>
  </si>
  <si>
    <t>16a5815b-dc1f-43ae-905d-5c6908016aee</t>
  </si>
  <si>
    <t>2026-03-09 11:16:06</t>
  </si>
  <si>
    <t>27714975914</t>
  </si>
  <si>
    <t>13561411</t>
  </si>
  <si>
    <t>c25a7d41-1316-4e0f-bc53-d1b64ec21051</t>
  </si>
  <si>
    <t>2026-03-09 11:15:53</t>
  </si>
  <si>
    <t>27673899021</t>
  </si>
  <si>
    <t>13561412</t>
  </si>
  <si>
    <t>dcd1d9fe-486b-491b-a722-4ee081cbd924</t>
  </si>
  <si>
    <t>27713105509</t>
  </si>
  <si>
    <t>13562181</t>
  </si>
  <si>
    <t>3f5b15e2-a159-43fe-8d1c-a99e0b70289b</t>
  </si>
  <si>
    <t>27608353523</t>
  </si>
  <si>
    <t>13562185</t>
  </si>
  <si>
    <t>980ee8bf-23b4-4a5d-939c-4084ad41e843</t>
  </si>
  <si>
    <t>27764359815</t>
  </si>
  <si>
    <t>13562174</t>
  </si>
  <si>
    <t>702cd939-c54c-4e8f-afd3-632a9844cc35</t>
  </si>
  <si>
    <t>2026-03-09 11:15:52</t>
  </si>
  <si>
    <t>27792396303</t>
  </si>
  <si>
    <t>13562177</t>
  </si>
  <si>
    <t>09a1bf71-7f24-4c0b-bacb-47f9ac517b6b</t>
  </si>
  <si>
    <t>27665639860</t>
  </si>
  <si>
    <t>13562179</t>
  </si>
  <si>
    <t>5de9c3dc-aad5-498f-80a3-e7f60932f2dc</t>
  </si>
  <si>
    <t>27716948448</t>
  </si>
  <si>
    <t>13562180</t>
  </si>
  <si>
    <t>e398b64d-c03a-4888-b38c-4a450f85e316</t>
  </si>
  <si>
    <t>27724909293</t>
  </si>
  <si>
    <t>13561417</t>
  </si>
  <si>
    <t>f89dd924-f208-4eea-bbbd-139c92eaef51</t>
  </si>
  <si>
    <t>2026-03-09 11:15:51</t>
  </si>
  <si>
    <t>27729956662</t>
  </si>
  <si>
    <t>13562171</t>
  </si>
  <si>
    <t>3ec5c655-5188-4042-9231-64d5bbe405ea</t>
  </si>
  <si>
    <t>2026-03-09 11:15:49</t>
  </si>
  <si>
    <t>27765086247</t>
  </si>
  <si>
    <t>13562170</t>
  </si>
  <si>
    <t>1dc2e978-8ec4-40c5-81fe-40eea1770074</t>
  </si>
  <si>
    <t>2026-03-09 11:15:45</t>
  </si>
  <si>
    <t>27762617349</t>
  </si>
  <si>
    <t>13562167</t>
  </si>
  <si>
    <t>ede43417-8ee3-4a46-901d-80bc7f9a5336</t>
  </si>
  <si>
    <t>2026-03-09 11:15:43</t>
  </si>
  <si>
    <t>27791039348</t>
  </si>
  <si>
    <t>13562169</t>
  </si>
  <si>
    <t>90538246-8f4e-432d-b9d0-05adbddc45c9</t>
  </si>
  <si>
    <t>27761424086</t>
  </si>
  <si>
    <t>13561465</t>
  </si>
  <si>
    <t>8fc5f20f-af66-4ecc-ab55-a7e8b4df5d5a</t>
  </si>
  <si>
    <t>2026-03-09 11:15:42</t>
  </si>
  <si>
    <t>27712956892</t>
  </si>
  <si>
    <t>13561420</t>
  </si>
  <si>
    <t>168e3126-8653-406a-ad95-3fe00a6c1aaf</t>
  </si>
  <si>
    <t>27767085529</t>
  </si>
  <si>
    <t>13561422</t>
  </si>
  <si>
    <t>5a35ee24-b0e9-492d-afc2-a504c9e85cc9</t>
  </si>
  <si>
    <t>27660885339</t>
  </si>
  <si>
    <t>13561426</t>
  </si>
  <si>
    <t>dd74fe37-2f5d-4ea8-b374-52c83e57d73b</t>
  </si>
  <si>
    <t>27799518402</t>
  </si>
  <si>
    <t>13561432</t>
  </si>
  <si>
    <t>08080768-4672-4ff5-9729-dec04cb4e441</t>
  </si>
  <si>
    <t>27795803648</t>
  </si>
  <si>
    <t>13563231</t>
  </si>
  <si>
    <t>052e5ab0-1534-40c8-9502-9d8b34947d4a</t>
  </si>
  <si>
    <t>2026-03-09 11:15:41</t>
  </si>
  <si>
    <t>27767606272</t>
  </si>
  <si>
    <t>13555104</t>
  </si>
  <si>
    <t>79cb3306-13e5-4e79-839c-2b950fc136fc</t>
  </si>
  <si>
    <t>2026-03-09 11:15:38</t>
  </si>
  <si>
    <t>27647974775</t>
  </si>
  <si>
    <t>13555074</t>
  </si>
  <si>
    <t>cc20c82b-cd42-4039-bd16-e71d7e1a45f5</t>
  </si>
  <si>
    <t>2026-03-09 11:15:33</t>
  </si>
  <si>
    <t>27647021798</t>
  </si>
  <si>
    <t>13555095</t>
  </si>
  <si>
    <t>e9722e50-5d4f-4f5c-bc35-9b82acd35ebd</t>
  </si>
  <si>
    <t>27647735429</t>
  </si>
  <si>
    <t>13555058</t>
  </si>
  <si>
    <t>8a7c3912-5d1a-4d66-b1a9-7c2d9f2c5679</t>
  </si>
  <si>
    <t>2026-03-09 11:15:32</t>
  </si>
  <si>
    <t>27646491825</t>
  </si>
  <si>
    <t>13555068</t>
  </si>
  <si>
    <t>19a57dc3-0163-4184-b62d-5bd581208aaf</t>
  </si>
  <si>
    <t>27646913447</t>
  </si>
  <si>
    <t>13555072</t>
  </si>
  <si>
    <t>7428daa3-5615-462c-8225-bacc45571a0c</t>
  </si>
  <si>
    <t>27647006939</t>
  </si>
  <si>
    <t>13555073</t>
  </si>
  <si>
    <t>2c811038-c821-4492-9c68-31144e122926</t>
  </si>
  <si>
    <t>27647012662</t>
  </si>
  <si>
    <t>13555055</t>
  </si>
  <si>
    <t>e5f9c65e-e60d-46ca-a9c1-f12bdcee39c0</t>
  </si>
  <si>
    <t>2026-03-09 11:15:31</t>
  </si>
  <si>
    <t>27646447096</t>
  </si>
  <si>
    <t>13561736</t>
  </si>
  <si>
    <t>1dfaca6c-082a-48f6-a671-6ab5e218c49a</t>
  </si>
  <si>
    <t>27606655004</t>
  </si>
  <si>
    <t>13561747</t>
  </si>
  <si>
    <t>84072686-666b-497f-bb32-7fa868eeaa94</t>
  </si>
  <si>
    <t>27774967758</t>
  </si>
  <si>
    <t>13560871</t>
  </si>
  <si>
    <t>6aa6d5fc-bcbc-4947-b43b-293212dcd021</t>
  </si>
  <si>
    <t>2026-03-09 11:15:11</t>
  </si>
  <si>
    <t>27764316469</t>
  </si>
  <si>
    <t>13560672</t>
  </si>
  <si>
    <t>17e2df3b-b89b-4be6-827f-a1f161d4d714</t>
  </si>
  <si>
    <t>2026-03-09 11:15:06</t>
  </si>
  <si>
    <t>27724296976</t>
  </si>
  <si>
    <t>13560673</t>
  </si>
  <si>
    <t>7afbb565-dd93-4f9c-a3c3-d70e5eedfbe0</t>
  </si>
  <si>
    <t>2026-03-09 11:15:04</t>
  </si>
  <si>
    <t>27725866871</t>
  </si>
  <si>
    <t>13560735</t>
  </si>
  <si>
    <t>1b332b1d-284c-4577-b7a0-641fa8a99724</t>
  </si>
  <si>
    <t>27608377949</t>
  </si>
  <si>
    <t>13561804</t>
  </si>
  <si>
    <t>285e8ae1-2e42-4843-b83f-90243017f4cf</t>
  </si>
  <si>
    <t>27792985933</t>
  </si>
  <si>
    <t>13561771</t>
  </si>
  <si>
    <t>781a3457-e969-41b1-90bf-d3e020f8ee76</t>
  </si>
  <si>
    <t>27711117876</t>
  </si>
  <si>
    <t>13561772</t>
  </si>
  <si>
    <t>e452ef13-01d7-4b88-85b2-404efa230bc1</t>
  </si>
  <si>
    <t>27648010717</t>
  </si>
  <si>
    <t>13561778</t>
  </si>
  <si>
    <t>ec61607d-3167-4b4d-a5fe-436f8dce4105</t>
  </si>
  <si>
    <t>27665165814</t>
  </si>
  <si>
    <t>13561857</t>
  </si>
  <si>
    <t>e8b9a248-4f4d-4867-8d5c-1cc3f9dfaa55</t>
  </si>
  <si>
    <t>27772433232</t>
  </si>
  <si>
    <t>13561861</t>
  </si>
  <si>
    <t>60feda85-a97b-4e8e-883a-1f93d1a54c61</t>
  </si>
  <si>
    <t>27663055255</t>
  </si>
  <si>
    <t>13561863</t>
  </si>
  <si>
    <t>ef39f8f8-59fa-4da9-9139-f3f596594597</t>
  </si>
  <si>
    <t>27649536143</t>
  </si>
  <si>
    <t>13558946</t>
  </si>
  <si>
    <t>d89f10e1-eefb-4fae-abdd-b3a8ab2e4f91</t>
  </si>
  <si>
    <t>2026-03-09 11:15:03</t>
  </si>
  <si>
    <t>27818252365</t>
  </si>
  <si>
    <t>13560737</t>
  </si>
  <si>
    <t>e1d8fc6d-5acb-40aa-a03b-92b6ff3102e2</t>
  </si>
  <si>
    <t>27711888238</t>
  </si>
  <si>
    <t>13560739</t>
  </si>
  <si>
    <t>ecb25a72-f6c0-4993-a4ed-388a48028360</t>
  </si>
  <si>
    <t>27765105876</t>
  </si>
  <si>
    <t>13558943</t>
  </si>
  <si>
    <t>8c6c4e22-fd42-4337-8051-e9650cc1617e</t>
  </si>
  <si>
    <t>2026-03-09 11:15:00</t>
  </si>
  <si>
    <t>27818201511</t>
  </si>
  <si>
    <t>13558928</t>
  </si>
  <si>
    <t>3448752e-babf-4bda-af5f-d3b0e3078b24</t>
  </si>
  <si>
    <t>2026-03-09 11:14:59</t>
  </si>
  <si>
    <t>27818041660</t>
  </si>
  <si>
    <t>13558931</t>
  </si>
  <si>
    <t>06a5b8bb-5e65-4751-a0a1-ec85ff684458</t>
  </si>
  <si>
    <t>27818052624</t>
  </si>
  <si>
    <t>13558933</t>
  </si>
  <si>
    <t>d6977e2d-20f0-451c-ab0f-0de67a58c82e</t>
  </si>
  <si>
    <t>27818105961</t>
  </si>
  <si>
    <t>13558935</t>
  </si>
  <si>
    <t>bb7534b3-8d94-439d-9b62-046e595ec630</t>
  </si>
  <si>
    <t>27818144723</t>
  </si>
  <si>
    <t>13558938</t>
  </si>
  <si>
    <t>86af0614-cf7c-4857-b90f-4421992a5ae3</t>
  </si>
  <si>
    <t>27818157828</t>
  </si>
  <si>
    <t>13558920</t>
  </si>
  <si>
    <t>ed2033d6-ea3f-4151-be49-d44a70f4ee38</t>
  </si>
  <si>
    <t>2026-03-09 11:14:57</t>
  </si>
  <si>
    <t>27813376045</t>
  </si>
  <si>
    <t>13558926</t>
  </si>
  <si>
    <t>f38ab3b6-c1ad-4ae9-a214-cb6fed0c9463</t>
  </si>
  <si>
    <t>27818014412</t>
  </si>
  <si>
    <t>13558901</t>
  </si>
  <si>
    <t>8a93ccc3-7e42-4700-9a8e-7926986c79b7</t>
  </si>
  <si>
    <t>2026-03-09 11:14:56</t>
  </si>
  <si>
    <t>27799793930</t>
  </si>
  <si>
    <t>13558903</t>
  </si>
  <si>
    <t>690b3507-044b-4c39-abc0-bbe1728bb51a</t>
  </si>
  <si>
    <t>27799810733</t>
  </si>
  <si>
    <t>13558908</t>
  </si>
  <si>
    <t>0dc9bc59-34b0-4917-add7-9e3aa542c313</t>
  </si>
  <si>
    <t>27799900810</t>
  </si>
  <si>
    <t>13558911</t>
  </si>
  <si>
    <t>e6b00d0a-2a32-42f6-88ce-e6774f1dc06d</t>
  </si>
  <si>
    <t>27799932406</t>
  </si>
  <si>
    <t>13561866</t>
  </si>
  <si>
    <t>cc213d1a-8e4e-405c-8135-b00718ac7745</t>
  </si>
  <si>
    <t>27713487504</t>
  </si>
  <si>
    <t>13558897</t>
  </si>
  <si>
    <t>7cd336ba-4ce1-47b1-97b7-f552e2cc677e</t>
  </si>
  <si>
    <t>2026-03-09 11:14:53</t>
  </si>
  <si>
    <t>27799775687</t>
  </si>
  <si>
    <t>13564853</t>
  </si>
  <si>
    <t>39870743-fad8-4f47-bd04-4f73545274d7</t>
  </si>
  <si>
    <t>2026-03-09 11:14:33</t>
  </si>
  <si>
    <t>27608519829</t>
  </si>
  <si>
    <t>13557023</t>
  </si>
  <si>
    <t>ffaf033a-fec4-4304-8e4f-39cabfbf94aa</t>
  </si>
  <si>
    <t>2026-03-09 11:13:38</t>
  </si>
  <si>
    <t>27729653798</t>
  </si>
  <si>
    <t>13556760</t>
  </si>
  <si>
    <t>e0d0e4c6-54ca-41d5-88c4-e9c2078c0f41</t>
  </si>
  <si>
    <t>2026-03-09 11:13:37</t>
  </si>
  <si>
    <t>27727234534</t>
  </si>
  <si>
    <t>13556460</t>
  </si>
  <si>
    <t>857542fe-ed0b-4dd4-8fdf-2f66b027f43a</t>
  </si>
  <si>
    <t>27724120114</t>
  </si>
  <si>
    <t>13557490</t>
  </si>
  <si>
    <t>06461fbc-026a-4eab-ab72-5f0c09c68b18</t>
  </si>
  <si>
    <t>27764380077</t>
  </si>
  <si>
    <t>13557496</t>
  </si>
  <si>
    <t>5a5d0a20-d7ec-4758-a568-73416faec586</t>
  </si>
  <si>
    <t>27764439057</t>
  </si>
  <si>
    <t>13558543</t>
  </si>
  <si>
    <t>23c1651d-ecf3-4f07-9d95-0f922ca8e6eb</t>
  </si>
  <si>
    <t>27795315999</t>
  </si>
  <si>
    <t>13558712</t>
  </si>
  <si>
    <t>526f3fc6-6ade-44f5-a07d-ee4454b038f1</t>
  </si>
  <si>
    <t>27797229907</t>
  </si>
  <si>
    <t>13558953</t>
  </si>
  <si>
    <t>b4775d27-9d00-4223-b5e0-4f0c73d6821e</t>
  </si>
  <si>
    <t>27818389559</t>
  </si>
  <si>
    <t>13559079</t>
  </si>
  <si>
    <t>0ed517d2-fb18-4596-8757-c80d252edca3</t>
  </si>
  <si>
    <t>27822565034</t>
  </si>
  <si>
    <t>13555507</t>
  </si>
  <si>
    <t>da432842-f795-4b36-9457-4604ad7577c5</t>
  </si>
  <si>
    <t>2026-03-09 11:13:36</t>
  </si>
  <si>
    <t>27675739665</t>
  </si>
  <si>
    <t>13556424</t>
  </si>
  <si>
    <t>f247eec4-8008-43bf-b04b-ba648b2ada14</t>
  </si>
  <si>
    <t>27723722541</t>
  </si>
  <si>
    <t>13557350</t>
  </si>
  <si>
    <t>539e2646-304e-4766-8054-e27e66762a4f</t>
  </si>
  <si>
    <t>2026-03-09 11:13:32</t>
  </si>
  <si>
    <t>27762836011</t>
  </si>
  <si>
    <t>13558104</t>
  </si>
  <si>
    <t>ed7c88e5-0b74-47f4-8e0e-416d34dfcd14</t>
  </si>
  <si>
    <t>2026-03-09 11:13:29</t>
  </si>
  <si>
    <t>27790190495</t>
  </si>
  <si>
    <t>13558700</t>
  </si>
  <si>
    <t>7b9816be-45d5-48f6-822b-580e9d8e6794</t>
  </si>
  <si>
    <t>27797090099</t>
  </si>
  <si>
    <t>13562998</t>
  </si>
  <si>
    <t>d9604199-0d78-4568-a318-a7dd00061c5a</t>
  </si>
  <si>
    <t>2026-03-09 11:13:28</t>
  </si>
  <si>
    <t>27715398075</t>
  </si>
  <si>
    <t>13564370</t>
  </si>
  <si>
    <t>50ec70a0-844a-452f-8521-36e61eb98859</t>
  </si>
  <si>
    <t>27711726118</t>
  </si>
  <si>
    <t>13559273</t>
  </si>
  <si>
    <t>a5f95366-88f7-40d0-a873-8926a28819d3</t>
  </si>
  <si>
    <t>2026-03-09 11:13:26</t>
  </si>
  <si>
    <t>27825024608</t>
  </si>
  <si>
    <t>13559277</t>
  </si>
  <si>
    <t>4349179b-1530-41bf-b2fa-c1858f3548c6</t>
  </si>
  <si>
    <t>27825057600</t>
  </si>
  <si>
    <t>13559282</t>
  </si>
  <si>
    <t>02dd9ec2-1994-4fb2-b15f-76b28dd8575d</t>
  </si>
  <si>
    <t>27825090562</t>
  </si>
  <si>
    <t>13555878</t>
  </si>
  <si>
    <t>4f4e4b6e-de13-4e4b-a881-448fa4639199</t>
  </si>
  <si>
    <t>2026-03-09 11:13:25</t>
  </si>
  <si>
    <t>27715143039</t>
  </si>
  <si>
    <t>13559272</t>
  </si>
  <si>
    <t>15dd3739-3f8d-4bd2-a734-d6ec4e15d3f7</t>
  </si>
  <si>
    <t>27825012583</t>
  </si>
  <si>
    <t>13561186</t>
  </si>
  <si>
    <t>bfe58e91-179e-4ddf-a782-ec0adb45b0e4</t>
  </si>
  <si>
    <t>2026-03-09 11:13:23</t>
  </si>
  <si>
    <t>27662790311</t>
  </si>
  <si>
    <t>13561717</t>
  </si>
  <si>
    <t>c7d61962-c3ae-4fa4-81ef-b2034bfb6490</t>
  </si>
  <si>
    <t>27828289730</t>
  </si>
  <si>
    <t>13560757</t>
  </si>
  <si>
    <t>195becda-5871-4ffb-a978-65114835c3d4</t>
  </si>
  <si>
    <t>2026-03-09 11:13:21</t>
  </si>
  <si>
    <t>27823657902</t>
  </si>
  <si>
    <t>13555860</t>
  </si>
  <si>
    <t>4c46c2cb-7938-4943-b99a-ec2d19348a36</t>
  </si>
  <si>
    <t>2026-03-09 11:13:20</t>
  </si>
  <si>
    <t>27714973623</t>
  </si>
  <si>
    <t>13559183</t>
  </si>
  <si>
    <t>92ebd90a-2cf3-4452-95cc-0b1c288d4a5f</t>
  </si>
  <si>
    <t>27823948511</t>
  </si>
  <si>
    <t>13559187</t>
  </si>
  <si>
    <t>cd2bf310-599a-44d6-a1a6-de2b1472499f</t>
  </si>
  <si>
    <t>27823977670</t>
  </si>
  <si>
    <t>13560759</t>
  </si>
  <si>
    <t>1072d2a8-54a0-4818-a331-d524a4317ef8</t>
  </si>
  <si>
    <t>27768101878</t>
  </si>
  <si>
    <t>13555858</t>
  </si>
  <si>
    <t>9bd68691-3a48-4ffa-aded-e65a8b6b1059</t>
  </si>
  <si>
    <t>2026-03-09 11:13:19</t>
  </si>
  <si>
    <t>27714957401</t>
  </si>
  <si>
    <t>13561187</t>
  </si>
  <si>
    <t>8ce29936-9cda-4ff7-a067-5541195ba2d0</t>
  </si>
  <si>
    <t>2026-03-09 11:13:15</t>
  </si>
  <si>
    <t>27663491517</t>
  </si>
  <si>
    <t>13560760</t>
  </si>
  <si>
    <t>d3dd3240-d392-4cb7-81ae-30d20a7b4eed</t>
  </si>
  <si>
    <t>2026-03-09 11:13:14</t>
  </si>
  <si>
    <t>27835936149</t>
  </si>
  <si>
    <t>13561718</t>
  </si>
  <si>
    <t>d2bb045f-137c-4988-84ce-98052a6764ad</t>
  </si>
  <si>
    <t>2026-03-09 11:13:12</t>
  </si>
  <si>
    <t>27787469905</t>
  </si>
  <si>
    <t>13561737</t>
  </si>
  <si>
    <t>0a9282b4-1433-4236-9e91-a5ebbe9f7d38</t>
  </si>
  <si>
    <t>27610914994</t>
  </si>
  <si>
    <t>13558995</t>
  </si>
  <si>
    <t>9bac4416-977b-4aff-a217-22aff169214d</t>
  </si>
  <si>
    <t>2026-03-09 11:13:11</t>
  </si>
  <si>
    <t>27818963385</t>
  </si>
  <si>
    <t>13559068</t>
  </si>
  <si>
    <t>f0d0037a-29c3-4547-8d67-554c52804499</t>
  </si>
  <si>
    <t>27822270518</t>
  </si>
  <si>
    <t>13560761</t>
  </si>
  <si>
    <t>9a10d788-aae9-409b-ad84-df95eeade0e6</t>
  </si>
  <si>
    <t>27765492606</t>
  </si>
  <si>
    <t>13561193</t>
  </si>
  <si>
    <t>446edc08-8ded-4af8-8d6c-c083dfe4db2e</t>
  </si>
  <si>
    <t>27713461934</t>
  </si>
  <si>
    <t>13561738</t>
  </si>
  <si>
    <t>ec4fdfb3-e7de-4157-9559-79ff0340ef51</t>
  </si>
  <si>
    <t>27826832272</t>
  </si>
  <si>
    <t>13561740</t>
  </si>
  <si>
    <t>86a322e3-41fc-46e1-9f95-81e72d34e383</t>
  </si>
  <si>
    <t>2026-03-09 11:13:09</t>
  </si>
  <si>
    <t>27716777500</t>
  </si>
  <si>
    <t>13558947</t>
  </si>
  <si>
    <t>6a7e6e29-47f5-43f8-ac52-dcbb01ef9825</t>
  </si>
  <si>
    <t>2026-03-09 11:13:08</t>
  </si>
  <si>
    <t>27818264021</t>
  </si>
  <si>
    <t>13558984</t>
  </si>
  <si>
    <t>4e63f50c-0f51-447e-aab7-d495c645e98f</t>
  </si>
  <si>
    <t>27818809740</t>
  </si>
  <si>
    <t>13560772</t>
  </si>
  <si>
    <t>5fb73274-237e-49d2-9209-424c01531dc8</t>
  </si>
  <si>
    <t>27664248014</t>
  </si>
  <si>
    <t>13560764</t>
  </si>
  <si>
    <t>1394a9d6-0c1b-4ac1-8c6e-5e1a21279c8c</t>
  </si>
  <si>
    <t>27799278996</t>
  </si>
  <si>
    <t>13561741</t>
  </si>
  <si>
    <t>ffd0757b-63db-4033-99a4-41ea88172ff0</t>
  </si>
  <si>
    <t>27727994233</t>
  </si>
  <si>
    <t>13559061</t>
  </si>
  <si>
    <t>49e994c7-9434-4409-94e5-c07feb02ba17</t>
  </si>
  <si>
    <t>2026-03-09 11:13:07</t>
  </si>
  <si>
    <t>27822218974</t>
  </si>
  <si>
    <t>13559053</t>
  </si>
  <si>
    <t>71d12b65-63da-4aa2-869d-38cee38fd5eb</t>
  </si>
  <si>
    <t>2026-03-09 11:13:03</t>
  </si>
  <si>
    <t>27822148535</t>
  </si>
  <si>
    <t>13559052</t>
  </si>
  <si>
    <t>2e9bf3e7-6843-40c1-a154-33c17c376b79</t>
  </si>
  <si>
    <t>2026-03-09 11:13:02</t>
  </si>
  <si>
    <t>27822124863</t>
  </si>
  <si>
    <t>13559025</t>
  </si>
  <si>
    <t>f45d9433-366f-4a8c-a70b-a0d39023c2e2</t>
  </si>
  <si>
    <t>2026-03-09 11:13:01</t>
  </si>
  <si>
    <t>27820695831</t>
  </si>
  <si>
    <t>13559043</t>
  </si>
  <si>
    <t>fb2cb0e2-e411-49ef-ac12-fd21eab86d35</t>
  </si>
  <si>
    <t>27820928292</t>
  </si>
  <si>
    <t>13559046</t>
  </si>
  <si>
    <t>bf2e9fa2-0230-437a-963a-425bb73af5d6</t>
  </si>
  <si>
    <t>27820977391</t>
  </si>
  <si>
    <t>13559050</t>
  </si>
  <si>
    <t>f214e43d-93ad-4f0e-8294-7a78b98d2c84</t>
  </si>
  <si>
    <t>27822060899</t>
  </si>
  <si>
    <t>13559051</t>
  </si>
  <si>
    <t>ced5264d-5891-415e-87eb-dc96c98e9a9c</t>
  </si>
  <si>
    <t>27822110770</t>
  </si>
  <si>
    <t>13559018</t>
  </si>
  <si>
    <t>3d71e128-8eaa-4287-82a1-2b65c5cc3e57</t>
  </si>
  <si>
    <t>2026-03-09 11:12:56</t>
  </si>
  <si>
    <t>27820611723</t>
  </si>
  <si>
    <t>13559013</t>
  </si>
  <si>
    <t>4ac5d050-d9f8-4939-a2fa-d9e3627bef03</t>
  </si>
  <si>
    <t>2026-03-09 11:12:50</t>
  </si>
  <si>
    <t>27820567257</t>
  </si>
  <si>
    <t>13559017</t>
  </si>
  <si>
    <t>2891d97b-9c29-4871-9cdc-a2d72f3f377d</t>
  </si>
  <si>
    <t>27820611100</t>
  </si>
  <si>
    <t>13561739</t>
  </si>
  <si>
    <t>7c521fc2-e066-4e11-b25a-5f4aa65ac709</t>
  </si>
  <si>
    <t>2026-03-09 11:12:46</t>
  </si>
  <si>
    <t>27766453324</t>
  </si>
  <si>
    <t>13558990</t>
  </si>
  <si>
    <t>da33a1a1-3bc3-45d1-8a2c-b0e5ca75e4af</t>
  </si>
  <si>
    <t>2026-03-09 11:12:44</t>
  </si>
  <si>
    <t>27818866836</t>
  </si>
  <si>
    <t>13558997</t>
  </si>
  <si>
    <t>3d5c8987-9f45-4fdc-aae2-bcf6f125a2d8</t>
  </si>
  <si>
    <t>27818966141</t>
  </si>
  <si>
    <t>13555665</t>
  </si>
  <si>
    <t>fc860c59-53ef-4b24-9593-cea6414fb26c</t>
  </si>
  <si>
    <t>2026-03-09 11:12:28</t>
  </si>
  <si>
    <t>27712707273</t>
  </si>
  <si>
    <t>13556533</t>
  </si>
  <si>
    <t>2df8df9d-d3f8-460e-80f2-683cc500a2a0</t>
  </si>
  <si>
    <t>2026-03-09 11:12:11</t>
  </si>
  <si>
    <t>27724836878</t>
  </si>
  <si>
    <t>13559182</t>
  </si>
  <si>
    <t>1cce52a0-5585-48b8-a35a-618b29524735</t>
  </si>
  <si>
    <t>27823944264</t>
  </si>
  <si>
    <t>13559180</t>
  </si>
  <si>
    <t>cda3eb8d-3605-44df-b2d0-b30e9678d434</t>
  </si>
  <si>
    <t>2026-03-09 11:12:10</t>
  </si>
  <si>
    <t>27823933847</t>
  </si>
  <si>
    <t>13561473</t>
  </si>
  <si>
    <t>71076a9c-3255-460d-b76e-ae087dd7b445</t>
  </si>
  <si>
    <t>27820788072</t>
  </si>
  <si>
    <t>13559144</t>
  </si>
  <si>
    <t>fc1f45ce-d41a-4ad3-8c69-d959f93192b6</t>
  </si>
  <si>
    <t>2026-03-09 11:12:09</t>
  </si>
  <si>
    <t>27823519636</t>
  </si>
  <si>
    <t>13559171</t>
  </si>
  <si>
    <t>11cdfb2a-58e0-4e78-bb79-ffb825ea024d</t>
  </si>
  <si>
    <t>27823828481</t>
  </si>
  <si>
    <t>13560791</t>
  </si>
  <si>
    <t>0b54c370-7c9f-4a6f-9843-2cf8a656a738</t>
  </si>
  <si>
    <t>27826156448</t>
  </si>
  <si>
    <t>13561722</t>
  </si>
  <si>
    <t>fde1000e-3c1b-41b7-a549-c0b58af72e15</t>
  </si>
  <si>
    <t>27725896112</t>
  </si>
  <si>
    <t>13559138</t>
  </si>
  <si>
    <t>558a4f5f-5839-4d5e-a432-0019f25b789c</t>
  </si>
  <si>
    <t>2026-03-09 11:12:02</t>
  </si>
  <si>
    <t>27823459178</t>
  </si>
  <si>
    <t>13555846</t>
  </si>
  <si>
    <t>19225f6c-521a-44d6-8710-27e129fedc05</t>
  </si>
  <si>
    <t>2026-03-09 11:12:01</t>
  </si>
  <si>
    <t>27714826779</t>
  </si>
  <si>
    <t>13559116</t>
  </si>
  <si>
    <t>06cdcb9d-3a64-444a-84a0-1fb0bf446fe7</t>
  </si>
  <si>
    <t>27822996963</t>
  </si>
  <si>
    <t>13559132</t>
  </si>
  <si>
    <t>433eb154-5a77-4efd-aab3-e7c1dfaced51</t>
  </si>
  <si>
    <t>27823412235</t>
  </si>
  <si>
    <t>13559133</t>
  </si>
  <si>
    <t>3bc57064-214f-42e9-9a0c-06a1384f56de</t>
  </si>
  <si>
    <t>27823420963</t>
  </si>
  <si>
    <t>13559134</t>
  </si>
  <si>
    <t>8eba373e-1942-43fb-8d33-8fd7ab36383c</t>
  </si>
  <si>
    <t>27823435361</t>
  </si>
  <si>
    <t>13555844</t>
  </si>
  <si>
    <t>ef0e5e5a-a517-4e13-a439-99132b2213da</t>
  </si>
  <si>
    <t>2026-03-09 11:11:59</t>
  </si>
  <si>
    <t>27714781032</t>
  </si>
  <si>
    <t>13559080</t>
  </si>
  <si>
    <t>b39f6f8e-3003-4aa9-972d-6e3d41ffbbce</t>
  </si>
  <si>
    <t>2026-03-09 11:11:58</t>
  </si>
  <si>
    <t>27822568249</t>
  </si>
  <si>
    <t>13559086</t>
  </si>
  <si>
    <t>9c5d6cc1-e876-496d-8fb1-3c9422f18284</t>
  </si>
  <si>
    <t>27822607695</t>
  </si>
  <si>
    <t>13559093</t>
  </si>
  <si>
    <t>85d82ee6-d15e-4d4a-b6e3-77c9f0d9c3de</t>
  </si>
  <si>
    <t>27822627333</t>
  </si>
  <si>
    <t>13561725</t>
  </si>
  <si>
    <t>1d10ebac-eda2-4cb4-b7f4-96794ca3d5a5</t>
  </si>
  <si>
    <t>27723687867</t>
  </si>
  <si>
    <t>13561729</t>
  </si>
  <si>
    <t>e06d6864-eadd-47ab-bbb7-2d0e8bce8f78</t>
  </si>
  <si>
    <t>27712698856</t>
  </si>
  <si>
    <t>13560793</t>
  </si>
  <si>
    <t>0f145a49-e7c2-4c6d-bd38-5ada3263dc50</t>
  </si>
  <si>
    <t>2026-03-09 11:11:52</t>
  </si>
  <si>
    <t>27797391397</t>
  </si>
  <si>
    <t>13561475</t>
  </si>
  <si>
    <t>af532949-e071-4bbe-b253-51bbb2815de9</t>
  </si>
  <si>
    <t>27765009219</t>
  </si>
  <si>
    <t>13556337</t>
  </si>
  <si>
    <t>81846e02-7eea-4105-b25a-9dd62d92c76e</t>
  </si>
  <si>
    <t>2026-03-09 11:11:30</t>
  </si>
  <si>
    <t>27722845102</t>
  </si>
  <si>
    <t>13557125</t>
  </si>
  <si>
    <t>07773255-494d-46b0-a9db-c2e2dac3b2fd</t>
  </si>
  <si>
    <t>27760480336</t>
  </si>
  <si>
    <t>13555010</t>
  </si>
  <si>
    <t>431a263d-2ed3-47ba-82ad-12e404a7063f</t>
  </si>
  <si>
    <t>2026-03-09 11:11:29</t>
  </si>
  <si>
    <t>27637499761</t>
  </si>
  <si>
    <t>13559270</t>
  </si>
  <si>
    <t>bfa053c8-928e-404a-873a-3ca55d5ca40b</t>
  </si>
  <si>
    <t>2026-03-09 11:11:24</t>
  </si>
  <si>
    <t>27825009618</t>
  </si>
  <si>
    <t>13559254</t>
  </si>
  <si>
    <t>95368922-27a1-4b64-b8be-092a8a4deb5f</t>
  </si>
  <si>
    <t>2026-03-09 11:11:23</t>
  </si>
  <si>
    <t>27824802456</t>
  </si>
  <si>
    <t>13559263</t>
  </si>
  <si>
    <t>a876bed0-1530-4d50-88ff-093c7c76be81</t>
  </si>
  <si>
    <t>27824908949</t>
  </si>
  <si>
    <t>13559264</t>
  </si>
  <si>
    <t>dac8e998-0dad-4bcf-a2bb-be0c676cb414</t>
  </si>
  <si>
    <t>27824914450</t>
  </si>
  <si>
    <t>13559265</t>
  </si>
  <si>
    <t>d62e804a-76b5-461f-83a6-583c00ae1430</t>
  </si>
  <si>
    <t>27824918772</t>
  </si>
  <si>
    <t>13555851</t>
  </si>
  <si>
    <t>ca226853-e9d4-46c6-957b-68d82a3d39d5</t>
  </si>
  <si>
    <t>2026-03-09 11:11:17</t>
  </si>
  <si>
    <t>27714899248</t>
  </si>
  <si>
    <t>13555857</t>
  </si>
  <si>
    <t>8981e66f-4f10-40fc-a65c-3cfeb615db72</t>
  </si>
  <si>
    <t>27714955042</t>
  </si>
  <si>
    <t>13559241</t>
  </si>
  <si>
    <t>b0cb2b5d-46a9-4935-aeaa-1564b27add25</t>
  </si>
  <si>
    <t>27824631670</t>
  </si>
  <si>
    <t>13559246</t>
  </si>
  <si>
    <t>39930aef-7bc7-45c0-81df-3e1c2dc18b32</t>
  </si>
  <si>
    <t>27824713969</t>
  </si>
  <si>
    <t>13559249</t>
  </si>
  <si>
    <t>e8d73a39-cf8b-4dff-8b34-7c1c7b01dd2e</t>
  </si>
  <si>
    <t>27824738765</t>
  </si>
  <si>
    <t>13559250</t>
  </si>
  <si>
    <t>9bef6ee0-3e99-4365-bd4d-8532d60023ac</t>
  </si>
  <si>
    <t>27824757403</t>
  </si>
  <si>
    <t>13555850</t>
  </si>
  <si>
    <t>6e2934da-fe55-478e-9cd2-390121fea5c4</t>
  </si>
  <si>
    <t>2026-03-09 11:11:15</t>
  </si>
  <si>
    <t>27714843726</t>
  </si>
  <si>
    <t>13560776</t>
  </si>
  <si>
    <t>9ac40f04-1ee1-4a03-95ec-13cc8369047c</t>
  </si>
  <si>
    <t>27818644854</t>
  </si>
  <si>
    <t>13559213</t>
  </si>
  <si>
    <t>40890685-c900-4698-96a6-8dfe8c02c7b2</t>
  </si>
  <si>
    <t>2026-03-09 11:11:14</t>
  </si>
  <si>
    <t>27824235766</t>
  </si>
  <si>
    <t>13559214</t>
  </si>
  <si>
    <t>e03bba16-d58b-490d-9118-8ed6879af6b6</t>
  </si>
  <si>
    <t>27824242649</t>
  </si>
  <si>
    <t>13559216</t>
  </si>
  <si>
    <t>3588c32d-ecb5-4d40-a925-dffeb727193f</t>
  </si>
  <si>
    <t>27824278880</t>
  </si>
  <si>
    <t>13559221</t>
  </si>
  <si>
    <t>5de5aca8-f814-4f66-97cf-e0f1147bf40c</t>
  </si>
  <si>
    <t>27824340123</t>
  </si>
  <si>
    <t>13561210</t>
  </si>
  <si>
    <t>9bc2aa5b-909d-446f-92d8-6589b660f843</t>
  </si>
  <si>
    <t>27646492513</t>
  </si>
  <si>
    <t>13559211</t>
  </si>
  <si>
    <t>87c2fd1c-02c2-4b5f-b27f-d9675762b0ce</t>
  </si>
  <si>
    <t>2026-03-09 11:11:13</t>
  </si>
  <si>
    <t>27824229863</t>
  </si>
  <si>
    <t>13560779</t>
  </si>
  <si>
    <t>6e5a9e31-672b-42c9-83dd-94f5e1076124</t>
  </si>
  <si>
    <t>27763564640</t>
  </si>
  <si>
    <t>13559192</t>
  </si>
  <si>
    <t>8d7f9c72-a56e-4078-9afe-742a2fece9a7</t>
  </si>
  <si>
    <t>2026-03-09 11:11:08</t>
  </si>
  <si>
    <t>27824028558</t>
  </si>
  <si>
    <t>13559194</t>
  </si>
  <si>
    <t>87ac1fd9-9cd5-4be7-89df-287a4c6d81ed</t>
  </si>
  <si>
    <t>27824058943</t>
  </si>
  <si>
    <t>13559208</t>
  </si>
  <si>
    <t>f882cd1c-e6cc-4317-85f1-8030861479de</t>
  </si>
  <si>
    <t>27824209078</t>
  </si>
  <si>
    <t>13559186</t>
  </si>
  <si>
    <t>e24ba88c-7b3f-4945-9ffb-9a0a888d5f1a</t>
  </si>
  <si>
    <t>2026-03-09 11:11:01</t>
  </si>
  <si>
    <t>27823968145</t>
  </si>
  <si>
    <t>13559188</t>
  </si>
  <si>
    <t>9b5b5833-fa08-44af-85d1-ee19c14104b8</t>
  </si>
  <si>
    <t>27823978772</t>
  </si>
  <si>
    <t>13559190</t>
  </si>
  <si>
    <t>286bf37e-184b-4a67-9e53-dd0675036a0e</t>
  </si>
  <si>
    <t>27823994626</t>
  </si>
  <si>
    <t>13555834</t>
  </si>
  <si>
    <t>bfe121b8-424b-4989-9eaa-a441129b37d2</t>
  </si>
  <si>
    <t>2026-03-09 11:10:04</t>
  </si>
  <si>
    <t>27714550636</t>
  </si>
  <si>
    <t>13555836</t>
  </si>
  <si>
    <t>e930d294-9a30-4c47-81d2-7158bf1910ae</t>
  </si>
  <si>
    <t>27714631892</t>
  </si>
  <si>
    <t>13555797</t>
  </si>
  <si>
    <t>e43c6204-a850-449c-b594-8c79a6401188</t>
  </si>
  <si>
    <t>2026-03-09 11:10:03</t>
  </si>
  <si>
    <t>27714108812</t>
  </si>
  <si>
    <t>13555798</t>
  </si>
  <si>
    <t>ee891436-42a3-4cd4-ba93-2ea0075e23e9</t>
  </si>
  <si>
    <t>27714119365</t>
  </si>
  <si>
    <t>13555801</t>
  </si>
  <si>
    <t>7986ce83-f425-4b2a-b707-4e8ced137c4b</t>
  </si>
  <si>
    <t>27714183663</t>
  </si>
  <si>
    <t>13555815</t>
  </si>
  <si>
    <t>13b2fbe7-2e91-4d35-ba7b-3ff588cb960f</t>
  </si>
  <si>
    <t>27714352583</t>
  </si>
  <si>
    <t>13555822</t>
  </si>
  <si>
    <t>20d6809c-62fe-4ff2-8e90-81d38ad1efc7</t>
  </si>
  <si>
    <t>27714406879</t>
  </si>
  <si>
    <t>13555842</t>
  </si>
  <si>
    <t>a73085c5-578b-4f1e-ae57-a7066df0343c</t>
  </si>
  <si>
    <t>27714765954</t>
  </si>
  <si>
    <t>13555784</t>
  </si>
  <si>
    <t>e4c9a834-23d1-4d09-b457-862dde5d1142</t>
  </si>
  <si>
    <t>2026-03-09 11:10:02</t>
  </si>
  <si>
    <t>27713986648</t>
  </si>
  <si>
    <t>13555786</t>
  </si>
  <si>
    <t>18b39ca2-3df8-4dd4-8ee8-f108719a22f7</t>
  </si>
  <si>
    <t>27713998717</t>
  </si>
  <si>
    <t>13555793</t>
  </si>
  <si>
    <t>7dfb3ecd-80f9-4116-9881-10f433e283ce</t>
  </si>
  <si>
    <t>27714058575</t>
  </si>
  <si>
    <t>13555782</t>
  </si>
  <si>
    <t>0cae4950-d1d9-46ab-b13b-1895dab1e9af</t>
  </si>
  <si>
    <t>2026-03-09 11:10:00</t>
  </si>
  <si>
    <t>27713960760</t>
  </si>
  <si>
    <t>13555687</t>
  </si>
  <si>
    <t>268b4c23-f690-429f-98dc-fa5f8c21fa6b</t>
  </si>
  <si>
    <t>2026-03-09 11:09:57</t>
  </si>
  <si>
    <t>27712950200</t>
  </si>
  <si>
    <t>13555689</t>
  </si>
  <si>
    <t>847208dd-6bbc-4c95-bc2c-537abfd4b3ee</t>
  </si>
  <si>
    <t>27712959871</t>
  </si>
  <si>
    <t>13555672</t>
  </si>
  <si>
    <t>0993a074-8e63-4d42-bfb4-a2cc30d42284</t>
  </si>
  <si>
    <t>2026-03-09 11:09:49</t>
  </si>
  <si>
    <t>27712813829</t>
  </si>
  <si>
    <t>13555679</t>
  </si>
  <si>
    <t>70a644eb-86e9-489c-ba5a-bebfb22f4b46</t>
  </si>
  <si>
    <t>27712872726</t>
  </si>
  <si>
    <t>13555682</t>
  </si>
  <si>
    <t>c7e85016-68c9-48e5-967b-0e069716fa1b</t>
  </si>
  <si>
    <t>27712919428</t>
  </si>
  <si>
    <t>13555683</t>
  </si>
  <si>
    <t>33b0f533-3b06-4189-b887-f12a11e06836</t>
  </si>
  <si>
    <t>27712928251</t>
  </si>
  <si>
    <t>13555662</t>
  </si>
  <si>
    <t>34c653f8-6e5e-4e97-bb85-6226c8b8e890</t>
  </si>
  <si>
    <t>2026-03-09 11:09:48</t>
  </si>
  <si>
    <t>27712681335</t>
  </si>
  <si>
    <t>13555637</t>
  </si>
  <si>
    <t>da775dd3-c2d1-459a-ac61-128d723d1fb5</t>
  </si>
  <si>
    <t>27712407499</t>
  </si>
  <si>
    <t>13555640</t>
  </si>
  <si>
    <t>2ed47d08-e326-4f99-a972-0f0add40b4ed</t>
  </si>
  <si>
    <t>27712419317</t>
  </si>
  <si>
    <t>13555641</t>
  </si>
  <si>
    <t>36843aaf-b3be-4dd6-befa-1e87be93f7f7</t>
  </si>
  <si>
    <t>27712443592</t>
  </si>
  <si>
    <t>13555653</t>
  </si>
  <si>
    <t>30fce641-93b6-4f52-9fc0-b92762a713b5</t>
  </si>
  <si>
    <t>27712585774</t>
  </si>
  <si>
    <t>13555631</t>
  </si>
  <si>
    <t>9c20ab1e-a7d4-466b-ba6b-8828dcf56b18</t>
  </si>
  <si>
    <t>2026-03-09 11:09:47</t>
  </si>
  <si>
    <t>27712308981</t>
  </si>
  <si>
    <t>13555636</t>
  </si>
  <si>
    <t>00fc48d2-b444-484d-918f-22f2303463e4</t>
  </si>
  <si>
    <t>27712394371</t>
  </si>
  <si>
    <t>13555614</t>
  </si>
  <si>
    <t>d3273f5c-45f7-4370-9c76-2e150f9b0319</t>
  </si>
  <si>
    <t>CT</t>
  </si>
  <si>
    <t>Customer Service Transfer</t>
  </si>
  <si>
    <t>2026-03-09 11:09:43</t>
  </si>
  <si>
    <t>27712154200</t>
  </si>
  <si>
    <t>13555059</t>
  </si>
  <si>
    <t>434acf76-829a-4c49-8994-f0b0a92c5f8b</t>
  </si>
  <si>
    <t>2026-03-09 11:09:41</t>
  </si>
  <si>
    <t>27646665853</t>
  </si>
  <si>
    <t>13555258</t>
  </si>
  <si>
    <t>6a920707-c032-40d3-807a-858c228225c8</t>
  </si>
  <si>
    <t>27660766804</t>
  </si>
  <si>
    <t>13555112</t>
  </si>
  <si>
    <t>580454c9-9844-46bc-a2d1-1db9490b29f0</t>
  </si>
  <si>
    <t>27648211208</t>
  </si>
  <si>
    <t>13555610</t>
  </si>
  <si>
    <t>41e7471a-30c6-440d-89f5-5503f226a6a2</t>
  </si>
  <si>
    <t>27712118075</t>
  </si>
  <si>
    <t>13555611</t>
  </si>
  <si>
    <t>a8b5b1d1-ecc7-4f74-b0b1-074528348886</t>
  </si>
  <si>
    <t>27712122148</t>
  </si>
  <si>
    <t>13555040</t>
  </si>
  <si>
    <t>c618cfd0-01ae-4e97-bfb1-9af653c991a1</t>
  </si>
  <si>
    <t>2026-03-09 11:09:40</t>
  </si>
  <si>
    <t>27646243345</t>
  </si>
  <si>
    <t>13556997</t>
  </si>
  <si>
    <t>0dfb2a5d-0179-4b90-9e9b-489d4535fdf1</t>
  </si>
  <si>
    <t>27729345238</t>
  </si>
  <si>
    <t>13559237</t>
  </si>
  <si>
    <t>8d03479b-70cc-4d16-b2be-b920504ebed0</t>
  </si>
  <si>
    <t>2026-03-09 11:09:18</t>
  </si>
  <si>
    <t>27824528514</t>
  </si>
  <si>
    <t>13559226</t>
  </si>
  <si>
    <t>2e98bb89-fe41-485f-bc7a-ceff27b2314f</t>
  </si>
  <si>
    <t>2026-03-09 11:09:17</t>
  </si>
  <si>
    <t>27824368760</t>
  </si>
  <si>
    <t>13558982</t>
  </si>
  <si>
    <t>c3e33a6e-7fe0-43c2-be07-03859f6fdf03</t>
  </si>
  <si>
    <t>2026-03-09 11:08:36</t>
  </si>
  <si>
    <t>27818785946</t>
  </si>
  <si>
    <t>13558970</t>
  </si>
  <si>
    <t>cdd1c244-0c4d-485c-bdef-2aa8b1dd7299</t>
  </si>
  <si>
    <t>27818604097</t>
  </si>
  <si>
    <t>13558956</t>
  </si>
  <si>
    <t>405e67e5-1800-431a-a510-d11df7bf6dbd</t>
  </si>
  <si>
    <t>2026-03-09 11:08:35</t>
  </si>
  <si>
    <t>27818450602</t>
  </si>
  <si>
    <t>13558960</t>
  </si>
  <si>
    <t>92e89611-a229-4a59-a9b3-206916c1e1cf</t>
  </si>
  <si>
    <t>27818475868</t>
  </si>
  <si>
    <t>13558965</t>
  </si>
  <si>
    <t>232710ce-9692-4581-a799-110345c5a7ae</t>
  </si>
  <si>
    <t>27818501456</t>
  </si>
  <si>
    <t>13558966</t>
  </si>
  <si>
    <t>4843dffc-d615-41b9-b61b-b7d162f9d0e2</t>
  </si>
  <si>
    <t>27818516330</t>
  </si>
  <si>
    <t>13558967</t>
  </si>
  <si>
    <t>eaa8d869-677a-4105-a71f-e79c7cda7795</t>
  </si>
  <si>
    <t>27818535432</t>
  </si>
  <si>
    <t>13558951</t>
  </si>
  <si>
    <t>6405443c-a0e5-495f-81e3-a66a495b0ea5</t>
  </si>
  <si>
    <t>2026-03-09 11:08:34</t>
  </si>
  <si>
    <t>27818379775</t>
  </si>
  <si>
    <t>13558955</t>
  </si>
  <si>
    <t>3ec12c42-19ca-4211-acab-f3109f5d74cc</t>
  </si>
  <si>
    <t>27818445704</t>
  </si>
  <si>
    <t>13558950</t>
  </si>
  <si>
    <t>fa5dc9fe-1fb4-4de5-ae8f-272ab82de8cf</t>
  </si>
  <si>
    <t>2026-03-09 11:08:32</t>
  </si>
  <si>
    <t>27818306602</t>
  </si>
  <si>
    <t>13561855</t>
  </si>
  <si>
    <t>309ce88e-eaf2-48b1-acc9-90bcd35dac2d</t>
  </si>
  <si>
    <t>27608315554</t>
  </si>
  <si>
    <t>13561814</t>
  </si>
  <si>
    <t>dad31559-21a8-4fa6-87f5-f6430fd421fe</t>
  </si>
  <si>
    <t>2026-03-09 11:08:30</t>
  </si>
  <si>
    <t>27664987427</t>
  </si>
  <si>
    <t>13561816</t>
  </si>
  <si>
    <t>f9ffa0ba-2432-44aa-96bd-405ebcba697a</t>
  </si>
  <si>
    <t>27712201527</t>
  </si>
  <si>
    <t>13561852</t>
  </si>
  <si>
    <t>51e01919-94e9-4689-bf8f-40eaf5b03cf7</t>
  </si>
  <si>
    <t>27796319261</t>
  </si>
  <si>
    <t>13561853</t>
  </si>
  <si>
    <t>818fcbbe-cc7f-4f0b-8fe5-ac62aa5dd4f5</t>
  </si>
  <si>
    <t>27665694970</t>
  </si>
  <si>
    <t>13561856</t>
  </si>
  <si>
    <t>196453dd-c2c1-4c66-b903-41969a8a21f6</t>
  </si>
  <si>
    <t>27823990310</t>
  </si>
  <si>
    <t>13560824</t>
  </si>
  <si>
    <t>9cad5e90-2c7a-4a1a-b0f9-df721029888b</t>
  </si>
  <si>
    <t>2026-03-09 11:08:29</t>
  </si>
  <si>
    <t>27728469160</t>
  </si>
  <si>
    <t>13560825</t>
  </si>
  <si>
    <t>08c42a68-2862-4320-a183-c489b654ce8e</t>
  </si>
  <si>
    <t>27794603964</t>
  </si>
  <si>
    <t>13560826</t>
  </si>
  <si>
    <t>12638fff-3a7f-41f8-9028-8981cedf06f4</t>
  </si>
  <si>
    <t>27798544251</t>
  </si>
  <si>
    <t>13560830</t>
  </si>
  <si>
    <t>2a7c097e-7fbe-4f25-9b3a-0e8858172304</t>
  </si>
  <si>
    <t>2026-03-09 11:08:28</t>
  </si>
  <si>
    <t>27637712301</t>
  </si>
  <si>
    <t>13560831</t>
  </si>
  <si>
    <t>77243646-c9cf-4af6-961f-633346dc9d6e</t>
  </si>
  <si>
    <t>2026-03-09 11:08:27</t>
  </si>
  <si>
    <t>27760483456</t>
  </si>
  <si>
    <t>13560832</t>
  </si>
  <si>
    <t>84aa9906-0998-447f-9514-e992b07bbb4b</t>
  </si>
  <si>
    <t>27720214792</t>
  </si>
  <si>
    <t>13559340</t>
  </si>
  <si>
    <t>b6f1c1e8-a9cf-4a8d-8efd-f35fee9e212c</t>
  </si>
  <si>
    <t>2026-03-09 11:08:26</t>
  </si>
  <si>
    <t>27825804485</t>
  </si>
  <si>
    <t>13559415</t>
  </si>
  <si>
    <t>642b8845-1722-4550-b946-0bbc622bd4c6</t>
  </si>
  <si>
    <t>2026-03-09 11:08:21</t>
  </si>
  <si>
    <t>27826662064</t>
  </si>
  <si>
    <t>13559320</t>
  </si>
  <si>
    <t>636e79bc-8057-47aa-a14d-0c269cc52b23</t>
  </si>
  <si>
    <t>27825411382</t>
  </si>
  <si>
    <t>13559324</t>
  </si>
  <si>
    <t>e4c20ba5-f9c3-4555-a50d-1f110c0251b5</t>
  </si>
  <si>
    <t>27825439277</t>
  </si>
  <si>
    <t>13559331</t>
  </si>
  <si>
    <t>172c3a5f-8db4-4533-a77a-86d4207eba6a</t>
  </si>
  <si>
    <t>27825496834</t>
  </si>
  <si>
    <t>13559333</t>
  </si>
  <si>
    <t>0d3c64e5-cf64-4212-99c1-9e3242119d8c</t>
  </si>
  <si>
    <t>27825591221</t>
  </si>
  <si>
    <t>13560877</t>
  </si>
  <si>
    <t>4a82539c-2e93-4849-9dd6-72f15682004b</t>
  </si>
  <si>
    <t>27665961574</t>
  </si>
  <si>
    <t>13561515</t>
  </si>
  <si>
    <t>dc46cdbd-0f83-4c7c-8a56-20917e0f914d</t>
  </si>
  <si>
    <t>27765497302</t>
  </si>
  <si>
    <t>13561795</t>
  </si>
  <si>
    <t>88f6b4db-2459-4a99-bfb0-e8f2ad85cddf</t>
  </si>
  <si>
    <t>27722285025</t>
  </si>
  <si>
    <t>13559392</t>
  </si>
  <si>
    <t>54c53544-1531-4b58-9bdf-2b8901346c3a</t>
  </si>
  <si>
    <t>2026-03-09 11:08:20</t>
  </si>
  <si>
    <t>27826390338</t>
  </si>
  <si>
    <t>13559395</t>
  </si>
  <si>
    <t>ae6d097a-f1a9-430d-ab16-5f899a0fceb1</t>
  </si>
  <si>
    <t>27826429228</t>
  </si>
  <si>
    <t>13559399</t>
  </si>
  <si>
    <t>f471dd34-18f8-4ac8-8093-f1bd97d164d7</t>
  </si>
  <si>
    <t>27826472842</t>
  </si>
  <si>
    <t>13559405</t>
  </si>
  <si>
    <t>de6e0a82-1653-4085-8c87-eee53ada8493</t>
  </si>
  <si>
    <t>27826575563</t>
  </si>
  <si>
    <t>13559387</t>
  </si>
  <si>
    <t>49b6b292-c9bd-4359-be45-d42c92763e24</t>
  </si>
  <si>
    <t>2026-03-09 11:08:03</t>
  </si>
  <si>
    <t>27826352898</t>
  </si>
  <si>
    <t>13559379</t>
  </si>
  <si>
    <t>a5d7e8d1-c701-4ecc-aeb3-23113953351b</t>
  </si>
  <si>
    <t>2026-03-09 11:08:01</t>
  </si>
  <si>
    <t>27826286705</t>
  </si>
  <si>
    <t>13559380</t>
  </si>
  <si>
    <t>8ed05a14-5305-40ff-bae4-6f095eec1c64</t>
  </si>
  <si>
    <t>27826288009</t>
  </si>
  <si>
    <t>13559384</t>
  </si>
  <si>
    <t>673b0af2-4437-40e1-acd2-c950984b4ede</t>
  </si>
  <si>
    <t>27826324845</t>
  </si>
  <si>
    <t>13559374</t>
  </si>
  <si>
    <t>5b7657ba-e61e-4735-add8-9a98d32a1b75</t>
  </si>
  <si>
    <t>2026-03-09 11:07:51</t>
  </si>
  <si>
    <t>27826263821</t>
  </si>
  <si>
    <t>13559377</t>
  </si>
  <si>
    <t>3a0eda5a-79fe-427f-aebb-5a30c7ee9ae8</t>
  </si>
  <si>
    <t>27826275175</t>
  </si>
  <si>
    <t>13559370</t>
  </si>
  <si>
    <t>28c7e3db-6742-40eb-9c69-9b01ac2282a6</t>
  </si>
  <si>
    <t>2026-03-09 11:07:50</t>
  </si>
  <si>
    <t>27826217281</t>
  </si>
  <si>
    <t>13561780</t>
  </si>
  <si>
    <t>fbe2d731-1658-4769-9691-21086bfc2f74</t>
  </si>
  <si>
    <t>27764223420</t>
  </si>
  <si>
    <t>13559368</t>
  </si>
  <si>
    <t>036882c5-f071-4deb-95de-f1d48cb6a093</t>
  </si>
  <si>
    <t>2026-03-09 11:07:47</t>
  </si>
  <si>
    <t>27826208615</t>
  </si>
  <si>
    <t>13559358</t>
  </si>
  <si>
    <t>f24a39f6-4361-4bed-aaed-46161c75d4b1</t>
  </si>
  <si>
    <t>27826016852</t>
  </si>
  <si>
    <t>13559363</t>
  </si>
  <si>
    <t>e2461e49-e195-4cd5-b5e5-91858b8b4ff5</t>
  </si>
  <si>
    <t>27826080506</t>
  </si>
  <si>
    <t>13559365</t>
  </si>
  <si>
    <t>31e83734-8e90-4e36-8e42-e44ccfc1d4b8</t>
  </si>
  <si>
    <t>27826082835</t>
  </si>
  <si>
    <t>13559336</t>
  </si>
  <si>
    <t>e2861bbd-838f-47e2-b34c-d5f9aa694770</t>
  </si>
  <si>
    <t>2026-03-09 11:07:46</t>
  </si>
  <si>
    <t>27825715500</t>
  </si>
  <si>
    <t>13559343</t>
  </si>
  <si>
    <t>9722c905-5577-4750-9117-c7dd169c980d</t>
  </si>
  <si>
    <t>27825843461</t>
  </si>
  <si>
    <t>13559356</t>
  </si>
  <si>
    <t>a5d5b7dd-72e6-45cd-8290-6873fad367ae</t>
  </si>
  <si>
    <t>27825984148</t>
  </si>
  <si>
    <t>13560886</t>
  </si>
  <si>
    <t>73bc3349-0fdf-4572-8a41-0189ef92c7ed</t>
  </si>
  <si>
    <t>2026-03-09 11:07:34</t>
  </si>
  <si>
    <t>27763020907</t>
  </si>
  <si>
    <t>13561798</t>
  </si>
  <si>
    <t>46bcf863-bffe-4a75-acbb-7a122ba3e253</t>
  </si>
  <si>
    <t>27765524366</t>
  </si>
  <si>
    <t>13561806</t>
  </si>
  <si>
    <t>78ee7e83-e279-4f82-bde5-591ad993f376</t>
  </si>
  <si>
    <t>27798562171</t>
  </si>
  <si>
    <t>13561821</t>
  </si>
  <si>
    <t>57b574cb-b888-4571-bef1-3ea205fd5c9b</t>
  </si>
  <si>
    <t>27722371139</t>
  </si>
  <si>
    <t>13561822</t>
  </si>
  <si>
    <t>47a4f118-5b1e-4651-b4a8-3fdd815d50bf</t>
  </si>
  <si>
    <t>27606493312</t>
  </si>
  <si>
    <t>13561824</t>
  </si>
  <si>
    <t>28f8ec35-7fe7-4ef7-b148-30ef9b2e86f2</t>
  </si>
  <si>
    <t>27791194221</t>
  </si>
  <si>
    <t>13560878</t>
  </si>
  <si>
    <t>4ef4197e-a9a4-4823-9fc6-1ede4b70d663</t>
  </si>
  <si>
    <t>2026-03-09 11:07:33</t>
  </si>
  <si>
    <t>27646324456</t>
  </si>
  <si>
    <t>13560887</t>
  </si>
  <si>
    <t>ce723982-e67e-4663-b01b-7e5c8014984c</t>
  </si>
  <si>
    <t>27799275187</t>
  </si>
  <si>
    <t>13560888</t>
  </si>
  <si>
    <t>e6309554-630b-4dca-b974-ac9dd60e0fe3</t>
  </si>
  <si>
    <t>27716842147</t>
  </si>
  <si>
    <t>13560892</t>
  </si>
  <si>
    <t>77594c89-5725-4ea4-9925-4d597c3f28f7</t>
  </si>
  <si>
    <t>27663821026</t>
  </si>
  <si>
    <t>13560894</t>
  </si>
  <si>
    <t>53c8b615-8315-43dd-824d-f2435a28fabf</t>
  </si>
  <si>
    <t>27607701867</t>
  </si>
  <si>
    <t>13561801</t>
  </si>
  <si>
    <t>4038096b-1470-4a19-a48c-9874a339b033</t>
  </si>
  <si>
    <t>27762793473</t>
  </si>
  <si>
    <t>13559390</t>
  </si>
  <si>
    <t>2c6a4a79-d41e-4c06-add7-24e84b7f89b5</t>
  </si>
  <si>
    <t>2026-03-09 11:07:03</t>
  </si>
  <si>
    <t>27826371607</t>
  </si>
  <si>
    <t>13559391</t>
  </si>
  <si>
    <t>cffc7b86-11ad-4969-add1-08d7ad2e63d2</t>
  </si>
  <si>
    <t>27826376454</t>
  </si>
  <si>
    <t>13559388</t>
  </si>
  <si>
    <t>40b650e3-b7ee-437f-abd4-62dd4eb81bb5</t>
  </si>
  <si>
    <t>2026-03-09 11:07:02</t>
  </si>
  <si>
    <t>27826363759</t>
  </si>
  <si>
    <t>13559454</t>
  </si>
  <si>
    <t>6a0788ae-354f-46b5-ae0f-17a8e67339f5</t>
  </si>
  <si>
    <t>27827050083</t>
  </si>
  <si>
    <t>13559457</t>
  </si>
  <si>
    <t>6d2d2376-cbf1-4ce1-862a-a5f75da9767e</t>
  </si>
  <si>
    <t>27827084596</t>
  </si>
  <si>
    <t>13560881</t>
  </si>
  <si>
    <t>62ae9fdf-2098-4cb3-9dc3-95285f5e091d</t>
  </si>
  <si>
    <t>27646304801</t>
  </si>
  <si>
    <t>13561785</t>
  </si>
  <si>
    <t>fbd21618-1d4e-4e68-b735-e6b107f08d87</t>
  </si>
  <si>
    <t>27791588707</t>
  </si>
  <si>
    <t>13559447</t>
  </si>
  <si>
    <t>1e4cca6f-ce13-4ae6-97ab-58719410bf80</t>
  </si>
  <si>
    <t>2026-03-09 11:07:01</t>
  </si>
  <si>
    <t>27827018896</t>
  </si>
  <si>
    <t>13559427</t>
  </si>
  <si>
    <t>fbb99aea-1879-4e24-8017-78f4038f5824</t>
  </si>
  <si>
    <t>2026-03-09 11:07:00</t>
  </si>
  <si>
    <t>27826775229</t>
  </si>
  <si>
    <t>13559431</t>
  </si>
  <si>
    <t>a492a8ed-2b68-42d3-9524-beacb99bc1c2</t>
  </si>
  <si>
    <t>27826831079</t>
  </si>
  <si>
    <t>13559432</t>
  </si>
  <si>
    <t>ce888214-6456-49ea-ae45-8f13c262fe6f</t>
  </si>
  <si>
    <t>27826836950</t>
  </si>
  <si>
    <t>13559442</t>
  </si>
  <si>
    <t>6561d6ef-8fa1-41b4-91d4-024a69bac977</t>
  </si>
  <si>
    <t>27826944843</t>
  </si>
  <si>
    <t>13559443</t>
  </si>
  <si>
    <t>a40ebcc5-2103-4702-a9cf-86d5e41d8943</t>
  </si>
  <si>
    <t>27826967846</t>
  </si>
  <si>
    <t>13559449</t>
  </si>
  <si>
    <t>ac88cc33-ffd9-4c71-8e04-3ce77163cf37</t>
  </si>
  <si>
    <t>27827024583</t>
  </si>
  <si>
    <t>13559452</t>
  </si>
  <si>
    <t>f41bec8f-05b8-40be-944c-f41fdf27bc15</t>
  </si>
  <si>
    <t>27827046762</t>
  </si>
  <si>
    <t>13559421</t>
  </si>
  <si>
    <t>6090dd0d-43a4-4a61-b960-d23088ed01cf</t>
  </si>
  <si>
    <t>2026-03-09 11:06:59</t>
  </si>
  <si>
    <t>27826710103</t>
  </si>
  <si>
    <t>13559423</t>
  </si>
  <si>
    <t>5b0330b8-c7f5-4c2b-8aa9-fcc8155af53a</t>
  </si>
  <si>
    <t>27826715074</t>
  </si>
  <si>
    <t>13559425</t>
  </si>
  <si>
    <t>a8f916c8-2aaa-48e0-b0cc-cde9fb77fdd1</t>
  </si>
  <si>
    <t>27826754144</t>
  </si>
  <si>
    <t>13559426</t>
  </si>
  <si>
    <t>a0b4a244-ac74-4e8f-beaa-86c1e12522b3</t>
  </si>
  <si>
    <t>27826768161</t>
  </si>
  <si>
    <t>13559417</t>
  </si>
  <si>
    <t>20ec5bb0-be6c-4cb4-a1f6-9f95c6cb5fed</t>
  </si>
  <si>
    <t>2026-03-09 11:06:58</t>
  </si>
  <si>
    <t>27826693927</t>
  </si>
  <si>
    <t>13559418</t>
  </si>
  <si>
    <t>8a9914d1-16e2-4c04-a131-171205352383</t>
  </si>
  <si>
    <t>27826694862</t>
  </si>
  <si>
    <t>13559419</t>
  </si>
  <si>
    <t>7e223a03-e33f-4854-bec5-dae730afa76e</t>
  </si>
  <si>
    <t>27826698763</t>
  </si>
  <si>
    <t>13560885</t>
  </si>
  <si>
    <t>3f8326b7-016d-4e44-8697-8dce7c3c0003</t>
  </si>
  <si>
    <t>27649303228</t>
  </si>
  <si>
    <t>13561802</t>
  </si>
  <si>
    <t>38b3e20b-5416-44d8-b137-7b914aba2915</t>
  </si>
  <si>
    <t>2026-03-09 11:06:24</t>
  </si>
  <si>
    <t>27609561256</t>
  </si>
  <si>
    <t>13560913</t>
  </si>
  <si>
    <t>e4318a5e-c20a-44ee-8262-11612d643879</t>
  </si>
  <si>
    <t>2026-03-09 11:06:23</t>
  </si>
  <si>
    <t>27793756437</t>
  </si>
  <si>
    <t>13558515</t>
  </si>
  <si>
    <t>2d0de8bb-1067-4973-aa0f-d7148ad8dad0</t>
  </si>
  <si>
    <t>2026-03-09 11:06:21</t>
  </si>
  <si>
    <t>27794808788</t>
  </si>
  <si>
    <t>13558516</t>
  </si>
  <si>
    <t>d755bf8c-02ea-4e17-b3a2-eb64dcdfad3e</t>
  </si>
  <si>
    <t>27794813364</t>
  </si>
  <si>
    <t>13558492</t>
  </si>
  <si>
    <t>9a443afc-2802-4bf3-ad77-55f81e28b197</t>
  </si>
  <si>
    <t>2026-03-09 11:06:20</t>
  </si>
  <si>
    <t>27794586215</t>
  </si>
  <si>
    <t>13558497</t>
  </si>
  <si>
    <t>1d679630-06d6-471b-a02f-ddd581ccee53</t>
  </si>
  <si>
    <t>27794615067</t>
  </si>
  <si>
    <t>13558514</t>
  </si>
  <si>
    <t>4f4a8194-0cfa-4c7c-8d57-dca8f31d666c</t>
  </si>
  <si>
    <t>27794808210</t>
  </si>
  <si>
    <t>13560917</t>
  </si>
  <si>
    <t>5fdd6740-b19a-4491-b6ac-d513a67a2ed3</t>
  </si>
  <si>
    <t>27721858738</t>
  </si>
  <si>
    <t>13558469</t>
  </si>
  <si>
    <t>54045d5e-4511-4897-b12c-77ce5077e0b3</t>
  </si>
  <si>
    <t>2026-03-09 11:06:17</t>
  </si>
  <si>
    <t>27794367764</t>
  </si>
  <si>
    <t>13558479</t>
  </si>
  <si>
    <t>57118bc3-ec55-4899-9731-e758a3c85433</t>
  </si>
  <si>
    <t>27794438005</t>
  </si>
  <si>
    <t>13558480</t>
  </si>
  <si>
    <t>835c642d-1d6c-46d6-9e16-2b839366ba08</t>
  </si>
  <si>
    <t>27794448624</t>
  </si>
  <si>
    <t>13558485</t>
  </si>
  <si>
    <t>acebb5ef-9202-4a8b-acb3-8140c8a0674e</t>
  </si>
  <si>
    <t>27794498892</t>
  </si>
  <si>
    <t>13558487</t>
  </si>
  <si>
    <t>aa082b21-50ce-45d8-bd3d-b8a7caeb594f</t>
  </si>
  <si>
    <t>27794529277</t>
  </si>
  <si>
    <t>13558490</t>
  </si>
  <si>
    <t>c0f729a0-f219-48b3-89a1-281ff843d370</t>
  </si>
  <si>
    <t>27794561547</t>
  </si>
  <si>
    <t>13560918</t>
  </si>
  <si>
    <t>0f070d50-af7b-4b4e-8e8d-2fe191b20855</t>
  </si>
  <si>
    <t>27723350753</t>
  </si>
  <si>
    <t>13555771</t>
  </si>
  <si>
    <t>2a7f77ad-dc5e-45e1-8ad5-bded619152dc</t>
  </si>
  <si>
    <t>2026-03-09 11:06:16</t>
  </si>
  <si>
    <t>27713799623</t>
  </si>
  <si>
    <t>13559534</t>
  </si>
  <si>
    <t>bad6a838-94cc-490a-b1a7-de852b4b36fe</t>
  </si>
  <si>
    <t>27828134840</t>
  </si>
  <si>
    <t>13558466</t>
  </si>
  <si>
    <t>41c9ba34-c257-42d9-a6a8-3102721e5b73</t>
  </si>
  <si>
    <t>27794341059</t>
  </si>
  <si>
    <t>13558467</t>
  </si>
  <si>
    <t>dd480ac8-36b3-4262-afe9-67950158c75a</t>
  </si>
  <si>
    <t>27794347801</t>
  </si>
  <si>
    <t>13560928</t>
  </si>
  <si>
    <t>722e5237-4ed9-4c6c-97fb-3fed162e47c7</t>
  </si>
  <si>
    <t>27825393670</t>
  </si>
  <si>
    <t>13559495</t>
  </si>
  <si>
    <t>07de312a-e7c9-449a-9cf4-c3c62e36d563</t>
  </si>
  <si>
    <t>2026-03-09 11:06:15</t>
  </si>
  <si>
    <t>27827543625</t>
  </si>
  <si>
    <t>13559500</t>
  </si>
  <si>
    <t>6280582a-6ebe-4432-9188-b681080b3ca4</t>
  </si>
  <si>
    <t>27827603233</t>
  </si>
  <si>
    <t>13559512</t>
  </si>
  <si>
    <t>265504a4-698c-4d53-9e7e-9bebda8324d7</t>
  </si>
  <si>
    <t>27827792521</t>
  </si>
  <si>
    <t>13559519</t>
  </si>
  <si>
    <t>8a9513b8-1f7d-4bde-9a51-742056d38740</t>
  </si>
  <si>
    <t>27827901113</t>
  </si>
  <si>
    <t>13559520</t>
  </si>
  <si>
    <t>d3ecf5fe-86ea-4d98-acbb-20f358d90522</t>
  </si>
  <si>
    <t>27827902894</t>
  </si>
  <si>
    <t>13561832</t>
  </si>
  <si>
    <t>10b25826-eb24-4394-ba86-ef8122150784</t>
  </si>
  <si>
    <t>2026-03-09 11:05:30</t>
  </si>
  <si>
    <t>27637959347</t>
  </si>
  <si>
    <t>13555767</t>
  </si>
  <si>
    <t>2bc857e5-a335-4aaa-a857-12d3ed180a48</t>
  </si>
  <si>
    <t>2026-03-09 11:05:29</t>
  </si>
  <si>
    <t>27713780808</t>
  </si>
  <si>
    <t>13555768</t>
  </si>
  <si>
    <t>00cec4b0-3c4f-4014-8c40-7a548793b135</t>
  </si>
  <si>
    <t>27713784526</t>
  </si>
  <si>
    <t>13555751</t>
  </si>
  <si>
    <t>80b304e8-4b28-430b-9f8a-08cc6f8754b2</t>
  </si>
  <si>
    <t>27713564963</t>
  </si>
  <si>
    <t>13561807</t>
  </si>
  <si>
    <t>654dadce-d031-4c74-baf4-8f64ad6951e1</t>
  </si>
  <si>
    <t>27766588692</t>
  </si>
  <si>
    <t>13561687</t>
  </si>
  <si>
    <t>556afede-df89-4b6f-9e69-a1529af5ff85</t>
  </si>
  <si>
    <t>2026-03-09 11:05:28</t>
  </si>
  <si>
    <t>27790144048</t>
  </si>
  <si>
    <t>13561808</t>
  </si>
  <si>
    <t>b0f24b4c-6e43-49e9-8609-145dde483a2e</t>
  </si>
  <si>
    <t>27769524606</t>
  </si>
  <si>
    <t>13555760</t>
  </si>
  <si>
    <t>a62a9a53-a053-437f-9f71-a81bbb634b84</t>
  </si>
  <si>
    <t>2026-03-09 11:05:27</t>
  </si>
  <si>
    <t>27713742713</t>
  </si>
  <si>
    <t>13560043</t>
  </si>
  <si>
    <t>dae78650-25c6-4c8b-b9f7-2336c00f815b</t>
  </si>
  <si>
    <t>27793169854</t>
  </si>
  <si>
    <t>13560048</t>
  </si>
  <si>
    <t>5214d405-2095-4201-83d1-85fcac811f92</t>
  </si>
  <si>
    <t>27797717700</t>
  </si>
  <si>
    <t>13560051</t>
  </si>
  <si>
    <t>ddd9b4c8-c265-4c94-8060-6a6ee2d0dd48</t>
  </si>
  <si>
    <t>27715173540</t>
  </si>
  <si>
    <t>13561812</t>
  </si>
  <si>
    <t>eeb50306-4d7e-4717-aca6-71f12eb2710f</t>
  </si>
  <si>
    <t>27791405091</t>
  </si>
  <si>
    <t>13560038</t>
  </si>
  <si>
    <t>d7ef3473-fb23-4a65-91b5-36decd55d55b</t>
  </si>
  <si>
    <t>2026-03-09 11:05:22</t>
  </si>
  <si>
    <t>27823586985</t>
  </si>
  <si>
    <t>13560042</t>
  </si>
  <si>
    <t>1c765c44-ab4f-4b7c-8b24-31dd49479fc2</t>
  </si>
  <si>
    <t>27729581816</t>
  </si>
  <si>
    <t>13555756</t>
  </si>
  <si>
    <t>d4dd9ec9-d025-458b-9484-cb47c624ca66</t>
  </si>
  <si>
    <t>2026-03-09 11:05:20</t>
  </si>
  <si>
    <t>27713689019</t>
  </si>
  <si>
    <t>13560934</t>
  </si>
  <si>
    <t>c0f37726-ae7a-4809-a5e7-b017dee08dde</t>
  </si>
  <si>
    <t>27793856155</t>
  </si>
  <si>
    <t>13560032</t>
  </si>
  <si>
    <t>f96c0575-b9ca-4194-9ab7-d267be28f778</t>
  </si>
  <si>
    <t>2026-03-09 11:05:19</t>
  </si>
  <si>
    <t>27832869086</t>
  </si>
  <si>
    <t>13560033</t>
  </si>
  <si>
    <t>cd0ed38b-0674-496f-ae01-7011342e9a50</t>
  </si>
  <si>
    <t>27712348877</t>
  </si>
  <si>
    <t>13560021</t>
  </si>
  <si>
    <t>7f30d590-43d6-4895-85c8-0bd8958a8982</t>
  </si>
  <si>
    <t>2026-03-09 11:05:18</t>
  </si>
  <si>
    <t>27713008309</t>
  </si>
  <si>
    <t>13560024</t>
  </si>
  <si>
    <t>dee9006b-c65e-41b1-811d-e55b5c950079</t>
  </si>
  <si>
    <t>27799387993</t>
  </si>
  <si>
    <t>13560031</t>
  </si>
  <si>
    <t>84e96764-688d-4e5b-a9ab-521aa491e1a3</t>
  </si>
  <si>
    <t>27824946104</t>
  </si>
  <si>
    <t>13560938</t>
  </si>
  <si>
    <t>d76de71c-205f-4f34-9b33-7015fb923340</t>
  </si>
  <si>
    <t>27767970259</t>
  </si>
  <si>
    <t>13560020</t>
  </si>
  <si>
    <t>fd039817-a92c-44df-99cf-e021abe926eb</t>
  </si>
  <si>
    <t>2026-03-09 11:05:17</t>
  </si>
  <si>
    <t>27722531917</t>
  </si>
  <si>
    <t>13560011</t>
  </si>
  <si>
    <t>77684520-ed6e-475c-a444-8eb81152292f</t>
  </si>
  <si>
    <t>2026-03-09 11:05:07</t>
  </si>
  <si>
    <t>27665517476</t>
  </si>
  <si>
    <t>13560019</t>
  </si>
  <si>
    <t>875e1650-d16b-4842-beea-9eb1618f59ba</t>
  </si>
  <si>
    <t>27760261258</t>
  </si>
  <si>
    <t>13560003</t>
  </si>
  <si>
    <t>79c5367f-78f3-4780-976d-e0d174821abe</t>
  </si>
  <si>
    <t>2026-03-09 11:04:43</t>
  </si>
  <si>
    <t>27767088060</t>
  </si>
  <si>
    <t>13558521</t>
  </si>
  <si>
    <t>9f17021c-22cb-4e20-bc2c-f04e3e144740</t>
  </si>
  <si>
    <t>2026-03-09 11:04:42</t>
  </si>
  <si>
    <t>27794853516</t>
  </si>
  <si>
    <t>13558522</t>
  </si>
  <si>
    <t>9036c2f7-c89f-4bd3-b161-51fb72e473e1</t>
  </si>
  <si>
    <t>27794854098</t>
  </si>
  <si>
    <t>13560942</t>
  </si>
  <si>
    <t>f48f4859-81a8-42cb-9641-6bce52596bca</t>
  </si>
  <si>
    <t>27715500136</t>
  </si>
  <si>
    <t>13561690</t>
  </si>
  <si>
    <t>d88cb1b8-26a1-4d99-b03a-9008663080cc</t>
  </si>
  <si>
    <t>27608115170</t>
  </si>
  <si>
    <t>13562989</t>
  </si>
  <si>
    <t>ef4897c1-0dab-45c6-8af5-6990d0f45c7f</t>
  </si>
  <si>
    <t>27728548722</t>
  </si>
  <si>
    <t>13563393</t>
  </si>
  <si>
    <t>4e6cc6aa-2d7d-4aab-bb14-e4b933dca70c</t>
  </si>
  <si>
    <t>27729007926</t>
  </si>
  <si>
    <t>13561538</t>
  </si>
  <si>
    <t>55e7de5f-851e-429c-ba98-3d4c0748ae36</t>
  </si>
  <si>
    <t>2026-03-09 11:04:41</t>
  </si>
  <si>
    <t>27661770117</t>
  </si>
  <si>
    <t>13555745</t>
  </si>
  <si>
    <t>d19cd52c-7f2e-4a47-8966-6e2fc2b4b362</t>
  </si>
  <si>
    <t>2026-03-09 11:04:38</t>
  </si>
  <si>
    <t>27713438383</t>
  </si>
  <si>
    <t>13562622</t>
  </si>
  <si>
    <t>c1d7ac61-e700-497d-a1e0-af34bf13954a</t>
  </si>
  <si>
    <t>27764446917</t>
  </si>
  <si>
    <t>13555744</t>
  </si>
  <si>
    <t>9410bada-ac8d-4290-b420-60528a9000b0</t>
  </si>
  <si>
    <t>2026-03-09 11:04:37</t>
  </si>
  <si>
    <t>27713437321</t>
  </si>
  <si>
    <t>13555735</t>
  </si>
  <si>
    <t>3829bb2a-a9b1-413c-8c8e-0869ac60d6fb</t>
  </si>
  <si>
    <t>2026-03-09 11:04:34</t>
  </si>
  <si>
    <t>27713401034</t>
  </si>
  <si>
    <t>13555700</t>
  </si>
  <si>
    <t>2aa08115-0581-4072-9582-e44db5cbaaac</t>
  </si>
  <si>
    <t>2026-03-09 11:04:33</t>
  </si>
  <si>
    <t>27713059198</t>
  </si>
  <si>
    <t>13555704</t>
  </si>
  <si>
    <t>7bb5f03e-2556-404a-945b-8ab4f716922e</t>
  </si>
  <si>
    <t>27713101172</t>
  </si>
  <si>
    <t>13555713</t>
  </si>
  <si>
    <t>ba9fbd80-6a50-4929-97a0-5ae6a61379b8</t>
  </si>
  <si>
    <t>27713144109</t>
  </si>
  <si>
    <t>13555718</t>
  </si>
  <si>
    <t>026f656c-e35a-48b4-af9e-8cd7bc666377</t>
  </si>
  <si>
    <t>27713170285</t>
  </si>
  <si>
    <t>13561833</t>
  </si>
  <si>
    <t>31774485-4e01-4234-91a2-2a3408c263ed</t>
  </si>
  <si>
    <t>27798682956</t>
  </si>
  <si>
    <t>13555699</t>
  </si>
  <si>
    <t>c99b7adf-92c2-451d-81f5-22bcf841cb1e</t>
  </si>
  <si>
    <t>2026-03-09 11:04:32</t>
  </si>
  <si>
    <t>27713058733</t>
  </si>
  <si>
    <t>13555690</t>
  </si>
  <si>
    <t>d9c7ee99-c33a-4b95-9cac-3b402202dc53</t>
  </si>
  <si>
    <t>2026-03-09 11:04:31</t>
  </si>
  <si>
    <t>27712962790</t>
  </si>
  <si>
    <t>13561836</t>
  </si>
  <si>
    <t>381f4742-d73d-4226-89eb-6864e899dccd</t>
  </si>
  <si>
    <t>27799959507</t>
  </si>
  <si>
    <t>13555605</t>
  </si>
  <si>
    <t>ec74fc5d-6d52-41cc-a093-4812ed466b92</t>
  </si>
  <si>
    <t>2026-03-09 11:03:55</t>
  </si>
  <si>
    <t>27712079554</t>
  </si>
  <si>
    <t>13555606</t>
  </si>
  <si>
    <t>074acc36-1c98-4b47-90c6-227e08188bd4</t>
  </si>
  <si>
    <t>27712084121</t>
  </si>
  <si>
    <t>13555608</t>
  </si>
  <si>
    <t>e10a1456-feaf-4ebc-8b36-7687049c30df</t>
  </si>
  <si>
    <t>27712114827</t>
  </si>
  <si>
    <t>13555588</t>
  </si>
  <si>
    <t>edcb5394-8d9a-445b-8c61-7949ede949c5</t>
  </si>
  <si>
    <t>2026-03-09 11:03:54</t>
  </si>
  <si>
    <t>27711842413</t>
  </si>
  <si>
    <t>13555594</t>
  </si>
  <si>
    <t>a707da5c-e29e-46c2-bd72-5596cf1fb8eb</t>
  </si>
  <si>
    <t>27711933951</t>
  </si>
  <si>
    <t>13555599</t>
  </si>
  <si>
    <t>ad9a039b-d7e5-4dd2-9320-7d8cb61c622d</t>
  </si>
  <si>
    <t>27711945981</t>
  </si>
  <si>
    <t>13555601</t>
  </si>
  <si>
    <t>60d8c2d2-c565-4e00-bc6c-a08488f10a5b</t>
  </si>
  <si>
    <t>27712015265</t>
  </si>
  <si>
    <t>13555573</t>
  </si>
  <si>
    <t>3d7e2678-907d-48e7-82b7-da8480af2ec3</t>
  </si>
  <si>
    <t>2026-03-09 11:03:53</t>
  </si>
  <si>
    <t>27711625178</t>
  </si>
  <si>
    <t>13555576</t>
  </si>
  <si>
    <t>a5125dbf-7095-409d-9fd3-794623b25870</t>
  </si>
  <si>
    <t>27711654192</t>
  </si>
  <si>
    <t>13555580</t>
  </si>
  <si>
    <t>af729ae1-2b13-44d7-9ba3-59f1127ae574</t>
  </si>
  <si>
    <t>27711671818</t>
  </si>
  <si>
    <t>13555581</t>
  </si>
  <si>
    <t>90a4f9f1-abbf-4b61-81e5-4d59d98f9cb6</t>
  </si>
  <si>
    <t>27711737421</t>
  </si>
  <si>
    <t>13555585</t>
  </si>
  <si>
    <t>27a2e13a-e75e-4553-a5fc-4d19d6b484cf</t>
  </si>
  <si>
    <t>27711774091</t>
  </si>
  <si>
    <t>13555559</t>
  </si>
  <si>
    <t>09be4efe-d47b-4dd2-bab4-b84c9d62fef3</t>
  </si>
  <si>
    <t>2026-03-09 11:03:51</t>
  </si>
  <si>
    <t>27711511878</t>
  </si>
  <si>
    <t>13555565</t>
  </si>
  <si>
    <t>e3d46808-3ab8-4dca-be55-e169c3614e9b</t>
  </si>
  <si>
    <t>27711558707</t>
  </si>
  <si>
    <t>13555570</t>
  </si>
  <si>
    <t>7ad99617-634f-436f-b8a8-8289f6c87a37</t>
  </si>
  <si>
    <t>27711611299</t>
  </si>
  <si>
    <t>13556137</t>
  </si>
  <si>
    <t>ff3a2113-8197-4f46-9c47-ddd15c979eaf</t>
  </si>
  <si>
    <t>2026-03-09 11:03:50</t>
  </si>
  <si>
    <t>27721000498</t>
  </si>
  <si>
    <t>13557046</t>
  </si>
  <si>
    <t>b28990c6-b9ac-42ca-a111-e391a505f82f</t>
  </si>
  <si>
    <t>27729937945</t>
  </si>
  <si>
    <t>13557421</t>
  </si>
  <si>
    <t>ff667eb7-dafb-406a-b4d0-f1a435156fa6</t>
  </si>
  <si>
    <t>27763426179</t>
  </si>
  <si>
    <t>13557551</t>
  </si>
  <si>
    <t>90d11470-f506-4ea0-9eb0-70f7ba42b65c</t>
  </si>
  <si>
    <t>27765050513</t>
  </si>
  <si>
    <t>13560106</t>
  </si>
  <si>
    <t>1299a5a9-37fd-43d3-ad71-e62c134f6ae7</t>
  </si>
  <si>
    <t>2026-03-09 11:03:22</t>
  </si>
  <si>
    <t>27727080903</t>
  </si>
  <si>
    <t>13560943</t>
  </si>
  <si>
    <t>03255c84-4142-4857-8a2e-4553c356d611</t>
  </si>
  <si>
    <t>27723663553</t>
  </si>
  <si>
    <t>13561837</t>
  </si>
  <si>
    <t>bdc3f6ee-f021-4d75-b19c-e418457cc9b5</t>
  </si>
  <si>
    <t>2026-03-09 11:03:14</t>
  </si>
  <si>
    <t>27726505405</t>
  </si>
  <si>
    <t>13560095</t>
  </si>
  <si>
    <t>f3b0883e-e897-45d8-a2ab-ca149f2eaba0</t>
  </si>
  <si>
    <t>2026-03-09 11:03:13</t>
  </si>
  <si>
    <t>27795663123</t>
  </si>
  <si>
    <t>13560100</t>
  </si>
  <si>
    <t>c4c7417d-bfe2-4851-b402-958350b86f4c</t>
  </si>
  <si>
    <t>27827478097</t>
  </si>
  <si>
    <t>13560945</t>
  </si>
  <si>
    <t>c42de9c6-f8df-4a2d-8eaf-4c7693512f7f</t>
  </si>
  <si>
    <t>27797690226</t>
  </si>
  <si>
    <t>13561843</t>
  </si>
  <si>
    <t>b92f2bed-6d5d-4e90-a755-eb781aeef297</t>
  </si>
  <si>
    <t>27727087383</t>
  </si>
  <si>
    <t>13561846</t>
  </si>
  <si>
    <t>8f0b3cf4-1c91-4f8b-8b8e-96a16637f9b5</t>
  </si>
  <si>
    <t>27711747053</t>
  </si>
  <si>
    <t>13560093</t>
  </si>
  <si>
    <t>dcda329a-8728-4ccf-bf96-2257608d93d9</t>
  </si>
  <si>
    <t>2026-03-09 11:03:12</t>
  </si>
  <si>
    <t>27665653006</t>
  </si>
  <si>
    <t>13560091</t>
  </si>
  <si>
    <t>9c092090-1077-43e1-b8f0-b67f1fcbff88</t>
  </si>
  <si>
    <t>2026-03-09 11:03:11</t>
  </si>
  <si>
    <t>27766421056</t>
  </si>
  <si>
    <t>13560080</t>
  </si>
  <si>
    <t>f40a9eab-3807-4a6a-ad59-2b545cf141e9</t>
  </si>
  <si>
    <t>2026-03-09 11:03:10</t>
  </si>
  <si>
    <t>27725980929</t>
  </si>
  <si>
    <t>13560086</t>
  </si>
  <si>
    <t>87db71d4-ec84-42b7-af4b-f13b92c61c14</t>
  </si>
  <si>
    <t>27726045895</t>
  </si>
  <si>
    <t>13560088</t>
  </si>
  <si>
    <t>7bf79cfe-28d3-4a6e-80f0-2b96fcd3827a</t>
  </si>
  <si>
    <t>27608129530</t>
  </si>
  <si>
    <t>13560951</t>
  </si>
  <si>
    <t>9c0476ff-aa09-4bcc-8059-173db490e26f</t>
  </si>
  <si>
    <t>27724587636</t>
  </si>
  <si>
    <t>13560952</t>
  </si>
  <si>
    <t>716f9446-d0ea-4a84-9b8e-69ba9c930c16</t>
  </si>
  <si>
    <t>27728538466</t>
  </si>
  <si>
    <t>13560078</t>
  </si>
  <si>
    <t>326929fd-3570-44c4-86b2-f666c0e3895a</t>
  </si>
  <si>
    <t>2026-03-09 11:03:05</t>
  </si>
  <si>
    <t>27792359985</t>
  </si>
  <si>
    <t>13560075</t>
  </si>
  <si>
    <t>552f246c-2d22-4831-9382-a126c2aaa95c</t>
  </si>
  <si>
    <t>2026-03-09 11:03:03</t>
  </si>
  <si>
    <t>27764820883</t>
  </si>
  <si>
    <t>13560076</t>
  </si>
  <si>
    <t>07ee3e5d-e7a7-41a1-9020-0242c8ca1f3f</t>
  </si>
  <si>
    <t>27790891299</t>
  </si>
  <si>
    <t>13560957</t>
  </si>
  <si>
    <t>77fd3937-bd52-4eff-a91f-94ffe6a82d77</t>
  </si>
  <si>
    <t>27765803251</t>
  </si>
  <si>
    <t>13560067</t>
  </si>
  <si>
    <t>f5ce06d8-42c9-4646-a968-18a486feb6e8</t>
  </si>
  <si>
    <t>2026-03-09 11:02:56</t>
  </si>
  <si>
    <t>27720969283</t>
  </si>
  <si>
    <t>13559642</t>
  </si>
  <si>
    <t>308145fe-a97a-41b3-9232-9eac47027dd2</t>
  </si>
  <si>
    <t>2026-03-09 11:02:54</t>
  </si>
  <si>
    <t>27833742709</t>
  </si>
  <si>
    <t>13560063</t>
  </si>
  <si>
    <t>f1d78575-1250-4be7-9768-bccb724eed08</t>
  </si>
  <si>
    <t>2026-03-09 11:02:51</t>
  </si>
  <si>
    <t>27675604459</t>
  </si>
  <si>
    <t>13560065</t>
  </si>
  <si>
    <t>cfab158e-673c-4bff-8b44-245f40191f1d</t>
  </si>
  <si>
    <t>27795085902</t>
  </si>
  <si>
    <t>13555723</t>
  </si>
  <si>
    <t>b7370923-9400-4870-8be7-a03a61aaaf14</t>
  </si>
  <si>
    <t>2026-03-09 11:02:50</t>
  </si>
  <si>
    <t>27713197547</t>
  </si>
  <si>
    <t>13555725</t>
  </si>
  <si>
    <t>5b154df6-a6b6-4bdf-823d-6c5980da2136</t>
  </si>
  <si>
    <t>27713226979</t>
  </si>
  <si>
    <t>13560062</t>
  </si>
  <si>
    <t>cc1e1b04-3ed6-4bcf-b0ff-59034d73b3e1</t>
  </si>
  <si>
    <t>27793321431</t>
  </si>
  <si>
    <t>13561847</t>
  </si>
  <si>
    <t>5cd2c8b9-81d1-431e-aeec-87ca4d801af2</t>
  </si>
  <si>
    <t>27637881935</t>
  </si>
  <si>
    <t>13555661</t>
  </si>
  <si>
    <t>debf7dca-8551-4283-a01c-42358e6a39e3</t>
  </si>
  <si>
    <t>2026-03-09 11:02:37</t>
  </si>
  <si>
    <t>27712673272</t>
  </si>
  <si>
    <t>13555654</t>
  </si>
  <si>
    <t>7729b743-ad50-496b-82b1-0119c55a4a32</t>
  </si>
  <si>
    <t>2026-03-09 11:02:33</t>
  </si>
  <si>
    <t>27712587663</t>
  </si>
  <si>
    <t>13560969</t>
  </si>
  <si>
    <t>74788e90-5e09-419d-a666-78b9e178bbac</t>
  </si>
  <si>
    <t>27769402979</t>
  </si>
  <si>
    <t>13561854</t>
  </si>
  <si>
    <t>24a0145a-f54c-4c71-9eaa-9931ac201273</t>
  </si>
  <si>
    <t>27720621376</t>
  </si>
  <si>
    <t>13560068</t>
  </si>
  <si>
    <t>1277e137-25e3-4e37-8f43-fcf2f0b6505b</t>
  </si>
  <si>
    <t>2026-03-09 11:02:00</t>
  </si>
  <si>
    <t>27764832695</t>
  </si>
  <si>
    <t>13560074</t>
  </si>
  <si>
    <t>b459ab12-c413-4f6c-81c0-506bbc2a5f00</t>
  </si>
  <si>
    <t>27763689768</t>
  </si>
  <si>
    <t>13563505</t>
  </si>
  <si>
    <t>67b136fa-28b4-439a-9b26-c8fb14de732c</t>
  </si>
  <si>
    <t>27646947831</t>
  </si>
  <si>
    <t>13563618</t>
  </si>
  <si>
    <t>3af29f14-1052-48f7-9e1f-63da36c5a7d0</t>
  </si>
  <si>
    <t>27765628596</t>
  </si>
  <si>
    <t>13562296</t>
  </si>
  <si>
    <t>60b847a7-5120-4ece-ad29-6f0dcaa5c462</t>
  </si>
  <si>
    <t>IABDN</t>
  </si>
  <si>
    <t>Inbound Abandon</t>
  </si>
  <si>
    <t>2026-03-09 11:01:51</t>
  </si>
  <si>
    <t>27636596893</t>
  </si>
  <si>
    <t>13555651</t>
  </si>
  <si>
    <t>39e4b229-f8c7-4317-9c00-64fe7a11aa60</t>
  </si>
  <si>
    <t>2026-03-09 11:01:38</t>
  </si>
  <si>
    <t>27712565490</t>
  </si>
  <si>
    <t>13563648</t>
  </si>
  <si>
    <t>613598ef-16c7-4496-8f10-8d5ce304d6a8</t>
  </si>
  <si>
    <t>27768818488</t>
  </si>
  <si>
    <t>13555560</t>
  </si>
  <si>
    <t>f7ffd939-f0d5-4c64-80f6-d58b9eacc165</t>
  </si>
  <si>
    <t>2026-03-09 11:01:30</t>
  </si>
  <si>
    <t>27711535298</t>
  </si>
  <si>
    <t>13555562</t>
  </si>
  <si>
    <t>9d893e47-4305-423e-b675-81d836607265</t>
  </si>
  <si>
    <t>27711553573</t>
  </si>
  <si>
    <t>13557060</t>
  </si>
  <si>
    <t>f4d361da-e9a4-457e-adf2-23c2c815520c</t>
  </si>
  <si>
    <t>2026-03-09 11:01:28</t>
  </si>
  <si>
    <t>27731377620</t>
  </si>
  <si>
    <t>13561223</t>
  </si>
  <si>
    <t>f26bceae-ae83-43e6-a071-126d0106c935</t>
  </si>
  <si>
    <t>27607477626</t>
  </si>
  <si>
    <t>13563647</t>
  </si>
  <si>
    <t>7fa0344d-3298-40ea-9495-687b673f4dfd</t>
  </si>
  <si>
    <t>27646664638</t>
  </si>
  <si>
    <t>13556104</t>
  </si>
  <si>
    <t>5681b96a-2671-4061-a179-ff5193fbb28b</t>
  </si>
  <si>
    <t>2026-03-09 11:00:11</t>
  </si>
  <si>
    <t>27720728456</t>
  </si>
  <si>
    <t>13562119</t>
  </si>
  <si>
    <t>949e1ade-b81e-486b-af6e-123268efd12e</t>
  </si>
  <si>
    <t>27767973993</t>
  </si>
  <si>
    <t>13556101</t>
  </si>
  <si>
    <t>231d7e7d-5912-4594-8ab2-6acfc5f9465e</t>
  </si>
  <si>
    <t>2026-03-09 11:00:03</t>
  </si>
  <si>
    <t>27720721511</t>
  </si>
  <si>
    <t>13556102</t>
  </si>
  <si>
    <t>06ba7ad0-86b6-47fd-9e9e-31d05bd3298e</t>
  </si>
  <si>
    <t>27720724732</t>
  </si>
  <si>
    <t>13556100</t>
  </si>
  <si>
    <t>1a884106-b8b9-4acc-bef8-d242a28d4c4f</t>
  </si>
  <si>
    <t>2026-03-09 10:59:57</t>
  </si>
  <si>
    <t>27720717733</t>
  </si>
  <si>
    <t>13556096</t>
  </si>
  <si>
    <t>894a1709-3eb5-4000-9b4c-f19670e11e87</t>
  </si>
  <si>
    <t>2026-03-09 10:59:55</t>
  </si>
  <si>
    <t>27720672870</t>
  </si>
  <si>
    <t>13556076</t>
  </si>
  <si>
    <t>7eff161d-d9ce-4efc-921e-cb8de95c16cb</t>
  </si>
  <si>
    <t>2026-03-09 10:59:54</t>
  </si>
  <si>
    <t>27720557663</t>
  </si>
  <si>
    <t>13556078</t>
  </si>
  <si>
    <t>9754faed-2bb7-43d5-a952-6ea4a116bbee</t>
  </si>
  <si>
    <t>27720566684</t>
  </si>
  <si>
    <t>13556079</t>
  </si>
  <si>
    <t>195da1a3-134e-4480-a5e6-0eb6ba5358e8</t>
  </si>
  <si>
    <t>27720566826</t>
  </si>
  <si>
    <t>13556082</t>
  </si>
  <si>
    <t>25623a6e-0311-4057-afdd-2b42dfc9471a</t>
  </si>
  <si>
    <t>27720585123</t>
  </si>
  <si>
    <t>13556083</t>
  </si>
  <si>
    <t>4d391882-aae6-4be1-b3db-4a7053b3572c</t>
  </si>
  <si>
    <t>27720594701</t>
  </si>
  <si>
    <t>13556087</t>
  </si>
  <si>
    <t>ec718f31-3881-4427-a44d-4e63dd4d3687</t>
  </si>
  <si>
    <t>27720604106</t>
  </si>
  <si>
    <t>13556093</t>
  </si>
  <si>
    <t>fca53290-0710-466a-bf4e-b2b733f8ead7</t>
  </si>
  <si>
    <t>27720659756</t>
  </si>
  <si>
    <t>13556059</t>
  </si>
  <si>
    <t>e144699a-daa6-403e-8cd4-e1123905a393</t>
  </si>
  <si>
    <t>2026-03-09 10:59:53</t>
  </si>
  <si>
    <t>27720392243</t>
  </si>
  <si>
    <t>13556060</t>
  </si>
  <si>
    <t>17bbaa51-4060-4d47-8c8b-d2f8e6a718f4</t>
  </si>
  <si>
    <t>27720409530</t>
  </si>
  <si>
    <t>13556063</t>
  </si>
  <si>
    <t>1b6af630-4bf0-41fe-8ecc-a186ebb8530b</t>
  </si>
  <si>
    <t>27720431594</t>
  </si>
  <si>
    <t>13556068</t>
  </si>
  <si>
    <t>f5d21037-388a-419e-a915-facc0cf6e45a</t>
  </si>
  <si>
    <t>27720488099</t>
  </si>
  <si>
    <t>13556057</t>
  </si>
  <si>
    <t>14751745-6ca2-439b-8264-0ec4ce7b19d9</t>
  </si>
  <si>
    <t>2026-03-09 10:59:51</t>
  </si>
  <si>
    <t>27720383835</t>
  </si>
  <si>
    <t>13556055</t>
  </si>
  <si>
    <t>5ce7168e-fc88-4e76-b588-a3d10cf31ca5</t>
  </si>
  <si>
    <t>2026-03-09 10:59:48</t>
  </si>
  <si>
    <t>27720371258</t>
  </si>
  <si>
    <t>13556049</t>
  </si>
  <si>
    <t>64b2a0bc-1b61-4e27-b2e2-66b85bb9b286</t>
  </si>
  <si>
    <t>2026-03-09 10:59:47</t>
  </si>
  <si>
    <t>27720287257</t>
  </si>
  <si>
    <t>13556053</t>
  </si>
  <si>
    <t>19efb34c-d918-4586-9e78-884bd9a4a2ad</t>
  </si>
  <si>
    <t>27720357689</t>
  </si>
  <si>
    <t>13556044</t>
  </si>
  <si>
    <t>d06a31d1-107f-43b4-83b3-030f738dd7e2</t>
  </si>
  <si>
    <t>27720139455</t>
  </si>
  <si>
    <t>13557039</t>
  </si>
  <si>
    <t>83144464-5c78-4f33-bd5c-69a603cf9f9b</t>
  </si>
  <si>
    <t>27729885337</t>
  </si>
  <si>
    <t>13556643</t>
  </si>
  <si>
    <t>c0c39296-3eff-4def-b4de-792116aef99e</t>
  </si>
  <si>
    <t>2026-03-09 10:58:13</t>
  </si>
  <si>
    <t>27725883105</t>
  </si>
  <si>
    <t>13556645</t>
  </si>
  <si>
    <t>ccbc48d8-e1fa-401d-a0e3-981d6951a117</t>
  </si>
  <si>
    <t>27725916760</t>
  </si>
  <si>
    <t>13559858</t>
  </si>
  <si>
    <t>73a2b94e-22b8-4881-9203-a16f640a9083</t>
  </si>
  <si>
    <t>27713845232</t>
  </si>
  <si>
    <t>13559861</t>
  </si>
  <si>
    <t>9a1d3f99-6fb2-4dae-a2b8-b6d59b96ac65</t>
  </si>
  <si>
    <t>27723917398</t>
  </si>
  <si>
    <t>13559869</t>
  </si>
  <si>
    <t>523da624-f33b-4737-8376-0673b6b39664</t>
  </si>
  <si>
    <t>27662264363</t>
  </si>
  <si>
    <t>13556641</t>
  </si>
  <si>
    <t>bb637bba-1172-45e6-ab4d-ad3493bc8f20</t>
  </si>
  <si>
    <t>2026-03-09 10:58:12</t>
  </si>
  <si>
    <t>27725866055</t>
  </si>
  <si>
    <t>13559850</t>
  </si>
  <si>
    <t>d78098b5-280d-4fab-b517-52e835131945</t>
  </si>
  <si>
    <t>27674034976</t>
  </si>
  <si>
    <t>13559851</t>
  </si>
  <si>
    <t>922c1fef-0884-4edc-92ae-fe3e22c61b69</t>
  </si>
  <si>
    <t>27608301268</t>
  </si>
  <si>
    <t>13559837</t>
  </si>
  <si>
    <t>216079e3-5823-437a-a616-30539cc78ee1</t>
  </si>
  <si>
    <t>2026-03-09 10:58:11</t>
  </si>
  <si>
    <t>27647027235</t>
  </si>
  <si>
    <t>13559843</t>
  </si>
  <si>
    <t>7e1420c5-8c48-4813-ab12-194d1549ac8f</t>
  </si>
  <si>
    <t>27761971700</t>
  </si>
  <si>
    <t>13559844</t>
  </si>
  <si>
    <t>ddbce9e4-9889-416d-8247-cbb230c0c44e</t>
  </si>
  <si>
    <t>27763405738</t>
  </si>
  <si>
    <t>13559845</t>
  </si>
  <si>
    <t>77fb9f30-7a2f-4c0d-8635-b0bb49bc371d</t>
  </si>
  <si>
    <t>27714677137</t>
  </si>
  <si>
    <t>13564649</t>
  </si>
  <si>
    <t>55e76a49-68ae-4ace-b437-18f68858936d</t>
  </si>
  <si>
    <t>2026-03-09 10:57:34</t>
  </si>
  <si>
    <t>27768844786</t>
  </si>
  <si>
    <t>13560018</t>
  </si>
  <si>
    <t>80462e73-b517-43d4-a0fb-d201e2d3e702</t>
  </si>
  <si>
    <t>2026-03-09 10:55:00</t>
  </si>
  <si>
    <t>27825954330</t>
  </si>
  <si>
    <t>13560144</t>
  </si>
  <si>
    <t>94f6f250-66ab-424e-b387-5b7343b84737</t>
  </si>
  <si>
    <t>2026-03-09 10:54:39</t>
  </si>
  <si>
    <t>27774692482</t>
  </si>
  <si>
    <t>13560142</t>
  </si>
  <si>
    <t>fe11509f-e505-47be-b336-5a66a4882d96</t>
  </si>
  <si>
    <t>2026-03-09 10:54:36</t>
  </si>
  <si>
    <t>27734562531</t>
  </si>
  <si>
    <t>13560129</t>
  </si>
  <si>
    <t>c00390c2-65c6-4f56-8048-0c0958ca249a</t>
  </si>
  <si>
    <t>2026-03-09 10:54:35</t>
  </si>
  <si>
    <t>27825904018</t>
  </si>
  <si>
    <t>13560136</t>
  </si>
  <si>
    <t>5c9f7da7-12e2-4a2d-8960-4d3cc74bd945</t>
  </si>
  <si>
    <t>27792630955</t>
  </si>
  <si>
    <t>13560139</t>
  </si>
  <si>
    <t>ca91cf37-de64-4847-bcc1-be207d179d8e</t>
  </si>
  <si>
    <t>27606836593</t>
  </si>
  <si>
    <t>13558465</t>
  </si>
  <si>
    <t>4529bf60-3847-4b0a-87de-c0b9ad64712b</t>
  </si>
  <si>
    <t>2026-03-09 10:54:22</t>
  </si>
  <si>
    <t>27794334875</t>
  </si>
  <si>
    <t>13558451</t>
  </si>
  <si>
    <t>81222096-f6d5-4305-ba2f-bfa78b168a9d</t>
  </si>
  <si>
    <t>2026-03-09 10:54:13</t>
  </si>
  <si>
    <t>27794177502</t>
  </si>
  <si>
    <t>13557601</t>
  </si>
  <si>
    <t>ab43ba3e-dc8e-4fa2-b2d7-5cab6308d60d</t>
  </si>
  <si>
    <t>2026-03-09 10:54:09</t>
  </si>
  <si>
    <t>27765532870</t>
  </si>
  <si>
    <t>13560277</t>
  </si>
  <si>
    <t>5a405617-319a-4ba2-84c3-1630c50f7c5a</t>
  </si>
  <si>
    <t>2026-03-09 10:53:09</t>
  </si>
  <si>
    <t>27727307498</t>
  </si>
  <si>
    <t>13560278</t>
  </si>
  <si>
    <t>742c7d7e-f3a4-42db-b0cc-cb43064cff4d</t>
  </si>
  <si>
    <t>27665099309</t>
  </si>
  <si>
    <t>13560265</t>
  </si>
  <si>
    <t>898785d8-2d6b-4a53-9d1f-6f179e3ee107</t>
  </si>
  <si>
    <t>2026-03-09 10:53:08</t>
  </si>
  <si>
    <t>27797475784</t>
  </si>
  <si>
    <t>13560267</t>
  </si>
  <si>
    <t>6d621aeb-0e4c-444a-b4e0-42ecdfc5b3a2</t>
  </si>
  <si>
    <t>27721142415</t>
  </si>
  <si>
    <t>13560268</t>
  </si>
  <si>
    <t>157b0667-23ba-40ee-bf8c-0a586ff950bc</t>
  </si>
  <si>
    <t>27722593640</t>
  </si>
  <si>
    <t>13560275</t>
  </si>
  <si>
    <t>047678ca-0232-4ffb-a7f0-421f8d308ee7</t>
  </si>
  <si>
    <t>27769112735</t>
  </si>
  <si>
    <t>13560264</t>
  </si>
  <si>
    <t>6a0afb40-70f5-4504-b2e5-756d0ed63aa0</t>
  </si>
  <si>
    <t>2026-03-09 10:52:55</t>
  </si>
  <si>
    <t>27791972735</t>
  </si>
  <si>
    <t>13560263</t>
  </si>
  <si>
    <t>aa1e9b0d-1fb6-473a-b189-a2ca2ea15201</t>
  </si>
  <si>
    <t>2026-03-09 10:52:53</t>
  </si>
  <si>
    <t>27797519418</t>
  </si>
  <si>
    <t>13557846</t>
  </si>
  <si>
    <t>f1f3b54c-48af-4dd2-888b-c7dda85f7c93</t>
  </si>
  <si>
    <t>2026-03-09 10:52:50</t>
  </si>
  <si>
    <t>27767936262</t>
  </si>
  <si>
    <t>13559498</t>
  </si>
  <si>
    <t>1a663607-a016-4d10-98a3-cbe949a26d89</t>
  </si>
  <si>
    <t>2026-03-09 10:52:42</t>
  </si>
  <si>
    <t>27827593018</t>
  </si>
  <si>
    <t>13559496</t>
  </si>
  <si>
    <t>4e5734b2-a963-4994-8a6a-b81be5b00d29</t>
  </si>
  <si>
    <t>2026-03-09 10:52:35</t>
  </si>
  <si>
    <t>27827567563</t>
  </si>
  <si>
    <t>13559733</t>
  </si>
  <si>
    <t>1b6aaa77-e21a-46c5-b6e1-b05b44e59e9c</t>
  </si>
  <si>
    <t>2026-03-09 10:52:30</t>
  </si>
  <si>
    <t>27723472415</t>
  </si>
  <si>
    <t>13559734</t>
  </si>
  <si>
    <t>ba961aa3-8252-41fc-97d6-08e364229c22</t>
  </si>
  <si>
    <t>27763554407</t>
  </si>
  <si>
    <t>13559736</t>
  </si>
  <si>
    <t>da7e1f85-a4cf-4308-b774-d5e8a18e5110</t>
  </si>
  <si>
    <t>27791160631</t>
  </si>
  <si>
    <t>13559737</t>
  </si>
  <si>
    <t>eb4daad0-6007-47b1-935a-12b985e6823a</t>
  </si>
  <si>
    <t>27721998364</t>
  </si>
  <si>
    <t>13559730</t>
  </si>
  <si>
    <t>72fca3ca-3682-4ee1-9d16-3552d359f536</t>
  </si>
  <si>
    <t>27722766353</t>
  </si>
  <si>
    <t>13557710</t>
  </si>
  <si>
    <t>2e1dc6c6-2942-427a-ba85-641146b60986</t>
  </si>
  <si>
    <t>2026-03-09 10:52:29</t>
  </si>
  <si>
    <t>27766618854</t>
  </si>
  <si>
    <t>13559933</t>
  </si>
  <si>
    <t>33f68285-d20e-4465-93c5-cc981f9ca629</t>
  </si>
  <si>
    <t>2026-03-09 10:51:10</t>
  </si>
  <si>
    <t>27790427604</t>
  </si>
  <si>
    <t>13559932</t>
  </si>
  <si>
    <t>5c96ad5d-e0d9-4bea-be75-e1fca4eb526c</t>
  </si>
  <si>
    <t>2026-03-09 10:50:59</t>
  </si>
  <si>
    <t>27769686144</t>
  </si>
  <si>
    <t>13559926</t>
  </si>
  <si>
    <t>a22db9e4-6c83-4e35-bab7-07f8f8c3ce72</t>
  </si>
  <si>
    <t>2026-03-09 10:50:58</t>
  </si>
  <si>
    <t>27722730165</t>
  </si>
  <si>
    <t>13559929</t>
  </si>
  <si>
    <t>bfe71afe-f175-473f-813d-57251fb7e76c</t>
  </si>
  <si>
    <t>27825549195</t>
  </si>
  <si>
    <t>13561101</t>
  </si>
  <si>
    <t>5734b4aa-584a-47fc-9aef-a1b1484ab330</t>
  </si>
  <si>
    <t>2026-03-09 10:50:51</t>
  </si>
  <si>
    <t>27647813629</t>
  </si>
  <si>
    <t>13556005</t>
  </si>
  <si>
    <t>e088d773-d833-49cd-b859-c9efe34237fa</t>
  </si>
  <si>
    <t>2026-03-09 10:50:39</t>
  </si>
  <si>
    <t>27716403202</t>
  </si>
  <si>
    <t>13560728</t>
  </si>
  <si>
    <t>62899c48-67c2-4ee6-8ee7-adf19be9f61f</t>
  </si>
  <si>
    <t>2026-03-09 10:50:28</t>
  </si>
  <si>
    <t>27826331544</t>
  </si>
  <si>
    <t>13560734</t>
  </si>
  <si>
    <t>70b82a5c-af38-4613-bab1-d4fcf4d3b294</t>
  </si>
  <si>
    <t>27763228678</t>
  </si>
  <si>
    <t>13560723</t>
  </si>
  <si>
    <t>5b463a28-5ba9-4552-87bd-bb3a1a0dbb6a</t>
  </si>
  <si>
    <t>2026-03-09 10:50:06</t>
  </si>
  <si>
    <t>27664455314</t>
  </si>
  <si>
    <t>13560708</t>
  </si>
  <si>
    <t>cdd7f5f2-425a-4b3e-9757-ef7f7bd865e6</t>
  </si>
  <si>
    <t>2026-03-09 10:50:05</t>
  </si>
  <si>
    <t>27792281839</t>
  </si>
  <si>
    <t>13560677</t>
  </si>
  <si>
    <t>9aad69e7-9bdf-4635-b3e2-f56d18729d62</t>
  </si>
  <si>
    <t>2026-03-09 10:50:02</t>
  </si>
  <si>
    <t>27609988742</t>
  </si>
  <si>
    <t>13561127</t>
  </si>
  <si>
    <t>205b1334-178f-4834-b9ed-bd089363151f</t>
  </si>
  <si>
    <t>27728527389</t>
  </si>
  <si>
    <t>13561023</t>
  </si>
  <si>
    <t>d0790179-bc70-4c21-8625-eec408af2ffc</t>
  </si>
  <si>
    <t>2026-03-09 10:49:32</t>
  </si>
  <si>
    <t>27798285768</t>
  </si>
  <si>
    <t>13561013</t>
  </si>
  <si>
    <t>9795c0ae-3857-4d55-880d-f9cf24ba72df</t>
  </si>
  <si>
    <t>2026-03-09 10:49:31</t>
  </si>
  <si>
    <t>27729680259</t>
  </si>
  <si>
    <t>13561014</t>
  </si>
  <si>
    <t>966fa84d-26b8-4e65-88ad-18b65542bbf3</t>
  </si>
  <si>
    <t>27769914418</t>
  </si>
  <si>
    <t>13561016</t>
  </si>
  <si>
    <t>5d69a5cc-82d0-46a1-a646-72b8bc441889</t>
  </si>
  <si>
    <t>27648397273</t>
  </si>
  <si>
    <t>13561017</t>
  </si>
  <si>
    <t>932f0fa9-48b2-4e66-9df4-fbe0b9947985</t>
  </si>
  <si>
    <t>27795954433</t>
  </si>
  <si>
    <t>13561022</t>
  </si>
  <si>
    <t>de96f5a0-751b-4160-bdb7-9e395ab9d447</t>
  </si>
  <si>
    <t>27760862470</t>
  </si>
  <si>
    <t>13560941</t>
  </si>
  <si>
    <t>0d105cd8-3c46-4e3f-8986-b0028aef37a8</t>
  </si>
  <si>
    <t>2026-03-09 10:49:15</t>
  </si>
  <si>
    <t>27714046768</t>
  </si>
  <si>
    <t>13560683</t>
  </si>
  <si>
    <t>22bdf09c-670c-4239-b34f-3ec5f215d98e</t>
  </si>
  <si>
    <t>2026-03-09 10:48:43</t>
  </si>
  <si>
    <t>27714019205</t>
  </si>
  <si>
    <t>13560684</t>
  </si>
  <si>
    <t>568a63fd-c43e-4ecc-8f9e-fed7f9bab1f6</t>
  </si>
  <si>
    <t>27761467243</t>
  </si>
  <si>
    <t>13560691</t>
  </si>
  <si>
    <t>23aaff67-4171-4764-8085-bf721722be0f</t>
  </si>
  <si>
    <t>27761080849</t>
  </si>
  <si>
    <t>13560695</t>
  </si>
  <si>
    <t>e2505920-26e7-462e-a9bd-5fbfad87b320</t>
  </si>
  <si>
    <t>27760153203</t>
  </si>
  <si>
    <t>13560700</t>
  </si>
  <si>
    <t>841a6458-959e-4788-b09b-0633fd4e5b41</t>
  </si>
  <si>
    <t>27728091713</t>
  </si>
  <si>
    <t>13560682</t>
  </si>
  <si>
    <t>0d217329-63eb-4b9a-83db-87f3a0583187</t>
  </si>
  <si>
    <t>2026-03-09 10:48:42</t>
  </si>
  <si>
    <t>27637671259</t>
  </si>
  <si>
    <t>13560681</t>
  </si>
  <si>
    <t>196f79aa-d81e-44d5-b584-adc6ee7c1c35</t>
  </si>
  <si>
    <t>2026-03-09 10:48:39</t>
  </si>
  <si>
    <t>27797539041</t>
  </si>
  <si>
    <t>13560669</t>
  </si>
  <si>
    <t>6bd3b11f-2ad1-4444-b76a-d1a3a1b9b5ba</t>
  </si>
  <si>
    <t>2026-03-09 10:48:38</t>
  </si>
  <si>
    <t>27608763611</t>
  </si>
  <si>
    <t>13560675</t>
  </si>
  <si>
    <t>612b3536-ddd1-461c-9405-f01ecd0d125e</t>
  </si>
  <si>
    <t>27765854099</t>
  </si>
  <si>
    <t>13560680</t>
  </si>
  <si>
    <t>20120c49-d9df-4168-bb6f-bf86812c14a9</t>
  </si>
  <si>
    <t>27768943479</t>
  </si>
  <si>
    <t>13560644</t>
  </si>
  <si>
    <t>5c199dbd-1bd9-4a32-aca3-fb507992f5e6</t>
  </si>
  <si>
    <t>2026-03-09 10:48:31</t>
  </si>
  <si>
    <t>27762808092</t>
  </si>
  <si>
    <t>13560649</t>
  </si>
  <si>
    <t>ccc27080-9196-431d-b9f8-7e14c9211ec7</t>
  </si>
  <si>
    <t>27724141964</t>
  </si>
  <si>
    <t>13560651</t>
  </si>
  <si>
    <t>8148d528-c54b-4084-9f0d-0c9e809fc6d7</t>
  </si>
  <si>
    <t>27607541108</t>
  </si>
  <si>
    <t>13560662</t>
  </si>
  <si>
    <t>c084c169-c65f-48e5-9e5f-ec4c9738dfb8</t>
  </si>
  <si>
    <t>27765280426</t>
  </si>
  <si>
    <t>13560668</t>
  </si>
  <si>
    <t>b14e73c0-f20c-4748-909e-0767d0fbce73</t>
  </si>
  <si>
    <t>27728940291</t>
  </si>
  <si>
    <t>13560643</t>
  </si>
  <si>
    <t>b0eea84f-332b-47bb-94cb-31bf0c46fa9f</t>
  </si>
  <si>
    <t>2026-03-09 10:48:30</t>
  </si>
  <si>
    <t>27761394820</t>
  </si>
  <si>
    <t>13561554</t>
  </si>
  <si>
    <t>23244146-d4b6-4f29-837b-fcf481001c0e</t>
  </si>
  <si>
    <t>2026-03-09 10:48:23</t>
  </si>
  <si>
    <t>27769699391</t>
  </si>
  <si>
    <t>13561552</t>
  </si>
  <si>
    <t>e5d65b7b-54f4-4d44-a602-86014e60d083</t>
  </si>
  <si>
    <t>2026-03-09 10:48:21</t>
  </si>
  <si>
    <t>27660240151</t>
  </si>
  <si>
    <t>13561549</t>
  </si>
  <si>
    <t>14e905a9-a0a8-4f45-8bf2-6acf7d098ad4</t>
  </si>
  <si>
    <t>2026-03-09 10:48:18</t>
  </si>
  <si>
    <t>27720562774</t>
  </si>
  <si>
    <t>13561543</t>
  </si>
  <si>
    <t>51c393bf-11db-4ba4-b0ec-902fceaa8210</t>
  </si>
  <si>
    <t>2026-03-09 10:48:14</t>
  </si>
  <si>
    <t>27713056839</t>
  </si>
  <si>
    <t>13560802</t>
  </si>
  <si>
    <t>80b9ded4-bfbb-4830-abac-b8ef9d30b390</t>
  </si>
  <si>
    <t>2026-03-09 10:47:48</t>
  </si>
  <si>
    <t>27826281983</t>
  </si>
  <si>
    <t>13560642</t>
  </si>
  <si>
    <t>aac3b95e-9fa0-43c6-9d1d-0ed0cb245447</t>
  </si>
  <si>
    <t>2026-03-09 10:47:42</t>
  </si>
  <si>
    <t>27725718701</t>
  </si>
  <si>
    <t>13556935</t>
  </si>
  <si>
    <t>319d2a5e-db13-41d5-bad2-3da45b0fa739</t>
  </si>
  <si>
    <t>2026-03-09 10:47:30</t>
  </si>
  <si>
    <t>27728796254</t>
  </si>
  <si>
    <t>13561762</t>
  </si>
  <si>
    <t>c36d0448-a0fd-45d3-9f43-91b7bcb6a512</t>
  </si>
  <si>
    <t>2026-03-09 10:47:26</t>
  </si>
  <si>
    <t>27723143935</t>
  </si>
  <si>
    <t>13561764</t>
  </si>
  <si>
    <t>dc38df86-3961-47a8-8994-299b4b418526</t>
  </si>
  <si>
    <t>27661079245</t>
  </si>
  <si>
    <t>13562944</t>
  </si>
  <si>
    <t>f3c2af67-1409-45d8-a2df-d4b234eca9fc</t>
  </si>
  <si>
    <t>27790530174</t>
  </si>
  <si>
    <t>13560787</t>
  </si>
  <si>
    <t>204e8b61-c699-46e1-adb6-f7758ce03614</t>
  </si>
  <si>
    <t>2026-03-09 10:47:25</t>
  </si>
  <si>
    <t>27768482141</t>
  </si>
  <si>
    <t>13560746</t>
  </si>
  <si>
    <t>7ee44df8-cadd-4f3f-b33f-a546319891c9</t>
  </si>
  <si>
    <t>27820900213</t>
  </si>
  <si>
    <t>13560628</t>
  </si>
  <si>
    <t>ca568272-f656-478b-8f61-0d6c5c532719</t>
  </si>
  <si>
    <t>2026-03-09 10:46:55</t>
  </si>
  <si>
    <t>27724135596</t>
  </si>
  <si>
    <t>13560630</t>
  </si>
  <si>
    <t>6c90fdf9-7888-428a-9aee-f2c3566fc84d</t>
  </si>
  <si>
    <t>27791347580</t>
  </si>
  <si>
    <t>13560633</t>
  </si>
  <si>
    <t>d44b1078-2d47-40c2-99a2-2c229795d80c</t>
  </si>
  <si>
    <t>27728705243</t>
  </si>
  <si>
    <t>13560636</t>
  </si>
  <si>
    <t>17f82ba4-2252-4ebd-9fac-edc08a72a612</t>
  </si>
  <si>
    <t>27797997972</t>
  </si>
  <si>
    <t>13560614</t>
  </si>
  <si>
    <t>5f8ea4e8-cd37-42d1-8c17-b0e91a5a5f6f</t>
  </si>
  <si>
    <t>2026-03-09 10:46:54</t>
  </si>
  <si>
    <t>27663880995</t>
  </si>
  <si>
    <t>13560615</t>
  </si>
  <si>
    <t>70b7a542-e951-4a0b-9a10-575a56786559</t>
  </si>
  <si>
    <t>27661143408</t>
  </si>
  <si>
    <t>13560616</t>
  </si>
  <si>
    <t>f2a18c46-9358-4fe5-92a0-49a8aed6d550</t>
  </si>
  <si>
    <t>27646071368</t>
  </si>
  <si>
    <t>13560621</t>
  </si>
  <si>
    <t>0e4cb2fe-0523-4208-bace-86d97ebf7cff</t>
  </si>
  <si>
    <t>27724533107</t>
  </si>
  <si>
    <t>13560641</t>
  </si>
  <si>
    <t>5aec0abf-6b96-4954-804a-b57d3c2dde5e</t>
  </si>
  <si>
    <t>27799670209</t>
  </si>
  <si>
    <t>13560611</t>
  </si>
  <si>
    <t>c1d750d6-479d-4a14-ae35-b936f7eecf74</t>
  </si>
  <si>
    <t>2026-03-09 10:46:52</t>
  </si>
  <si>
    <t>27727486851</t>
  </si>
  <si>
    <t>13560612</t>
  </si>
  <si>
    <t>86d45c32-b1c9-4334-b6dd-3d6e2aca1ffd</t>
  </si>
  <si>
    <t>27761410917</t>
  </si>
  <si>
    <t>13560594</t>
  </si>
  <si>
    <t>c7ce37de-a262-4e50-8fb5-a9d3bcb94337</t>
  </si>
  <si>
    <t>2026-03-09 10:46:50</t>
  </si>
  <si>
    <t>27648629108</t>
  </si>
  <si>
    <t>13560602</t>
  </si>
  <si>
    <t>bf184cf2-14c9-48fc-bb69-20dae6963de2</t>
  </si>
  <si>
    <t>27796895091</t>
  </si>
  <si>
    <t>13560610</t>
  </si>
  <si>
    <t>71e70f49-a600-4fd1-957f-12e4837d6bf4</t>
  </si>
  <si>
    <t>27724206619</t>
  </si>
  <si>
    <t>13560584</t>
  </si>
  <si>
    <t>58755775-4fd1-41c0-a937-a172a5ea82dc</t>
  </si>
  <si>
    <t>2026-03-09 10:46:47</t>
  </si>
  <si>
    <t>27728770836</t>
  </si>
  <si>
    <t>13560585</t>
  </si>
  <si>
    <t>05ab2b8c-7d4b-4651-b020-fa4245263d8b</t>
  </si>
  <si>
    <t>27724452955</t>
  </si>
  <si>
    <t>13560568</t>
  </si>
  <si>
    <t>701c4f0c-286c-421e-84b7-6aedec8b25a4</t>
  </si>
  <si>
    <t>2026-03-09 10:46:46</t>
  </si>
  <si>
    <t>27764852667</t>
  </si>
  <si>
    <t>13560442</t>
  </si>
  <si>
    <t>c95b620b-7b24-4730-b222-c8cf74909d50</t>
  </si>
  <si>
    <t>2026-03-09 10:46:45</t>
  </si>
  <si>
    <t>27767177402</t>
  </si>
  <si>
    <t>13560537</t>
  </si>
  <si>
    <t>0cce206d-2aa2-40ad-a9ca-f3a99608d50f</t>
  </si>
  <si>
    <t>27767750271</t>
  </si>
  <si>
    <t>13562103</t>
  </si>
  <si>
    <t>53779172-3cbd-4a57-9824-3760d9489f8d</t>
  </si>
  <si>
    <t>2026-03-09 10:46:36</t>
  </si>
  <si>
    <t>27728568269</t>
  </si>
  <si>
    <t>13562104</t>
  </si>
  <si>
    <t>11dfb40d-aed2-47a1-ae5c-47dddbf638f4</t>
  </si>
  <si>
    <t>27761432814</t>
  </si>
  <si>
    <t>13562090</t>
  </si>
  <si>
    <t>46d2e2b6-b1e5-413a-b75f-fbd0010752ea</t>
  </si>
  <si>
    <t>2026-03-09 10:46:35</t>
  </si>
  <si>
    <t>27793769616</t>
  </si>
  <si>
    <t>13562093</t>
  </si>
  <si>
    <t>2bcfddcb-d9b4-4167-b529-9941454e3ac3</t>
  </si>
  <si>
    <t>27646969531</t>
  </si>
  <si>
    <t>13562095</t>
  </si>
  <si>
    <t>afc40c05-2e23-4f82-a3fe-abd37e911d4c</t>
  </si>
  <si>
    <t>27791389277</t>
  </si>
  <si>
    <t>13562099</t>
  </si>
  <si>
    <t>93b3060d-f286-4f7b-8668-c11e9f8ef3e4</t>
  </si>
  <si>
    <t>27729348898</t>
  </si>
  <si>
    <t>13562083</t>
  </si>
  <si>
    <t>45fd1446-c386-4ebe-89d3-519bf2ef041e</t>
  </si>
  <si>
    <t>2026-03-09 10:46:34</t>
  </si>
  <si>
    <t>27715686001</t>
  </si>
  <si>
    <t>13561466</t>
  </si>
  <si>
    <t>1b47fb59-f0d9-4dc2-aa16-b16e0cba62c3</t>
  </si>
  <si>
    <t>2026-03-09 10:46:26</t>
  </si>
  <si>
    <t>27646779601</t>
  </si>
  <si>
    <t>13561555</t>
  </si>
  <si>
    <t>b396cb16-f339-4d6c-8da5-1d5bc38e9027</t>
  </si>
  <si>
    <t>2026-03-09 10:45:58</t>
  </si>
  <si>
    <t>27712222669</t>
  </si>
  <si>
    <t>13562063</t>
  </si>
  <si>
    <t>6d08b09e-7114-4c8b-8605-4c3a73b44f8c</t>
  </si>
  <si>
    <t>2026-03-09 10:45:28</t>
  </si>
  <si>
    <t>27760351221</t>
  </si>
  <si>
    <t>13562077</t>
  </si>
  <si>
    <t>c6a514a3-8e0e-49ed-b8ef-788406ad6ce6</t>
  </si>
  <si>
    <t>27711159232</t>
  </si>
  <si>
    <t>13562052</t>
  </si>
  <si>
    <t>5ea7c66e-1da6-48c3-83bb-4a98b9ac41e3</t>
  </si>
  <si>
    <t>2026-03-09 10:45:27</t>
  </si>
  <si>
    <t>27713735854</t>
  </si>
  <si>
    <t>13562053</t>
  </si>
  <si>
    <t>8b301cc1-94e9-402c-81f8-ad341d0e51f7</t>
  </si>
  <si>
    <t>27637638024</t>
  </si>
  <si>
    <t>13562059</t>
  </si>
  <si>
    <t>0c9d817d-ecab-46ea-8f16-523661504f75</t>
  </si>
  <si>
    <t>27649786743</t>
  </si>
  <si>
    <t>13562061</t>
  </si>
  <si>
    <t>3c6ef8a3-43a1-4cf6-8769-15643d0337c9</t>
  </si>
  <si>
    <t>27723448948</t>
  </si>
  <si>
    <t>13562044</t>
  </si>
  <si>
    <t>515ffafc-4175-4701-9dc4-6dbcb55291cb</t>
  </si>
  <si>
    <t>2026-03-09 10:45:26</t>
  </si>
  <si>
    <t>27791181089</t>
  </si>
  <si>
    <t>13562048</t>
  </si>
  <si>
    <t>67ed1e46-167c-4ec0-93d0-2bf2627330c2</t>
  </si>
  <si>
    <t>27820661536</t>
  </si>
  <si>
    <t>13562049</t>
  </si>
  <si>
    <t>20bd3e61-baab-41db-941b-11095a232938</t>
  </si>
  <si>
    <t>27661058079</t>
  </si>
  <si>
    <t>13562051</t>
  </si>
  <si>
    <t>5bc99760-a4d9-463e-8a64-e41ebaa450ca</t>
  </si>
  <si>
    <t>27721534647</t>
  </si>
  <si>
    <t>13562042</t>
  </si>
  <si>
    <t>0c0cbcc5-214a-4ab4-b63f-a423fa7037df</t>
  </si>
  <si>
    <t>2026-03-09 10:45:25</t>
  </si>
  <si>
    <t>27727994999</t>
  </si>
  <si>
    <t>13562043</t>
  </si>
  <si>
    <t>f9e9aa24-42c9-4ddb-86b5-c9d70c798a48</t>
  </si>
  <si>
    <t>27724172721</t>
  </si>
  <si>
    <t>13561941</t>
  </si>
  <si>
    <t>5d48beb0-c48e-420e-931d-d78b7a7ec444</t>
  </si>
  <si>
    <t>2026-03-09 10:45:24</t>
  </si>
  <si>
    <t>27648927001</t>
  </si>
  <si>
    <t>13562036</t>
  </si>
  <si>
    <t>2b500e02-bc5f-4051-8e4b-f021888f86a8</t>
  </si>
  <si>
    <t>27665212580</t>
  </si>
  <si>
    <t>13561939</t>
  </si>
  <si>
    <t>3e0a4cbd-73bd-4035-b7ab-acaea2ba2f06</t>
  </si>
  <si>
    <t>2026-03-09 10:45:23</t>
  </si>
  <si>
    <t>27607635244</t>
  </si>
  <si>
    <t>13561931</t>
  </si>
  <si>
    <t>de9f2a30-2a54-4625-8db3-db1773f51c33</t>
  </si>
  <si>
    <t>2026-03-09 10:45:22</t>
  </si>
  <si>
    <t>27724373395</t>
  </si>
  <si>
    <t>13561932</t>
  </si>
  <si>
    <t>f0f24802-3b4e-4c2c-81c1-ec05b5aa8d57</t>
  </si>
  <si>
    <t>27793337837</t>
  </si>
  <si>
    <t>13562354</t>
  </si>
  <si>
    <t>823c5bd3-7f2f-42dd-bc7f-248906d332e2</t>
  </si>
  <si>
    <t>2026-03-09 10:45:21</t>
  </si>
  <si>
    <t>27714793606</t>
  </si>
  <si>
    <t>13562355</t>
  </si>
  <si>
    <t>c0e9ab45-fa15-4a83-8ac2-5d49edd24064</t>
  </si>
  <si>
    <t>27766378477</t>
  </si>
  <si>
    <t>13561924</t>
  </si>
  <si>
    <t>28a8b728-481a-40d4-9e27-f03e7b29f151</t>
  </si>
  <si>
    <t>27728746958</t>
  </si>
  <si>
    <t>13561928</t>
  </si>
  <si>
    <t>a0cf18aa-abb3-4b92-8fda-3511d4bde0eb</t>
  </si>
  <si>
    <t>27768998637</t>
  </si>
  <si>
    <t>13562350</t>
  </si>
  <si>
    <t>81f2bba1-a998-43b0-808d-deee1244ca9b</t>
  </si>
  <si>
    <t>2026-03-09 10:45:20</t>
  </si>
  <si>
    <t>27673258204</t>
  </si>
  <si>
    <t>13562345</t>
  </si>
  <si>
    <t>8b572f7c-492e-4334-94c9-c589193b9118</t>
  </si>
  <si>
    <t>27741874173</t>
  </si>
  <si>
    <t>13562339</t>
  </si>
  <si>
    <t>eaa23711-9622-4420-a063-3ecf130af925</t>
  </si>
  <si>
    <t>2026-03-09 10:45:19</t>
  </si>
  <si>
    <t>27724646518</t>
  </si>
  <si>
    <t>13562310</t>
  </si>
  <si>
    <t>02c8e76d-fa33-4c6c-a374-9aede55ee7c4</t>
  </si>
  <si>
    <t>2026-03-09 10:45:18</t>
  </si>
  <si>
    <t>27799759361</t>
  </si>
  <si>
    <t>13562311</t>
  </si>
  <si>
    <t>4151a0e6-c63a-47aa-820e-722b6fc59dde</t>
  </si>
  <si>
    <t>27606969406</t>
  </si>
  <si>
    <t>13562302</t>
  </si>
  <si>
    <t>3375a140-07b4-411c-83cd-3e395c7d6a98</t>
  </si>
  <si>
    <t>2026-03-09 10:45:14</t>
  </si>
  <si>
    <t>27649950727</t>
  </si>
  <si>
    <t>13562297</t>
  </si>
  <si>
    <t>6826e24f-106d-4b41-ba7a-b3c89d504c72</t>
  </si>
  <si>
    <t>2026-03-09 10:45:09</t>
  </si>
  <si>
    <t>27791452641</t>
  </si>
  <si>
    <t>13562291</t>
  </si>
  <si>
    <t>56197bd4-b9cc-4abe-a9df-1615078b21a0</t>
  </si>
  <si>
    <t>2026-03-09 10:45:07</t>
  </si>
  <si>
    <t>27721386192</t>
  </si>
  <si>
    <t>13562292</t>
  </si>
  <si>
    <t>591ab667-3c16-42c7-ab0e-3f34be04b082</t>
  </si>
  <si>
    <t>27722575374</t>
  </si>
  <si>
    <t>13562279</t>
  </si>
  <si>
    <t>da08affc-3c79-4a72-ba0f-46bb7897af93</t>
  </si>
  <si>
    <t>2026-03-09 10:45:06</t>
  </si>
  <si>
    <t>27715335120</t>
  </si>
  <si>
    <t>13562266</t>
  </si>
  <si>
    <t>d46ae04a-b1c0-4b6e-b402-054752557279</t>
  </si>
  <si>
    <t>2026-03-09 10:45:05</t>
  </si>
  <si>
    <t>27774120895</t>
  </si>
  <si>
    <t>13562270</t>
  </si>
  <si>
    <t>9c0823d6-92a4-4c92-b8ad-d2112ab98d37</t>
  </si>
  <si>
    <t>27713203845</t>
  </si>
  <si>
    <t>13562276</t>
  </si>
  <si>
    <t>9660058b-5a18-41ae-bad7-19eef8f2c8a5</t>
  </si>
  <si>
    <t>27793322256</t>
  </si>
  <si>
    <t>13562277</t>
  </si>
  <si>
    <t>700a2eb1-1a36-4264-b45f-7d66c4ecfdd2</t>
  </si>
  <si>
    <t>27606253667</t>
  </si>
  <si>
    <t>13557598</t>
  </si>
  <si>
    <t>484819bf-468c-4ea3-b346-da3bebf0c5c3</t>
  </si>
  <si>
    <t>2026-03-09 10:45:04</t>
  </si>
  <si>
    <t>27765500126</t>
  </si>
  <si>
    <t>13562263</t>
  </si>
  <si>
    <t>207ec6f8-dfbe-4f31-8165-c60ec13b8d7d</t>
  </si>
  <si>
    <t>27711280698</t>
  </si>
  <si>
    <t>13562278</t>
  </si>
  <si>
    <t>4539e2d3-18c1-470a-b95d-96c4d1e08a58</t>
  </si>
  <si>
    <t>27715304684</t>
  </si>
  <si>
    <t>13561003</t>
  </si>
  <si>
    <t>53362ece-f90e-4e35-b13a-7551ad3edba0</t>
  </si>
  <si>
    <t>2026-03-09 10:45:00</t>
  </si>
  <si>
    <t>27826201650</t>
  </si>
  <si>
    <t>13561674</t>
  </si>
  <si>
    <t>1fdb4475-8dc7-4c60-b154-c6138f503ed6</t>
  </si>
  <si>
    <t>27711839031</t>
  </si>
  <si>
    <t>13560998</t>
  </si>
  <si>
    <t>2db5a495-9d7a-4b76-91f1-3c6ab5c75e6a</t>
  </si>
  <si>
    <t>2026-03-09 10:44:59</t>
  </si>
  <si>
    <t>27712536334</t>
  </si>
  <si>
    <t>13561002</t>
  </si>
  <si>
    <t>890e9b53-9ac7-4576-b1d7-1e1e1733f4b6</t>
  </si>
  <si>
    <t>27766216845</t>
  </si>
  <si>
    <t>13561665</t>
  </si>
  <si>
    <t>d28701df-518b-488d-8128-c3d66932430b</t>
  </si>
  <si>
    <t>27738069076</t>
  </si>
  <si>
    <t>13561667</t>
  </si>
  <si>
    <t>28d672d6-bd90-4fcb-857a-411a37bf597e</t>
  </si>
  <si>
    <t>27797536939</t>
  </si>
  <si>
    <t>13561672</t>
  </si>
  <si>
    <t>a27d8a17-813e-45ac-a900-ae13fe3631ff</t>
  </si>
  <si>
    <t>27665510626</t>
  </si>
  <si>
    <t>13560989</t>
  </si>
  <si>
    <t>11e29b63-c6f4-4183-b3fa-d953ac6925a3</t>
  </si>
  <si>
    <t>2026-03-09 10:44:56</t>
  </si>
  <si>
    <t>27716248637</t>
  </si>
  <si>
    <t>13561657</t>
  </si>
  <si>
    <t>5ed0654b-374b-4f06-b813-225f03d78aba</t>
  </si>
  <si>
    <t>27675675035</t>
  </si>
  <si>
    <t>13560986</t>
  </si>
  <si>
    <t>70fc52cd-7a84-4729-9914-d3d671ffd88a</t>
  </si>
  <si>
    <t>2026-03-09 10:44:55</t>
  </si>
  <si>
    <t>27768775180</t>
  </si>
  <si>
    <t>13560987</t>
  </si>
  <si>
    <t>8612e85b-293d-45b0-898b-b2733bd14a2f</t>
  </si>
  <si>
    <t>27791924239</t>
  </si>
  <si>
    <t>13560990</t>
  </si>
  <si>
    <t>558eef95-f3b6-4c09-a95b-496fb5b4cd61</t>
  </si>
  <si>
    <t>27766818215</t>
  </si>
  <si>
    <t>13561628</t>
  </si>
  <si>
    <t>e708d404-1409-43d5-b015-bb7654d9aa20</t>
  </si>
  <si>
    <t>27715324067</t>
  </si>
  <si>
    <t>13561629</t>
  </si>
  <si>
    <t>133a9f10-1acd-41b8-a881-f9cb6456c9d7</t>
  </si>
  <si>
    <t>27716290164</t>
  </si>
  <si>
    <t>13561633</t>
  </si>
  <si>
    <t>f565ec0c-a480-45d5-b3c8-caebe8a3c254</t>
  </si>
  <si>
    <t>27762753729</t>
  </si>
  <si>
    <t>13561642</t>
  </si>
  <si>
    <t>78f03b2e-ab3a-4659-934a-cfd6435517ec</t>
  </si>
  <si>
    <t>27762338343</t>
  </si>
  <si>
    <t>13561644</t>
  </si>
  <si>
    <t>9ee005b0-d697-4570-acf3-ab39bcbbf3db</t>
  </si>
  <si>
    <t>27716475100</t>
  </si>
  <si>
    <t>13561646</t>
  </si>
  <si>
    <t>dfa6c7ee-effa-4f04-af8a-f05c3ac6b5e0</t>
  </si>
  <si>
    <t>27665757004</t>
  </si>
  <si>
    <t>13561649</t>
  </si>
  <si>
    <t>a5921864-b5f2-4171-b824-5d817beeefb9</t>
  </si>
  <si>
    <t>27826453961</t>
  </si>
  <si>
    <t>13561654</t>
  </si>
  <si>
    <t>85f08f0d-1613-4dc4-a025-4cb61ec37032</t>
  </si>
  <si>
    <t>27818354726</t>
  </si>
  <si>
    <t>13561664</t>
  </si>
  <si>
    <t>07af59bc-b5e2-4db0-9536-ffef6a756761</t>
  </si>
  <si>
    <t>27791728450</t>
  </si>
  <si>
    <t>13561622</t>
  </si>
  <si>
    <t>44702bdf-0a9f-4512-8214-7b9c47c2c38a</t>
  </si>
  <si>
    <t>2026-03-09 10:44:54</t>
  </si>
  <si>
    <t>27797487153</t>
  </si>
  <si>
    <t>13561627</t>
  </si>
  <si>
    <t>b4bf674f-b69c-4b46-b51d-b6c645e9726a</t>
  </si>
  <si>
    <t>27664383620</t>
  </si>
  <si>
    <t>13561605</t>
  </si>
  <si>
    <t>daba02a8-85a5-42d3-b738-65083618a990</t>
  </si>
  <si>
    <t>2026-03-09 10:44:52</t>
  </si>
  <si>
    <t>27794098351</t>
  </si>
  <si>
    <t>13561606</t>
  </si>
  <si>
    <t>8f08bf2e-addc-4777-b232-10375e3289f3</t>
  </si>
  <si>
    <t>27796419603</t>
  </si>
  <si>
    <t>13561612</t>
  </si>
  <si>
    <t>c700634e-5316-49c1-a838-40b1a09c7b36</t>
  </si>
  <si>
    <t>27792771857</t>
  </si>
  <si>
    <t>13561616</t>
  </si>
  <si>
    <t>21884255-0ab5-4953-a794-9f5ce01a7c32</t>
  </si>
  <si>
    <t>27712780133</t>
  </si>
  <si>
    <t>13561621</t>
  </si>
  <si>
    <t>ada1cce7-ffe4-4bc5-832f-97533b26f2be</t>
  </si>
  <si>
    <t>27662826050</t>
  </si>
  <si>
    <t>13561602</t>
  </si>
  <si>
    <t>8333de9d-9e81-425e-9a34-c5b4eedd54bc</t>
  </si>
  <si>
    <t>2026-03-09 10:44:46</t>
  </si>
  <si>
    <t>27762775310</t>
  </si>
  <si>
    <t>13561604</t>
  </si>
  <si>
    <t>750c7dd1-dcd4-4fc2-97fe-6a8bd4352329</t>
  </si>
  <si>
    <t>27665955342</t>
  </si>
  <si>
    <t>13561592</t>
  </si>
  <si>
    <t>319b1d93-6312-40d6-a914-c71ea57906e1</t>
  </si>
  <si>
    <t>27724721316</t>
  </si>
  <si>
    <t>13561563</t>
  </si>
  <si>
    <t>6ae82965-7357-4fc2-a237-1f20576e81f0</t>
  </si>
  <si>
    <t>2026-03-09 10:44:45</t>
  </si>
  <si>
    <t>27768424965</t>
  </si>
  <si>
    <t>13561565</t>
  </si>
  <si>
    <t>826b5130-6ad6-475e-acf0-8522ad2261d4</t>
  </si>
  <si>
    <t>27673541455</t>
  </si>
  <si>
    <t>13561568</t>
  </si>
  <si>
    <t>4c70c556-f80c-43de-95b8-eb1341e512f3</t>
  </si>
  <si>
    <t>27606419944</t>
  </si>
  <si>
    <t>13561569</t>
  </si>
  <si>
    <t>29291e9e-408c-4ac0-b04a-1f71b7372233</t>
  </si>
  <si>
    <t>27715873597</t>
  </si>
  <si>
    <t>13563491</t>
  </si>
  <si>
    <t>874185e6-8eca-474d-924f-033b53344e26</t>
  </si>
  <si>
    <t>2026-03-09 10:44:42</t>
  </si>
  <si>
    <t>27769101427</t>
  </si>
  <si>
    <t>13563419</t>
  </si>
  <si>
    <t>716f9024-1ae3-4353-9a14-6f3a7fdcd613</t>
  </si>
  <si>
    <t>2026-03-09 10:44:40</t>
  </si>
  <si>
    <t>27711243510</t>
  </si>
  <si>
    <t>13563421</t>
  </si>
  <si>
    <t>bcd1e31b-cd15-4eba-8ce8-08d8cf32ea93</t>
  </si>
  <si>
    <t>27714496757</t>
  </si>
  <si>
    <t>13563413</t>
  </si>
  <si>
    <t>ba92c79f-62ac-450d-a2b1-40739cfedd5a</t>
  </si>
  <si>
    <t>2026-03-09 10:44:39</t>
  </si>
  <si>
    <t>27646998704</t>
  </si>
  <si>
    <t>13563414</t>
  </si>
  <si>
    <t>b9239366-8c71-41a0-80f1-fc1c80cbd250</t>
  </si>
  <si>
    <t>27647743452</t>
  </si>
  <si>
    <t>13563418</t>
  </si>
  <si>
    <t>261904c2-5f2e-43f6-a396-a23f3c707565</t>
  </si>
  <si>
    <t>27724429828</t>
  </si>
  <si>
    <t>13563409</t>
  </si>
  <si>
    <t>eaa01f99-f334-4614-81bb-d4394a8f1271</t>
  </si>
  <si>
    <t>2026-03-09 10:44:16</t>
  </si>
  <si>
    <t>27768852013</t>
  </si>
  <si>
    <t>13563411</t>
  </si>
  <si>
    <t>d8499b3f-f8e5-44a8-893a-d7ac67f63d36</t>
  </si>
  <si>
    <t>27665001027</t>
  </si>
  <si>
    <t>13563398</t>
  </si>
  <si>
    <t>a5572fcd-c450-4657-8bc4-08f0888d6766</t>
  </si>
  <si>
    <t>2026-03-09 10:44:15</t>
  </si>
  <si>
    <t>27766602909</t>
  </si>
  <si>
    <t>13563403</t>
  </si>
  <si>
    <t>1e9b89fc-9db5-460c-8dfb-3ed0c3bed3e2</t>
  </si>
  <si>
    <t>27763936773</t>
  </si>
  <si>
    <t>13562559</t>
  </si>
  <si>
    <t>25936496-9413-4309-8f14-3cedaeb60539</t>
  </si>
  <si>
    <t>2026-03-09 10:44:13</t>
  </si>
  <si>
    <t>27675446134</t>
  </si>
  <si>
    <t>13562562</t>
  </si>
  <si>
    <t>2d8a59dc-a916-4a2d-ac0f-f4f2b3ed098b</t>
  </si>
  <si>
    <t>27660273548</t>
  </si>
  <si>
    <t>13562571</t>
  </si>
  <si>
    <t>71945959-492a-4706-8026-1d3917a81083</t>
  </si>
  <si>
    <t>27637036982</t>
  </si>
  <si>
    <t>13562580</t>
  </si>
  <si>
    <t>764c0b9f-3bb9-421b-9954-372acfcae3f1</t>
  </si>
  <si>
    <t>27726703010</t>
  </si>
  <si>
    <t>13562767</t>
  </si>
  <si>
    <t>9203d775-c891-4506-ac58-61f9cfa56b53</t>
  </si>
  <si>
    <t>27712084224</t>
  </si>
  <si>
    <t>13563380</t>
  </si>
  <si>
    <t>8250c4be-2aba-4ac5-ab5f-3490bb1cfdbd</t>
  </si>
  <si>
    <t>27726434553</t>
  </si>
  <si>
    <t>13563666</t>
  </si>
  <si>
    <t>fc0d5c4b-098e-419b-9b97-c3ba3f299096</t>
  </si>
  <si>
    <t>Zandile Matlou</t>
  </si>
  <si>
    <t>27721826508</t>
  </si>
  <si>
    <t>13562396</t>
  </si>
  <si>
    <t>610e0e73-0c1c-4a8b-bbeb-2efdb3468982</t>
  </si>
  <si>
    <t>2026-03-09 10:44:12</t>
  </si>
  <si>
    <t>27724518305</t>
  </si>
  <si>
    <t>13562387</t>
  </si>
  <si>
    <t>91dd40ef-eb30-43c9-98c8-e70f8c0592da</t>
  </si>
  <si>
    <t>27723426865</t>
  </si>
  <si>
    <t>13562528</t>
  </si>
  <si>
    <t>ddaf783c-01cb-4d44-b380-0196cb062774</t>
  </si>
  <si>
    <t>27665696379</t>
  </si>
  <si>
    <t>13562371</t>
  </si>
  <si>
    <t>e5453e37-ef81-4d53-936b-a043ac236193</t>
  </si>
  <si>
    <t>2026-03-09 10:44:11</t>
  </si>
  <si>
    <t>27791230393</t>
  </si>
  <si>
    <t>13562380</t>
  </si>
  <si>
    <t>18baae6a-2133-4075-a0d6-e381ccab674e</t>
  </si>
  <si>
    <t>27728444918</t>
  </si>
  <si>
    <t>13562383</t>
  </si>
  <si>
    <t>6fbe6713-fa04-4349-b6e1-93faad576503</t>
  </si>
  <si>
    <t>27767229205</t>
  </si>
  <si>
    <t>13562386</t>
  </si>
  <si>
    <t>f4720b42-b2f8-4729-8e42-a387ef0e9d04</t>
  </si>
  <si>
    <t>27762568069</t>
  </si>
  <si>
    <t>13564008</t>
  </si>
  <si>
    <t>3e311f47-4822-41d7-8299-e46d00a3e635</t>
  </si>
  <si>
    <t>2026-03-09 10:44:10</t>
  </si>
  <si>
    <t>27769985993</t>
  </si>
  <si>
    <t>13564013</t>
  </si>
  <si>
    <t>cb5d332c-7d11-4c25-8df9-8b08ee1e5c40</t>
  </si>
  <si>
    <t>27724007673</t>
  </si>
  <si>
    <t>13564017</t>
  </si>
  <si>
    <t>5a6280f1-a4ed-46bf-ae29-1c600e52cdc7</t>
  </si>
  <si>
    <t>27723817534</t>
  </si>
  <si>
    <t>13564026</t>
  </si>
  <si>
    <t>fb35d488-b61f-488a-a0d8-9dd3dd01cd44</t>
  </si>
  <si>
    <t>27764255372</t>
  </si>
  <si>
    <t>13564030</t>
  </si>
  <si>
    <t>4e094c97-9b10-452b-bbc6-2a72ed4c0699</t>
  </si>
  <si>
    <t>27728157501</t>
  </si>
  <si>
    <t>13564032</t>
  </si>
  <si>
    <t>54cb7352-d347-4a6a-b0ab-07b499dc95ea</t>
  </si>
  <si>
    <t>27711922789</t>
  </si>
  <si>
    <t>13562363</t>
  </si>
  <si>
    <t>b2669c45-4ec4-4fed-a8fd-7163cde34b6f</t>
  </si>
  <si>
    <t>27648077825</t>
  </si>
  <si>
    <t>13562369</t>
  </si>
  <si>
    <t>6adcbc6f-adb9-4663-a018-7eba6f7403c3</t>
  </si>
  <si>
    <t>27765810799</t>
  </si>
  <si>
    <t>13563991</t>
  </si>
  <si>
    <t>9ea96239-9909-44fd-b402-30dbbb9f3c3a</t>
  </si>
  <si>
    <t>2026-03-09 10:44:09</t>
  </si>
  <si>
    <t>27729005968</t>
  </si>
  <si>
    <t>13564003</t>
  </si>
  <si>
    <t>6db4b599-22c3-4427-979a-414ced20542e</t>
  </si>
  <si>
    <t>27712065422</t>
  </si>
  <si>
    <t>13563978</t>
  </si>
  <si>
    <t>2fe8afed-eeee-40dc-a132-4a696bc721c2</t>
  </si>
  <si>
    <t>2026-03-09 10:44:08</t>
  </si>
  <si>
    <t>27637924822</t>
  </si>
  <si>
    <t>13563979</t>
  </si>
  <si>
    <t>7b180f6b-28b1-4653-8316-7b0b08e5462e</t>
  </si>
  <si>
    <t>27647277503</t>
  </si>
  <si>
    <t>13563981</t>
  </si>
  <si>
    <t>b5b16ed5-69b6-43fb-b220-634cc0900b4e</t>
  </si>
  <si>
    <t>27760773599</t>
  </si>
  <si>
    <t>13563990</t>
  </si>
  <si>
    <t>8ee4acf5-bebe-4ba7-8fe8-b4116198b299</t>
  </si>
  <si>
    <t>27715744739</t>
  </si>
  <si>
    <t>13563964</t>
  </si>
  <si>
    <t>7da1af07-f79e-4262-8751-960c4693f595</t>
  </si>
  <si>
    <t>27724714871</t>
  </si>
  <si>
    <t>13563960</t>
  </si>
  <si>
    <t>2aeba180-c2a8-4f09-8503-80dd6f047a14</t>
  </si>
  <si>
    <t>2026-03-09 10:44:03</t>
  </si>
  <si>
    <t>27773904400</t>
  </si>
  <si>
    <t>13563954</t>
  </si>
  <si>
    <t>42562938-08ae-4587-a542-1de524377ec6</t>
  </si>
  <si>
    <t>2026-03-09 10:44:01</t>
  </si>
  <si>
    <t>27711577635</t>
  </si>
  <si>
    <t>13563955</t>
  </si>
  <si>
    <t>5dca3144-8ed9-48e8-a5da-b504ff3eef11</t>
  </si>
  <si>
    <t>27767302964</t>
  </si>
  <si>
    <t>13563957</t>
  </si>
  <si>
    <t>97d6afae-6a9f-425b-819b-e2c94be1bda2</t>
  </si>
  <si>
    <t>27607312923</t>
  </si>
  <si>
    <t>13563867</t>
  </si>
  <si>
    <t>1022097c-03d8-488b-8709-63953c9f5d73</t>
  </si>
  <si>
    <t>2026-03-09 10:43:53</t>
  </si>
  <si>
    <t>27720615555</t>
  </si>
  <si>
    <t>13561506</t>
  </si>
  <si>
    <t>0d3d072f-da99-4376-8ce4-0557eed7af03</t>
  </si>
  <si>
    <t>2026-03-09 10:43:52</t>
  </si>
  <si>
    <t>27722396830</t>
  </si>
  <si>
    <t>13561561</t>
  </si>
  <si>
    <t>41ca657d-3ee0-4a3d-8edc-bcf508610c63</t>
  </si>
  <si>
    <t>2026-03-09 10:43:43</t>
  </si>
  <si>
    <t>27721436533</t>
  </si>
  <si>
    <t>13561557</t>
  </si>
  <si>
    <t>a8319f06-2c73-4016-ad21-fda865791c87</t>
  </si>
  <si>
    <t>2026-03-09 10:43:41</t>
  </si>
  <si>
    <t>27760719758</t>
  </si>
  <si>
    <t>13561559</t>
  </si>
  <si>
    <t>80c75742-8f1c-41b5-ab35-7c2b8621b4ea</t>
  </si>
  <si>
    <t>27637647402</t>
  </si>
  <si>
    <t>13561556</t>
  </si>
  <si>
    <t>8e8f0d40-d5d4-4b46-ad94-75bb2774aef2</t>
  </si>
  <si>
    <t>2026-03-09 10:43:40</t>
  </si>
  <si>
    <t>27726553514</t>
  </si>
  <si>
    <t>13562523</t>
  </si>
  <si>
    <t>18b05d33-3ce9-476b-b3a0-48785fc554da</t>
  </si>
  <si>
    <t>2026-03-09 10:43:28</t>
  </si>
  <si>
    <t>27763915564</t>
  </si>
  <si>
    <t>13562490</t>
  </si>
  <si>
    <t>63c8dc2b-1e0c-4e90-9df0-334a4d183625</t>
  </si>
  <si>
    <t>2026-03-09 10:43:27</t>
  </si>
  <si>
    <t>27647703480</t>
  </si>
  <si>
    <t>13562492</t>
  </si>
  <si>
    <t>897dcb03-3f7a-4abc-b93c-9ce2df4539cf</t>
  </si>
  <si>
    <t>27768903207</t>
  </si>
  <si>
    <t>13562505</t>
  </si>
  <si>
    <t>bd4b4a3b-3e16-49e8-8e0b-f81f482b0973</t>
  </si>
  <si>
    <t>27608260318</t>
  </si>
  <si>
    <t>13562513</t>
  </si>
  <si>
    <t>cb04b0ab-a1a9-4958-aac1-faabd6e35d2a</t>
  </si>
  <si>
    <t>27712645928</t>
  </si>
  <si>
    <t>13562514</t>
  </si>
  <si>
    <t>448f9815-eddd-4247-80ae-82058e2894a3</t>
  </si>
  <si>
    <t>27765376700</t>
  </si>
  <si>
    <t>13562489</t>
  </si>
  <si>
    <t>83ae9fac-b62c-4be9-84ea-a7391ce94e1c</t>
  </si>
  <si>
    <t>2026-03-09 10:43:26</t>
  </si>
  <si>
    <t>27720781255</t>
  </si>
  <si>
    <t>13562469</t>
  </si>
  <si>
    <t>3c993168-e11a-4e88-8a99-6c5166259a3e</t>
  </si>
  <si>
    <t>27763544857</t>
  </si>
  <si>
    <t>13562463</t>
  </si>
  <si>
    <t>3a25a3c0-7f09-48b9-8f49-15baa763da2b</t>
  </si>
  <si>
    <t>2026-03-09 10:43:24</t>
  </si>
  <si>
    <t>27715133673</t>
  </si>
  <si>
    <t>13562462</t>
  </si>
  <si>
    <t>8d08c310-2027-4632-afbc-9c37d4813a29</t>
  </si>
  <si>
    <t>2026-03-09 10:43:23</t>
  </si>
  <si>
    <t>27760212227</t>
  </si>
  <si>
    <t>13562443</t>
  </si>
  <si>
    <t>c04cf9b6-f516-49fb-a729-cc1cd85e0dcb</t>
  </si>
  <si>
    <t>2026-03-09 10:43:22</t>
  </si>
  <si>
    <t>27761087952</t>
  </si>
  <si>
    <t>13562435</t>
  </si>
  <si>
    <t>d312ec22-0ed2-4ae8-957d-56e21bbdb9cd</t>
  </si>
  <si>
    <t>2026-03-09 10:43:21</t>
  </si>
  <si>
    <t>27727225453</t>
  </si>
  <si>
    <t>13562430</t>
  </si>
  <si>
    <t>4fba0b89-f69a-4345-b715-2099ceba8fa9</t>
  </si>
  <si>
    <t>2026-03-09 10:43:20</t>
  </si>
  <si>
    <t>27649525222</t>
  </si>
  <si>
    <t>13562427</t>
  </si>
  <si>
    <t>f783e94f-e086-421c-a055-289be1099f32</t>
  </si>
  <si>
    <t>2026-03-09 10:43:18</t>
  </si>
  <si>
    <t>27790433418</t>
  </si>
  <si>
    <t>13562429</t>
  </si>
  <si>
    <t>7c3866bf-3246-44b1-ae96-fa9c4108d1da</t>
  </si>
  <si>
    <t>27725997628</t>
  </si>
  <si>
    <t>13562400</t>
  </si>
  <si>
    <t>eeca7452-fc6f-4a27-bf23-8f203d7c3843</t>
  </si>
  <si>
    <t>2026-03-09 10:43:04</t>
  </si>
  <si>
    <t>27720384144</t>
  </si>
  <si>
    <t>13562405</t>
  </si>
  <si>
    <t>19cdfe6a-f189-4411-a011-32278ff08b5d</t>
  </si>
  <si>
    <t>27648036192</t>
  </si>
  <si>
    <t>13562422</t>
  </si>
  <si>
    <t>1e097f5d-ff42-432d-b4cc-e7f686970e91</t>
  </si>
  <si>
    <t>27648068310</t>
  </si>
  <si>
    <t>13562423</t>
  </si>
  <si>
    <t>39df080a-ca0b-484f-9f9a-d80bcc374cb1</t>
  </si>
  <si>
    <t>27764610969</t>
  </si>
  <si>
    <t>13562424</t>
  </si>
  <si>
    <t>08d261c6-f3c4-46cf-be8b-6555ca45eb30</t>
  </si>
  <si>
    <t>27765505139</t>
  </si>
  <si>
    <t>13555556</t>
  </si>
  <si>
    <t>73d28d95-c00c-470c-8f1f-131f2cfa5ea2</t>
  </si>
  <si>
    <t>2026-03-09 10:42:52</t>
  </si>
  <si>
    <t>27711495764</t>
  </si>
  <si>
    <t>13561689</t>
  </si>
  <si>
    <t>4e1ea81f-e8e4-4150-8b7d-feac52d09ab7</t>
  </si>
  <si>
    <t>27607228704</t>
  </si>
  <si>
    <t>13562397</t>
  </si>
  <si>
    <t>947caf87-a7b5-4a6f-87ab-bb9788bd9a43</t>
  </si>
  <si>
    <t>27761998782</t>
  </si>
  <si>
    <t>13561322</t>
  </si>
  <si>
    <t>e70e4091-4fdb-4b30-b105-a01b2755831f</t>
  </si>
  <si>
    <t>2026-03-09 10:42:43</t>
  </si>
  <si>
    <t>27715387929</t>
  </si>
  <si>
    <t>13561323</t>
  </si>
  <si>
    <t>bb0e4b12-985a-485c-abd2-7baab3da6b18</t>
  </si>
  <si>
    <t>27715994824</t>
  </si>
  <si>
    <t>13561309</t>
  </si>
  <si>
    <t>65ab5bbb-7a08-44c5-abbe-1cef5cb9a209</t>
  </si>
  <si>
    <t>2026-03-09 10:42:42</t>
  </si>
  <si>
    <t>27607954615</t>
  </si>
  <si>
    <t>13561312</t>
  </si>
  <si>
    <t>db32347b-1aa1-4f0f-81ab-6e988742e8a9</t>
  </si>
  <si>
    <t>27660101388</t>
  </si>
  <si>
    <t>13561321</t>
  </si>
  <si>
    <t>3c7f99a8-6abe-4e72-91fb-4ef64b149f68</t>
  </si>
  <si>
    <t>27726907726</t>
  </si>
  <si>
    <t>13561308</t>
  </si>
  <si>
    <t>2a2806ec-228a-48d4-ba74-d09632dd2a1b</t>
  </si>
  <si>
    <t>2026-03-09 10:42:41</t>
  </si>
  <si>
    <t>27729019653</t>
  </si>
  <si>
    <t>13561303</t>
  </si>
  <si>
    <t>7a26ab65-d362-438a-8d5c-857d50dc8151</t>
  </si>
  <si>
    <t>2026-03-09 10:42:36</t>
  </si>
  <si>
    <t>27607064531</t>
  </si>
  <si>
    <t>13561296</t>
  </si>
  <si>
    <t>233a1054-4b60-4805-a33a-3c727219c21b</t>
  </si>
  <si>
    <t>2026-03-09 10:42:34</t>
  </si>
  <si>
    <t>27713905016</t>
  </si>
  <si>
    <t>13561300</t>
  </si>
  <si>
    <t>ff0b4423-7e66-4f70-9034-8701b9e8e235</t>
  </si>
  <si>
    <t>27607446009</t>
  </si>
  <si>
    <t>13561915</t>
  </si>
  <si>
    <t>2da63093-4399-42bd-900c-aebad5e4af1f</t>
  </si>
  <si>
    <t>2026-03-09 10:42:32</t>
  </si>
  <si>
    <t>27792552038</t>
  </si>
  <si>
    <t>13563370</t>
  </si>
  <si>
    <t>d14218f4-5d10-45ad-956e-cb77b40b245f</t>
  </si>
  <si>
    <t>2026-03-09 10:42:26</t>
  </si>
  <si>
    <t>27722171048</t>
  </si>
  <si>
    <t>13563350</t>
  </si>
  <si>
    <t>84c8d30d-35e2-4700-8add-6e11831035a6</t>
  </si>
  <si>
    <t>27609274337</t>
  </si>
  <si>
    <t>13563353</t>
  </si>
  <si>
    <t>705b0453-9f41-4fb8-bcd7-0122966aaa9c</t>
  </si>
  <si>
    <t>27647020944</t>
  </si>
  <si>
    <t>13562837</t>
  </si>
  <si>
    <t>f600a618-dea3-4d58-b16d-7aaf9d1e330f</t>
  </si>
  <si>
    <t>2026-03-09 10:42:25</t>
  </si>
  <si>
    <t>27729034083</t>
  </si>
  <si>
    <t>13562839</t>
  </si>
  <si>
    <t>133535f2-e741-4da1-b24f-25aa4b276470</t>
  </si>
  <si>
    <t>27723512859</t>
  </si>
  <si>
    <t>13563371</t>
  </si>
  <si>
    <t>3a544d95-f112-4867-8dab-98ee79ec81dc</t>
  </si>
  <si>
    <t>27727930598</t>
  </si>
  <si>
    <t>13563376</t>
  </si>
  <si>
    <t>2e319a64-dd98-4dff-845a-34699533aafe</t>
  </si>
  <si>
    <t>27721911188</t>
  </si>
  <si>
    <t>13563337</t>
  </si>
  <si>
    <t>68222b9e-0013-4faf-8572-5c6a41efdd7b</t>
  </si>
  <si>
    <t>27729951589</t>
  </si>
  <si>
    <t>13562827</t>
  </si>
  <si>
    <t>3f97c390-4c64-4f83-881f-7312eab6f702</t>
  </si>
  <si>
    <t>2026-03-09 10:42:24</t>
  </si>
  <si>
    <t>27768548252</t>
  </si>
  <si>
    <t>13562754</t>
  </si>
  <si>
    <t>19742aca-a640-4ab3-9b59-81c767582faa</t>
  </si>
  <si>
    <t>2026-03-09 10:42:07</t>
  </si>
  <si>
    <t>27723262034</t>
  </si>
  <si>
    <t>13562825</t>
  </si>
  <si>
    <t>ff6886ec-5f73-4b2f-b92e-1816884c2be1</t>
  </si>
  <si>
    <t>2026-03-09 10:42:00</t>
  </si>
  <si>
    <t>27729961908</t>
  </si>
  <si>
    <t>13562824</t>
  </si>
  <si>
    <t>1c0fc2d1-d19e-41fa-addf-c269452c4b36</t>
  </si>
  <si>
    <t>2026-03-09 10:41:57</t>
  </si>
  <si>
    <t>27609494158</t>
  </si>
  <si>
    <t>13562807</t>
  </si>
  <si>
    <t>b5eefd38-d6f2-4b59-9ab5-e38f4be08ebb</t>
  </si>
  <si>
    <t>2026-03-09 10:41:56</t>
  </si>
  <si>
    <t>27648944279</t>
  </si>
  <si>
    <t>13562813</t>
  </si>
  <si>
    <t>21ba4e3a-a5a2-4ffd-8b52-ec77f3838439</t>
  </si>
  <si>
    <t>27673002454</t>
  </si>
  <si>
    <t>13562820</t>
  </si>
  <si>
    <t>f6afe826-af95-485b-827c-b8764aaa5444</t>
  </si>
  <si>
    <t>27774432820</t>
  </si>
  <si>
    <t>13562784</t>
  </si>
  <si>
    <t>71e29a9b-82f5-4de8-a5e4-a693054b86c2</t>
  </si>
  <si>
    <t>2026-03-09 10:41:55</t>
  </si>
  <si>
    <t>27763014422</t>
  </si>
  <si>
    <t>13562790</t>
  </si>
  <si>
    <t>53b12412-f690-4366-b1c9-2cabd455b36c</t>
  </si>
  <si>
    <t>27608073128</t>
  </si>
  <si>
    <t>13562799</t>
  </si>
  <si>
    <t>285dc6d8-1d92-46c5-8ba9-9c5791f5125b</t>
  </si>
  <si>
    <t>27674356431</t>
  </si>
  <si>
    <t>13562772</t>
  </si>
  <si>
    <t>1741b35b-99c4-40d1-865b-6b8093c91bc7</t>
  </si>
  <si>
    <t>27636371855</t>
  </si>
  <si>
    <t>13562802</t>
  </si>
  <si>
    <t>9b45c6a8-3efc-402e-b2a2-e4526b0eaff9</t>
  </si>
  <si>
    <t>27729192633</t>
  </si>
  <si>
    <t>13562768</t>
  </si>
  <si>
    <t>fee86d70-7d6d-4a58-9c91-bd552b31f5c8</t>
  </si>
  <si>
    <t>2026-03-09 10:41:54</t>
  </si>
  <si>
    <t>27716196571</t>
  </si>
  <si>
    <t>13562770</t>
  </si>
  <si>
    <t>5767050d-00aa-457a-b628-d32cfdf85e45</t>
  </si>
  <si>
    <t>27767199220</t>
  </si>
  <si>
    <t>13564774</t>
  </si>
  <si>
    <t>e4ad9e86-c0d8-4ef5-b96e-88fcf674ea44</t>
  </si>
  <si>
    <t>27607192684</t>
  </si>
  <si>
    <t>13561828</t>
  </si>
  <si>
    <t>d98dcfba-cc41-4552-954b-cb0e8cfbff86</t>
  </si>
  <si>
    <t>2026-03-09 10:41:53</t>
  </si>
  <si>
    <t>27766365690</t>
  </si>
  <si>
    <t>13562331</t>
  </si>
  <si>
    <t>0243cc73-a173-424c-9740-c5eb0b276a71</t>
  </si>
  <si>
    <t>2026-03-09 10:41:40</t>
  </si>
  <si>
    <t>27796555677</t>
  </si>
  <si>
    <t>13562337</t>
  </si>
  <si>
    <t>f43d07c5-9a87-4d6d-808e-3864f9dad84e</t>
  </si>
  <si>
    <t>27715475571</t>
  </si>
  <si>
    <t>13563953</t>
  </si>
  <si>
    <t>183eeb57-b761-4a0d-961c-f1a85ee25678</t>
  </si>
  <si>
    <t>27762252039</t>
  </si>
  <si>
    <t>13562758</t>
  </si>
  <si>
    <t>3185a64a-e04f-4343-882d-b8d14dfc1bc6</t>
  </si>
  <si>
    <t>27720254169</t>
  </si>
  <si>
    <t>13562762</t>
  </si>
  <si>
    <t>4fd01e50-3e97-4467-a932-4a6ac4e471eb</t>
  </si>
  <si>
    <t>27646220860</t>
  </si>
  <si>
    <t>13563949</t>
  </si>
  <si>
    <t>8fde1e0c-2cd5-48f8-94b1-5ac64dc9308b</t>
  </si>
  <si>
    <t>2026-03-09 10:41:39</t>
  </si>
  <si>
    <t>27727822316</t>
  </si>
  <si>
    <t>13562757</t>
  </si>
  <si>
    <t>a193fe52-6fa5-4521-9122-9fde6780a5d1</t>
  </si>
  <si>
    <t>27664580873</t>
  </si>
  <si>
    <t>13562326</t>
  </si>
  <si>
    <t>d4205e72-d947-4344-a228-21beef32e398</t>
  </si>
  <si>
    <t>2026-03-09 10:41:36</t>
  </si>
  <si>
    <t>27725044069</t>
  </si>
  <si>
    <t>13563948</t>
  </si>
  <si>
    <t>1ecc494a-93f6-4048-93ce-cadb82d4ba62</t>
  </si>
  <si>
    <t>27714192990</t>
  </si>
  <si>
    <t>13563934</t>
  </si>
  <si>
    <t>04892cf0-b822-4615-b714-00aa454aec97</t>
  </si>
  <si>
    <t>2026-03-09 10:41:35</t>
  </si>
  <si>
    <t>27791245486</t>
  </si>
  <si>
    <t>13562748</t>
  </si>
  <si>
    <t>8e70277e-abbc-4e59-ad83-e41ca6090124</t>
  </si>
  <si>
    <t>27712326144</t>
  </si>
  <si>
    <t>13563918</t>
  </si>
  <si>
    <t>52f943a0-ee79-4ab5-881e-827e00c7270d</t>
  </si>
  <si>
    <t>2026-03-09 10:41:34</t>
  </si>
  <si>
    <t>27715691380</t>
  </si>
  <si>
    <t>13563920</t>
  </si>
  <si>
    <t>e6cd5e5d-378a-497f-9239-40ec0cd504d2</t>
  </si>
  <si>
    <t>TSONGA</t>
  </si>
  <si>
    <t>2026-03-04 09:20:25</t>
  </si>
  <si>
    <t>27723901089</t>
  </si>
  <si>
    <t>13563928</t>
  </si>
  <si>
    <t>5589b457-c507-4d78-ae2d-a22b97dcf063</t>
  </si>
  <si>
    <t>27769091302</t>
  </si>
  <si>
    <t>13562726</t>
  </si>
  <si>
    <t>d3ab92ff-0a68-49c6-aed9-9102f805f23c</t>
  </si>
  <si>
    <t>27608847282</t>
  </si>
  <si>
    <t>13562728</t>
  </si>
  <si>
    <t>8e026b10-ea01-4334-a5f1-2faab896e2d3</t>
  </si>
  <si>
    <t>27728687275</t>
  </si>
  <si>
    <t>13562740</t>
  </si>
  <si>
    <t>a6547ce9-4e5e-44f1-85f4-974382ae99e4</t>
  </si>
  <si>
    <t>27769141964</t>
  </si>
  <si>
    <t>13563911</t>
  </si>
  <si>
    <t>cc8c5772-25a0-49b6-bf2f-0dab0cf41e3d</t>
  </si>
  <si>
    <t>2026-03-09 10:41:33</t>
  </si>
  <si>
    <t>27648598048</t>
  </si>
  <si>
    <t>13562720</t>
  </si>
  <si>
    <t>f13a165e-b863-41a7-8b57-62f2ee2f23ee</t>
  </si>
  <si>
    <t>27725267175</t>
  </si>
  <si>
    <t>13555552</t>
  </si>
  <si>
    <t>f758ca07-497a-467f-8bf1-59f2975dda8b</t>
  </si>
  <si>
    <t>2026-03-09 10:41:31</t>
  </si>
  <si>
    <t>27711425182</t>
  </si>
  <si>
    <t>13555557</t>
  </si>
  <si>
    <t>7371556d-230a-4b51-b3d6-c8c5b416afe9</t>
  </si>
  <si>
    <t>27711502250</t>
  </si>
  <si>
    <t>13555537</t>
  </si>
  <si>
    <t>e6c1f3c1-2126-4743-a3c8-cc1d53e054ca</t>
  </si>
  <si>
    <t>2026-03-09 10:41:29</t>
  </si>
  <si>
    <t>27711234865</t>
  </si>
  <si>
    <t>13555540</t>
  </si>
  <si>
    <t>63b6ae7c-8b34-4c27-8e77-d20706b3529d</t>
  </si>
  <si>
    <t>27711295967</t>
  </si>
  <si>
    <t>13564353</t>
  </si>
  <si>
    <t>b971e69e-b8ec-4231-98ee-34f47d4f44af</t>
  </si>
  <si>
    <t>2026-03-09 10:41:28</t>
  </si>
  <si>
    <t>27729755657</t>
  </si>
  <si>
    <t>13564354</t>
  </si>
  <si>
    <t>7a7f2850-be21-4457-9d07-35674dac1873</t>
  </si>
  <si>
    <t>27760974623</t>
  </si>
  <si>
    <t>13564192</t>
  </si>
  <si>
    <t>bf0f7a74-2fdb-445e-8e2c-790727b31784</t>
  </si>
  <si>
    <t>2026-03-09 10:41:27</t>
  </si>
  <si>
    <t>27728302932</t>
  </si>
  <si>
    <t>13564203</t>
  </si>
  <si>
    <t>e35c154f-c78a-4471-a37d-17491a19439b</t>
  </si>
  <si>
    <t>27712144100</t>
  </si>
  <si>
    <t>13564351</t>
  </si>
  <si>
    <t>2c11fe7a-470a-4869-acd9-bcc60955947c</t>
  </si>
  <si>
    <t>27721106186</t>
  </si>
  <si>
    <t>13564344</t>
  </si>
  <si>
    <t>e8e17d7c-9864-4de4-9592-f03d30ec39c6</t>
  </si>
  <si>
    <t>27720887937</t>
  </si>
  <si>
    <t>13564164</t>
  </si>
  <si>
    <t>9efce959-2788-499f-907b-e39436f70880</t>
  </si>
  <si>
    <t>2026-03-09 10:41:24</t>
  </si>
  <si>
    <t>27763134076</t>
  </si>
  <si>
    <t>13564167</t>
  </si>
  <si>
    <t>1002c469-e8f9-4325-8b64-865d0fdbaae6</t>
  </si>
  <si>
    <t>27714865056</t>
  </si>
  <si>
    <t>13564175</t>
  </si>
  <si>
    <t>fb6de524-c205-401e-9dd4-d92f191d12ed</t>
  </si>
  <si>
    <t>27663160415</t>
  </si>
  <si>
    <t>13564162</t>
  </si>
  <si>
    <t>05c712bc-1879-4e1e-bf58-0a10d7eae50a</t>
  </si>
  <si>
    <t>2026-03-09 10:41:23</t>
  </si>
  <si>
    <t>27764028979</t>
  </si>
  <si>
    <t>13564174</t>
  </si>
  <si>
    <t>13c785e0-29e6-44c6-b45c-4414bd88121b</t>
  </si>
  <si>
    <t>27724323127</t>
  </si>
  <si>
    <t>13564151</t>
  </si>
  <si>
    <t>36c47045-b42c-4a06-a36d-c47682c67a24</t>
  </si>
  <si>
    <t>2026-03-09 10:41:22</t>
  </si>
  <si>
    <t>27761239218</t>
  </si>
  <si>
    <t>13564142</t>
  </si>
  <si>
    <t>0733d0b5-1358-47a2-b16e-182e4109c96c</t>
  </si>
  <si>
    <t>27728137843</t>
  </si>
  <si>
    <t>13564144</t>
  </si>
  <si>
    <t>1279d1d8-fd36-48e2-9bc1-64c9dda65447</t>
  </si>
  <si>
    <t>27765575322</t>
  </si>
  <si>
    <t>13564145</t>
  </si>
  <si>
    <t>aff670b4-e43f-4b39-b1c4-656527b6bf67</t>
  </si>
  <si>
    <t>27769880569</t>
  </si>
  <si>
    <t>13564152</t>
  </si>
  <si>
    <t>717c9553-eda5-4f22-861c-64d2a799ec44</t>
  </si>
  <si>
    <t>2026-03-09 10:41:21</t>
  </si>
  <si>
    <t>27763381329</t>
  </si>
  <si>
    <t>13564154</t>
  </si>
  <si>
    <t>c7d73eb3-1f5f-4b05-8303-e35583431d86</t>
  </si>
  <si>
    <t>27767303722</t>
  </si>
  <si>
    <t>13564131</t>
  </si>
  <si>
    <t>17bff5ba-e25d-4add-a6d0-18e522105499</t>
  </si>
  <si>
    <t>27712617299</t>
  </si>
  <si>
    <t>13564135</t>
  </si>
  <si>
    <t>a0c28a70-1bfc-49a9-b4f9-59a84659a15d</t>
  </si>
  <si>
    <t>27767199247</t>
  </si>
  <si>
    <t>13564122</t>
  </si>
  <si>
    <t>33926323-f52d-42c6-bf04-52b2b929c36d</t>
  </si>
  <si>
    <t>2026-03-09 10:41:17</t>
  </si>
  <si>
    <t>27664028281</t>
  </si>
  <si>
    <t>13564123</t>
  </si>
  <si>
    <t>558c7dfb-fc4b-481d-baa7-0f154493a8f9</t>
  </si>
  <si>
    <t>27760876823</t>
  </si>
  <si>
    <t>13564129</t>
  </si>
  <si>
    <t>9b2fd9ed-e870-407b-8dc2-196dcc244d3e</t>
  </si>
  <si>
    <t>27772605091</t>
  </si>
  <si>
    <t>13564114</t>
  </si>
  <si>
    <t>c3d43789-4727-45e5-bf14-9ed708cc13be</t>
  </si>
  <si>
    <t>2026-03-09 10:41:16</t>
  </si>
  <si>
    <t>27722773547</t>
  </si>
  <si>
    <t>13563831</t>
  </si>
  <si>
    <t>16d3cfd1-7687-4c12-9cbb-8afcebf5b6e1</t>
  </si>
  <si>
    <t>2026-03-09 10:41:15</t>
  </si>
  <si>
    <t>27629553206</t>
  </si>
  <si>
    <t>13563814</t>
  </si>
  <si>
    <t>62a8373a-2699-4837-9b64-1bcc5b2c04ff</t>
  </si>
  <si>
    <t>2026-03-09 10:41:13</t>
  </si>
  <si>
    <t>27763511182</t>
  </si>
  <si>
    <t>13563816</t>
  </si>
  <si>
    <t>a5afd4cc-37fe-43e0-b3e5-f7035338c4e1</t>
  </si>
  <si>
    <t>27663304782</t>
  </si>
  <si>
    <t>13563826</t>
  </si>
  <si>
    <t>eeeccb3c-76c9-4dd3-8baa-f38cf18515b3</t>
  </si>
  <si>
    <t>27636401389</t>
  </si>
  <si>
    <t>13563830</t>
  </si>
  <si>
    <t>bfb07928-6ab7-4ba1-b1e5-d6b5506a93ac</t>
  </si>
  <si>
    <t>27713054170</t>
  </si>
  <si>
    <t>13563809</t>
  </si>
  <si>
    <t>6c6bfc69-4cdb-426c-9c12-d36a2b080f84</t>
  </si>
  <si>
    <t>2026-03-09 10:40:58</t>
  </si>
  <si>
    <t>27791855288</t>
  </si>
  <si>
    <t>13563811</t>
  </si>
  <si>
    <t>230919ad-99ae-4efa-baa4-99e1a44bcb0d</t>
  </si>
  <si>
    <t>27767084557</t>
  </si>
  <si>
    <t>13563806</t>
  </si>
  <si>
    <t>e802ca45-b8f2-48e4-8c9a-89134d17674a</t>
  </si>
  <si>
    <t>2026-03-09 10:40:57</t>
  </si>
  <si>
    <t>27726914546</t>
  </si>
  <si>
    <t>13563788</t>
  </si>
  <si>
    <t>726c5486-8a5e-46df-a547-2ed8ae280b16</t>
  </si>
  <si>
    <t>2026-03-09 10:40:56</t>
  </si>
  <si>
    <t>27646772119</t>
  </si>
  <si>
    <t>13563789</t>
  </si>
  <si>
    <t>ed602b95-ccd6-4135-9af1-0d5774068d81</t>
  </si>
  <si>
    <t>27724329984</t>
  </si>
  <si>
    <t>13563793</t>
  </si>
  <si>
    <t>a5bd3cd0-fdef-4630-b454-1f4b1394b769</t>
  </si>
  <si>
    <t>27636203480</t>
  </si>
  <si>
    <t>13563796</t>
  </si>
  <si>
    <t>287fc290-95a4-40a0-a6db-378585e79bfd</t>
  </si>
  <si>
    <t>27714262636</t>
  </si>
  <si>
    <t>13563801</t>
  </si>
  <si>
    <t>9ff389a7-4393-489c-b183-79c4848e3161</t>
  </si>
  <si>
    <t>27682384581</t>
  </si>
  <si>
    <t>13563907</t>
  </si>
  <si>
    <t>45fb9b81-74ab-4c95-88b2-4230eb9c3ea9</t>
  </si>
  <si>
    <t>2026-03-09 10:40:47</t>
  </si>
  <si>
    <t>27720278962</t>
  </si>
  <si>
    <t>13563909</t>
  </si>
  <si>
    <t>e0fc5418-0528-45bc-9d44-ca5171c01c06</t>
  </si>
  <si>
    <t>27724350354</t>
  </si>
  <si>
    <t>13562717</t>
  </si>
  <si>
    <t>33a116b3-3a7f-49e0-9715-5b5ca313424e</t>
  </si>
  <si>
    <t>27766261008</t>
  </si>
  <si>
    <t>13563883</t>
  </si>
  <si>
    <t>44347f18-6c55-4351-8f44-935781aa1529</t>
  </si>
  <si>
    <t>2026-03-09 10:40:46</t>
  </si>
  <si>
    <t>27663592758</t>
  </si>
  <si>
    <t>13563900</t>
  </si>
  <si>
    <t>b7796452-b7e1-46c4-84d8-ef20f851c027</t>
  </si>
  <si>
    <t>27712088826</t>
  </si>
  <si>
    <t>13563902</t>
  </si>
  <si>
    <t>056f244e-31cf-403f-9c4c-fcb44d9c1a05</t>
  </si>
  <si>
    <t>27609429787</t>
  </si>
  <si>
    <t>13563904</t>
  </si>
  <si>
    <t>6675f66d-0aa6-4144-9e15-344b41153cbe</t>
  </si>
  <si>
    <t>27729705500</t>
  </si>
  <si>
    <t>13563870</t>
  </si>
  <si>
    <t>d956243a-c7f3-406a-882b-085c5e9f3c99</t>
  </si>
  <si>
    <t>2026-03-09 10:40:43</t>
  </si>
  <si>
    <t>27714056085</t>
  </si>
  <si>
    <t>13563876</t>
  </si>
  <si>
    <t>f1684cce-abb8-453a-9a0e-d8313f9c2d4a</t>
  </si>
  <si>
    <t>27729605169</t>
  </si>
  <si>
    <t>13563868</t>
  </si>
  <si>
    <t>0a47b12e-e5ad-463f-9dce-b8ac09821aee</t>
  </si>
  <si>
    <t>2026-03-09 10:40:42</t>
  </si>
  <si>
    <t>27722793195</t>
  </si>
  <si>
    <t>13555535</t>
  </si>
  <si>
    <t>a4b8c8a3-0055-4131-b3ca-79da949e0917</t>
  </si>
  <si>
    <t>2026-03-09 10:40:09</t>
  </si>
  <si>
    <t>27711219307</t>
  </si>
  <si>
    <t>13555521</t>
  </si>
  <si>
    <t>ec6bd953-7120-46d6-bab1-bf982a5e3a2c</t>
  </si>
  <si>
    <t>2026-03-09 10:40:08</t>
  </si>
  <si>
    <t>27711105207</t>
  </si>
  <si>
    <t>13555525</t>
  </si>
  <si>
    <t>c43c02a0-486e-4c9b-9b12-45eb86dde1cc</t>
  </si>
  <si>
    <t>27711146472</t>
  </si>
  <si>
    <t>13555526</t>
  </si>
  <si>
    <t>78dafdb7-a83f-451a-8e66-653f49a9de2f</t>
  </si>
  <si>
    <t>27711149179</t>
  </si>
  <si>
    <t>13564901</t>
  </si>
  <si>
    <t>a2f7725e-3b42-40ae-a86e-cf1ebc49418f</t>
  </si>
  <si>
    <t>2026-03-09 10:40:07</t>
  </si>
  <si>
    <t>27609389638</t>
  </si>
  <si>
    <t>13564889</t>
  </si>
  <si>
    <t>4a5b77b2-9747-4b0e-b079-910f7ee0fc08</t>
  </si>
  <si>
    <t>2026-03-09 10:40:06</t>
  </si>
  <si>
    <t>27609128449</t>
  </si>
  <si>
    <t>13564890</t>
  </si>
  <si>
    <t>b983b6dc-aa3d-48d0-85df-d05d5db86cc8</t>
  </si>
  <si>
    <t>27609139168</t>
  </si>
  <si>
    <t>13564891</t>
  </si>
  <si>
    <t>786810c4-a833-4470-beb7-03c805b6549d</t>
  </si>
  <si>
    <t>27609161625</t>
  </si>
  <si>
    <t>13564895</t>
  </si>
  <si>
    <t>da342320-5e41-405b-be2a-5cdc3cf0cc2b</t>
  </si>
  <si>
    <t>27609264825</t>
  </si>
  <si>
    <t>13564897</t>
  </si>
  <si>
    <t>2e3ee973-0300-4000-9530-66ec92b68c69</t>
  </si>
  <si>
    <t>27609320316</t>
  </si>
  <si>
    <t>13564547</t>
  </si>
  <si>
    <t>a617a72e-de96-462b-9565-c7ab542a0590</t>
  </si>
  <si>
    <t>2026-03-09 10:40:04</t>
  </si>
  <si>
    <t>27727331819</t>
  </si>
  <si>
    <t>13564652</t>
  </si>
  <si>
    <t>81974037-56a1-451f-bbe9-ddc1c61decdf</t>
  </si>
  <si>
    <t>27764278330</t>
  </si>
  <si>
    <t>13564516</t>
  </si>
  <si>
    <t>f505c979-a279-4337-8c19-df6eb41d6495</t>
  </si>
  <si>
    <t>27721930994</t>
  </si>
  <si>
    <t>13564799</t>
  </si>
  <si>
    <t>fcb54de9-7d8d-4224-88dc-bd0dc9ba31dc</t>
  </si>
  <si>
    <t>27607638054</t>
  </si>
  <si>
    <t>13564807</t>
  </si>
  <si>
    <t>461418d2-016b-49a2-b827-98e06fcfdab3</t>
  </si>
  <si>
    <t>27607723141</t>
  </si>
  <si>
    <t>13564506</t>
  </si>
  <si>
    <t>a66136ba-a595-48ed-b4fe-557a3da5d654</t>
  </si>
  <si>
    <t>2026-03-09 10:40:03</t>
  </si>
  <si>
    <t>27665370339</t>
  </si>
  <si>
    <t>13564507</t>
  </si>
  <si>
    <t>45da7cb8-0e5c-4561-a763-c6fdb39812f5</t>
  </si>
  <si>
    <t>27647022944</t>
  </si>
  <si>
    <t>13564509</t>
  </si>
  <si>
    <t>9d4529b0-90d2-43ea-ba80-526e170a018a</t>
  </si>
  <si>
    <t>27607860167</t>
  </si>
  <si>
    <t>13564496</t>
  </si>
  <si>
    <t>afa2fc51-9d85-4eaa-a326-4f63b44e77bc</t>
  </si>
  <si>
    <t>2026-03-09 10:40:02</t>
  </si>
  <si>
    <t>27766330051</t>
  </si>
  <si>
    <t>13564502</t>
  </si>
  <si>
    <t>b784a632-a7b6-4b0d-b2ca-b4bce9a68207</t>
  </si>
  <si>
    <t>27661923366</t>
  </si>
  <si>
    <t>13564504</t>
  </si>
  <si>
    <t>4eea4b45-5641-4059-a3ab-6873abd76816</t>
  </si>
  <si>
    <t>27765849595</t>
  </si>
  <si>
    <t>13564488</t>
  </si>
  <si>
    <t>acc7aed8-bcc0-4363-afc4-7b24e5455a54</t>
  </si>
  <si>
    <t>2026-03-09 10:40:01</t>
  </si>
  <si>
    <t>27761814734</t>
  </si>
  <si>
    <t>13564495</t>
  </si>
  <si>
    <t>f6111a50-2d07-4c1b-8d14-41da954f2a9b</t>
  </si>
  <si>
    <t>27661635722</t>
  </si>
  <si>
    <t>13564381</t>
  </si>
  <si>
    <t>6ea0905f-e401-4f48-9316-aefa74c2f14a</t>
  </si>
  <si>
    <t>2026-03-09 10:40:00</t>
  </si>
  <si>
    <t>27649351601</t>
  </si>
  <si>
    <t>13564383</t>
  </si>
  <si>
    <t>ee52850f-6f29-4726-a437-642a8146fb33</t>
  </si>
  <si>
    <t>27724787457</t>
  </si>
  <si>
    <t>13564387</t>
  </si>
  <si>
    <t>b2c367af-beb8-44b0-a28c-5f2fbad34957</t>
  </si>
  <si>
    <t>27713693850</t>
  </si>
  <si>
    <t>13564467</t>
  </si>
  <si>
    <t>9061e7eb-683e-4dcf-be05-2ac10a6d2d27</t>
  </si>
  <si>
    <t>27711878510</t>
  </si>
  <si>
    <t>13564471</t>
  </si>
  <si>
    <t>10f9456d-fb1d-4971-bd01-751bca794337</t>
  </si>
  <si>
    <t>27647729723</t>
  </si>
  <si>
    <t>13564473</t>
  </si>
  <si>
    <t>770cd6b8-ff61-4aaa-9694-007239c72d77</t>
  </si>
  <si>
    <t>27763978784</t>
  </si>
  <si>
    <t>13564475</t>
  </si>
  <si>
    <t>08262e1f-ddb3-40ca-9002-3d3da0abaf7e</t>
  </si>
  <si>
    <t>27765611749</t>
  </si>
  <si>
    <t>13564487</t>
  </si>
  <si>
    <t>ba73ac91-dc6e-4570-91ca-e93afafb7e3a</t>
  </si>
  <si>
    <t>27729767691</t>
  </si>
  <si>
    <t>13564379</t>
  </si>
  <si>
    <t>e5c58e7e-4b4b-494e-a323-7cd8cc42874e</t>
  </si>
  <si>
    <t>2026-03-09 10:39:57</t>
  </si>
  <si>
    <t>27648995189</t>
  </si>
  <si>
    <t>13564366</t>
  </si>
  <si>
    <t>3473a76e-60f7-4537-93dc-9aefc0d690ed</t>
  </si>
  <si>
    <t>2026-03-09 10:39:55</t>
  </si>
  <si>
    <t>27767266664</t>
  </si>
  <si>
    <t>13564371</t>
  </si>
  <si>
    <t>5bfac86b-eba9-4349-8018-217d47a3c501</t>
  </si>
  <si>
    <t>27716194653</t>
  </si>
  <si>
    <t>13564357</t>
  </si>
  <si>
    <t>4b550397-505d-400a-807f-aa4f4c7725a1</t>
  </si>
  <si>
    <t>2026-03-09 10:39:53</t>
  </si>
  <si>
    <t>27647389362</t>
  </si>
  <si>
    <t>13564360</t>
  </si>
  <si>
    <t>26661dc5-f0f7-4e1a-aa47-c74a89891584</t>
  </si>
  <si>
    <t>27765669981</t>
  </si>
  <si>
    <t>13564365</t>
  </si>
  <si>
    <t>0a6b9ab4-0aeb-4d67-a700-3149434fcb93</t>
  </si>
  <si>
    <t>27724142883</t>
  </si>
  <si>
    <t>13564904</t>
  </si>
  <si>
    <t>f13e1c3f-6a8b-41a2-abad-d52f91103098</t>
  </si>
  <si>
    <t>27609406259</t>
  </si>
  <si>
    <t>13562702</t>
  </si>
  <si>
    <t>fd742754-6c89-4a58-9065-ccd980bb15f8</t>
  </si>
  <si>
    <t>2026-03-09 10:39:50</t>
  </si>
  <si>
    <t>27726549749</t>
  </si>
  <si>
    <t>13562704</t>
  </si>
  <si>
    <t>c189cd25-7790-4cd0-91d2-822ee748afb6</t>
  </si>
  <si>
    <t>27712884051</t>
  </si>
  <si>
    <t>13562707</t>
  </si>
  <si>
    <t>a6ef8c0b-358a-476a-958d-ce5d790cd72f</t>
  </si>
  <si>
    <t>27609597560</t>
  </si>
  <si>
    <t>13562710</t>
  </si>
  <si>
    <t>0512d6da-946b-4e17-85c7-377d38677915</t>
  </si>
  <si>
    <t>27606845856</t>
  </si>
  <si>
    <t>13562690</t>
  </si>
  <si>
    <t>35c99b63-bbf0-4408-af1a-28d7462339cc</t>
  </si>
  <si>
    <t>2026-03-09 10:39:49</t>
  </si>
  <si>
    <t>27713979983</t>
  </si>
  <si>
    <t>13562697</t>
  </si>
  <si>
    <t>684a67f7-e718-4a93-a603-cc72411fa487</t>
  </si>
  <si>
    <t>27673288263</t>
  </si>
  <si>
    <t>13562699</t>
  </si>
  <si>
    <t>e321a540-110b-4eb4-9baa-7ec117744605</t>
  </si>
  <si>
    <t>27727784769</t>
  </si>
  <si>
    <t>13562687</t>
  </si>
  <si>
    <t>050d024a-a380-45af-a61f-385e33a799b3</t>
  </si>
  <si>
    <t>2026-03-09 10:39:44</t>
  </si>
  <si>
    <t>27607735992</t>
  </si>
  <si>
    <t>13562684</t>
  </si>
  <si>
    <t>4b86fa9c-f482-477c-8a81-e2dfb814dde1</t>
  </si>
  <si>
    <t>2026-03-09 10:39:42</t>
  </si>
  <si>
    <t>27767067925</t>
  </si>
  <si>
    <t>13562671</t>
  </si>
  <si>
    <t>f262b41d-68b3-485d-8fea-f71446b498e7</t>
  </si>
  <si>
    <t>2026-03-09 10:39:41</t>
  </si>
  <si>
    <t>27711901072</t>
  </si>
  <si>
    <t>13562611</t>
  </si>
  <si>
    <t>1c86382e-733b-4d36-a087-d6116256e16c</t>
  </si>
  <si>
    <t>2026-03-09 10:39:40</t>
  </si>
  <si>
    <t>27768981625</t>
  </si>
  <si>
    <t>13562617</t>
  </si>
  <si>
    <t>0d57f0b2-dcf8-4537-bc2e-ba7327386132</t>
  </si>
  <si>
    <t>27664468614</t>
  </si>
  <si>
    <t>13562627</t>
  </si>
  <si>
    <t>a9ce7a0d-2b89-46b0-9a40-cff7b994f2c5</t>
  </si>
  <si>
    <t>27727127180</t>
  </si>
  <si>
    <t>13562636</t>
  </si>
  <si>
    <t>036ba0c3-5ae6-4813-b4cd-7eeefa996e87</t>
  </si>
  <si>
    <t>27764380174</t>
  </si>
  <si>
    <t>13562650</t>
  </si>
  <si>
    <t>b5cbcf29-04cf-4935-8ef5-232486658d30</t>
  </si>
  <si>
    <t>27761437868</t>
  </si>
  <si>
    <t>13562655</t>
  </si>
  <si>
    <t>56b06930-0fa7-4e47-aa9b-977e3ae15a48</t>
  </si>
  <si>
    <t>27665390595</t>
  </si>
  <si>
    <t>13562657</t>
  </si>
  <si>
    <t>cddb2318-ef8b-41e3-a017-e2ba6a7d5feb</t>
  </si>
  <si>
    <t>27729898667</t>
  </si>
  <si>
    <t>13562601</t>
  </si>
  <si>
    <t>c8b5717e-0ad0-4c51-b45a-c17b5ab635c3</t>
  </si>
  <si>
    <t>2026-03-09 10:39:39</t>
  </si>
  <si>
    <t>27766191704</t>
  </si>
  <si>
    <t>13562592</t>
  </si>
  <si>
    <t>16a7f745-8261-4af4-a4b1-36696a4197fe</t>
  </si>
  <si>
    <t>2026-03-09 10:39:37</t>
  </si>
  <si>
    <t>27725374895</t>
  </si>
  <si>
    <t>13562585</t>
  </si>
  <si>
    <t>94c66b74-431f-4a41-8726-d11a664856c7</t>
  </si>
  <si>
    <t>2026-03-09 10:39:33</t>
  </si>
  <si>
    <t>27721001469</t>
  </si>
  <si>
    <t>13562587</t>
  </si>
  <si>
    <t>db2fcae1-73ff-4f8c-9c67-a257af2aca2d</t>
  </si>
  <si>
    <t>27790180363</t>
  </si>
  <si>
    <t>13564448</t>
  </si>
  <si>
    <t>11292cdc-2fca-4ae1-a4ae-26c36ce97796</t>
  </si>
  <si>
    <t>2026-03-09 10:39:26</t>
  </si>
  <si>
    <t>27725405385</t>
  </si>
  <si>
    <t>13564430</t>
  </si>
  <si>
    <t>9b43d7b6-172a-4139-b05a-56b3d5048ea8</t>
  </si>
  <si>
    <t>27646130969</t>
  </si>
  <si>
    <t>13564437</t>
  </si>
  <si>
    <t>13f3905c-c8f4-4753-bb20-f5dd29f00656</t>
  </si>
  <si>
    <t>27765621648</t>
  </si>
  <si>
    <t>13564418</t>
  </si>
  <si>
    <t>e28d069c-107b-44ca-856b-443f2d4ed600</t>
  </si>
  <si>
    <t>2026-03-09 10:39:25</t>
  </si>
  <si>
    <t>27766046691</t>
  </si>
  <si>
    <t>13564424</t>
  </si>
  <si>
    <t>7214b6da-cd63-407e-b246-08d7e66ec3f2</t>
  </si>
  <si>
    <t>27713761431</t>
  </si>
  <si>
    <t>13564427</t>
  </si>
  <si>
    <t>d52d62ba-d796-43af-92a7-8992cd664e89</t>
  </si>
  <si>
    <t>27767097313</t>
  </si>
  <si>
    <t>13564392</t>
  </si>
  <si>
    <t>f0336b87-c0f7-4781-bef5-a9258a7746b4</t>
  </si>
  <si>
    <t>2026-03-09 10:39:15</t>
  </si>
  <si>
    <t>27637982911</t>
  </si>
  <si>
    <t>13564397</t>
  </si>
  <si>
    <t>485a2964-5a17-4795-824d-0ba6c981caf1</t>
  </si>
  <si>
    <t>27713727095</t>
  </si>
  <si>
    <t>13564399</t>
  </si>
  <si>
    <t>cba2d6b9-19ed-4560-9ce1-4d1574ca1129</t>
  </si>
  <si>
    <t>27729887407</t>
  </si>
  <si>
    <t>13564410</t>
  </si>
  <si>
    <t>8af758a9-6ad1-475f-9315-2841b9fd10af</t>
  </si>
  <si>
    <t>27766864745</t>
  </si>
  <si>
    <t>13564390</t>
  </si>
  <si>
    <t>8c893fcf-7b32-489f-93fd-258cbb07ddcb</t>
  </si>
  <si>
    <t>2026-03-09 10:39:14</t>
  </si>
  <si>
    <t>27636463463</t>
  </si>
  <si>
    <t>13564909</t>
  </si>
  <si>
    <t>499839d9-a001-4c8d-97fa-fcf32ccb97ba</t>
  </si>
  <si>
    <t>27609436762</t>
  </si>
  <si>
    <t>13564106</t>
  </si>
  <si>
    <t>cf115e17-18f5-46e6-9024-62a4347a1ae1</t>
  </si>
  <si>
    <t>2026-03-09 10:38:37</t>
  </si>
  <si>
    <t>27722521298</t>
  </si>
  <si>
    <t>13564112</t>
  </si>
  <si>
    <t>14b9b92d-ca75-4bc3-a25c-704a42c5619a</t>
  </si>
  <si>
    <t>27774797175</t>
  </si>
  <si>
    <t>13564097</t>
  </si>
  <si>
    <t>17feb06f-ac2a-4775-b661-c542a279a323</t>
  </si>
  <si>
    <t>2026-03-09 10:38:36</t>
  </si>
  <si>
    <t>27760377934</t>
  </si>
  <si>
    <t>13564099</t>
  </si>
  <si>
    <t>84437f7a-d5a6-4e5f-9ab0-e5c72622bb0e</t>
  </si>
  <si>
    <t>27663444621</t>
  </si>
  <si>
    <t>13564101</t>
  </si>
  <si>
    <t>99697dd4-b63c-4418-95a6-d41c0c961961</t>
  </si>
  <si>
    <t>27607297194</t>
  </si>
  <si>
    <t>13564104</t>
  </si>
  <si>
    <t>083a2ec1-c8b8-47a0-8329-0e57f118715b</t>
  </si>
  <si>
    <t>27729099662</t>
  </si>
  <si>
    <t>13564075</t>
  </si>
  <si>
    <t>77578daf-98b6-464f-980e-157eb8b0f22e</t>
  </si>
  <si>
    <t>2026-03-09 10:38:35</t>
  </si>
  <si>
    <t>27721914531</t>
  </si>
  <si>
    <t>13564078</t>
  </si>
  <si>
    <t>01a9b6b6-53a4-47d7-aa93-203a778389f8</t>
  </si>
  <si>
    <t>27728072570</t>
  </si>
  <si>
    <t>13564084</t>
  </si>
  <si>
    <t>9a3838b1-f127-4ccb-986a-bd5d358b6e26</t>
  </si>
  <si>
    <t>27764739483</t>
  </si>
  <si>
    <t>13564089</t>
  </si>
  <si>
    <t>2c37ef19-eecb-4e99-9011-4bbad5d359ef</t>
  </si>
  <si>
    <t>27728883525</t>
  </si>
  <si>
    <t>13564095</t>
  </si>
  <si>
    <t>d56c1499-70bc-4669-8311-46c5c16ae478</t>
  </si>
  <si>
    <t>27649532206</t>
  </si>
  <si>
    <t>13564067</t>
  </si>
  <si>
    <t>21994694-85a8-4c26-831e-e6d20e6b8586</t>
  </si>
  <si>
    <t>2026-03-09 10:38:34</t>
  </si>
  <si>
    <t>27647050723</t>
  </si>
  <si>
    <t>13555325</t>
  </si>
  <si>
    <t>d5c104f9-92f5-4a5b-b487-63ad8aff9959</t>
  </si>
  <si>
    <t>2026-03-09 10:38:33</t>
  </si>
  <si>
    <t>27663154632</t>
  </si>
  <si>
    <t>13564056</t>
  </si>
  <si>
    <t>c7558952-98aa-49d8-94f9-50845ac27f87</t>
  </si>
  <si>
    <t>27646747528</t>
  </si>
  <si>
    <t>13564057</t>
  </si>
  <si>
    <t>3ef49778-5b48-470d-b3b6-349b2e4e6e09</t>
  </si>
  <si>
    <t>27722174749</t>
  </si>
  <si>
    <t>13564059</t>
  </si>
  <si>
    <t>462867f8-af2e-40e5-986e-1155eb39c040</t>
  </si>
  <si>
    <t>27763396277</t>
  </si>
  <si>
    <t>13564060</t>
  </si>
  <si>
    <t>678ec780-7ec3-4f66-98d9-063a3f0ffa69</t>
  </si>
  <si>
    <t>27734576110</t>
  </si>
  <si>
    <t>13564062</t>
  </si>
  <si>
    <t>ee97edf4-ed5c-4685-95cb-4b44c3089985</t>
  </si>
  <si>
    <t>27637588885</t>
  </si>
  <si>
    <t>13564063</t>
  </si>
  <si>
    <t>29a5ed9e-40d4-4724-98d2-9d656adeff15</t>
  </si>
  <si>
    <t>27647035136</t>
  </si>
  <si>
    <t>13556676</t>
  </si>
  <si>
    <t>0bd05708-81fe-4272-9ca0-2cbad06e3dbc</t>
  </si>
  <si>
    <t>2026-03-09 10:38:32</t>
  </si>
  <si>
    <t>27726454953</t>
  </si>
  <si>
    <t>13558694</t>
  </si>
  <si>
    <t>84fa9c7a-9633-4970-89d2-58080f7c9cff</t>
  </si>
  <si>
    <t>27797066126</t>
  </si>
  <si>
    <t>13558505</t>
  </si>
  <si>
    <t>57abcfa7-44fa-41f8-ab4d-acaa6a0cdd1f</t>
  </si>
  <si>
    <t>27794707454</t>
  </si>
  <si>
    <t>13560379</t>
  </si>
  <si>
    <t>2fda811c-51be-430d-a077-39207abe06ad</t>
  </si>
  <si>
    <t>27769428695</t>
  </si>
  <si>
    <t>13563833</t>
  </si>
  <si>
    <t>b7e1c00f-e9ca-4034-b909-68f3163acfcd</t>
  </si>
  <si>
    <t>27712640227</t>
  </si>
  <si>
    <t>13564773</t>
  </si>
  <si>
    <t>5aeff9e7-298b-4bee-b140-633df936c3bd</t>
  </si>
  <si>
    <t>27607190202</t>
  </si>
  <si>
    <t>13559036</t>
  </si>
  <si>
    <t>3fcab2f2-94b3-455a-8911-8bad55bf5408</t>
  </si>
  <si>
    <t>2026-03-09 10:38:31</t>
  </si>
  <si>
    <t>27820834022</t>
  </si>
  <si>
    <t>13564520</t>
  </si>
  <si>
    <t>51b57355-1271-45d7-9250-71759449682f</t>
  </si>
  <si>
    <t>27766860794</t>
  </si>
  <si>
    <t>13564648</t>
  </si>
  <si>
    <t>a9330825-e2be-4688-9955-2ca665a2e88d</t>
  </si>
  <si>
    <t>2026-03-09 10:38:29</t>
  </si>
  <si>
    <t>27665322815</t>
  </si>
  <si>
    <t>13564610</t>
  </si>
  <si>
    <t>4a55e923-e33a-47d3-bdac-fb54da851474</t>
  </si>
  <si>
    <t>27767687983</t>
  </si>
  <si>
    <t>13564746</t>
  </si>
  <si>
    <t>6cb23788-00c6-4890-9e14-959396707f79</t>
  </si>
  <si>
    <t>27606719983</t>
  </si>
  <si>
    <t>13564634</t>
  </si>
  <si>
    <t>243fbd0c-23ff-4d2d-8cff-8c20de37e38d</t>
  </si>
  <si>
    <t>27774137116</t>
  </si>
  <si>
    <t>13564587</t>
  </si>
  <si>
    <t>2444c1fc-c381-419d-8757-f010edc84453</t>
  </si>
  <si>
    <t>2026-03-09 10:38:28</t>
  </si>
  <si>
    <t>27607321313</t>
  </si>
  <si>
    <t>13564588</t>
  </si>
  <si>
    <t>2c0ef0de-6a2b-46b0-877d-e1021346b2fc</t>
  </si>
  <si>
    <t>27607954972</t>
  </si>
  <si>
    <t>13564589</t>
  </si>
  <si>
    <t>021faf2a-b38f-472b-ae8c-816d8f945ace</t>
  </si>
  <si>
    <t>27609130317</t>
  </si>
  <si>
    <t>13564591</t>
  </si>
  <si>
    <t>ab5d3b79-59dd-4ed9-8b92-8677741c695d</t>
  </si>
  <si>
    <t>27762045685</t>
  </si>
  <si>
    <t>13564599</t>
  </si>
  <si>
    <t>a02c7960-9050-4ed9-aade-cd11078f55cd</t>
  </si>
  <si>
    <t>27673368501</t>
  </si>
  <si>
    <t>13564580</t>
  </si>
  <si>
    <t>f6dacc07-cd55-4ae2-b4da-a78ceff60d0e</t>
  </si>
  <si>
    <t>2026-03-09 10:38:19</t>
  </si>
  <si>
    <t>27761025440</t>
  </si>
  <si>
    <t>13564579</t>
  </si>
  <si>
    <t>9be8816f-65be-4631-9f21-a358a9b9cfe6</t>
  </si>
  <si>
    <t>2026-03-09 10:38:16</t>
  </si>
  <si>
    <t>27773557465</t>
  </si>
  <si>
    <t>13564563</t>
  </si>
  <si>
    <t>852e0767-7dbc-4e46-8e49-29e6936698d3</t>
  </si>
  <si>
    <t>2026-03-09 10:38:15</t>
  </si>
  <si>
    <t>27769983723</t>
  </si>
  <si>
    <t>13564564</t>
  </si>
  <si>
    <t>94d7774a-57fc-427b-be71-c025dc96e8de</t>
  </si>
  <si>
    <t>27711166652</t>
  </si>
  <si>
    <t>13564573</t>
  </si>
  <si>
    <t>fd4024ea-cf24-4471-b710-ba44e6db3efe</t>
  </si>
  <si>
    <t>27768750703</t>
  </si>
  <si>
    <t>13564576</t>
  </si>
  <si>
    <t>85d83a2f-db49-4771-aa4e-3bfe3182254e</t>
  </si>
  <si>
    <t>27661766635</t>
  </si>
  <si>
    <t>13564577</t>
  </si>
  <si>
    <t>d53bfcc6-1937-435f-8793-e612e4de7a49</t>
  </si>
  <si>
    <t>27664531140</t>
  </si>
  <si>
    <t>13564561</t>
  </si>
  <si>
    <t>8785b462-8d3a-4b39-b894-00e94143f07b</t>
  </si>
  <si>
    <t>2026-03-09 10:38:14</t>
  </si>
  <si>
    <t>27766364719</t>
  </si>
  <si>
    <t>13564550</t>
  </si>
  <si>
    <t>06e9e67c-7bb5-4658-8bd9-f7a5b92eae9a</t>
  </si>
  <si>
    <t>2026-03-09 10:38:12</t>
  </si>
  <si>
    <t>27607231800</t>
  </si>
  <si>
    <t>13564552</t>
  </si>
  <si>
    <t>915274e2-3546-461f-8ada-885d40bff6ba</t>
  </si>
  <si>
    <t>27727471370</t>
  </si>
  <si>
    <t>13564554</t>
  </si>
  <si>
    <t>973d1c1a-529b-4c76-8085-c0ffc91acec0</t>
  </si>
  <si>
    <t>27665444381</t>
  </si>
  <si>
    <t>13564560</t>
  </si>
  <si>
    <t>ce8dd77e-e96c-44bf-8bd9-4652fd58294b</t>
  </si>
  <si>
    <t>27661690651</t>
  </si>
  <si>
    <t>13564536</t>
  </si>
  <si>
    <t>691f4d54-c89c-4615-a5d5-5dd0222f3e22</t>
  </si>
  <si>
    <t>27729039607</t>
  </si>
  <si>
    <t>13564529</t>
  </si>
  <si>
    <t>983f73b6-880b-49ff-abdd-a59c15387bd8</t>
  </si>
  <si>
    <t>2026-03-09 10:38:11</t>
  </si>
  <si>
    <t>27728949812</t>
  </si>
  <si>
    <t>13564530</t>
  </si>
  <si>
    <t>4591cf04-400b-4fd8-9e91-41c1efa2a556</t>
  </si>
  <si>
    <t>27665429645</t>
  </si>
  <si>
    <t>13564528</t>
  </si>
  <si>
    <t>c7a6eca2-1996-4e43-ad06-7072a0dfdaa4</t>
  </si>
  <si>
    <t>2026-03-09 10:38:03</t>
  </si>
  <si>
    <t>27726513963</t>
  </si>
  <si>
    <t>13564518</t>
  </si>
  <si>
    <t>2b662cc1-7ec9-4e5d-93f6-70d6f6af5bf8</t>
  </si>
  <si>
    <t>2026-03-09 10:38:01</t>
  </si>
  <si>
    <t>27664195415</t>
  </si>
  <si>
    <t>13564519</t>
  </si>
  <si>
    <t>10fb78a3-2a0b-477a-9bb7-de45bd7ef9fe</t>
  </si>
  <si>
    <t>27766748836</t>
  </si>
  <si>
    <t>13564910</t>
  </si>
  <si>
    <t>ec664173-fc48-4fd6-bc3e-e70ebacc1f12</t>
  </si>
  <si>
    <t>27609474189</t>
  </si>
  <si>
    <t>13564888</t>
  </si>
  <si>
    <t>809a5700-a9d7-465e-b8f0-96ce11457866</t>
  </si>
  <si>
    <t>2026-03-09 10:37:14</t>
  </si>
  <si>
    <t>27609093546</t>
  </si>
  <si>
    <t>13564885</t>
  </si>
  <si>
    <t>905ddb49-4522-4594-973f-433966b4962f</t>
  </si>
  <si>
    <t>2026-03-09 10:37:12</t>
  </si>
  <si>
    <t>27609045545</t>
  </si>
  <si>
    <t>13564886</t>
  </si>
  <si>
    <t>54e9a11f-a9eb-4b68-acbd-50ae3a1d7042</t>
  </si>
  <si>
    <t>27609053381</t>
  </si>
  <si>
    <t>13564850</t>
  </si>
  <si>
    <t>69ec3fc5-73e3-434e-bd62-bef85a4ca83d</t>
  </si>
  <si>
    <t>2026-03-09 10:37:10</t>
  </si>
  <si>
    <t>27608450698</t>
  </si>
  <si>
    <t>13564851</t>
  </si>
  <si>
    <t>3998b173-a9bd-4712-8e44-d174aba7982b</t>
  </si>
  <si>
    <t>27608501048</t>
  </si>
  <si>
    <t>13564854</t>
  </si>
  <si>
    <t>3376d709-a82d-473f-806c-f36f3a5ef911</t>
  </si>
  <si>
    <t>27608531031</t>
  </si>
  <si>
    <t>13564858</t>
  </si>
  <si>
    <t>6570164a-9c74-4596-8eb2-a629249ee52d</t>
  </si>
  <si>
    <t>27608634505</t>
  </si>
  <si>
    <t>13564813</t>
  </si>
  <si>
    <t>e7d38b4f-c39a-471e-82a9-117c20162a4f</t>
  </si>
  <si>
    <t>27607781719</t>
  </si>
  <si>
    <t>13564808</t>
  </si>
  <si>
    <t>9fa4035f-a480-4fe0-8b30-830a79b612d2</t>
  </si>
  <si>
    <t>2026-03-09 10:37:09</t>
  </si>
  <si>
    <t>27607739099</t>
  </si>
  <si>
    <t>13564812</t>
  </si>
  <si>
    <t>887fd168-905a-4366-a667-49a325bf3eed</t>
  </si>
  <si>
    <t>27607778586</t>
  </si>
  <si>
    <t>13564798</t>
  </si>
  <si>
    <t>efa51552-d173-429c-9d73-3e8ddbf674b4</t>
  </si>
  <si>
    <t>2026-03-09 10:37:08</t>
  </si>
  <si>
    <t>27607610990</t>
  </si>
  <si>
    <t>13564800</t>
  </si>
  <si>
    <t>5d363fa6-b79b-40e8-b610-1704c330c79a</t>
  </si>
  <si>
    <t>27607646229</t>
  </si>
  <si>
    <t>13564784</t>
  </si>
  <si>
    <t>ceaa43f0-c7f8-40f8-b809-3252fd689e24</t>
  </si>
  <si>
    <t>2026-03-09 10:37:07</t>
  </si>
  <si>
    <t>27607407668</t>
  </si>
  <si>
    <t>13564786</t>
  </si>
  <si>
    <t>320b78b8-cb47-48a5-99b3-dd484d327120</t>
  </si>
  <si>
    <t>27607440785</t>
  </si>
  <si>
    <t>13564790</t>
  </si>
  <si>
    <t>9fc16899-7e4f-4475-a4c2-3f43d193692b</t>
  </si>
  <si>
    <t>27607481314</t>
  </si>
  <si>
    <t>13564794</t>
  </si>
  <si>
    <t>28635b3e-7192-4404-9802-7b84b62f518d</t>
  </si>
  <si>
    <t>27607554893</t>
  </si>
  <si>
    <t>13564770</t>
  </si>
  <si>
    <t>18a593dc-431c-4aa4-a248-9ad078b95850</t>
  </si>
  <si>
    <t>2026-03-09 10:37:06</t>
  </si>
  <si>
    <t>27607180658</t>
  </si>
  <si>
    <t>13564777</t>
  </si>
  <si>
    <t>2d9654fe-e01b-4a18-be56-5bd2bc44840b</t>
  </si>
  <si>
    <t>27607230661</t>
  </si>
  <si>
    <t>13564762</t>
  </si>
  <si>
    <t>e95871e8-fa9c-4b49-a11c-9e9ef38fcffa</t>
  </si>
  <si>
    <t>2026-03-09 10:37:05</t>
  </si>
  <si>
    <t>27607030833</t>
  </si>
  <si>
    <t>13564765</t>
  </si>
  <si>
    <t>75aeb006-f9db-4827-bfca-fe4b8f072912</t>
  </si>
  <si>
    <t>27607093278</t>
  </si>
  <si>
    <t>13564767</t>
  </si>
  <si>
    <t>ba837da0-95a4-4ed2-891f-110d030cdea8</t>
  </si>
  <si>
    <t>27607137248</t>
  </si>
  <si>
    <t>13564752</t>
  </si>
  <si>
    <t>59b85e30-2ed0-4db6-9720-41df7f45feb6</t>
  </si>
  <si>
    <t>2026-03-09 10:37:04</t>
  </si>
  <si>
    <t>27606791936</t>
  </si>
  <si>
    <t>13564753</t>
  </si>
  <si>
    <t>3980ca3d-3141-4e4e-9ff0-27c34eac6ed9</t>
  </si>
  <si>
    <t>27606803784</t>
  </si>
  <si>
    <t>13564755</t>
  </si>
  <si>
    <t>aca6c69d-b9ac-4cf5-908a-5feb455535e1</t>
  </si>
  <si>
    <t>27606882829</t>
  </si>
  <si>
    <t>13564757</t>
  </si>
  <si>
    <t>5b5b8a7e-c007-46eb-8377-06e2b7add034</t>
  </si>
  <si>
    <t>27606940582</t>
  </si>
  <si>
    <t>13564735</t>
  </si>
  <si>
    <t>640e9b30-645e-4dd3-952c-b70c890c87af</t>
  </si>
  <si>
    <t>2026-03-09 10:37:03</t>
  </si>
  <si>
    <t>27606606953</t>
  </si>
  <si>
    <t>13564736</t>
  </si>
  <si>
    <t>17401b68-fbdb-43c5-8031-66bf1983ac2c</t>
  </si>
  <si>
    <t>27606615947</t>
  </si>
  <si>
    <t>13564744</t>
  </si>
  <si>
    <t>ca231646-e6ea-4aae-a17c-ea9c58719a59</t>
  </si>
  <si>
    <t>27606705729</t>
  </si>
  <si>
    <t>13564745</t>
  </si>
  <si>
    <t>14b9ee1d-37d9-4903-a1ef-053bf0e585e0</t>
  </si>
  <si>
    <t>27606713608</t>
  </si>
  <si>
    <t>13564750</t>
  </si>
  <si>
    <t>60d15ae3-535c-4d79-ab29-f460b39ae623</t>
  </si>
  <si>
    <t>27606764362</t>
  </si>
  <si>
    <t>13564654</t>
  </si>
  <si>
    <t>c7218122-9f8d-417b-8d04-556d9db24eb5</t>
  </si>
  <si>
    <t>2026-03-09 10:37:02</t>
  </si>
  <si>
    <t>27726352972</t>
  </si>
  <si>
    <t>13564658</t>
  </si>
  <si>
    <t>c62a0f52-9dd1-42fb-81cb-1b246faba929</t>
  </si>
  <si>
    <t>27763655329</t>
  </si>
  <si>
    <t>13564733</t>
  </si>
  <si>
    <t>94ae5b8e-cf19-437c-8d72-b50f80cd53d9</t>
  </si>
  <si>
    <t>27606569706</t>
  </si>
  <si>
    <t>13564636</t>
  </si>
  <si>
    <t>a3308aa7-4337-48c0-85ad-35673423ef91</t>
  </si>
  <si>
    <t>2026-03-09 10:37:01</t>
  </si>
  <si>
    <t>27769556800</t>
  </si>
  <si>
    <t>13564641</t>
  </si>
  <si>
    <t>626470e0-f41b-45a9-9662-aa12450f58b7</t>
  </si>
  <si>
    <t>27790863972</t>
  </si>
  <si>
    <t>13564643</t>
  </si>
  <si>
    <t>d52285d9-c746-4bf9-8519-e0e2e0969d1c</t>
  </si>
  <si>
    <t>27637506735</t>
  </si>
  <si>
    <t>13564632</t>
  </si>
  <si>
    <t>49dcea74-dd73-489c-bcbe-611503f80610</t>
  </si>
  <si>
    <t>27636453914</t>
  </si>
  <si>
    <t>13564633</t>
  </si>
  <si>
    <t>541502a5-63ce-4c89-b5b1-b78c1a66e3dd</t>
  </si>
  <si>
    <t>27725748301</t>
  </si>
  <si>
    <t>13564626</t>
  </si>
  <si>
    <t>131a204c-7b14-4941-8b1e-8d206a57cc57</t>
  </si>
  <si>
    <t>2026-03-09 10:37:00</t>
  </si>
  <si>
    <t>27764689189</t>
  </si>
  <si>
    <t>13564617</t>
  </si>
  <si>
    <t>cad4cbe3-e718-4dfd-a402-8e366f703ffb</t>
  </si>
  <si>
    <t>2026-03-09 10:36:59</t>
  </si>
  <si>
    <t>27637160844</t>
  </si>
  <si>
    <t>13564620</t>
  </si>
  <si>
    <t>c7f7d938-4d96-4658-b453-115e3091141f</t>
  </si>
  <si>
    <t>27727758226</t>
  </si>
  <si>
    <t>13564621</t>
  </si>
  <si>
    <t>2b662245-55bb-4f75-99b3-4d1ab2cfbadc</t>
  </si>
  <si>
    <t>DNQS</t>
  </si>
  <si>
    <t>Does Not Qualify</t>
  </si>
  <si>
    <t>27675753183</t>
  </si>
  <si>
    <t>13564622</t>
  </si>
  <si>
    <t>0d0b1063-8107-479c-b66a-3047e0844888</t>
  </si>
  <si>
    <t>27665208031</t>
  </si>
  <si>
    <t>13564613</t>
  </si>
  <si>
    <t>1980802a-3c68-4b4c-a832-0a97fb216ae0</t>
  </si>
  <si>
    <t>2026-03-09 10:36:58</t>
  </si>
  <si>
    <t>27728147680</t>
  </si>
  <si>
    <t>13564616</t>
  </si>
  <si>
    <t>10b54bd3-21fa-44e3-aeac-038604a306dc</t>
  </si>
  <si>
    <t>27727013554</t>
  </si>
  <si>
    <t>13564611</t>
  </si>
  <si>
    <t>41a55312-05e8-4983-94ec-c379662a21b4</t>
  </si>
  <si>
    <t>2026-03-09 10:36:57</t>
  </si>
  <si>
    <t>27769322575</t>
  </si>
  <si>
    <t>13564603</t>
  </si>
  <si>
    <t>abf7179b-ec03-453a-9fa8-fb847b54d493</t>
  </si>
  <si>
    <t>2026-03-09 10:36:53</t>
  </si>
  <si>
    <t>27711819236</t>
  </si>
  <si>
    <t>13555908</t>
  </si>
  <si>
    <t>31ea36ed-3e77-4f3f-bb61-02895b2e4073</t>
  </si>
  <si>
    <t>2026-03-09 10:36:52</t>
  </si>
  <si>
    <t>27715416980</t>
  </si>
  <si>
    <t>13563084</t>
  </si>
  <si>
    <t>e3d2af6b-c3f0-453e-beb4-b7882f4a1d62</t>
  </si>
  <si>
    <t>27760659895</t>
  </si>
  <si>
    <t>13564600</t>
  </si>
  <si>
    <t>f2831988-0c47-4ed4-9ff3-be409dcb6eda</t>
  </si>
  <si>
    <t>27674714704</t>
  </si>
  <si>
    <t>13564911</t>
  </si>
  <si>
    <t>2eabcb99-ac65-4191-a383-978239a0f382</t>
  </si>
  <si>
    <t>27609484900</t>
  </si>
  <si>
    <t>13555617</t>
  </si>
  <si>
    <t>37847067-bb67-4871-a7ba-68c4dbc1d665</t>
  </si>
  <si>
    <t>2026-03-09 10:36:50</t>
  </si>
  <si>
    <t>27712176654</t>
  </si>
  <si>
    <t>13555587</t>
  </si>
  <si>
    <t>5047f0fd-5d4f-4f52-8edb-10a42a5d491c</t>
  </si>
  <si>
    <t>2026-03-09 10:36:49</t>
  </si>
  <si>
    <t>27711795973</t>
  </si>
  <si>
    <t>13559580</t>
  </si>
  <si>
    <t>ec0528cb-1d4f-4523-92f5-5df0b45c7f7f</t>
  </si>
  <si>
    <t>27828696094</t>
  </si>
  <si>
    <t>13562738</t>
  </si>
  <si>
    <t>b26be1f3-cc23-4101-8291-efcbb5a43c8a</t>
  </si>
  <si>
    <t>27763309243</t>
  </si>
  <si>
    <t>13562913</t>
  </si>
  <si>
    <t>6bd392fe-12d9-427d-b078-d047752afe05</t>
  </si>
  <si>
    <t>27636356356</t>
  </si>
  <si>
    <t>13562938</t>
  </si>
  <si>
    <t>b67753dc-5e46-4d97-9576-ab1d236ff75b</t>
  </si>
  <si>
    <t>27712032513</t>
  </si>
  <si>
    <t>13557773</t>
  </si>
  <si>
    <t>e749aabc-2bb9-4a99-8afa-4b90dc7cf385</t>
  </si>
  <si>
    <t>2026-03-09 10:36:45</t>
  </si>
  <si>
    <t>27767249284</t>
  </si>
  <si>
    <t>13561989</t>
  </si>
  <si>
    <t>5ec3a90b-917a-480c-9a49-4d519c052cc1</t>
  </si>
  <si>
    <t>27661530758</t>
  </si>
  <si>
    <t>13558224</t>
  </si>
  <si>
    <t>d53193b8-8b20-46f8-b294-9da3a266c064</t>
  </si>
  <si>
    <t>2026-03-09 10:36:42</t>
  </si>
  <si>
    <t>27791503311</t>
  </si>
  <si>
    <t>13558661</t>
  </si>
  <si>
    <t>ecfc2722-0153-4b32-be13-029371d4bad8</t>
  </si>
  <si>
    <t>27796652774</t>
  </si>
  <si>
    <t>13560420</t>
  </si>
  <si>
    <t>0ca0c340-6abf-4bc6-9510-46cf63306bb0</t>
  </si>
  <si>
    <t>27765095341</t>
  </si>
  <si>
    <t>13558968</t>
  </si>
  <si>
    <t>61c6774e-24b2-4526-ad03-c7db06ca4788</t>
  </si>
  <si>
    <t>2026-03-09 10:36:41</t>
  </si>
  <si>
    <t>27818575997</t>
  </si>
  <si>
    <t>13560238</t>
  </si>
  <si>
    <t>d93c00e5-3d31-4742-9141-466144e034d9</t>
  </si>
  <si>
    <t>27769208102</t>
  </si>
  <si>
    <t>13562333</t>
  </si>
  <si>
    <t>eb7b5473-d25b-4ec4-9f25-b219a824ce5f</t>
  </si>
  <si>
    <t>27721797561</t>
  </si>
  <si>
    <t>13562518</t>
  </si>
  <si>
    <t>74cb2c7d-0dfc-417f-b911-5b1a060ab251</t>
  </si>
  <si>
    <t>27765473097</t>
  </si>
  <si>
    <t>13560230</t>
  </si>
  <si>
    <t>75f9de29-3298-466f-9037-c610723dd53e</t>
  </si>
  <si>
    <t>2026-03-09 10:36:36</t>
  </si>
  <si>
    <t>27721075230</t>
  </si>
  <si>
    <t>13556869</t>
  </si>
  <si>
    <t>ddd4a186-58fc-4488-b6a6-b21fe15eb8e2</t>
  </si>
  <si>
    <t>2026-03-09 10:36:35</t>
  </si>
  <si>
    <t>27728203708</t>
  </si>
  <si>
    <t>13559269</t>
  </si>
  <si>
    <t>3e9a7aa6-32b4-43e5-98b9-ca237c7e45bc</t>
  </si>
  <si>
    <t>27824983158</t>
  </si>
  <si>
    <t>13561502</t>
  </si>
  <si>
    <t>442deb48-e262-4ba6-9a27-ba798cb35670</t>
  </si>
  <si>
    <t>27769279843</t>
  </si>
  <si>
    <t>13564668</t>
  </si>
  <si>
    <t>bff21792-ab02-411a-a3be-24dfabcae279</t>
  </si>
  <si>
    <t>27660222531</t>
  </si>
  <si>
    <t>13564818</t>
  </si>
  <si>
    <t>b5dbc6c6-2908-40e6-bd0a-3667d4e2292a</t>
  </si>
  <si>
    <t>27607954321</t>
  </si>
  <si>
    <t>13564279</t>
  </si>
  <si>
    <t>35140c0b-eb39-4ca4-9855-d39d3475be11</t>
  </si>
  <si>
    <t>2026-03-09 10:36:28</t>
  </si>
  <si>
    <t>27764956045</t>
  </si>
  <si>
    <t>13564338</t>
  </si>
  <si>
    <t>fd24598c-183b-4f41-84d2-71e53ff9c1e3</t>
  </si>
  <si>
    <t>27765507991</t>
  </si>
  <si>
    <t>13564342</t>
  </si>
  <si>
    <t>afda6cff-2577-41ab-b0b9-b7148ac0e290</t>
  </si>
  <si>
    <t>27637520583</t>
  </si>
  <si>
    <t>13564222</t>
  </si>
  <si>
    <t>fc1dfc80-698b-49b3-a6c3-c2d6bd8c10ba</t>
  </si>
  <si>
    <t>2026-03-09 10:36:27</t>
  </si>
  <si>
    <t>27768533982</t>
  </si>
  <si>
    <t>13564224</t>
  </si>
  <si>
    <t>33ba29d0-135b-4f41-b228-27125a297de0</t>
  </si>
  <si>
    <t>27720654986</t>
  </si>
  <si>
    <t>13564215</t>
  </si>
  <si>
    <t>ffc4f20b-99c2-487c-b23a-321ed43e0b82</t>
  </si>
  <si>
    <t>2026-03-09 10:35:53</t>
  </si>
  <si>
    <t>27713751673</t>
  </si>
  <si>
    <t>13564216</t>
  </si>
  <si>
    <t>b59403ce-8db7-43e4-a42d-cee2f196c4fc</t>
  </si>
  <si>
    <t>27665549634</t>
  </si>
  <si>
    <t>13564218</t>
  </si>
  <si>
    <t>e2352180-4704-4008-b99e-ea6bdc948284</t>
  </si>
  <si>
    <t>27723043982</t>
  </si>
  <si>
    <t>13564220</t>
  </si>
  <si>
    <t>7f9b4f5b-8ca0-4f9a-89a9-0fbd0b560f0e</t>
  </si>
  <si>
    <t>27712407831</t>
  </si>
  <si>
    <t>13557074</t>
  </si>
  <si>
    <t>9aa75c74-fd45-4969-9718-6a1d952f9161</t>
  </si>
  <si>
    <t>2026-03-09 10:35:52</t>
  </si>
  <si>
    <t>27734288834</t>
  </si>
  <si>
    <t>13561547</t>
  </si>
  <si>
    <t>2603adb8-9d6b-420b-8425-9a504f9ec02b</t>
  </si>
  <si>
    <t>27818111280</t>
  </si>
  <si>
    <t>13564204</t>
  </si>
  <si>
    <t>a69237ad-960c-4bd3-96b4-c2f2c46e9bd8</t>
  </si>
  <si>
    <t>27714478102</t>
  </si>
  <si>
    <t>13564211</t>
  </si>
  <si>
    <t>fc23f4ef-1644-4621-8375-44bac0dbd11d</t>
  </si>
  <si>
    <t>27661159308</t>
  </si>
  <si>
    <t>13564212</t>
  </si>
  <si>
    <t>f04db5d4-2e8e-4fda-8dcc-dc14c9dd5c09</t>
  </si>
  <si>
    <t>27665123161</t>
  </si>
  <si>
    <t>13556792</t>
  </si>
  <si>
    <t>9ecbb8e9-ffa3-41a7-8236-2a1b5ff95ffd</t>
  </si>
  <si>
    <t>2026-03-09 10:35:50</t>
  </si>
  <si>
    <t>27727543596</t>
  </si>
  <si>
    <t>13564444</t>
  </si>
  <si>
    <t>90b1c618-cc0a-4422-a77a-9640c4a3cdce</t>
  </si>
  <si>
    <t>2026-03-09 10:35:00</t>
  </si>
  <si>
    <t>27773780774</t>
  </si>
  <si>
    <t>13564454</t>
  </si>
  <si>
    <t>9a2a23f1-0a59-4b27-82ed-703fa22d6370</t>
  </si>
  <si>
    <t>27665993734</t>
  </si>
  <si>
    <t>13564459</t>
  </si>
  <si>
    <t>45472152-0db7-4d19-b644-62b72ee4b731</t>
  </si>
  <si>
    <t>27767805909</t>
  </si>
  <si>
    <t>13564464</t>
  </si>
  <si>
    <t>51f57384-ec21-4574-8e25-33d4657d2f2d</t>
  </si>
  <si>
    <t>27728528235</t>
  </si>
  <si>
    <t>13564466</t>
  </si>
  <si>
    <t>d0aa9d6f-cb64-4cfb-b8b9-2a2ab0d9f9c4</t>
  </si>
  <si>
    <t>27711334868</t>
  </si>
  <si>
    <t>13564442</t>
  </si>
  <si>
    <t>63f6b6dd-c9ce-4534-aa19-92af3a61ec1e</t>
  </si>
  <si>
    <t>2026-03-09 10:34:59</t>
  </si>
  <si>
    <t>27720919836</t>
  </si>
  <si>
    <t>13564417</t>
  </si>
  <si>
    <t>a1da66c5-9cfa-4412-8156-7042f79640b8</t>
  </si>
  <si>
    <t>27721046130</t>
  </si>
  <si>
    <t>13564420</t>
  </si>
  <si>
    <t>2dbc2996-388f-46ec-a3f7-68de96115448</t>
  </si>
  <si>
    <t>27760850258</t>
  </si>
  <si>
    <t>13564421</t>
  </si>
  <si>
    <t>0068b00d-b05d-4f05-9d2f-4ef3b6dc1237</t>
  </si>
  <si>
    <t>27764741429</t>
  </si>
  <si>
    <t>13564408</t>
  </si>
  <si>
    <t>8d645e49-2a6a-4789-9692-816437390200</t>
  </si>
  <si>
    <t>2026-03-09 10:34:58</t>
  </si>
  <si>
    <t>27661320542</t>
  </si>
  <si>
    <t>13564349</t>
  </si>
  <si>
    <t>66a6dbd0-3086-4536-b906-d3d93236b5d8</t>
  </si>
  <si>
    <t>2026-03-09 10:34:56</t>
  </si>
  <si>
    <t>27790948068</t>
  </si>
  <si>
    <t>13564302</t>
  </si>
  <si>
    <t>c24f987e-62c9-47a3-ae7e-06f65adead0c</t>
  </si>
  <si>
    <t>27665401891</t>
  </si>
  <si>
    <t>13564391</t>
  </si>
  <si>
    <t>a81da39f-ddce-45a5-91c5-8f50e6904638</t>
  </si>
  <si>
    <t>27637966590</t>
  </si>
  <si>
    <t>13564403</t>
  </si>
  <si>
    <t>0589925e-1f58-4cb1-8990-69bdeb7bd3d4</t>
  </si>
  <si>
    <t>27712025811</t>
  </si>
  <si>
    <t>13564263</t>
  </si>
  <si>
    <t>2dc69749-4758-4ee7-bf03-83a53ef23001</t>
  </si>
  <si>
    <t>2026-03-09 10:34:55</t>
  </si>
  <si>
    <t>27763169302</t>
  </si>
  <si>
    <t>13564264</t>
  </si>
  <si>
    <t>050b9f2c-f1a3-4291-998d-3c6a86e0cfb9</t>
  </si>
  <si>
    <t>27728388570</t>
  </si>
  <si>
    <t>13564257</t>
  </si>
  <si>
    <t>3cd898de-740c-4d41-937f-b05811b83d37</t>
  </si>
  <si>
    <t>2026-03-09 10:34:54</t>
  </si>
  <si>
    <t>27766299638</t>
  </si>
  <si>
    <t>13564254</t>
  </si>
  <si>
    <t>05f37fd9-8125-4a10-be81-152637d21cf5</t>
  </si>
  <si>
    <t>2026-03-09 10:34:53</t>
  </si>
  <si>
    <t>27790211780</t>
  </si>
  <si>
    <t>13564252</t>
  </si>
  <si>
    <t>fe19fb66-f2c0-470b-a38d-a4327b83cf5b</t>
  </si>
  <si>
    <t>2026-03-09 10:34:52</t>
  </si>
  <si>
    <t>27726516811</t>
  </si>
  <si>
    <t>13564246</t>
  </si>
  <si>
    <t>71aa7420-5ac4-42b4-a0b6-3cb70baa55cd</t>
  </si>
  <si>
    <t>27766084750</t>
  </si>
  <si>
    <t>13564245</t>
  </si>
  <si>
    <t>a26ff1a6-dac4-49d0-ace4-dee6e3b7e8cc</t>
  </si>
  <si>
    <t>2026-03-09 10:34:48</t>
  </si>
  <si>
    <t>27764726057</t>
  </si>
  <si>
    <t>13564235</t>
  </si>
  <si>
    <t>91e88a90-da29-4820-b851-fa43a4aed30c</t>
  </si>
  <si>
    <t>2026-03-09 10:34:47</t>
  </si>
  <si>
    <t>27715454459</t>
  </si>
  <si>
    <t>13559687</t>
  </si>
  <si>
    <t>33a0c3b9-1326-4edb-a7fe-a397a27d02c7</t>
  </si>
  <si>
    <t>2026-03-09 10:34:46</t>
  </si>
  <si>
    <t>27848725854</t>
  </si>
  <si>
    <t>13562942</t>
  </si>
  <si>
    <t>3c2fa6c2-8884-404a-a0d3-11f53ee13ddd</t>
  </si>
  <si>
    <t>27637118249</t>
  </si>
  <si>
    <t>13564227</t>
  </si>
  <si>
    <t>9296216b-7b99-4561-9a0a-101967069336</t>
  </si>
  <si>
    <t>27607744295</t>
  </si>
  <si>
    <t>13564231</t>
  </si>
  <si>
    <t>4da450a4-2238-4fc0-a078-b25c566ab8e0</t>
  </si>
  <si>
    <t>27724873609</t>
  </si>
  <si>
    <t>13564233</t>
  </si>
  <si>
    <t>af0bd213-d0b1-400f-84af-58f2f8469218</t>
  </si>
  <si>
    <t>27649987044</t>
  </si>
  <si>
    <t>13564236</t>
  </si>
  <si>
    <t>d8036c1c-5b64-464b-a377-581f500f549e</t>
  </si>
  <si>
    <t>27607667969</t>
  </si>
  <si>
    <t>13564242</t>
  </si>
  <si>
    <t>847691d6-8416-495d-b7b0-82730b31790a</t>
  </si>
  <si>
    <t>27711391710</t>
  </si>
  <si>
    <t>13555499</t>
  </si>
  <si>
    <t>e59fc88e-aebf-436f-9a65-719cd15611d2</t>
  </si>
  <si>
    <t>2026-03-09 10:34:23</t>
  </si>
  <si>
    <t>27675361464</t>
  </si>
  <si>
    <t>13555500</t>
  </si>
  <si>
    <t>d4a6a862-00be-4105-89e6-be2956bc66da</t>
  </si>
  <si>
    <t>27675402809</t>
  </si>
  <si>
    <t>13555485</t>
  </si>
  <si>
    <t>cf77aef7-72fa-4f9b-838d-f7dc787266e4</t>
  </si>
  <si>
    <t>2026-03-09 10:34:22</t>
  </si>
  <si>
    <t>27674330043</t>
  </si>
  <si>
    <t>13555493</t>
  </si>
  <si>
    <t>5290f945-4548-4fe9-a53e-c125c9e4d703</t>
  </si>
  <si>
    <t>27674733775</t>
  </si>
  <si>
    <t>13555496</t>
  </si>
  <si>
    <t>61bbc084-80eb-4f1a-8304-1933d7a0b2ec</t>
  </si>
  <si>
    <t>27674895145</t>
  </si>
  <si>
    <t>13555497</t>
  </si>
  <si>
    <t>e44a46f3-611a-492a-a413-89f5693771f5</t>
  </si>
  <si>
    <t>27674918201</t>
  </si>
  <si>
    <t>13555476</t>
  </si>
  <si>
    <t>512d9560-6529-4bdb-b1ee-4b7dca3f806e</t>
  </si>
  <si>
    <t>2026-03-09 10:34:20</t>
  </si>
  <si>
    <t>27673854319</t>
  </si>
  <si>
    <t>13555479</t>
  </si>
  <si>
    <t>4a76bf90-a572-417a-8813-e9a8f2978286</t>
  </si>
  <si>
    <t>27673939878</t>
  </si>
  <si>
    <t>13555473</t>
  </si>
  <si>
    <t>41a25ab7-5742-4a3d-9309-cbcd33ccaa8c</t>
  </si>
  <si>
    <t>2026-03-09 10:34:16</t>
  </si>
  <si>
    <t>27673714293</t>
  </si>
  <si>
    <t>13564930</t>
  </si>
  <si>
    <t>f648f6ef-e7a0-4d28-9190-cf188d16ddb3</t>
  </si>
  <si>
    <t>27620275325</t>
  </si>
  <si>
    <t>13564925</t>
  </si>
  <si>
    <t>a5d242e6-451d-4094-b08d-ecfdd6903c76</t>
  </si>
  <si>
    <t>2026-03-09 10:34:13</t>
  </si>
  <si>
    <t>27611994140</t>
  </si>
  <si>
    <t>13564918</t>
  </si>
  <si>
    <t>365cfe57-a6e3-4bbc-a8ba-b9dfba7f394b</t>
  </si>
  <si>
    <t>2026-03-09 10:34:12</t>
  </si>
  <si>
    <t>27609574045</t>
  </si>
  <si>
    <t>13564922</t>
  </si>
  <si>
    <t>e0ed932b-0b5b-4941-b625-7532af469fc5</t>
  </si>
  <si>
    <t>27610035879</t>
  </si>
  <si>
    <t>13564838</t>
  </si>
  <si>
    <t>a3a29597-05c7-41ef-b524-ea0a928215e2</t>
  </si>
  <si>
    <t>2026-03-09 10:34:11</t>
  </si>
  <si>
    <t>27608266439</t>
  </si>
  <si>
    <t>13564839</t>
  </si>
  <si>
    <t>350b91ae-c649-4875-9715-fee826153f95</t>
  </si>
  <si>
    <t>27608274611</t>
  </si>
  <si>
    <t>13564840</t>
  </si>
  <si>
    <t>c4e26c7d-2488-4661-b7cf-6ec7d5004ca0</t>
  </si>
  <si>
    <t>27608294564</t>
  </si>
  <si>
    <t>13564883</t>
  </si>
  <si>
    <t>685668ff-3d65-486d-be5d-0a6353b8e401</t>
  </si>
  <si>
    <t>27609005358</t>
  </si>
  <si>
    <t>13564913</t>
  </si>
  <si>
    <t>fc75861a-1f02-4672-9038-313bd31e9b71</t>
  </si>
  <si>
    <t>27609501369</t>
  </si>
  <si>
    <t>13564835</t>
  </si>
  <si>
    <t>1a05b325-11b7-4a0b-88ea-21ac680ea4a7</t>
  </si>
  <si>
    <t>2026-03-09 10:34:10</t>
  </si>
  <si>
    <t>27608219551</t>
  </si>
  <si>
    <t>13564837</t>
  </si>
  <si>
    <t>6393cc38-45bb-44c1-af9c-24fb4ec81299</t>
  </si>
  <si>
    <t>27608262328</t>
  </si>
  <si>
    <t>13564819</t>
  </si>
  <si>
    <t>d81c8879-f4e8-4f27-831f-c71cfb0f1d81</t>
  </si>
  <si>
    <t>2026-03-09 10:34:09</t>
  </si>
  <si>
    <t>27607961057</t>
  </si>
  <si>
    <t>13564820</t>
  </si>
  <si>
    <t>f8d5ea8a-a672-49ae-b63a-7cdb87905929</t>
  </si>
  <si>
    <t>27607966290</t>
  </si>
  <si>
    <t>13564709</t>
  </si>
  <si>
    <t>34a50972-000e-40f1-826c-9892569d328c</t>
  </si>
  <si>
    <t>2026-03-09 10:34:08</t>
  </si>
  <si>
    <t>27606187600</t>
  </si>
  <si>
    <t>13564715</t>
  </si>
  <si>
    <t>a73561ac-2363-42ea-968e-d1a09450ecec</t>
  </si>
  <si>
    <t>27606275037</t>
  </si>
  <si>
    <t>13564722</t>
  </si>
  <si>
    <t>fc6809b6-e079-4b12-b468-6996727212e4</t>
  </si>
  <si>
    <t>27606351972</t>
  </si>
  <si>
    <t>13564703</t>
  </si>
  <si>
    <t>d333dde7-f69f-4d56-8560-08e7544a28f7</t>
  </si>
  <si>
    <t>2026-03-09 10:34:04</t>
  </si>
  <si>
    <t>27606138099</t>
  </si>
  <si>
    <t>13564705</t>
  </si>
  <si>
    <t>443dd505-773d-4321-a03d-2ea570a7ec70</t>
  </si>
  <si>
    <t>27606150097</t>
  </si>
  <si>
    <t>13564708</t>
  </si>
  <si>
    <t>d57a977d-8b0e-4177-bff5-4c34d914c859</t>
  </si>
  <si>
    <t>27606177591</t>
  </si>
  <si>
    <t>13564695</t>
  </si>
  <si>
    <t>113d7ff8-feef-430f-bdcc-ff1b71faf233</t>
  </si>
  <si>
    <t>2026-03-09 10:34:03</t>
  </si>
  <si>
    <t>27606009729</t>
  </si>
  <si>
    <t>13564694</t>
  </si>
  <si>
    <t>5d6fb4c9-70e0-42cc-8b1f-73266074340a</t>
  </si>
  <si>
    <t>2026-03-09 10:33:59</t>
  </si>
  <si>
    <t>27606002403</t>
  </si>
  <si>
    <t>13564672</t>
  </si>
  <si>
    <t>6368e9d8-cdef-4b38-b6f1-6bc41e33162b</t>
  </si>
  <si>
    <t>2026-03-09 10:33:58</t>
  </si>
  <si>
    <t>27649997203</t>
  </si>
  <si>
    <t>13564674</t>
  </si>
  <si>
    <t>30d6c51c-cccc-4561-bf08-b13f39409fff</t>
  </si>
  <si>
    <t>27769063643</t>
  </si>
  <si>
    <t>13564685</t>
  </si>
  <si>
    <t>3edf9bd7-7345-4cfd-aa35-ae8c9dc00e4c</t>
  </si>
  <si>
    <t>27760318875</t>
  </si>
  <si>
    <t>13564686</t>
  </si>
  <si>
    <t>5585238c-984f-4b9a-add1-cb081cc91dd1</t>
  </si>
  <si>
    <t>27761114017</t>
  </si>
  <si>
    <t>13564322</t>
  </si>
  <si>
    <t>516cd29d-b0e7-4f5f-9951-8eced8684de3</t>
  </si>
  <si>
    <t>2026-03-09 10:33:57</t>
  </si>
  <si>
    <t>27715613158</t>
  </si>
  <si>
    <t>13564327</t>
  </si>
  <si>
    <t>d5b2b1af-88db-4d91-a6f1-5be0b776c9d9</t>
  </si>
  <si>
    <t>27761857888</t>
  </si>
  <si>
    <t>13564332</t>
  </si>
  <si>
    <t>5448a347-1dc1-44ec-8ec1-c52ffac2a5e4</t>
  </si>
  <si>
    <t>27723479325</t>
  </si>
  <si>
    <t>13564669</t>
  </si>
  <si>
    <t>5ae7aa9c-21f2-4084-90f7-a28c8505fe81</t>
  </si>
  <si>
    <t>27664264759</t>
  </si>
  <si>
    <t>13564670</t>
  </si>
  <si>
    <t>c538ea93-c861-4bdc-be94-bdbf4ab65560</t>
  </si>
  <si>
    <t>27791095033</t>
  </si>
  <si>
    <t>13564317</t>
  </si>
  <si>
    <t>647b0bf9-d775-4cb7-8bb8-fa15dc8399e5</t>
  </si>
  <si>
    <t>2026-03-09 10:33:56</t>
  </si>
  <si>
    <t>27768375780</t>
  </si>
  <si>
    <t>13564297</t>
  </si>
  <si>
    <t>14dc6d06-2e4e-4d86-99ca-844268796444</t>
  </si>
  <si>
    <t>2026-03-09 10:33:55</t>
  </si>
  <si>
    <t>27791139914</t>
  </si>
  <si>
    <t>13564304</t>
  </si>
  <si>
    <t>58b3eb8b-46c8-4aed-845a-11a6f2502bed</t>
  </si>
  <si>
    <t>27768211079</t>
  </si>
  <si>
    <t>13564314</t>
  </si>
  <si>
    <t>0e5eac36-7d82-483f-a877-af2760abaf4d</t>
  </si>
  <si>
    <t>27790884168</t>
  </si>
  <si>
    <t>13564258</t>
  </si>
  <si>
    <t>6449d973-58bd-49dd-b3b6-1756060a00ad</t>
  </si>
  <si>
    <t>2026-03-09 10:33:53</t>
  </si>
  <si>
    <t>27767979501</t>
  </si>
  <si>
    <t>13564281</t>
  </si>
  <si>
    <t>5f6df23a-0099-4cc7-9830-93d7ce05269a</t>
  </si>
  <si>
    <t>27721152170</t>
  </si>
  <si>
    <t>13564285</t>
  </si>
  <si>
    <t>646ed82f-ed35-4c38-a8f2-68ad8efe1f36</t>
  </si>
  <si>
    <t>27713914829</t>
  </si>
  <si>
    <t>13564289</t>
  </si>
  <si>
    <t>4715d660-4ea0-455f-949e-1ee19d8b905d</t>
  </si>
  <si>
    <t>27607756230</t>
  </si>
  <si>
    <t>13564291</t>
  </si>
  <si>
    <t>fd2cd573-3c05-41ec-9c4c-db00ddf931b2</t>
  </si>
  <si>
    <t>27790615174</t>
  </si>
  <si>
    <t>13564292</t>
  </si>
  <si>
    <t>9cdd7460-d3a4-4e1b-95aa-1eb332522778</t>
  </si>
  <si>
    <t>27791096534</t>
  </si>
  <si>
    <t>13564238</t>
  </si>
  <si>
    <t>5a103957-4ab3-4a8b-882a-14e08718c81d</t>
  </si>
  <si>
    <t>2026-03-09 10:33:52</t>
  </si>
  <si>
    <t>27767169668</t>
  </si>
  <si>
    <t>13563482</t>
  </si>
  <si>
    <t>3994a6f9-58e1-46e0-9517-f4d55cfe6756</t>
  </si>
  <si>
    <t>2026-03-09 10:33:49</t>
  </si>
  <si>
    <t>27661689785</t>
  </si>
  <si>
    <t>13563783</t>
  </si>
  <si>
    <t>af4ce618-d677-4ca1-af22-43ecbc54a161</t>
  </si>
  <si>
    <t>27646349407</t>
  </si>
  <si>
    <t>13563744</t>
  </si>
  <si>
    <t>2357e5d8-9a06-4c1e-a831-f81ab25cc2d0</t>
  </si>
  <si>
    <t>27636603580</t>
  </si>
  <si>
    <t>13558542</t>
  </si>
  <si>
    <t>f2d1cd5e-3635-4bee-96c5-4f1db797018b</t>
  </si>
  <si>
    <t>2026-03-09 10:33:48</t>
  </si>
  <si>
    <t>27795314900</t>
  </si>
  <si>
    <t>13563453</t>
  </si>
  <si>
    <t>1cbfae10-4b0b-4fae-b275-0205eac5eb45</t>
  </si>
  <si>
    <t>27766676108</t>
  </si>
  <si>
    <t>13563784</t>
  </si>
  <si>
    <t>a6dd94c6-9105-445b-8438-2d9cdb0046cb</t>
  </si>
  <si>
    <t>27765480866</t>
  </si>
  <si>
    <t>13564083</t>
  </si>
  <si>
    <t>e6784a48-47ae-4baa-9c23-82b7f254af68</t>
  </si>
  <si>
    <t>27763780065</t>
  </si>
  <si>
    <t>13556867</t>
  </si>
  <si>
    <t>5f09bb39-43a5-415c-b9b5-85cec651fd45</t>
  </si>
  <si>
    <t>27728162166</t>
  </si>
  <si>
    <t>13562760</t>
  </si>
  <si>
    <t>6430bad0-a555-4346-9b5f-8c1998747000</t>
  </si>
  <si>
    <t>2026-03-09 10:32:58</t>
  </si>
  <si>
    <t>27766229347</t>
  </si>
  <si>
    <t>13563313</t>
  </si>
  <si>
    <t>11551489-cc62-482c-88a8-d3f2ec9dd233</t>
  </si>
  <si>
    <t>27764200268</t>
  </si>
  <si>
    <t>13563323</t>
  </si>
  <si>
    <t>c935ff08-b566-4132-9978-738b430fcbad</t>
  </si>
  <si>
    <t>27660268842</t>
  </si>
  <si>
    <t>13563324</t>
  </si>
  <si>
    <t>68d1211f-8648-4bbe-aa6a-9bf02827b2eb</t>
  </si>
  <si>
    <t>27661740211</t>
  </si>
  <si>
    <t>13563326</t>
  </si>
  <si>
    <t>1a5659ba-10b5-4060-a3b5-1f41683c5f87</t>
  </si>
  <si>
    <t>27768426615</t>
  </si>
  <si>
    <t>13563328</t>
  </si>
  <si>
    <t>c477b5b5-5cb3-46a5-9e27-e8030e811925</t>
  </si>
  <si>
    <t>27769334569</t>
  </si>
  <si>
    <t>13563330</t>
  </si>
  <si>
    <t>1551cf50-790c-4897-a71a-29b5a7e079db</t>
  </si>
  <si>
    <t>27712807012</t>
  </si>
  <si>
    <t>13562881</t>
  </si>
  <si>
    <t>84b8bf71-4025-4908-a91d-5b83414a311e</t>
  </si>
  <si>
    <t>2026-03-09 10:32:57</t>
  </si>
  <si>
    <t>27712663702</t>
  </si>
  <si>
    <t>13562848</t>
  </si>
  <si>
    <t>f6a45c06-7d02-4807-a359-3a5f645aa826</t>
  </si>
  <si>
    <t>27762655785</t>
  </si>
  <si>
    <t>13562852</t>
  </si>
  <si>
    <t>6c574208-d94b-4135-b131-cd3c4df5369b</t>
  </si>
  <si>
    <t>27767572306</t>
  </si>
  <si>
    <t>13562860</t>
  </si>
  <si>
    <t>1a51caad-ad0f-4dd5-aa4f-911a37c6b78b</t>
  </si>
  <si>
    <t>27720644627</t>
  </si>
  <si>
    <t>13562867</t>
  </si>
  <si>
    <t>c18fd345-edb6-4b23-b4c1-0d8fc52fa109</t>
  </si>
  <si>
    <t>27767569518</t>
  </si>
  <si>
    <t>13562840</t>
  </si>
  <si>
    <t>b78efa8e-d96d-4988-9d73-f241268897c1</t>
  </si>
  <si>
    <t>2026-03-09 10:32:54</t>
  </si>
  <si>
    <t>27790436163</t>
  </si>
  <si>
    <t>13557301</t>
  </si>
  <si>
    <t>127c6f87-e7db-4b18-919f-707d5f2f770b</t>
  </si>
  <si>
    <t>27762262357</t>
  </si>
  <si>
    <t>13555284</t>
  </si>
  <si>
    <t>c0c3dae0-7262-4515-9888-3c799ee5c744</t>
  </si>
  <si>
    <t>2026-03-09 10:32:53</t>
  </si>
  <si>
    <t>27661175421</t>
  </si>
  <si>
    <t>13555472</t>
  </si>
  <si>
    <t>0a73e13d-0a6e-4802-ac51-a824de12463c</t>
  </si>
  <si>
    <t>2026-03-09 10:32:32</t>
  </si>
  <si>
    <t>27673712961</t>
  </si>
  <si>
    <t>13555462</t>
  </si>
  <si>
    <t>947701d9-7d56-4404-91f8-84495899b2a9</t>
  </si>
  <si>
    <t>2026-03-09 10:32:31</t>
  </si>
  <si>
    <t>27673403291</t>
  </si>
  <si>
    <t>13555464</t>
  </si>
  <si>
    <t>7b6127d9-6205-4e25-b4b0-237d746ab1e0</t>
  </si>
  <si>
    <t>27673419123</t>
  </si>
  <si>
    <t>13555468</t>
  </si>
  <si>
    <t>20626fc7-fa77-4b3a-b9fc-c4cb001f6ef6</t>
  </si>
  <si>
    <t>27673542029</t>
  </si>
  <si>
    <t>13555458</t>
  </si>
  <si>
    <t>8dd5688a-4f6f-4a6b-a483-f62a10648279</t>
  </si>
  <si>
    <t>27673274168</t>
  </si>
  <si>
    <t>13555461</t>
  </si>
  <si>
    <t>9d663007-5260-4235-b581-587f77c71ffe</t>
  </si>
  <si>
    <t>27673368044</t>
  </si>
  <si>
    <t>13555447</t>
  </si>
  <si>
    <t>efb79c13-51e1-4ee5-beff-438e68318975</t>
  </si>
  <si>
    <t>2026-03-09 10:32:29</t>
  </si>
  <si>
    <t>27665999332</t>
  </si>
  <si>
    <t>13563773</t>
  </si>
  <si>
    <t>e098eaf6-8ffb-429e-aeb5-be938e1bbb5a</t>
  </si>
  <si>
    <t>27646274592</t>
  </si>
  <si>
    <t>13563759</t>
  </si>
  <si>
    <t>c373e031-4240-4ac5-8f36-3aa17a2c3917</t>
  </si>
  <si>
    <t>2026-03-09 10:32:28</t>
  </si>
  <si>
    <t>27762498241</t>
  </si>
  <si>
    <t>13563762</t>
  </si>
  <si>
    <t>84612835-c07a-41b5-830e-c50352c4be4b</t>
  </si>
  <si>
    <t>27673876455</t>
  </si>
  <si>
    <t>13563763</t>
  </si>
  <si>
    <t>f479f082-98d7-4372-a7e4-ad4583f34051</t>
  </si>
  <si>
    <t>27726240464</t>
  </si>
  <si>
    <t>13563770</t>
  </si>
  <si>
    <t>0534afba-4efb-4de5-b137-dbfe09bc6aa6</t>
  </si>
  <si>
    <t>27769177752</t>
  </si>
  <si>
    <t>13563753</t>
  </si>
  <si>
    <t>f48009aa-e040-4044-ac3c-f1052efdfb6d</t>
  </si>
  <si>
    <t>2026-03-09 10:32:22</t>
  </si>
  <si>
    <t>27661708781</t>
  </si>
  <si>
    <t>13563757</t>
  </si>
  <si>
    <t>3b4f0d0b-ba99-43b1-a18a-7e468891def8</t>
  </si>
  <si>
    <t>27637681875</t>
  </si>
  <si>
    <t>13563722</t>
  </si>
  <si>
    <t>72fd0817-3d8c-49c8-bbdb-efc59d787a14</t>
  </si>
  <si>
    <t>2026-03-09 10:32:14</t>
  </si>
  <si>
    <t>27712931042</t>
  </si>
  <si>
    <t>13563730</t>
  </si>
  <si>
    <t>3a028d14-ca83-4043-8477-088416ab0706</t>
  </si>
  <si>
    <t>27764419740</t>
  </si>
  <si>
    <t>13563734</t>
  </si>
  <si>
    <t>9db6d6ff-247b-4c8c-9a34-4385b2a82bca</t>
  </si>
  <si>
    <t>27767272767</t>
  </si>
  <si>
    <t>13563743</t>
  </si>
  <si>
    <t>6125a9ee-f2d3-40be-9dc5-a58ee642aaaa</t>
  </si>
  <si>
    <t>27665358582</t>
  </si>
  <si>
    <t>13563713</t>
  </si>
  <si>
    <t>512eb938-3f1c-4678-98ac-2e1590190032</t>
  </si>
  <si>
    <t>2026-03-09 10:31:29</t>
  </si>
  <si>
    <t>27713298440</t>
  </si>
  <si>
    <t>13563717</t>
  </si>
  <si>
    <t>5c9a7f8c-e96d-4564-9b1b-d25e9ad83280</t>
  </si>
  <si>
    <t>27723458795</t>
  </si>
  <si>
    <t>13563718</t>
  </si>
  <si>
    <t>46001907-1b09-4de2-b2f0-ef4b7453c2f1</t>
  </si>
  <si>
    <t>27648126809</t>
  </si>
  <si>
    <t>13563696</t>
  </si>
  <si>
    <t>6c422e38-0862-4951-80c2-baeb42549370</t>
  </si>
  <si>
    <t>2026-03-09 10:31:28</t>
  </si>
  <si>
    <t>27774964083</t>
  </si>
  <si>
    <t>13563706</t>
  </si>
  <si>
    <t>d1b22c69-1bc5-43ff-9cce-750dfee97f88</t>
  </si>
  <si>
    <t>27649147663</t>
  </si>
  <si>
    <t>13563709</t>
  </si>
  <si>
    <t>50ff78c6-62a2-41b9-ba1d-b15829308df0</t>
  </si>
  <si>
    <t>27729139702</t>
  </si>
  <si>
    <t>13563712</t>
  </si>
  <si>
    <t>1b34a0de-fec5-4b3e-8f1b-60734edb9437</t>
  </si>
  <si>
    <t>27711374091</t>
  </si>
  <si>
    <t>13563719</t>
  </si>
  <si>
    <t>a7b2cbb3-b24f-427d-ba4b-fa83ec110fa9</t>
  </si>
  <si>
    <t>27711103221</t>
  </si>
  <si>
    <t>13563674</t>
  </si>
  <si>
    <t>4b8d300b-3636-46f2-a246-52bd7363470e</t>
  </si>
  <si>
    <t>2026-03-09 10:31:27</t>
  </si>
  <si>
    <t>27762437948</t>
  </si>
  <si>
    <t>13563691</t>
  </si>
  <si>
    <t>1f859798-d529-40d3-983d-190f2790fc2b</t>
  </si>
  <si>
    <t>27762053352</t>
  </si>
  <si>
    <t>13563692</t>
  </si>
  <si>
    <t>b42b0037-188f-45a6-a7cc-78e351d4fd92</t>
  </si>
  <si>
    <t>27637248138</t>
  </si>
  <si>
    <t>13563695</t>
  </si>
  <si>
    <t>d6b9c4d7-9f4f-40d8-9056-344de6fe2e83</t>
  </si>
  <si>
    <t>27665951713</t>
  </si>
  <si>
    <t>13563640</t>
  </si>
  <si>
    <t>825d9f72-9c31-483f-a0a9-8626458a2a5c</t>
  </si>
  <si>
    <t>2026-03-09 10:31:25</t>
  </si>
  <si>
    <t>27715732746</t>
  </si>
  <si>
    <t>13563595</t>
  </si>
  <si>
    <t>0f2d0910-351b-4a1d-81cc-fc8866502b6c</t>
  </si>
  <si>
    <t>2026-03-09 10:31:24</t>
  </si>
  <si>
    <t>27660854237</t>
  </si>
  <si>
    <t>13563614</t>
  </si>
  <si>
    <t>6f88ad28-86bd-453f-987f-c2518cfba841</t>
  </si>
  <si>
    <t>27765375031</t>
  </si>
  <si>
    <t>13563635</t>
  </si>
  <si>
    <t>1c10f826-eff1-4f2a-b0af-79e984549476</t>
  </si>
  <si>
    <t>27764958282</t>
  </si>
  <si>
    <t>13563555</t>
  </si>
  <si>
    <t>76c9bfa5-d8b5-40f4-856f-c2b29969dd78</t>
  </si>
  <si>
    <t>2026-03-09 10:31:22</t>
  </si>
  <si>
    <t>27608416650</t>
  </si>
  <si>
    <t>13563556</t>
  </si>
  <si>
    <t>474e10c6-ce48-4b47-bbf9-5ac1717803f3</t>
  </si>
  <si>
    <t>27636557949</t>
  </si>
  <si>
    <t>13563523</t>
  </si>
  <si>
    <t>6b7a1e9b-491e-4945-abcc-c71cca57772f</t>
  </si>
  <si>
    <t>27713644766</t>
  </si>
  <si>
    <t>13563524</t>
  </si>
  <si>
    <t>d1d08a88-87c8-4730-9ce5-1a806d4f8134</t>
  </si>
  <si>
    <t>27647628526</t>
  </si>
  <si>
    <t>13563552</t>
  </si>
  <si>
    <t>4ba4fb43-c43c-4b28-838d-7e5302c1e2c1</t>
  </si>
  <si>
    <t>27766868332</t>
  </si>
  <si>
    <t>13563499</t>
  </si>
  <si>
    <t>505ba83e-e37a-4791-9f43-c0e267315668</t>
  </si>
  <si>
    <t>2026-03-09 10:31:21</t>
  </si>
  <si>
    <t>27609060158</t>
  </si>
  <si>
    <t>13563781</t>
  </si>
  <si>
    <t>a3182e56-7148-4fa7-9c79-1945876cdcc8</t>
  </si>
  <si>
    <t>27674473592</t>
  </si>
  <si>
    <t>13563568</t>
  </si>
  <si>
    <t>ef5fcfd4-14cb-4b97-b582-0b3c6f8dd3d7</t>
  </si>
  <si>
    <t>2026-03-09 10:30:51</t>
  </si>
  <si>
    <t>27760120290</t>
  </si>
  <si>
    <t>13559604</t>
  </si>
  <si>
    <t>15f5c1df-dcaa-4dfb-9e86-2a88d5df3f75</t>
  </si>
  <si>
    <t>SELECTED</t>
  </si>
  <si>
    <t>Selected</t>
  </si>
  <si>
    <t>2026-03-09 10:30:27</t>
  </si>
  <si>
    <t>27829380100</t>
  </si>
  <si>
    <t>13555435</t>
  </si>
  <si>
    <t>6578d160-fbe8-48a1-a517-5a1f9a341a23</t>
  </si>
  <si>
    <t>2026-03-09 10:30:24</t>
  </si>
  <si>
    <t>27665430165</t>
  </si>
  <si>
    <t>13555438</t>
  </si>
  <si>
    <t>e10a3a0f-b1f4-426e-be45-d185162bd95f</t>
  </si>
  <si>
    <t>27665609851</t>
  </si>
  <si>
    <t>13555440</t>
  </si>
  <si>
    <t>7374c37b-d567-412e-8d16-601cc6e193a7</t>
  </si>
  <si>
    <t>27665688354</t>
  </si>
  <si>
    <t>13555449</t>
  </si>
  <si>
    <t>6db4aa7d-3e0d-45e0-a518-fb293346ce0c</t>
  </si>
  <si>
    <t>27673012225</t>
  </si>
  <si>
    <t>13555452</t>
  </si>
  <si>
    <t>62b5f95f-8315-49a2-bf5a-ce86ee893c93</t>
  </si>
  <si>
    <t>27673047045</t>
  </si>
  <si>
    <t>13555453</t>
  </si>
  <si>
    <t>08a3d787-3607-4a72-97a7-58714127232c</t>
  </si>
  <si>
    <t>27673076216</t>
  </si>
  <si>
    <t>13555454</t>
  </si>
  <si>
    <t>1e81725b-4717-437e-9c8e-4e241c41a847</t>
  </si>
  <si>
    <t>27673087364</t>
  </si>
  <si>
    <t>13555427</t>
  </si>
  <si>
    <t>d5f35268-054d-4ba8-8ea9-dde6ffadd8b9</t>
  </si>
  <si>
    <t>2026-03-09 10:30:23</t>
  </si>
  <si>
    <t>27665283207</t>
  </si>
  <si>
    <t>13555428</t>
  </si>
  <si>
    <t>1c31fd43-7907-4d05-84d1-baed036de7c8</t>
  </si>
  <si>
    <t>27665327262</t>
  </si>
  <si>
    <t>13555432</t>
  </si>
  <si>
    <t>691f534f-6dda-453b-890f-85b937ecba2f</t>
  </si>
  <si>
    <t>27665375389</t>
  </si>
  <si>
    <t>13555433</t>
  </si>
  <si>
    <t>87266557-fcc4-452d-8217-5778424831fc</t>
  </si>
  <si>
    <t>27665376123</t>
  </si>
  <si>
    <t>13554959</t>
  </si>
  <si>
    <t>e2a9edc5-81c6-4ecf-8050-29a2f2761248</t>
  </si>
  <si>
    <t>2026-03-09 10:30:22</t>
  </si>
  <si>
    <t>27636351077</t>
  </si>
  <si>
    <t>13555424</t>
  </si>
  <si>
    <t>968bda85-4369-4a25-bbbc-6bc56aec6d5d</t>
  </si>
  <si>
    <t>27665185138</t>
  </si>
  <si>
    <t>13555426</t>
  </si>
  <si>
    <t>72266962-8c05-400d-852d-78f160ee83af</t>
  </si>
  <si>
    <t>27665224384</t>
  </si>
  <si>
    <t>13555336</t>
  </si>
  <si>
    <t>b8d05d46-34bf-44c1-8307-fef2a921fef7</t>
  </si>
  <si>
    <t>27663370793</t>
  </si>
  <si>
    <t>13563690</t>
  </si>
  <si>
    <t>5c5d8f7a-2b9a-47f8-ac10-e262b6f08b41</t>
  </si>
  <si>
    <t>27663437237</t>
  </si>
  <si>
    <t>13563671</t>
  </si>
  <si>
    <t>662c3dc6-d8a1-4d4b-8eb7-ef1bdde6df09</t>
  </si>
  <si>
    <t>2026-03-09 10:30:16</t>
  </si>
  <si>
    <t>27763221101</t>
  </si>
  <si>
    <t>13563673</t>
  </si>
  <si>
    <t>e199c40a-6bd1-4912-9c66-f232717549e4</t>
  </si>
  <si>
    <t>27764490545</t>
  </si>
  <si>
    <t>13563642</t>
  </si>
  <si>
    <t>64b36f9f-119f-48ee-a864-5761eceaa31e</t>
  </si>
  <si>
    <t>27716665853</t>
  </si>
  <si>
    <t>13563621</t>
  </si>
  <si>
    <t>01c9c484-b955-4157-bb49-264c58dff9a5</t>
  </si>
  <si>
    <t>2026-03-09 10:30:15</t>
  </si>
  <si>
    <t>27729400227</t>
  </si>
  <si>
    <t>13563629</t>
  </si>
  <si>
    <t>add5dd49-446d-404a-bdb6-ed4031bf1679</t>
  </si>
  <si>
    <t>27761372001</t>
  </si>
  <si>
    <t>13563643</t>
  </si>
  <si>
    <t>3e59a7b6-41b0-4441-9969-da1dbf581d96</t>
  </si>
  <si>
    <t>27648887000</t>
  </si>
  <si>
    <t>13563606</t>
  </si>
  <si>
    <t>cf6d4272-4828-4d09-b782-d64d8e13adba</t>
  </si>
  <si>
    <t>2026-03-09 10:30:14</t>
  </si>
  <si>
    <t>27763008772</t>
  </si>
  <si>
    <t>13563607</t>
  </si>
  <si>
    <t>b5be1156-a779-46bc-86ce-895b7277cc4d</t>
  </si>
  <si>
    <t>27726769340</t>
  </si>
  <si>
    <t>13563620</t>
  </si>
  <si>
    <t>97859354-d4da-424d-b775-6a26a80fc685</t>
  </si>
  <si>
    <t>27660026835</t>
  </si>
  <si>
    <t>13563559</t>
  </si>
  <si>
    <t>c989f195-8ced-4392-9555-89cf4a8e7fe4</t>
  </si>
  <si>
    <t>2026-03-09 10:30:10</t>
  </si>
  <si>
    <t>27714144620</t>
  </si>
  <si>
    <t>13563604</t>
  </si>
  <si>
    <t>693bd857-f892-434b-8f51-7d7d0b4d23d6</t>
  </si>
  <si>
    <t>27674444411</t>
  </si>
  <si>
    <t>13563475</t>
  </si>
  <si>
    <t>fc6af616-91ea-46fe-90c6-f30e6e1b19c6</t>
  </si>
  <si>
    <t>2026-03-09 10:30:09</t>
  </si>
  <si>
    <t>27646471424</t>
  </si>
  <si>
    <t>13563478</t>
  </si>
  <si>
    <t>cae40a4b-2acf-4264-a0fe-22b1bdbc25fe</t>
  </si>
  <si>
    <t>27715796389</t>
  </si>
  <si>
    <t>13563480</t>
  </si>
  <si>
    <t>9a23692d-8d65-4f69-b12a-838792cab394</t>
  </si>
  <si>
    <t>27729362500</t>
  </si>
  <si>
    <t>13563534</t>
  </si>
  <si>
    <t>b6695956-f52c-48b7-a7f5-7a062cfaf53c</t>
  </si>
  <si>
    <t>27606474393</t>
  </si>
  <si>
    <t>13563467</t>
  </si>
  <si>
    <t>84b1ff04-38a6-4135-92b4-3141316c4c3e</t>
  </si>
  <si>
    <t>2026-03-09 10:30:08</t>
  </si>
  <si>
    <t>27712964578</t>
  </si>
  <si>
    <t>13563450</t>
  </si>
  <si>
    <t>975bc70b-7c72-44e0-a421-2a468e82af94</t>
  </si>
  <si>
    <t>27711408449</t>
  </si>
  <si>
    <t>13563451</t>
  </si>
  <si>
    <t>05d9706a-b50b-4b10-a076-87f6ecdc5922</t>
  </si>
  <si>
    <t>27712391622</t>
  </si>
  <si>
    <t>13563452</t>
  </si>
  <si>
    <t>1344b347-b7b1-44ca-875c-46df9d87788d</t>
  </si>
  <si>
    <t>27720831742</t>
  </si>
  <si>
    <t>13563441</t>
  </si>
  <si>
    <t>471a22fd-7d3e-494b-994a-cc5357e18493</t>
  </si>
  <si>
    <t>2026-03-09 10:30:07</t>
  </si>
  <si>
    <t>27607551117</t>
  </si>
  <si>
    <t>13563442</t>
  </si>
  <si>
    <t>6c67fecf-9daa-443e-b392-99c7bbd69b98</t>
  </si>
  <si>
    <t>27608813574</t>
  </si>
  <si>
    <t>13563444</t>
  </si>
  <si>
    <t>c5e58f17-07ca-4db9-8d85-041febfc8061</t>
  </si>
  <si>
    <t>27765715548</t>
  </si>
  <si>
    <t>13563449</t>
  </si>
  <si>
    <t>40e99382-daae-404a-8a29-486eff9322c0</t>
  </si>
  <si>
    <t>27663594648</t>
  </si>
  <si>
    <t>13563429</t>
  </si>
  <si>
    <t>c88b42cf-6d04-4c91-8724-c74bd8f87764</t>
  </si>
  <si>
    <t>2026-03-09 10:30:02</t>
  </si>
  <si>
    <t>27722824526</t>
  </si>
  <si>
    <t>13563431</t>
  </si>
  <si>
    <t>270cde08-27c5-402e-9942-1a8084cc51dd</t>
  </si>
  <si>
    <t>27722405487</t>
  </si>
  <si>
    <t>13563424</t>
  </si>
  <si>
    <t>4fde805a-c142-4496-a57c-b4e66280063d</t>
  </si>
  <si>
    <t>2026-03-09 10:29:53</t>
  </si>
  <si>
    <t>27721115780</t>
  </si>
  <si>
    <t>13559691</t>
  </si>
  <si>
    <t>a9b4fe8f-62b1-4be0-ba6b-790ae341373e</t>
  </si>
  <si>
    <t>2026-03-09 10:29:50</t>
  </si>
  <si>
    <t>27663125081</t>
  </si>
  <si>
    <t>13563422</t>
  </si>
  <si>
    <t>fcb88ecd-7871-4021-897e-4fef1953e65d</t>
  </si>
  <si>
    <t>27765966253</t>
  </si>
  <si>
    <t>13555405</t>
  </si>
  <si>
    <t>bef88d7d-3934-4877-9c8e-651eed9b45e7</t>
  </si>
  <si>
    <t>2026-03-09 10:29:33</t>
  </si>
  <si>
    <t>27664841446</t>
  </si>
  <si>
    <t>13555408</t>
  </si>
  <si>
    <t>fb2f2122-38bf-4e9e-84e1-179cfa46d06f</t>
  </si>
  <si>
    <t>27664932395</t>
  </si>
  <si>
    <t>13555410</t>
  </si>
  <si>
    <t>7e17b697-8553-4401-b18a-5127c2ce0270</t>
  </si>
  <si>
    <t>27664958769</t>
  </si>
  <si>
    <t>13555413</t>
  </si>
  <si>
    <t>bc0f1fcf-be27-4698-8646-54039fd8580d</t>
  </si>
  <si>
    <t>27664994847</t>
  </si>
  <si>
    <t>13555415</t>
  </si>
  <si>
    <t>7dcd2cac-ce93-4826-932c-7515229464d8</t>
  </si>
  <si>
    <t>27665059427</t>
  </si>
  <si>
    <t>13555368</t>
  </si>
  <si>
    <t>5955e971-1207-437d-82e2-b0486dc30d37</t>
  </si>
  <si>
    <t>2026-03-09 10:29:32</t>
  </si>
  <si>
    <t>27664107867</t>
  </si>
  <si>
    <t>13555379</t>
  </si>
  <si>
    <t>32d1c8da-f32e-43d5-baea-dd3a464e0af3</t>
  </si>
  <si>
    <t>27664253122</t>
  </si>
  <si>
    <t>13555369</t>
  </si>
  <si>
    <t>1a9da78f-83c6-46a9-b10c-55960d7d9008</t>
  </si>
  <si>
    <t>2026-03-09 10:29:31</t>
  </si>
  <si>
    <t>27664109933</t>
  </si>
  <si>
    <t>13555401</t>
  </si>
  <si>
    <t>838962d9-83e7-4a9b-9876-716cf1fdeb30</t>
  </si>
  <si>
    <t>27664671532</t>
  </si>
  <si>
    <t>13555345</t>
  </si>
  <si>
    <t>0dae97b1-8d29-43d1-8abf-947075814102</t>
  </si>
  <si>
    <t>27663685238</t>
  </si>
  <si>
    <t>13555352</t>
  </si>
  <si>
    <t>a6eb915d-54ce-4170-8513-c4321b76b330</t>
  </si>
  <si>
    <t>27663861624</t>
  </si>
  <si>
    <t>13555358</t>
  </si>
  <si>
    <t>0bd1895a-2372-44a6-8fae-0ec4b443247b</t>
  </si>
  <si>
    <t>27663984710</t>
  </si>
  <si>
    <t>13555361</t>
  </si>
  <si>
    <t>6d1665af-10ee-45a5-b5b4-326c840c8a19</t>
  </si>
  <si>
    <t>27664058080</t>
  </si>
  <si>
    <t>13555363</t>
  </si>
  <si>
    <t>538f3b9c-6010-4fc5-b40e-ad41c09a72b1</t>
  </si>
  <si>
    <t>27664079405</t>
  </si>
  <si>
    <t>13555385</t>
  </si>
  <si>
    <t>1f39393c-c9b2-45f1-9e8e-f8179e900a00</t>
  </si>
  <si>
    <t>2026-03-09 10:29:30</t>
  </si>
  <si>
    <t>27664349378</t>
  </si>
  <si>
    <t>13555391</t>
  </si>
  <si>
    <t>979dc793-9ea4-4ed7-8652-18603a976a92</t>
  </si>
  <si>
    <t>27664569489</t>
  </si>
  <si>
    <t>13555400</t>
  </si>
  <si>
    <t>52e2287a-8b68-4148-947c-649818f53945</t>
  </si>
  <si>
    <t>27664664276</t>
  </si>
  <si>
    <t>13555333</t>
  </si>
  <si>
    <t>e957f6ce-5f57-490b-a13d-4f6a3e7a3062</t>
  </si>
  <si>
    <t>27663313121</t>
  </si>
  <si>
    <t>13555339</t>
  </si>
  <si>
    <t>776aa10f-f3e2-43c9-b270-872ae979eb04</t>
  </si>
  <si>
    <t>27663479928</t>
  </si>
  <si>
    <t>13555340</t>
  </si>
  <si>
    <t>4dd87826-907d-43ae-acce-9cb3935f2dcf</t>
  </si>
  <si>
    <t>27663523413</t>
  </si>
  <si>
    <t>13555341</t>
  </si>
  <si>
    <t>79e93504-dc87-4f76-8533-dcea5339aaec</t>
  </si>
  <si>
    <t>27663554416</t>
  </si>
  <si>
    <t>13555348</t>
  </si>
  <si>
    <t>903013e3-cb9a-4006-a03d-2ce60cf00fdb</t>
  </si>
  <si>
    <t>27663836055</t>
  </si>
  <si>
    <t>13555319</t>
  </si>
  <si>
    <t>47347c8f-4ba3-4c07-ba38-f32618512c0c</t>
  </si>
  <si>
    <t>2026-03-09 10:29:29</t>
  </si>
  <si>
    <t>27663027621</t>
  </si>
  <si>
    <t>13555322</t>
  </si>
  <si>
    <t>3b8d9fa9-0678-493f-ad1d-c764bec12f0c</t>
  </si>
  <si>
    <t>27663128324</t>
  </si>
  <si>
    <t>13555326</t>
  </si>
  <si>
    <t>e992d457-d168-40b5-b6de-d5de6b6fec12</t>
  </si>
  <si>
    <t>27663170349</t>
  </si>
  <si>
    <t>13555328</t>
  </si>
  <si>
    <t>f5f119bc-363f-4b8a-a00b-624bdc092c70</t>
  </si>
  <si>
    <t>27663208926</t>
  </si>
  <si>
    <t>13555329</t>
  </si>
  <si>
    <t>47783d21-6023-409e-824d-bc00fe616836</t>
  </si>
  <si>
    <t>27663243393</t>
  </si>
  <si>
    <t>13555331</t>
  </si>
  <si>
    <t>ec9f0cdf-f877-4e96-9aea-88af23fbb1d6</t>
  </si>
  <si>
    <t>27663274149</t>
  </si>
  <si>
    <t>13555335</t>
  </si>
  <si>
    <t>63167ba4-c184-4b05-9972-8efcc6590068</t>
  </si>
  <si>
    <t>27663357504</t>
  </si>
  <si>
    <t>13555312</t>
  </si>
  <si>
    <t>e3d6445c-d7ae-4545-bb90-7a0717cd53db</t>
  </si>
  <si>
    <t>2026-03-09 10:29:27</t>
  </si>
  <si>
    <t>27661864028</t>
  </si>
  <si>
    <t>13555313</t>
  </si>
  <si>
    <t>2dfff7dd-66a3-4cf0-abcd-193c53702204</t>
  </si>
  <si>
    <t>27661994906</t>
  </si>
  <si>
    <t>13555317</t>
  </si>
  <si>
    <t>d8b8973c-7e98-44d1-bf88-6a18bab44d67</t>
  </si>
  <si>
    <t>27662612182</t>
  </si>
  <si>
    <t>13555307</t>
  </si>
  <si>
    <t>1e86040d-d74f-44a6-af2a-00af692cd42c</t>
  </si>
  <si>
    <t>2026-03-09 10:29:18</t>
  </si>
  <si>
    <t>27661718300</t>
  </si>
  <si>
    <t>13555305</t>
  </si>
  <si>
    <t>303bcb35-6d4b-4111-9f6d-f4b8d97d08fc</t>
  </si>
  <si>
    <t>2026-03-09 10:29:15</t>
  </si>
  <si>
    <t>27661686601</t>
  </si>
  <si>
    <t>13555306</t>
  </si>
  <si>
    <t>38cff722-21c7-4776-92d0-be8360521c20</t>
  </si>
  <si>
    <t>27661694001</t>
  </si>
  <si>
    <t>13555298</t>
  </si>
  <si>
    <t>1648bbdc-e2bb-4df5-8edd-b9f01a193b1b</t>
  </si>
  <si>
    <t>2026-03-09 10:29:13</t>
  </si>
  <si>
    <t>27661527654</t>
  </si>
  <si>
    <t>13555299</t>
  </si>
  <si>
    <t>7b9fe4f3-36ef-4aa1-9e79-1aed179805f9</t>
  </si>
  <si>
    <t>27661589186</t>
  </si>
  <si>
    <t>13555301</t>
  </si>
  <si>
    <t>4b561c93-5983-472c-9558-416cd0e537b4</t>
  </si>
  <si>
    <t>27661632034</t>
  </si>
  <si>
    <t>13555302</t>
  </si>
  <si>
    <t>5a7127af-23df-4fd1-8407-c38902836e89</t>
  </si>
  <si>
    <t>27661635843</t>
  </si>
  <si>
    <t>13555296</t>
  </si>
  <si>
    <t>6cab4a1d-2a79-4dcd-9914-0cd9b53b7f90</t>
  </si>
  <si>
    <t>2026-03-09 10:29:08</t>
  </si>
  <si>
    <t>27661448363</t>
  </si>
  <si>
    <t>13555288</t>
  </si>
  <si>
    <t>01597216-5231-489c-b48e-6d4536e9e748</t>
  </si>
  <si>
    <t>2026-03-09 10:29:06</t>
  </si>
  <si>
    <t>27661252018</t>
  </si>
  <si>
    <t>13555294</t>
  </si>
  <si>
    <t>c2175aff-299f-4209-9e69-1cdd7b9a2ee2</t>
  </si>
  <si>
    <t>27661338162</t>
  </si>
  <si>
    <t>13555286</t>
  </si>
  <si>
    <t>399766a6-1170-4c6d-9182-304781714c87</t>
  </si>
  <si>
    <t>2026-03-09 10:29:03</t>
  </si>
  <si>
    <t>27661241389</t>
  </si>
  <si>
    <t>13555281</t>
  </si>
  <si>
    <t>71ba895e-6a3d-415d-a4c0-25298dbbb6d6</t>
  </si>
  <si>
    <t>2026-03-09 10:29:01</t>
  </si>
  <si>
    <t>27661141473</t>
  </si>
  <si>
    <t>13555280</t>
  </si>
  <si>
    <t>ce12883e-8612-4809-85f2-cfbaddc71db7</t>
  </si>
  <si>
    <t>2026-03-09 10:29:00</t>
  </si>
  <si>
    <t>27661132665</t>
  </si>
  <si>
    <t>13555271</t>
  </si>
  <si>
    <t>b4f8e1a7-de79-4d89-b47f-a1b1dda10dfd</t>
  </si>
  <si>
    <t>2026-03-09 10:28:59</t>
  </si>
  <si>
    <t>27661015915</t>
  </si>
  <si>
    <t>13555278</t>
  </si>
  <si>
    <t>c38cbc66-78df-46db-ba22-55c6eb6c4e85</t>
  </si>
  <si>
    <t>27661081519</t>
  </si>
  <si>
    <t>13554987</t>
  </si>
  <si>
    <t>4519336a-9456-425d-8efc-bd1abf6851fd</t>
  </si>
  <si>
    <t>2026-03-09 10:28:55</t>
  </si>
  <si>
    <t>27636787494</t>
  </si>
  <si>
    <t>13554984</t>
  </si>
  <si>
    <t>0323ca18-3713-4a93-a28b-c99b28004092</t>
  </si>
  <si>
    <t>2026-03-09 10:28:54</t>
  </si>
  <si>
    <t>27636745347</t>
  </si>
  <si>
    <t>13554961</t>
  </si>
  <si>
    <t>966988bf-fde7-4489-b98d-066a58366827</t>
  </si>
  <si>
    <t>2026-03-09 10:28:53</t>
  </si>
  <si>
    <t>27636397630</t>
  </si>
  <si>
    <t>13554975</t>
  </si>
  <si>
    <t>ba7d17b3-d7fe-43bf-a35c-e96457e6b336</t>
  </si>
  <si>
    <t>27636550152</t>
  </si>
  <si>
    <t>13554963</t>
  </si>
  <si>
    <t>76c05f4b-3dbd-4352-9d96-c392aa2bc4e3</t>
  </si>
  <si>
    <t>2026-03-09 10:28:52</t>
  </si>
  <si>
    <t>27636430656</t>
  </si>
  <si>
    <t>13554964</t>
  </si>
  <si>
    <t>a3668549-d36f-4dd7-9ad1-e5ab5e5e66b1</t>
  </si>
  <si>
    <t>27636449119</t>
  </si>
  <si>
    <t>13554960</t>
  </si>
  <si>
    <t>6a7fe22d-281f-4a10-ac5c-06c66fb0937d</t>
  </si>
  <si>
    <t>2026-03-09 10:28:50</t>
  </si>
  <si>
    <t>27636353594</t>
  </si>
  <si>
    <t>13554949</t>
  </si>
  <si>
    <t>d3b151aa-1b9d-4e4c-a5aa-bff87f68bec8</t>
  </si>
  <si>
    <t>2026-03-09 10:28:48</t>
  </si>
  <si>
    <t>27636199715</t>
  </si>
  <si>
    <t>13562882</t>
  </si>
  <si>
    <t>823ac1bd-d68c-4634-b4ea-ed4ea90ce145</t>
  </si>
  <si>
    <t>27767947509</t>
  </si>
  <si>
    <t>13562924</t>
  </si>
  <si>
    <t>a855af5f-f27d-48d2-b98f-501c9999749f</t>
  </si>
  <si>
    <t>27661806657</t>
  </si>
  <si>
    <t>13563039</t>
  </si>
  <si>
    <t>432ad084-7e43-48bd-8316-4744e2ef8bfe</t>
  </si>
  <si>
    <t>27724273324</t>
  </si>
  <si>
    <t>13563233</t>
  </si>
  <si>
    <t>afad0233-d1ea-488c-8613-b12064b28176</t>
  </si>
  <si>
    <t>27607971690</t>
  </si>
  <si>
    <t>13561988</t>
  </si>
  <si>
    <t>83278933-bdc4-4517-afb1-73c2b3613e1d</t>
  </si>
  <si>
    <t>2026-03-09 10:28:47</t>
  </si>
  <si>
    <t>27647336312</t>
  </si>
  <si>
    <t>13561990</t>
  </si>
  <si>
    <t>c78c7d9e-0588-4d1b-919d-af8c8664b8ff</t>
  </si>
  <si>
    <t>27794494485</t>
  </si>
  <si>
    <t>13561993</t>
  </si>
  <si>
    <t>d48bf404-3605-452c-b5cc-6dfe95552b19</t>
  </si>
  <si>
    <t>27767466989</t>
  </si>
  <si>
    <t>13562886</t>
  </si>
  <si>
    <t>13491f3c-64d0-4f9d-8b1a-ffff9d306f0b</t>
  </si>
  <si>
    <t>27724647572</t>
  </si>
  <si>
    <t>13562894</t>
  </si>
  <si>
    <t>96835940-7b9c-4a6f-b6dd-94f7ea843564</t>
  </si>
  <si>
    <t>27723904384</t>
  </si>
  <si>
    <t>13562917</t>
  </si>
  <si>
    <t>b1274785-2f33-4ef6-9405-ad96ca993746</t>
  </si>
  <si>
    <t>27768003442</t>
  </si>
  <si>
    <t>13562862</t>
  </si>
  <si>
    <t>14a8f15c-4d6e-49f7-8a31-2accd102bc26</t>
  </si>
  <si>
    <t>27728332216</t>
  </si>
  <si>
    <t>13562863</t>
  </si>
  <si>
    <t>49e88be3-f42c-429c-91f5-e3dca796e2b2</t>
  </si>
  <si>
    <t>27762998193</t>
  </si>
  <si>
    <t>13563032</t>
  </si>
  <si>
    <t>a0219a25-977c-4dd9-8fd9-e81facb4cef7</t>
  </si>
  <si>
    <t>27648432369</t>
  </si>
  <si>
    <t>13561961</t>
  </si>
  <si>
    <t>c7b4c8d8-ebaf-436d-a0ae-558ca522c5e9</t>
  </si>
  <si>
    <t>2026-03-09 10:28:24</t>
  </si>
  <si>
    <t>27676802236</t>
  </si>
  <si>
    <t>13561968</t>
  </si>
  <si>
    <t>df0c4984-f6ce-4325-9f1e-9a8f2ddb660a</t>
  </si>
  <si>
    <t>27714801197</t>
  </si>
  <si>
    <t>13561984</t>
  </si>
  <si>
    <t>80af43b7-34f2-4938-b773-3feec2d462fc</t>
  </si>
  <si>
    <t>27674734147</t>
  </si>
  <si>
    <t>13561953</t>
  </si>
  <si>
    <t>789075a2-0cc4-4a53-9ebd-d29d8e30cf0c</t>
  </si>
  <si>
    <t>2026-03-09 10:28:23</t>
  </si>
  <si>
    <t>27664015589</t>
  </si>
  <si>
    <t>13561956</t>
  </si>
  <si>
    <t>b566a407-f93b-478e-9063-7e9db88c3f09</t>
  </si>
  <si>
    <t>27794476125</t>
  </si>
  <si>
    <t>13561957</t>
  </si>
  <si>
    <t>6ed70851-8c72-4bb4-856f-26d269ae7967</t>
  </si>
  <si>
    <t>27607373591</t>
  </si>
  <si>
    <t>13561959</t>
  </si>
  <si>
    <t>7f5498c9-940d-4fb2-bf0c-caef8fd62025</t>
  </si>
  <si>
    <t>27818568361</t>
  </si>
  <si>
    <t>13561945</t>
  </si>
  <si>
    <t>301547a2-f479-4784-8bd4-9e49c2bd1fd0</t>
  </si>
  <si>
    <t>2026-03-09 10:28:16</t>
  </si>
  <si>
    <t>27711638693</t>
  </si>
  <si>
    <t>13561946</t>
  </si>
  <si>
    <t>0b1fb5d5-7e7b-46e9-b7dd-161d791a1855</t>
  </si>
  <si>
    <t>27712386257</t>
  </si>
  <si>
    <t>13561947</t>
  </si>
  <si>
    <t>ca9a2f99-d7ec-400d-8f61-95c9f8f02575</t>
  </si>
  <si>
    <t>27726948230</t>
  </si>
  <si>
    <t>13561948</t>
  </si>
  <si>
    <t>5d10d55e-5d05-47e4-a683-801cd73c1351</t>
  </si>
  <si>
    <t>27711297014</t>
  </si>
  <si>
    <t>13563235</t>
  </si>
  <si>
    <t>ed259a61-e8d7-4a4d-a699-aeb7e369bfa8</t>
  </si>
  <si>
    <t>2026-03-09 10:28:14</t>
  </si>
  <si>
    <t>27723659639</t>
  </si>
  <si>
    <t>13557586</t>
  </si>
  <si>
    <t>8246820c-7f35-42b4-8435-ccf9e116b868</t>
  </si>
  <si>
    <t>2026-03-09 10:27:38</t>
  </si>
  <si>
    <t>27765395232</t>
  </si>
  <si>
    <t>13557530</t>
  </si>
  <si>
    <t>bed9f42e-ce07-4a0d-935d-931b86077129</t>
  </si>
  <si>
    <t>2026-03-09 10:27:28</t>
  </si>
  <si>
    <t>27764840801</t>
  </si>
  <si>
    <t>13557576</t>
  </si>
  <si>
    <t>a5795c34-e3ab-45db-aee6-dbe0f6a80e58</t>
  </si>
  <si>
    <t>27765299024</t>
  </si>
  <si>
    <t>13557538</t>
  </si>
  <si>
    <t>a8270292-56ef-4dd3-9120-0e506d3c8477</t>
  </si>
  <si>
    <t>27764895799</t>
  </si>
  <si>
    <t>13557549</t>
  </si>
  <si>
    <t>346a646c-88a9-4bc4-b675-51d1d7b160e8</t>
  </si>
  <si>
    <t>27765027418</t>
  </si>
  <si>
    <t>13557516</t>
  </si>
  <si>
    <t>40df0518-2ae6-49de-a079-78acc6868510</t>
  </si>
  <si>
    <t>2026-03-09 10:27:25</t>
  </si>
  <si>
    <t>27764680942</t>
  </si>
  <si>
    <t>13557517</t>
  </si>
  <si>
    <t>d4ab8343-e889-425e-bdac-828fa497c283</t>
  </si>
  <si>
    <t>27764696572</t>
  </si>
  <si>
    <t>13557521</t>
  </si>
  <si>
    <t>f8828f9d-06ff-4153-be17-edb83a2549bd</t>
  </si>
  <si>
    <t>27764743626</t>
  </si>
  <si>
    <t>13556248</t>
  </si>
  <si>
    <t>1f05253f-db88-468e-8fa3-00d8b4c8ca8d</t>
  </si>
  <si>
    <t>2026-03-09 10:27:24</t>
  </si>
  <si>
    <t>27721998485</t>
  </si>
  <si>
    <t>13557480</t>
  </si>
  <si>
    <t>bd8e8916-ae0b-4edc-b5b5-070bd2c8ab03</t>
  </si>
  <si>
    <t>27764220955</t>
  </si>
  <si>
    <t>13557508</t>
  </si>
  <si>
    <t>e67bb62a-43b6-4214-baaa-f24074be2d0a</t>
  </si>
  <si>
    <t>27764613467</t>
  </si>
  <si>
    <t>13557463</t>
  </si>
  <si>
    <t>239ebf4f-4933-427c-b139-de69120dc947</t>
  </si>
  <si>
    <t>27764077593</t>
  </si>
  <si>
    <t>13555252</t>
  </si>
  <si>
    <t>c0fc7dd9-2381-45b3-8521-9ad73e550e64</t>
  </si>
  <si>
    <t>2026-03-09 10:27:23</t>
  </si>
  <si>
    <t>27660666441</t>
  </si>
  <si>
    <t>13554931</t>
  </si>
  <si>
    <t>ccada9f5-40cf-465b-be01-76f3d4498cf3</t>
  </si>
  <si>
    <t>27631189422</t>
  </si>
  <si>
    <t>13554937</t>
  </si>
  <si>
    <t>e77d57af-92e5-4709-b6e4-dd5284001bca</t>
  </si>
  <si>
    <t>27636028079</t>
  </si>
  <si>
    <t>13554942</t>
  </si>
  <si>
    <t>9c872c55-3089-4a1f-9fcf-749a8a4a0681</t>
  </si>
  <si>
    <t>27636133434</t>
  </si>
  <si>
    <t>13555236</t>
  </si>
  <si>
    <t>792950df-a403-4b0f-8431-c15371e6d577</t>
  </si>
  <si>
    <t>2026-03-09 10:27:22</t>
  </si>
  <si>
    <t>27660429380</t>
  </si>
  <si>
    <t>13555237</t>
  </si>
  <si>
    <t>b4cfc6fc-0207-40f7-8d63-764d7f395fe8</t>
  </si>
  <si>
    <t>27660431041</t>
  </si>
  <si>
    <t>13555217</t>
  </si>
  <si>
    <t>2f228b60-3382-45e7-9a27-41ebd1eb3b97</t>
  </si>
  <si>
    <t>2026-03-09 10:27:20</t>
  </si>
  <si>
    <t>27660085089</t>
  </si>
  <si>
    <t>13555218</t>
  </si>
  <si>
    <t>7c7c2af0-7fa2-4bc3-9b2a-12fddca3d77e</t>
  </si>
  <si>
    <t>27660099407</t>
  </si>
  <si>
    <t>13555222</t>
  </si>
  <si>
    <t>7eb93e74-8380-4dc4-99e3-d2aba46abb67</t>
  </si>
  <si>
    <t>27660173169</t>
  </si>
  <si>
    <t>13555224</t>
  </si>
  <si>
    <t>23fe338d-0035-48c7-bf35-779af9d3eb73</t>
  </si>
  <si>
    <t>27660190567</t>
  </si>
  <si>
    <t>13555226</t>
  </si>
  <si>
    <t>8fd023c6-c606-4ba1-a809-29ac2caf1d37</t>
  </si>
  <si>
    <t>27660208352</t>
  </si>
  <si>
    <t>13555211</t>
  </si>
  <si>
    <t>f5fad689-aa05-47bc-8c76-5a06ecd19bb8</t>
  </si>
  <si>
    <t>27660041627</t>
  </si>
  <si>
    <t>13555205</t>
  </si>
  <si>
    <t>5be66431-9363-48a5-9338-5d46b7cff722</t>
  </si>
  <si>
    <t>2026-03-09 10:27:19</t>
  </si>
  <si>
    <t>27649913297</t>
  </si>
  <si>
    <t>13563303</t>
  </si>
  <si>
    <t>518e2fc9-7c27-4466-9da6-512dca0bc379</t>
  </si>
  <si>
    <t>27647329233</t>
  </si>
  <si>
    <t>13563304</t>
  </si>
  <si>
    <t>5ab01616-eba7-448c-869a-3cccd4142a66</t>
  </si>
  <si>
    <t>27660756800</t>
  </si>
  <si>
    <t>13563306</t>
  </si>
  <si>
    <t>ca69ba74-48b1-471a-9982-2002a3ffc590</t>
  </si>
  <si>
    <t>27721543800</t>
  </si>
  <si>
    <t>13564859</t>
  </si>
  <si>
    <t>14faa49f-e3bb-46a5-b489-f2683a580080</t>
  </si>
  <si>
    <t>27608644962</t>
  </si>
  <si>
    <t>13563297</t>
  </si>
  <si>
    <t>a67a6ab3-17c7-4a5f-9878-cb14889ce8aa</t>
  </si>
  <si>
    <t>2026-03-09 10:27:17</t>
  </si>
  <si>
    <t>27774137445</t>
  </si>
  <si>
    <t>13563290</t>
  </si>
  <si>
    <t>6be572eb-da5f-455b-94d7-ab610277e4bd</t>
  </si>
  <si>
    <t>2026-03-09 10:27:16</t>
  </si>
  <si>
    <t>27609163369</t>
  </si>
  <si>
    <t>13563294</t>
  </si>
  <si>
    <t>c163003e-f223-474d-9e1c-63230f6e6424</t>
  </si>
  <si>
    <t>27762030568</t>
  </si>
  <si>
    <t>13563276</t>
  </si>
  <si>
    <t>229ea3c4-3f81-4bce-ade5-ed33d28a9ffe</t>
  </si>
  <si>
    <t>2026-03-09 10:27:15</t>
  </si>
  <si>
    <t>27636222419</t>
  </si>
  <si>
    <t>13563286</t>
  </si>
  <si>
    <t>bd816217-514f-41dd-b3a7-66151b0d7a64</t>
  </si>
  <si>
    <t>27715471228</t>
  </si>
  <si>
    <t>13563171</t>
  </si>
  <si>
    <t>35256df3-f17c-482c-84f1-9f094c87798b</t>
  </si>
  <si>
    <t>2026-03-09 10:27:14</t>
  </si>
  <si>
    <t>27636119678</t>
  </si>
  <si>
    <t>13563085</t>
  </si>
  <si>
    <t>56de3958-2665-4141-887c-61b59faa9b2e</t>
  </si>
  <si>
    <t>27766998179</t>
  </si>
  <si>
    <t>13563108</t>
  </si>
  <si>
    <t>e2ca8d1b-5bfa-497e-9d36-bc29805694d2</t>
  </si>
  <si>
    <t>27715752628</t>
  </si>
  <si>
    <t>13563190</t>
  </si>
  <si>
    <t>a544104c-ab14-4903-8f4e-74abdfe6741c</t>
  </si>
  <si>
    <t>27715437218</t>
  </si>
  <si>
    <t>13563272</t>
  </si>
  <si>
    <t>02bb3145-188f-46fe-8aa3-6eda48edf585</t>
  </si>
  <si>
    <t>27761335165</t>
  </si>
  <si>
    <t>13563207</t>
  </si>
  <si>
    <t>70fc0f0c-d855-49fe-ada1-790da2a186d6</t>
  </si>
  <si>
    <t>27725328130</t>
  </si>
  <si>
    <t>13563251</t>
  </si>
  <si>
    <t>ee6511e6-4d04-4a89-b36d-87019def6bda</t>
  </si>
  <si>
    <t>27712068852</t>
  </si>
  <si>
    <t>13563255</t>
  </si>
  <si>
    <t>00bf4e74-5522-40ca-8cb2-e71bbf866723</t>
  </si>
  <si>
    <t>27761572281</t>
  </si>
  <si>
    <t>13563088</t>
  </si>
  <si>
    <t>34a9705b-0dac-4fda-94fb-f9976fd9965c</t>
  </si>
  <si>
    <t>2026-03-09 10:27:13</t>
  </si>
  <si>
    <t>27721343224</t>
  </si>
  <si>
    <t>13563095</t>
  </si>
  <si>
    <t>ed1dee1b-7bf7-4f7f-8a14-13308fc9f809</t>
  </si>
  <si>
    <t>27630152911</t>
  </si>
  <si>
    <t>13563078</t>
  </si>
  <si>
    <t>29e55b03-8298-4d82-9420-8a4fe62cc825</t>
  </si>
  <si>
    <t>2026-03-09 10:27:12</t>
  </si>
  <si>
    <t>27637016563</t>
  </si>
  <si>
    <t>13563083</t>
  </si>
  <si>
    <t>4d1df8bc-d082-41fd-9a1e-6b163d5dc834</t>
  </si>
  <si>
    <t>27609599667</t>
  </si>
  <si>
    <t>13563043</t>
  </si>
  <si>
    <t>79c920e8-61e8-4045-9e76-c9207462a334</t>
  </si>
  <si>
    <t>2026-03-09 10:27:11</t>
  </si>
  <si>
    <t>27665591865</t>
  </si>
  <si>
    <t>13563059</t>
  </si>
  <si>
    <t>c9edb2b8-65f8-40e4-a183-a75f90ee08a3</t>
  </si>
  <si>
    <t>27649313224</t>
  </si>
  <si>
    <t>13564860</t>
  </si>
  <si>
    <t>b989baaf-37b2-45d4-aa54-d425741085a4</t>
  </si>
  <si>
    <t>27608652655</t>
  </si>
  <si>
    <t>13560160</t>
  </si>
  <si>
    <t>5371e705-b01c-4a95-87b5-b21778a02816</t>
  </si>
  <si>
    <t>2026-03-09 10:26:43</t>
  </si>
  <si>
    <t>27764439018</t>
  </si>
  <si>
    <t>13557461</t>
  </si>
  <si>
    <t>e3c78aeb-fcf8-4bf6-89e2-405d0feb46be</t>
  </si>
  <si>
    <t>2026-03-09 10:26:36</t>
  </si>
  <si>
    <t>27764070216</t>
  </si>
  <si>
    <t>13557462</t>
  </si>
  <si>
    <t>6b0d3e54-6d0c-4c4c-bf73-5b7a193e5588</t>
  </si>
  <si>
    <t>2026-03-09 10:26:35</t>
  </si>
  <si>
    <t>27764075683</t>
  </si>
  <si>
    <t>13558430</t>
  </si>
  <si>
    <t>8c8342c8-31d2-4927-a3ef-7948517daa73</t>
  </si>
  <si>
    <t>2026-03-09 10:26:34</t>
  </si>
  <si>
    <t>27793900190</t>
  </si>
  <si>
    <t>13558441</t>
  </si>
  <si>
    <t>e5b91b9a-9f4d-428a-916e-ca33ef4b279d</t>
  </si>
  <si>
    <t>27794002663</t>
  </si>
  <si>
    <t>13557457</t>
  </si>
  <si>
    <t>db18b0a9-9976-4fe1-af8b-8d380bd4c855</t>
  </si>
  <si>
    <t>27764009572</t>
  </si>
  <si>
    <t>13557458</t>
  </si>
  <si>
    <t>ca08c978-336f-44df-a1b7-0c60ae595f37</t>
  </si>
  <si>
    <t>27764010207</t>
  </si>
  <si>
    <t>13557460</t>
  </si>
  <si>
    <t>e04bb5e8-6e32-47bd-a1ab-9981608e73ee</t>
  </si>
  <si>
    <t>27764052280</t>
  </si>
  <si>
    <t>13558425</t>
  </si>
  <si>
    <t>b25977b4-5ff9-4d65-8146-63b1e3e285bf</t>
  </si>
  <si>
    <t>2026-03-09 10:26:33</t>
  </si>
  <si>
    <t>27793839866</t>
  </si>
  <si>
    <t>13558433</t>
  </si>
  <si>
    <t>8abde342-76f4-4040-b37b-36c298203d3c</t>
  </si>
  <si>
    <t>27793929600</t>
  </si>
  <si>
    <t>13558435</t>
  </si>
  <si>
    <t>104789d3-69f0-46c4-9580-81b5188fba43</t>
  </si>
  <si>
    <t>27793942779</t>
  </si>
  <si>
    <t>13558393</t>
  </si>
  <si>
    <t>b939f08f-5163-4ad7-9880-9d78fd07994b</t>
  </si>
  <si>
    <t>2026-03-09 10:26:32</t>
  </si>
  <si>
    <t>27793476518</t>
  </si>
  <si>
    <t>13558399</t>
  </si>
  <si>
    <t>9d239218-18a4-49ec-a35d-4a941b2d6f3a</t>
  </si>
  <si>
    <t>2026-03-09 10:26:31</t>
  </si>
  <si>
    <t>27793546777</t>
  </si>
  <si>
    <t>13558412</t>
  </si>
  <si>
    <t>92a293e6-6557-44c6-acbc-266918c5e2a8</t>
  </si>
  <si>
    <t>27793676087</t>
  </si>
  <si>
    <t>13558361</t>
  </si>
  <si>
    <t>10773ca3-c41c-4472-889d-4bfccd3765e8</t>
  </si>
  <si>
    <t>27793102966</t>
  </si>
  <si>
    <t>13558363</t>
  </si>
  <si>
    <t>8a3359ae-0c21-4b0b-8778-98579ea4fc6c</t>
  </si>
  <si>
    <t>27793140046</t>
  </si>
  <si>
    <t>13558345</t>
  </si>
  <si>
    <t>aded7bfc-5f33-4c86-848a-ba384c9007be</t>
  </si>
  <si>
    <t>2026-03-09 10:26:30</t>
  </si>
  <si>
    <t>27792975784</t>
  </si>
  <si>
    <t>13558329</t>
  </si>
  <si>
    <t>48d6249c-ca97-4678-9d72-20bd67afc074</t>
  </si>
  <si>
    <t>2026-03-09 10:26:28</t>
  </si>
  <si>
    <t>27792877766</t>
  </si>
  <si>
    <t>13558300</t>
  </si>
  <si>
    <t>c280554e-66b4-4c75-a368-c333dfdfdbaa</t>
  </si>
  <si>
    <t>2026-03-09 10:26:25</t>
  </si>
  <si>
    <t>27792483970</t>
  </si>
  <si>
    <t>13558306</t>
  </si>
  <si>
    <t>ef0613ba-344e-4c7e-99dd-d487ca85054a</t>
  </si>
  <si>
    <t>27792584393</t>
  </si>
  <si>
    <t>13558307</t>
  </si>
  <si>
    <t>8cc0d7b0-82a6-4d5d-9181-6ed6c5b2a6e8</t>
  </si>
  <si>
    <t>27792607024</t>
  </si>
  <si>
    <t>13558323</t>
  </si>
  <si>
    <t>99041104-3b4a-4b25-b6e8-e295fd67c25a</t>
  </si>
  <si>
    <t>27792762894</t>
  </si>
  <si>
    <t>13558327</t>
  </si>
  <si>
    <t>d83d279b-1f45-473f-b4b8-6a424f2fc68a</t>
  </si>
  <si>
    <t>27792801487</t>
  </si>
  <si>
    <t>13556574</t>
  </si>
  <si>
    <t>49447cac-dfed-4e1a-855a-ecc0d13b7d1d</t>
  </si>
  <si>
    <t>2026-03-09 10:26:24</t>
  </si>
  <si>
    <t>27725176738</t>
  </si>
  <si>
    <t>13558277</t>
  </si>
  <si>
    <t>2c71ba59-b0c1-4e06-b8bf-80f0a98f22cd</t>
  </si>
  <si>
    <t>27792175105</t>
  </si>
  <si>
    <t>13558286</t>
  </si>
  <si>
    <t>5458d570-50f9-4ddf-9f54-1dbf808b4ad7</t>
  </si>
  <si>
    <t>27792278699</t>
  </si>
  <si>
    <t>13556569</t>
  </si>
  <si>
    <t>23850b01-f181-4b2f-be25-bbd18cda56c4</t>
  </si>
  <si>
    <t>2026-03-09 10:26:22</t>
  </si>
  <si>
    <t>27725138555</t>
  </si>
  <si>
    <t>13556529</t>
  </si>
  <si>
    <t>5a19a29b-6865-4d1b-8350-43bb1c93f4ad</t>
  </si>
  <si>
    <t>2026-03-09 10:26:21</t>
  </si>
  <si>
    <t>27724775955</t>
  </si>
  <si>
    <t>13556532</t>
  </si>
  <si>
    <t>724c1fec-e60e-46be-a548-805ec14830bd</t>
  </si>
  <si>
    <t>27724807492</t>
  </si>
  <si>
    <t>13556551</t>
  </si>
  <si>
    <t>501d66e3-c2a9-4546-a451-fb7f4edc0010</t>
  </si>
  <si>
    <t>27724953867</t>
  </si>
  <si>
    <t>13556565</t>
  </si>
  <si>
    <t>ffb8a180-2427-47f8-aec5-7ca098cff515</t>
  </si>
  <si>
    <t>27725117242</t>
  </si>
  <si>
    <t>13556520</t>
  </si>
  <si>
    <t>8785bdca-8858-4c4c-ad2b-beb3c81806aa</t>
  </si>
  <si>
    <t>2026-03-09 10:26:16</t>
  </si>
  <si>
    <t>27724668020</t>
  </si>
  <si>
    <t>13556517</t>
  </si>
  <si>
    <t>e943c650-961b-412b-8718-0e588d2ac7b1</t>
  </si>
  <si>
    <t>2026-03-09 10:26:12</t>
  </si>
  <si>
    <t>27724641809</t>
  </si>
  <si>
    <t>13556518</t>
  </si>
  <si>
    <t>a7e6fc2b-e633-422e-9432-74cec7982690</t>
  </si>
  <si>
    <t>27724660085</t>
  </si>
  <si>
    <t>13556504</t>
  </si>
  <si>
    <t>29055ddd-1795-4a1d-a598-93a45d1f13a0</t>
  </si>
  <si>
    <t>2026-03-09 10:26:11</t>
  </si>
  <si>
    <t>27724529433</t>
  </si>
  <si>
    <t>13556514</t>
  </si>
  <si>
    <t>9a6c7376-dbf9-40c5-9b9f-85cc01d7429a</t>
  </si>
  <si>
    <t>27724628483</t>
  </si>
  <si>
    <t>13556515</t>
  </si>
  <si>
    <t>f53cf534-de10-4832-ac84-830bb54409be</t>
  </si>
  <si>
    <t>27724633285</t>
  </si>
  <si>
    <t>13556479</t>
  </si>
  <si>
    <t>52e6f276-3123-409a-9b87-2b18fb09bc93</t>
  </si>
  <si>
    <t>2026-03-09 10:26:05</t>
  </si>
  <si>
    <t>27724326871</t>
  </si>
  <si>
    <t>13556444</t>
  </si>
  <si>
    <t>8f35704c-f2f1-46cd-8a1c-92f2bdc497b5</t>
  </si>
  <si>
    <t>27723982631</t>
  </si>
  <si>
    <t>13556455</t>
  </si>
  <si>
    <t>74f8518a-989d-47dc-ac14-ef5c09868d6d</t>
  </si>
  <si>
    <t>27724053382</t>
  </si>
  <si>
    <t>13556465</t>
  </si>
  <si>
    <t>84b743c0-1230-4f20-b206-c1ecbeb85dd3</t>
  </si>
  <si>
    <t>27724151049</t>
  </si>
  <si>
    <t>13556446</t>
  </si>
  <si>
    <t>566e3411-16e3-4462-847a-de44a5d4207f</t>
  </si>
  <si>
    <t>2026-03-09 10:26:04</t>
  </si>
  <si>
    <t>27723990642</t>
  </si>
  <si>
    <t>13556469</t>
  </si>
  <si>
    <t>97b1f6d1-34af-438e-a698-a6b4dd59bcfb</t>
  </si>
  <si>
    <t>27724188152</t>
  </si>
  <si>
    <t>13556470</t>
  </si>
  <si>
    <t>ff64e2a7-b2d9-4ea2-9f80-6d1709f8d98a</t>
  </si>
  <si>
    <t>27724214389</t>
  </si>
  <si>
    <t>13556436</t>
  </si>
  <si>
    <t>aa60baa1-47e8-4ae6-b907-61c60cb2db62</t>
  </si>
  <si>
    <t>2026-03-09 10:25:57</t>
  </si>
  <si>
    <t>27723823668</t>
  </si>
  <si>
    <t>13556443</t>
  </si>
  <si>
    <t>ce3b8483-8701-44b7-a8ba-ee9290857dc8</t>
  </si>
  <si>
    <t>27723950974</t>
  </si>
  <si>
    <t>13556434</t>
  </si>
  <si>
    <t>36501ee3-4185-402c-ba70-b11e8f515241</t>
  </si>
  <si>
    <t>2026-03-09 10:25:56</t>
  </si>
  <si>
    <t>27723810060</t>
  </si>
  <si>
    <t>13555196</t>
  </si>
  <si>
    <t>1d9f17ec-5d99-4ec1-b65c-2b195e1c4e98</t>
  </si>
  <si>
    <t>2026-03-09 10:25:55</t>
  </si>
  <si>
    <t>27649770300</t>
  </si>
  <si>
    <t>13555199</t>
  </si>
  <si>
    <t>3d9289a4-8f36-4966-a8d0-8fa7a8b199c2</t>
  </si>
  <si>
    <t>27649855582</t>
  </si>
  <si>
    <t>13557384</t>
  </si>
  <si>
    <t>82c6f2f3-8dc5-4548-9bfa-12a37c91a1e7</t>
  </si>
  <si>
    <t>27763087503</t>
  </si>
  <si>
    <t>13556425</t>
  </si>
  <si>
    <t>ffda7799-2225-4a24-91a2-24f69837b225</t>
  </si>
  <si>
    <t>27723723051</t>
  </si>
  <si>
    <t>13556428</t>
  </si>
  <si>
    <t>f3e3b482-a845-4b57-bcf0-63035248e468</t>
  </si>
  <si>
    <t>27723735691</t>
  </si>
  <si>
    <t>13562031</t>
  </si>
  <si>
    <t>e629ee6d-a749-4df7-9085-7e0d0755faf7</t>
  </si>
  <si>
    <t>2026-03-09 10:25:54</t>
  </si>
  <si>
    <t>27716184707</t>
  </si>
  <si>
    <t>13562903</t>
  </si>
  <si>
    <t>b283631b-0002-4a73-bd4d-bf89ad7c09db</t>
  </si>
  <si>
    <t>27723282428</t>
  </si>
  <si>
    <t>13562934</t>
  </si>
  <si>
    <t>3f44b556-7f81-4169-b41e-914e8cec20e1</t>
  </si>
  <si>
    <t>27764348051</t>
  </si>
  <si>
    <t>13562939</t>
  </si>
  <si>
    <t>98fd816c-6753-44bb-8f08-1e30f539a38a</t>
  </si>
  <si>
    <t>27721874421</t>
  </si>
  <si>
    <t>13562943</t>
  </si>
  <si>
    <t>6fbeb0b1-1d4e-4277-921c-9680900007b6</t>
  </si>
  <si>
    <t>27637312790</t>
  </si>
  <si>
    <t>13563208</t>
  </si>
  <si>
    <t>abdadf7c-9e7b-4c59-8264-00668aa24783</t>
  </si>
  <si>
    <t>27725052162</t>
  </si>
  <si>
    <t>13563136</t>
  </si>
  <si>
    <t>635a1e20-9e40-4397-889a-0e2f74afcb23</t>
  </si>
  <si>
    <t>27713501035</t>
  </si>
  <si>
    <t>13563140</t>
  </si>
  <si>
    <t>2a9ce60c-8cb5-4bf4-94c6-f0d3cccde4d2</t>
  </si>
  <si>
    <t>27723615217</t>
  </si>
  <si>
    <t>13563227</t>
  </si>
  <si>
    <t>facd227c-8dfd-44b5-98a7-cfccd1eb4ea6</t>
  </si>
  <si>
    <t>27729852266</t>
  </si>
  <si>
    <t>13563045</t>
  </si>
  <si>
    <t>bd127562-7b9e-451b-a103-0d051d630f2d</t>
  </si>
  <si>
    <t>2026-03-09 10:25:53</t>
  </si>
  <si>
    <t>27714635043</t>
  </si>
  <si>
    <t>13563114</t>
  </si>
  <si>
    <t>8da9fa22-c464-4270-bc62-77bbdfdd73c7</t>
  </si>
  <si>
    <t>27729790634</t>
  </si>
  <si>
    <t>13562029</t>
  </si>
  <si>
    <t>2709b212-af95-4616-ae5f-c5dbc869f7f2</t>
  </si>
  <si>
    <t>2026-03-09 10:25:52</t>
  </si>
  <si>
    <t>27820806125</t>
  </si>
  <si>
    <t>13562012</t>
  </si>
  <si>
    <t>d2052a26-58eb-4ac0-b7cc-bb9e3b925dc4</t>
  </si>
  <si>
    <t>2026-03-09 10:25:51</t>
  </si>
  <si>
    <t>27637417071</t>
  </si>
  <si>
    <t>13562017</t>
  </si>
  <si>
    <t>469b2201-68d9-4481-bc4c-f528b5952328</t>
  </si>
  <si>
    <t>27790736450</t>
  </si>
  <si>
    <t>13562024</t>
  </si>
  <si>
    <t>e684074f-8180-4855-aa9d-13c506a56f5d</t>
  </si>
  <si>
    <t>27796723235</t>
  </si>
  <si>
    <t>13562027</t>
  </si>
  <si>
    <t>ed990115-00be-4e35-85b7-fd95ee788691</t>
  </si>
  <si>
    <t>27716357048</t>
  </si>
  <si>
    <t>13562007</t>
  </si>
  <si>
    <t>6c2c25f1-d821-48fc-a78b-414ef85361f5</t>
  </si>
  <si>
    <t>27711091466</t>
  </si>
  <si>
    <t>13561995</t>
  </si>
  <si>
    <t>e67ea185-b2c1-4a01-bb20-c7ac9019089c</t>
  </si>
  <si>
    <t>2026-03-09 10:25:50</t>
  </si>
  <si>
    <t>27790894653</t>
  </si>
  <si>
    <t>13561998</t>
  </si>
  <si>
    <t>5f98774c-cd4a-415a-ace9-4e57ee3a6c79</t>
  </si>
  <si>
    <t>27665715113</t>
  </si>
  <si>
    <t>13562001</t>
  </si>
  <si>
    <t>679d2657-d8f1-4b49-a5a0-6126ad4ad67b</t>
  </si>
  <si>
    <t>27662365379</t>
  </si>
  <si>
    <t>13562005</t>
  </si>
  <si>
    <t>6aca79c1-837c-4572-8092-73cb1afaf944</t>
  </si>
  <si>
    <t>27714349493</t>
  </si>
  <si>
    <t>13564867</t>
  </si>
  <si>
    <t>6371d7e8-5294-47f0-9439-0b6f368c3e00</t>
  </si>
  <si>
    <t>27608787461</t>
  </si>
  <si>
    <t>13557423</t>
  </si>
  <si>
    <t>4236b635-8eeb-4b22-8ded-23e0dc0b4a88</t>
  </si>
  <si>
    <t>2026-03-09 10:25:12</t>
  </si>
  <si>
    <t>27763442190</t>
  </si>
  <si>
    <t>13557440</t>
  </si>
  <si>
    <t>f8cb3a68-731c-46ce-8ccc-22a488060fca</t>
  </si>
  <si>
    <t>27763772449</t>
  </si>
  <si>
    <t>13556420</t>
  </si>
  <si>
    <t>85ad971c-8fb0-48b2-a6b2-77ead2d4aa67</t>
  </si>
  <si>
    <t>27723685298</t>
  </si>
  <si>
    <t>13557413</t>
  </si>
  <si>
    <t>2d18a81a-66e6-413a-a541-66b562232336</t>
  </si>
  <si>
    <t>27763312704</t>
  </si>
  <si>
    <t>13557414</t>
  </si>
  <si>
    <t>48167cb7-8d49-48c5-96a9-5ffa8921dd2f</t>
  </si>
  <si>
    <t>27763315300</t>
  </si>
  <si>
    <t>13557400</t>
  </si>
  <si>
    <t>c0f54790-b00b-4676-b076-164b043187cb</t>
  </si>
  <si>
    <t>2026-03-09 10:25:11</t>
  </si>
  <si>
    <t>27763221989</t>
  </si>
  <si>
    <t>13557401</t>
  </si>
  <si>
    <t>d9cb7bcb-e49c-4a45-9657-b5ad0aa2072b</t>
  </si>
  <si>
    <t>27763244847</t>
  </si>
  <si>
    <t>13557403</t>
  </si>
  <si>
    <t>ef382ea2-0ac3-47e8-bfa2-ff323fe76b4a</t>
  </si>
  <si>
    <t>27763249619</t>
  </si>
  <si>
    <t>13557406</t>
  </si>
  <si>
    <t>c82fc57f-285a-46ac-8572-53e69fc28992</t>
  </si>
  <si>
    <t>27763261376</t>
  </si>
  <si>
    <t>13557407</t>
  </si>
  <si>
    <t>83225cc5-0fc5-4492-b33c-e24adc238820</t>
  </si>
  <si>
    <t>27763270667</t>
  </si>
  <si>
    <t>13557393</t>
  </si>
  <si>
    <t>66697c56-b403-4f86-b7db-6a469f4a4164</t>
  </si>
  <si>
    <t>2026-03-09 10:25:10</t>
  </si>
  <si>
    <t>27763122440</t>
  </si>
  <si>
    <t>13557396</t>
  </si>
  <si>
    <t>bc787c7a-580e-48b7-b253-efaaf932b6d7</t>
  </si>
  <si>
    <t>27763167227</t>
  </si>
  <si>
    <t>13557382</t>
  </si>
  <si>
    <t>0401ca93-cd3c-4597-ba6b-ac25e82f2dd8</t>
  </si>
  <si>
    <t>2026-03-09 10:25:09</t>
  </si>
  <si>
    <t>27763084167</t>
  </si>
  <si>
    <t>13557357</t>
  </si>
  <si>
    <t>a1d4c9b1-aaaf-43fd-88f5-8bbaa3e3cc13</t>
  </si>
  <si>
    <t>2026-03-09 10:25:08</t>
  </si>
  <si>
    <t>27762879520</t>
  </si>
  <si>
    <t>13557383</t>
  </si>
  <si>
    <t>ab2f430e-2d5f-49fc-b3ca-1251356529c1</t>
  </si>
  <si>
    <t>27763085176</t>
  </si>
  <si>
    <t>13557386</t>
  </si>
  <si>
    <t>531f704d-5d4e-45bd-be04-38ac736d2e7a</t>
  </si>
  <si>
    <t>27763103359</t>
  </si>
  <si>
    <t>13557389</t>
  </si>
  <si>
    <t>909fb310-c69f-4c85-a91f-543ee874db70</t>
  </si>
  <si>
    <t>27763109262</t>
  </si>
  <si>
    <t>13557536</t>
  </si>
  <si>
    <t>5c9e164b-cf4f-435c-a01c-af15a2fef855</t>
  </si>
  <si>
    <t>27764879580</t>
  </si>
  <si>
    <t>13564869</t>
  </si>
  <si>
    <t>bb2c7ab2-ef21-41da-bf0e-8cbe15f86e2f</t>
  </si>
  <si>
    <t>27608806760</t>
  </si>
  <si>
    <t>13564874</t>
  </si>
  <si>
    <t>45d23737-a381-40b1-9a2a-f48aae3b3c2f</t>
  </si>
  <si>
    <t>27608873925</t>
  </si>
  <si>
    <t>13557363</t>
  </si>
  <si>
    <t>47028822-eb2b-4b47-a2fc-854156c7ad83</t>
  </si>
  <si>
    <t>2026-03-09 10:25:07</t>
  </si>
  <si>
    <t>27762924219</t>
  </si>
  <si>
    <t>13563166</t>
  </si>
  <si>
    <t>02b4fbef-1b1e-448c-b074-20838a6ecbb3</t>
  </si>
  <si>
    <t>27767601104</t>
  </si>
  <si>
    <t>13563177</t>
  </si>
  <si>
    <t>a6838aae-9f61-4440-bc19-2ce5f0ba50af</t>
  </si>
  <si>
    <t>27711921454</t>
  </si>
  <si>
    <t>13563180</t>
  </si>
  <si>
    <t>4b9922fa-4b8a-49fb-ba74-27c17c06f07a</t>
  </si>
  <si>
    <t>27711617592</t>
  </si>
  <si>
    <t>13563163</t>
  </si>
  <si>
    <t>f95691d2-020c-46ba-a549-8fe64d717ab1</t>
  </si>
  <si>
    <t>27663719703</t>
  </si>
  <si>
    <t>13563155</t>
  </si>
  <si>
    <t>0f57382a-7da0-446d-8c4f-6b6538aef5fc</t>
  </si>
  <si>
    <t>2026-03-09 10:25:05</t>
  </si>
  <si>
    <t>27712869978</t>
  </si>
  <si>
    <t>13562979</t>
  </si>
  <si>
    <t>a3e6e81d-0245-4f1c-b57f-f08d52678edc</t>
  </si>
  <si>
    <t>2026-03-09 10:25:04</t>
  </si>
  <si>
    <t>27761394047</t>
  </si>
  <si>
    <t>13562966</t>
  </si>
  <si>
    <t>ad4151da-2410-4881-bc6c-f7716d7d1075</t>
  </si>
  <si>
    <t>27766179165</t>
  </si>
  <si>
    <t>13562967</t>
  </si>
  <si>
    <t>4840d4fc-7232-443f-8a28-8db3a3b982d0</t>
  </si>
  <si>
    <t>27766283942</t>
  </si>
  <si>
    <t>13563146</t>
  </si>
  <si>
    <t>b2211e63-ea5a-477e-a78c-b1535c41c7da</t>
  </si>
  <si>
    <t>27609219760</t>
  </si>
  <si>
    <t>13563151</t>
  </si>
  <si>
    <t>e896b5bf-4dac-4191-aab6-70ec4ef7a507</t>
  </si>
  <si>
    <t>27760274241</t>
  </si>
  <si>
    <t>13562947</t>
  </si>
  <si>
    <t>94cb35bc-d332-4e31-b765-bf5cf9743972</t>
  </si>
  <si>
    <t>2026-03-09 10:25:02</t>
  </si>
  <si>
    <t>27673783086</t>
  </si>
  <si>
    <t>13564875</t>
  </si>
  <si>
    <t>6e7fe119-69b9-4b3b-8eb9-cb1615b5d755</t>
  </si>
  <si>
    <t>2026-03-09 10:24:59</t>
  </si>
  <si>
    <t>27608875419</t>
  </si>
  <si>
    <t>13557341</t>
  </si>
  <si>
    <t>c515a8ff-0641-4977-8e84-259d36d05fa6</t>
  </si>
  <si>
    <t>2026-03-09 10:24:58</t>
  </si>
  <si>
    <t>27762781953</t>
  </si>
  <si>
    <t>13557347</t>
  </si>
  <si>
    <t>0c770b7d-f4bc-4798-9d54-e82f14abdf49</t>
  </si>
  <si>
    <t>2026-03-09 10:24:39</t>
  </si>
  <si>
    <t>27762829529</t>
  </si>
  <si>
    <t>13557349</t>
  </si>
  <si>
    <t>7303512c-9a6f-45fa-9d1e-2200d308aa29</t>
  </si>
  <si>
    <t>27762833774</t>
  </si>
  <si>
    <t>13557355</t>
  </si>
  <si>
    <t>a444a63b-e068-4a3c-bac6-2c19982007d2</t>
  </si>
  <si>
    <t>27762847404</t>
  </si>
  <si>
    <t>13557356</t>
  </si>
  <si>
    <t>6139b8f0-fc7b-4b0a-a83d-b22f454c5a44</t>
  </si>
  <si>
    <t>27762849450</t>
  </si>
  <si>
    <t>13557331</t>
  </si>
  <si>
    <t>de758733-2a15-4ef6-8133-751fe049baba</t>
  </si>
  <si>
    <t>2026-03-09 10:24:38</t>
  </si>
  <si>
    <t>27762589215</t>
  </si>
  <si>
    <t>13557337</t>
  </si>
  <si>
    <t>e0b82848-3fcf-4493-88c7-fa3305f3402e</t>
  </si>
  <si>
    <t>27762716234</t>
  </si>
  <si>
    <t>13557343</t>
  </si>
  <si>
    <t>d2ac7a48-d481-4b7c-88bf-0d63cdfe231f</t>
  </si>
  <si>
    <t>27762786199</t>
  </si>
  <si>
    <t>13557324</t>
  </si>
  <si>
    <t>c12b283a-9de7-4282-8528-7ccf7e2d3ba9</t>
  </si>
  <si>
    <t>2026-03-09 10:24:36</t>
  </si>
  <si>
    <t>27762498213</t>
  </si>
  <si>
    <t>13556339</t>
  </si>
  <si>
    <t>959a05f7-6ba3-48fd-8172-13c0ff4498e2</t>
  </si>
  <si>
    <t>2026-03-09 10:24:35</t>
  </si>
  <si>
    <t>27722887068</t>
  </si>
  <si>
    <t>13556343</t>
  </si>
  <si>
    <t>a5e03e69-4048-4fe9-918e-a070accf60ca</t>
  </si>
  <si>
    <t>27722917863</t>
  </si>
  <si>
    <t>13557320</t>
  </si>
  <si>
    <t>b3569b23-b3f9-4b0c-9730-3c4a86a7f5f2</t>
  </si>
  <si>
    <t>27762461663</t>
  </si>
  <si>
    <t>13556254</t>
  </si>
  <si>
    <t>b52c96f4-acb5-4934-bef3-fd2021e32502</t>
  </si>
  <si>
    <t>2026-03-09 10:24:30</t>
  </si>
  <si>
    <t>27722052724</t>
  </si>
  <si>
    <t>13556279</t>
  </si>
  <si>
    <t>69d48c93-5f7b-450f-90c0-db17eac99424</t>
  </si>
  <si>
    <t>27722207475</t>
  </si>
  <si>
    <t>13556291</t>
  </si>
  <si>
    <t>765f774d-ddb4-423b-a60f-2143d510d9fe</t>
  </si>
  <si>
    <t>27722271996</t>
  </si>
  <si>
    <t>13556292</t>
  </si>
  <si>
    <t>0b48e1fb-73b8-4e6a-86ae-1d77d9037cff</t>
  </si>
  <si>
    <t>27722278364</t>
  </si>
  <si>
    <t>13556232</t>
  </si>
  <si>
    <t>213532d1-44fe-444a-b291-a7144dfcaff9</t>
  </si>
  <si>
    <t>2026-03-09 10:24:29</t>
  </si>
  <si>
    <t>27721844116</t>
  </si>
  <si>
    <t>13556238</t>
  </si>
  <si>
    <t>c8ab6240-1cad-4a18-bd44-bbc62cdc7d39</t>
  </si>
  <si>
    <t>27721904290</t>
  </si>
  <si>
    <t>13556239</t>
  </si>
  <si>
    <t>fd31a432-0031-41d9-8d84-3a3db8d5d5dd</t>
  </si>
  <si>
    <t>27721915298</t>
  </si>
  <si>
    <t>13556240</t>
  </si>
  <si>
    <t>3e563b76-f84f-4a82-8ef1-020a807fce35</t>
  </si>
  <si>
    <t>27721925518</t>
  </si>
  <si>
    <t>13556244</t>
  </si>
  <si>
    <t>936831a4-6e2c-4be9-ba86-b7f958ee9e15</t>
  </si>
  <si>
    <t>27721962519</t>
  </si>
  <si>
    <t>13556255</t>
  </si>
  <si>
    <t>8db2d823-bbf3-4844-8e03-78b4118f5bdf</t>
  </si>
  <si>
    <t>27722060466</t>
  </si>
  <si>
    <t>13556262</t>
  </si>
  <si>
    <t>0bae449a-5329-419f-8cb9-67d24aef15ce</t>
  </si>
  <si>
    <t>27722121495</t>
  </si>
  <si>
    <t>13556273</t>
  </si>
  <si>
    <t>8bc8c8d0-38c4-48d1-842f-b66cd65b2059</t>
  </si>
  <si>
    <t>27722174117</t>
  </si>
  <si>
    <t>13556276</t>
  </si>
  <si>
    <t>395e4e36-0fdc-47b8-88ed-9ad1a93dff32</t>
  </si>
  <si>
    <t>27722187435</t>
  </si>
  <si>
    <t>13556224</t>
  </si>
  <si>
    <t>c6624768-87f8-4627-a387-e9059ee21ca1</t>
  </si>
  <si>
    <t>2026-03-09 10:24:28</t>
  </si>
  <si>
    <t>27721782544</t>
  </si>
  <si>
    <t>13556225</t>
  </si>
  <si>
    <t>9e152f5f-5de8-4ada-84a3-6f273183bab9</t>
  </si>
  <si>
    <t>27721791001</t>
  </si>
  <si>
    <t>13556231</t>
  </si>
  <si>
    <t>fc362e9d-4273-4911-9294-2eb1f01bd1fc</t>
  </si>
  <si>
    <t>27721843314</t>
  </si>
  <si>
    <t>13556199</t>
  </si>
  <si>
    <t>d051687d-8a15-48d7-99c3-4882942006a6</t>
  </si>
  <si>
    <t>27721512257</t>
  </si>
  <si>
    <t>13556209</t>
  </si>
  <si>
    <t>f9b45a4e-1b72-4ea5-9964-20c4a8ff5482</t>
  </si>
  <si>
    <t>27721581608</t>
  </si>
  <si>
    <t>13556185</t>
  </si>
  <si>
    <t>f86b2eeb-1892-4d22-838e-924890e7925a</t>
  </si>
  <si>
    <t>2026-03-09 10:24:22</t>
  </si>
  <si>
    <t>27721429413</t>
  </si>
  <si>
    <t>13556191</t>
  </si>
  <si>
    <t>0fce1e09-3b26-4bfe-a4f4-c894fc502de3</t>
  </si>
  <si>
    <t>27721471301</t>
  </si>
  <si>
    <t>13556192</t>
  </si>
  <si>
    <t>1f0c9b80-9385-4665-be91-0344521a3975</t>
  </si>
  <si>
    <t>27721472675</t>
  </si>
  <si>
    <t>13556195</t>
  </si>
  <si>
    <t>10e5ee61-8173-4445-89f9-3e7b63dd2169</t>
  </si>
  <si>
    <t>27721494387</t>
  </si>
  <si>
    <t>13555190</t>
  </si>
  <si>
    <t>52290ec7-afef-49cb-8c13-b736784cc10f</t>
  </si>
  <si>
    <t>2026-03-09 10:24:21</t>
  </si>
  <si>
    <t>27649552438</t>
  </si>
  <si>
    <t>13555027</t>
  </si>
  <si>
    <t>ea7bd503-2bdc-4f08-83cf-ffe6fe79f541</t>
  </si>
  <si>
    <t>27646086642</t>
  </si>
  <si>
    <t>13555029</t>
  </si>
  <si>
    <t>12d9aa0f-f258-41d8-9e47-a691f870ff52</t>
  </si>
  <si>
    <t>27646097186</t>
  </si>
  <si>
    <t>13555031</t>
  </si>
  <si>
    <t>5b6c5a90-d745-4f25-9d73-8d1d2275fbf1</t>
  </si>
  <si>
    <t>27646117187</t>
  </si>
  <si>
    <t>13556180</t>
  </si>
  <si>
    <t>a971ea7e-95b8-4be7-bfc4-0596c754d688</t>
  </si>
  <si>
    <t>27721371646</t>
  </si>
  <si>
    <t>13556183</t>
  </si>
  <si>
    <t>45c02211-9d14-4f93-a04b-498998e89524</t>
  </si>
  <si>
    <t>27721402754</t>
  </si>
  <si>
    <t>13555146</t>
  </si>
  <si>
    <t>7483cbe7-03e4-400f-b89f-9864a36f5f16</t>
  </si>
  <si>
    <t>2026-03-09 10:24:16</t>
  </si>
  <si>
    <t>27648638155</t>
  </si>
  <si>
    <t>13555157</t>
  </si>
  <si>
    <t>4181948e-0fa6-40a7-aeee-227bfbf76dbb</t>
  </si>
  <si>
    <t>27648884314</t>
  </si>
  <si>
    <t>13555164</t>
  </si>
  <si>
    <t>a92fa175-c9f0-4014-893a-4d418d3d4628</t>
  </si>
  <si>
    <t>27648966314</t>
  </si>
  <si>
    <t>13555165</t>
  </si>
  <si>
    <t>e27ccd26-b046-4c0f-885a-268a4042b8ea</t>
  </si>
  <si>
    <t>27648967527</t>
  </si>
  <si>
    <t>13555169</t>
  </si>
  <si>
    <t>87ee29a8-b54f-4da5-9e20-c4333941c9aa</t>
  </si>
  <si>
    <t>27649107966</t>
  </si>
  <si>
    <t>13555174</t>
  </si>
  <si>
    <t>03e41c85-0ed2-48dc-bd19-d267310f7aa9</t>
  </si>
  <si>
    <t>27649259823</t>
  </si>
  <si>
    <t>13555186</t>
  </si>
  <si>
    <t>e854bb3e-a187-45d8-b163-57f5e7637477</t>
  </si>
  <si>
    <t>27649467962</t>
  </si>
  <si>
    <t>13555142</t>
  </si>
  <si>
    <t>73b30544-e7e3-4e67-9605-fe48503e52d3</t>
  </si>
  <si>
    <t>2026-03-09 10:24:15</t>
  </si>
  <si>
    <t>27648577349</t>
  </si>
  <si>
    <t>13555147</t>
  </si>
  <si>
    <t>03eb7c25-96bd-4020-be27-ee7e33d65f8e</t>
  </si>
  <si>
    <t>27648679675</t>
  </si>
  <si>
    <t>13555155</t>
  </si>
  <si>
    <t>e1c70f63-ef43-40e7-a92a-b03326cedd34</t>
  </si>
  <si>
    <t>27648860937</t>
  </si>
  <si>
    <t>13555156</t>
  </si>
  <si>
    <t>5c37ae06-3ae5-4708-8e13-623e4d6b4614</t>
  </si>
  <si>
    <t>27648861695</t>
  </si>
  <si>
    <t>13555171</t>
  </si>
  <si>
    <t>127915b6-d70e-460b-b86f-607a661f493e</t>
  </si>
  <si>
    <t>27649157019</t>
  </si>
  <si>
    <t>13555117</t>
  </si>
  <si>
    <t>a9de48fe-2d62-4bda-b2eb-c8a05f109983</t>
  </si>
  <si>
    <t>2026-03-09 10:24:13</t>
  </si>
  <si>
    <t>27648264383</t>
  </si>
  <si>
    <t>13555120</t>
  </si>
  <si>
    <t>9e937777-1e80-4288-858f-8c11e9f7da2b</t>
  </si>
  <si>
    <t>27648295865</t>
  </si>
  <si>
    <t>13555128</t>
  </si>
  <si>
    <t>f04a902a-b2ad-4770-86d9-fec7d1e1a879</t>
  </si>
  <si>
    <t>27648425247</t>
  </si>
  <si>
    <t>13555133</t>
  </si>
  <si>
    <t>c6197f40-5803-457b-acc9-fc0938e33f71</t>
  </si>
  <si>
    <t>27648463133</t>
  </si>
  <si>
    <t>13555139</t>
  </si>
  <si>
    <t>96ed9f5e-e07c-42d5-8812-f769c558a49b</t>
  </si>
  <si>
    <t>27648569608</t>
  </si>
  <si>
    <t>13555090</t>
  </si>
  <si>
    <t>a3d8dcd7-00dc-4050-9d98-07847803aa2b</t>
  </si>
  <si>
    <t>27647435164</t>
  </si>
  <si>
    <t>13555105</t>
  </si>
  <si>
    <t>ed19760d-b73f-49be-a11b-0bd11f08160e</t>
  </si>
  <si>
    <t>27647978171</t>
  </si>
  <si>
    <t>13555107</t>
  </si>
  <si>
    <t>6728a2d0-f32b-4772-9853-a5359963bb34</t>
  </si>
  <si>
    <t>27648070625</t>
  </si>
  <si>
    <t>13555113</t>
  </si>
  <si>
    <t>935fc1b7-a5eb-4a18-9e7c-a9715b1d017e</t>
  </si>
  <si>
    <t>27648228115</t>
  </si>
  <si>
    <t>13555088</t>
  </si>
  <si>
    <t>dfeb5426-aa67-46f2-991f-f627efbb2f09</t>
  </si>
  <si>
    <t>2026-03-09 10:24:12</t>
  </si>
  <si>
    <t>27647350272</t>
  </si>
  <si>
    <t>13555089</t>
  </si>
  <si>
    <t>de596305-ee7d-4eb6-9162-feff9d629256</t>
  </si>
  <si>
    <t>27647363577</t>
  </si>
  <si>
    <t>13555099</t>
  </si>
  <si>
    <t>51980b25-02df-404e-b281-07d6fc0158de</t>
  </si>
  <si>
    <t>27647850167</t>
  </si>
  <si>
    <t>13555102</t>
  </si>
  <si>
    <t>0a02cf6d-3cae-4335-a30c-967a9752bd58</t>
  </si>
  <si>
    <t>27647955049</t>
  </si>
  <si>
    <t>13555084</t>
  </si>
  <si>
    <t>c026ad00-c543-4d02-b986-495c3f47bd94</t>
  </si>
  <si>
    <t>2026-03-09 10:24:11</t>
  </si>
  <si>
    <t>27647319262</t>
  </si>
  <si>
    <t>13555060</t>
  </si>
  <si>
    <t>865e2682-a693-44c9-87a2-954a0554d88c</t>
  </si>
  <si>
    <t>2026-03-09 10:24:10</t>
  </si>
  <si>
    <t>27646703330</t>
  </si>
  <si>
    <t>13555067</t>
  </si>
  <si>
    <t>dbf5e200-aea6-4718-bc60-374499c9b23b</t>
  </si>
  <si>
    <t>27646769754</t>
  </si>
  <si>
    <t>13555070</t>
  </si>
  <si>
    <t>04e8d1ab-0cbe-43b5-916e-bd1dc7fc21ea</t>
  </si>
  <si>
    <t>27646940603</t>
  </si>
  <si>
    <t>13555078</t>
  </si>
  <si>
    <t>43b5c0eb-dd99-4432-8f5f-35fe8428a1f9</t>
  </si>
  <si>
    <t>27647046209</t>
  </si>
  <si>
    <t>13555082</t>
  </si>
  <si>
    <t>2b031a2b-310d-41af-85ed-57b16eac0f3c</t>
  </si>
  <si>
    <t>27647259920</t>
  </si>
  <si>
    <t>13555083</t>
  </si>
  <si>
    <t>7738c3ba-e069-400e-ada4-4d631fa51316</t>
  </si>
  <si>
    <t>27647272673</t>
  </si>
  <si>
    <t>13555062</t>
  </si>
  <si>
    <t>e9760258-8f9b-4e07-a06c-808646bf70d3</t>
  </si>
  <si>
    <t>2026-03-09 10:24:09</t>
  </si>
  <si>
    <t>27646713541</t>
  </si>
  <si>
    <t>13555047</t>
  </si>
  <si>
    <t>97b45b21-1f9c-46d0-861f-58d9a4071545</t>
  </si>
  <si>
    <t>2026-03-09 10:24:08</t>
  </si>
  <si>
    <t>27646316842</t>
  </si>
  <si>
    <t>13555052</t>
  </si>
  <si>
    <t>577c6f34-f244-43c7-b635-e9ff530c9c03</t>
  </si>
  <si>
    <t>27646410442</t>
  </si>
  <si>
    <t>13555034</t>
  </si>
  <si>
    <t>7e8fb8aa-fdf5-43a1-80fe-78c466f5f834</t>
  </si>
  <si>
    <t>2026-03-09 10:24:04</t>
  </si>
  <si>
    <t>27646145929</t>
  </si>
  <si>
    <t>13555038</t>
  </si>
  <si>
    <t>40533e61-34df-4c44-bae4-19dc12b28559</t>
  </si>
  <si>
    <t>2026-03-09 10:24:03</t>
  </si>
  <si>
    <t>27646177884</t>
  </si>
  <si>
    <t>13555039</t>
  </si>
  <si>
    <t>1954db82-6434-4ec5-8a2d-4382ee4ecf13</t>
  </si>
  <si>
    <t>27646197515</t>
  </si>
  <si>
    <t>13555042</t>
  </si>
  <si>
    <t>1b581aa4-1b73-410c-b130-051b927c151f</t>
  </si>
  <si>
    <t>27646279170</t>
  </si>
  <si>
    <t>13555043</t>
  </si>
  <si>
    <t>89bc3c4a-5e6c-4fa9-973c-18c0d6ee624a</t>
  </si>
  <si>
    <t>27646280094</t>
  </si>
  <si>
    <t>13555045</t>
  </si>
  <si>
    <t>910e3414-a6a8-429e-86c3-30915fb24bb4</t>
  </si>
  <si>
    <t>27646291185</t>
  </si>
  <si>
    <t>13563266</t>
  </si>
  <si>
    <t>3e72e55b-776b-4ff9-8bb1-0bcde1d6ff84</t>
  </si>
  <si>
    <t>27660130124</t>
  </si>
  <si>
    <t>13563009</t>
  </si>
  <si>
    <t>6dd945f8-5cfd-4254-8922-e929a3fa6fd2</t>
  </si>
  <si>
    <t>2026-03-09 10:24:02</t>
  </si>
  <si>
    <t>27761632064</t>
  </si>
  <si>
    <t>13563010</t>
  </si>
  <si>
    <t>9839d958-0233-4861-aeab-a6c10634b4d3</t>
  </si>
  <si>
    <t>27663724397</t>
  </si>
  <si>
    <t>13563021</t>
  </si>
  <si>
    <t>a6fc83c9-d348-48fb-8a82-3af3d82a15ff</t>
  </si>
  <si>
    <t>27722891286</t>
  </si>
  <si>
    <t>13563023</t>
  </si>
  <si>
    <t>5d033396-0851-4778-bd10-ee6580064975</t>
  </si>
  <si>
    <t>27726443380</t>
  </si>
  <si>
    <t>13563027</t>
  </si>
  <si>
    <t>6ca6d90a-88b6-4ec3-9bd0-2f698a7d949e</t>
  </si>
  <si>
    <t>27727493347</t>
  </si>
  <si>
    <t>13562990</t>
  </si>
  <si>
    <t>96f4f503-47f2-433e-923c-1c4047180afa</t>
  </si>
  <si>
    <t>2026-03-09 10:23:55</t>
  </si>
  <si>
    <t>27665527472</t>
  </si>
  <si>
    <t>13562991</t>
  </si>
  <si>
    <t>451754ca-9e92-4758-a89c-6bb250a9882c</t>
  </si>
  <si>
    <t>27637861837</t>
  </si>
  <si>
    <t>13563003</t>
  </si>
  <si>
    <t>c39483b3-8a5b-4e6f-b4c7-58bbe90991f2</t>
  </si>
  <si>
    <t>27661362425</t>
  </si>
  <si>
    <t>13563005</t>
  </si>
  <si>
    <t>7fe0abc7-6b0e-4d5a-9629-0c7e43828011</t>
  </si>
  <si>
    <t>27664041524</t>
  </si>
  <si>
    <t>13563363</t>
  </si>
  <si>
    <t>9facaeec-bbfe-43ea-8642-2dd2cf2f49e1</t>
  </si>
  <si>
    <t>2026-03-09 10:23:48</t>
  </si>
  <si>
    <t>27729404956</t>
  </si>
  <si>
    <t>13555270</t>
  </si>
  <si>
    <t>8eb0e154-241f-45e3-8bd7-088eb3b1f76a</t>
  </si>
  <si>
    <t>2026-03-09 10:23:08</t>
  </si>
  <si>
    <t>27660945002</t>
  </si>
  <si>
    <t>13555739</t>
  </si>
  <si>
    <t>71458b6b-e2e2-4dd7-8025-aff1ad04d1f5</t>
  </si>
  <si>
    <t>27713426687</t>
  </si>
  <si>
    <t>13557280</t>
  </si>
  <si>
    <t>35bc81b1-e3a6-46c1-bf76-9455f0ac4910</t>
  </si>
  <si>
    <t>27762027314</t>
  </si>
  <si>
    <t>13556573</t>
  </si>
  <si>
    <t>2130f354-305c-4350-b984-ece4193ad40a</t>
  </si>
  <si>
    <t>27725163778</t>
  </si>
  <si>
    <t>13556556</t>
  </si>
  <si>
    <t>9d410010-6720-4e53-9dbe-7c0aee6c0c13</t>
  </si>
  <si>
    <t>27725011526</t>
  </si>
  <si>
    <t>13557504</t>
  </si>
  <si>
    <t>046d1119-b501-47da-aeb9-e08bb210b882</t>
  </si>
  <si>
    <t>27764595446</t>
  </si>
  <si>
    <t>13555267</t>
  </si>
  <si>
    <t>425994de-1a00-4a9c-8022-366ad3ece1bc</t>
  </si>
  <si>
    <t>2026-03-09 10:23:06</t>
  </si>
  <si>
    <t>27660919693</t>
  </si>
  <si>
    <t>13555263</t>
  </si>
  <si>
    <t>0598a8fe-ad44-44c7-b2a8-21fc67d6ef37</t>
  </si>
  <si>
    <t>27660873143</t>
  </si>
  <si>
    <t>13555261</t>
  </si>
  <si>
    <t>d1cbe577-cc89-48ac-9cc0-f05cfaced27d</t>
  </si>
  <si>
    <t>2026-03-09 10:23:05</t>
  </si>
  <si>
    <t>27660824043</t>
  </si>
  <si>
    <t>13555262</t>
  </si>
  <si>
    <t>36f552d0-03e6-47ff-a19f-ffad7fc13e49</t>
  </si>
  <si>
    <t>27660830071</t>
  </si>
  <si>
    <t>13556405</t>
  </si>
  <si>
    <t>d838b88d-ed87-46fc-b780-fc95cf836092</t>
  </si>
  <si>
    <t>2026-03-09 10:23:04</t>
  </si>
  <si>
    <t>27723552057</t>
  </si>
  <si>
    <t>13556392</t>
  </si>
  <si>
    <t>b76ea6df-7947-4eaa-a8a4-66c9cab89404</t>
  </si>
  <si>
    <t>2026-03-09 10:23:02</t>
  </si>
  <si>
    <t>27723441078</t>
  </si>
  <si>
    <t>13556395</t>
  </si>
  <si>
    <t>efd2117d-f6b2-44e7-be7c-cb0eaec07831</t>
  </si>
  <si>
    <t>27723466301</t>
  </si>
  <si>
    <t>13556401</t>
  </si>
  <si>
    <t>2b5a7fdc-1c5a-475e-8d0a-d153d34b81e3</t>
  </si>
  <si>
    <t>27723522716</t>
  </si>
  <si>
    <t>13556358</t>
  </si>
  <si>
    <t>5cb5ebda-afd0-4d20-b872-e8f929417004</t>
  </si>
  <si>
    <t>2026-03-09 10:23:01</t>
  </si>
  <si>
    <t>27723086196</t>
  </si>
  <si>
    <t>13556367</t>
  </si>
  <si>
    <t>3243c01f-70c3-45b4-b09d-48c143d4b874</t>
  </si>
  <si>
    <t>27723162040</t>
  </si>
  <si>
    <t>13556380</t>
  </si>
  <si>
    <t>e7b4f94a-b787-472b-bc38-264c0c0a4bdb</t>
  </si>
  <si>
    <t>27723312927</t>
  </si>
  <si>
    <t>13556387</t>
  </si>
  <si>
    <t>178c9a1e-97d9-462f-b3b6-749012924678</t>
  </si>
  <si>
    <t>27723413482</t>
  </si>
  <si>
    <t>13557242</t>
  </si>
  <si>
    <t>bd8529b1-8d73-4915-ab19-a63b2de03c99</t>
  </si>
  <si>
    <t>27761636659</t>
  </si>
  <si>
    <t>13557524</t>
  </si>
  <si>
    <t>8b94ed5d-cae4-4ea4-b73e-7a69bd3541f1</t>
  </si>
  <si>
    <t>27764751901</t>
  </si>
  <si>
    <t>13557525</t>
  </si>
  <si>
    <t>8fbbd0b3-f662-4e01-9068-f2839d099868</t>
  </si>
  <si>
    <t>27764753705</t>
  </si>
  <si>
    <t>13557535</t>
  </si>
  <si>
    <t>29128027-5973-4337-8914-444b96f589c3</t>
  </si>
  <si>
    <t>27764874808</t>
  </si>
  <si>
    <t>13557542</t>
  </si>
  <si>
    <t>e60af214-e671-43df-8c87-30f8bec987ed</t>
  </si>
  <si>
    <t>27764916688</t>
  </si>
  <si>
    <t>13557229</t>
  </si>
  <si>
    <t>a7947f8b-c4bb-4f10-8352-ee5d041d243a</t>
  </si>
  <si>
    <t>2026-03-09 10:22:59</t>
  </si>
  <si>
    <t>27761520886</t>
  </si>
  <si>
    <t>13557483</t>
  </si>
  <si>
    <t>d52fe9d3-ed1f-49ba-94c2-a1dd7c0e0956</t>
  </si>
  <si>
    <t>27764319195</t>
  </si>
  <si>
    <t>13557515</t>
  </si>
  <si>
    <t>8da16dd5-e403-4ab1-a625-67b4bb18499d</t>
  </si>
  <si>
    <t>27764677505</t>
  </si>
  <si>
    <t>13557520</t>
  </si>
  <si>
    <t>4a097fc5-9f52-4b23-920c-5a19896c6e68</t>
  </si>
  <si>
    <t>27764738883</t>
  </si>
  <si>
    <t>13557469</t>
  </si>
  <si>
    <t>78d814d7-d6e0-4aff-9c58-cb997d7b637b</t>
  </si>
  <si>
    <t>2026-03-09 10:22:58</t>
  </si>
  <si>
    <t>27764152934</t>
  </si>
  <si>
    <t>13557472</t>
  </si>
  <si>
    <t>a198085b-1973-436d-85bf-43e843881f7e</t>
  </si>
  <si>
    <t>27764172998</t>
  </si>
  <si>
    <t>13557473</t>
  </si>
  <si>
    <t>bc91ff4e-a624-4344-b917-3df1ffc52221</t>
  </si>
  <si>
    <t>27764179188</t>
  </si>
  <si>
    <t>13557476</t>
  </si>
  <si>
    <t>35d0163a-c2d9-4466-b6d5-4cdbe6de94bf</t>
  </si>
  <si>
    <t>27764201738</t>
  </si>
  <si>
    <t>13557478</t>
  </si>
  <si>
    <t>ebb2aac2-d586-4745-9f5b-6bd096b19c8b</t>
  </si>
  <si>
    <t>27764208341</t>
  </si>
  <si>
    <t>13557492</t>
  </si>
  <si>
    <t>614c3c33-a1ef-4019-83ee-5ce2581e3779</t>
  </si>
  <si>
    <t>27764385072</t>
  </si>
  <si>
    <t>13557494</t>
  </si>
  <si>
    <t>d21a350e-6928-43d4-b123-f244c8470ef2</t>
  </si>
  <si>
    <t>27764426706</t>
  </si>
  <si>
    <t>13557501</t>
  </si>
  <si>
    <t>0a0f1b65-7984-44f3-ada1-a17364fa1673</t>
  </si>
  <si>
    <t>27764569038</t>
  </si>
  <si>
    <t>13557503</t>
  </si>
  <si>
    <t>e9eea676-4969-4832-a6f2-b35088fe93a7</t>
  </si>
  <si>
    <t>27764581962</t>
  </si>
  <si>
    <t>13557467</t>
  </si>
  <si>
    <t>4e9d0eba-1a44-48f8-9de1-5b7e07ffa2c0</t>
  </si>
  <si>
    <t>2026-03-09 10:22:57</t>
  </si>
  <si>
    <t>27764145153</t>
  </si>
  <si>
    <t>13558437</t>
  </si>
  <si>
    <t>7ce6f1c2-9062-4be0-bf27-99c0bb7cae41</t>
  </si>
  <si>
    <t>27793955116</t>
  </si>
  <si>
    <t>13558438</t>
  </si>
  <si>
    <t>b4a98472-7dde-42c4-86be-a428ea3c16d0</t>
  </si>
  <si>
    <t>27793997646</t>
  </si>
  <si>
    <t>13557451</t>
  </si>
  <si>
    <t>aeba53d3-e3c4-4d71-9610-9254595422c1</t>
  </si>
  <si>
    <t>27763937837</t>
  </si>
  <si>
    <t>13557455</t>
  </si>
  <si>
    <t>c3865ed3-7321-4840-a4f7-d39d512bc13d</t>
  </si>
  <si>
    <t>27763984404</t>
  </si>
  <si>
    <t>13557459</t>
  </si>
  <si>
    <t>bc6ae679-ef3d-4b06-9ff9-c9fea2a5231e</t>
  </si>
  <si>
    <t>27764034578</t>
  </si>
  <si>
    <t>13558436</t>
  </si>
  <si>
    <t>cb0a06d4-9d52-4406-b982-3b9ef40e93aa</t>
  </si>
  <si>
    <t>2026-03-09 10:22:56</t>
  </si>
  <si>
    <t>27793949636</t>
  </si>
  <si>
    <t>13557564</t>
  </si>
  <si>
    <t>03f046ed-ed0e-496d-b655-7413244c83a8</t>
  </si>
  <si>
    <t>27765135565</t>
  </si>
  <si>
    <t>13557546</t>
  </si>
  <si>
    <t>a9cafc4f-a4b0-4082-9a61-a088862b568a</t>
  </si>
  <si>
    <t>27764970946</t>
  </si>
  <si>
    <t>13558739</t>
  </si>
  <si>
    <t>92cc9b94-b0e9-4f56-9396-06c8fecc508d</t>
  </si>
  <si>
    <t>27797602506</t>
  </si>
  <si>
    <t>13558418</t>
  </si>
  <si>
    <t>e3121b85-549a-4090-b30b-d3da6a48bc56</t>
  </si>
  <si>
    <t>2026-03-09 10:22:35</t>
  </si>
  <si>
    <t>27793745741</t>
  </si>
  <si>
    <t>13558429</t>
  </si>
  <si>
    <t>238c1178-db54-43d2-bcfa-a587c1fcd717</t>
  </si>
  <si>
    <t>27793899984</t>
  </si>
  <si>
    <t>13558431</t>
  </si>
  <si>
    <t>2cd6fd58-7254-4151-a4a7-d44a44f6ab38</t>
  </si>
  <si>
    <t>27793921430</t>
  </si>
  <si>
    <t>13558432</t>
  </si>
  <si>
    <t>1988988d-0d18-4c4c-bc3d-2f92552c9218</t>
  </si>
  <si>
    <t>27793922003</t>
  </si>
  <si>
    <t>13558388</t>
  </si>
  <si>
    <t>82ea58ba-6988-408e-b73e-72c3f4cb6fe2</t>
  </si>
  <si>
    <t>2026-03-09 10:22:18</t>
  </si>
  <si>
    <t>27793406907</t>
  </si>
  <si>
    <t>13558376</t>
  </si>
  <si>
    <t>9ddd8627-14f4-4cfc-820b-275eef0a19bc</t>
  </si>
  <si>
    <t>2026-03-09 10:22:17</t>
  </si>
  <si>
    <t>27793258296</t>
  </si>
  <si>
    <t>13558377</t>
  </si>
  <si>
    <t>50b25708-41d4-4aa0-b3d7-42df1d50fcea</t>
  </si>
  <si>
    <t>27793306489</t>
  </si>
  <si>
    <t>13558381</t>
  </si>
  <si>
    <t>06fbc0cf-6597-4876-8cb4-f07376b43cb3</t>
  </si>
  <si>
    <t>27793327655</t>
  </si>
  <si>
    <t>13558409</t>
  </si>
  <si>
    <t>e2c1c171-a8a8-4182-94da-9170722674c0</t>
  </si>
  <si>
    <t>27793631358</t>
  </si>
  <si>
    <t>13558413</t>
  </si>
  <si>
    <t>7646e178-b5ae-4b7f-a29a-524a82881d05</t>
  </si>
  <si>
    <t>27793684271</t>
  </si>
  <si>
    <t>13558365</t>
  </si>
  <si>
    <t>3eacf064-77aa-4425-aefb-11275cffd457</t>
  </si>
  <si>
    <t>27793156006</t>
  </si>
  <si>
    <t>13557031</t>
  </si>
  <si>
    <t>df197891-9f52-49b1-bccb-30bfb9b40f37</t>
  </si>
  <si>
    <t>2026-03-09 10:22:15</t>
  </si>
  <si>
    <t>27729773348</t>
  </si>
  <si>
    <t>13557441</t>
  </si>
  <si>
    <t>39762f02-a117-4e7c-a9b4-734e26444ed6</t>
  </si>
  <si>
    <t>27763778634</t>
  </si>
  <si>
    <t>13557446</t>
  </si>
  <si>
    <t>f44b2fc6-a26c-4d60-a30b-30775fbb4ce9</t>
  </si>
  <si>
    <t>27763826770</t>
  </si>
  <si>
    <t>13556409</t>
  </si>
  <si>
    <t>8e3290fc-29b1-40a3-8508-e9f10d49efa3</t>
  </si>
  <si>
    <t>27723582255</t>
  </si>
  <si>
    <t>13556410</t>
  </si>
  <si>
    <t>68068de1-a018-43a0-86fd-397ab33505ae</t>
  </si>
  <si>
    <t>27723601083</t>
  </si>
  <si>
    <t>13556414</t>
  </si>
  <si>
    <t>9e9aa4dd-e4ae-4520-b8ff-291c57c137e6</t>
  </si>
  <si>
    <t>27723618432</t>
  </si>
  <si>
    <t>13556555</t>
  </si>
  <si>
    <t>3deb3081-3868-48ad-bfc0-f0066a5f2605</t>
  </si>
  <si>
    <t>27725007962</t>
  </si>
  <si>
    <t>13563050</t>
  </si>
  <si>
    <t>5c04a286-50ad-4459-8152-4f21b5227ea8</t>
  </si>
  <si>
    <t>27665733636</t>
  </si>
  <si>
    <t>13557338</t>
  </si>
  <si>
    <t>28e14649-ce7e-4082-8353-ad271bcb6858</t>
  </si>
  <si>
    <t>2026-03-09 10:22:14</t>
  </si>
  <si>
    <t>27762724266</t>
  </si>
  <si>
    <t>13557434</t>
  </si>
  <si>
    <t>06a44201-6702-4a53-ae95-ed61c9f4bbfd</t>
  </si>
  <si>
    <t>27763612630</t>
  </si>
  <si>
    <t>13557435</t>
  </si>
  <si>
    <t>0d0ab2db-9274-4657-88bb-8d98b3d971a2</t>
  </si>
  <si>
    <t>27763615225</t>
  </si>
  <si>
    <t>13557362</t>
  </si>
  <si>
    <t>2eaea183-48cd-47ee-89b9-25209889c4fb</t>
  </si>
  <si>
    <t>27762922243</t>
  </si>
  <si>
    <t>13558962</t>
  </si>
  <si>
    <t>94c6c67d-ce19-46d5-a4e3-02e640bc675f</t>
  </si>
  <si>
    <t>27818484411</t>
  </si>
  <si>
    <t>13557327</t>
  </si>
  <si>
    <t>01214a90-276d-4fc5-b3b6-19e201ef0199</t>
  </si>
  <si>
    <t>2026-03-09 10:22:13</t>
  </si>
  <si>
    <t>27762529989</t>
  </si>
  <si>
    <t>13557329</t>
  </si>
  <si>
    <t>91c968a0-31bf-4b7a-96a6-cfaf7bdcfe76</t>
  </si>
  <si>
    <t>27762582551</t>
  </si>
  <si>
    <t>13557266</t>
  </si>
  <si>
    <t>12d36088-f27b-4e07-9d5f-d45a62022265</t>
  </si>
  <si>
    <t>2026-03-09 10:22:12</t>
  </si>
  <si>
    <t>27761848171</t>
  </si>
  <si>
    <t>13557308</t>
  </si>
  <si>
    <t>7078d7cc-d1bc-4249-ae3f-842ed8ce8e92</t>
  </si>
  <si>
    <t>27762341198</t>
  </si>
  <si>
    <t>13557313</t>
  </si>
  <si>
    <t>d7efa885-2f7a-4198-bafe-89dd2ee4b3bb</t>
  </si>
  <si>
    <t>27762368690</t>
  </si>
  <si>
    <t>13558976</t>
  </si>
  <si>
    <t>66f62e0a-af3c-491e-ae83-272f6d02206c</t>
  </si>
  <si>
    <t>27818674169</t>
  </si>
  <si>
    <t>13557261</t>
  </si>
  <si>
    <t>0ae38850-1a2a-46db-a0cc-8d46f9165f57</t>
  </si>
  <si>
    <t>2026-03-09 10:22:11</t>
  </si>
  <si>
    <t>27761812444</t>
  </si>
  <si>
    <t>13557264</t>
  </si>
  <si>
    <t>12251227-c6d4-4667-9086-27c4954821c3</t>
  </si>
  <si>
    <t>27761844767</t>
  </si>
  <si>
    <t>13557253</t>
  </si>
  <si>
    <t>104eac45-dcf0-4c9a-aca4-2e4f4270eee0</t>
  </si>
  <si>
    <t>2026-03-09 10:22:10</t>
  </si>
  <si>
    <t>27761747246</t>
  </si>
  <si>
    <t>13557256</t>
  </si>
  <si>
    <t>bad8eb28-0db2-4a28-8144-3d2fe1696c16</t>
  </si>
  <si>
    <t>27761780940</t>
  </si>
  <si>
    <t>13557225</t>
  </si>
  <si>
    <t>9b1233ea-5350-4e7a-9269-fbde33c8fcc8</t>
  </si>
  <si>
    <t>2026-03-09 10:22:09</t>
  </si>
  <si>
    <t>27761459030</t>
  </si>
  <si>
    <t>13557227</t>
  </si>
  <si>
    <t>08e0c085-2f46-4ad2-8815-9b506b9ec4f0</t>
  </si>
  <si>
    <t>27761498526</t>
  </si>
  <si>
    <t>13557243</t>
  </si>
  <si>
    <t>b48c3db0-a0ab-47a5-9cfc-7f54686fa440</t>
  </si>
  <si>
    <t>27761642275</t>
  </si>
  <si>
    <t>13557211</t>
  </si>
  <si>
    <t>9ac2c3ae-6638-4422-aaa6-45ddde24b241</t>
  </si>
  <si>
    <t>27761303196</t>
  </si>
  <si>
    <t>13557217</t>
  </si>
  <si>
    <t>55b7c1d8-32f4-4231-b01d-65583f1a1627</t>
  </si>
  <si>
    <t>27761373068</t>
  </si>
  <si>
    <t>13557221</t>
  </si>
  <si>
    <t>ed91d214-cb50-4995-9463-80c17cbf0fb1</t>
  </si>
  <si>
    <t>27761399922</t>
  </si>
  <si>
    <t>13558880</t>
  </si>
  <si>
    <t>22e28aee-8b4f-4f12-b0fd-bc85293d2a73</t>
  </si>
  <si>
    <t>27799579651</t>
  </si>
  <si>
    <t>13558882</t>
  </si>
  <si>
    <t>6e585220-3970-4daa-86be-998b42c68c29</t>
  </si>
  <si>
    <t>27799617085</t>
  </si>
  <si>
    <t>13558885</t>
  </si>
  <si>
    <t>0faaf448-df41-4a16-927a-de22b112dc5d</t>
  </si>
  <si>
    <t>27799633407</t>
  </si>
  <si>
    <t>13558892</t>
  </si>
  <si>
    <t>fdf66336-fb6f-496c-89f1-116f22e08ad4</t>
  </si>
  <si>
    <t>27799674743</t>
  </si>
  <si>
    <t>13558914</t>
  </si>
  <si>
    <t>d8a50c9a-32c4-4619-84bc-44cce1283b10</t>
  </si>
  <si>
    <t>27799971445</t>
  </si>
  <si>
    <t>13557175</t>
  </si>
  <si>
    <t>d464ef22-72e6-458d-9bf0-242a9bdf8f4e</t>
  </si>
  <si>
    <t>2026-03-09 10:22:08</t>
  </si>
  <si>
    <t>27760952336</t>
  </si>
  <si>
    <t>13558924</t>
  </si>
  <si>
    <t>c36bc877-a885-455b-aeeb-718213f7c7cb</t>
  </si>
  <si>
    <t>27814780567</t>
  </si>
  <si>
    <t>13558929</t>
  </si>
  <si>
    <t>0c174c11-89cb-47db-9049-8d55a9eb9fe6</t>
  </si>
  <si>
    <t>27818045142</t>
  </si>
  <si>
    <t>13558855</t>
  </si>
  <si>
    <t>53747593-0c81-4e61-8555-ce8d584ec202</t>
  </si>
  <si>
    <t>27799314147</t>
  </si>
  <si>
    <t>13558937</t>
  </si>
  <si>
    <t>b450f087-12a5-4db1-b08e-b283720805b6</t>
  </si>
  <si>
    <t>27818153233</t>
  </si>
  <si>
    <t>13558862</t>
  </si>
  <si>
    <t>1572c987-4ee9-4f17-a417-fd9f66d985a3</t>
  </si>
  <si>
    <t>27799443026</t>
  </si>
  <si>
    <t>13558944</t>
  </si>
  <si>
    <t>3f79e13f-3ebc-4288-a91d-a3465a6a55cf</t>
  </si>
  <si>
    <t>27818221556</t>
  </si>
  <si>
    <t>13558870</t>
  </si>
  <si>
    <t>6ec44696-3678-49ad-a38b-29ece534004f</t>
  </si>
  <si>
    <t>27799496837</t>
  </si>
  <si>
    <t>13558806</t>
  </si>
  <si>
    <t>59573a0c-2207-4ae4-ac2e-f0dab0e02915</t>
  </si>
  <si>
    <t>2026-03-09 10:22:06</t>
  </si>
  <si>
    <t>27798441776</t>
  </si>
  <si>
    <t>13558819</t>
  </si>
  <si>
    <t>8414baac-035f-427b-aecd-dbe524f6c081</t>
  </si>
  <si>
    <t>27798746795</t>
  </si>
  <si>
    <t>13558831</t>
  </si>
  <si>
    <t>a36af5d4-a216-43fd-9136-835d252d0a0b</t>
  </si>
  <si>
    <t>27799023828</t>
  </si>
  <si>
    <t>13558838</t>
  </si>
  <si>
    <t>3d8ec53d-c369-405b-a18f-28a54aab5298</t>
  </si>
  <si>
    <t>27799133113</t>
  </si>
  <si>
    <t>13558846</t>
  </si>
  <si>
    <t>8029990e-9218-421a-b9ad-106f9a518598</t>
  </si>
  <si>
    <t>27799213249</t>
  </si>
  <si>
    <t>13558798</t>
  </si>
  <si>
    <t>cf3112b3-143e-466f-9f74-f248ce0ce9b1</t>
  </si>
  <si>
    <t>2026-03-09 10:22:05</t>
  </si>
  <si>
    <t>27798372323</t>
  </si>
  <si>
    <t>13558802</t>
  </si>
  <si>
    <t>47c389ff-c58c-44de-ad08-d90be80c8171</t>
  </si>
  <si>
    <t>27798412050</t>
  </si>
  <si>
    <t>13558810</t>
  </si>
  <si>
    <t>8c5c963e-52c6-4206-8448-15eb5f2cf4e6</t>
  </si>
  <si>
    <t>27798498672</t>
  </si>
  <si>
    <t>13558818</t>
  </si>
  <si>
    <t>8e7b74f4-8711-4e0f-a528-58f8fc9c2df6</t>
  </si>
  <si>
    <t>27798691805</t>
  </si>
  <si>
    <t>13558820</t>
  </si>
  <si>
    <t>5fce12d6-b7a3-443b-88fe-61ffdbc11b4a</t>
  </si>
  <si>
    <t>27798752258</t>
  </si>
  <si>
    <t>13558823</t>
  </si>
  <si>
    <t>8f755cd6-9c01-48c3-9f3e-15db90b1b1e6</t>
  </si>
  <si>
    <t>27798784218</t>
  </si>
  <si>
    <t>13558824</t>
  </si>
  <si>
    <t>c4c98b53-d015-402b-9900-ef5168e8a8c5</t>
  </si>
  <si>
    <t>27798822231</t>
  </si>
  <si>
    <t>13558783</t>
  </si>
  <si>
    <t>c4ebdad6-baf5-48bc-aea6-267a4a649eb9</t>
  </si>
  <si>
    <t>2026-03-09 10:22:04</t>
  </si>
  <si>
    <t>27798149574</t>
  </si>
  <si>
    <t>13558765</t>
  </si>
  <si>
    <t>1debabfd-4a9c-49bf-9a1d-df82aff5a19d</t>
  </si>
  <si>
    <t>27797983481</t>
  </si>
  <si>
    <t>13558768</t>
  </si>
  <si>
    <t>9b3b2ed6-eb26-4a57-82e8-d1e4b43a3c06</t>
  </si>
  <si>
    <t>27797993141</t>
  </si>
  <si>
    <t>13558775</t>
  </si>
  <si>
    <t>a4e7741d-07d4-4fa6-9730-2529dbe57fa2</t>
  </si>
  <si>
    <t>27798054054</t>
  </si>
  <si>
    <t>13558779</t>
  </si>
  <si>
    <t>89ff592e-42a8-4f5b-8536-e7a8b657f045</t>
  </si>
  <si>
    <t>27798109024</t>
  </si>
  <si>
    <t>13558782</t>
  </si>
  <si>
    <t>c5eaed7d-fb02-4dbe-8ab0-24a9586fe7c6</t>
  </si>
  <si>
    <t>27798137419</t>
  </si>
  <si>
    <t>13558723</t>
  </si>
  <si>
    <t>8e96efe4-6b3b-4878-ba0c-0c73e61e55ca</t>
  </si>
  <si>
    <t>2026-03-09 10:22:03</t>
  </si>
  <si>
    <t>27797382404</t>
  </si>
  <si>
    <t>13558725</t>
  </si>
  <si>
    <t>7ce3ff3b-20d9-4f90-84ae-ae653b16d249</t>
  </si>
  <si>
    <t>27797441582</t>
  </si>
  <si>
    <t>13558742</t>
  </si>
  <si>
    <t>57641571-9192-4e14-b23a-6379697fcf23</t>
  </si>
  <si>
    <t>27797628320</t>
  </si>
  <si>
    <t>13558751</t>
  </si>
  <si>
    <t>6395cb24-561f-4968-9219-7d351520b2d5</t>
  </si>
  <si>
    <t>27797736363</t>
  </si>
  <si>
    <t>13558763</t>
  </si>
  <si>
    <t>003bef7a-f7bc-4eea-8788-a022d74145a5</t>
  </si>
  <si>
    <t>27797954669</t>
  </si>
  <si>
    <t>13558699</t>
  </si>
  <si>
    <t>23373d5b-93ee-4ef0-9e9a-bb612d6f8517</t>
  </si>
  <si>
    <t>2026-03-09 10:22:02</t>
  </si>
  <si>
    <t>27797088533</t>
  </si>
  <si>
    <t>13558704</t>
  </si>
  <si>
    <t>fd1d1312-e68d-48ba-89db-ee70c45b0456</t>
  </si>
  <si>
    <t>27797160068</t>
  </si>
  <si>
    <t>13558705</t>
  </si>
  <si>
    <t>08fdd911-6303-40dd-b9c2-9769e666baf4</t>
  </si>
  <si>
    <t>27797161104</t>
  </si>
  <si>
    <t>13558706</t>
  </si>
  <si>
    <t>d63055dd-84b1-4a12-980a-7094ce42194d</t>
  </si>
  <si>
    <t>27797167721</t>
  </si>
  <si>
    <t>13558720</t>
  </si>
  <si>
    <t>9fea2aec-a3d7-41f6-b855-d54d175f36ef</t>
  </si>
  <si>
    <t>27797330904</t>
  </si>
  <si>
    <t>13557154</t>
  </si>
  <si>
    <t>adc283a4-ab1b-47be-bd8b-3984665ae8c5</t>
  </si>
  <si>
    <t>2026-03-09 10:22:01</t>
  </si>
  <si>
    <t>27760712898</t>
  </si>
  <si>
    <t>13557958</t>
  </si>
  <si>
    <t>84a87245-55c7-4cdf-980b-1f3a882dc98d</t>
  </si>
  <si>
    <t>27769050744</t>
  </si>
  <si>
    <t>13557956</t>
  </si>
  <si>
    <t>5e10e27d-3d36-4b6f-868e-43e0bc8d648c</t>
  </si>
  <si>
    <t>2026-03-09 10:22:00</t>
  </si>
  <si>
    <t>27769042373</t>
  </si>
  <si>
    <t>13557942</t>
  </si>
  <si>
    <t>8971be34-e285-47cc-bc06-87278cbd4309</t>
  </si>
  <si>
    <t>27768894276</t>
  </si>
  <si>
    <t>13557947</t>
  </si>
  <si>
    <t>91b747bc-081e-4208-9f44-82fdae6cf11f</t>
  </si>
  <si>
    <t>27768963854</t>
  </si>
  <si>
    <t>13557784</t>
  </si>
  <si>
    <t>6d5705a4-30ae-41d0-b952-56884267eafe</t>
  </si>
  <si>
    <t>2026-03-09 10:21:59</t>
  </si>
  <si>
    <t>27767380489</t>
  </si>
  <si>
    <t>13557809</t>
  </si>
  <si>
    <t>19ea09f3-cb24-42c6-b598-7cda20348dab</t>
  </si>
  <si>
    <t>27767592327</t>
  </si>
  <si>
    <t>13557810</t>
  </si>
  <si>
    <t>7835b637-0295-4416-bb10-5aedc4f32b7a</t>
  </si>
  <si>
    <t>27767595804</t>
  </si>
  <si>
    <t>13557812</t>
  </si>
  <si>
    <t>efb8ae30-5bce-4f0c-ba50-829c0582ebbf</t>
  </si>
  <si>
    <t>27767624599</t>
  </si>
  <si>
    <t>13557800</t>
  </si>
  <si>
    <t>2b7443fe-01fe-436b-8dea-b1d2112a8b57</t>
  </si>
  <si>
    <t>2026-03-09 10:21:58</t>
  </si>
  <si>
    <t>27767519767</t>
  </si>
  <si>
    <t>13557550</t>
  </si>
  <si>
    <t>c34c793c-ea4e-4078-bc3f-f622b1a0595c</t>
  </si>
  <si>
    <t>2026-03-09 10:21:57</t>
  </si>
  <si>
    <t>27765031391</t>
  </si>
  <si>
    <t>13555026</t>
  </si>
  <si>
    <t>799313c8-1213-49fd-abf6-43ce0c83cb9f</t>
  </si>
  <si>
    <t>2026-03-09 10:21:33</t>
  </si>
  <si>
    <t>27646061889</t>
  </si>
  <si>
    <t>13555006</t>
  </si>
  <si>
    <t>cad1bb22-f11c-4945-ba3d-7826a73ca212</t>
  </si>
  <si>
    <t>2026-03-09 10:21:32</t>
  </si>
  <si>
    <t>27637413807</t>
  </si>
  <si>
    <t>13555008</t>
  </si>
  <si>
    <t>b8d1f9ad-9fed-4c8a-b692-54c97aa22373</t>
  </si>
  <si>
    <t>27637449940</t>
  </si>
  <si>
    <t>13555011</t>
  </si>
  <si>
    <t>ce5fbbc8-0bd6-48b6-bab5-7fba6054eadb</t>
  </si>
  <si>
    <t>27637542389</t>
  </si>
  <si>
    <t>13555013</t>
  </si>
  <si>
    <t>959eb234-b8ce-4a1c-b309-2a4eee7739a8</t>
  </si>
  <si>
    <t>27637710932</t>
  </si>
  <si>
    <t>13555018</t>
  </si>
  <si>
    <t>df4d2e6d-219b-458e-b129-387ff93ccf66</t>
  </si>
  <si>
    <t>27637926522</t>
  </si>
  <si>
    <t>13555002</t>
  </si>
  <si>
    <t>3445ce10-85ed-4c4e-bd5e-192c9f849032</t>
  </si>
  <si>
    <t>2026-03-09 10:21:30</t>
  </si>
  <si>
    <t>27637345993</t>
  </si>
  <si>
    <t>13554996</t>
  </si>
  <si>
    <t>305070a0-50ee-4506-be7e-8b7cf290a988</t>
  </si>
  <si>
    <t>2026-03-09 10:21:29</t>
  </si>
  <si>
    <t>27637243397</t>
  </si>
  <si>
    <t>13555000</t>
  </si>
  <si>
    <t>c7600e46-3176-47ae-8e76-4053cd838a68</t>
  </si>
  <si>
    <t>27637310925</t>
  </si>
  <si>
    <t>13554991</t>
  </si>
  <si>
    <t>52814354-c2f7-4193-a21f-e83ccca7f1c6</t>
  </si>
  <si>
    <t>2026-03-09 10:21:28</t>
  </si>
  <si>
    <t>27637125374</t>
  </si>
  <si>
    <t>13556605</t>
  </si>
  <si>
    <t>9f4eed86-a94b-488b-897f-3b476dcf323a</t>
  </si>
  <si>
    <t>2026-03-09 10:21:27</t>
  </si>
  <si>
    <t>27725497138</t>
  </si>
  <si>
    <t>13558979</t>
  </si>
  <si>
    <t>2dc391e4-3b38-4e8e-8726-6aeff4b41bc0</t>
  </si>
  <si>
    <t>27818758359</t>
  </si>
  <si>
    <t>13563292</t>
  </si>
  <si>
    <t>189b7d0e-9c17-4e64-95da-fd7e5edf5f6f</t>
  </si>
  <si>
    <t>27760433089</t>
  </si>
  <si>
    <t>13558974</t>
  </si>
  <si>
    <t>b129bad7-fdfb-42a0-a3b9-aad0c5ccddda</t>
  </si>
  <si>
    <t>2026-03-09 10:21:24</t>
  </si>
  <si>
    <t>27818650555</t>
  </si>
  <si>
    <t>13558975</t>
  </si>
  <si>
    <t>c11403c7-b2e7-4b27-a71a-14a72b66ba97</t>
  </si>
  <si>
    <t>27818669548</t>
  </si>
  <si>
    <t>13558888</t>
  </si>
  <si>
    <t>f7ffba98-f573-4869-8f30-6982b89f3d27</t>
  </si>
  <si>
    <t>2026-03-09 10:21:23</t>
  </si>
  <si>
    <t>27799661780</t>
  </si>
  <si>
    <t>13558941</t>
  </si>
  <si>
    <t>3fcb5687-3fa9-457b-9eb0-497439334e69</t>
  </si>
  <si>
    <t>27818178559</t>
  </si>
  <si>
    <t>13558942</t>
  </si>
  <si>
    <t>1c746f58-0d8a-42eb-883b-7ce50ec5927e</t>
  </si>
  <si>
    <t>27818193490</t>
  </si>
  <si>
    <t>13558871</t>
  </si>
  <si>
    <t>6f7a3145-fb17-488a-b8e1-45b2b6f0f85b</t>
  </si>
  <si>
    <t>27799499819</t>
  </si>
  <si>
    <t>13558879</t>
  </si>
  <si>
    <t>1a4a5e42-dd93-43bf-bcef-0e76166a51d9</t>
  </si>
  <si>
    <t>27799571725</t>
  </si>
  <si>
    <t>13558254</t>
  </si>
  <si>
    <t>a4452f73-50ad-4dbd-8572-c45b3e155ffe</t>
  </si>
  <si>
    <t>2026-03-09 10:21:22</t>
  </si>
  <si>
    <t>27791860705</t>
  </si>
  <si>
    <t>13558527</t>
  </si>
  <si>
    <t>342136c4-bda6-4107-992e-695c9d69b109</t>
  </si>
  <si>
    <t>27794902547</t>
  </si>
  <si>
    <t>13558529</t>
  </si>
  <si>
    <t>8ea287cc-f6b0-461a-a1c3-990f371b62e5</t>
  </si>
  <si>
    <t>27794939328</t>
  </si>
  <si>
    <t>13558612</t>
  </si>
  <si>
    <t>2143d94a-1d25-4d5c-9da8-7f38a2e2b898</t>
  </si>
  <si>
    <t>27796113240</t>
  </si>
  <si>
    <t>13558869</t>
  </si>
  <si>
    <t>0c06f9b4-0f0f-4078-9568-b7f28c62d013</t>
  </si>
  <si>
    <t>27799496576</t>
  </si>
  <si>
    <t>13557930</t>
  </si>
  <si>
    <t>19050aa7-e9f9-4885-aefb-93dad2d1f7d7</t>
  </si>
  <si>
    <t>2026-03-09 10:21:21</t>
  </si>
  <si>
    <t>27768799890</t>
  </si>
  <si>
    <t>13557934</t>
  </si>
  <si>
    <t>b0a12643-dece-455c-b72d-11a064b240a2</t>
  </si>
  <si>
    <t>27768825191</t>
  </si>
  <si>
    <t>13557935</t>
  </si>
  <si>
    <t>a72296d4-2a32-495e-a4f0-2a125e3aa2a7</t>
  </si>
  <si>
    <t>27768830678</t>
  </si>
  <si>
    <t>13557938</t>
  </si>
  <si>
    <t>20868ef1-387c-4c60-a7c4-14685a7aabe9</t>
  </si>
  <si>
    <t>27768855899</t>
  </si>
  <si>
    <t>13558255</t>
  </si>
  <si>
    <t>267ef64c-a9d8-4de9-be73-65e0d88827d0</t>
  </si>
  <si>
    <t>27791867896</t>
  </si>
  <si>
    <t>13558265</t>
  </si>
  <si>
    <t>917ee9b1-4d94-4f4e-a32f-2656bc32b9ee</t>
  </si>
  <si>
    <t>27791983679</t>
  </si>
  <si>
    <t>13558525</t>
  </si>
  <si>
    <t>cb4131a1-7d2e-46e1-aad0-54861ea7f00e</t>
  </si>
  <si>
    <t>27794898210</t>
  </si>
  <si>
    <t>13557921</t>
  </si>
  <si>
    <t>46e0fb26-f1a8-4c26-b6d0-022a0dd7285d</t>
  </si>
  <si>
    <t>2026-03-09 10:21:20</t>
  </si>
  <si>
    <t>27768741976</t>
  </si>
  <si>
    <t>13557924</t>
  </si>
  <si>
    <t>676f44c8-2896-4dbb-a80b-a1bb4e4857d0</t>
  </si>
  <si>
    <t>27768773274</t>
  </si>
  <si>
    <t>13557926</t>
  </si>
  <si>
    <t>83cce610-3a5e-43d9-b779-69ad4bbf8a83</t>
  </si>
  <si>
    <t>27768784940</t>
  </si>
  <si>
    <t>13557929</t>
  </si>
  <si>
    <t>0ba52d62-bcc0-450f-863e-d0f36ad0cd35</t>
  </si>
  <si>
    <t>27768797829</t>
  </si>
  <si>
    <t>13557912</t>
  </si>
  <si>
    <t>b9599bae-4773-4c79-a77a-c23c0202c3e6</t>
  </si>
  <si>
    <t>2026-03-09 10:21:19</t>
  </si>
  <si>
    <t>27768602999</t>
  </si>
  <si>
    <t>13557681</t>
  </si>
  <si>
    <t>48c5f4e5-29b9-42a9-a5c6-79d3fd68af45</t>
  </si>
  <si>
    <t>2026-03-09 10:21:18</t>
  </si>
  <si>
    <t>27766317310</t>
  </si>
  <si>
    <t>13557677</t>
  </si>
  <si>
    <t>2d7d16be-41fa-432b-aa70-f77181732c35</t>
  </si>
  <si>
    <t>2026-03-09 10:21:17</t>
  </si>
  <si>
    <t>27766298387</t>
  </si>
  <si>
    <t>13557663</t>
  </si>
  <si>
    <t>f8d17529-c3de-4d31-af92-bd9dc6c9faf5</t>
  </si>
  <si>
    <t>2026-03-09 10:21:16</t>
  </si>
  <si>
    <t>27766205186</t>
  </si>
  <si>
    <t>13557674</t>
  </si>
  <si>
    <t>e2747868-892c-4150-b1f7-2b3041fe52cc</t>
  </si>
  <si>
    <t>27766282022</t>
  </si>
  <si>
    <t>13557675</t>
  </si>
  <si>
    <t>4e2996ee-5e0e-4327-bfae-390a24b611d3</t>
  </si>
  <si>
    <t>27766295528</t>
  </si>
  <si>
    <t>13557640</t>
  </si>
  <si>
    <t>38047b2a-daf2-4877-89b1-262640b06afc</t>
  </si>
  <si>
    <t>27765918207</t>
  </si>
  <si>
    <t>13557642</t>
  </si>
  <si>
    <t>8e0a42e5-a626-472c-8b19-022208532b0e</t>
  </si>
  <si>
    <t>27765934482</t>
  </si>
  <si>
    <t>13557648</t>
  </si>
  <si>
    <t>a84a2185-6bef-4c82-9077-5bb52bd277d6</t>
  </si>
  <si>
    <t>27766020250</t>
  </si>
  <si>
    <t>13557659</t>
  </si>
  <si>
    <t>1c821e46-2a99-4b90-ad13-37a95d0266ed</t>
  </si>
  <si>
    <t>27766168052</t>
  </si>
  <si>
    <t>13557660</t>
  </si>
  <si>
    <t>0e2cba12-ca9c-41d6-a614-9a798be4789e</t>
  </si>
  <si>
    <t>27766183858</t>
  </si>
  <si>
    <t>13557553</t>
  </si>
  <si>
    <t>7b510601-bfd2-46db-bd0f-e99f68559f19</t>
  </si>
  <si>
    <t>2026-03-09 10:21:15</t>
  </si>
  <si>
    <t>27765079179</t>
  </si>
  <si>
    <t>13557560</t>
  </si>
  <si>
    <t>757dcef5-75fc-4f2f-bb10-20b154009ffe</t>
  </si>
  <si>
    <t>27765102594</t>
  </si>
  <si>
    <t>13557609</t>
  </si>
  <si>
    <t>5503b392-fdb2-4df3-96be-f94a06eac087</t>
  </si>
  <si>
    <t>27765601252</t>
  </si>
  <si>
    <t>13558360</t>
  </si>
  <si>
    <t>b7e0700e-5163-44d0-9b5c-f89862eef754</t>
  </si>
  <si>
    <t>2026-03-09 10:21:14</t>
  </si>
  <si>
    <t>27793063134</t>
  </si>
  <si>
    <t>13558364</t>
  </si>
  <si>
    <t>ec329c33-78b7-4102-9b1c-b353521b1a07</t>
  </si>
  <si>
    <t>27793151269</t>
  </si>
  <si>
    <t>13558366</t>
  </si>
  <si>
    <t>9df76d47-a608-4dbc-966f-0515c8a31356</t>
  </si>
  <si>
    <t>27793156505</t>
  </si>
  <si>
    <t>13557552</t>
  </si>
  <si>
    <t>7fc884b7-1a75-4961-ae00-c738cda663fe</t>
  </si>
  <si>
    <t>27765053204</t>
  </si>
  <si>
    <t>13557373</t>
  </si>
  <si>
    <t>c1293139-0b3a-4e28-89ec-4252445fc332</t>
  </si>
  <si>
    <t>2026-03-09 10:21:13</t>
  </si>
  <si>
    <t>27762993230</t>
  </si>
  <si>
    <t>13556431</t>
  </si>
  <si>
    <t>712a1350-d197-4c3a-9ad2-bc65f8fc9c53</t>
  </si>
  <si>
    <t>27723781640</t>
  </si>
  <si>
    <t>13556432</t>
  </si>
  <si>
    <t>1743b330-d87b-4ff7-9e85-77fb2f4df4a4</t>
  </si>
  <si>
    <t>27723791879</t>
  </si>
  <si>
    <t>13558359</t>
  </si>
  <si>
    <t>f32c1d3a-7534-422b-97d3-4d75886d9b34</t>
  </si>
  <si>
    <t>27793052007</t>
  </si>
  <si>
    <t>13558988</t>
  </si>
  <si>
    <t>e9b75720-2a9f-4069-ad41-4cf1cb612dfe</t>
  </si>
  <si>
    <t>27818837386</t>
  </si>
  <si>
    <t>13559160</t>
  </si>
  <si>
    <t>959f997d-048a-4ab6-af0e-2026a2286a6a</t>
  </si>
  <si>
    <t>27823662377</t>
  </si>
  <si>
    <t>13557348</t>
  </si>
  <si>
    <t>b84d37ba-4a23-48f0-9770-22bb1888ed87</t>
  </si>
  <si>
    <t>2026-03-09 10:21:10</t>
  </si>
  <si>
    <t>27762831590</t>
  </si>
  <si>
    <t>13557354</t>
  </si>
  <si>
    <t>5bce8ffa-46df-49b5-943e-a4459502a559</t>
  </si>
  <si>
    <t>27762846512</t>
  </si>
  <si>
    <t>13557298</t>
  </si>
  <si>
    <t>f9c907dd-4def-4ffa-be04-300dec01e56a</t>
  </si>
  <si>
    <t>2026-03-09 10:20:59</t>
  </si>
  <si>
    <t>27762249676</t>
  </si>
  <si>
    <t>13556914</t>
  </si>
  <si>
    <t>dbfcd008-fbed-4cfb-84e9-4984a68f7a45</t>
  </si>
  <si>
    <t>2026-03-09 10:20:58</t>
  </si>
  <si>
    <t>27728581545</t>
  </si>
  <si>
    <t>13557244</t>
  </si>
  <si>
    <t>19e15602-601b-4461-87b2-1be7438cb283</t>
  </si>
  <si>
    <t>27761657333</t>
  </si>
  <si>
    <t>13557248</t>
  </si>
  <si>
    <t>f963506e-2df8-4a8d-af4f-6c1c329e14ca</t>
  </si>
  <si>
    <t>27761704264</t>
  </si>
  <si>
    <t>13557289</t>
  </si>
  <si>
    <t>af93cfed-cc74-4003-8399-92688244e066</t>
  </si>
  <si>
    <t>27762131189</t>
  </si>
  <si>
    <t>13559059</t>
  </si>
  <si>
    <t>5d0bc6de-51b4-43e2-af35-b7f174cc10d3</t>
  </si>
  <si>
    <t>27822217216</t>
  </si>
  <si>
    <t>13557567</t>
  </si>
  <si>
    <t>dc0ec3d4-bbd8-4f34-996f-de36334191e9</t>
  </si>
  <si>
    <t>2026-03-09 10:20:34</t>
  </si>
  <si>
    <t>27765164713</t>
  </si>
  <si>
    <t>13557568</t>
  </si>
  <si>
    <t>5df904a2-5d96-479d-9071-ed2e1ce61bf4</t>
  </si>
  <si>
    <t>27765170191</t>
  </si>
  <si>
    <t>13557618</t>
  </si>
  <si>
    <t>ddc00f1e-cc22-4bbd-8ae5-2ec7d5230f2c</t>
  </si>
  <si>
    <t>27765686315</t>
  </si>
  <si>
    <t>13557630</t>
  </si>
  <si>
    <t>a2a5abb4-0f74-4b39-a786-c9c7ab3ebaae</t>
  </si>
  <si>
    <t>27765807586</t>
  </si>
  <si>
    <t>13557636</t>
  </si>
  <si>
    <t>bfcba845-92e1-44be-a4d5-ea0a5ffb5b62</t>
  </si>
  <si>
    <t>27765893920</t>
  </si>
  <si>
    <t>13557565</t>
  </si>
  <si>
    <t>8865bde8-bf38-49ce-800e-2d69cb9eabff</t>
  </si>
  <si>
    <t>2026-03-09 10:20:33</t>
  </si>
  <si>
    <t>27765138965</t>
  </si>
  <si>
    <t>13557592</t>
  </si>
  <si>
    <t>f04f7144-c053-436e-a637-bf10eae57944</t>
  </si>
  <si>
    <t>27765478279</t>
  </si>
  <si>
    <t>13557597</t>
  </si>
  <si>
    <t>9401ce35-4a27-4911-b9cb-7981db1accdd</t>
  </si>
  <si>
    <t>27765498558</t>
  </si>
  <si>
    <t>13557603</t>
  </si>
  <si>
    <t>089c6deb-095c-4cd8-a7eb-b203a25a79fb</t>
  </si>
  <si>
    <t>27765545735</t>
  </si>
  <si>
    <t>13557611</t>
  </si>
  <si>
    <t>e50db413-deae-4711-a8fd-9c0b72aec317</t>
  </si>
  <si>
    <t>27765627690</t>
  </si>
  <si>
    <t>13557613</t>
  </si>
  <si>
    <t>64f8fe79-fe3e-468d-88b2-72dc6501bb68</t>
  </si>
  <si>
    <t>27765657796</t>
  </si>
  <si>
    <t>13558313</t>
  </si>
  <si>
    <t>00062139-1c17-4a48-9bf8-db5b2a30d471</t>
  </si>
  <si>
    <t>2026-03-09 10:20:32</t>
  </si>
  <si>
    <t>27792715902</t>
  </si>
  <si>
    <t>13558328</t>
  </si>
  <si>
    <t>24790845-7c3b-4dbb-93e6-b9c7d7278c44</t>
  </si>
  <si>
    <t>27792833445</t>
  </si>
  <si>
    <t>13558331</t>
  </si>
  <si>
    <t>b5586175-19cc-483d-bf9c-a2674c48cb3b</t>
  </si>
  <si>
    <t>27792909661</t>
  </si>
  <si>
    <t>13558333</t>
  </si>
  <si>
    <t>9b48c88d-18f3-4e9a-9b53-636da6b2a1b1</t>
  </si>
  <si>
    <t>27792925872</t>
  </si>
  <si>
    <t>13558336</t>
  </si>
  <si>
    <t>d7fa84a4-e619-475d-a7f9-70a820134b94</t>
  </si>
  <si>
    <t>27792933286</t>
  </si>
  <si>
    <t>13557572</t>
  </si>
  <si>
    <t>a391960a-ecbe-4e7a-93c7-3cec2e81868b</t>
  </si>
  <si>
    <t>27765224312</t>
  </si>
  <si>
    <t>13557574</t>
  </si>
  <si>
    <t>464f9d28-fb9b-4fc9-aafe-d417e40e1b72</t>
  </si>
  <si>
    <t>27765269486</t>
  </si>
  <si>
    <t>13557579</t>
  </si>
  <si>
    <t>2c8b9e95-b6b8-4504-97e0-8262fd179574</t>
  </si>
  <si>
    <t>27765319627</t>
  </si>
  <si>
    <t>13557561</t>
  </si>
  <si>
    <t>a06498d0-4727-4316-bf50-39fe5f211d5f</t>
  </si>
  <si>
    <t>27765111148</t>
  </si>
  <si>
    <t>13557591</t>
  </si>
  <si>
    <t>f5254901-a8dd-45fc-b296-60f6363fc508</t>
  </si>
  <si>
    <t>27765465116</t>
  </si>
  <si>
    <t>13556575</t>
  </si>
  <si>
    <t>fe1bbd5d-a83a-49aa-bc6a-7033ed951119</t>
  </si>
  <si>
    <t>2026-03-09 10:20:27</t>
  </si>
  <si>
    <t>27725198272</t>
  </si>
  <si>
    <t>13558289</t>
  </si>
  <si>
    <t>7805bef1-343c-4f67-88d9-3e04f1df1b9d</t>
  </si>
  <si>
    <t>27792361353</t>
  </si>
  <si>
    <t>13558293</t>
  </si>
  <si>
    <t>719962c4-1739-439d-a5c4-3a8bf1223e23</t>
  </si>
  <si>
    <t>27792406209</t>
  </si>
  <si>
    <t>13558295</t>
  </si>
  <si>
    <t>1c0581e0-001b-4354-b7ec-776fc18f02ff</t>
  </si>
  <si>
    <t>27792417588</t>
  </si>
  <si>
    <t>13558297</t>
  </si>
  <si>
    <t>1dd3faf2-31d7-46b9-b4e6-e97d11bcf576</t>
  </si>
  <si>
    <t>27792425581</t>
  </si>
  <si>
    <t>13558299</t>
  </si>
  <si>
    <t>5be8e619-f6f4-4ee2-901c-3d3baa621fd9</t>
  </si>
  <si>
    <t>27792469944</t>
  </si>
  <si>
    <t>13558301</t>
  </si>
  <si>
    <t>d3de18e5-2484-4114-a4c0-d58ab19babc4</t>
  </si>
  <si>
    <t>27792488771</t>
  </si>
  <si>
    <t>13557429</t>
  </si>
  <si>
    <t>b6baa458-cd00-437a-a3f4-75dbe06b686b</t>
  </si>
  <si>
    <t>2026-03-09 10:20:26</t>
  </si>
  <si>
    <t>27763480147</t>
  </si>
  <si>
    <t>13556571</t>
  </si>
  <si>
    <t>abdeb28f-44f9-428c-90d1-431c106bd244</t>
  </si>
  <si>
    <t>27725150371</t>
  </si>
  <si>
    <t>13556559</t>
  </si>
  <si>
    <t>874a53bf-a06d-45c4-8c5c-c080dd5a33bc</t>
  </si>
  <si>
    <t>27725040430</t>
  </si>
  <si>
    <t>13557427</t>
  </si>
  <si>
    <t>2d37b01c-6868-49cf-b333-2de7cf6509a0</t>
  </si>
  <si>
    <t>2026-03-09 10:20:25</t>
  </si>
  <si>
    <t>27763459705</t>
  </si>
  <si>
    <t>13557417</t>
  </si>
  <si>
    <t>c1bc06ba-9a40-4ccc-8b22-2b2b619a62f3</t>
  </si>
  <si>
    <t>27763409769</t>
  </si>
  <si>
    <t>13557410</t>
  </si>
  <si>
    <t>8ae99daf-6e4a-46f0-b28d-43c1ea17d2bb</t>
  </si>
  <si>
    <t>2026-03-09 10:20:19</t>
  </si>
  <si>
    <t>27763294424</t>
  </si>
  <si>
    <t>13557416</t>
  </si>
  <si>
    <t>3ae34c0a-7858-4b5c-bdaf-74726eda01de</t>
  </si>
  <si>
    <t>27763405169</t>
  </si>
  <si>
    <t>13557294</t>
  </si>
  <si>
    <t>011035a8-f31b-486f-88f5-eb93add1a63f</t>
  </si>
  <si>
    <t>2026-03-09 10:20:18</t>
  </si>
  <si>
    <t>27762175139</t>
  </si>
  <si>
    <t>13557297</t>
  </si>
  <si>
    <t>800dde85-f1f7-4f0c-a04d-f1928ef17180</t>
  </si>
  <si>
    <t>27762220939</t>
  </si>
  <si>
    <t>13557402</t>
  </si>
  <si>
    <t>465ff06c-837e-4abe-8fd7-dc239dcbb1b5</t>
  </si>
  <si>
    <t>27763249178</t>
  </si>
  <si>
    <t>13557409</t>
  </si>
  <si>
    <t>d21f64ba-c18d-4c80-8323-93fb681090f9</t>
  </si>
  <si>
    <t>27763289978</t>
  </si>
  <si>
    <t>13557284</t>
  </si>
  <si>
    <t>e9b1afc1-12a6-4c02-b675-ce2c910b6d91</t>
  </si>
  <si>
    <t>2026-03-09 10:20:14</t>
  </si>
  <si>
    <t>27762070625</t>
  </si>
  <si>
    <t>13557153</t>
  </si>
  <si>
    <t>29ff6fbc-42fd-4b0a-ba91-40eb4481c102</t>
  </si>
  <si>
    <t>2026-03-09 10:20:13</t>
  </si>
  <si>
    <t>27760703260</t>
  </si>
  <si>
    <t>13557198</t>
  </si>
  <si>
    <t>af9fc8ba-9033-489e-b62d-d629d944c0f6</t>
  </si>
  <si>
    <t>27761180985</t>
  </si>
  <si>
    <t>13557271</t>
  </si>
  <si>
    <t>b4b7d3c3-e0e5-4db1-9b38-c3404def60a3</t>
  </si>
  <si>
    <t>27761906972</t>
  </si>
  <si>
    <t>13557274</t>
  </si>
  <si>
    <t>734876dc-baf5-4372-ae7f-0b2a9ad4f5e2</t>
  </si>
  <si>
    <t>27761964704</t>
  </si>
  <si>
    <t>13556895</t>
  </si>
  <si>
    <t>5bb86877-16c6-450e-bb14-31e37f6f41c6</t>
  </si>
  <si>
    <t>2026-03-09 10:20:12</t>
  </si>
  <si>
    <t>27728363480</t>
  </si>
  <si>
    <t>13557151</t>
  </si>
  <si>
    <t>6d4ac3c1-ce6b-4d7d-95d9-549539ca64dd</t>
  </si>
  <si>
    <t>27760671122</t>
  </si>
  <si>
    <t>13557098</t>
  </si>
  <si>
    <t>6cd18cd1-7e7a-45dd-8046-dc2e32f9d7e6</t>
  </si>
  <si>
    <t>27760154198</t>
  </si>
  <si>
    <t>13557099</t>
  </si>
  <si>
    <t>7349bed4-6ea3-4b85-8144-018a05ad33bf</t>
  </si>
  <si>
    <t>27760156762</t>
  </si>
  <si>
    <t>13556604</t>
  </si>
  <si>
    <t>947b5696-5b95-4ab3-a92e-eca7788ab2bf</t>
  </si>
  <si>
    <t>2026-03-09 10:20:11</t>
  </si>
  <si>
    <t>27725490931</t>
  </si>
  <si>
    <t>13556894</t>
  </si>
  <si>
    <t>9d343ac4-ac97-47e9-b595-628294b0af8c</t>
  </si>
  <si>
    <t>27728353279</t>
  </si>
  <si>
    <t>13556601</t>
  </si>
  <si>
    <t>362cf3f5-2fad-49f4-9b1b-ea200c5ebc37</t>
  </si>
  <si>
    <t>2026-03-09 10:20:10</t>
  </si>
  <si>
    <t>27725461068</t>
  </si>
  <si>
    <t>13556602</t>
  </si>
  <si>
    <t>5e58e76b-55c4-47fa-ac49-2322e73e8a9b</t>
  </si>
  <si>
    <t>27725468386</t>
  </si>
  <si>
    <t>13556590</t>
  </si>
  <si>
    <t>4e10d8d7-9bb2-481e-bc70-e4d5c904fb86</t>
  </si>
  <si>
    <t>2026-03-09 10:20:09</t>
  </si>
  <si>
    <t>27725347193</t>
  </si>
  <si>
    <t>13560190</t>
  </si>
  <si>
    <t>16b4a328-25b3-46db-b7ff-8ddab2d88ff9</t>
  </si>
  <si>
    <t>27729483641</t>
  </si>
  <si>
    <t>13560124</t>
  </si>
  <si>
    <t>ba362baa-99fb-4193-99f5-75e95ae7d379</t>
  </si>
  <si>
    <t>2026-03-09 10:20:08</t>
  </si>
  <si>
    <t>27827919352</t>
  </si>
  <si>
    <t>13560125</t>
  </si>
  <si>
    <t>c5ba6072-eac1-484b-a7ee-975baf281ae4</t>
  </si>
  <si>
    <t>27609289166</t>
  </si>
  <si>
    <t>13560130</t>
  </si>
  <si>
    <t>f2cb4c05-3b19-4828-b0bf-c0d6d9441410</t>
  </si>
  <si>
    <t>27762623120</t>
  </si>
  <si>
    <t>13560179</t>
  </si>
  <si>
    <t>8d06ec17-4b38-4637-a4e8-a84983f868f1</t>
  </si>
  <si>
    <t>27769617391</t>
  </si>
  <si>
    <t>13560121</t>
  </si>
  <si>
    <t>62c37da8-6334-454e-9163-2888875b103f</t>
  </si>
  <si>
    <t>2026-03-09 10:20:02</t>
  </si>
  <si>
    <t>27717656265</t>
  </si>
  <si>
    <t>13560110</t>
  </si>
  <si>
    <t>4a608b88-4685-4b8c-8678-14b22043b1e0</t>
  </si>
  <si>
    <t>2026-03-09 10:20:01</t>
  </si>
  <si>
    <t>27647626558</t>
  </si>
  <si>
    <t>13560120</t>
  </si>
  <si>
    <t>d447773e-e60c-44b9-a9fe-c5806c86a2a1</t>
  </si>
  <si>
    <t>27769675445</t>
  </si>
  <si>
    <t>13560045</t>
  </si>
  <si>
    <t>587b06d5-af08-4f01-917f-5b221eb1cb18</t>
  </si>
  <si>
    <t>27607883352</t>
  </si>
  <si>
    <t>13560013</t>
  </si>
  <si>
    <t>337af121-cf02-4fd6-b91c-3171828ca608</t>
  </si>
  <si>
    <t>2026-03-09 10:20:00</t>
  </si>
  <si>
    <t>27722897966</t>
  </si>
  <si>
    <t>13560025</t>
  </si>
  <si>
    <t>24fdbb64-3152-4e98-b17f-4dfddf97d96a</t>
  </si>
  <si>
    <t>27673384568</t>
  </si>
  <si>
    <t>13560026</t>
  </si>
  <si>
    <t>059f48ef-a422-4179-82b6-b8ebb75d823e</t>
  </si>
  <si>
    <t>27716485941</t>
  </si>
  <si>
    <t>13560027</t>
  </si>
  <si>
    <t>5916ff06-1119-4de9-84a2-23f3dd9844e3</t>
  </si>
  <si>
    <t>AGE</t>
  </si>
  <si>
    <t>Under Age</t>
  </si>
  <si>
    <t>27828174684</t>
  </si>
  <si>
    <t>13560030</t>
  </si>
  <si>
    <t>0277b69c-2fd6-47ed-8b4e-6eaa44700613</t>
  </si>
  <si>
    <t>27824005914</t>
  </si>
  <si>
    <t>13560039</t>
  </si>
  <si>
    <t>57ef8847-b4eb-4e6e-b6d7-055315704395</t>
  </si>
  <si>
    <t>27818260482</t>
  </si>
  <si>
    <t>13559998</t>
  </si>
  <si>
    <t>6657c75f-995d-4953-a191-034599f746ae</t>
  </si>
  <si>
    <t>27763172696</t>
  </si>
  <si>
    <t>13560005</t>
  </si>
  <si>
    <t>e3508258-8f18-4561-877b-4f9a26821b71</t>
  </si>
  <si>
    <t>27795650197</t>
  </si>
  <si>
    <t>13560009</t>
  </si>
  <si>
    <t>bfffc310-f7ea-4b6e-bac2-06c33abf3463</t>
  </si>
  <si>
    <t>27636120422</t>
  </si>
  <si>
    <t>13559996</t>
  </si>
  <si>
    <t>fc91214f-e6ff-4604-9cae-f0f5acf4c9e0</t>
  </si>
  <si>
    <t>2026-03-09 10:19:56</t>
  </si>
  <si>
    <t>27772693687</t>
  </si>
  <si>
    <t>13558491</t>
  </si>
  <si>
    <t>e621c36a-4dda-4bb3-b40e-f43e04968ddd</t>
  </si>
  <si>
    <t>2026-03-09 10:19:55</t>
  </si>
  <si>
    <t>27794575857</t>
  </si>
  <si>
    <t>13559863</t>
  </si>
  <si>
    <t>b525caaa-b8cf-4304-a81a-2f8bff241266</t>
  </si>
  <si>
    <t>27824291495</t>
  </si>
  <si>
    <t>13559088</t>
  </si>
  <si>
    <t>1a8cef89-96cb-4bf8-9ad9-415bab0cd263</t>
  </si>
  <si>
    <t>2026-03-09 10:19:54</t>
  </si>
  <si>
    <t>27822608646</t>
  </si>
  <si>
    <t>13559122</t>
  </si>
  <si>
    <t>11f23b62-d243-44a6-8ce8-bfd3578fa673</t>
  </si>
  <si>
    <t>27823152620</t>
  </si>
  <si>
    <t>13560195</t>
  </si>
  <si>
    <t>1ba4e76c-80f3-436a-af3f-7637c44824a0</t>
  </si>
  <si>
    <t>27725417710</t>
  </si>
  <si>
    <t>13558998</t>
  </si>
  <si>
    <t>4c02a8d2-c794-400d-b0cb-b5f5aa60c46b</t>
  </si>
  <si>
    <t>2026-03-09 10:19:53</t>
  </si>
  <si>
    <t>27818993813</t>
  </si>
  <si>
    <t>13559002</t>
  </si>
  <si>
    <t>ac7a15e8-5c7e-48f7-8e92-bc5c5a62acf5</t>
  </si>
  <si>
    <t>27820462174</t>
  </si>
  <si>
    <t>13559045</t>
  </si>
  <si>
    <t>7b721c08-ba4b-4769-a24c-cd9b34aac649</t>
  </si>
  <si>
    <t>27820975604</t>
  </si>
  <si>
    <t>13559991</t>
  </si>
  <si>
    <t>6da25871-5e93-4035-a795-ba99d198db48</t>
  </si>
  <si>
    <t>2026-03-09 10:19:35</t>
  </si>
  <si>
    <t>27825058333</t>
  </si>
  <si>
    <t>13559992</t>
  </si>
  <si>
    <t>be28224a-c707-4510-8bc6-28dc7180fb05</t>
  </si>
  <si>
    <t>27608098943</t>
  </si>
  <si>
    <t>13559993</t>
  </si>
  <si>
    <t>aee0c749-2bbc-4190-8097-0a26ce6b33eb</t>
  </si>
  <si>
    <t>27714146045</t>
  </si>
  <si>
    <t>13559994</t>
  </si>
  <si>
    <t>61a1ac6b-8c22-4807-9957-9ecb89527d50</t>
  </si>
  <si>
    <t>27720255794</t>
  </si>
  <si>
    <t>13559402</t>
  </si>
  <si>
    <t>a6fabc86-8f23-4059-a3e7-b3e6896156bb</t>
  </si>
  <si>
    <t>2026-03-09 10:19:34</t>
  </si>
  <si>
    <t>27826497125</t>
  </si>
  <si>
    <t>13559471</t>
  </si>
  <si>
    <t>ae29fbb0-326e-466d-8aa6-3523acb021c4</t>
  </si>
  <si>
    <t>27827286826</t>
  </si>
  <si>
    <t>13558473</t>
  </si>
  <si>
    <t>546a2a51-a823-4529-97e3-595445cd78af</t>
  </si>
  <si>
    <t>27794403641</t>
  </si>
  <si>
    <t>13559989</t>
  </si>
  <si>
    <t>ff998b7f-f870-45e2-9221-aea1c8013abe</t>
  </si>
  <si>
    <t>27647371304</t>
  </si>
  <si>
    <t>13559351</t>
  </si>
  <si>
    <t>490bdb73-d9a8-4ad2-b75a-746485fda079</t>
  </si>
  <si>
    <t>2026-03-09 10:19:33</t>
  </si>
  <si>
    <t>27825928244</t>
  </si>
  <si>
    <t>13559361</t>
  </si>
  <si>
    <t>54a2f42e-fc0f-47bf-bf39-6acc6fb84ac3</t>
  </si>
  <si>
    <t>27826065465</t>
  </si>
  <si>
    <t>13559346</t>
  </si>
  <si>
    <t>481aeda3-ba1b-40af-878a-a338e932edf8</t>
  </si>
  <si>
    <t>2026-03-09 10:19:20</t>
  </si>
  <si>
    <t>27825897698</t>
  </si>
  <si>
    <t>13559220</t>
  </si>
  <si>
    <t>71918166-4dbd-471c-9a1d-03918bca04a1</t>
  </si>
  <si>
    <t>2026-03-09 10:19:19</t>
  </si>
  <si>
    <t>27824336021</t>
  </si>
  <si>
    <t>13559228</t>
  </si>
  <si>
    <t>a90bd0af-51c6-45df-b639-c01bb71a32a4</t>
  </si>
  <si>
    <t>27824395338</t>
  </si>
  <si>
    <t>13559259</t>
  </si>
  <si>
    <t>be5c1dc3-00c8-48ee-95ab-86d902d66e0b</t>
  </si>
  <si>
    <t>27824845116</t>
  </si>
  <si>
    <t>13559260</t>
  </si>
  <si>
    <t>cf2b6206-5286-4e76-9a81-8ed5b513c077</t>
  </si>
  <si>
    <t>27824875316</t>
  </si>
  <si>
    <t>13559299</t>
  </si>
  <si>
    <t>7f6d715c-e189-4667-b3c3-e23e0fe8f5a4</t>
  </si>
  <si>
    <t>27825243740</t>
  </si>
  <si>
    <t>13559983</t>
  </si>
  <si>
    <t>d4142ff3-46a8-4a87-bb53-21137fc39dee</t>
  </si>
  <si>
    <t>27797167299</t>
  </si>
  <si>
    <t>13559219</t>
  </si>
  <si>
    <t>29b7c918-b30a-4ab4-be63-36a8e61740a3</t>
  </si>
  <si>
    <t>2026-03-09 10:19:18</t>
  </si>
  <si>
    <t>27824332517</t>
  </si>
  <si>
    <t>13559215</t>
  </si>
  <si>
    <t>b96f6a83-8ba2-4c82-8a8f-661a51e6d910</t>
  </si>
  <si>
    <t>2026-03-09 10:19:17</t>
  </si>
  <si>
    <t>27824244488</t>
  </si>
  <si>
    <t>13559172</t>
  </si>
  <si>
    <t>eae0b883-fc54-4cef-acd9-0f0f39fdb905</t>
  </si>
  <si>
    <t>2026-03-09 10:19:16</t>
  </si>
  <si>
    <t>27823863132</t>
  </si>
  <si>
    <t>13559200</t>
  </si>
  <si>
    <t>34cc0731-3fb0-4c87-8d4f-241e5a5d08f0</t>
  </si>
  <si>
    <t>27824077995</t>
  </si>
  <si>
    <t>13559163</t>
  </si>
  <si>
    <t>adbd5ad1-331a-4d18-aa4d-33bfa27f93c9</t>
  </si>
  <si>
    <t>27823692271</t>
  </si>
  <si>
    <t>13559121</t>
  </si>
  <si>
    <t>4b85b1d6-c0fd-4b87-9a0a-c7beaea8fd88</t>
  </si>
  <si>
    <t>2026-03-09 10:19:13</t>
  </si>
  <si>
    <t>27823082395</t>
  </si>
  <si>
    <t>13559129</t>
  </si>
  <si>
    <t>0b95bbfb-478f-464f-a0c3-1de32fa14cf6</t>
  </si>
  <si>
    <t>27823306049</t>
  </si>
  <si>
    <t>13559139</t>
  </si>
  <si>
    <t>402b3205-7a95-46b6-9170-0a5a74630b91</t>
  </si>
  <si>
    <t>27823467890</t>
  </si>
  <si>
    <t>13559142</t>
  </si>
  <si>
    <t>317b7eb7-3ef1-42e7-94ce-a764099b412b</t>
  </si>
  <si>
    <t>27823510467</t>
  </si>
  <si>
    <t>13559146</t>
  </si>
  <si>
    <t>edf76650-7933-44d6-a51f-b788c9cbf1dd</t>
  </si>
  <si>
    <t>27823538283</t>
  </si>
  <si>
    <t>13559148</t>
  </si>
  <si>
    <t>c4ee86e4-1983-46e4-8d68-271a64037b86</t>
  </si>
  <si>
    <t>27823540836</t>
  </si>
  <si>
    <t>13559158</t>
  </si>
  <si>
    <t>805a34f1-75a9-4f9e-a13f-21fef019d556</t>
  </si>
  <si>
    <t>27823634424</t>
  </si>
  <si>
    <t>13559141</t>
  </si>
  <si>
    <t>11686413-fb57-4ae2-b643-305419281a9e</t>
  </si>
  <si>
    <t>2026-03-09 10:19:12</t>
  </si>
  <si>
    <t>27823491891</t>
  </si>
  <si>
    <t>13559103</t>
  </si>
  <si>
    <t>a14749fc-35a3-4031-bbd2-e63960b60301</t>
  </si>
  <si>
    <t>2026-03-09 10:19:10</t>
  </si>
  <si>
    <t>27822833980</t>
  </si>
  <si>
    <t>13559083</t>
  </si>
  <si>
    <t>ba64e8a1-c740-4902-8628-14ca6a69c342</t>
  </si>
  <si>
    <t>2026-03-09 10:19:09</t>
  </si>
  <si>
    <t>27822596793</t>
  </si>
  <si>
    <t>13559091</t>
  </si>
  <si>
    <t>b93d95d5-00c0-487a-8bc5-5cacab229d0e</t>
  </si>
  <si>
    <t>27822622602</t>
  </si>
  <si>
    <t>13559100</t>
  </si>
  <si>
    <t>7a7d0490-164f-48e9-8500-407af1351822</t>
  </si>
  <si>
    <t>27822694819</t>
  </si>
  <si>
    <t>13559114</t>
  </si>
  <si>
    <t>442eb2bb-f7f7-4de8-b98a-5f5532087b22</t>
  </si>
  <si>
    <t>27822971165</t>
  </si>
  <si>
    <t>13559077</t>
  </si>
  <si>
    <t>9731f669-2660-4a79-8067-d7914371eaca</t>
  </si>
  <si>
    <t>2026-03-09 10:19:08</t>
  </si>
  <si>
    <t>27822549346</t>
  </si>
  <si>
    <t>13559070</t>
  </si>
  <si>
    <t>5b1c7f6f-447e-4f79-a77e-062161959a04</t>
  </si>
  <si>
    <t>2026-03-09 10:19:06</t>
  </si>
  <si>
    <t>27822284027</t>
  </si>
  <si>
    <t>13559071</t>
  </si>
  <si>
    <t>c152e40b-5f3f-464d-aea4-a5fefbc37fbf</t>
  </si>
  <si>
    <t>27822291494</t>
  </si>
  <si>
    <t>13559072</t>
  </si>
  <si>
    <t>c72fc992-3b0e-4cd4-acda-d4dc181b676b</t>
  </si>
  <si>
    <t>27822335252</t>
  </si>
  <si>
    <t>13559042</t>
  </si>
  <si>
    <t>3377a527-f582-4bbf-bc34-cd3dc89c44b1</t>
  </si>
  <si>
    <t>2026-03-09 10:19:05</t>
  </si>
  <si>
    <t>27820925583</t>
  </si>
  <si>
    <t>13559049</t>
  </si>
  <si>
    <t>d9364165-c9b4-4fd5-b323-f13228db6f94</t>
  </si>
  <si>
    <t>27822039516</t>
  </si>
  <si>
    <t>13559056</t>
  </si>
  <si>
    <t>46aabd71-741b-4a83-99f0-e7725980e1d0</t>
  </si>
  <si>
    <t>27822197143</t>
  </si>
  <si>
    <t>13559010</t>
  </si>
  <si>
    <t>5082314d-c791-4204-9c8a-3d09b95086b2</t>
  </si>
  <si>
    <t>2026-03-09 10:19:00</t>
  </si>
  <si>
    <t>27820514932</t>
  </si>
  <si>
    <t>13559023</t>
  </si>
  <si>
    <t>b6d5f58b-cfc8-4db3-80d4-55032e1b8b94</t>
  </si>
  <si>
    <t>27820666311</t>
  </si>
  <si>
    <t>13556570</t>
  </si>
  <si>
    <t>3591d26f-3805-4bf6-8c1d-83df595d8a51</t>
  </si>
  <si>
    <t>2026-03-09 10:18:59</t>
  </si>
  <si>
    <t>27725140692</t>
  </si>
  <si>
    <t>13558980</t>
  </si>
  <si>
    <t>7d93b414-a87e-4dee-aceb-36b752821735</t>
  </si>
  <si>
    <t>27818769045</t>
  </si>
  <si>
    <t>13558991</t>
  </si>
  <si>
    <t>b71dc352-d4c4-439e-b248-9a8ce6558af4</t>
  </si>
  <si>
    <t>27818877968</t>
  </si>
  <si>
    <t>13559007</t>
  </si>
  <si>
    <t>0d27ab16-4193-4d9d-a9f2-a398af2fa46b</t>
  </si>
  <si>
    <t>27820507700</t>
  </si>
  <si>
    <t>13559037</t>
  </si>
  <si>
    <t>4c88acfa-e417-44fb-8c80-0fc9b1a8d813</t>
  </si>
  <si>
    <t>27820836365</t>
  </si>
  <si>
    <t>13559039</t>
  </si>
  <si>
    <t>5ff89f9d-8462-40a7-a00c-624f5ed51626</t>
  </si>
  <si>
    <t>27820881715</t>
  </si>
  <si>
    <t>13559040</t>
  </si>
  <si>
    <t>f3566f1e-d526-48a7-a702-cd039d9cbdd2</t>
  </si>
  <si>
    <t>27820912895</t>
  </si>
  <si>
    <t>13556899</t>
  </si>
  <si>
    <t>5e22db78-390d-4889-a063-b44f6037cf22</t>
  </si>
  <si>
    <t>2026-03-09 10:18:58</t>
  </si>
  <si>
    <t>27728419589</t>
  </si>
  <si>
    <t>13556501</t>
  </si>
  <si>
    <t>feb137d2-921e-4e9d-9112-78ca9f5f5c06</t>
  </si>
  <si>
    <t>27724509946</t>
  </si>
  <si>
    <t>13559075</t>
  </si>
  <si>
    <t>82092436-00c1-4b81-b86b-c37e354b66a8</t>
  </si>
  <si>
    <t>27822537399</t>
  </si>
  <si>
    <t>13558511</t>
  </si>
  <si>
    <t>c77308d9-0673-44a4-811f-d84b94adde2e</t>
  </si>
  <si>
    <t>2026-03-09 10:18:37</t>
  </si>
  <si>
    <t>27794785016</t>
  </si>
  <si>
    <t>13558513</t>
  </si>
  <si>
    <t>14001e37-e6af-4180-95ff-8878f8c16dfb</t>
  </si>
  <si>
    <t>27794808150</t>
  </si>
  <si>
    <t>13558483</t>
  </si>
  <si>
    <t>022e9a98-c1c3-42b5-a968-0023a234e843</t>
  </si>
  <si>
    <t>2026-03-09 10:18:36</t>
  </si>
  <si>
    <t>27794473383</t>
  </si>
  <si>
    <t>13558488</t>
  </si>
  <si>
    <t>097edb85-2ed6-4785-99b0-58a219e41f75</t>
  </si>
  <si>
    <t>27794535194</t>
  </si>
  <si>
    <t>13558495</t>
  </si>
  <si>
    <t>c3a8281f-6bca-498b-9ee3-21310dc6984f</t>
  </si>
  <si>
    <t>27794599691</t>
  </si>
  <si>
    <t>13558460</t>
  </si>
  <si>
    <t>dabd03e9-76fb-4865-a4b5-b6f2c642cca2</t>
  </si>
  <si>
    <t>2026-03-09 10:18:32</t>
  </si>
  <si>
    <t>27794268299</t>
  </si>
  <si>
    <t>13558464</t>
  </si>
  <si>
    <t>30a5b0f2-8877-435e-8915-35504481e9fa</t>
  </si>
  <si>
    <t>27794326129</t>
  </si>
  <si>
    <t>13558476</t>
  </si>
  <si>
    <t>3f629544-c393-4c4f-a1ed-734d30f343a2</t>
  </si>
  <si>
    <t>27794415048</t>
  </si>
  <si>
    <t>13558482</t>
  </si>
  <si>
    <t>5dbc5652-7d0d-496c-a3d1-3064edbe477b</t>
  </si>
  <si>
    <t>27794454017</t>
  </si>
  <si>
    <t>13558454</t>
  </si>
  <si>
    <t>9fa6a4a4-c861-4a97-95cc-6a28ed7b7404</t>
  </si>
  <si>
    <t>2026-03-09 10:18:31</t>
  </si>
  <si>
    <t>27794227268</t>
  </si>
  <si>
    <t>13558457</t>
  </si>
  <si>
    <t>e0b226d6-c1c7-4ceb-b1c7-16fa2b0ec837</t>
  </si>
  <si>
    <t>27794233274</t>
  </si>
  <si>
    <t>13559557</t>
  </si>
  <si>
    <t>06a06bb6-94cc-47a7-906b-044193cb50dc</t>
  </si>
  <si>
    <t>27828411209</t>
  </si>
  <si>
    <t>13559541</t>
  </si>
  <si>
    <t>96af4e1e-7758-49b0-bdfb-e5413f2a0c0b</t>
  </si>
  <si>
    <t>2026-03-09 10:18:29</t>
  </si>
  <si>
    <t>27828179878</t>
  </si>
  <si>
    <t>13559542</t>
  </si>
  <si>
    <t>2256dbbf-506e-41f3-8374-f6b031415f2c</t>
  </si>
  <si>
    <t>27828197593</t>
  </si>
  <si>
    <t>13559543</t>
  </si>
  <si>
    <t>1cb2fc52-8fee-4565-974a-359e089f8d5e</t>
  </si>
  <si>
    <t>27828203308</t>
  </si>
  <si>
    <t>13559546</t>
  </si>
  <si>
    <t>eaea5f17-60c1-40f5-aa17-220994ada262</t>
  </si>
  <si>
    <t>27828308694</t>
  </si>
  <si>
    <t>13559550</t>
  </si>
  <si>
    <t>50a72d41-77a2-447e-aac3-b1cd9d5256ae</t>
  </si>
  <si>
    <t>27828359068</t>
  </si>
  <si>
    <t>13559554</t>
  </si>
  <si>
    <t>3494fd39-b3d9-44d2-bff0-4263f8374b94</t>
  </si>
  <si>
    <t>27828388906</t>
  </si>
  <si>
    <t>13559539</t>
  </si>
  <si>
    <t>05b4cc1a-3b2e-4f9c-978a-3e152d37a95c</t>
  </si>
  <si>
    <t>2026-03-09 10:18:27</t>
  </si>
  <si>
    <t>27828166721</t>
  </si>
  <si>
    <t>13559538</t>
  </si>
  <si>
    <t>60937b9c-798e-49d8-a216-fc031a85a2f2</t>
  </si>
  <si>
    <t>2026-03-09 10:18:26</t>
  </si>
  <si>
    <t>27828163245</t>
  </si>
  <si>
    <t>13559524</t>
  </si>
  <si>
    <t>ca34bff7-8dba-4ef3-bef8-7b5bc1dc4a71</t>
  </si>
  <si>
    <t>2026-03-09 10:18:25</t>
  </si>
  <si>
    <t>27827957204</t>
  </si>
  <si>
    <t>13559526</t>
  </si>
  <si>
    <t>a00f3acc-18b1-4006-baef-3d9c9c0d454d</t>
  </si>
  <si>
    <t>27827962755</t>
  </si>
  <si>
    <t>13559473</t>
  </si>
  <si>
    <t>2762262d-c62d-4295-8be0-951d6b493276</t>
  </si>
  <si>
    <t>2026-03-09 10:18:23</t>
  </si>
  <si>
    <t>27827289657</t>
  </si>
  <si>
    <t>13559474</t>
  </si>
  <si>
    <t>5641ab2c-83b6-4947-9313-f12abf4ab3cd</t>
  </si>
  <si>
    <t>27827323335</t>
  </si>
  <si>
    <t>13559506</t>
  </si>
  <si>
    <t>e2555635-f506-4df7-9490-bed093cf0aab</t>
  </si>
  <si>
    <t>27827680703</t>
  </si>
  <si>
    <t>13559347</t>
  </si>
  <si>
    <t>a2499da6-0825-4a9d-b4d0-404af96c17ff</t>
  </si>
  <si>
    <t>27825906807</t>
  </si>
  <si>
    <t>13559257</t>
  </si>
  <si>
    <t>e5928c96-a955-4749-abb3-1c33ae1dd462</t>
  </si>
  <si>
    <t>2026-03-09 10:18:21</t>
  </si>
  <si>
    <t>27824826483</t>
  </si>
  <si>
    <t>13559262</t>
  </si>
  <si>
    <t>ce331775-6318-4632-bdca-082554891a50</t>
  </si>
  <si>
    <t>27824898847</t>
  </si>
  <si>
    <t>13559309</t>
  </si>
  <si>
    <t>70c39c97-0c4f-4309-81a5-281c92095813</t>
  </si>
  <si>
    <t>27825376893</t>
  </si>
  <si>
    <t>13559224</t>
  </si>
  <si>
    <t>bc875e45-8fb5-43c2-b8dc-ed3c053efe07</t>
  </si>
  <si>
    <t>2026-03-09 10:18:20</t>
  </si>
  <si>
    <t>27824362910</t>
  </si>
  <si>
    <t>13559225</t>
  </si>
  <si>
    <t>a0d36931-420e-4bd2-a7ae-6de59bdf132a</t>
  </si>
  <si>
    <t>27824363196</t>
  </si>
  <si>
    <t>13559247</t>
  </si>
  <si>
    <t>0bf7dc3e-3f01-4139-b32b-00e836874ca5</t>
  </si>
  <si>
    <t>27824714321</t>
  </si>
  <si>
    <t>13559179</t>
  </si>
  <si>
    <t>75a5c133-5301-4e44-b213-7c0aada5ba58</t>
  </si>
  <si>
    <t>2026-03-09 10:18:19</t>
  </si>
  <si>
    <t>27823925423</t>
  </si>
  <si>
    <t>13556584</t>
  </si>
  <si>
    <t>98c4d7ff-81d1-469a-82a0-e3d6893a3ce0</t>
  </si>
  <si>
    <t>2026-03-09 10:18:12</t>
  </si>
  <si>
    <t>27725249494</t>
  </si>
  <si>
    <t>13556579</t>
  </si>
  <si>
    <t>8d902708-71ee-463d-b7a4-89bcf51d1a8a</t>
  </si>
  <si>
    <t>2026-03-09 10:18:11</t>
  </si>
  <si>
    <t>27725216754</t>
  </si>
  <si>
    <t>13556583</t>
  </si>
  <si>
    <t>41a48643-3799-4a99-9d8a-d225ac7c1a85</t>
  </si>
  <si>
    <t>27725245301</t>
  </si>
  <si>
    <t>13558055</t>
  </si>
  <si>
    <t>d4b506e9-e13a-4786-9c62-b4a6ad34b451</t>
  </si>
  <si>
    <t>27774221582</t>
  </si>
  <si>
    <t>13562340</t>
  </si>
  <si>
    <t>1df7035d-a5d3-4452-8d7d-b96f76975c6a</t>
  </si>
  <si>
    <t>27792784899</t>
  </si>
  <si>
    <t>13556051</t>
  </si>
  <si>
    <t>56fa21d5-4439-42ac-a736-b7cc5e40c911</t>
  </si>
  <si>
    <t>2026-03-09 10:18:10</t>
  </si>
  <si>
    <t>27720304363</t>
  </si>
  <si>
    <t>13556175</t>
  </si>
  <si>
    <t>57d2cfcf-cfee-4c6f-af48-6ab859e17808</t>
  </si>
  <si>
    <t>27721296544</t>
  </si>
  <si>
    <t>13556576</t>
  </si>
  <si>
    <t>a7387530-6ea4-45c8-9339-e6ea0a36c3bb</t>
  </si>
  <si>
    <t>27725198916</t>
  </si>
  <si>
    <t>13556578</t>
  </si>
  <si>
    <t>8bb2dfc0-97d9-4769-8c5f-872916ed3371</t>
  </si>
  <si>
    <t>27725205938</t>
  </si>
  <si>
    <t>13556581</t>
  </si>
  <si>
    <t>74b73d8d-8407-4a0f-8865-4c2f595c1aed</t>
  </si>
  <si>
    <t>27725234936</t>
  </si>
  <si>
    <t>13556024</t>
  </si>
  <si>
    <t>03469000-fecb-4faa-b55f-30879ebaf990</t>
  </si>
  <si>
    <t>2026-03-09 10:18:09</t>
  </si>
  <si>
    <t>27716822956</t>
  </si>
  <si>
    <t>13560383</t>
  </si>
  <si>
    <t>5b3e0654-81da-437d-a22b-e219941b3c95</t>
  </si>
  <si>
    <t>27764347657</t>
  </si>
  <si>
    <t>13560387</t>
  </si>
  <si>
    <t>67d5f1d9-67eb-456c-b374-049bf2df39e1</t>
  </si>
  <si>
    <t>27711825014</t>
  </si>
  <si>
    <t>13560393</t>
  </si>
  <si>
    <t>c54aee16-ca0f-4281-a033-14101aaa5cc6</t>
  </si>
  <si>
    <t>27722274081</t>
  </si>
  <si>
    <t>13560376</t>
  </si>
  <si>
    <t>2bfaf653-b62d-4603-9a20-755effc4b46e</t>
  </si>
  <si>
    <t>2026-03-09 10:18:08</t>
  </si>
  <si>
    <t>27768314821</t>
  </si>
  <si>
    <t>13560382</t>
  </si>
  <si>
    <t>76cd883e-b911-4ca8-b696-e518e0cd746f</t>
  </si>
  <si>
    <t>27762729901</t>
  </si>
  <si>
    <t>13560310</t>
  </si>
  <si>
    <t>bf4e9182-b911-405c-a51c-dd5b57265e67</t>
  </si>
  <si>
    <t>2026-03-09 10:18:07</t>
  </si>
  <si>
    <t>27724771512</t>
  </si>
  <si>
    <t>13560322</t>
  </si>
  <si>
    <t>85f9ea9f-7171-4d93-9528-76a717188caf</t>
  </si>
  <si>
    <t>27713225670</t>
  </si>
  <si>
    <t>13560349</t>
  </si>
  <si>
    <t>2da16a4a-f6ca-4868-99e8-d1704d88a7ef</t>
  </si>
  <si>
    <t>27716683007</t>
  </si>
  <si>
    <t>13560361</t>
  </si>
  <si>
    <t>26ac3330-b882-4114-bf9f-c9b40f35ab7e</t>
  </si>
  <si>
    <t>27823661865</t>
  </si>
  <si>
    <t>13560364</t>
  </si>
  <si>
    <t>065a0a13-121d-4e34-9901-47742e41c18f</t>
  </si>
  <si>
    <t>27762442110</t>
  </si>
  <si>
    <t>13560374</t>
  </si>
  <si>
    <t>c5e1215b-65dc-46ea-8e3d-e3e35757ccb7</t>
  </si>
  <si>
    <t>27715889295</t>
  </si>
  <si>
    <t>13560375</t>
  </si>
  <si>
    <t>bf0302c0-8f6f-4e28-a736-8f71a7ac92cc</t>
  </si>
  <si>
    <t>27726467842</t>
  </si>
  <si>
    <t>13560327</t>
  </si>
  <si>
    <t>d94bbad2-47ce-49b5-aee5-65d2751a97a6</t>
  </si>
  <si>
    <t>2026-03-09 10:18:06</t>
  </si>
  <si>
    <t>27791109584</t>
  </si>
  <si>
    <t>13560285</t>
  </si>
  <si>
    <t>1faab97f-f65f-4b31-8a0b-416e99f590c0</t>
  </si>
  <si>
    <t>27766125514</t>
  </si>
  <si>
    <t>13560286</t>
  </si>
  <si>
    <t>7f3ea6df-8814-45e9-ac8c-bcf5255d537f</t>
  </si>
  <si>
    <t>27794327987</t>
  </si>
  <si>
    <t>13560288</t>
  </si>
  <si>
    <t>0ef59b79-e7c5-4f19-900c-ceaa340feda7</t>
  </si>
  <si>
    <t>27797288954</t>
  </si>
  <si>
    <t>13560303</t>
  </si>
  <si>
    <t>12772dbd-f041-434a-b5d0-0b10e057f6ab</t>
  </si>
  <si>
    <t>27794349312</t>
  </si>
  <si>
    <t>13560247</t>
  </si>
  <si>
    <t>51311771-8d9a-4e65-8e1c-40631ea58af2</t>
  </si>
  <si>
    <t>2026-03-09 10:18:05</t>
  </si>
  <si>
    <t>27825363038</t>
  </si>
  <si>
    <t>13560248</t>
  </si>
  <si>
    <t>bed223ef-84f3-4865-a60a-dfd337d77d8c</t>
  </si>
  <si>
    <t>27792246447</t>
  </si>
  <si>
    <t>13560250</t>
  </si>
  <si>
    <t>4c735bb8-a23d-4ab5-a8bb-ed1684ba15e2</t>
  </si>
  <si>
    <t>27768556153</t>
  </si>
  <si>
    <t>13560252</t>
  </si>
  <si>
    <t>d29d4f89-7335-4ee0-867d-17e19a713d95</t>
  </si>
  <si>
    <t>27768239981</t>
  </si>
  <si>
    <t>13560259</t>
  </si>
  <si>
    <t>78d022f3-d584-48f3-947c-724f457cde9f</t>
  </si>
  <si>
    <t>27769617645</t>
  </si>
  <si>
    <t>13560273</t>
  </si>
  <si>
    <t>840871a2-a005-4335-8ce1-bc78c58d3899</t>
  </si>
  <si>
    <t>27792394442</t>
  </si>
  <si>
    <t>13560281</t>
  </si>
  <si>
    <t>14500ddf-7fc3-4866-b18d-8987bf6c6072</t>
  </si>
  <si>
    <t>27715533967</t>
  </si>
  <si>
    <t>13560231</t>
  </si>
  <si>
    <t>c77d2ec0-e80d-4de9-9f12-440a3d53fb47</t>
  </si>
  <si>
    <t>2026-03-09 10:18:04</t>
  </si>
  <si>
    <t>27637169795</t>
  </si>
  <si>
    <t>13560234</t>
  </si>
  <si>
    <t>f6b4ca41-dbfa-4e90-83dd-443253e72f17</t>
  </si>
  <si>
    <t>27711148117</t>
  </si>
  <si>
    <t>13560239</t>
  </si>
  <si>
    <t>a225af4c-5004-4bec-a01d-611e360104d1</t>
  </si>
  <si>
    <t>27791498399</t>
  </si>
  <si>
    <t>13560241</t>
  </si>
  <si>
    <t>470f9d19-15ea-4572-b91c-0f62716fbefc</t>
  </si>
  <si>
    <t>27607143817</t>
  </si>
  <si>
    <t>13560246</t>
  </si>
  <si>
    <t>d670ca20-1292-461c-b39f-dc35acde049b</t>
  </si>
  <si>
    <t>27799539954</t>
  </si>
  <si>
    <t>13560220</t>
  </si>
  <si>
    <t>7b7dc955-12e6-4c5a-b043-a25135459281</t>
  </si>
  <si>
    <t>2026-03-09 10:18:03</t>
  </si>
  <si>
    <t>27725892658</t>
  </si>
  <si>
    <t>13560205</t>
  </si>
  <si>
    <t>aa0d7e7a-2bb8-48f9-be4e-293c8c7ef196</t>
  </si>
  <si>
    <t>2026-03-09 10:18:02</t>
  </si>
  <si>
    <t>27722944907</t>
  </si>
  <si>
    <t>13560203</t>
  </si>
  <si>
    <t>aaef6a99-ba5e-4113-969d-65fa4fe827bf</t>
  </si>
  <si>
    <t>2026-03-09 10:18:00</t>
  </si>
  <si>
    <t>27713940723</t>
  </si>
  <si>
    <t>13560204</t>
  </si>
  <si>
    <t>599f9741-e111-46d7-aa3a-3022e8e2b814</t>
  </si>
  <si>
    <t>27722606994</t>
  </si>
  <si>
    <t>13560196</t>
  </si>
  <si>
    <t>788c1fb5-1d80-444b-b9ad-a1478f2b9ba9</t>
  </si>
  <si>
    <t>2026-03-09 10:17:59</t>
  </si>
  <si>
    <t>27727779533</t>
  </si>
  <si>
    <t>13560202</t>
  </si>
  <si>
    <t>63ecf824-421f-4a2d-8b05-88c20d97e4e4</t>
  </si>
  <si>
    <t>27609516575</t>
  </si>
  <si>
    <t>13560282</t>
  </si>
  <si>
    <t>40c20ec9-61c7-4eeb-8493-218c3871428c</t>
  </si>
  <si>
    <t>27767684984</t>
  </si>
  <si>
    <t>13560266</t>
  </si>
  <si>
    <t>c2a18ada-7a36-49d7-8eb9-3af78c2573d2</t>
  </si>
  <si>
    <t>2026-03-09 10:17:40</t>
  </si>
  <si>
    <t>27716647699</t>
  </si>
  <si>
    <t>13560170</t>
  </si>
  <si>
    <t>f367c89d-d981-4c0c-9e3d-ecde558cd050</t>
  </si>
  <si>
    <t>2026-03-09 10:17:38</t>
  </si>
  <si>
    <t>27648168650</t>
  </si>
  <si>
    <t>13560172</t>
  </si>
  <si>
    <t>41a1e7b3-7de9-4f10-9951-0d4f534d235c</t>
  </si>
  <si>
    <t>27715847359</t>
  </si>
  <si>
    <t>13558243</t>
  </si>
  <si>
    <t>6cf511e9-7d8c-49c1-b259-f967f3cb0628</t>
  </si>
  <si>
    <t>2026-03-09 10:17:37</t>
  </si>
  <si>
    <t>27791697136</t>
  </si>
  <si>
    <t>13558248</t>
  </si>
  <si>
    <t>e206d3a5-52f6-40e6-bee9-44a0a715b4fa</t>
  </si>
  <si>
    <t>27791753728</t>
  </si>
  <si>
    <t>13558213</t>
  </si>
  <si>
    <t>68f2124e-d27b-4f01-8b93-f3a679921b97</t>
  </si>
  <si>
    <t>27791367021</t>
  </si>
  <si>
    <t>13558216</t>
  </si>
  <si>
    <t>b1dd71fe-928b-46bf-a502-807b18a7ed1b</t>
  </si>
  <si>
    <t>27791405885</t>
  </si>
  <si>
    <t>13560058</t>
  </si>
  <si>
    <t>c70f5be8-8e7c-4aca-b2df-da79b450f348</t>
  </si>
  <si>
    <t>27766926993</t>
  </si>
  <si>
    <t>13558206</t>
  </si>
  <si>
    <t>6e760ed2-d891-4798-b675-87c570451394</t>
  </si>
  <si>
    <t>2026-03-09 10:17:36</t>
  </si>
  <si>
    <t>27791277080</t>
  </si>
  <si>
    <t>13558212</t>
  </si>
  <si>
    <t>3f4fdaff-32f7-464f-961b-72a727044471</t>
  </si>
  <si>
    <t>27791334813</t>
  </si>
  <si>
    <t>13558198</t>
  </si>
  <si>
    <t>dbc7a1b6-2f0e-4468-8e4b-3a43cc406233</t>
  </si>
  <si>
    <t>2026-03-09 10:17:33</t>
  </si>
  <si>
    <t>27791193302</t>
  </si>
  <si>
    <t>13558199</t>
  </si>
  <si>
    <t>6a84c4e3-9c9c-446a-b315-52d11a47d635</t>
  </si>
  <si>
    <t>27791202936</t>
  </si>
  <si>
    <t>13558200</t>
  </si>
  <si>
    <t>d1e2adce-1a0b-4c2a-a448-a23274524518</t>
  </si>
  <si>
    <t>27791205275</t>
  </si>
  <si>
    <t>13558173</t>
  </si>
  <si>
    <t>bf5db4fe-4012-45fe-b7b4-f993dc6411dc</t>
  </si>
  <si>
    <t>2026-03-09 10:17:32</t>
  </si>
  <si>
    <t>27790938778</t>
  </si>
  <si>
    <t>13558177</t>
  </si>
  <si>
    <t>b9505374-fa66-4108-baf7-82f72fb934c3</t>
  </si>
  <si>
    <t>27791014546</t>
  </si>
  <si>
    <t>13558186</t>
  </si>
  <si>
    <t>d83a749b-9304-48cc-9900-1967269d98ce</t>
  </si>
  <si>
    <t>27791100386</t>
  </si>
  <si>
    <t>13558193</t>
  </si>
  <si>
    <t>20c6641e-cd55-4735-8fcc-9d40a7360737</t>
  </si>
  <si>
    <t>27791187217</t>
  </si>
  <si>
    <t>13558148</t>
  </si>
  <si>
    <t>ac317fb6-bbca-4922-99d9-6b1b3d12ea12</t>
  </si>
  <si>
    <t>2026-03-09 10:17:31</t>
  </si>
  <si>
    <t>27790607823</t>
  </si>
  <si>
    <t>13558158</t>
  </si>
  <si>
    <t>30b0d568-c02f-48ed-be11-55a2ab79e2f0</t>
  </si>
  <si>
    <t>27790775744</t>
  </si>
  <si>
    <t>13558130</t>
  </si>
  <si>
    <t>0461397c-222b-44b3-89d0-4dc4b142d794</t>
  </si>
  <si>
    <t>27790376684</t>
  </si>
  <si>
    <t>13558145</t>
  </si>
  <si>
    <t>d7ff8c6f-7f7f-4175-ac7f-b28396638634</t>
  </si>
  <si>
    <t>27790602539</t>
  </si>
  <si>
    <t>13556544</t>
  </si>
  <si>
    <t>47730436-36f4-41f2-beac-e92c98e146e0</t>
  </si>
  <si>
    <t>2026-03-09 10:17:30</t>
  </si>
  <si>
    <t>27724901807</t>
  </si>
  <si>
    <t>13556550</t>
  </si>
  <si>
    <t>c1ea37e7-a4e3-4bc7-ab07-12ca59e83817</t>
  </si>
  <si>
    <t>27724949538</t>
  </si>
  <si>
    <t>13558404</t>
  </si>
  <si>
    <t>a4a9fc95-bc9f-4c0c-8f02-bdfc703b6086</t>
  </si>
  <si>
    <t>27793577198</t>
  </si>
  <si>
    <t>13556523</t>
  </si>
  <si>
    <t>fa7d5d28-f85d-4901-bd38-59bae4d36dd1</t>
  </si>
  <si>
    <t>2026-03-09 10:17:29</t>
  </si>
  <si>
    <t>27724714147</t>
  </si>
  <si>
    <t>13556534</t>
  </si>
  <si>
    <t>951e8faa-9d67-4e2e-a0b7-0fb17c6000e6</t>
  </si>
  <si>
    <t>27724838877</t>
  </si>
  <si>
    <t>13556536</t>
  </si>
  <si>
    <t>18e6f305-60b5-4d2d-952c-feb92a43d993</t>
  </si>
  <si>
    <t>27724850722</t>
  </si>
  <si>
    <t>13556539</t>
  </si>
  <si>
    <t>e0d2e4d0-f289-4162-9adb-296d9a7e6cb6</t>
  </si>
  <si>
    <t>27724865962</t>
  </si>
  <si>
    <t>13556491</t>
  </si>
  <si>
    <t>ff2c38d2-a4d7-4ceb-9e10-ccf275e06eaf</t>
  </si>
  <si>
    <t>2026-03-09 10:17:27</t>
  </si>
  <si>
    <t>27724435476</t>
  </si>
  <si>
    <t>13556046</t>
  </si>
  <si>
    <t>66ce193b-1981-4b02-9048-a48883968a58</t>
  </si>
  <si>
    <t>2026-03-09 10:17:26</t>
  </si>
  <si>
    <t>27720203067</t>
  </si>
  <si>
    <t>13556048</t>
  </si>
  <si>
    <t>3ab3e1a2-69f0-415e-9d21-0d165cbf99b2</t>
  </si>
  <si>
    <t>27720269399</t>
  </si>
  <si>
    <t>13556038</t>
  </si>
  <si>
    <t>41e8384d-4a02-4677-a040-3242e9bf4637</t>
  </si>
  <si>
    <t>27720109431</t>
  </si>
  <si>
    <t>13556042</t>
  </si>
  <si>
    <t>e333048e-e28f-42af-8c8d-0b650faa2b45</t>
  </si>
  <si>
    <t>27720133710</t>
  </si>
  <si>
    <t>13555989</t>
  </si>
  <si>
    <t>8a988cc7-98f5-4159-93d2-43f4b413d0a3</t>
  </si>
  <si>
    <t>2026-03-09 10:17:25</t>
  </si>
  <si>
    <t>27716122803</t>
  </si>
  <si>
    <t>13560481</t>
  </si>
  <si>
    <t>7afe4dab-cf39-468a-aae2-a697284c7ef8</t>
  </si>
  <si>
    <t>27799868760</t>
  </si>
  <si>
    <t>13560617</t>
  </si>
  <si>
    <t>52e61325-7e0e-474e-be7f-342250e04838</t>
  </si>
  <si>
    <t>27767392688</t>
  </si>
  <si>
    <t>13561135</t>
  </si>
  <si>
    <t>fa790099-c72d-43db-bf92-7303d4c2ea38</t>
  </si>
  <si>
    <t>27673860220</t>
  </si>
  <si>
    <t>13561589</t>
  </si>
  <si>
    <t>1ebe942f-eaf1-4f3d-a9f1-782e6fe44548</t>
  </si>
  <si>
    <t>27714477193</t>
  </si>
  <si>
    <t>13560480</t>
  </si>
  <si>
    <t>16173f6a-8765-44aa-afdb-8fc20d184326</t>
  </si>
  <si>
    <t>2026-03-09 10:17:24</t>
  </si>
  <si>
    <t>27760958877</t>
  </si>
  <si>
    <t>13560468</t>
  </si>
  <si>
    <t>91b84e8d-5d6b-4714-8c4c-1fdae4eb8c04</t>
  </si>
  <si>
    <t>27767697652</t>
  </si>
  <si>
    <t>13560471</t>
  </si>
  <si>
    <t>4779d748-94a8-4e1c-905f-006f0c207f89</t>
  </si>
  <si>
    <t>27713769956</t>
  </si>
  <si>
    <t>13560443</t>
  </si>
  <si>
    <t>631439b1-7558-4d69-8cd3-66924a083bea</t>
  </si>
  <si>
    <t>2026-03-09 10:17:22</t>
  </si>
  <si>
    <t>27767229210</t>
  </si>
  <si>
    <t>13560446</t>
  </si>
  <si>
    <t>dc6fdfed-1f15-46e8-9160-104df3096d4b</t>
  </si>
  <si>
    <t>27661709707</t>
  </si>
  <si>
    <t>13560447</t>
  </si>
  <si>
    <t>4855325f-2a32-43da-86df-e809e3a95a4f</t>
  </si>
  <si>
    <t>27711512718</t>
  </si>
  <si>
    <t>13561281</t>
  </si>
  <si>
    <t>eed3a7fb-7de4-4d13-bc02-b186f0421476</t>
  </si>
  <si>
    <t>2026-03-09 10:17:21</t>
  </si>
  <si>
    <t>27728181520</t>
  </si>
  <si>
    <t>13559735</t>
  </si>
  <si>
    <t>221011fe-e78b-4dd7-8868-679902998c56</t>
  </si>
  <si>
    <t>2026-03-09 10:17:20</t>
  </si>
  <si>
    <t>27607047520</t>
  </si>
  <si>
    <t>13559900</t>
  </si>
  <si>
    <t>d68ec8b0-d772-4220-81ec-7e4ecf5a9340</t>
  </si>
  <si>
    <t>27792541292</t>
  </si>
  <si>
    <t>13559901</t>
  </si>
  <si>
    <t>51844110-bfd6-4491-b8b7-90da91537194</t>
  </si>
  <si>
    <t>27828630271</t>
  </si>
  <si>
    <t>13559914</t>
  </si>
  <si>
    <t>6e3523a4-f5fc-4d9c-8656-fec26afdf4e1</t>
  </si>
  <si>
    <t>27660857396</t>
  </si>
  <si>
    <t>13559805</t>
  </si>
  <si>
    <t>de22933a-0445-4e34-a694-025a01631585</t>
  </si>
  <si>
    <t>27646482249</t>
  </si>
  <si>
    <t>13559637</t>
  </si>
  <si>
    <t>b90f90ef-2534-4e9d-bbe1-a7d703c38678</t>
  </si>
  <si>
    <t>2026-03-09 10:17:10</t>
  </si>
  <si>
    <t>27832601038</t>
  </si>
  <si>
    <t>13559624</t>
  </si>
  <si>
    <t>ff4f2b43-bedb-490b-9d4b-8d350e5f0f0f</t>
  </si>
  <si>
    <t>2026-03-09 10:17:09</t>
  </si>
  <si>
    <t>27829696889</t>
  </si>
  <si>
    <t>13559723</t>
  </si>
  <si>
    <t>f6be6216-8c58-4990-806b-a5e0b4ad410e</t>
  </si>
  <si>
    <t>27760920738</t>
  </si>
  <si>
    <t>13559595</t>
  </si>
  <si>
    <t>65ae8b10-b76d-4261-8e97-ef0e95ded131</t>
  </si>
  <si>
    <t>2026-03-09 10:17:06</t>
  </si>
  <si>
    <t>27829305981</t>
  </si>
  <si>
    <t>13559596</t>
  </si>
  <si>
    <t>9743fd7f-4c98-4ec7-a574-bcb4e9a773b8</t>
  </si>
  <si>
    <t>2026-03-09 10:17:05</t>
  </si>
  <si>
    <t>27829309091</t>
  </si>
  <si>
    <t>13559603</t>
  </si>
  <si>
    <t>7fc12375-854f-4716-8569-c32b29251f3b</t>
  </si>
  <si>
    <t>27829369415</t>
  </si>
  <si>
    <t>13559607</t>
  </si>
  <si>
    <t>5448164c-d790-4ca8-b5f4-0f5ba5ca1a8d</t>
  </si>
  <si>
    <t>27829389795</t>
  </si>
  <si>
    <t>13559608</t>
  </si>
  <si>
    <t>9b1f39ea-e49b-477a-ae37-4441805bbf0d</t>
  </si>
  <si>
    <t>27829408748</t>
  </si>
  <si>
    <t>13559609</t>
  </si>
  <si>
    <t>0f22fd58-e4bf-4da8-a2de-9dc2e5720103</t>
  </si>
  <si>
    <t>27829486289</t>
  </si>
  <si>
    <t>13559620</t>
  </si>
  <si>
    <t>1a0ed0df-eb2a-4e4c-9257-fe79770bc0d3</t>
  </si>
  <si>
    <t>27829655890</t>
  </si>
  <si>
    <t>13560419</t>
  </si>
  <si>
    <t>d80ff6b2-5d18-484d-acfd-6364de899588</t>
  </si>
  <si>
    <t>2026-03-09 10:17:04</t>
  </si>
  <si>
    <t>27664075762</t>
  </si>
  <si>
    <t>13559593</t>
  </si>
  <si>
    <t>3c741063-6139-4385-b233-d8989d14bbed</t>
  </si>
  <si>
    <t>27829278823</t>
  </si>
  <si>
    <t>13560417</t>
  </si>
  <si>
    <t>d5128e76-d776-4f18-96c3-76ea6a7997ac</t>
  </si>
  <si>
    <t>2026-03-09 10:17:02</t>
  </si>
  <si>
    <t>27798288527</t>
  </si>
  <si>
    <t>13560401</t>
  </si>
  <si>
    <t>cad0f2bd-d84a-44a0-b934-be6061d6167f</t>
  </si>
  <si>
    <t>2026-03-09 10:17:01</t>
  </si>
  <si>
    <t>27606318007</t>
  </si>
  <si>
    <t>13560405</t>
  </si>
  <si>
    <t>1bc934d5-e485-4a78-99f6-2a3d16fe68d3</t>
  </si>
  <si>
    <t>27734944453</t>
  </si>
  <si>
    <t>13560413</t>
  </si>
  <si>
    <t>c7c5f30c-529a-40ae-a5a8-86ddb6647cc2</t>
  </si>
  <si>
    <t>27774926629</t>
  </si>
  <si>
    <t>13560414</t>
  </si>
  <si>
    <t>3f7ade14-c6be-4428-9383-91688623dcd3</t>
  </si>
  <si>
    <t>27722482855</t>
  </si>
  <si>
    <t>13559618</t>
  </si>
  <si>
    <t>bac10dcf-a927-464a-94dc-89bb8088495e</t>
  </si>
  <si>
    <t>2026-03-09 10:16:51</t>
  </si>
  <si>
    <t>27829648299</t>
  </si>
  <si>
    <t>13560395</t>
  </si>
  <si>
    <t>e0e47992-0bd2-46fd-b7f0-60e97ff267b8</t>
  </si>
  <si>
    <t>27768196191</t>
  </si>
  <si>
    <t>13563473</t>
  </si>
  <si>
    <t>6de959a5-3f29-4837-b4fb-09a3d2e9c721</t>
  </si>
  <si>
    <t>2026-03-09 10:16:45</t>
  </si>
  <si>
    <t>27711784859</t>
  </si>
  <si>
    <t>13556321</t>
  </si>
  <si>
    <t>d800892d-507d-4d6e-b3c1-f8524dd76c5f</t>
  </si>
  <si>
    <t>2026-03-09 10:16:37</t>
  </si>
  <si>
    <t>27722655684</t>
  </si>
  <si>
    <t>13556301</t>
  </si>
  <si>
    <t>8e7d93b3-194f-4943-bc13-62bd4decad46</t>
  </si>
  <si>
    <t>27722468157</t>
  </si>
  <si>
    <t>13556302</t>
  </si>
  <si>
    <t>61343554-a0d4-4fcc-a852-e366a8e3b148</t>
  </si>
  <si>
    <t>27722484844</t>
  </si>
  <si>
    <t>13556303</t>
  </si>
  <si>
    <t>4c565f05-8328-41f9-97ed-5bd93b02b81a</t>
  </si>
  <si>
    <t>27722485601</t>
  </si>
  <si>
    <t>13556324</t>
  </si>
  <si>
    <t>35db6106-341b-4707-b192-655da60c17d7</t>
  </si>
  <si>
    <t>2026-03-09 10:16:36</t>
  </si>
  <si>
    <t>27722710294</t>
  </si>
  <si>
    <t>13556328</t>
  </si>
  <si>
    <t>b4627047-c72e-4980-8be0-1c7870562f88</t>
  </si>
  <si>
    <t>27722754829</t>
  </si>
  <si>
    <t>13556333</t>
  </si>
  <si>
    <t>1489f7b5-8b54-4525-92bb-3f10033bea49</t>
  </si>
  <si>
    <t>27722784291</t>
  </si>
  <si>
    <t>13556336</t>
  </si>
  <si>
    <t>c53f2699-6788-4c31-b67e-823183b940b3</t>
  </si>
  <si>
    <t>27722840528</t>
  </si>
  <si>
    <t>13556304</t>
  </si>
  <si>
    <t>1461a1e9-d3df-46f4-ab25-021a0c047a29</t>
  </si>
  <si>
    <t>27722500400</t>
  </si>
  <si>
    <t>13558162</t>
  </si>
  <si>
    <t>5b128f3a-12d4-49c4-89e2-34d2c1253eb6</t>
  </si>
  <si>
    <t>27790793989</t>
  </si>
  <si>
    <t>13560947</t>
  </si>
  <si>
    <t>a2802bd8-cb5c-44de-a074-fb54a6209708</t>
  </si>
  <si>
    <t>27790976450</t>
  </si>
  <si>
    <t>13558155</t>
  </si>
  <si>
    <t>98e5b246-16b6-45d1-b672-d84e829e3f64</t>
  </si>
  <si>
    <t>2026-03-09 10:16:34</t>
  </si>
  <si>
    <t>27790725640</t>
  </si>
  <si>
    <t>13558151</t>
  </si>
  <si>
    <t>d2fd9715-b6de-489b-9501-2e25979842f5</t>
  </si>
  <si>
    <t>2026-03-09 10:16:33</t>
  </si>
  <si>
    <t>27790673480</t>
  </si>
  <si>
    <t>13558149</t>
  </si>
  <si>
    <t>02e089f1-492d-4ebe-af86-f638d41a5642</t>
  </si>
  <si>
    <t>2026-03-09 10:16:17</t>
  </si>
  <si>
    <t>27790622499</t>
  </si>
  <si>
    <t>13558138</t>
  </si>
  <si>
    <t>790a1685-a066-4404-9e70-87679cb2ae32</t>
  </si>
  <si>
    <t>27790506995</t>
  </si>
  <si>
    <t>13558139</t>
  </si>
  <si>
    <t>e4cfeb10-c675-4280-81dd-85f7e3cea6e9</t>
  </si>
  <si>
    <t>27790535444</t>
  </si>
  <si>
    <t>13558140</t>
  </si>
  <si>
    <t>9fe14e07-f458-44a0-ac9d-8d0720cde3cb</t>
  </si>
  <si>
    <t>27790541084</t>
  </si>
  <si>
    <t>13558136</t>
  </si>
  <si>
    <t>acc6e02f-991b-4c31-aa4f-fab52ec92b38</t>
  </si>
  <si>
    <t>2026-03-09 10:16:10</t>
  </si>
  <si>
    <t>27790458579</t>
  </si>
  <si>
    <t>13558121</t>
  </si>
  <si>
    <t>4c3ad8f6-f03f-4f8d-9d3e-63469875e8d3</t>
  </si>
  <si>
    <t>2026-03-09 10:16:09</t>
  </si>
  <si>
    <t>27790309335</t>
  </si>
  <si>
    <t>13558123</t>
  </si>
  <si>
    <t>e77685fd-34ae-4b90-aec7-793aedea3744</t>
  </si>
  <si>
    <t>27790322249</t>
  </si>
  <si>
    <t>13558100</t>
  </si>
  <si>
    <t>76196dd5-a5ae-4a15-a468-5d97c14bfa04</t>
  </si>
  <si>
    <t>2026-03-09 10:16:08</t>
  </si>
  <si>
    <t>27790178246</t>
  </si>
  <si>
    <t>13558109</t>
  </si>
  <si>
    <t>1ff315a2-be0e-440d-822b-9bdb134fdc7b</t>
  </si>
  <si>
    <t>27790217395</t>
  </si>
  <si>
    <t>13558114</t>
  </si>
  <si>
    <t>7deb4584-993e-4538-a322-3f86e78ccf6d</t>
  </si>
  <si>
    <t>27790250681</t>
  </si>
  <si>
    <t>13558115</t>
  </si>
  <si>
    <t>d7c532ec-9574-4287-ac07-03370a40f0f5</t>
  </si>
  <si>
    <t>27790263425</t>
  </si>
  <si>
    <t>13558095</t>
  </si>
  <si>
    <t>62eb6bd1-cb1e-477d-808e-48a44f26a12c</t>
  </si>
  <si>
    <t>2026-03-09 10:16:07</t>
  </si>
  <si>
    <t>27790130409</t>
  </si>
  <si>
    <t>13558096</t>
  </si>
  <si>
    <t>d2ac2d7b-f8aa-4819-936d-b77b3d483510</t>
  </si>
  <si>
    <t>27790138223</t>
  </si>
  <si>
    <t>13558081</t>
  </si>
  <si>
    <t>e8231888-ab38-41c2-9835-3f680a048199</t>
  </si>
  <si>
    <t>2026-03-09 10:16:06</t>
  </si>
  <si>
    <t>27784777707</t>
  </si>
  <si>
    <t>13558084</t>
  </si>
  <si>
    <t>1d0e4be6-f927-4cf9-a977-1b97b26e9640</t>
  </si>
  <si>
    <t>27785844979</t>
  </si>
  <si>
    <t>13558085</t>
  </si>
  <si>
    <t>d7a327b5-7bee-426b-a423-150495f8f7a9</t>
  </si>
  <si>
    <t>27785995142</t>
  </si>
  <si>
    <t>13556537</t>
  </si>
  <si>
    <t>529fed2d-e3d0-475f-91b5-3706bf4640f5</t>
  </si>
  <si>
    <t>2026-03-09 10:16:05</t>
  </si>
  <si>
    <t>27724855104</t>
  </si>
  <si>
    <t>13558054</t>
  </si>
  <si>
    <t>38b34d63-32aa-440e-afae-94bb5fedd555</t>
  </si>
  <si>
    <t>27774206839</t>
  </si>
  <si>
    <t>13558058</t>
  </si>
  <si>
    <t>46b1eceb-c701-47f1-a59a-10b850228893</t>
  </si>
  <si>
    <t>27774413959</t>
  </si>
  <si>
    <t>13558061</t>
  </si>
  <si>
    <t>7fc7317b-8d95-40d8-a75c-d7c279e6ecf7</t>
  </si>
  <si>
    <t>27774464231</t>
  </si>
  <si>
    <t>13558063</t>
  </si>
  <si>
    <t>4eee619d-4423-4551-8e36-c9f2648518ad</t>
  </si>
  <si>
    <t>27774593774</t>
  </si>
  <si>
    <t>13558071</t>
  </si>
  <si>
    <t>0109a65f-513f-4dae-a6d5-073d757c67bf</t>
  </si>
  <si>
    <t>27781609931</t>
  </si>
  <si>
    <t>13558074</t>
  </si>
  <si>
    <t>959cd1c2-b3c2-4ced-ba95-661f8e587625</t>
  </si>
  <si>
    <t>27783096676</t>
  </si>
  <si>
    <t>13556525</t>
  </si>
  <si>
    <t>1e9ab4a2-c116-435b-b04e-d3d4ed8e21a8</t>
  </si>
  <si>
    <t>2026-03-09 10:16:04</t>
  </si>
  <si>
    <t>27724743873</t>
  </si>
  <si>
    <t>13556531</t>
  </si>
  <si>
    <t>e29a3688-c34c-49e7-8b62-aa2434cb96b3</t>
  </si>
  <si>
    <t>27724794359</t>
  </si>
  <si>
    <t>13558060</t>
  </si>
  <si>
    <t>21901f0b-fdfa-4d4c-a1f1-7e60673d7b06</t>
  </si>
  <si>
    <t>27774444185</t>
  </si>
  <si>
    <t>13558064</t>
  </si>
  <si>
    <t>634cc947-14c4-4c0b-9ef7-53a67f012afb</t>
  </si>
  <si>
    <t>27774635333</t>
  </si>
  <si>
    <t>13558065</t>
  </si>
  <si>
    <t>7552e4c4-1a82-43d7-b940-c45caa43a025</t>
  </si>
  <si>
    <t>27774648152</t>
  </si>
  <si>
    <t>13558068</t>
  </si>
  <si>
    <t>3f4a46dc-9e3b-4488-9d49-221f35071e60</t>
  </si>
  <si>
    <t>27781454360</t>
  </si>
  <si>
    <t>13558070</t>
  </si>
  <si>
    <t>6361921d-cc26-4e9c-9018-52ab8330f9cc</t>
  </si>
  <si>
    <t>27781573421</t>
  </si>
  <si>
    <t>13556500</t>
  </si>
  <si>
    <t>8d9c197a-3bf9-4aff-bf04-82da37605787</t>
  </si>
  <si>
    <t>2026-03-09 10:16:03</t>
  </si>
  <si>
    <t>27724506922</t>
  </si>
  <si>
    <t>13556503</t>
  </si>
  <si>
    <t>92ee6596-219a-436c-8d9b-16594f56f2a8</t>
  </si>
  <si>
    <t>27724527328</t>
  </si>
  <si>
    <t>13556505</t>
  </si>
  <si>
    <t>ff8bd543-4970-4f20-a42e-b7ff7a59c059</t>
  </si>
  <si>
    <t>27724540967</t>
  </si>
  <si>
    <t>13556487</t>
  </si>
  <si>
    <t>7c7622a8-f682-4f2c-92e3-bb1b2dbcbaae</t>
  </si>
  <si>
    <t>2026-03-09 10:16:02</t>
  </si>
  <si>
    <t>27724410775</t>
  </si>
  <si>
    <t>13556488</t>
  </si>
  <si>
    <t>6a59f81f-635e-43b3-b99d-6c795ac03494</t>
  </si>
  <si>
    <t>27724416136</t>
  </si>
  <si>
    <t>13556490</t>
  </si>
  <si>
    <t>c6102342-8b21-4f11-8491-b83f638535e8</t>
  </si>
  <si>
    <t>27724421724</t>
  </si>
  <si>
    <t>13556492</t>
  </si>
  <si>
    <t>05fe64ed-f7c2-4999-a549-259b5cefe3ad</t>
  </si>
  <si>
    <t>27724436891</t>
  </si>
  <si>
    <t>13556497</t>
  </si>
  <si>
    <t>ed6a803f-04cf-42e5-86d0-eb04f5a92e06</t>
  </si>
  <si>
    <t>27724462327</t>
  </si>
  <si>
    <t>13556483</t>
  </si>
  <si>
    <t>16f5f341-06bb-447f-a5b4-d05ee6784c89</t>
  </si>
  <si>
    <t>2026-03-09 10:16:01</t>
  </si>
  <si>
    <t>27724368805</t>
  </si>
  <si>
    <t>13556485</t>
  </si>
  <si>
    <t>db0f6a34-7d24-40a1-9d79-4ca8c42053a9</t>
  </si>
  <si>
    <t>27724375245</t>
  </si>
  <si>
    <t>13556480</t>
  </si>
  <si>
    <t>69fb009a-97bc-4e02-85a5-e9e565f4306b</t>
  </si>
  <si>
    <t>2026-03-09 10:15:59</t>
  </si>
  <si>
    <t>27724335165</t>
  </si>
  <si>
    <t>13556449</t>
  </si>
  <si>
    <t>a0beb83b-71c8-48ba-b8ec-a3ae079c14a9</t>
  </si>
  <si>
    <t>27724007363</t>
  </si>
  <si>
    <t>13556453</t>
  </si>
  <si>
    <t>b20f1764-10e8-4fec-82f2-ffcecfd9fc92</t>
  </si>
  <si>
    <t>27724044125</t>
  </si>
  <si>
    <t>13556458</t>
  </si>
  <si>
    <t>76d16a58-90d8-4878-9ffc-34a291a9ac67</t>
  </si>
  <si>
    <t>27724110882</t>
  </si>
  <si>
    <t>13557054</t>
  </si>
  <si>
    <t>21ee2704-293b-44f5-b49e-f4ffd20fda61</t>
  </si>
  <si>
    <t>2026-03-09 10:15:57</t>
  </si>
  <si>
    <t>27729988515</t>
  </si>
  <si>
    <t>13556447</t>
  </si>
  <si>
    <t>25376a1c-29fb-4a77-8c50-31c8a3313c18</t>
  </si>
  <si>
    <t>27723992028</t>
  </si>
  <si>
    <t>13555929</t>
  </si>
  <si>
    <t>33da0146-7b54-4e77-87e9-b23b5494951b</t>
  </si>
  <si>
    <t>2026-03-09 10:15:56</t>
  </si>
  <si>
    <t>27715567267</t>
  </si>
  <si>
    <t>13557042</t>
  </si>
  <si>
    <t>502f1a10-9403-4772-b430-485790cd4e59</t>
  </si>
  <si>
    <t>27729899778</t>
  </si>
  <si>
    <t>13557047</t>
  </si>
  <si>
    <t>dba3c439-a4e0-4d4e-88e4-771d0ec2c25c</t>
  </si>
  <si>
    <t>27729950029</t>
  </si>
  <si>
    <t>13557049</t>
  </si>
  <si>
    <t>01ac6239-9dda-438e-919a-f6dc4cf06868</t>
  </si>
  <si>
    <t>27729964525</t>
  </si>
  <si>
    <t>13557050</t>
  </si>
  <si>
    <t>68e5e40c-f4d4-4157-9359-beef5881efe6</t>
  </si>
  <si>
    <t>27729976797</t>
  </si>
  <si>
    <t>13557053</t>
  </si>
  <si>
    <t>e6fc4acb-eb07-4419-96c3-e417dbe7d76f</t>
  </si>
  <si>
    <t>27729982251</t>
  </si>
  <si>
    <t>13560904</t>
  </si>
  <si>
    <t>f47e7319-4e35-445e-ab2c-51ded7b30555</t>
  </si>
  <si>
    <t>27724597463</t>
  </si>
  <si>
    <t>13561596</t>
  </si>
  <si>
    <t>c6377f23-e77c-48e8-8ac0-6e0492b681a5</t>
  </si>
  <si>
    <t>27797528909</t>
  </si>
  <si>
    <t>13561271</t>
  </si>
  <si>
    <t>8ce72060-cbe9-4d00-9a88-16e39b2a445c</t>
  </si>
  <si>
    <t>2026-03-09 10:15:55</t>
  </si>
  <si>
    <t>27727264458</t>
  </si>
  <si>
    <t>13561290</t>
  </si>
  <si>
    <t>57b5d064-1312-4085-8579-024decdc20c7</t>
  </si>
  <si>
    <t>27729057030</t>
  </si>
  <si>
    <t>13559968</t>
  </si>
  <si>
    <t>ff20fb6f-bf82-4325-b0d3-3bdfb507ddb9</t>
  </si>
  <si>
    <t>27609236791</t>
  </si>
  <si>
    <t>13559977</t>
  </si>
  <si>
    <t>17f9a09f-7b1c-4a28-b70c-f2dd7d190a45</t>
  </si>
  <si>
    <t>27762104954</t>
  </si>
  <si>
    <t>13559981</t>
  </si>
  <si>
    <t>f8f55cf7-2f3b-4598-b9f9-11388cadd58e</t>
  </si>
  <si>
    <t>27793858937</t>
  </si>
  <si>
    <t>13560449</t>
  </si>
  <si>
    <t>908beafe-02ce-4f67-8f42-ebe254e5545e</t>
  </si>
  <si>
    <t>27721453618</t>
  </si>
  <si>
    <t>13560640</t>
  </si>
  <si>
    <t>019608ab-f354-456b-b891-e53e04ae8e75</t>
  </si>
  <si>
    <t>27793113950</t>
  </si>
  <si>
    <t>13560872</t>
  </si>
  <si>
    <t>89ec08cd-7cd3-4a53-98d7-8e81823c3c12</t>
  </si>
  <si>
    <t>27791758488</t>
  </si>
  <si>
    <t>13560162</t>
  </si>
  <si>
    <t>b0de3837-bc14-44de-93d9-b7d9290f471d</t>
  </si>
  <si>
    <t>2026-03-09 10:15:54</t>
  </si>
  <si>
    <t>27763789951</t>
  </si>
  <si>
    <t>13560166</t>
  </si>
  <si>
    <t>6fc2d861-abed-4278-8a7b-c59841d9d029</t>
  </si>
  <si>
    <t>27818133957</t>
  </si>
  <si>
    <t>13560167</t>
  </si>
  <si>
    <t>a0678fb7-562f-4434-9649-fb2cac99157e</t>
  </si>
  <si>
    <t>27797337623</t>
  </si>
  <si>
    <t>13560176</t>
  </si>
  <si>
    <t>67d72329-14b6-4c4d-84cf-f89b7221ca6a</t>
  </si>
  <si>
    <t>27764731141</t>
  </si>
  <si>
    <t>13560341</t>
  </si>
  <si>
    <t>ca5cf597-d225-4611-8086-80ba7f6f2ef0</t>
  </si>
  <si>
    <t>27762001957</t>
  </si>
  <si>
    <t>13558235</t>
  </si>
  <si>
    <t>80d803a7-001a-491c-9471-6c557ad81bb7</t>
  </si>
  <si>
    <t>2026-03-09 10:15:53</t>
  </si>
  <si>
    <t>27791618406</t>
  </si>
  <si>
    <t>13558242</t>
  </si>
  <si>
    <t>534e7b75-a79f-4af7-8de2-ce6d08cfaaf2</t>
  </si>
  <si>
    <t>27791696054</t>
  </si>
  <si>
    <t>13558499</t>
  </si>
  <si>
    <t>ffa85230-b4cd-4a56-8ed8-ddf513b837e5</t>
  </si>
  <si>
    <t>27794646792</t>
  </si>
  <si>
    <t>13558502</t>
  </si>
  <si>
    <t>f9fc968a-ce60-4c8a-9179-e7f14ad2b186</t>
  </si>
  <si>
    <t>27794681938</t>
  </si>
  <si>
    <t>13560052</t>
  </si>
  <si>
    <t>c690102f-4038-443b-aea9-771ac0522221</t>
  </si>
  <si>
    <t>27726147288</t>
  </si>
  <si>
    <t>13558175</t>
  </si>
  <si>
    <t>fa50de63-b9e2-4efb-8264-cb0b584cb5c4</t>
  </si>
  <si>
    <t>2026-03-09 10:15:52</t>
  </si>
  <si>
    <t>27790989983</t>
  </si>
  <si>
    <t>13558184</t>
  </si>
  <si>
    <t>b7b5e743-5c9f-4ced-aaa8-7e1a074bceaa</t>
  </si>
  <si>
    <t>27791065225</t>
  </si>
  <si>
    <t>13558188</t>
  </si>
  <si>
    <t>8bf51df8-a6b2-4315-bdb5-647a9ce367eb</t>
  </si>
  <si>
    <t>27791141750</t>
  </si>
  <si>
    <t>13558214</t>
  </si>
  <si>
    <t>62bbe519-6e6b-439b-b284-cde9dddc22ae</t>
  </si>
  <si>
    <t>27791380177</t>
  </si>
  <si>
    <t>13558228</t>
  </si>
  <si>
    <t>0ea05b20-3ccb-458b-9fa4-4446b6410513</t>
  </si>
  <si>
    <t>27791563793</t>
  </si>
  <si>
    <t>13562546</t>
  </si>
  <si>
    <t>9ee9813b-a248-4300-b0fe-dbfa90becff0</t>
  </si>
  <si>
    <t>2026-03-09 10:15:20</t>
  </si>
  <si>
    <t>27764743370</t>
  </si>
  <si>
    <t>13563369</t>
  </si>
  <si>
    <t>18d1965c-5525-4da0-aade-cbb3b1d1e90a</t>
  </si>
  <si>
    <t>2026-03-09 10:15:16</t>
  </si>
  <si>
    <t>27716475571</t>
  </si>
  <si>
    <t>13562203</t>
  </si>
  <si>
    <t>684c8e55-2379-4052-bb71-950d7db5dc63</t>
  </si>
  <si>
    <t>2026-03-09 10:15:11</t>
  </si>
  <si>
    <t>27713986618</t>
  </si>
  <si>
    <t>13562222</t>
  </si>
  <si>
    <t>726815a2-8e41-4d68-bfc5-818ec14b52fc</t>
  </si>
  <si>
    <t>27768588003</t>
  </si>
  <si>
    <t>13561793</t>
  </si>
  <si>
    <t>e8345958-5463-4d27-bb29-11e3c9610181</t>
  </si>
  <si>
    <t>2026-03-09 10:15:10</t>
  </si>
  <si>
    <t>27725293718</t>
  </si>
  <si>
    <t>13561377</t>
  </si>
  <si>
    <t>cf73c02e-9ff6-4eae-ba20-d35f0232a22a</t>
  </si>
  <si>
    <t>27721922587</t>
  </si>
  <si>
    <t>13561400</t>
  </si>
  <si>
    <t>78de01d6-ead8-4bd0-8a49-de525a961a81</t>
  </si>
  <si>
    <t>27727717444</t>
  </si>
  <si>
    <t>13561406</t>
  </si>
  <si>
    <t>60b4f78c-7314-4a1c-b477-83b2b27bcd02</t>
  </si>
  <si>
    <t>27609042697</t>
  </si>
  <si>
    <t>13561408</t>
  </si>
  <si>
    <t>6bdacb35-4192-4d1d-8f97-0c7cfd5a903e</t>
  </si>
  <si>
    <t>27767776503</t>
  </si>
  <si>
    <t>13561415</t>
  </si>
  <si>
    <t>ae73d2d9-cd5e-41b4-8f9b-fcc806b4b183</t>
  </si>
  <si>
    <t>27790401962</t>
  </si>
  <si>
    <t>13555914</t>
  </si>
  <si>
    <t>06c3e55d-9f61-4344-a6e8-0de508f60a37</t>
  </si>
  <si>
    <t>2026-03-09 10:15:09</t>
  </si>
  <si>
    <t>27715476085</t>
  </si>
  <si>
    <t>13561849</t>
  </si>
  <si>
    <t>1e05fe66-c827-4857-bdb4-98dc27fd28b1</t>
  </si>
  <si>
    <t>27794313949</t>
  </si>
  <si>
    <t>13563855</t>
  </si>
  <si>
    <t>40739030-f181-4760-aa21-8d51005ae562</t>
  </si>
  <si>
    <t>27608806891</t>
  </si>
  <si>
    <t>13562428</t>
  </si>
  <si>
    <t>92eb4e5a-df1e-4e9e-b299-ec2b9c4355d9</t>
  </si>
  <si>
    <t>27724708369</t>
  </si>
  <si>
    <t>13564031</t>
  </si>
  <si>
    <t>385ed8c6-c8b2-482e-8e65-ac71b7bf98db</t>
  </si>
  <si>
    <t>27729941713</t>
  </si>
  <si>
    <t>13562501</t>
  </si>
  <si>
    <t>00ef1163-526a-47f1-99b7-67a1763b9cfb</t>
  </si>
  <si>
    <t>27725345774</t>
  </si>
  <si>
    <t>13561607</t>
  </si>
  <si>
    <t>a999b999-6116-47e4-a68d-42ae9c9d422d</t>
  </si>
  <si>
    <t>2026-03-09 10:15:08</t>
  </si>
  <si>
    <t>27714520164</t>
  </si>
  <si>
    <t>13561661</t>
  </si>
  <si>
    <t>375761f9-16ab-431e-9cd4-95e44af6bff8</t>
  </si>
  <si>
    <t>27607305621</t>
  </si>
  <si>
    <t>13561597</t>
  </si>
  <si>
    <t>cb5a4fee-1ab4-4ea5-85d0-9d7f16e60d18</t>
  </si>
  <si>
    <t>27647488399</t>
  </si>
  <si>
    <t>13561598</t>
  </si>
  <si>
    <t>6426c510-ef7f-4cc2-9509-7ef2a87253da</t>
  </si>
  <si>
    <t>27662604574</t>
  </si>
  <si>
    <t>13561582</t>
  </si>
  <si>
    <t>7d1b4507-808f-47d7-b3cd-1b7f16bf5ee3</t>
  </si>
  <si>
    <t>2026-03-09 10:15:07</t>
  </si>
  <si>
    <t>27766689954</t>
  </si>
  <si>
    <t>13561583</t>
  </si>
  <si>
    <t>c19053ab-b88f-4d6b-a6bc-9871d5fc9fbb</t>
  </si>
  <si>
    <t>27648335301</t>
  </si>
  <si>
    <t>13561593</t>
  </si>
  <si>
    <t>eaed6e6a-2d96-4d0d-869a-550e6602e907</t>
  </si>
  <si>
    <t>27791462499</t>
  </si>
  <si>
    <t>13561159</t>
  </si>
  <si>
    <t>00259cf4-7547-4a81-a07b-fdfc962643e4</t>
  </si>
  <si>
    <t>2026-03-09 10:15:06</t>
  </si>
  <si>
    <t>27637836895</t>
  </si>
  <si>
    <t>13561136</t>
  </si>
  <si>
    <t>5ed34d89-26ba-482f-bd32-5cf9be3e7eb7</t>
  </si>
  <si>
    <t>27716594822</t>
  </si>
  <si>
    <t>13561138</t>
  </si>
  <si>
    <t>c2cf79a4-7ecd-41a6-a82d-0c82bc6af2d3</t>
  </si>
  <si>
    <t>27713588679</t>
  </si>
  <si>
    <t>13561191</t>
  </si>
  <si>
    <t>ef78ca5d-784d-4c3a-8e85-e2d14f3ca41c</t>
  </si>
  <si>
    <t>27712223274</t>
  </si>
  <si>
    <t>13561196</t>
  </si>
  <si>
    <t>5b8f5e91-27fc-47c6-adad-316adc431ac4</t>
  </si>
  <si>
    <t>27649812521</t>
  </si>
  <si>
    <t>13561573</t>
  </si>
  <si>
    <t>454a0598-363d-4466-9f38-da670d8b7f88</t>
  </si>
  <si>
    <t>27606571730</t>
  </si>
  <si>
    <t>13561580</t>
  </si>
  <si>
    <t>15c8111b-0ba8-4b79-8a7c-081765fc66d9</t>
  </si>
  <si>
    <t>27822192031</t>
  </si>
  <si>
    <t>13560975</t>
  </si>
  <si>
    <t>4e622c31-5518-42fb-b2ed-a6f58319e3bb</t>
  </si>
  <si>
    <t>2026-03-09 10:15:05</t>
  </si>
  <si>
    <t>27792194598</t>
  </si>
  <si>
    <t>13561041</t>
  </si>
  <si>
    <t>70a2b81f-bf42-4ba2-9dfd-ff91415848d9</t>
  </si>
  <si>
    <t>27826202299</t>
  </si>
  <si>
    <t>13561115</t>
  </si>
  <si>
    <t>389ce646-0cd6-46d2-8048-c5d39b423454</t>
  </si>
  <si>
    <t>27648674265</t>
  </si>
  <si>
    <t>13560949</t>
  </si>
  <si>
    <t>ba1a1bc1-4f00-4930-9c61-fd30d9a0f35e</t>
  </si>
  <si>
    <t>27793334409</t>
  </si>
  <si>
    <t>13561134</t>
  </si>
  <si>
    <t>ff929c73-d4b0-4c2d-b951-e3fa0026c724</t>
  </si>
  <si>
    <t>27647476053</t>
  </si>
  <si>
    <t>13560909</t>
  </si>
  <si>
    <t>51a157a2-db15-49fc-87d0-b893aebea6a9</t>
  </si>
  <si>
    <t>2026-03-09 10:15:04</t>
  </si>
  <si>
    <t>27673784007</t>
  </si>
  <si>
    <t>13560910</t>
  </si>
  <si>
    <t>74a80bc5-0296-4207-90a3-210632e89982</t>
  </si>
  <si>
    <t>27636778166</t>
  </si>
  <si>
    <t>13560924</t>
  </si>
  <si>
    <t>42fa0196-b220-489f-af06-c06303bc8f3e</t>
  </si>
  <si>
    <t>27712727122</t>
  </si>
  <si>
    <t>13560874</t>
  </si>
  <si>
    <t>b7ddb298-77c5-4d8e-ada6-31ac0ab729d1</t>
  </si>
  <si>
    <t>2026-03-09 10:15:03</t>
  </si>
  <si>
    <t>27773587247</t>
  </si>
  <si>
    <t>13560875</t>
  </si>
  <si>
    <t>8dc5b559-4d68-4df6-b6ec-3a8b5ac524ce</t>
  </si>
  <si>
    <t>27822861745</t>
  </si>
  <si>
    <t>13560902</t>
  </si>
  <si>
    <t>b5f28391-568f-4e64-aa59-a760d5f2759a</t>
  </si>
  <si>
    <t>27664212407</t>
  </si>
  <si>
    <t>13560905</t>
  </si>
  <si>
    <t>c2159384-da1e-4899-a6c1-2ab83a28eebc</t>
  </si>
  <si>
    <t>27725825277</t>
  </si>
  <si>
    <t>13560835</t>
  </si>
  <si>
    <t>60a2f3e8-eab6-4632-96b6-c948d17406c6</t>
  </si>
  <si>
    <t>2026-03-09 10:15:02</t>
  </si>
  <si>
    <t>27774642875</t>
  </si>
  <si>
    <t>13555976</t>
  </si>
  <si>
    <t>37994561-5e0c-44e9-a925-9949c660d892</t>
  </si>
  <si>
    <t>2026-03-09 10:14:59</t>
  </si>
  <si>
    <t>27715920331</t>
  </si>
  <si>
    <t>13555987</t>
  </si>
  <si>
    <t>7e6a8553-22e8-486c-9bfe-3892475d088c</t>
  </si>
  <si>
    <t>27716072995</t>
  </si>
  <si>
    <t>13560827</t>
  </si>
  <si>
    <t>32e29dc4-0ab1-48b9-b994-d8fde40fb2e1</t>
  </si>
  <si>
    <t>27648443931</t>
  </si>
  <si>
    <t>13555957</t>
  </si>
  <si>
    <t>bc5242c6-ac6e-4ac3-910e-fb596f978f5b</t>
  </si>
  <si>
    <t>2026-03-09 10:14:58</t>
  </si>
  <si>
    <t>27715807512</t>
  </si>
  <si>
    <t>13555962</t>
  </si>
  <si>
    <t>253acf4e-8998-47a0-9b1f-1f4b7a25a979</t>
  </si>
  <si>
    <t>27715838695</t>
  </si>
  <si>
    <t>13555969</t>
  </si>
  <si>
    <t>7936c870-9ee1-4f24-9f65-408447b11f47</t>
  </si>
  <si>
    <t>27715872980</t>
  </si>
  <si>
    <t>13555971</t>
  </si>
  <si>
    <t>f06313a7-51a4-4354-8116-bbe5446e49ec</t>
  </si>
  <si>
    <t>27715884994</t>
  </si>
  <si>
    <t>13555974</t>
  </si>
  <si>
    <t>625fdd0b-689a-4bdb-a7dc-7fc0d3e918e3</t>
  </si>
  <si>
    <t>27715908246</t>
  </si>
  <si>
    <t>13555956</t>
  </si>
  <si>
    <t>ea5c346e-1fdf-4f47-a647-59239c6aa4bc</t>
  </si>
  <si>
    <t>2026-03-09 10:14:57</t>
  </si>
  <si>
    <t>27715794870</t>
  </si>
  <si>
    <t>13561919</t>
  </si>
  <si>
    <t>e03d06a9-8e77-46a3-9604-de22accd2c2e</t>
  </si>
  <si>
    <t>27649467509</t>
  </si>
  <si>
    <t>13562515</t>
  </si>
  <si>
    <t>1940a617-99ee-4d7f-95db-a75bdbd6de59</t>
  </si>
  <si>
    <t>2026-03-09 10:14:54</t>
  </si>
  <si>
    <t>27606346150</t>
  </si>
  <si>
    <t>13563535</t>
  </si>
  <si>
    <t>d380521b-66e1-473e-ba54-f13035431339</t>
  </si>
  <si>
    <t>2026-03-09 10:14:48</t>
  </si>
  <si>
    <t>27728177052</t>
  </si>
  <si>
    <t>13563988</t>
  </si>
  <si>
    <t>4fe7e508-1503-47c3-af51-66cfb6e0a9d1</t>
  </si>
  <si>
    <t>2026-03-09 10:14:31</t>
  </si>
  <si>
    <t>27760348424</t>
  </si>
  <si>
    <t>13564006</t>
  </si>
  <si>
    <t>11d9513e-c38f-462e-b99f-fc43fb0406a0</t>
  </si>
  <si>
    <t>27637129237</t>
  </si>
  <si>
    <t>13563971</t>
  </si>
  <si>
    <t>f0af7a74-b40a-4f66-a88a-77946b792da5</t>
  </si>
  <si>
    <t>27664036472</t>
  </si>
  <si>
    <t>13563973</t>
  </si>
  <si>
    <t>9bd6df82-8839-4ee5-b794-3d379879f994</t>
  </si>
  <si>
    <t>27774824337</t>
  </si>
  <si>
    <t>13563893</t>
  </si>
  <si>
    <t>db47c245-6d5e-491d-b66c-bbee8b5b2387</t>
  </si>
  <si>
    <t>2026-03-09 10:14:25</t>
  </si>
  <si>
    <t>27724708329</t>
  </si>
  <si>
    <t>13563897</t>
  </si>
  <si>
    <t>eda044cf-86dd-48d7-9486-7b5645761909</t>
  </si>
  <si>
    <t>27662273119</t>
  </si>
  <si>
    <t>13563903</t>
  </si>
  <si>
    <t>0d711318-fc2a-4018-8244-2c6f70ae8533</t>
  </si>
  <si>
    <t>27727582213</t>
  </si>
  <si>
    <t>13563906</t>
  </si>
  <si>
    <t>98abe256-1563-4a28-a9c9-52639fa4d05f</t>
  </si>
  <si>
    <t>27713550477</t>
  </si>
  <si>
    <t>13563963</t>
  </si>
  <si>
    <t>06ef115c-32e0-45e8-887d-8a39b88d1203</t>
  </si>
  <si>
    <t>27713797139</t>
  </si>
  <si>
    <t>13563848</t>
  </si>
  <si>
    <t>1861cedd-fc7b-43a5-9f45-2ea6eefc2e89</t>
  </si>
  <si>
    <t>2026-03-09 10:14:24</t>
  </si>
  <si>
    <t>27711148194</t>
  </si>
  <si>
    <t>13563887</t>
  </si>
  <si>
    <t>08b810f9-91c0-48bb-beba-57e40bcc585b</t>
  </si>
  <si>
    <t>27763269463</t>
  </si>
  <si>
    <t>13563877</t>
  </si>
  <si>
    <t>da94dfe7-a9ca-4879-93b3-5bc1b53979b8</t>
  </si>
  <si>
    <t>27636666143</t>
  </si>
  <si>
    <t>13563879</t>
  </si>
  <si>
    <t>1c76b31e-5552-4ac8-b5e4-1e740b8d77f3</t>
  </si>
  <si>
    <t>27791340563</t>
  </si>
  <si>
    <t>13563891</t>
  </si>
  <si>
    <t>cf9bf5ce-76ef-4618-b744-134d7102ec0d</t>
  </si>
  <si>
    <t>27713409448</t>
  </si>
  <si>
    <t>13562148</t>
  </si>
  <si>
    <t>8a176dd2-f60b-4b86-a21f-832938e1c1e8</t>
  </si>
  <si>
    <t>2026-03-09 10:14:23</t>
  </si>
  <si>
    <t>27763509244</t>
  </si>
  <si>
    <t>13562149</t>
  </si>
  <si>
    <t>49fb09d9-6ac7-4b19-be22-7b3d38cfba98</t>
  </si>
  <si>
    <t>27609373018</t>
  </si>
  <si>
    <t>13562152</t>
  </si>
  <si>
    <t>46c3b21c-a5d4-4e1a-afe8-a8cc8f3dd58c</t>
  </si>
  <si>
    <t>27766830373</t>
  </si>
  <si>
    <t>13562154</t>
  </si>
  <si>
    <t>390c9c1c-f17b-4f38-ba9e-6234b5c3fb7c</t>
  </si>
  <si>
    <t>27720328751</t>
  </si>
  <si>
    <t>13562155</t>
  </si>
  <si>
    <t>d5d64da1-7422-4daf-868d-acf1040e1667</t>
  </si>
  <si>
    <t>27661166352</t>
  </si>
  <si>
    <t>13563853</t>
  </si>
  <si>
    <t>55a6f4f7-f4ce-4881-96c5-3df8519da182</t>
  </si>
  <si>
    <t>27663889448</t>
  </si>
  <si>
    <t>13563859</t>
  </si>
  <si>
    <t>0933abc1-f541-4832-99a1-90e575112e04</t>
  </si>
  <si>
    <t>27729840316</t>
  </si>
  <si>
    <t>13563860</t>
  </si>
  <si>
    <t>23a5ed55-a4e1-4c00-b22a-b1e832bdd8a5</t>
  </si>
  <si>
    <t>27738944313</t>
  </si>
  <si>
    <t>13563865</t>
  </si>
  <si>
    <t>2a8fe748-2a1c-4b22-8bb8-f2381ec46453</t>
  </si>
  <si>
    <t>27767606827</t>
  </si>
  <si>
    <t>13563873</t>
  </si>
  <si>
    <t>2c83c603-f0ff-4b8a-b094-f26028dd75b1</t>
  </si>
  <si>
    <t>27774368349</t>
  </si>
  <si>
    <t>13562135</t>
  </si>
  <si>
    <t>10be7da8-e631-4b39-8f4f-ce6be1002923</t>
  </si>
  <si>
    <t>2026-03-09 10:14:22</t>
  </si>
  <si>
    <t>27648348524</t>
  </si>
  <si>
    <t>13562138</t>
  </si>
  <si>
    <t>742141d6-e07f-44ad-a57e-f85a07f1fa49</t>
  </si>
  <si>
    <t>27661558385</t>
  </si>
  <si>
    <t>13562132</t>
  </si>
  <si>
    <t>6781f9a7-c1c0-410a-acc6-6672f30ba38d</t>
  </si>
  <si>
    <t>2026-03-09 10:14:21</t>
  </si>
  <si>
    <t>27607228739</t>
  </si>
  <si>
    <t>13562134</t>
  </si>
  <si>
    <t>5e80eefa-756e-44e5-9b03-7b4b613443e0</t>
  </si>
  <si>
    <t>27761194139</t>
  </si>
  <si>
    <t>13562091</t>
  </si>
  <si>
    <t>378e1da1-f475-439a-b848-5eedf35ef7ec</t>
  </si>
  <si>
    <t>27799125933</t>
  </si>
  <si>
    <t>13562038</t>
  </si>
  <si>
    <t>5000c805-4718-4e74-8cd3-9631b60ca8f7</t>
  </si>
  <si>
    <t>2026-03-09 10:14:17</t>
  </si>
  <si>
    <t>27662441386</t>
  </si>
  <si>
    <t>13562065</t>
  </si>
  <si>
    <t>8460e7b1-9ad8-4210-b6e1-838e4835aede</t>
  </si>
  <si>
    <t>27799553306</t>
  </si>
  <si>
    <t>13562068</t>
  </si>
  <si>
    <t>1368f540-2e43-491e-b2c8-7bfeaa095c58</t>
  </si>
  <si>
    <t>27760595325</t>
  </si>
  <si>
    <t>13562069</t>
  </si>
  <si>
    <t>79f04d78-cd05-4468-a8bc-4c02d4efea69</t>
  </si>
  <si>
    <t>27728811596</t>
  </si>
  <si>
    <t>13562072</t>
  </si>
  <si>
    <t>7afa91b1-f411-4f5d-9ab0-5c3b3680edb5</t>
  </si>
  <si>
    <t>27673997947</t>
  </si>
  <si>
    <t>13562015</t>
  </si>
  <si>
    <t>26759b46-61d6-4d1b-bb98-927b588810f9</t>
  </si>
  <si>
    <t>2026-03-09 10:14:16</t>
  </si>
  <si>
    <t>27715704860</t>
  </si>
  <si>
    <t>13561981</t>
  </si>
  <si>
    <t>49f972e1-8634-4e60-bf71-9184bcb3b0a4</t>
  </si>
  <si>
    <t>27726123337</t>
  </si>
  <si>
    <t>13561986</t>
  </si>
  <si>
    <t>ef6f76c3-32c0-45aa-bd13-436b059000e3</t>
  </si>
  <si>
    <t>27723227961</t>
  </si>
  <si>
    <t>13561992</t>
  </si>
  <si>
    <t>9b320211-2208-4d41-9e54-3174ada1b336</t>
  </si>
  <si>
    <t>27608046116</t>
  </si>
  <si>
    <t>13561973</t>
  </si>
  <si>
    <t>58ebb694-7cd5-4e9f-a5ce-abd55967dfc4</t>
  </si>
  <si>
    <t>2026-03-09 10:14:09</t>
  </si>
  <si>
    <t>27660535412</t>
  </si>
  <si>
    <t>13561975</t>
  </si>
  <si>
    <t>80966584-daaa-4aac-98ec-ee3d35a4f29d</t>
  </si>
  <si>
    <t>27675769497</t>
  </si>
  <si>
    <t>13562211</t>
  </si>
  <si>
    <t>de40b4a6-f11f-4c96-809a-46b02dccbfa0</t>
  </si>
  <si>
    <t>2026-03-09 10:14:08</t>
  </si>
  <si>
    <t>27607426630</t>
  </si>
  <si>
    <t>13562215</t>
  </si>
  <si>
    <t>c7a2bbfd-0ec4-4197-8c22-0cafe0960092</t>
  </si>
  <si>
    <t>27721570154</t>
  </si>
  <si>
    <t>13562226</t>
  </si>
  <si>
    <t>e77c719a-d70a-4019-a6b9-8f208d127497</t>
  </si>
  <si>
    <t>27712008315</t>
  </si>
  <si>
    <t>13562323</t>
  </si>
  <si>
    <t>594da541-b012-4916-9cf5-9ca5f6ac175e</t>
  </si>
  <si>
    <t>27606074474</t>
  </si>
  <si>
    <t>13562325</t>
  </si>
  <si>
    <t>7c6a2849-3eac-4e36-b791-ff6eb65c02c7</t>
  </si>
  <si>
    <t>27791930910</t>
  </si>
  <si>
    <t>13562210</t>
  </si>
  <si>
    <t>70c8da4d-dd2c-4452-8c81-ffe890dbd2d3</t>
  </si>
  <si>
    <t>2026-03-09 10:14:07</t>
  </si>
  <si>
    <t>27794328292</t>
  </si>
  <si>
    <t>13562192</t>
  </si>
  <si>
    <t>15e43b43-71c8-43f9-b29e-4b00066ac523</t>
  </si>
  <si>
    <t>2026-03-09 10:13:57</t>
  </si>
  <si>
    <t>27798199262</t>
  </si>
  <si>
    <t>13561463</t>
  </si>
  <si>
    <t>a4014168-ed43-4326-8535-7e88f660392a</t>
  </si>
  <si>
    <t>2026-03-09 10:13:56</t>
  </si>
  <si>
    <t>27712157664</t>
  </si>
  <si>
    <t>13561464</t>
  </si>
  <si>
    <t>76e7ca24-bee8-46a1-a546-881fa1d3cac1</t>
  </si>
  <si>
    <t>27712789030</t>
  </si>
  <si>
    <t>13562172</t>
  </si>
  <si>
    <t>a248d719-ccf8-40ae-bca2-a7291d198841</t>
  </si>
  <si>
    <t>27660259827</t>
  </si>
  <si>
    <t>13562189</t>
  </si>
  <si>
    <t>5ca7c4fb-e442-4a3b-bb56-ec047a80373c</t>
  </si>
  <si>
    <t>27711828304</t>
  </si>
  <si>
    <t>13561434</t>
  </si>
  <si>
    <t>6537d5c4-173e-4e93-b039-d2ff62c82ff7</t>
  </si>
  <si>
    <t>27607982077</t>
  </si>
  <si>
    <t>13561436</t>
  </si>
  <si>
    <t>35c182a4-0076-4673-aa38-831d4fb33e63</t>
  </si>
  <si>
    <t>27609329274</t>
  </si>
  <si>
    <t>13561440</t>
  </si>
  <si>
    <t>e38a79b0-dde7-4e81-852f-999219cba8a1</t>
  </si>
  <si>
    <t>27766947520</t>
  </si>
  <si>
    <t>13562207</t>
  </si>
  <si>
    <t>a4799265-df7e-4eaa-a4d9-5f3dcdc8c1fd</t>
  </si>
  <si>
    <t>27818285283</t>
  </si>
  <si>
    <t>13561454</t>
  </si>
  <si>
    <t>9a5e317f-0c84-4b9b-8587-5d2fdca9f8f1</t>
  </si>
  <si>
    <t>27790416210</t>
  </si>
  <si>
    <t>13555926</t>
  </si>
  <si>
    <t>0f3fd596-1784-4d8d-b525-bcfb93a326cf</t>
  </si>
  <si>
    <t>2026-03-09 10:13:55</t>
  </si>
  <si>
    <t>27715542385</t>
  </si>
  <si>
    <t>13555944</t>
  </si>
  <si>
    <t>0d750c14-42f1-4a3f-85b0-3bfe6d2d4c80</t>
  </si>
  <si>
    <t>27715703297</t>
  </si>
  <si>
    <t>13557464</t>
  </si>
  <si>
    <t>61bead9e-91f8-43be-b62b-bfb1e66f41cc</t>
  </si>
  <si>
    <t>27764080252</t>
  </si>
  <si>
    <t>13561419</t>
  </si>
  <si>
    <t>7e6d320c-9163-4847-8c71-ea360110827b</t>
  </si>
  <si>
    <t>27766319264</t>
  </si>
  <si>
    <t>13561427</t>
  </si>
  <si>
    <t>96b3c4fb-35d1-4a15-93d1-5cbfc0e96b7b</t>
  </si>
  <si>
    <t>27769436714</t>
  </si>
  <si>
    <t>13561430</t>
  </si>
  <si>
    <t>0daafca5-654b-43ee-ac67-ebdd99d9e361</t>
  </si>
  <si>
    <t>27648454109</t>
  </si>
  <si>
    <t>13561446</t>
  </si>
  <si>
    <t>0b9f3975-2958-4e08-adb0-11f715368704</t>
  </si>
  <si>
    <t>27762619858</t>
  </si>
  <si>
    <t>13561452</t>
  </si>
  <si>
    <t>df4d53ee-0e9f-4e57-a17e-c73aecb4aacb</t>
  </si>
  <si>
    <t>EN</t>
  </si>
  <si>
    <t>Engaged</t>
  </si>
  <si>
    <t>27661000201</t>
  </si>
  <si>
    <t>13561453</t>
  </si>
  <si>
    <t>329bd75f-8e07-4725-8c82-c6087d790197</t>
  </si>
  <si>
    <t>27765801282</t>
  </si>
  <si>
    <t>13555915</t>
  </si>
  <si>
    <t>58713ebd-fb5e-4282-abe0-bd1a737a8daf</t>
  </si>
  <si>
    <t>2026-03-09 10:13:54</t>
  </si>
  <si>
    <t>27715481433</t>
  </si>
  <si>
    <t>13555925</t>
  </si>
  <si>
    <t>ee39d15d-120c-49a9-9ec5-7cf19ce5778e</t>
  </si>
  <si>
    <t>27715534945</t>
  </si>
  <si>
    <t>13555930</t>
  </si>
  <si>
    <t>110a6fae-1697-440b-8e95-0dc5a772e838</t>
  </si>
  <si>
    <t>27715570553</t>
  </si>
  <si>
    <t>13555931</t>
  </si>
  <si>
    <t>79d9249f-6aed-47e5-ad62-7f9841bca46e</t>
  </si>
  <si>
    <t>27715575340</t>
  </si>
  <si>
    <t>13562682</t>
  </si>
  <si>
    <t>71e4c2bd-b8ed-4b12-bd44-9483c5d341f2</t>
  </si>
  <si>
    <t>2026-03-09 10:13:32</t>
  </si>
  <si>
    <t>27608961394</t>
  </si>
  <si>
    <t>13562683</t>
  </si>
  <si>
    <t>fde0ad91-21bc-496c-905e-49aae0921ca0</t>
  </si>
  <si>
    <t>27726978994</t>
  </si>
  <si>
    <t>13562675</t>
  </si>
  <si>
    <t>023d4825-04c3-489e-adbb-c24fa0e175c4</t>
  </si>
  <si>
    <t>27765147879</t>
  </si>
  <si>
    <t>13562677</t>
  </si>
  <si>
    <t>2324d340-c030-489f-af30-4ef6d91cc51e</t>
  </si>
  <si>
    <t>27774086678</t>
  </si>
  <si>
    <t>13562662</t>
  </si>
  <si>
    <t>7bdedb44-a6b5-433e-b85c-6c7cf8a1f650</t>
  </si>
  <si>
    <t>2026-03-09 10:13:31</t>
  </si>
  <si>
    <t>27767749940</t>
  </si>
  <si>
    <t>13562664</t>
  </si>
  <si>
    <t>a6f9772e-9e37-456f-a1bc-c8e2f8141db9</t>
  </si>
  <si>
    <t>27727070115</t>
  </si>
  <si>
    <t>13562667</t>
  </si>
  <si>
    <t>34748855-3742-4bcc-b08c-39b8877f7cb5</t>
  </si>
  <si>
    <t>27661993886</t>
  </si>
  <si>
    <t>13562672</t>
  </si>
  <si>
    <t>67cad160-4933-4bc9-8c75-185c80f295cd</t>
  </si>
  <si>
    <t>27636433115</t>
  </si>
  <si>
    <t>13562674</t>
  </si>
  <si>
    <t>fb2f752e-1dcd-4b7a-90c0-3a0e81d7de61</t>
  </si>
  <si>
    <t>27649940656</t>
  </si>
  <si>
    <t>13556018</t>
  </si>
  <si>
    <t>d1394489-d188-4803-a22c-cc5a00591517</t>
  </si>
  <si>
    <t>2026-03-09 10:13:30</t>
  </si>
  <si>
    <t>27716607067</t>
  </si>
  <si>
    <t>13562722</t>
  </si>
  <si>
    <t>d6a1249b-a7fc-4842-8d5d-453a0635c73f</t>
  </si>
  <si>
    <t>27712690155</t>
  </si>
  <si>
    <t>13562737</t>
  </si>
  <si>
    <t>fd140186-a286-472c-a5ff-aa1b1406b54c</t>
  </si>
  <si>
    <t>27724158706</t>
  </si>
  <si>
    <t>13562645</t>
  </si>
  <si>
    <t>ad123038-09a9-4646-8083-9c3e759d6ef0</t>
  </si>
  <si>
    <t>27772468226</t>
  </si>
  <si>
    <t>13562623</t>
  </si>
  <si>
    <t>202974e0-f194-4da5-be54-7c1a7d4eb34e</t>
  </si>
  <si>
    <t>2026-03-09 10:13:29</t>
  </si>
  <si>
    <t>27675555556</t>
  </si>
  <si>
    <t>13562634</t>
  </si>
  <si>
    <t>5a78e023-762e-4fd0-88a9-2ad47306927c</t>
  </si>
  <si>
    <t>27665863994</t>
  </si>
  <si>
    <t>13562637</t>
  </si>
  <si>
    <t>8bc5d85c-6a86-4057-9226-14429999a6ef</t>
  </si>
  <si>
    <t>27715580935</t>
  </si>
  <si>
    <t>13562640</t>
  </si>
  <si>
    <t>bbb776ff-9969-4410-9216-1e92fda8e79f</t>
  </si>
  <si>
    <t>27637071137</t>
  </si>
  <si>
    <t>13562643</t>
  </si>
  <si>
    <t>a99216b9-fbed-497d-94b7-29aad5aac8b2</t>
  </si>
  <si>
    <t>27720178793</t>
  </si>
  <si>
    <t>13562582</t>
  </si>
  <si>
    <t>a5458b0c-cb85-4eb4-a9f4-a91f6f191748</t>
  </si>
  <si>
    <t>2026-03-09 10:13:28</t>
  </si>
  <si>
    <t>27712081592</t>
  </si>
  <si>
    <t>13562583</t>
  </si>
  <si>
    <t>207230f3-dd85-47da-ad82-fb5bb2edbbe2</t>
  </si>
  <si>
    <t>27712245913</t>
  </si>
  <si>
    <t>13562593</t>
  </si>
  <si>
    <t>6c321fff-edcc-484a-99a7-60fee63ff633</t>
  </si>
  <si>
    <t>27790702438</t>
  </si>
  <si>
    <t>13562595</t>
  </si>
  <si>
    <t>2cf1b398-2f7c-441a-af24-4bf2b2f833a4</t>
  </si>
  <si>
    <t>27637968544</t>
  </si>
  <si>
    <t>13562600</t>
  </si>
  <si>
    <t>e0d7863d-e66f-4630-ac52-844e24e79b0e</t>
  </si>
  <si>
    <t>27726035446</t>
  </si>
  <si>
    <t>13562603</t>
  </si>
  <si>
    <t>4d61c901-a1d9-42e5-a4e6-f18a3511cf23</t>
  </si>
  <si>
    <t>27772492674</t>
  </si>
  <si>
    <t>13562604</t>
  </si>
  <si>
    <t>25647bd4-8d69-4553-b7d8-17bf5e8ddbe4</t>
  </si>
  <si>
    <t>27606007204</t>
  </si>
  <si>
    <t>13562608</t>
  </si>
  <si>
    <t>0d6834be-ef7c-41ef-be91-4605c664d2ce</t>
  </si>
  <si>
    <t>27762561027</t>
  </si>
  <si>
    <t>13562615</t>
  </si>
  <si>
    <t>087dfe2b-2c90-4620-92ad-92ec0cce0b0e</t>
  </si>
  <si>
    <t>27663413000</t>
  </si>
  <si>
    <t>13562579</t>
  </si>
  <si>
    <t>49b0c86a-a6d3-4714-8b3f-b2812271e883</t>
  </si>
  <si>
    <t>27648329188</t>
  </si>
  <si>
    <t>13562572</t>
  </si>
  <si>
    <t>32f0206f-3b0c-4be7-94ef-c26fd8070eb7</t>
  </si>
  <si>
    <t>2026-03-09 10:13:27</t>
  </si>
  <si>
    <t>27760692944</t>
  </si>
  <si>
    <t>13562569</t>
  </si>
  <si>
    <t>2debfb6c-2fe2-4167-a05c-a1cf117032aa</t>
  </si>
  <si>
    <t>2026-03-09 10:13:26</t>
  </si>
  <si>
    <t>27724670082</t>
  </si>
  <si>
    <t>13562538</t>
  </si>
  <si>
    <t>424131e9-b754-42de-81d7-b4dc9ddc3824</t>
  </si>
  <si>
    <t>2026-03-09 10:13:20</t>
  </si>
  <si>
    <t>27713852921</t>
  </si>
  <si>
    <t>13562551</t>
  </si>
  <si>
    <t>dd9e1807-3d45-4f3e-9a62-f6a3ba69df47</t>
  </si>
  <si>
    <t>27763521123</t>
  </si>
  <si>
    <t>13562519</t>
  </si>
  <si>
    <t>13c73cbc-156d-4806-b2f0-d7abc35d268f</t>
  </si>
  <si>
    <t>2026-03-09 10:13:19</t>
  </si>
  <si>
    <t>27714912496</t>
  </si>
  <si>
    <t>13562520</t>
  </si>
  <si>
    <t>f02141cc-7b03-48aa-a4dc-848335a8a34a</t>
  </si>
  <si>
    <t>27723454876</t>
  </si>
  <si>
    <t>13562522</t>
  </si>
  <si>
    <t>e2e77b0f-7027-416a-8b06-023269c69109</t>
  </si>
  <si>
    <t>27774900540</t>
  </si>
  <si>
    <t>13562536</t>
  </si>
  <si>
    <t>35e45b9e-beb9-46ad-a75e-030e85ceea57</t>
  </si>
  <si>
    <t>27675497292</t>
  </si>
  <si>
    <t>13562556</t>
  </si>
  <si>
    <t>a48ea7db-9432-418a-b2f5-3fb0826d92a5</t>
  </si>
  <si>
    <t>27715716384</t>
  </si>
  <si>
    <t>13562558</t>
  </si>
  <si>
    <t>b75b2da8-9a92-47b6-92b0-3d8f8df57ca2</t>
  </si>
  <si>
    <t>27766495242</t>
  </si>
  <si>
    <t>13562508</t>
  </si>
  <si>
    <t>31cf66d4-1dd3-4a7f-8760-af1678d8f4bc</t>
  </si>
  <si>
    <t>2026-03-09 10:13:18</t>
  </si>
  <si>
    <t>27663859477</t>
  </si>
  <si>
    <t>13562509</t>
  </si>
  <si>
    <t>44edc546-d82e-48ed-8703-076c23e4f4d0</t>
  </si>
  <si>
    <t>27768353081</t>
  </si>
  <si>
    <t>13562517</t>
  </si>
  <si>
    <t>a03e77da-d42e-4ac1-a5a8-07ae1d003d93</t>
  </si>
  <si>
    <t>27762995514</t>
  </si>
  <si>
    <t>13562493</t>
  </si>
  <si>
    <t>2d04c65a-0131-49a1-a3ef-bf07da516123</t>
  </si>
  <si>
    <t>2026-03-09 10:13:15</t>
  </si>
  <si>
    <t>27773937673</t>
  </si>
  <si>
    <t>13562502</t>
  </si>
  <si>
    <t>e73ffa08-e0a2-4a6f-bfd9-36f68d6b21ea</t>
  </si>
  <si>
    <t>27714859983</t>
  </si>
  <si>
    <t>13562456</t>
  </si>
  <si>
    <t>efde54f9-e380-4619-9ede-2d9abf98796f</t>
  </si>
  <si>
    <t>2026-03-09 10:13:14</t>
  </si>
  <si>
    <t>27712639182</t>
  </si>
  <si>
    <t>13562466</t>
  </si>
  <si>
    <t>c0aff59f-1c60-4e1d-8933-82742d7bbf1d</t>
  </si>
  <si>
    <t>27729958288</t>
  </si>
  <si>
    <t>13562474</t>
  </si>
  <si>
    <t>ef23f846-ec95-4a82-b7ac-533b49b343fc</t>
  </si>
  <si>
    <t>27774285710</t>
  </si>
  <si>
    <t>13562481</t>
  </si>
  <si>
    <t>ef5dfff8-6c89-4750-b5f8-00ec3977fb82</t>
  </si>
  <si>
    <t>27714634964</t>
  </si>
  <si>
    <t>13562483</t>
  </si>
  <si>
    <t>0d5661ff-8de2-4242-bd08-428019be9d5c</t>
  </si>
  <si>
    <t>27661578266</t>
  </si>
  <si>
    <t>13562415</t>
  </si>
  <si>
    <t>43432866-b9e7-4704-88e5-8e24ef6c311f</t>
  </si>
  <si>
    <t>2026-03-09 10:13:13</t>
  </si>
  <si>
    <t>27740671707</t>
  </si>
  <si>
    <t>13562420</t>
  </si>
  <si>
    <t>6a9c3268-b929-427c-aea7-80fb7f43dc69</t>
  </si>
  <si>
    <t>27767325795</t>
  </si>
  <si>
    <t>13562436</t>
  </si>
  <si>
    <t>4a5cc102-8b84-49d5-98d9-60e38eda96c7</t>
  </si>
  <si>
    <t>27768091441</t>
  </si>
  <si>
    <t>13562401</t>
  </si>
  <si>
    <t>dd5149cb-98bc-4e20-89f6-7703c618bdc8</t>
  </si>
  <si>
    <t>2026-03-09 10:13:12</t>
  </si>
  <si>
    <t>27723132660</t>
  </si>
  <si>
    <t>13562414</t>
  </si>
  <si>
    <t>6de8a801-1525-4300-b078-afb3d335a434</t>
  </si>
  <si>
    <t>27673790040</t>
  </si>
  <si>
    <t>13562382</t>
  </si>
  <si>
    <t>a90ca1c1-7a09-4c4a-9209-ea086809c86c</t>
  </si>
  <si>
    <t>27648458630</t>
  </si>
  <si>
    <t>13562374</t>
  </si>
  <si>
    <t>0a576522-eaf6-4ef9-86ae-b058bc3fe10b</t>
  </si>
  <si>
    <t>2026-03-09 10:13:09</t>
  </si>
  <si>
    <t>27790884062</t>
  </si>
  <si>
    <t>13562378</t>
  </si>
  <si>
    <t>10dac39b-7fd5-4183-8e93-3c126ddc88ad</t>
  </si>
  <si>
    <t>27763364747</t>
  </si>
  <si>
    <t>13562362</t>
  </si>
  <si>
    <t>930884bc-78a4-43b0-8f03-b9ce5fb8ff24</t>
  </si>
  <si>
    <t>2026-03-09 10:13:04</t>
  </si>
  <si>
    <t>27763125126</t>
  </si>
  <si>
    <t>13564038</t>
  </si>
  <si>
    <t>c88df947-b09c-4565-a94b-a50705ba030c</t>
  </si>
  <si>
    <t>2026-03-09 10:13:03</t>
  </si>
  <si>
    <t>27673388713</t>
  </si>
  <si>
    <t>13562360</t>
  </si>
  <si>
    <t>16fccc66-fa4a-4989-aff2-c2a0dbb9e891</t>
  </si>
  <si>
    <t>27674637402</t>
  </si>
  <si>
    <t>13564028</t>
  </si>
  <si>
    <t>a13193ec-5836-4915-baf5-403de02f4877</t>
  </si>
  <si>
    <t>2026-03-09 10:12:59</t>
  </si>
  <si>
    <t>27765016316</t>
  </si>
  <si>
    <t>13564033</t>
  </si>
  <si>
    <t>d57fca8b-5932-4b49-acd9-6bf39cb3a6e6</t>
  </si>
  <si>
    <t>27711820069</t>
  </si>
  <si>
    <t>13564036</t>
  </si>
  <si>
    <t>d4f05c0c-dcca-4dd4-a36b-e7395bf5041d</t>
  </si>
  <si>
    <t>27661988929</t>
  </si>
  <si>
    <t>13555892</t>
  </si>
  <si>
    <t>5c71e908-2566-444c-8cff-44fd933be0a4</t>
  </si>
  <si>
    <t>2026-03-09 10:12:58</t>
  </si>
  <si>
    <t>27715267736</t>
  </si>
  <si>
    <t>13555913</t>
  </si>
  <si>
    <t>7586c2b0-e2f2-4dab-918b-f32aec180b90</t>
  </si>
  <si>
    <t>27715466622</t>
  </si>
  <si>
    <t>13564007</t>
  </si>
  <si>
    <t>aa978d28-852a-4779-b58c-2b393a5336a1</t>
  </si>
  <si>
    <t>27767061420</t>
  </si>
  <si>
    <t>13555904</t>
  </si>
  <si>
    <t>35dde5fa-da69-4a29-b1a3-8bab3c421738</t>
  </si>
  <si>
    <t>2026-03-09 10:12:57</t>
  </si>
  <si>
    <t>27715379191</t>
  </si>
  <si>
    <t>13555910</t>
  </si>
  <si>
    <t>a5fe301e-e6a1-48c8-a14b-9799ff92c6c9</t>
  </si>
  <si>
    <t>27715434831</t>
  </si>
  <si>
    <t>13555912</t>
  </si>
  <si>
    <t>a6f96625-10c0-4ead-97e3-dd257eb5f215</t>
  </si>
  <si>
    <t>27715448538</t>
  </si>
  <si>
    <t>13555903</t>
  </si>
  <si>
    <t>930c2a4f-ec8d-48dd-932c-a4b08c517a19</t>
  </si>
  <si>
    <t>2026-03-09 10:12:56</t>
  </si>
  <si>
    <t>27715371887</t>
  </si>
  <si>
    <t>13562885</t>
  </si>
  <si>
    <t>d04b2680-0890-4fcb-8b8b-7a6ca60955e2</t>
  </si>
  <si>
    <t>27766226128</t>
  </si>
  <si>
    <t>13561161</t>
  </si>
  <si>
    <t>4620a70d-77b2-4b26-aee4-c8759738b84e</t>
  </si>
  <si>
    <t>2026-03-09 10:12:29</t>
  </si>
  <si>
    <t>27721220151</t>
  </si>
  <si>
    <t>13564308</t>
  </si>
  <si>
    <t>02b8352f-18d2-4fac-9c52-9033cc3afe4c</t>
  </si>
  <si>
    <t>2026-03-09 10:12:28</t>
  </si>
  <si>
    <t>27768477771</t>
  </si>
  <si>
    <t>13556271</t>
  </si>
  <si>
    <t>6a9befd3-8530-4bdb-8692-321c8fe181a2</t>
  </si>
  <si>
    <t>2026-03-09 10:12:26</t>
  </si>
  <si>
    <t>27722160500</t>
  </si>
  <si>
    <t>13562974</t>
  </si>
  <si>
    <t>7550fe2c-6cb7-4a85-9ef6-3dce5e24c77f</t>
  </si>
  <si>
    <t>27637964310</t>
  </si>
  <si>
    <t>13562907</t>
  </si>
  <si>
    <t>92806958-c1e0-4f14-964d-64cd67866bec</t>
  </si>
  <si>
    <t>27773886576</t>
  </si>
  <si>
    <t>13562927</t>
  </si>
  <si>
    <t>0f6630b3-62d7-486f-9b93-64ba653e7872</t>
  </si>
  <si>
    <t>27664194314</t>
  </si>
  <si>
    <t>13562918</t>
  </si>
  <si>
    <t>165a7b27-3fa5-4ec7-992c-620a1a7042a1</t>
  </si>
  <si>
    <t>2026-03-09 10:12:25</t>
  </si>
  <si>
    <t>27665529184</t>
  </si>
  <si>
    <t>13562880</t>
  </si>
  <si>
    <t>714043ff-a8bf-4d5e-b376-8b6729aef0a0</t>
  </si>
  <si>
    <t>2026-03-09 10:12:24</t>
  </si>
  <si>
    <t>27674437904</t>
  </si>
  <si>
    <t>13562884</t>
  </si>
  <si>
    <t>f1cfd531-fb67-42d7-98db-562040cafbc0</t>
  </si>
  <si>
    <t>27648115166</t>
  </si>
  <si>
    <t>13562891</t>
  </si>
  <si>
    <t>f90090df-7826-49b5-a1f8-f1cbee19d7a7</t>
  </si>
  <si>
    <t>27711299830</t>
  </si>
  <si>
    <t>13562892</t>
  </si>
  <si>
    <t>39299198-83ed-4886-9b38-8bdb5a16f9e0</t>
  </si>
  <si>
    <t>27767599362</t>
  </si>
  <si>
    <t>13562896</t>
  </si>
  <si>
    <t>702b6df1-277b-4ea4-bd84-be592b225a12</t>
  </si>
  <si>
    <t>27725830637</t>
  </si>
  <si>
    <t>13562900</t>
  </si>
  <si>
    <t>5f7bb027-b515-4eef-89fd-a31f09a6cccb</t>
  </si>
  <si>
    <t>27726434192</t>
  </si>
  <si>
    <t>13562870</t>
  </si>
  <si>
    <t>4bf8fc1d-b76f-4d64-a602-302f2a588eca</t>
  </si>
  <si>
    <t>27712438887</t>
  </si>
  <si>
    <t>13562828</t>
  </si>
  <si>
    <t>bd9c6253-fbac-4bbe-a3b1-b673f49b9ee1</t>
  </si>
  <si>
    <t>2026-03-09 10:12:23</t>
  </si>
  <si>
    <t>27648351219</t>
  </si>
  <si>
    <t>13562831</t>
  </si>
  <si>
    <t>975f2cc7-bd5a-4c62-bba0-8a3fc87089a7</t>
  </si>
  <si>
    <t>27768220493</t>
  </si>
  <si>
    <t>13562836</t>
  </si>
  <si>
    <t>a67e8186-7fce-4298-bfaf-1abfb01d2f22</t>
  </si>
  <si>
    <t>27728656104</t>
  </si>
  <si>
    <t>13562846</t>
  </si>
  <si>
    <t>b669e7e9-2dee-4e0e-928e-291505571e8c</t>
  </si>
  <si>
    <t>27649943004</t>
  </si>
  <si>
    <t>13562819</t>
  </si>
  <si>
    <t>cc61f633-1064-455b-a4f2-bc80e98724af</t>
  </si>
  <si>
    <t>2026-03-09 10:12:22</t>
  </si>
  <si>
    <t>27767975228</t>
  </si>
  <si>
    <t>13562822</t>
  </si>
  <si>
    <t>ac755c53-2a37-4643-8c88-f3dbc4be1d4c</t>
  </si>
  <si>
    <t>27761169216</t>
  </si>
  <si>
    <t>13562814</t>
  </si>
  <si>
    <t>8349bb0c-979f-4345-9433-52195e61f718</t>
  </si>
  <si>
    <t>2026-03-09 10:12:09</t>
  </si>
  <si>
    <t>27764746782</t>
  </si>
  <si>
    <t>13563137</t>
  </si>
  <si>
    <t>712bf947-d6c0-474d-b04c-21a93a7165bd</t>
  </si>
  <si>
    <t>27713039084</t>
  </si>
  <si>
    <t>13562792</t>
  </si>
  <si>
    <t>e9430c28-52c5-4b38-9ff9-c8cac611f082</t>
  </si>
  <si>
    <t>2026-03-09 10:12:08</t>
  </si>
  <si>
    <t>27726764794</t>
  </si>
  <si>
    <t>13562810</t>
  </si>
  <si>
    <t>34dad9c9-e0d0-41da-a977-8903b96c0f53</t>
  </si>
  <si>
    <t>27728029362</t>
  </si>
  <si>
    <t>13562735</t>
  </si>
  <si>
    <t>bfa00b46-c748-4afe-be83-815fd5de4f64</t>
  </si>
  <si>
    <t>2026-03-09 10:12:07</t>
  </si>
  <si>
    <t>27721936876</t>
  </si>
  <si>
    <t>13562741</t>
  </si>
  <si>
    <t>784b2c49-ebe7-4355-b362-86943a9b0c44</t>
  </si>
  <si>
    <t>27665790815</t>
  </si>
  <si>
    <t>13562660</t>
  </si>
  <si>
    <t>6df1989c-89d6-4070-b78b-a0d49e2c4a70</t>
  </si>
  <si>
    <t>27790936088</t>
  </si>
  <si>
    <t>13562783</t>
  </si>
  <si>
    <t>891ee680-6942-4d29-a83f-f01a444eae16</t>
  </si>
  <si>
    <t>27661207471</t>
  </si>
  <si>
    <t>13562789</t>
  </si>
  <si>
    <t>c803d3fb-807d-4e5c-b665-9f048fa36440</t>
  </si>
  <si>
    <t>27716429058</t>
  </si>
  <si>
    <t>13562803</t>
  </si>
  <si>
    <t>7c128ede-aee0-46b9-9354-ef30ec73cbb1</t>
  </si>
  <si>
    <t>27630423333</t>
  </si>
  <si>
    <t>13562804</t>
  </si>
  <si>
    <t>bc65fdf5-423b-46b7-aea4-fe6981f53f09</t>
  </si>
  <si>
    <t>27663645529</t>
  </si>
  <si>
    <t>13558022</t>
  </si>
  <si>
    <t>39b0f117-d05c-424f-9191-509d4e7f2256</t>
  </si>
  <si>
    <t>2026-03-09 10:12:06</t>
  </si>
  <si>
    <t>27769788658</t>
  </si>
  <si>
    <t>13562621</t>
  </si>
  <si>
    <t>d4980e92-a7fb-4f1d-a9d5-24cc829dd4c6</t>
  </si>
  <si>
    <t>27648875084</t>
  </si>
  <si>
    <t>13562631</t>
  </si>
  <si>
    <t>6e868655-6266-47db-ba7a-95b089022c50</t>
  </si>
  <si>
    <t>27729175938</t>
  </si>
  <si>
    <t>13562654</t>
  </si>
  <si>
    <t>61c3d426-8264-42ac-a51d-7d75106b8a58</t>
  </si>
  <si>
    <t>27725814531</t>
  </si>
  <si>
    <t>13555884</t>
  </si>
  <si>
    <t>2aac2b1d-09ae-4e80-b1d1-639a7f8e5d4c</t>
  </si>
  <si>
    <t>2026-03-09 10:12:02</t>
  </si>
  <si>
    <t>27715213197</t>
  </si>
  <si>
    <t>13555887</t>
  </si>
  <si>
    <t>88c2572d-9528-448c-92f9-c58375cc256b</t>
  </si>
  <si>
    <t>27715226610</t>
  </si>
  <si>
    <t>13555891</t>
  </si>
  <si>
    <t>18ae423b-67d7-4031-8d40-577ebca149d2</t>
  </si>
  <si>
    <t>27715259058</t>
  </si>
  <si>
    <t>13557502</t>
  </si>
  <si>
    <t>f311b121-a073-4845-8c88-2b3cd03c6620</t>
  </si>
  <si>
    <t>27764569752</t>
  </si>
  <si>
    <t>13555287</t>
  </si>
  <si>
    <t>cbbac8c2-924f-4d13-b0ac-8821fb5426e6</t>
  </si>
  <si>
    <t>2026-03-09 10:12:01</t>
  </si>
  <si>
    <t>27661244089</t>
  </si>
  <si>
    <t>13555869</t>
  </si>
  <si>
    <t>95a656f6-2523-4e60-87b5-feabb3afec3b</t>
  </si>
  <si>
    <t>27715064818</t>
  </si>
  <si>
    <t>13555874</t>
  </si>
  <si>
    <t>3d050a7e-369b-4fc3-ae31-7ed46661b7ae</t>
  </si>
  <si>
    <t>27715122561</t>
  </si>
  <si>
    <t>13560534</t>
  </si>
  <si>
    <t>e0ea3bac-271a-4eb1-80aa-b2c309a53a4e</t>
  </si>
  <si>
    <t>2026-03-09 10:11:15</t>
  </si>
  <si>
    <t>27769551729</t>
  </si>
  <si>
    <t>13561746</t>
  </si>
  <si>
    <t>ac0bde09-f539-4428-a24d-6fbbb8464fde</t>
  </si>
  <si>
    <t>27665232568</t>
  </si>
  <si>
    <t>13556870</t>
  </si>
  <si>
    <t>5afffc70-8dd8-46ae-be00-6d0eaf9d0d84</t>
  </si>
  <si>
    <t>2026-03-09 10:11:14</t>
  </si>
  <si>
    <t>27728212178</t>
  </si>
  <si>
    <t>13562245</t>
  </si>
  <si>
    <t>1c636d94-e162-4097-b2eb-c915642bbd67</t>
  </si>
  <si>
    <t>27767240387</t>
  </si>
  <si>
    <t>13563164</t>
  </si>
  <si>
    <t>2a255c47-64a2-420f-acaf-5599a1f983a3</t>
  </si>
  <si>
    <t>2026-03-09 10:11:13</t>
  </si>
  <si>
    <t>27760688895</t>
  </si>
  <si>
    <t>13564048</t>
  </si>
  <si>
    <t>9de99703-e7a9-47ca-91ae-7109410385f4</t>
  </si>
  <si>
    <t>27728179470</t>
  </si>
  <si>
    <t>13563001</t>
  </si>
  <si>
    <t>c8a01f90-db6a-4563-9bb0-8a473f40e838</t>
  </si>
  <si>
    <t>2026-03-09 10:11:12</t>
  </si>
  <si>
    <t>27711645444</t>
  </si>
  <si>
    <t>13563012</t>
  </si>
  <si>
    <t>5aea2139-7201-483d-8c6a-82efbc45f7ec</t>
  </si>
  <si>
    <t>27764344838</t>
  </si>
  <si>
    <t>13562972</t>
  </si>
  <si>
    <t>26715f06-161a-433f-a48b-c258ad68981c</t>
  </si>
  <si>
    <t>2026-03-09 10:11:11</t>
  </si>
  <si>
    <t>27729339413</t>
  </si>
  <si>
    <t>13562977</t>
  </si>
  <si>
    <t>c364cb6e-730d-40f1-be58-3edbb616ebc2</t>
  </si>
  <si>
    <t>27764759124</t>
  </si>
  <si>
    <t>13562970</t>
  </si>
  <si>
    <t>46dfa9a2-d1ba-4954-85e0-dc83ac914400</t>
  </si>
  <si>
    <t>27769450554</t>
  </si>
  <si>
    <t>13562951</t>
  </si>
  <si>
    <t>b30cc009-c90b-4040-b5f2-e03d42b73e8e</t>
  </si>
  <si>
    <t>2026-03-09 10:11:08</t>
  </si>
  <si>
    <t>27664562974</t>
  </si>
  <si>
    <t>13562931</t>
  </si>
  <si>
    <t>7994ac9c-98c9-4801-86ea-c3555afd3909</t>
  </si>
  <si>
    <t>2026-03-09 10:11:07</t>
  </si>
  <si>
    <t>27648017182</t>
  </si>
  <si>
    <t>13562950</t>
  </si>
  <si>
    <t>3b449518-3ab6-4973-97b7-45eaa82126e5</t>
  </si>
  <si>
    <t>27727298269</t>
  </si>
  <si>
    <t>13562921</t>
  </si>
  <si>
    <t>e207bdd8-c386-477f-aa1d-037c825c9aa8</t>
  </si>
  <si>
    <t>2026-03-09 10:11:06</t>
  </si>
  <si>
    <t>27791827139</t>
  </si>
  <si>
    <t>13562923</t>
  </si>
  <si>
    <t>73fd3f14-f8df-4895-b28b-713a8f4a0330</t>
  </si>
  <si>
    <t>27724167621</t>
  </si>
  <si>
    <t>13562926</t>
  </si>
  <si>
    <t>1ba0e7f1-efe1-4753-a442-a2c5834974d8</t>
  </si>
  <si>
    <t>27649218001</t>
  </si>
  <si>
    <t>13562930</t>
  </si>
  <si>
    <t>6c6ded6c-0d40-4c45-937c-13f3741bf346</t>
  </si>
  <si>
    <t>27673716212</t>
  </si>
  <si>
    <t>13562876</t>
  </si>
  <si>
    <t>f80a23dc-6693-4b84-896d-b900e1dd7b10</t>
  </si>
  <si>
    <t>2026-03-09 10:11:05</t>
  </si>
  <si>
    <t>27722572101</t>
  </si>
  <si>
    <t>13562806</t>
  </si>
  <si>
    <t>ec8a1207-99a2-4896-bb68-8a43d263b051</t>
  </si>
  <si>
    <t>27648723429</t>
  </si>
  <si>
    <t>13562920</t>
  </si>
  <si>
    <t>9b4de0cf-2f6f-4ab9-8ac4-aba983afe5a3</t>
  </si>
  <si>
    <t>27673855784</t>
  </si>
  <si>
    <t>13558042</t>
  </si>
  <si>
    <t>db633c83-4a80-4896-9f06-efb3e95f5bf7</t>
  </si>
  <si>
    <t>2026-03-09 10:11:04</t>
  </si>
  <si>
    <t>27772987156</t>
  </si>
  <si>
    <t>13558048</t>
  </si>
  <si>
    <t>86c84785-e655-4320-983f-88e21e024f42</t>
  </si>
  <si>
    <t>27773923439</t>
  </si>
  <si>
    <t>13560225</t>
  </si>
  <si>
    <t>93f0c493-7456-4eff-8f80-0c3f831daaf7</t>
  </si>
  <si>
    <t>27728379370</t>
  </si>
  <si>
    <t>13562779</t>
  </si>
  <si>
    <t>4e13a0f1-bd1c-4bba-b8e6-71bb1827ba31</t>
  </si>
  <si>
    <t>27761099123</t>
  </si>
  <si>
    <t>13557126</t>
  </si>
  <si>
    <t>26dfd2e6-2280-4db4-921b-34886574665d</t>
  </si>
  <si>
    <t>2026-03-09 10:11:03</t>
  </si>
  <si>
    <t>27760489626</t>
  </si>
  <si>
    <t>13557507</t>
  </si>
  <si>
    <t>72581eed-75b2-424e-87a1-843fff897ae0</t>
  </si>
  <si>
    <t>27764613312</t>
  </si>
  <si>
    <t>13558040</t>
  </si>
  <si>
    <t>803e37f0-c4ba-44d4-a569-3746f8f097fd</t>
  </si>
  <si>
    <t>27772939337</t>
  </si>
  <si>
    <t>13563256</t>
  </si>
  <si>
    <t>c7ed3436-c5c5-4a66-b0e2-862d28db34b4</t>
  </si>
  <si>
    <t>27761872272</t>
  </si>
  <si>
    <t>13563258</t>
  </si>
  <si>
    <t>26eaba1f-f501-4b0a-8411-9c361df4073f</t>
  </si>
  <si>
    <t>27637000750</t>
  </si>
  <si>
    <t>13563246</t>
  </si>
  <si>
    <t>62e85ca4-2241-41db-ad93-e855627fdce5</t>
  </si>
  <si>
    <t>WN</t>
  </si>
  <si>
    <t>Wrong Number</t>
  </si>
  <si>
    <t>2026-03-09 10:11:01</t>
  </si>
  <si>
    <t>27646425022</t>
  </si>
  <si>
    <t>13563249</t>
  </si>
  <si>
    <t>88a5f173-a751-4de7-96e4-2d652e7d01ed</t>
  </si>
  <si>
    <t>27762028327</t>
  </si>
  <si>
    <t>13563250</t>
  </si>
  <si>
    <t>eb69123b-7822-4366-82fb-056c4c975ca9</t>
  </si>
  <si>
    <t>27773891510</t>
  </si>
  <si>
    <t>13563243</t>
  </si>
  <si>
    <t>8c651e2d-2306-4b38-95c6-1d48588fea9f</t>
  </si>
  <si>
    <t>2026-03-09 10:11:00</t>
  </si>
  <si>
    <t>27607158641</t>
  </si>
  <si>
    <t>13555867</t>
  </si>
  <si>
    <t>4341f0d5-e82d-4072-8268-41873afa5669</t>
  </si>
  <si>
    <t>2026-03-09 10:10:59</t>
  </si>
  <si>
    <t>27715003058</t>
  </si>
  <si>
    <t>13563096</t>
  </si>
  <si>
    <t>995c2a40-694b-4f45-b79b-6476f13895be</t>
  </si>
  <si>
    <t>27647642235</t>
  </si>
  <si>
    <t>13563131</t>
  </si>
  <si>
    <t>f600a77f-d849-4d3d-9494-f423e9425133</t>
  </si>
  <si>
    <t>27608375053</t>
  </si>
  <si>
    <t>13563222</t>
  </si>
  <si>
    <t>1c5563aa-b8a0-4f44-807b-51d112f55665</t>
  </si>
  <si>
    <t>27728120240</t>
  </si>
  <si>
    <t>13563239</t>
  </si>
  <si>
    <t>8879b565-100c-4017-8f26-3a9de1221ced</t>
  </si>
  <si>
    <t>27767833238</t>
  </si>
  <si>
    <t>13556372</t>
  </si>
  <si>
    <t>b153ec88-e224-46f9-84b9-c669bd11a51c</t>
  </si>
  <si>
    <t>2026-03-09 10:10:58</t>
  </si>
  <si>
    <t>27723235899</t>
  </si>
  <si>
    <t>13556378</t>
  </si>
  <si>
    <t>e12223ad-e518-4b6e-88be-3192f69f95bc</t>
  </si>
  <si>
    <t>27723291441</t>
  </si>
  <si>
    <t>13556381</t>
  </si>
  <si>
    <t>f08b22ce-268a-4253-9111-32de35d85099</t>
  </si>
  <si>
    <t>27723324793</t>
  </si>
  <si>
    <t>13556382</t>
  </si>
  <si>
    <t>53e87616-8a37-4823-b05e-950ca129cfde</t>
  </si>
  <si>
    <t>27723343782</t>
  </si>
  <si>
    <t>13556388</t>
  </si>
  <si>
    <t>02fcf25e-d869-45b9-9e26-8071a1bac2db</t>
  </si>
  <si>
    <t>27723417765</t>
  </si>
  <si>
    <t>13555260</t>
  </si>
  <si>
    <t>8bef17e7-48c2-4ec2-9c23-2bb20af99757</t>
  </si>
  <si>
    <t>27660816632</t>
  </si>
  <si>
    <t>13555862</t>
  </si>
  <si>
    <t>accf0ada-460b-4b07-8733-3015d011feeb</t>
  </si>
  <si>
    <t>27714983852</t>
  </si>
  <si>
    <t>13556364</t>
  </si>
  <si>
    <t>956a0dfb-a88c-4a4a-9e81-30aa6a957749</t>
  </si>
  <si>
    <t>2026-03-09 10:10:57</t>
  </si>
  <si>
    <t>27723137366</t>
  </si>
  <si>
    <t>13556366</t>
  </si>
  <si>
    <t>19e256e5-e3fe-459a-bb0c-9308aa6d342d</t>
  </si>
  <si>
    <t>27723147471</t>
  </si>
  <si>
    <t>13556371</t>
  </si>
  <si>
    <t>91ef560d-0578-4849-9a2f-c10007a700f4</t>
  </si>
  <si>
    <t>27723230004</t>
  </si>
  <si>
    <t>13563026</t>
  </si>
  <si>
    <t>61708921-7198-4ebb-a56e-96db961ff127</t>
  </si>
  <si>
    <t>27726011409</t>
  </si>
  <si>
    <t>13560301</t>
  </si>
  <si>
    <t>9fea76ec-582b-4885-ad0b-4d9c42d0d61e</t>
  </si>
  <si>
    <t>2026-03-09 10:10:31</t>
  </si>
  <si>
    <t>27797998842</t>
  </si>
  <si>
    <t>13560950</t>
  </si>
  <si>
    <t>2a99ec5d-53bd-489b-8aa3-ce8196f809e2</t>
  </si>
  <si>
    <t>27798780197</t>
  </si>
  <si>
    <t>13562446</t>
  </si>
  <si>
    <t>5985cce6-bba3-4415-8bda-0dfe0b01653f</t>
  </si>
  <si>
    <t>27762970933</t>
  </si>
  <si>
    <t>13563013</t>
  </si>
  <si>
    <t>baea8b77-e2e3-4325-bef8-0c2978231409</t>
  </si>
  <si>
    <t>27636756052</t>
  </si>
  <si>
    <t>13562866</t>
  </si>
  <si>
    <t>c2b767e1-3003-4b48-af4f-41e854fad0b3</t>
  </si>
  <si>
    <t>27636343272</t>
  </si>
  <si>
    <t>13558049</t>
  </si>
  <si>
    <t>fc627b43-5979-4756-bc31-56aa0098fc25</t>
  </si>
  <si>
    <t>2026-03-09 10:10:30</t>
  </si>
  <si>
    <t>27774002814</t>
  </si>
  <si>
    <t>13558043</t>
  </si>
  <si>
    <t>37ac253d-110c-40e4-998b-8896d373721d</t>
  </si>
  <si>
    <t>27773635086</t>
  </si>
  <si>
    <t>13558046</t>
  </si>
  <si>
    <t>1db0f109-938e-4457-8430-001884373d3e</t>
  </si>
  <si>
    <t>27773703223</t>
  </si>
  <si>
    <t>13560229</t>
  </si>
  <si>
    <t>f23cc416-2925-495b-9a56-ab696c7ff287</t>
  </si>
  <si>
    <t>27792233762</t>
  </si>
  <si>
    <t>13562437</t>
  </si>
  <si>
    <t>67d0e1e1-c36d-4050-b1dd-3eae94151c1a</t>
  </si>
  <si>
    <t>27790145321</t>
  </si>
  <si>
    <t>13562442</t>
  </si>
  <si>
    <t>1e5b2452-c478-4b2c-9ab6-cc5adb66030b</t>
  </si>
  <si>
    <t>27729718185</t>
  </si>
  <si>
    <t>13558016</t>
  </si>
  <si>
    <t>2d958a98-3efe-4554-b5fe-42d5e58e2827</t>
  </si>
  <si>
    <t>2026-03-09 10:10:28</t>
  </si>
  <si>
    <t>27769695392</t>
  </si>
  <si>
    <t>13558018</t>
  </si>
  <si>
    <t>64cce4d6-8e6b-4813-95c4-9e56765421a1</t>
  </si>
  <si>
    <t>27769722425</t>
  </si>
  <si>
    <t>13558020</t>
  </si>
  <si>
    <t>1ed8433a-fd8b-423d-b5c7-0ccd3fbbeef8</t>
  </si>
  <si>
    <t>27769760733</t>
  </si>
  <si>
    <t>13558028</t>
  </si>
  <si>
    <t>4c85f993-0b16-4c67-8117-2650ad1d1a35</t>
  </si>
  <si>
    <t>27769917698</t>
  </si>
  <si>
    <t>13558033</t>
  </si>
  <si>
    <t>c0c915ca-0e47-4aa6-96c5-6875beb96fb2</t>
  </si>
  <si>
    <t>27769939175</t>
  </si>
  <si>
    <t>13557994</t>
  </si>
  <si>
    <t>899c4b38-42ce-4601-b950-f78baad3dab8</t>
  </si>
  <si>
    <t>2026-03-09 10:10:25</t>
  </si>
  <si>
    <t>27769498526</t>
  </si>
  <si>
    <t>13557996</t>
  </si>
  <si>
    <t>c81b1d3d-4e40-4d41-ab19-d84f7482013f</t>
  </si>
  <si>
    <t>27769511377</t>
  </si>
  <si>
    <t>13558007</t>
  </si>
  <si>
    <t>96780d75-17eb-42fd-9439-e4447b0b546b</t>
  </si>
  <si>
    <t>27769558988</t>
  </si>
  <si>
    <t>13558009</t>
  </si>
  <si>
    <t>5b7aff88-8925-45e6-b91a-42d09b7a9d49</t>
  </si>
  <si>
    <t>27769576001</t>
  </si>
  <si>
    <t>13557973</t>
  </si>
  <si>
    <t>1461591a-9eea-45be-afc3-1ac29b86d0f3</t>
  </si>
  <si>
    <t>2026-03-09 10:10:24</t>
  </si>
  <si>
    <t>27769216600</t>
  </si>
  <si>
    <t>13557981</t>
  </si>
  <si>
    <t>b97c8d1d-674e-4b59-a41a-0d2dc512b594</t>
  </si>
  <si>
    <t>27769302017</t>
  </si>
  <si>
    <t>13557984</t>
  </si>
  <si>
    <t>fd089f3a-2b29-4eed-9d3b-b50adff3e821</t>
  </si>
  <si>
    <t>27769349064</t>
  </si>
  <si>
    <t>13557990</t>
  </si>
  <si>
    <t>b2c4df14-b227-4050-b3e2-e89bbca1f36e</t>
  </si>
  <si>
    <t>27769466272</t>
  </si>
  <si>
    <t>13557968</t>
  </si>
  <si>
    <t>e4c3b9c5-16fc-4c77-873f-ecf9da76c96d</t>
  </si>
  <si>
    <t>2026-03-09 10:10:22</t>
  </si>
  <si>
    <t>27769158084</t>
  </si>
  <si>
    <t>13557965</t>
  </si>
  <si>
    <t>fa59d112-4006-4e66-a527-e2d54c50ec3a</t>
  </si>
  <si>
    <t>2026-03-09 10:10:21</t>
  </si>
  <si>
    <t>27769121630</t>
  </si>
  <si>
    <t>13557967</t>
  </si>
  <si>
    <t>a210405d-095b-4836-8743-6af1071d682a</t>
  </si>
  <si>
    <t>27769132902</t>
  </si>
  <si>
    <t>13557149</t>
  </si>
  <si>
    <t>b6ebf1d9-f1a9-4e10-b605-d42913a9a235</t>
  </si>
  <si>
    <t>2026-03-09 10:10:19</t>
  </si>
  <si>
    <t>27760656917</t>
  </si>
  <si>
    <t>13557136</t>
  </si>
  <si>
    <t>b1e2e40f-656d-4a8c-ba82-efaab78c71a1</t>
  </si>
  <si>
    <t>2026-03-09 10:10:18</t>
  </si>
  <si>
    <t>27760555421</t>
  </si>
  <si>
    <t>13557145</t>
  </si>
  <si>
    <t>28daa9f1-42dd-45eb-99bd-9712313b34b2</t>
  </si>
  <si>
    <t>27760601674</t>
  </si>
  <si>
    <t>13557146</t>
  </si>
  <si>
    <t>013d81ac-ae8b-496b-a8b9-0027fe8e4d6a</t>
  </si>
  <si>
    <t>27760621532</t>
  </si>
  <si>
    <t>13563368</t>
  </si>
  <si>
    <t>96ad81ba-ba20-4a4c-a3a9-8d49c602a7a6</t>
  </si>
  <si>
    <t>27714835722</t>
  </si>
  <si>
    <t>13563381</t>
  </si>
  <si>
    <t>3791fd3e-1f60-452c-b232-5f6a52ca4104</t>
  </si>
  <si>
    <t>27729145859</t>
  </si>
  <si>
    <t>13563362</t>
  </si>
  <si>
    <t>1d05b6d7-6ecc-4507-8275-35e6af8a65d4</t>
  </si>
  <si>
    <t>2026-03-09 10:10:13</t>
  </si>
  <si>
    <t>27724074633</t>
  </si>
  <si>
    <t>13563359</t>
  </si>
  <si>
    <t>2dc13992-82b2-4d63-818a-13869b5c6fb1</t>
  </si>
  <si>
    <t>27675471701</t>
  </si>
  <si>
    <t>13556013</t>
  </si>
  <si>
    <t>5893b9ae-8465-404d-86e4-9f59aada4ef4</t>
  </si>
  <si>
    <t>2026-03-09 10:10:12</t>
  </si>
  <si>
    <t>27716483894</t>
  </si>
  <si>
    <t>13563282</t>
  </si>
  <si>
    <t>e19907d2-ba3b-402d-a6ea-c7dbf526a3b9</t>
  </si>
  <si>
    <t>27649414453</t>
  </si>
  <si>
    <t>13563283</t>
  </si>
  <si>
    <t>291ea368-7482-4665-815b-2e0b9a612aa3</t>
  </si>
  <si>
    <t>27661182871</t>
  </si>
  <si>
    <t>13563317</t>
  </si>
  <si>
    <t>b15add0e-8254-49fe-95e2-078755453bd7</t>
  </si>
  <si>
    <t>27637982960</t>
  </si>
  <si>
    <t>13556010</t>
  </si>
  <si>
    <t>7ef9ef93-4a93-4e98-85a7-e67313f0086f</t>
  </si>
  <si>
    <t>2026-03-09 10:10:11</t>
  </si>
  <si>
    <t>27716469820</t>
  </si>
  <si>
    <t>13556004</t>
  </si>
  <si>
    <t>e314b3b4-4e38-4253-8994-d3b4145977c8</t>
  </si>
  <si>
    <t>2026-03-09 10:10:07</t>
  </si>
  <si>
    <t>27716389214</t>
  </si>
  <si>
    <t>13556003</t>
  </si>
  <si>
    <t>6d74601e-93b4-43f7-92ba-3d0b4ff3eaf0</t>
  </si>
  <si>
    <t>2026-03-09 10:10:05</t>
  </si>
  <si>
    <t>27716377235</t>
  </si>
  <si>
    <t>13556001</t>
  </si>
  <si>
    <t>9561bd5f-f384-41a6-ac8d-2cc6f1932d35</t>
  </si>
  <si>
    <t>2026-03-09 10:10:04</t>
  </si>
  <si>
    <t>27716290667</t>
  </si>
  <si>
    <t>13555014</t>
  </si>
  <si>
    <t>fb14029b-bf91-483b-9d38-21b0abffba48</t>
  </si>
  <si>
    <t>2026-03-09 10:10:03</t>
  </si>
  <si>
    <t>27637811202</t>
  </si>
  <si>
    <t>13563225</t>
  </si>
  <si>
    <t>9fd82af5-ad5a-4220-acb7-1d355a8ddc43</t>
  </si>
  <si>
    <t>27765235107</t>
  </si>
  <si>
    <t>13563175</t>
  </si>
  <si>
    <t>a29be16c-cc25-4561-b3f3-741639ccefe8</t>
  </si>
  <si>
    <t>2026-03-09 10:09:39</t>
  </si>
  <si>
    <t>27764360986</t>
  </si>
  <si>
    <t>13563182</t>
  </si>
  <si>
    <t>dd02944d-54c5-4a21-a40c-c2e3056e096b</t>
  </si>
  <si>
    <t>27718484160</t>
  </si>
  <si>
    <t>13563186</t>
  </si>
  <si>
    <t>07a33456-54ac-4b12-a560-0f24e86d8ad7</t>
  </si>
  <si>
    <t>27762326416</t>
  </si>
  <si>
    <t>13563196</t>
  </si>
  <si>
    <t>a6a06847-c163-46e0-8348-473b98e95512</t>
  </si>
  <si>
    <t>27763380083</t>
  </si>
  <si>
    <t>13563198</t>
  </si>
  <si>
    <t>08e1114c-e9b1-473e-934c-798c57f81ae1</t>
  </si>
  <si>
    <t>27729936126</t>
  </si>
  <si>
    <t>13563206</t>
  </si>
  <si>
    <t>ddcc219d-806d-4e72-8a4c-8fb7eca0e87d</t>
  </si>
  <si>
    <t>27724739432</t>
  </si>
  <si>
    <t>13563211</t>
  </si>
  <si>
    <t>8c00b3b1-ee1f-4a82-87b0-4ddb91aae1a3</t>
  </si>
  <si>
    <t>27768249694</t>
  </si>
  <si>
    <t>13563218</t>
  </si>
  <si>
    <t>86dd4a2f-acde-4dbd-88ec-a16100342ddd</t>
  </si>
  <si>
    <t>27720415862</t>
  </si>
  <si>
    <t>13563161</t>
  </si>
  <si>
    <t>bdef899a-80ff-4eac-8c45-4262d793f523</t>
  </si>
  <si>
    <t>27726363428</t>
  </si>
  <si>
    <t>13563165</t>
  </si>
  <si>
    <t>ddfcfa25-4cfc-4304-bdd5-77c442da9769</t>
  </si>
  <si>
    <t>27713379801</t>
  </si>
  <si>
    <t>13563100</t>
  </si>
  <si>
    <t>e0818ca9-732a-4ab7-90b8-502dfe8d3a06</t>
  </si>
  <si>
    <t>2026-03-09 10:09:38</t>
  </si>
  <si>
    <t>27726284816</t>
  </si>
  <si>
    <t>13563103</t>
  </si>
  <si>
    <t>a5300cab-0f7c-4718-8574-a54a4dfb6171</t>
  </si>
  <si>
    <t>27649506770</t>
  </si>
  <si>
    <t>13563109</t>
  </si>
  <si>
    <t>4effd73e-44d2-4a49-a7a4-a62615e1404e</t>
  </si>
  <si>
    <t>27716904204</t>
  </si>
  <si>
    <t>13563113</t>
  </si>
  <si>
    <t>3bf13f3e-733c-4734-92c3-82f2ad725a00</t>
  </si>
  <si>
    <t>27728497948</t>
  </si>
  <si>
    <t>13563147</t>
  </si>
  <si>
    <t>deeea662-25ac-419e-a63f-1c42ef388c25</t>
  </si>
  <si>
    <t>27769394894</t>
  </si>
  <si>
    <t>13563148</t>
  </si>
  <si>
    <t>bc0c014a-4386-4094-9278-6ca7cbb4505a</t>
  </si>
  <si>
    <t>27773963460</t>
  </si>
  <si>
    <t>13563149</t>
  </si>
  <si>
    <t>72e5f493-9869-48b7-8438-e0ef7442cf41</t>
  </si>
  <si>
    <t>27665194686</t>
  </si>
  <si>
    <t>13563152</t>
  </si>
  <si>
    <t>8cf1b086-bd15-48b2-bd79-306f91efc1c9</t>
  </si>
  <si>
    <t>27763754370</t>
  </si>
  <si>
    <t>13563156</t>
  </si>
  <si>
    <t>22b9cf32-0d57-40f1-9aea-015958429d05</t>
  </si>
  <si>
    <t>27714796626</t>
  </si>
  <si>
    <t>13563074</t>
  </si>
  <si>
    <t>510805dc-d86b-465c-a9a6-763847af02a6</t>
  </si>
  <si>
    <t>2026-03-09 10:09:37</t>
  </si>
  <si>
    <t>27648743394</t>
  </si>
  <si>
    <t>13563075</t>
  </si>
  <si>
    <t>d45e9253-b264-48b5-a7d3-5eff91c3e260</t>
  </si>
  <si>
    <t>27674799675</t>
  </si>
  <si>
    <t>13563079</t>
  </si>
  <si>
    <t>72fac351-f5dc-4497-ba65-69bcee67f0b0</t>
  </si>
  <si>
    <t>27726888401</t>
  </si>
  <si>
    <t>13563080</t>
  </si>
  <si>
    <t>ad49be7a-2215-4684-ab56-b68eebb48456</t>
  </si>
  <si>
    <t>27647801912</t>
  </si>
  <si>
    <t>13563098</t>
  </si>
  <si>
    <t>c7ee5d0c-b027-4859-8ceb-a77cc30b782c</t>
  </si>
  <si>
    <t>27767238800</t>
  </si>
  <si>
    <t>13563129</t>
  </si>
  <si>
    <t>c61aa75e-9914-4809-a43a-cc1238d11480</t>
  </si>
  <si>
    <t>27729369803</t>
  </si>
  <si>
    <t>13563069</t>
  </si>
  <si>
    <t>52980af4-bd70-4db8-8924-85f4232d94f7</t>
  </si>
  <si>
    <t>2026-03-09 10:09:36</t>
  </si>
  <si>
    <t>27769256548</t>
  </si>
  <si>
    <t>13563049</t>
  </si>
  <si>
    <t>d9e7592b-ef80-4ef9-8d1a-4e7f70959529</t>
  </si>
  <si>
    <t>27727765781</t>
  </si>
  <si>
    <t>13563067</t>
  </si>
  <si>
    <t>f4d7db04-8de8-4993-b9d9-0667b059f369</t>
  </si>
  <si>
    <t>27661973311</t>
  </si>
  <si>
    <t>13563115</t>
  </si>
  <si>
    <t>d09cd574-9a90-43fc-8d91-fa1b27197036</t>
  </si>
  <si>
    <t>27661673743</t>
  </si>
  <si>
    <t>13563118</t>
  </si>
  <si>
    <t>5840dbff-2118-41f8-a38f-376ff277c104</t>
  </si>
  <si>
    <t>27607630958</t>
  </si>
  <si>
    <t>13557519</t>
  </si>
  <si>
    <t>aaea7ed4-964e-44fd-bb8d-a06436338f05</t>
  </si>
  <si>
    <t>2026-03-09 10:09:35</t>
  </si>
  <si>
    <t>27764733984</t>
  </si>
  <si>
    <t>13563030</t>
  </si>
  <si>
    <t>f7d030bc-3f65-40f5-a8dd-622ad49733bb</t>
  </si>
  <si>
    <t>27769549088</t>
  </si>
  <si>
    <t>13563048</t>
  </si>
  <si>
    <t>7b6fff68-edaa-4eec-821e-917584aeb2d8</t>
  </si>
  <si>
    <t>27716192741</t>
  </si>
  <si>
    <t>13557029</t>
  </si>
  <si>
    <t>bb22d1b5-0fcc-45cb-b390-05d6f4580ae2</t>
  </si>
  <si>
    <t>2026-03-09 10:09:34</t>
  </si>
  <si>
    <t>27729766572</t>
  </si>
  <si>
    <t>13557016</t>
  </si>
  <si>
    <t>2b7e2471-8757-4864-87b7-00659d9d6b1f</t>
  </si>
  <si>
    <t>27729564234</t>
  </si>
  <si>
    <t>13557010</t>
  </si>
  <si>
    <t>8c057bc2-7162-463f-802f-9c5ed25be696</t>
  </si>
  <si>
    <t>2026-03-09 10:09:33</t>
  </si>
  <si>
    <t>27729519485</t>
  </si>
  <si>
    <t>13557011</t>
  </si>
  <si>
    <t>7b752ab6-f99e-4ef8-991e-58a804e3acc6</t>
  </si>
  <si>
    <t>27729531833</t>
  </si>
  <si>
    <t>13557012</t>
  </si>
  <si>
    <t>30d29e57-21d1-4508-b7a2-5a7e9e219ed8</t>
  </si>
  <si>
    <t>27729533366</t>
  </si>
  <si>
    <t>13557013</t>
  </si>
  <si>
    <t>c1e874ee-e05c-46a2-9336-4b1dfe74b9d3</t>
  </si>
  <si>
    <t>27729537468</t>
  </si>
  <si>
    <t>13556120</t>
  </si>
  <si>
    <t>c4b3f7aa-93b4-467d-ab85-474d3a3c5163</t>
  </si>
  <si>
    <t>2026-03-09 10:09:07</t>
  </si>
  <si>
    <t>27720854569</t>
  </si>
  <si>
    <t>13557008</t>
  </si>
  <si>
    <t>6f5611b2-0fb8-4894-b8c2-8e228f45d141</t>
  </si>
  <si>
    <t>2026-03-09 10:09:04</t>
  </si>
  <si>
    <t>27729509081</t>
  </si>
  <si>
    <t>13563541</t>
  </si>
  <si>
    <t>48d35610-82cf-41ee-a4d0-218904a192c6</t>
  </si>
  <si>
    <t>27762896380</t>
  </si>
  <si>
    <t>13555854</t>
  </si>
  <si>
    <t>1e6e2866-01a0-473f-8801-4f04b32e1155</t>
  </si>
  <si>
    <t>2026-03-09 10:09:03</t>
  </si>
  <si>
    <t>27714933097</t>
  </si>
  <si>
    <t>13555841</t>
  </si>
  <si>
    <t>a73bed45-d9d1-4089-9f58-9a7bcb8aa041</t>
  </si>
  <si>
    <t>27714741351</t>
  </si>
  <si>
    <t>13555849</t>
  </si>
  <si>
    <t>8544385f-8378-40be-8f4d-8e5b180959cc</t>
  </si>
  <si>
    <t>27714840343</t>
  </si>
  <si>
    <t>13563538</t>
  </si>
  <si>
    <t>7f05b6db-92b5-4d8c-b413-8f495fe38179</t>
  </si>
  <si>
    <t>27713372480</t>
  </si>
  <si>
    <t>13563540</t>
  </si>
  <si>
    <t>b98e0675-8e0c-4867-beb2-26ff21058600</t>
  </si>
  <si>
    <t>27636351261</t>
  </si>
  <si>
    <t>13556354</t>
  </si>
  <si>
    <t>1779a414-786a-430e-85a0-341bebb90b81</t>
  </si>
  <si>
    <t>2026-03-09 10:09:02</t>
  </si>
  <si>
    <t>27723033761</t>
  </si>
  <si>
    <t>13556355</t>
  </si>
  <si>
    <t>235065ca-e6c5-43f6-806b-3cb2756021fd</t>
  </si>
  <si>
    <t>27723073414</t>
  </si>
  <si>
    <t>13556362</t>
  </si>
  <si>
    <t>6c9c3fac-32b1-4ac5-9bf6-7f64e6a14d0d</t>
  </si>
  <si>
    <t>27723127078</t>
  </si>
  <si>
    <t>13556353</t>
  </si>
  <si>
    <t>d16cda09-df91-4cc0-b0a6-6ecd994c5fa6</t>
  </si>
  <si>
    <t>2026-03-09 10:09:01</t>
  </si>
  <si>
    <t>27723029261</t>
  </si>
  <si>
    <t>13556305</t>
  </si>
  <si>
    <t>4ebe9ee5-d558-499d-87a5-1cc0f75b8772</t>
  </si>
  <si>
    <t>27722524421</t>
  </si>
  <si>
    <t>13556316</t>
  </si>
  <si>
    <t>11124d45-753d-4b17-bb5b-00a95cb7e95f</t>
  </si>
  <si>
    <t>27722633820</t>
  </si>
  <si>
    <t>13556287</t>
  </si>
  <si>
    <t>9c569ce4-9b08-44ab-adc6-9a9428f65bda</t>
  </si>
  <si>
    <t>2026-03-09 10:09:00</t>
  </si>
  <si>
    <t>27722254740</t>
  </si>
  <si>
    <t>13556299</t>
  </si>
  <si>
    <t>6e0810a5-e4a6-411a-a364-4896216ed4a9</t>
  </si>
  <si>
    <t>27722393747</t>
  </si>
  <si>
    <t>13556300</t>
  </si>
  <si>
    <t>e4371863-131a-43dc-bb30-5925cf50e593</t>
  </si>
  <si>
    <t>27722400990</t>
  </si>
  <si>
    <t>13563254</t>
  </si>
  <si>
    <t>3a169bcf-ec0c-47f9-9871-f3f7b3357534</t>
  </si>
  <si>
    <t>27729085363</t>
  </si>
  <si>
    <t>13563509</t>
  </si>
  <si>
    <t>723b3960-4d4b-4844-8b6a-fde10b9b68d0</t>
  </si>
  <si>
    <t>2026-03-09 10:08:34</t>
  </si>
  <si>
    <t>27665842685</t>
  </si>
  <si>
    <t>13563514</t>
  </si>
  <si>
    <t>8d793ea9-7e51-4794-98ba-4d9e64243b87</t>
  </si>
  <si>
    <t>27662609604</t>
  </si>
  <si>
    <t>13563515</t>
  </si>
  <si>
    <t>57765f96-f0f3-426a-a5fd-31bfefd27950</t>
  </si>
  <si>
    <t>27772479992</t>
  </si>
  <si>
    <t>13563518</t>
  </si>
  <si>
    <t>49307b86-b081-46fa-8a33-fdc44d6aebcf</t>
  </si>
  <si>
    <t>27648054268</t>
  </si>
  <si>
    <t>13563520</t>
  </si>
  <si>
    <t>4a90a9a5-7d8e-4562-8995-621e115f4f96</t>
  </si>
  <si>
    <t>27728271501</t>
  </si>
  <si>
    <t>13563502</t>
  </si>
  <si>
    <t>2f516e91-3e3e-4689-9574-f6197a683a6c</t>
  </si>
  <si>
    <t>2026-03-09 10:08:33</t>
  </si>
  <si>
    <t>27716877729</t>
  </si>
  <si>
    <t>13563503</t>
  </si>
  <si>
    <t>a7cf00d9-7d21-4326-bb04-b2ab89bf9547</t>
  </si>
  <si>
    <t>27767424959</t>
  </si>
  <si>
    <t>13563488</t>
  </si>
  <si>
    <t>be8eae00-007f-48f8-b75f-ea543a492633</t>
  </si>
  <si>
    <t>2026-03-09 10:08:32</t>
  </si>
  <si>
    <t>27721343649</t>
  </si>
  <si>
    <t>13556226</t>
  </si>
  <si>
    <t>a5abff8a-9213-4a64-bd82-9aa8af61d135</t>
  </si>
  <si>
    <t>2026-03-09 10:08:31</t>
  </si>
  <si>
    <t>27721791137</t>
  </si>
  <si>
    <t>13563476</t>
  </si>
  <si>
    <t>d0f99364-9ec4-4964-a1c5-e01dac677bfa</t>
  </si>
  <si>
    <t>27723559168</t>
  </si>
  <si>
    <t>13563477</t>
  </si>
  <si>
    <t>1e1e21e9-9003-427c-8748-cb52c145c1c0</t>
  </si>
  <si>
    <t>27725351218</t>
  </si>
  <si>
    <t>13563980</t>
  </si>
  <si>
    <t>400215a0-2f64-4632-b5d1-d71067abb287</t>
  </si>
  <si>
    <t>2026-03-09 10:08:30</t>
  </si>
  <si>
    <t>27606104407</t>
  </si>
  <si>
    <t>13562909</t>
  </si>
  <si>
    <t>6bf5dfac-e8eb-42dc-9278-894096bd137f</t>
  </si>
  <si>
    <t>27606625073</t>
  </si>
  <si>
    <t>13563264</t>
  </si>
  <si>
    <t>14816850-308d-4c31-802d-ffb627509a6a</t>
  </si>
  <si>
    <t>27768226017</t>
  </si>
  <si>
    <t>13563261</t>
  </si>
  <si>
    <t>dbfdb30d-fdfc-48e6-8072-67b2230a920d</t>
  </si>
  <si>
    <t>27608507109</t>
  </si>
  <si>
    <t>13563262</t>
  </si>
  <si>
    <t>0a509019-06af-4fd3-9ea7-8f9b26d4d511</t>
  </si>
  <si>
    <t>27721017528</t>
  </si>
  <si>
    <t>13563382</t>
  </si>
  <si>
    <t>627843bc-42da-4209-ba26-70f01e0076bd</t>
  </si>
  <si>
    <t>27674582690</t>
  </si>
  <si>
    <t>13563388</t>
  </si>
  <si>
    <t>8a722f10-f8d5-4805-b6c0-9e897da3144b</t>
  </si>
  <si>
    <t>27765128580</t>
  </si>
  <si>
    <t>13563390</t>
  </si>
  <si>
    <t>9d299384-44ed-49c4-b5bd-e9a20eacfa5f</t>
  </si>
  <si>
    <t>27714424175</t>
  </si>
  <si>
    <t>13563391</t>
  </si>
  <si>
    <t>0ee1b9aa-f4ce-4445-a7ff-266c9135e8ec</t>
  </si>
  <si>
    <t>27647387448</t>
  </si>
  <si>
    <t>13563394</t>
  </si>
  <si>
    <t>cd214794-af97-4fc0-9f4f-6f80fb83eedd</t>
  </si>
  <si>
    <t>27675532303</t>
  </si>
  <si>
    <t>13557896</t>
  </si>
  <si>
    <t>66d2128b-5d1a-4cec-94bd-e21e38090b9c</t>
  </si>
  <si>
    <t>2026-03-09 10:08:29</t>
  </si>
  <si>
    <t>27768421178</t>
  </si>
  <si>
    <t>13560391</t>
  </si>
  <si>
    <t>436e66f5-0eb5-45d9-b672-c19c2e78a094</t>
  </si>
  <si>
    <t>27823620722</t>
  </si>
  <si>
    <t>13561586</t>
  </si>
  <si>
    <t>3980bf0f-decc-48e5-80d8-07802d2d1136</t>
  </si>
  <si>
    <t>27796478653</t>
  </si>
  <si>
    <t>13561960</t>
  </si>
  <si>
    <t>769ceab2-3d88-4bea-a8e0-827d5935fb62</t>
  </si>
  <si>
    <t>27828327857</t>
  </si>
  <si>
    <t>13563975</t>
  </si>
  <si>
    <t>c700711c-fd45-434f-b571-a6efbd6b1f6b</t>
  </si>
  <si>
    <t>27648824576</t>
  </si>
  <si>
    <t>13557883</t>
  </si>
  <si>
    <t>b25fcb7b-45f5-44ff-9e1f-d0e7c625ff1e</t>
  </si>
  <si>
    <t>2026-03-09 10:08:28</t>
  </si>
  <si>
    <t>27768269484</t>
  </si>
  <si>
    <t>13557894</t>
  </si>
  <si>
    <t>2808edd7-362b-4a62-a617-eb1abd061728</t>
  </si>
  <si>
    <t>27768356335</t>
  </si>
  <si>
    <t>13557851</t>
  </si>
  <si>
    <t>23c4c43f-b8a1-44f6-b11a-bd229b5fdced</t>
  </si>
  <si>
    <t>27767996027</t>
  </si>
  <si>
    <t>13557003</t>
  </si>
  <si>
    <t>c779e138-53cc-44e4-b2ca-de2de17c3d67</t>
  </si>
  <si>
    <t>2026-03-09 10:08:27</t>
  </si>
  <si>
    <t>27729432223</t>
  </si>
  <si>
    <t>13557471</t>
  </si>
  <si>
    <t>5046ce53-0a7a-4190-a8c0-3d838bb18d12</t>
  </si>
  <si>
    <t>27764164504</t>
  </si>
  <si>
    <t>13557862</t>
  </si>
  <si>
    <t>2915e04e-9628-496e-9382-edcd4aef9987</t>
  </si>
  <si>
    <t>27768118242</t>
  </si>
  <si>
    <t>13557877</t>
  </si>
  <si>
    <t>77cb89c2-1c8c-4927-8e71-2c7d77e8320f</t>
  </si>
  <si>
    <t>27768229837</t>
  </si>
  <si>
    <t>13557878</t>
  </si>
  <si>
    <t>59ae6769-549e-467e-99cb-2f8e323b0f23</t>
  </si>
  <si>
    <t>27768245950</t>
  </si>
  <si>
    <t>13557881</t>
  </si>
  <si>
    <t>bf1381f5-970c-490d-844b-def899ff83eb</t>
  </si>
  <si>
    <t>27768253491</t>
  </si>
  <si>
    <t>13557838</t>
  </si>
  <si>
    <t>9a4605ef-3008-492e-a657-ec29a99670d2</t>
  </si>
  <si>
    <t>27767849857</t>
  </si>
  <si>
    <t>13557843</t>
  </si>
  <si>
    <t>ef8c6e0d-a6cf-40f2-8d73-a4764840eebf</t>
  </si>
  <si>
    <t>27767879464</t>
  </si>
  <si>
    <t>13557850</t>
  </si>
  <si>
    <t>a03c309b-2457-42bc-98c2-696b7ffa255f</t>
  </si>
  <si>
    <t>27767974656</t>
  </si>
  <si>
    <t>13557853</t>
  </si>
  <si>
    <t>b95cc377-4fab-4f14-91ed-2b9c5b49709b</t>
  </si>
  <si>
    <t>27768025146</t>
  </si>
  <si>
    <t>13556963</t>
  </si>
  <si>
    <t>50f12201-889f-421a-9cf8-ae7feda6659a</t>
  </si>
  <si>
    <t>2026-03-09 10:08:26</t>
  </si>
  <si>
    <t>27729058292</t>
  </si>
  <si>
    <t>13556967</t>
  </si>
  <si>
    <t>a6af0c36-d0d4-4f60-ab03-e8fca91c2008</t>
  </si>
  <si>
    <t>27729077863</t>
  </si>
  <si>
    <t>13556986</t>
  </si>
  <si>
    <t>c407fe39-5718-4e33-b100-e114eb215f08</t>
  </si>
  <si>
    <t>27729230168</t>
  </si>
  <si>
    <t>13557001</t>
  </si>
  <si>
    <t>778345dc-a701-47eb-8d6b-d395838caaa6</t>
  </si>
  <si>
    <t>27729372198</t>
  </si>
  <si>
    <t>13556946</t>
  </si>
  <si>
    <t>9307f02a-acf5-4b5f-8169-3f4846896eb0</t>
  </si>
  <si>
    <t>2026-03-09 10:07:51</t>
  </si>
  <si>
    <t>27728889678</t>
  </si>
  <si>
    <t>13556956</t>
  </si>
  <si>
    <t>fefbadb9-ab29-4460-b0cb-508f4cd5950a</t>
  </si>
  <si>
    <t>27728963780</t>
  </si>
  <si>
    <t>13556962</t>
  </si>
  <si>
    <t>30057881-f8de-4438-9a6c-77ec41a8836e</t>
  </si>
  <si>
    <t>27729047927</t>
  </si>
  <si>
    <t>13555820</t>
  </si>
  <si>
    <t>04bfaf57-40e0-4e08-9dba-68aee8e02227</t>
  </si>
  <si>
    <t>2026-03-09 10:07:50</t>
  </si>
  <si>
    <t>27714402558</t>
  </si>
  <si>
    <t>13556944</t>
  </si>
  <si>
    <t>7e3efeb0-2bd3-4bfe-bf8e-3673a7135802</t>
  </si>
  <si>
    <t>27728888381</t>
  </si>
  <si>
    <t>13556945</t>
  </si>
  <si>
    <t>d6e4ad89-83e5-445e-a19c-e36b19833b0c</t>
  </si>
  <si>
    <t>27728889643</t>
  </si>
  <si>
    <t>13563563</t>
  </si>
  <si>
    <t>37cae4db-20a1-4adf-8ea6-c7848d5389fb</t>
  </si>
  <si>
    <t>27674212337</t>
  </si>
  <si>
    <t>13563565</t>
  </si>
  <si>
    <t>43e2d4e4-f03b-4935-913e-ad9178f3a1fe</t>
  </si>
  <si>
    <t>27774665341</t>
  </si>
  <si>
    <t>13563567</t>
  </si>
  <si>
    <t>f0de216b-b08d-4263-9fef-876bc9a9dc11</t>
  </si>
  <si>
    <t>27648680931</t>
  </si>
  <si>
    <t>13563570</t>
  </si>
  <si>
    <t>a8fec599-a951-43c6-8094-26fc30529336</t>
  </si>
  <si>
    <t>27609377939</t>
  </si>
  <si>
    <t>13563545</t>
  </si>
  <si>
    <t>3986ebc6-622f-4f2b-9a23-1b2cb2bc1646</t>
  </si>
  <si>
    <t>27774485562</t>
  </si>
  <si>
    <t>13564128</t>
  </si>
  <si>
    <t>5833712e-3592-47c0-9aa5-95950927dc43</t>
  </si>
  <si>
    <t>27765563093</t>
  </si>
  <si>
    <t>13556266</t>
  </si>
  <si>
    <t>af014ff1-2a6c-4972-bd25-155bd3a66a2b</t>
  </si>
  <si>
    <t>2026-03-09 10:07:49</t>
  </si>
  <si>
    <t>27722144771</t>
  </si>
  <si>
    <t>13556272</t>
  </si>
  <si>
    <t>2070ea9a-ce47-430e-8e5e-ffbad89cfa4d</t>
  </si>
  <si>
    <t>27722170617</t>
  </si>
  <si>
    <t>13555807</t>
  </si>
  <si>
    <t>0480e2f8-e380-4c20-a1e0-e9ba333d9135</t>
  </si>
  <si>
    <t>27714265488</t>
  </si>
  <si>
    <t>13555814</t>
  </si>
  <si>
    <t>9e3f1d23-54fc-41aa-bff8-eac212a29949</t>
  </si>
  <si>
    <t>27714351967</t>
  </si>
  <si>
    <t>13556234</t>
  </si>
  <si>
    <t>14804f30-d011-4b4f-acc9-4011a728f50f</t>
  </si>
  <si>
    <t>2026-03-09 10:07:48</t>
  </si>
  <si>
    <t>27721851595</t>
  </si>
  <si>
    <t>13556227</t>
  </si>
  <si>
    <t>d885e32e-9417-44d8-bc7d-f60af65c9a3b</t>
  </si>
  <si>
    <t>2026-03-09 10:07:47</t>
  </si>
  <si>
    <t>27721791984</t>
  </si>
  <si>
    <t>13563469</t>
  </si>
  <si>
    <t>2b87edee-a04c-44b3-8259-8c0034864735</t>
  </si>
  <si>
    <t>27648820056</t>
  </si>
  <si>
    <t>13555372</t>
  </si>
  <si>
    <t>9fb8dd0f-1aaf-416b-a376-0114b080a015</t>
  </si>
  <si>
    <t>mkhwanazi xolisi</t>
  </si>
  <si>
    <t>2026-03-09 10:07:43</t>
  </si>
  <si>
    <t>2026-03-07 07:10:08</t>
  </si>
  <si>
    <t>27664130716</t>
  </si>
  <si>
    <t>13557824</t>
  </si>
  <si>
    <t>686c2ee0-9f55-46fb-8fe0-3e0b732b4c3d</t>
  </si>
  <si>
    <t>2026-03-09 10:07:34</t>
  </si>
  <si>
    <t>27767711245</t>
  </si>
  <si>
    <t>13557830</t>
  </si>
  <si>
    <t>65510ac0-c9aa-4b53-9d78-82a74d01f065</t>
  </si>
  <si>
    <t>27767765923</t>
  </si>
  <si>
    <t>13557831</t>
  </si>
  <si>
    <t>78f7cc2d-ed80-40eb-93d6-f1078ea7160d</t>
  </si>
  <si>
    <t>27767786854</t>
  </si>
  <si>
    <t>13557834</t>
  </si>
  <si>
    <t>550a9443-a424-4b0e-86d0-df5c8aee382b</t>
  </si>
  <si>
    <t>27767801656</t>
  </si>
  <si>
    <t>13557837</t>
  </si>
  <si>
    <t>87693ef7-3b6f-41d1-90cb-ed15204d2d98</t>
  </si>
  <si>
    <t>27767832641</t>
  </si>
  <si>
    <t>13557817</t>
  </si>
  <si>
    <t>66656bfa-7b25-4920-9448-32ee0b42b9b4</t>
  </si>
  <si>
    <t>2026-03-09 10:07:33</t>
  </si>
  <si>
    <t>27767674894</t>
  </si>
  <si>
    <t>13557821</t>
  </si>
  <si>
    <t>13912054-5d2f-403a-8b8f-5a55004ffead</t>
  </si>
  <si>
    <t>27767703339</t>
  </si>
  <si>
    <t>13557822</t>
  </si>
  <si>
    <t>284bf2f2-7892-4ecd-8a7f-221c791b7e25</t>
  </si>
  <si>
    <t>27767707186</t>
  </si>
  <si>
    <t>13558410</t>
  </si>
  <si>
    <t>568c417c-642b-441c-8a34-c3e78336d9bd</t>
  </si>
  <si>
    <t>2026-03-09 10:07:30</t>
  </si>
  <si>
    <t>27793673306</t>
  </si>
  <si>
    <t>13556943</t>
  </si>
  <si>
    <t>21cfcef8-6fa5-4e65-9234-c09b1eef9ac6</t>
  </si>
  <si>
    <t>2026-03-09 10:07:23</t>
  </si>
  <si>
    <t>27728881557</t>
  </si>
  <si>
    <t>13556938</t>
  </si>
  <si>
    <t>c28c037d-aacf-449d-bd1f-321348f223f7</t>
  </si>
  <si>
    <t>2026-03-09 10:07:21</t>
  </si>
  <si>
    <t>27728827189</t>
  </si>
  <si>
    <t>13556934</t>
  </si>
  <si>
    <t>b034091d-aed9-4f0c-b7d7-0d9dc0942400</t>
  </si>
  <si>
    <t>2026-03-09 10:07:19</t>
  </si>
  <si>
    <t>27728794683</t>
  </si>
  <si>
    <t>13556893</t>
  </si>
  <si>
    <t>d42d970f-2026-4b64-a89b-ebf3645d077b</t>
  </si>
  <si>
    <t>27728347686</t>
  </si>
  <si>
    <t>13556872</t>
  </si>
  <si>
    <t>8d92e8cb-6701-48f8-a9df-1e3491ae657b</t>
  </si>
  <si>
    <t>2026-03-09 10:07:18</t>
  </si>
  <si>
    <t>27728217913</t>
  </si>
  <si>
    <t>13556883</t>
  </si>
  <si>
    <t>f5738557-5467-4edb-bb0c-d55dcc4c622a</t>
  </si>
  <si>
    <t>27728278403</t>
  </si>
  <si>
    <t>13563600</t>
  </si>
  <si>
    <t>0e020a19-41a3-4d71-9e14-a2ad5124b1b8</t>
  </si>
  <si>
    <t>2026-03-09 10:07:17</t>
  </si>
  <si>
    <t>27716510867</t>
  </si>
  <si>
    <t>13563610</t>
  </si>
  <si>
    <t>d0656d5a-b4ff-4273-92a4-38e6948d9b8f</t>
  </si>
  <si>
    <t>27774565097</t>
  </si>
  <si>
    <t>13563616</t>
  </si>
  <si>
    <t>5960a528-d258-4bdd-b5f2-94975a8af3ef</t>
  </si>
  <si>
    <t>27721086447</t>
  </si>
  <si>
    <t>13556865</t>
  </si>
  <si>
    <t>57b3310e-4517-4bee-b203-e419dfca7d38</t>
  </si>
  <si>
    <t>2026-03-09 10:07:16</t>
  </si>
  <si>
    <t>27728145263</t>
  </si>
  <si>
    <t>13556866</t>
  </si>
  <si>
    <t>090589ae-17e6-4c02-bee5-454786abbe46</t>
  </si>
  <si>
    <t>27728147940</t>
  </si>
  <si>
    <t>13563571</t>
  </si>
  <si>
    <t>fa48bbcb-832c-4809-b881-c3bf3394df25</t>
  </si>
  <si>
    <t>27714685773</t>
  </si>
  <si>
    <t>13563599</t>
  </si>
  <si>
    <t>2b7f2955-600d-4060-8f07-6331caac1517</t>
  </si>
  <si>
    <t>27764886754</t>
  </si>
  <si>
    <t>13554999</t>
  </si>
  <si>
    <t>133abe18-228c-4e60-a78b-654edb7927d7</t>
  </si>
  <si>
    <t>2026-03-09 10:07:15</t>
  </si>
  <si>
    <t>27637253902</t>
  </si>
  <si>
    <t>13556855</t>
  </si>
  <si>
    <t>d8e039e6-1984-40f2-94cb-cfd5fdc73770</t>
  </si>
  <si>
    <t>27728089218</t>
  </si>
  <si>
    <t>13556859</t>
  </si>
  <si>
    <t>11ce914c-0b8e-4322-9fb6-b8a419d21fed</t>
  </si>
  <si>
    <t>27728102095</t>
  </si>
  <si>
    <t>13556861</t>
  </si>
  <si>
    <t>5a1483b1-9378-41c9-8c6c-37239a960c30</t>
  </si>
  <si>
    <t>27728114457</t>
  </si>
  <si>
    <t>13556804</t>
  </si>
  <si>
    <t>d65b2c70-1df8-4d80-afbe-e1ca3bf65403</t>
  </si>
  <si>
    <t>27727662244</t>
  </si>
  <si>
    <t>13556780</t>
  </si>
  <si>
    <t>0e5d39fb-fc22-4846-b9aa-b294def6140d</t>
  </si>
  <si>
    <t>2026-03-09 10:07:14</t>
  </si>
  <si>
    <t>27727399382</t>
  </si>
  <si>
    <t>13555811</t>
  </si>
  <si>
    <t>a9f58894-0056-4f06-8d4b-fd7cdde82903</t>
  </si>
  <si>
    <t>2026-03-09 10:07:13</t>
  </si>
  <si>
    <t>27714308578</t>
  </si>
  <si>
    <t>13555788</t>
  </si>
  <si>
    <t>6848ab7f-8e94-49a9-8173-ff5a104bd4a7</t>
  </si>
  <si>
    <t>2026-03-09 10:07:09</t>
  </si>
  <si>
    <t>27714020235</t>
  </si>
  <si>
    <t>13555800</t>
  </si>
  <si>
    <t>78dea0d4-2c70-48e9-9d37-2ec9466b5195</t>
  </si>
  <si>
    <t>27714136204</t>
  </si>
  <si>
    <t>13556318</t>
  </si>
  <si>
    <t>2b3d98c9-6745-468f-9c7c-2d70d8dfe4ec</t>
  </si>
  <si>
    <t>2026-03-09 10:07:07</t>
  </si>
  <si>
    <t>27722637773</t>
  </si>
  <si>
    <t>13556223</t>
  </si>
  <si>
    <t>cb4c6bb8-8d9c-4c13-8e27-ad64217efe9d</t>
  </si>
  <si>
    <t>2026-03-09 10:07:06</t>
  </si>
  <si>
    <t>27721776711</t>
  </si>
  <si>
    <t>13556308</t>
  </si>
  <si>
    <t>0dba8c01-ddbe-4654-8e65-23f30cd85c01</t>
  </si>
  <si>
    <t>27722570168</t>
  </si>
  <si>
    <t>13556309</t>
  </si>
  <si>
    <t>81ad434f-e547-47ff-9aaa-b6e1634737eb</t>
  </si>
  <si>
    <t>27722571095</t>
  </si>
  <si>
    <t>13556313</t>
  </si>
  <si>
    <t>15fa155c-4055-448b-88b5-2595d0b90605</t>
  </si>
  <si>
    <t>27722605552</t>
  </si>
  <si>
    <t>13556314</t>
  </si>
  <si>
    <t>6d49a5fe-82b9-440a-b597-0a7a22a5e95a</t>
  </si>
  <si>
    <t>27722613334</t>
  </si>
  <si>
    <t>13556315</t>
  </si>
  <si>
    <t>54ad26f6-1bf0-4b51-a32d-73da25556c37</t>
  </si>
  <si>
    <t>27722622316</t>
  </si>
  <si>
    <t>13555015</t>
  </si>
  <si>
    <t>c5fc85ba-7bd0-41b2-b084-a0fe99680b30</t>
  </si>
  <si>
    <t>2026-03-09 10:07:05</t>
  </si>
  <si>
    <t>27637812887</t>
  </si>
  <si>
    <t>13555021</t>
  </si>
  <si>
    <t>94e2c43f-6cf2-4568-aa5c-e826fc933e9e</t>
  </si>
  <si>
    <t>27646005353</t>
  </si>
  <si>
    <t>13555022</t>
  </si>
  <si>
    <t>73336a50-cfdd-4c9f-9015-660006cde471</t>
  </si>
  <si>
    <t>27646036491</t>
  </si>
  <si>
    <t>13556193</t>
  </si>
  <si>
    <t>dbd77350-cd29-4e68-90f3-5188017f5c76</t>
  </si>
  <si>
    <t>27721483195</t>
  </si>
  <si>
    <t>13556218</t>
  </si>
  <si>
    <t>982be557-fb09-4779-8bb3-fd36f1b9f5ec</t>
  </si>
  <si>
    <t>27721738437</t>
  </si>
  <si>
    <t>13556785</t>
  </si>
  <si>
    <t>e44e7fd6-6e32-47e8-b93c-d2296c2859db</t>
  </si>
  <si>
    <t>2026-03-09 10:07:00</t>
  </si>
  <si>
    <t>27727451414</t>
  </si>
  <si>
    <t>13561926</t>
  </si>
  <si>
    <t>ecf71b5f-963d-4a09-995a-dc1fcb52217b</t>
  </si>
  <si>
    <t>2026-03-09 10:06:48</t>
  </si>
  <si>
    <t>27794450014</t>
  </si>
  <si>
    <t>13558147</t>
  </si>
  <si>
    <t>e849ace6-5330-4ec4-88d4-330775e7a5e9</t>
  </si>
  <si>
    <t>2026-03-09 10:06:14</t>
  </si>
  <si>
    <t>27790607769</t>
  </si>
  <si>
    <t>13561901</t>
  </si>
  <si>
    <t>9f8dec64-3cb4-44a9-9fb4-28c986006382</t>
  </si>
  <si>
    <t>2026-03-09 10:05:50</t>
  </si>
  <si>
    <t>27606018979</t>
  </si>
  <si>
    <t>13564347</t>
  </si>
  <si>
    <t>05dda474-d777-43cf-94c4-96eea841ceb9</t>
  </si>
  <si>
    <t>2026-03-09 10:05:39</t>
  </si>
  <si>
    <t>27727906204</t>
  </si>
  <si>
    <t>13564339</t>
  </si>
  <si>
    <t>ccf339c2-5a76-43f3-99d1-4b222d9f837e</t>
  </si>
  <si>
    <t>27765519436</t>
  </si>
  <si>
    <t>13564312</t>
  </si>
  <si>
    <t>8d8e1bc5-cb9e-4b9a-8a50-cd4a874197f3</t>
  </si>
  <si>
    <t>2026-03-09 10:05:38</t>
  </si>
  <si>
    <t>27764790743</t>
  </si>
  <si>
    <t>13564313</t>
  </si>
  <si>
    <t>d592d12b-c451-4a5c-a175-3fc61492c30e</t>
  </si>
  <si>
    <t>27660087766</t>
  </si>
  <si>
    <t>13564325</t>
  </si>
  <si>
    <t>a3ddf77a-4151-45e6-97e5-e8c2a16c1719</t>
  </si>
  <si>
    <t>27726591962</t>
  </si>
  <si>
    <t>13564328</t>
  </si>
  <si>
    <t>306dde5b-6adf-4d25-8cbb-c7b178beface</t>
  </si>
  <si>
    <t>27762555365</t>
  </si>
  <si>
    <t>13564336</t>
  </si>
  <si>
    <t>4e765544-eb8e-4e43-8ceb-38d748955ce2</t>
  </si>
  <si>
    <t>27648317123</t>
  </si>
  <si>
    <t>13555256</t>
  </si>
  <si>
    <t>112004bc-7d18-40cf-9291-ed0fcae88e7c</t>
  </si>
  <si>
    <t>2026-03-09 10:05:37</t>
  </si>
  <si>
    <t>27660755213</t>
  </si>
  <si>
    <t>13564061</t>
  </si>
  <si>
    <t>3bfa9b1c-3f88-4842-8572-71b885385c16</t>
  </si>
  <si>
    <t>27760961610</t>
  </si>
  <si>
    <t>13564081</t>
  </si>
  <si>
    <t>dbedb348-2a51-4762-ae28-e2ee931a7d4c</t>
  </si>
  <si>
    <t>27725651746</t>
  </si>
  <si>
    <t>13564107</t>
  </si>
  <si>
    <t>e7755a43-a24c-468c-8f68-853fca467103</t>
  </si>
  <si>
    <t>27724002289</t>
  </si>
  <si>
    <t>13563825</t>
  </si>
  <si>
    <t>4c8b0397-2f6d-4894-99d5-a86911808f04</t>
  </si>
  <si>
    <t>27722122398</t>
  </si>
  <si>
    <t>13564318</t>
  </si>
  <si>
    <t>7d2b6ef4-c961-40d9-9f41-de82e77faa00</t>
  </si>
  <si>
    <t>27774230096</t>
  </si>
  <si>
    <t>13563823</t>
  </si>
  <si>
    <t>c77ee093-7891-4815-8164-b5f51c61210a</t>
  </si>
  <si>
    <t>2026-03-09 10:05:36</t>
  </si>
  <si>
    <t>27769863755</t>
  </si>
  <si>
    <t>13563818</t>
  </si>
  <si>
    <t>70e91534-4011-4192-9ce6-224baffd6070</t>
  </si>
  <si>
    <t>2026-03-09 10:05:23</t>
  </si>
  <si>
    <t>27769452839</t>
  </si>
  <si>
    <t>13563819</t>
  </si>
  <si>
    <t>25601f5c-8656-45fa-bc5c-3ebace36b1a1</t>
  </si>
  <si>
    <t>27769987387</t>
  </si>
  <si>
    <t>13563654</t>
  </si>
  <si>
    <t>5d33ff78-44cc-4851-bbc3-6c22050afd1b</t>
  </si>
  <si>
    <t>2026-03-09 10:05:22</t>
  </si>
  <si>
    <t>27719239759</t>
  </si>
  <si>
    <t>13563657</t>
  </si>
  <si>
    <t>3b6c8711-a64d-4fda-9f57-f5eb470adf09</t>
  </si>
  <si>
    <t>27767102090</t>
  </si>
  <si>
    <t>13563619</t>
  </si>
  <si>
    <t>1943b924-d143-47a2-84cf-39729c675152</t>
  </si>
  <si>
    <t>27766368065</t>
  </si>
  <si>
    <t>13563627</t>
  </si>
  <si>
    <t>013cddb7-70cf-4ad7-90cd-c1bfc9495ba1</t>
  </si>
  <si>
    <t>27661583157</t>
  </si>
  <si>
    <t>13563632</t>
  </si>
  <si>
    <t>59010451-fd8e-4fae-a822-d5a59c1c3015</t>
  </si>
  <si>
    <t>27675747575</t>
  </si>
  <si>
    <t>13557777</t>
  </si>
  <si>
    <t>878f04f0-6cbc-46d4-a1a7-eb89d8058524</t>
  </si>
  <si>
    <t>2026-03-09 10:05:21</t>
  </si>
  <si>
    <t>27767283707</t>
  </si>
  <si>
    <t>13563912</t>
  </si>
  <si>
    <t>d0552890-9602-4ee0-9c08-b0151e48328d</t>
  </si>
  <si>
    <t>27662097403</t>
  </si>
  <si>
    <t>13558403</t>
  </si>
  <si>
    <t>a05ffdf4-12d5-43a4-8085-272d472e4248</t>
  </si>
  <si>
    <t>2026-03-09 10:05:20</t>
  </si>
  <si>
    <t>27793571534</t>
  </si>
  <si>
    <t>13557770</t>
  </si>
  <si>
    <t>2f103622-1b75-45e4-9585-097bbfac8e61</t>
  </si>
  <si>
    <t>27767232971</t>
  </si>
  <si>
    <t>13556773</t>
  </si>
  <si>
    <t>1fe58803-bf29-46f9-88ce-351613a182aa</t>
  </si>
  <si>
    <t>2026-03-09 10:05:17</t>
  </si>
  <si>
    <t>27727340607</t>
  </si>
  <si>
    <t>13556776</t>
  </si>
  <si>
    <t>693a5bcb-ba90-4e73-8cb4-4dbeb1418571</t>
  </si>
  <si>
    <t>27727378888</t>
  </si>
  <si>
    <t>13556818</t>
  </si>
  <si>
    <t>afa85076-b3ed-4d9c-aecf-b81edebeade1</t>
  </si>
  <si>
    <t>27727744850</t>
  </si>
  <si>
    <t>13556821</t>
  </si>
  <si>
    <t>00043c2d-82ec-4ad6-8f63-14a28f4c0222</t>
  </si>
  <si>
    <t>27727759839</t>
  </si>
  <si>
    <t>13556826</t>
  </si>
  <si>
    <t>93292da6-39de-4a38-b395-213eb3a6b248</t>
  </si>
  <si>
    <t>27727827331</t>
  </si>
  <si>
    <t>13554976</t>
  </si>
  <si>
    <t>baa31998-1889-46e0-bf76-c54efb107f13</t>
  </si>
  <si>
    <t>2026-03-09 10:05:11</t>
  </si>
  <si>
    <t>27636558260</t>
  </si>
  <si>
    <t>13554978</t>
  </si>
  <si>
    <t>4da8f9d2-0f38-4f05-9796-7255d54555ca</t>
  </si>
  <si>
    <t>27636607586</t>
  </si>
  <si>
    <t>13554972</t>
  </si>
  <si>
    <t>8e931040-cd8e-40a2-8bc0-260af601cff3</t>
  </si>
  <si>
    <t>2026-03-09 10:05:10</t>
  </si>
  <si>
    <t>27636524142</t>
  </si>
  <si>
    <t>13554971</t>
  </si>
  <si>
    <t>a21c178e-500d-4fd6-99ff-bb88508808b1</t>
  </si>
  <si>
    <t>2026-03-09 10:05:09</t>
  </si>
  <si>
    <t>27636519022</t>
  </si>
  <si>
    <t>13554930</t>
  </si>
  <si>
    <t>e3b43313-6699-44e0-83d0-fb474e19d532</t>
  </si>
  <si>
    <t>2026-03-09 10:05:08</t>
  </si>
  <si>
    <t>27630122474</t>
  </si>
  <si>
    <t>13564675</t>
  </si>
  <si>
    <t>5a963ddf-f494-44ee-bdec-0f931a0265be</t>
  </si>
  <si>
    <t>27769719671</t>
  </si>
  <si>
    <t>13554981</t>
  </si>
  <si>
    <t>d8875a95-1f69-47b0-85cf-af893c13e5f8</t>
  </si>
  <si>
    <t>2026-03-09 10:04:18</t>
  </si>
  <si>
    <t>27636682752</t>
  </si>
  <si>
    <t>13564184</t>
  </si>
  <si>
    <t>0ff31605-961e-4cf1-ab9f-4eef38381154</t>
  </si>
  <si>
    <t>27664123153</t>
  </si>
  <si>
    <t>13564625</t>
  </si>
  <si>
    <t>f6327752-7e4d-4529-9d64-5d588a80f486</t>
  </si>
  <si>
    <t>27648598685</t>
  </si>
  <si>
    <t>13564907</t>
  </si>
  <si>
    <t>bbe84ba4-1a9e-4b60-aee9-8e81b11a6df7</t>
  </si>
  <si>
    <t>27609425131</t>
  </si>
  <si>
    <t>13564169</t>
  </si>
  <si>
    <t>331bff9f-49c8-4a66-b51b-012de9a7d20b</t>
  </si>
  <si>
    <t>2026-03-09 10:04:17</t>
  </si>
  <si>
    <t>27721601779</t>
  </si>
  <si>
    <t>13564178</t>
  </si>
  <si>
    <t>ca6dea87-2fad-4bc3-b64c-ec3a7c011279</t>
  </si>
  <si>
    <t>27714384661</t>
  </si>
  <si>
    <t>13563660</t>
  </si>
  <si>
    <t>19b1b488-6d7b-424b-b042-dc45b118bdca</t>
  </si>
  <si>
    <t>2026-03-09 10:04:15</t>
  </si>
  <si>
    <t>27769335562</t>
  </si>
  <si>
    <t>13563582</t>
  </si>
  <si>
    <t>9023e395-dda8-430d-bf22-fc5e109b6c13</t>
  </si>
  <si>
    <t>2026-03-09 10:04:14</t>
  </si>
  <si>
    <t>27712418798</t>
  </si>
  <si>
    <t>13562980</t>
  </si>
  <si>
    <t>169819b2-3083-41a6-99b5-0b3e15d4bec6</t>
  </si>
  <si>
    <t>2026-03-09 10:04:12</t>
  </si>
  <si>
    <t>27763856820</t>
  </si>
  <si>
    <t>13563035</t>
  </si>
  <si>
    <t>a32510c5-255f-4de5-9f57-6fcee4a6a86c</t>
  </si>
  <si>
    <t>27762465801</t>
  </si>
  <si>
    <t>13563577</t>
  </si>
  <si>
    <t>f97017df-565d-440d-b252-e3bdf5c86634</t>
  </si>
  <si>
    <t>27606867142</t>
  </si>
  <si>
    <t>13562793</t>
  </si>
  <si>
    <t>bc32344a-573e-4bc4-8d85-f79563b45413</t>
  </si>
  <si>
    <t>2026-03-09 10:04:11</t>
  </si>
  <si>
    <t>27768117726</t>
  </si>
  <si>
    <t>13562904</t>
  </si>
  <si>
    <t>b7f9aa13-1b4c-4b20-b145-b9d52b3879a6</t>
  </si>
  <si>
    <t>27649400315</t>
  </si>
  <si>
    <t>13562844</t>
  </si>
  <si>
    <t>65053408-f11c-4237-b6df-30bacc71882c</t>
  </si>
  <si>
    <t>27606563496</t>
  </si>
  <si>
    <t>13562935</t>
  </si>
  <si>
    <t>5603d057-e726-4980-a9de-eb5bcf679503</t>
  </si>
  <si>
    <t>27647412781</t>
  </si>
  <si>
    <t>13562873</t>
  </si>
  <si>
    <t>ff445626-1674-41c7-a0af-8a81a236b980</t>
  </si>
  <si>
    <t>27661933140</t>
  </si>
  <si>
    <t>13563947</t>
  </si>
  <si>
    <t>800eb683-79ef-40e0-b263-3a6cba4e4e1f</t>
  </si>
  <si>
    <t>2026-03-09 10:04:10</t>
  </si>
  <si>
    <t>27713351927</t>
  </si>
  <si>
    <t>13563925</t>
  </si>
  <si>
    <t>c8973033-8a67-4611-a9b5-74fabd31809e</t>
  </si>
  <si>
    <t>2026-03-09 10:04:09</t>
  </si>
  <si>
    <t>27660944497</t>
  </si>
  <si>
    <t>13563927</t>
  </si>
  <si>
    <t>b3215029-f6f1-40ea-9c05-6649178d9f74</t>
  </si>
  <si>
    <t>27767976339</t>
  </si>
  <si>
    <t>13563938</t>
  </si>
  <si>
    <t>8231a031-17a2-494b-85ac-093c8b47568a</t>
  </si>
  <si>
    <t>27774120497</t>
  </si>
  <si>
    <t>13563945</t>
  </si>
  <si>
    <t>14795eca-1a55-4ad0-b245-597247483b09</t>
  </si>
  <si>
    <t>27713822803</t>
  </si>
  <si>
    <t>13563917</t>
  </si>
  <si>
    <t>686891cd-2238-480a-ab98-d097dfc29883</t>
  </si>
  <si>
    <t>2026-03-09 10:04:08</t>
  </si>
  <si>
    <t>27766920934</t>
  </si>
  <si>
    <t>13563919</t>
  </si>
  <si>
    <t>f96faad7-6906-4a16-b56e-35d193eafbfe</t>
  </si>
  <si>
    <t>27723005429</t>
  </si>
  <si>
    <t>13561603</t>
  </si>
  <si>
    <t>eeb2bb01-84d7-448e-b720-36bf21216275</t>
  </si>
  <si>
    <t>2026-03-09 10:04:06</t>
  </si>
  <si>
    <t>27607915938</t>
  </si>
  <si>
    <t>13563913</t>
  </si>
  <si>
    <t>d0945e8e-8271-4ff9-9aae-4138e6345dcd</t>
  </si>
  <si>
    <t>27636766783</t>
  </si>
  <si>
    <t>13560483</t>
  </si>
  <si>
    <t>d477d2e7-2ef7-4acc-b87a-b34a49d13915</t>
  </si>
  <si>
    <t>2026-03-09 10:04:05</t>
  </si>
  <si>
    <t>27713602355</t>
  </si>
  <si>
    <t>13560655</t>
  </si>
  <si>
    <t>354a4a62-f029-4c6b-92cc-43a6e36dde88</t>
  </si>
  <si>
    <t>27799594708</t>
  </si>
  <si>
    <t>13560982</t>
  </si>
  <si>
    <t>c308bfa1-3ddd-4ee0-9f62-50f57ee62be1</t>
  </si>
  <si>
    <t>27713488925</t>
  </si>
  <si>
    <t>13561477</t>
  </si>
  <si>
    <t>652c4bf9-6a20-4ce4-b42f-a307bb19dd47</t>
  </si>
  <si>
    <t>27721129516</t>
  </si>
  <si>
    <t>13557772</t>
  </si>
  <si>
    <t>d62a35fc-1244-4dec-a9e5-9e2e809032f3</t>
  </si>
  <si>
    <t>2026-03-09 10:04:04</t>
  </si>
  <si>
    <t>27767238287</t>
  </si>
  <si>
    <t>13557779</t>
  </si>
  <si>
    <t>78018db4-77a4-4a23-9049-ef65090faac1</t>
  </si>
  <si>
    <t>27767315658</t>
  </si>
  <si>
    <t>13559864</t>
  </si>
  <si>
    <t>9b06a00e-cf71-4038-838d-da8c4a0aa470</t>
  </si>
  <si>
    <t>27649868619</t>
  </si>
  <si>
    <t>13557761</t>
  </si>
  <si>
    <t>2efc60ef-00e1-4139-8890-188d63c0afb1</t>
  </si>
  <si>
    <t>2026-03-09 10:04:03</t>
  </si>
  <si>
    <t>27767103206</t>
  </si>
  <si>
    <t>13557766</t>
  </si>
  <si>
    <t>d4fdbf95-575b-4996-8fde-36edc44c9b32</t>
  </si>
  <si>
    <t>27767171943</t>
  </si>
  <si>
    <t>13557768</t>
  </si>
  <si>
    <t>a1cc0b34-9d96-444e-95f5-156fbd58364a</t>
  </si>
  <si>
    <t>27767223983</t>
  </si>
  <si>
    <t>13557744</t>
  </si>
  <si>
    <t>134d751e-4210-4842-80f1-fa4877ba5833</t>
  </si>
  <si>
    <t>27766938702</t>
  </si>
  <si>
    <t>13557750</t>
  </si>
  <si>
    <t>f725a2a7-35a1-4eb6-a28b-0465c5bb6c23</t>
  </si>
  <si>
    <t>27766972417</t>
  </si>
  <si>
    <t>13557752</t>
  </si>
  <si>
    <t>c8eeef60-f289-4861-a4e7-ce92b589efcc</t>
  </si>
  <si>
    <t>27766979476</t>
  </si>
  <si>
    <t>13557699</t>
  </si>
  <si>
    <t>9220d87b-a914-4add-8306-aac52022f867</t>
  </si>
  <si>
    <t>2026-03-09 10:04:02</t>
  </si>
  <si>
    <t>27766438580</t>
  </si>
  <si>
    <t>13557702</t>
  </si>
  <si>
    <t>b1107d73-3541-48ea-920f-d67df493f110</t>
  </si>
  <si>
    <t>27766504844</t>
  </si>
  <si>
    <t>13557707</t>
  </si>
  <si>
    <t>e98cb54c-c409-40fb-bd01-b21583385e8c</t>
  </si>
  <si>
    <t>27766586027</t>
  </si>
  <si>
    <t>13557715</t>
  </si>
  <si>
    <t>8101a7bd-065b-4c0a-88a1-1a55b8b4b4c9</t>
  </si>
  <si>
    <t>27766648070</t>
  </si>
  <si>
    <t>13557741</t>
  </si>
  <si>
    <t>0b863224-7368-46f3-ad0e-faad36135562</t>
  </si>
  <si>
    <t>27766857632</t>
  </si>
  <si>
    <t>13557695</t>
  </si>
  <si>
    <t>b52211ce-54c1-42c2-b194-888ff33fe423</t>
  </si>
  <si>
    <t>2026-03-09 10:03:59</t>
  </si>
  <si>
    <t>27766424357</t>
  </si>
  <si>
    <t>13555484</t>
  </si>
  <si>
    <t>d2608ad3-8a6f-4a9f-ae32-995ae342f08b</t>
  </si>
  <si>
    <t>2026-03-09 10:03:58</t>
  </si>
  <si>
    <t>27674234778</t>
  </si>
  <si>
    <t>13556795</t>
  </si>
  <si>
    <t>3a4ecb03-f4e8-48a5-ab7d-c21c694a73c7</t>
  </si>
  <si>
    <t>2026-03-09 10:03:57</t>
  </si>
  <si>
    <t>27727561897</t>
  </si>
  <si>
    <t>13561927</t>
  </si>
  <si>
    <t>57f9895c-7da6-4300-8aa2-06659597178f</t>
  </si>
  <si>
    <t>2026-03-09 10:03:55</t>
  </si>
  <si>
    <t>27799056817</t>
  </si>
  <si>
    <t>13558593</t>
  </si>
  <si>
    <t>b59b872b-0e18-48b0-ac22-8eadba396804</t>
  </si>
  <si>
    <t>2026-03-09 10:03:47</t>
  </si>
  <si>
    <t>27795920915</t>
  </si>
  <si>
    <t>13557721</t>
  </si>
  <si>
    <t>70183ce5-54d2-4829-b0f6-1904f154fa04</t>
  </si>
  <si>
    <t>2026-03-09 10:03:25</t>
  </si>
  <si>
    <t>27766699618</t>
  </si>
  <si>
    <t>13562734</t>
  </si>
  <si>
    <t>012cc417-4334-4a21-94e1-d4824241b6f5</t>
  </si>
  <si>
    <t>27769375708</t>
  </si>
  <si>
    <t>13557732</t>
  </si>
  <si>
    <t>f0e8f5b5-064f-4e06-972d-ef8b41860e76</t>
  </si>
  <si>
    <t>2026-03-09 10:03:21</t>
  </si>
  <si>
    <t>27766811588</t>
  </si>
  <si>
    <t>13564172</t>
  </si>
  <si>
    <t>e0765e1b-3b62-4c5d-a3fb-067871f03812</t>
  </si>
  <si>
    <t>27728759376</t>
  </si>
  <si>
    <t>13564049</t>
  </si>
  <si>
    <t>44071548-1c68-434f-85c1-d9db945192d4</t>
  </si>
  <si>
    <t>27617853582</t>
  </si>
  <si>
    <t>13564177</t>
  </si>
  <si>
    <t>b56d6322-2d2d-46f6-afa9-91e51b5835f4</t>
  </si>
  <si>
    <t>27762172409</t>
  </si>
  <si>
    <t>13555246</t>
  </si>
  <si>
    <t>1545ebea-fdd3-4db1-ac6f-1f3e6e777fbe</t>
  </si>
  <si>
    <t>2026-03-09 10:03:20</t>
  </si>
  <si>
    <t>27660557624</t>
  </si>
  <si>
    <t>13555247</t>
  </si>
  <si>
    <t>92331c43-993c-4878-9e1c-55aba9186017</t>
  </si>
  <si>
    <t>27660564289</t>
  </si>
  <si>
    <t>13555253</t>
  </si>
  <si>
    <t>4b282c5a-e344-4eac-b15a-930d56e398fb</t>
  </si>
  <si>
    <t>27660685228</t>
  </si>
  <si>
    <t>13557725</t>
  </si>
  <si>
    <t>874b3288-0acc-4f26-b1db-eb8b21ac039d</t>
  </si>
  <si>
    <t>27766744551</t>
  </si>
  <si>
    <t>13556623</t>
  </si>
  <si>
    <t>56324dc0-d288-4195-bfeb-9409f3b74429</t>
  </si>
  <si>
    <t>2026-03-09 10:03:10</t>
  </si>
  <si>
    <t>27725604990</t>
  </si>
  <si>
    <t>13555403</t>
  </si>
  <si>
    <t>891fcd56-45d1-4a4e-a114-290b058cb410</t>
  </si>
  <si>
    <t>2026-03-09 10:03:09</t>
  </si>
  <si>
    <t>27664756489</t>
  </si>
  <si>
    <t>13556050</t>
  </si>
  <si>
    <t>6c71651e-c1d9-4dc1-aef0-b2e45da61a12</t>
  </si>
  <si>
    <t>27720303053</t>
  </si>
  <si>
    <t>13556017</t>
  </si>
  <si>
    <t>b09c44bc-82a5-42fb-8c8a-087e9f524047</t>
  </si>
  <si>
    <t>27716570102</t>
  </si>
  <si>
    <t>13555229</t>
  </si>
  <si>
    <t>4ce7ab8d-d209-454c-8e85-acdaddf8a6c6</t>
  </si>
  <si>
    <t>2026-03-09 10:03:08</t>
  </si>
  <si>
    <t>27660275842</t>
  </si>
  <si>
    <t>13556278</t>
  </si>
  <si>
    <t>bcd56526-5a65-477d-b449-8a2e256c708f</t>
  </si>
  <si>
    <t>27722207271</t>
  </si>
  <si>
    <t>13563128</t>
  </si>
  <si>
    <t>96fe484c-0fe4-41df-9cba-ea04aa70e734</t>
  </si>
  <si>
    <t>27714434443</t>
  </si>
  <si>
    <t>13564139</t>
  </si>
  <si>
    <t>a12b0850-5a8c-4b18-a98c-96be08eaa462</t>
  </si>
  <si>
    <t>27637065177</t>
  </si>
  <si>
    <t>13562014</t>
  </si>
  <si>
    <t>895cabac-c479-4ebb-8cf9-bd19bc817543</t>
  </si>
  <si>
    <t>2026-03-09 10:03:07</t>
  </si>
  <si>
    <t>27715574126</t>
  </si>
  <si>
    <t>13557803</t>
  </si>
  <si>
    <t>faa106ca-3f7d-48df-a542-54a3ede889c6</t>
  </si>
  <si>
    <t>2026-03-09 10:03:06</t>
  </si>
  <si>
    <t>27767543154</t>
  </si>
  <si>
    <t>13558829</t>
  </si>
  <si>
    <t>81d5ff01-1a1b-49e0-b603-5981b7a8536a</t>
  </si>
  <si>
    <t>27799010564</t>
  </si>
  <si>
    <t>13559178</t>
  </si>
  <si>
    <t>91efd30f-5e83-43d7-8187-dd3fd9936600</t>
  </si>
  <si>
    <t>27823921940</t>
  </si>
  <si>
    <t>13559494</t>
  </si>
  <si>
    <t>25bb430a-9a6f-4f7c-b82d-1b7a33dbe236</t>
  </si>
  <si>
    <t>justice</t>
  </si>
  <si>
    <t>2026-03-05 12:04:29</t>
  </si>
  <si>
    <t>27827540430</t>
  </si>
  <si>
    <t>13559689</t>
  </si>
  <si>
    <t>5f3930cd-c623-4beb-befc-8956c39624d3</t>
  </si>
  <si>
    <t>27848977380</t>
  </si>
  <si>
    <t>13560836</t>
  </si>
  <si>
    <t>f23a801a-a688-43a4-b448-e8c616a89c73</t>
  </si>
  <si>
    <t>27818457230</t>
  </si>
  <si>
    <t>13561050</t>
  </si>
  <si>
    <t>b468792f-e7a1-42cb-b7ce-a978cff80c27</t>
  </si>
  <si>
    <t>27714814288</t>
  </si>
  <si>
    <t>13561509</t>
  </si>
  <si>
    <t>0b2f0828-c9ca-4af0-8d32-35aff1c30f07</t>
  </si>
  <si>
    <t>27766133741</t>
  </si>
  <si>
    <t>13557100</t>
  </si>
  <si>
    <t>21b05aee-a320-4a19-8428-d3a218d9b59e</t>
  </si>
  <si>
    <t>2026-03-09 10:03:05</t>
  </si>
  <si>
    <t>27760167431</t>
  </si>
  <si>
    <t>13557265</t>
  </si>
  <si>
    <t>7f9bd7d1-810d-4e3c-a1d7-2125c3bd649c</t>
  </si>
  <si>
    <t>27761846844</t>
  </si>
  <si>
    <t>13564882</t>
  </si>
  <si>
    <t>2b4ae176-a721-43dc-8f0c-01fbdadcc21f</t>
  </si>
  <si>
    <t>27609003936</t>
  </si>
  <si>
    <t>13561558</t>
  </si>
  <si>
    <t>0695c494-f289-4b96-9a2d-ee2383f1b532</t>
  </si>
  <si>
    <t>2026-03-09 10:02:52</t>
  </si>
  <si>
    <t>27762457612</t>
  </si>
  <si>
    <t>13563377</t>
  </si>
  <si>
    <t>c50c6962-7f17-41d3-851c-bb85a7a60408</t>
  </si>
  <si>
    <t>2026-03-09 10:02:21</t>
  </si>
  <si>
    <t>27722505854</t>
  </si>
  <si>
    <t>13564749</t>
  </si>
  <si>
    <t>f6181953-7301-4792-88df-cbef23af5fa1</t>
  </si>
  <si>
    <t>2026-03-09 10:01:33</t>
  </si>
  <si>
    <t>27606750384</t>
  </si>
  <si>
    <t>13557737</t>
  </si>
  <si>
    <t>376af6c9-1bbd-4ed2-a2dd-583e6c257a1d</t>
  </si>
  <si>
    <t>2026-03-09 10:01:17</t>
  </si>
  <si>
    <t>27766835371</t>
  </si>
  <si>
    <t>13556188</t>
  </si>
  <si>
    <t>12354234-3ab2-4040-8465-ab3eac8e65e6</t>
  </si>
  <si>
    <t>2026-03-09 10:01:16</t>
  </si>
  <si>
    <t>27721443800</t>
  </si>
  <si>
    <t>13561200</t>
  </si>
  <si>
    <t>7b0e3f1f-b84e-4b83-b265-ce7704a382cf</t>
  </si>
  <si>
    <t>27716535242</t>
  </si>
  <si>
    <t>13562373</t>
  </si>
  <si>
    <t>498edb13-5c7a-47e2-a7c5-049d3e62247a</t>
  </si>
  <si>
    <t>2026-03-09 10:01:15</t>
  </si>
  <si>
    <t>27673353438</t>
  </si>
  <si>
    <t>13557431</t>
  </si>
  <si>
    <t>27cfbf4f-d6a1-4fd3-9c08-a3d5daa791ee</t>
  </si>
  <si>
    <t>2026-03-09 10:01:13</t>
  </si>
  <si>
    <t>27763565237</t>
  </si>
  <si>
    <t>13555789</t>
  </si>
  <si>
    <t>13eb2739-6088-4320-91af-c935b40d03a8</t>
  </si>
  <si>
    <t>2026-03-09 10:01:04</t>
  </si>
  <si>
    <t>27714023082</t>
  </si>
  <si>
    <t>13555250</t>
  </si>
  <si>
    <t>ad250a89-f66f-401a-94a5-e148104df500</t>
  </si>
  <si>
    <t>2026-03-09 09:59:59</t>
  </si>
  <si>
    <t>27660645811</t>
  </si>
  <si>
    <t>13555900</t>
  </si>
  <si>
    <t>13772e2f-88cf-479c-8c91-9375d660036a</t>
  </si>
  <si>
    <t>27715340381</t>
  </si>
  <si>
    <t>13560145</t>
  </si>
  <si>
    <t>8bf92fc6-13c8-42df-b439-58a5c0764149</t>
  </si>
  <si>
    <t>27791675641</t>
  </si>
  <si>
    <t>13561218</t>
  </si>
  <si>
    <t>0c513387-8955-41dd-b353-4be58ef033e1</t>
  </si>
  <si>
    <t>2026-03-09 09:59:38</t>
  </si>
  <si>
    <t>27726741966</t>
  </si>
  <si>
    <t>13555597</t>
  </si>
  <si>
    <t>d94c9c0f-a6ca-411e-887b-6b57e12f4b57</t>
  </si>
  <si>
    <t>2026-03-09 09:59:14</t>
  </si>
  <si>
    <t>27711940562</t>
  </si>
  <si>
    <t>13557173</t>
  </si>
  <si>
    <t>79570942-b9c7-42f8-85e3-e3fcda47ee71</t>
  </si>
  <si>
    <t>27760935936</t>
  </si>
  <si>
    <t>13558642</t>
  </si>
  <si>
    <t>322b6c05-aa05-44c8-9466-1f3681ec1351</t>
  </si>
  <si>
    <t>27796402901</t>
  </si>
  <si>
    <t>13559878</t>
  </si>
  <si>
    <t>fe67d57f-c30a-4608-9c4c-e24e6b881d6e</t>
  </si>
  <si>
    <t>27728809324</t>
  </si>
  <si>
    <t>13561120</t>
  </si>
  <si>
    <t>60cac09d-f824-4809-9584-84a04f1004f6</t>
  </si>
  <si>
    <t>27721259388</t>
  </si>
  <si>
    <t>13561140</t>
  </si>
  <si>
    <t>10352a35-5a89-40a9-863c-217bd5a1d406</t>
  </si>
  <si>
    <t>2026-03-09 09:59:13</t>
  </si>
  <si>
    <t>27608416118</t>
  </si>
  <si>
    <t>13562262</t>
  </si>
  <si>
    <t>e64fde7f-ed29-4613-b083-dd8348141e0a</t>
  </si>
  <si>
    <t>27646268312</t>
  </si>
  <si>
    <t>13563841</t>
  </si>
  <si>
    <t>bd40f8ad-e34a-4676-86e7-91ae787f7931</t>
  </si>
  <si>
    <t>27761950311</t>
  </si>
  <si>
    <t>13563687</t>
  </si>
  <si>
    <t>601cabd1-9635-4ccd-bfd7-a94e063ab7db</t>
  </si>
  <si>
    <t>27762186943</t>
  </si>
  <si>
    <t>13564706</t>
  </si>
  <si>
    <t>648b2f03-ce5a-4606-a2f7-cd973c87d7be</t>
  </si>
  <si>
    <t>2026-03-09 09:59:12</t>
  </si>
  <si>
    <t>27606158825</t>
  </si>
  <si>
    <t>13558672</t>
  </si>
  <si>
    <t>254ae7a5-8d8e-432a-a431-50896c8cd80f</t>
  </si>
  <si>
    <t>2026-03-09 09:59:10</t>
  </si>
  <si>
    <t>27796760295</t>
  </si>
  <si>
    <t>13563950</t>
  </si>
  <si>
    <t>bad612c1-97f7-4135-920f-b66073a1a392</t>
  </si>
  <si>
    <t>2026-03-09 09:59:08</t>
  </si>
  <si>
    <t>27663590600</t>
  </si>
  <si>
    <t>13556841</t>
  </si>
  <si>
    <t>d9299e02-4bb5-46a1-b5c2-bbdf39b4aabe</t>
  </si>
  <si>
    <t>2026-03-09 09:58:11</t>
  </si>
  <si>
    <t>27727989152</t>
  </si>
  <si>
    <t>13555318</t>
  </si>
  <si>
    <t>8946d302-a5d1-47c8-a786-a6a677cbb3a5</t>
  </si>
  <si>
    <t>2026-03-09 09:57:56</t>
  </si>
  <si>
    <t>27662789929</t>
  </si>
  <si>
    <t>13558154</t>
  </si>
  <si>
    <t>8ffbfd90-10dd-4a63-ae37-d286eb63b68d</t>
  </si>
  <si>
    <t>27790720058</t>
  </si>
  <si>
    <t>13558534</t>
  </si>
  <si>
    <t>e43b1be5-06c5-4901-a871-377c06f25012</t>
  </si>
  <si>
    <t>27795062105</t>
  </si>
  <si>
    <t>13558236</t>
  </si>
  <si>
    <t>7f42f18c-b3b5-48e7-9a7b-c38deb61054b</t>
  </si>
  <si>
    <t>27791628503</t>
  </si>
  <si>
    <t>13559487</t>
  </si>
  <si>
    <t>9c6df51b-530f-4616-8c6a-f0ffb114173b</t>
  </si>
  <si>
    <t>27827461288</t>
  </si>
  <si>
    <t>13563365</t>
  </si>
  <si>
    <t>5f4babbb-6bdd-47ec-8e62-83148f22b555</t>
  </si>
  <si>
    <t>27721990307</t>
  </si>
  <si>
    <t>13555437</t>
  </si>
  <si>
    <t>e09adc7e-76ba-46c1-ad7c-54887bce77e7</t>
  </si>
  <si>
    <t>2026-03-09 09:57:55</t>
  </si>
  <si>
    <t>27665530611</t>
  </si>
  <si>
    <t>13556907</t>
  </si>
  <si>
    <t>5cfa8a53-0d63-4808-b882-a40bf8c0b632</t>
  </si>
  <si>
    <t>27728517781</t>
  </si>
  <si>
    <t>13557361</t>
  </si>
  <si>
    <t>1acad4a5-909f-4e73-a4c8-a9eba7b8b912</t>
  </si>
  <si>
    <t>27762918439</t>
  </si>
  <si>
    <t>13556540</t>
  </si>
  <si>
    <t>556ecbad-82e5-4ddd-98b4-31e68ded130a</t>
  </si>
  <si>
    <t>27724871662</t>
  </si>
  <si>
    <t>13564514</t>
  </si>
  <si>
    <t>f73fee05-a2d5-47ee-b179-5b87d67111be</t>
  </si>
  <si>
    <t>27787645547</t>
  </si>
  <si>
    <t>13558375</t>
  </si>
  <si>
    <t>e0df783d-83c8-4859-a1b0-c1f555d4f0dd</t>
  </si>
  <si>
    <t>2026-03-09 09:57:53</t>
  </si>
  <si>
    <t>27793242583</t>
  </si>
  <si>
    <t>13560344</t>
  </si>
  <si>
    <t>8581a921-ad93-49fe-a21d-17c2e0544a67</t>
  </si>
  <si>
    <t>2026-03-09 09:57:12</t>
  </si>
  <si>
    <t>27727562997</t>
  </si>
  <si>
    <t>13555827</t>
  </si>
  <si>
    <t>b33a1b1b-2049-4da0-b023-d19d7e4da290</t>
  </si>
  <si>
    <t>2026-03-09 09:57:05</t>
  </si>
  <si>
    <t>27714476940</t>
  </si>
  <si>
    <t>13559918</t>
  </si>
  <si>
    <t>1cf58f3e-8769-4202-b005-1c5757a08119</t>
  </si>
  <si>
    <t>27714394800</t>
  </si>
  <si>
    <t>13564229</t>
  </si>
  <si>
    <t>e2871320-d0db-4f78-abda-80a533d99754</t>
  </si>
  <si>
    <t>27672690415</t>
  </si>
  <si>
    <t>13564476</t>
  </si>
  <si>
    <t>8c572afe-55d6-4b36-85c7-c5761717f794</t>
  </si>
  <si>
    <t>27767928640</t>
  </si>
  <si>
    <t>13561302</t>
  </si>
  <si>
    <t>b15c9094-533d-43af-86ab-a1e262507a19</t>
  </si>
  <si>
    <t>2026-03-09 09:57:04</t>
  </si>
  <si>
    <t>27664587047</t>
  </si>
  <si>
    <t>13563858</t>
  </si>
  <si>
    <t>b7ee3434-6d6d-4565-80e9-e82160926528</t>
  </si>
  <si>
    <t>27716459474</t>
  </si>
  <si>
    <t>13564014</t>
  </si>
  <si>
    <t>67e17b9f-1b5a-433e-b884-2e87ba737274</t>
  </si>
  <si>
    <t>27726043316</t>
  </si>
  <si>
    <t>13563215</t>
  </si>
  <si>
    <t>9e9c8ea0-318c-40e6-a5c5-94885feea0be</t>
  </si>
  <si>
    <t>27660602440</t>
  </si>
  <si>
    <t>13563332</t>
  </si>
  <si>
    <t>c76b3e8e-6874-43a9-a9b5-72708fc15f78</t>
  </si>
  <si>
    <t>27763447640</t>
  </si>
  <si>
    <t>13563705</t>
  </si>
  <si>
    <t>75329c4a-4c90-4a07-81d8-eefa0891a2db</t>
  </si>
  <si>
    <t>27763280287</t>
  </si>
  <si>
    <t>13564161</t>
  </si>
  <si>
    <t>a29cb6d8-fe9a-456a-94a4-43f119444cc8</t>
  </si>
  <si>
    <t>27648731115</t>
  </si>
  <si>
    <t>13560511</t>
  </si>
  <si>
    <t>1b362286-3521-4151-a60b-ea6925051ea8</t>
  </si>
  <si>
    <t>2026-03-09 09:57:03</t>
  </si>
  <si>
    <t>27827390756</t>
  </si>
  <si>
    <t>13561507</t>
  </si>
  <si>
    <t>0f88f373-f77b-4a20-8b67-ddd657076831</t>
  </si>
  <si>
    <t>27823924120</t>
  </si>
  <si>
    <t>13555467</t>
  </si>
  <si>
    <t>fe46d1a3-0c47-4ec4-b599-65978bf53055</t>
  </si>
  <si>
    <t>2026-03-09 09:57:02</t>
  </si>
  <si>
    <t>27673488857</t>
  </si>
  <si>
    <t>13555734</t>
  </si>
  <si>
    <t>b2efaf2a-7dc3-4a5f-a6f5-4a6c6b7d86b7</t>
  </si>
  <si>
    <t>27713363108</t>
  </si>
  <si>
    <t>13556134</t>
  </si>
  <si>
    <t>7a4b46d5-86c0-4979-b9ee-11f869fcff50</t>
  </si>
  <si>
    <t>27720971339</t>
  </si>
  <si>
    <t>13560201</t>
  </si>
  <si>
    <t>85b80f12-4805-4ba9-bd53-2c35d91064d0</t>
  </si>
  <si>
    <t>27793371608</t>
  </si>
  <si>
    <t>13561353</t>
  </si>
  <si>
    <t>3ea73d1e-6b78-4405-b9f9-6d6cd3aec801</t>
  </si>
  <si>
    <t>2026-03-09 09:56:13</t>
  </si>
  <si>
    <t>27720481481</t>
  </si>
  <si>
    <t>13561414</t>
  </si>
  <si>
    <t>58a461e7-db59-4daf-b223-d718c0afb183</t>
  </si>
  <si>
    <t>27828550845</t>
  </si>
  <si>
    <t>13560293</t>
  </si>
  <si>
    <t>0c11e48b-b623-424f-a1c4-d7e2ba081279</t>
  </si>
  <si>
    <t>2026-03-09 09:56:12</t>
  </si>
  <si>
    <t>27608526951</t>
  </si>
  <si>
    <t>13561668</t>
  </si>
  <si>
    <t>658bb3c7-cdec-481c-9604-891999e1ccae</t>
  </si>
  <si>
    <t>27820632254</t>
  </si>
  <si>
    <t>13561332</t>
  </si>
  <si>
    <t>fda3f22b-303b-4446-bf24-af43f4145517</t>
  </si>
  <si>
    <t>27715205340</t>
  </si>
  <si>
    <t>13561335</t>
  </si>
  <si>
    <t>711e7cd2-2ef6-4f54-b6f6-936842d6a21b</t>
  </si>
  <si>
    <t>27603008340</t>
  </si>
  <si>
    <t>13561349</t>
  </si>
  <si>
    <t>6b2dd3e5-70f2-4340-947d-ab727a64b7d4</t>
  </si>
  <si>
    <t>27606430592</t>
  </si>
  <si>
    <t>13560223</t>
  </si>
  <si>
    <t>f2a3d65c-9eca-4282-acaa-dc9f0d64f32c</t>
  </si>
  <si>
    <t>2026-03-09 09:56:11</t>
  </si>
  <si>
    <t>27774726858</t>
  </si>
  <si>
    <t>13560200</t>
  </si>
  <si>
    <t>95e6e1f2-82cd-4e0f-9873-9cda1e35f90a</t>
  </si>
  <si>
    <t>27607193458</t>
  </si>
  <si>
    <t>13560251</t>
  </si>
  <si>
    <t>b0320d27-172d-44ea-84ba-10146217b40f</t>
  </si>
  <si>
    <t>27721136887</t>
  </si>
  <si>
    <t>13560284</t>
  </si>
  <si>
    <t>1f38f65f-86b8-4147-9d30-b50854e180dc</t>
  </si>
  <si>
    <t>27825062733</t>
  </si>
  <si>
    <t>13560289</t>
  </si>
  <si>
    <t>f8f3b9aa-87db-4fba-8cef-fbe4b151e1a9</t>
  </si>
  <si>
    <t>27797464219</t>
  </si>
  <si>
    <t>13561893</t>
  </si>
  <si>
    <t>2e9b3f02-7713-46a4-a3af-58082ff20f06</t>
  </si>
  <si>
    <t>27673385165</t>
  </si>
  <si>
    <t>13561902</t>
  </si>
  <si>
    <t>87a30e5f-8e07-4b96-98b1-e8321e7d1c81</t>
  </si>
  <si>
    <t>27764273847</t>
  </si>
  <si>
    <t>13561850</t>
  </si>
  <si>
    <t>bc5f57cb-1fa0-4646-b9ff-4919c8f6c947</t>
  </si>
  <si>
    <t>27661389021</t>
  </si>
  <si>
    <t>13561316</t>
  </si>
  <si>
    <t>3c83b175-8b17-47d4-a541-3a1cbeb1bc99</t>
  </si>
  <si>
    <t>27723644963</t>
  </si>
  <si>
    <t>13561869</t>
  </si>
  <si>
    <t>27b4bc11-41d7-4ff9-a58f-278855f9513d</t>
  </si>
  <si>
    <t>27646217566</t>
  </si>
  <si>
    <t>13560066</t>
  </si>
  <si>
    <t>313fdfac-bd02-4ac6-88d8-d6cedf3a679f</t>
  </si>
  <si>
    <t>2026-03-09 09:56:10</t>
  </si>
  <si>
    <t>27713487829</t>
  </si>
  <si>
    <t>13560002</t>
  </si>
  <si>
    <t>76be5d8a-e780-4e8d-a5e0-3e61f032b5cf</t>
  </si>
  <si>
    <t>27661803522</t>
  </si>
  <si>
    <t>13560181</t>
  </si>
  <si>
    <t>6c5e8727-d17e-4657-963b-4c88433e4cb0</t>
  </si>
  <si>
    <t>27796552261</t>
  </si>
  <si>
    <t>13561705</t>
  </si>
  <si>
    <t>9914c221-b4b8-4c3d-9fb2-d1f6cd8c5c2c</t>
  </si>
  <si>
    <t>27824208967</t>
  </si>
  <si>
    <t>13561714</t>
  </si>
  <si>
    <t>c557ddbe-91d2-4b22-a121-189bd22f134e</t>
  </si>
  <si>
    <t>27799219187</t>
  </si>
  <si>
    <t>13561800</t>
  </si>
  <si>
    <t>764a0334-faeb-4c4d-91cb-0a9d286623be</t>
  </si>
  <si>
    <t>27733004528</t>
  </si>
  <si>
    <t>13561750</t>
  </si>
  <si>
    <t>27459233-ba73-4861-8d0c-fc9404227a79</t>
  </si>
  <si>
    <t>27799029098</t>
  </si>
  <si>
    <t>13561775</t>
  </si>
  <si>
    <t>b11eec0d-2863-459f-ac86-4051619082e4</t>
  </si>
  <si>
    <t>27727714614</t>
  </si>
  <si>
    <t>13561695</t>
  </si>
  <si>
    <t>3b722d79-e0fe-43fe-8446-54f729a6d82c</t>
  </si>
  <si>
    <t>2026-03-09 09:56:09</t>
  </si>
  <si>
    <t>27721515262</t>
  </si>
  <si>
    <t>13561696</t>
  </si>
  <si>
    <t>b795a895-41e9-4d50-8950-f687eb3724c8</t>
  </si>
  <si>
    <t>27723114663</t>
  </si>
  <si>
    <t>13559514</t>
  </si>
  <si>
    <t>da6351ea-0feb-4786-947f-1bbf698ab979</t>
  </si>
  <si>
    <t>2026-03-09 09:56:07</t>
  </si>
  <si>
    <t>27827824897</t>
  </si>
  <si>
    <t>13559521</t>
  </si>
  <si>
    <t>c81635d7-52a8-45af-8446-c5de48ef0aa6</t>
  </si>
  <si>
    <t>27827909185</t>
  </si>
  <si>
    <t>13559530</t>
  </si>
  <si>
    <t>459bd567-9b9c-4fd9-8e88-abb57f4ebda2</t>
  </si>
  <si>
    <t>27828052391</t>
  </si>
  <si>
    <t>13558484</t>
  </si>
  <si>
    <t>91947e5c-e5f8-4e19-89a2-b7cc5129e7ef</t>
  </si>
  <si>
    <t>27794488087</t>
  </si>
  <si>
    <t>13559472</t>
  </si>
  <si>
    <t>412d0fe0-e4b3-4ce9-b5fe-b5afc0f316bc</t>
  </si>
  <si>
    <t>2026-03-09 09:56:05</t>
  </si>
  <si>
    <t>27827287856</t>
  </si>
  <si>
    <t>13559413</t>
  </si>
  <si>
    <t>f146f09a-1bbe-41fa-ab24-c0a4521829b9</t>
  </si>
  <si>
    <t>27826650362</t>
  </si>
  <si>
    <t>13559416</t>
  </si>
  <si>
    <t>81c9d2ab-59cf-4f36-8c55-b3f14f8fe13f</t>
  </si>
  <si>
    <t>27826663590</t>
  </si>
  <si>
    <t>13559505</t>
  </si>
  <si>
    <t>e73e7e3c-e6c5-43a8-86c2-0e0fefac3982</t>
  </si>
  <si>
    <t>27827654836</t>
  </si>
  <si>
    <t>13559362</t>
  </si>
  <si>
    <t>b73b092d-e370-497b-9047-84e5798266dd</t>
  </si>
  <si>
    <t>27826066904</t>
  </si>
  <si>
    <t>13559181</t>
  </si>
  <si>
    <t>d662cb9e-94a9-4ff7-a119-1272b8178c94</t>
  </si>
  <si>
    <t>2026-03-09 09:56:04</t>
  </si>
  <si>
    <t>27823937955</t>
  </si>
  <si>
    <t>13559167</t>
  </si>
  <si>
    <t>86b4e442-34c7-4be5-866b-7a2684e0b9f8</t>
  </si>
  <si>
    <t>27823765332</t>
  </si>
  <si>
    <t>13559248</t>
  </si>
  <si>
    <t>44510b59-2cfb-4125-942c-f62a97c3f18e</t>
  </si>
  <si>
    <t>27824720203</t>
  </si>
  <si>
    <t>13559338</t>
  </si>
  <si>
    <t>a85fd95e-6e90-46e2-87c8-2e4c4a6c8b46</t>
  </si>
  <si>
    <t>27825788666</t>
  </si>
  <si>
    <t>13559357</t>
  </si>
  <si>
    <t>a06f2f51-561a-4803-bf55-112914155a70</t>
  </si>
  <si>
    <t>27826000757</t>
  </si>
  <si>
    <t>13559069</t>
  </si>
  <si>
    <t>4dfbf394-4951-4163-9ef9-3031ef29a920</t>
  </si>
  <si>
    <t>2026-03-09 09:56:03</t>
  </si>
  <si>
    <t>27822276788</t>
  </si>
  <si>
    <t>13559152</t>
  </si>
  <si>
    <t>347b9b56-d8a6-4d51-a3a4-d57ee716906b</t>
  </si>
  <si>
    <t>27823558207</t>
  </si>
  <si>
    <t>13555709</t>
  </si>
  <si>
    <t>1719ef9d-0f59-42e0-957e-109f8476a6bc</t>
  </si>
  <si>
    <t>2026-03-09 09:56:02</t>
  </si>
  <si>
    <t>27713127609</t>
  </si>
  <si>
    <t>13555712</t>
  </si>
  <si>
    <t>f4a8f753-833b-4754-8337-fbb9f85ce92c</t>
  </si>
  <si>
    <t>27713138990</t>
  </si>
  <si>
    <t>13558141</t>
  </si>
  <si>
    <t>638d0f01-1df8-4c9f-bdaa-cce50a7269c7</t>
  </si>
  <si>
    <t>27790560180</t>
  </si>
  <si>
    <t>13558735</t>
  </si>
  <si>
    <t>d2972829-58f1-4610-b736-f9e940576e2a</t>
  </si>
  <si>
    <t>27797563082</t>
  </si>
  <si>
    <t>13558873</t>
  </si>
  <si>
    <t>96a95585-9acf-4b1b-9e36-3b31b27bd117</t>
  </si>
  <si>
    <t>27799522272</t>
  </si>
  <si>
    <t>13555466</t>
  </si>
  <si>
    <t>5611668e-6e78-4539-8448-c7263de392cc</t>
  </si>
  <si>
    <t>2026-03-09 09:56:01</t>
  </si>
  <si>
    <t>27673454171</t>
  </si>
  <si>
    <t>13555664</t>
  </si>
  <si>
    <t>7a2dd6d8-1e13-4283-9a2a-44d95b679b03</t>
  </si>
  <si>
    <t>27712691995</t>
  </si>
  <si>
    <t>13555671</t>
  </si>
  <si>
    <t>2571a9d7-d56a-4483-91ad-c66318fdfc68</t>
  </si>
  <si>
    <t>27712804826</t>
  </si>
  <si>
    <t>13555678</t>
  </si>
  <si>
    <t>b0c8ca45-3307-41a9-8033-8469d7bce8ed</t>
  </si>
  <si>
    <t>27712866878</t>
  </si>
  <si>
    <t>13555633</t>
  </si>
  <si>
    <t>1a4004c7-bc75-4961-a4ce-577abbbd15fc</t>
  </si>
  <si>
    <t>27712321760</t>
  </si>
  <si>
    <t>13558645</t>
  </si>
  <si>
    <t>1897c066-7fae-4be9-8a09-be7be73e8b06</t>
  </si>
  <si>
    <t>27796451256</t>
  </si>
  <si>
    <t>13555422</t>
  </si>
  <si>
    <t>0a162a49-b847-466c-8f16-ce3b3fcec923</t>
  </si>
  <si>
    <t>2026-03-09 09:56:00</t>
  </si>
  <si>
    <t>27665158324</t>
  </si>
  <si>
    <t>13555429</t>
  </si>
  <si>
    <t>cb6d7b81-b9a9-4732-976a-c0cb69c27a2a</t>
  </si>
  <si>
    <t>27665341714</t>
  </si>
  <si>
    <t>13560215</t>
  </si>
  <si>
    <t>cd311981-6f21-442b-9fc9-226292652218</t>
  </si>
  <si>
    <t>2026-03-09 09:55:04</t>
  </si>
  <si>
    <t>27769972850</t>
  </si>
  <si>
    <t>13561203</t>
  </si>
  <si>
    <t>ce46e2b8-317a-4f0d-b5d0-12ce414a8bc7</t>
  </si>
  <si>
    <t>27647241303</t>
  </si>
  <si>
    <t>13561539</t>
  </si>
  <si>
    <t>5935f1a5-5b7a-4585-a380-764ddbecf8d6</t>
  </si>
  <si>
    <t>27837253105</t>
  </si>
  <si>
    <t>13561469</t>
  </si>
  <si>
    <t>3566c3da-9d79-405c-bf8e-76418d68f872</t>
  </si>
  <si>
    <t>27818093275</t>
  </si>
  <si>
    <t>13561550</t>
  </si>
  <si>
    <t>a798c5ee-d1c7-4dd9-815b-a593778bd4d6</t>
  </si>
  <si>
    <t>27760853065</t>
  </si>
  <si>
    <t>13558895</t>
  </si>
  <si>
    <t>d7536251-4681-49fb-8118-a9b3ce26a138</t>
  </si>
  <si>
    <t>2026-03-09 09:55:03</t>
  </si>
  <si>
    <t>27799755150</t>
  </si>
  <si>
    <t>13558836</t>
  </si>
  <si>
    <t>029444c9-44fa-4004-a448-25ebfdb96609</t>
  </si>
  <si>
    <t>27799097082</t>
  </si>
  <si>
    <t>13558860</t>
  </si>
  <si>
    <t>ad62c815-583a-4a0b-a768-e7d53e9152e6</t>
  </si>
  <si>
    <t>27799427162</t>
  </si>
  <si>
    <t>13559022</t>
  </si>
  <si>
    <t>7677217c-5d0d-43e6-85f4-557eaca1e34b</t>
  </si>
  <si>
    <t>27820661505</t>
  </si>
  <si>
    <t>13559150</t>
  </si>
  <si>
    <t>8e84fe15-5056-4d55-a579-7077423bdda5</t>
  </si>
  <si>
    <t>27823548603</t>
  </si>
  <si>
    <t>13558461</t>
  </si>
  <si>
    <t>d405cf56-957c-4be4-a388-b17fd0c2d4e6</t>
  </si>
  <si>
    <t>27794283060</t>
  </si>
  <si>
    <t>13558508</t>
  </si>
  <si>
    <t>123fbad5-a83e-47dc-a2a8-43641509e632</t>
  </si>
  <si>
    <t>27794748645</t>
  </si>
  <si>
    <t>13560210</t>
  </si>
  <si>
    <t>3a96968a-b958-45ad-8ac8-20103861dbad</t>
  </si>
  <si>
    <t>27791303329</t>
  </si>
  <si>
    <t>13560276</t>
  </si>
  <si>
    <t>d6e40ad3-fa0c-40dd-8b03-bcce7fe3f72b</t>
  </si>
  <si>
    <t>27828479085</t>
  </si>
  <si>
    <t>13561190</t>
  </si>
  <si>
    <t>4878ff9c-ecb7-4820-90fd-ff40b961f3cf</t>
  </si>
  <si>
    <t>27637394175</t>
  </si>
  <si>
    <t>13558822</t>
  </si>
  <si>
    <t>30759d76-d40b-47f2-859d-514a5d43ab0c</t>
  </si>
  <si>
    <t>2026-03-09 09:55:02</t>
  </si>
  <si>
    <t>27798769026</t>
  </si>
  <si>
    <t>13558899</t>
  </si>
  <si>
    <t>2e357a5f-a811-4d32-b340-712a81c7ceb2</t>
  </si>
  <si>
    <t>27799777968</t>
  </si>
  <si>
    <t>13558927</t>
  </si>
  <si>
    <t>3e78b211-fad9-4d99-a727-4124f8c9dd67</t>
  </si>
  <si>
    <t>27818034329</t>
  </si>
  <si>
    <t>13558996</t>
  </si>
  <si>
    <t>e7241a8f-74d1-471a-add1-5ba688b8adfc</t>
  </si>
  <si>
    <t>27818963940</t>
  </si>
  <si>
    <t>13559005</t>
  </si>
  <si>
    <t>df148139-b729-4a8a-b455-1e68bfda3561</t>
  </si>
  <si>
    <t>27820489484</t>
  </si>
  <si>
    <t>13558796</t>
  </si>
  <si>
    <t>677e266a-47b7-4421-856e-5013099cfcf7</t>
  </si>
  <si>
    <t>2026-03-09 09:55:00</t>
  </si>
  <si>
    <t>27798358021</t>
  </si>
  <si>
    <t>13558805</t>
  </si>
  <si>
    <t>7c1f2247-2508-4593-997b-a2ea4d247741</t>
  </si>
  <si>
    <t>27798440899</t>
  </si>
  <si>
    <t>13558755</t>
  </si>
  <si>
    <t>2f4a057e-eb9d-46ed-94b9-f3b24ba39d57</t>
  </si>
  <si>
    <t>27797807831</t>
  </si>
  <si>
    <t>13558688</t>
  </si>
  <si>
    <t>ebcb3efc-c82b-4a03-9b1b-ad186876f628</t>
  </si>
  <si>
    <t>2026-03-09 09:54:59</t>
  </si>
  <si>
    <t>27796939679</t>
  </si>
  <si>
    <t>13558644</t>
  </si>
  <si>
    <t>6a89b997-b832-476f-b461-5e57d9e6dd9c</t>
  </si>
  <si>
    <t>27796436759</t>
  </si>
  <si>
    <t>13558667</t>
  </si>
  <si>
    <t>eeb3291a-a972-4ab7-94d0-7543b538eb26</t>
  </si>
  <si>
    <t>27796693583</t>
  </si>
  <si>
    <t>13558724</t>
  </si>
  <si>
    <t>83717fa2-67e6-46e3-887b-12b3c1b27f9a</t>
  </si>
  <si>
    <t>27797437957</t>
  </si>
  <si>
    <t>13558597</t>
  </si>
  <si>
    <t>d6fd7680-5301-4f53-a163-5aefba6050f8</t>
  </si>
  <si>
    <t>2026-03-09 09:54:56</t>
  </si>
  <si>
    <t>27795964074</t>
  </si>
  <si>
    <t>13558607</t>
  </si>
  <si>
    <t>b3cded35-1bf7-4f6b-b95c-581de2329c48</t>
  </si>
  <si>
    <t>27796072539</t>
  </si>
  <si>
    <t>13558608</t>
  </si>
  <si>
    <t>1ae2a96b-a51a-4d64-aa3d-287560bc0710</t>
  </si>
  <si>
    <t>27796078707</t>
  </si>
  <si>
    <t>13558561</t>
  </si>
  <si>
    <t>5bb71c5b-0b53-4630-8cc8-8e98f0962bf6</t>
  </si>
  <si>
    <t>27795535779</t>
  </si>
  <si>
    <t>13558630</t>
  </si>
  <si>
    <t>4b9cd269-9c52-4c33-951b-c3269c932ce0</t>
  </si>
  <si>
    <t>27796289610</t>
  </si>
  <si>
    <t>13558641</t>
  </si>
  <si>
    <t>5e348828-ed8d-4592-9433-54ba4f823914</t>
  </si>
  <si>
    <t>27796399215</t>
  </si>
  <si>
    <t>13557953</t>
  </si>
  <si>
    <t>177cd8a5-0446-437a-aaf2-64b92f67bb77</t>
  </si>
  <si>
    <t>2026-03-09 09:54:55</t>
  </si>
  <si>
    <t>27769015247</t>
  </si>
  <si>
    <t>13557842</t>
  </si>
  <si>
    <t>342ed0c0-cdc1-4d9c-82e6-f8973789fc3e</t>
  </si>
  <si>
    <t>27767868115</t>
  </si>
  <si>
    <t>13558008</t>
  </si>
  <si>
    <t>e1344387-6f9c-44be-b99a-b5133145b9e6</t>
  </si>
  <si>
    <t>27769574910</t>
  </si>
  <si>
    <t>13557936</t>
  </si>
  <si>
    <t>ca4683d6-a4b2-4f16-b3a0-37f00f617aee</t>
  </si>
  <si>
    <t>27768834917</t>
  </si>
  <si>
    <t>13557950</t>
  </si>
  <si>
    <t>80960e32-e193-452d-b92f-3477fd310196</t>
  </si>
  <si>
    <t>27768981890</t>
  </si>
  <si>
    <t>13558250</t>
  </si>
  <si>
    <t>3611c378-a1d8-406a-a49e-ad07025bfde8</t>
  </si>
  <si>
    <t>27791824388</t>
  </si>
  <si>
    <t>13558588</t>
  </si>
  <si>
    <t>95ab4095-cb30-4e3e-9c30-300ae7978970</t>
  </si>
  <si>
    <t>27795820325</t>
  </si>
  <si>
    <t>13558590</t>
  </si>
  <si>
    <t>b9020eed-e8e5-4d4e-b15c-cc9d7bdfab1c</t>
  </si>
  <si>
    <t>27795888035</t>
  </si>
  <si>
    <t>13558528</t>
  </si>
  <si>
    <t>571cbc70-224d-47f9-9038-fa6c803d6b85</t>
  </si>
  <si>
    <t>27794931253</t>
  </si>
  <si>
    <t>13558544</t>
  </si>
  <si>
    <t>d7881837-7965-4518-8bb2-e75c31d54ac9</t>
  </si>
  <si>
    <t>27795327773</t>
  </si>
  <si>
    <t>13558223</t>
  </si>
  <si>
    <t>b3f68c1a-89d2-4660-9425-7e930c7956e4</t>
  </si>
  <si>
    <t>27791482616</t>
  </si>
  <si>
    <t>13558239</t>
  </si>
  <si>
    <t>b9af6502-4442-4d93-b173-f5036dbd06df</t>
  </si>
  <si>
    <t>27791668798</t>
  </si>
  <si>
    <t>13557804</t>
  </si>
  <si>
    <t>4cc1d5d9-6078-4e5c-abd7-7c5e84ca5e90</t>
  </si>
  <si>
    <t>2026-03-09 09:54:54</t>
  </si>
  <si>
    <t>27767550340</t>
  </si>
  <si>
    <t>13557816</t>
  </si>
  <si>
    <t>1ce4e7d2-7687-4023-b9d5-294285c326bd</t>
  </si>
  <si>
    <t>27767658754</t>
  </si>
  <si>
    <t>13557819</t>
  </si>
  <si>
    <t>fe4becd8-f942-4566-9e2e-197b034a6ac5</t>
  </si>
  <si>
    <t>27767687575</t>
  </si>
  <si>
    <t>13558066</t>
  </si>
  <si>
    <t>80ce4ed8-1c48-4bef-bec5-f81794f23a6d</t>
  </si>
  <si>
    <t>27780675805</t>
  </si>
  <si>
    <t>13558093</t>
  </si>
  <si>
    <t>2dc01797-569a-4b3f-a2de-ba330a7099ec</t>
  </si>
  <si>
    <t>27790121609</t>
  </si>
  <si>
    <t>13558159</t>
  </si>
  <si>
    <t>c23f5969-8cc0-4ae9-b2b5-b002af586db7</t>
  </si>
  <si>
    <t>27790778035</t>
  </si>
  <si>
    <t>13558222</t>
  </si>
  <si>
    <t>5d83489e-edff-4e50-8eb1-baea4a26b74d</t>
  </si>
  <si>
    <t>27791478296</t>
  </si>
  <si>
    <t>13557705</t>
  </si>
  <si>
    <t>0ebc6f42-f394-456d-82ac-46f7455f9ee5</t>
  </si>
  <si>
    <t>2026-03-09 09:54:52</t>
  </si>
  <si>
    <t>27766542360</t>
  </si>
  <si>
    <t>13557727</t>
  </si>
  <si>
    <t>deb6dc88-5783-4bd1-bd5b-85da7d47d90b</t>
  </si>
  <si>
    <t>27766754247</t>
  </si>
  <si>
    <t>13557785</t>
  </si>
  <si>
    <t>c449f7de-59cf-4b18-9556-758ac0b03590</t>
  </si>
  <si>
    <t>27767395504</t>
  </si>
  <si>
    <t>13557676</t>
  </si>
  <si>
    <t>43c37303-4f0d-480a-add2-6c27b775cd42</t>
  </si>
  <si>
    <t>2026-03-09 09:54:51</t>
  </si>
  <si>
    <t>27766297485</t>
  </si>
  <si>
    <t>13557689</t>
  </si>
  <si>
    <t>5f1b3e20-a9b4-48e4-967f-029d18a12f32</t>
  </si>
  <si>
    <t>27766397763</t>
  </si>
  <si>
    <t>13557696</t>
  </si>
  <si>
    <t>54ddd69b-d7be-43c7-8510-d97f514e579b</t>
  </si>
  <si>
    <t>27766425495</t>
  </si>
  <si>
    <t>13558414</t>
  </si>
  <si>
    <t>7b6dab2a-3d41-47fe-9060-17c75c7cdf3d</t>
  </si>
  <si>
    <t>2026-03-09 09:54:50</t>
  </si>
  <si>
    <t>27793687523</t>
  </si>
  <si>
    <t>13557554</t>
  </si>
  <si>
    <t>f5cec3af-ad93-4715-b58f-35acdf066b26</t>
  </si>
  <si>
    <t>27765079678</t>
  </si>
  <si>
    <t>13557643</t>
  </si>
  <si>
    <t>9f904872-d233-4d44-97fc-3c755d25d725</t>
  </si>
  <si>
    <t>27765934995</t>
  </si>
  <si>
    <t>13557652</t>
  </si>
  <si>
    <t>7a895017-0b13-44f6-941f-8a7583b7a6f8</t>
  </si>
  <si>
    <t>27766118890</t>
  </si>
  <si>
    <t>13557370</t>
  </si>
  <si>
    <t>a21f12e4-ebb5-40b4-be99-b03dc2ae0274</t>
  </si>
  <si>
    <t>2026-03-09 09:54:49</t>
  </si>
  <si>
    <t>27762957439</t>
  </si>
  <si>
    <t>13556486</t>
  </si>
  <si>
    <t>4f7aac6c-b9d3-4d30-bce2-b3f8d223525f</t>
  </si>
  <si>
    <t>27724408296</t>
  </si>
  <si>
    <t>13557399</t>
  </si>
  <si>
    <t>6427ca62-38d0-4389-af3a-ad2ed845a2c0</t>
  </si>
  <si>
    <t>27763189677</t>
  </si>
  <si>
    <t>13558372</t>
  </si>
  <si>
    <t>63d208f3-f190-432c-927a-25d25afcff44</t>
  </si>
  <si>
    <t>27793199365</t>
  </si>
  <si>
    <t>13556064</t>
  </si>
  <si>
    <t>71473039-3b99-4684-ad46-a5e6310b3835</t>
  </si>
  <si>
    <t>2026-03-09 09:54:48</t>
  </si>
  <si>
    <t>27720474701</t>
  </si>
  <si>
    <t>13556174</t>
  </si>
  <si>
    <t>bb820984-d821-4664-8c1d-183357ae3a18</t>
  </si>
  <si>
    <t>27721290069</t>
  </si>
  <si>
    <t>13557270</t>
  </si>
  <si>
    <t>a6bc61a5-f02a-4573-ba4d-1dafdefeed3c</t>
  </si>
  <si>
    <t>2026-03-09 09:54:30</t>
  </si>
  <si>
    <t>27761892175</t>
  </si>
  <si>
    <t>13557310</t>
  </si>
  <si>
    <t>275ed7c8-a793-4812-a338-61b5fe04ad94</t>
  </si>
  <si>
    <t>27762351852</t>
  </si>
  <si>
    <t>13558415</t>
  </si>
  <si>
    <t>3e0fe2a4-3c1a-4104-8e2f-94d21c93e97b</t>
  </si>
  <si>
    <t>27793690046</t>
  </si>
  <si>
    <t>13557612</t>
  </si>
  <si>
    <t>a8ac9922-a0c3-4695-872b-de34e8bb03bc</t>
  </si>
  <si>
    <t>27765635800</t>
  </si>
  <si>
    <t>13557238</t>
  </si>
  <si>
    <t>f9ae4e56-d44c-4979-851b-3e7c53648b85</t>
  </si>
  <si>
    <t>2026-03-09 09:54:29</t>
  </si>
  <si>
    <t>27761608787</t>
  </si>
  <si>
    <t>13557247</t>
  </si>
  <si>
    <t>b00d0880-cc09-4e20-b586-acfb8d021a3f</t>
  </si>
  <si>
    <t>27761702444</t>
  </si>
  <si>
    <t>13557210</t>
  </si>
  <si>
    <t>2dc772c7-a7bb-418e-879d-a8ab299543cd</t>
  </si>
  <si>
    <t>27761294371</t>
  </si>
  <si>
    <t>13557222</t>
  </si>
  <si>
    <t>3c3938be-4600-4867-a2cf-0ed8db9e41e8</t>
  </si>
  <si>
    <t>27761407161</t>
  </si>
  <si>
    <t>13557314</t>
  </si>
  <si>
    <t>961e4887-b009-4a14-9547-eb6ae31f6f66</t>
  </si>
  <si>
    <t>27762394903</t>
  </si>
  <si>
    <t>13557442</t>
  </si>
  <si>
    <t>3481c5d8-9fb9-46e0-8330-4ba598d7d4c9</t>
  </si>
  <si>
    <t>27763792295</t>
  </si>
  <si>
    <t>13557358</t>
  </si>
  <si>
    <t>37414760-93bd-4269-a509-80eb910e6ccb</t>
  </si>
  <si>
    <t>27762888280</t>
  </si>
  <si>
    <t>13556416</t>
  </si>
  <si>
    <t>f1fe620c-a4d7-46f4-b34c-de48e78775bf</t>
  </si>
  <si>
    <t>27723637777</t>
  </si>
  <si>
    <t>13558334</t>
  </si>
  <si>
    <t>d459e0d9-853e-4ba0-90c4-f070bf1294bf</t>
  </si>
  <si>
    <t>27792926931</t>
  </si>
  <si>
    <t>13556979</t>
  </si>
  <si>
    <t>0f80e3cb-2529-4802-9189-fb6eb51c5d52</t>
  </si>
  <si>
    <t>2026-03-09 09:54:28</t>
  </si>
  <si>
    <t>27729173987</t>
  </si>
  <si>
    <t>13556928</t>
  </si>
  <si>
    <t>5a4f4a73-f5f5-4790-a9bd-531a44612689</t>
  </si>
  <si>
    <t>27728752536</t>
  </si>
  <si>
    <t>13557134</t>
  </si>
  <si>
    <t>59ab90d8-20c5-4d21-a1d6-e1ee6702bbbe</t>
  </si>
  <si>
    <t>27760542133</t>
  </si>
  <si>
    <t>13557172</t>
  </si>
  <si>
    <t>8ff9cfba-aa72-415f-bd0c-075f35df40bb</t>
  </si>
  <si>
    <t>27760933323</t>
  </si>
  <si>
    <t>13557177</t>
  </si>
  <si>
    <t>bc33aff5-cf2d-4933-89d3-3cab6ac3daea</t>
  </si>
  <si>
    <t>27760967240</t>
  </si>
  <si>
    <t>13557192</t>
  </si>
  <si>
    <t>6301517f-39c5-4cc6-86cd-aa58c2690b0d</t>
  </si>
  <si>
    <t>27761125572</t>
  </si>
  <si>
    <t>13557116</t>
  </si>
  <si>
    <t>6c122ee7-1426-4d55-ae4d-517cadfe0a53</t>
  </si>
  <si>
    <t>27760346666</t>
  </si>
  <si>
    <t>13557124</t>
  </si>
  <si>
    <t>d4c1adf3-d218-4824-9394-00c5285221db</t>
  </si>
  <si>
    <t>27760471065</t>
  </si>
  <si>
    <t>13556862</t>
  </si>
  <si>
    <t>6a4039e4-683f-495b-b2d7-8e464b209568</t>
  </si>
  <si>
    <t>2026-03-09 09:54:27</t>
  </si>
  <si>
    <t>27728115309</t>
  </si>
  <si>
    <t>13556864</t>
  </si>
  <si>
    <t>92d1b535-a3fe-457c-8dbe-4248330e7050</t>
  </si>
  <si>
    <t>27728141620</t>
  </si>
  <si>
    <t>13556891</t>
  </si>
  <si>
    <t>e49fb10a-7f4f-4b5b-ad45-38454bee2fac</t>
  </si>
  <si>
    <t>27728335835</t>
  </si>
  <si>
    <t>13556897</t>
  </si>
  <si>
    <t>d41e77a0-34bd-41e0-8aac-e056394145ee</t>
  </si>
  <si>
    <t>27728395306</t>
  </si>
  <si>
    <t>13556908</t>
  </si>
  <si>
    <t>534ff266-b355-4163-a0e4-40c2238c5853</t>
  </si>
  <si>
    <t>27728527344</t>
  </si>
  <si>
    <t>13556984</t>
  </si>
  <si>
    <t>c5618bc0-3397-4759-91b8-7da1eeb3b54b</t>
  </si>
  <si>
    <t>27729225228</t>
  </si>
  <si>
    <t>13557059</t>
  </si>
  <si>
    <t>c5339a29-48c2-4680-aa67-d1cf0b669db3</t>
  </si>
  <si>
    <t>27731212000</t>
  </si>
  <si>
    <t>13557062</t>
  </si>
  <si>
    <t>8e87370d-4ee5-4375-a7b5-d1ce4b7ca162</t>
  </si>
  <si>
    <t>27732170161</t>
  </si>
  <si>
    <t>13557077</t>
  </si>
  <si>
    <t>b4b8ce9f-9041-4342-b83a-236611382bfd</t>
  </si>
  <si>
    <t>27734935156</t>
  </si>
  <si>
    <t>13556838</t>
  </si>
  <si>
    <t>ac38a45b-a76f-4ebd-83d5-cb3f701fbbfc</t>
  </si>
  <si>
    <t>2026-03-09 09:54:26</t>
  </si>
  <si>
    <t>27727949200</t>
  </si>
  <si>
    <t>13556775</t>
  </si>
  <si>
    <t>d90753b7-18f9-4981-84e9-15079b9d841f</t>
  </si>
  <si>
    <t>27727369252</t>
  </si>
  <si>
    <t>13556784</t>
  </si>
  <si>
    <t>e0ffbe8e-7461-4ac1-b45e-72a208811851</t>
  </si>
  <si>
    <t>27727429032</t>
  </si>
  <si>
    <t>13556150</t>
  </si>
  <si>
    <t>9d22068d-7464-4133-aac9-7962fd2b646d</t>
  </si>
  <si>
    <t>2026-03-09 09:54:25</t>
  </si>
  <si>
    <t>27721092773</t>
  </si>
  <si>
    <t>13556154</t>
  </si>
  <si>
    <t>a8130d4c-14d0-4a31-83fc-44a4113ee38a</t>
  </si>
  <si>
    <t>27721117704</t>
  </si>
  <si>
    <t>13556598</t>
  </si>
  <si>
    <t>d2846bc8-d60a-4b17-9b2e-3a4257ab4761</t>
  </si>
  <si>
    <t>27725398800</t>
  </si>
  <si>
    <t>13556603</t>
  </si>
  <si>
    <t>8eb5b34d-39ad-467e-84e4-e2c988ae096f</t>
  </si>
  <si>
    <t>27725472749</t>
  </si>
  <si>
    <t>13556610</t>
  </si>
  <si>
    <t>bf5b0bf3-3f53-40ea-b542-d57d64049208</t>
  </si>
  <si>
    <t>27725540351</t>
  </si>
  <si>
    <t>13556765</t>
  </si>
  <si>
    <t>97116aff-c489-473f-827e-a429bedc2771</t>
  </si>
  <si>
    <t>27727264416</t>
  </si>
  <si>
    <t>13556725</t>
  </si>
  <si>
    <t>69eeff69-75a5-4816-a4a7-b51a05d3a413</t>
  </si>
  <si>
    <t>27726887770</t>
  </si>
  <si>
    <t>13556728</t>
  </si>
  <si>
    <t>b7a5d95e-64d2-427f-8d38-11bfec70089c</t>
  </si>
  <si>
    <t>27726902820</t>
  </si>
  <si>
    <t>13556061</t>
  </si>
  <si>
    <t>0395dfda-cb77-460b-8052-90a68f2bce8a</t>
  </si>
  <si>
    <t>2026-03-09 09:54:24</t>
  </si>
  <si>
    <t>27720410316</t>
  </si>
  <si>
    <t>13556143</t>
  </si>
  <si>
    <t>264d280a-f21d-46e3-b148-91a064c2bc56</t>
  </si>
  <si>
    <t>27721041956</t>
  </si>
  <si>
    <t>13556146</t>
  </si>
  <si>
    <t>d27c7635-3509-44f5-8cab-4a1d79246a5a</t>
  </si>
  <si>
    <t>27721067009</t>
  </si>
  <si>
    <t>13556095</t>
  </si>
  <si>
    <t>c3635746-244a-43da-ba67-2a22186b6eb2</t>
  </si>
  <si>
    <t>27720672044</t>
  </si>
  <si>
    <t>13556111</t>
  </si>
  <si>
    <t>790f0001-b3e6-49cc-a916-782f5f992209</t>
  </si>
  <si>
    <t>27720796572</t>
  </si>
  <si>
    <t>13556655</t>
  </si>
  <si>
    <t>6301b3cd-4fdc-4b94-9893-e4299c176c5d</t>
  </si>
  <si>
    <t>27726093385</t>
  </si>
  <si>
    <t>13556661</t>
  </si>
  <si>
    <t>dd118e21-74ec-4dbc-b7c8-a3af3fedbaa6</t>
  </si>
  <si>
    <t>27726146554</t>
  </si>
  <si>
    <t>13556667</t>
  </si>
  <si>
    <t>736d2dd1-3b3f-46ff-a9c5-a95b834c8e74</t>
  </si>
  <si>
    <t>27726259123</t>
  </si>
  <si>
    <t>13556625</t>
  </si>
  <si>
    <t>da9bd494-4661-489e-8a03-e913d46bcaaa</t>
  </si>
  <si>
    <t>27725617051</t>
  </si>
  <si>
    <t>13556704</t>
  </si>
  <si>
    <t>5ed7d444-a622-463d-b339-8164c3e47b73</t>
  </si>
  <si>
    <t>27726702113</t>
  </si>
  <si>
    <t>13556032</t>
  </si>
  <si>
    <t>c9764d7b-0d1d-41e8-b6f5-7294272bac5a</t>
  </si>
  <si>
    <t>2026-03-09 09:54:22</t>
  </si>
  <si>
    <t>27718266356</t>
  </si>
  <si>
    <t>13556033</t>
  </si>
  <si>
    <t>e1db8782-7e84-4b00-99b5-a67e67e12e7a</t>
  </si>
  <si>
    <t>27718719952</t>
  </si>
  <si>
    <t>13556039</t>
  </si>
  <si>
    <t>a67c2192-05f1-4126-8c28-e6af89cb767a</t>
  </si>
  <si>
    <t>27720119664</t>
  </si>
  <si>
    <t>13556029</t>
  </si>
  <si>
    <t>49909543-f018-4272-b553-05f73a21aeb6</t>
  </si>
  <si>
    <t>2026-03-09 09:54:21</t>
  </si>
  <si>
    <t>27717651472</t>
  </si>
  <si>
    <t>13556025</t>
  </si>
  <si>
    <t>e62ac8ad-2586-4d8c-ad36-1252cf239d99</t>
  </si>
  <si>
    <t>2026-03-09 09:54:20</t>
  </si>
  <si>
    <t>27716837442</t>
  </si>
  <si>
    <t>13556028</t>
  </si>
  <si>
    <t>51c0cd77-4fb6-4675-a0f3-2a624cff90e6</t>
  </si>
  <si>
    <t>27716895668</t>
  </si>
  <si>
    <t>13555988</t>
  </si>
  <si>
    <t>f52650ea-8781-4d19-baef-58c3afecc32e</t>
  </si>
  <si>
    <t>2026-03-09 09:54:07</t>
  </si>
  <si>
    <t>27716113100</t>
  </si>
  <si>
    <t>13556011</t>
  </si>
  <si>
    <t>4bfdf09c-f253-4011-8854-90612dbc95d7</t>
  </si>
  <si>
    <t>27716473368</t>
  </si>
  <si>
    <t>13555952</t>
  </si>
  <si>
    <t>d98c4840-0263-4bac-95bc-20d8bff00158</t>
  </si>
  <si>
    <t>2026-03-09 09:54:06</t>
  </si>
  <si>
    <t>27715762027</t>
  </si>
  <si>
    <t>13555979</t>
  </si>
  <si>
    <t>ce39ad55-8d51-4c3e-b496-af9c47f4841b</t>
  </si>
  <si>
    <t>27715932258</t>
  </si>
  <si>
    <t>13555928</t>
  </si>
  <si>
    <t>a9072b1f-a147-4845-b0c3-420be5e1435d</t>
  </si>
  <si>
    <t>27715566134</t>
  </si>
  <si>
    <t>13555889</t>
  </si>
  <si>
    <t>f14be712-37a2-4fdc-9d6c-93e398303c81</t>
  </si>
  <si>
    <t>2026-03-09 09:54:02</t>
  </si>
  <si>
    <t>27715247493</t>
  </si>
  <si>
    <t>13555893</t>
  </si>
  <si>
    <t>c497a523-1ede-429b-8c87-a0b924c267d7</t>
  </si>
  <si>
    <t>27715269781</t>
  </si>
  <si>
    <t>13555906</t>
  </si>
  <si>
    <t>d759f53e-b3eb-490f-9140-c3c637066bb6</t>
  </si>
  <si>
    <t>27715411699</t>
  </si>
  <si>
    <t>13555870</t>
  </si>
  <si>
    <t>d976d8f9-6a1d-4756-9911-69935b573787</t>
  </si>
  <si>
    <t>2026-03-09 09:54:01</t>
  </si>
  <si>
    <t>27715068999</t>
  </si>
  <si>
    <t>13555835</t>
  </si>
  <si>
    <t>added93b-5043-4fa1-808f-aeacabae1fd5</t>
  </si>
  <si>
    <t>27714610271</t>
  </si>
  <si>
    <t>13555845</t>
  </si>
  <si>
    <t>870c10aa-ce9e-4a81-8aca-1b103ddb66c2</t>
  </si>
  <si>
    <t>27714802639</t>
  </si>
  <si>
    <t>13555821</t>
  </si>
  <si>
    <t>788eed07-30dd-43c2-9ac8-5e0c18bedf6b</t>
  </si>
  <si>
    <t>2026-03-09 09:53:56</t>
  </si>
  <si>
    <t>27714405603</t>
  </si>
  <si>
    <t>13555829</t>
  </si>
  <si>
    <t>aea887c4-d436-4be9-8f1e-126ab7ee03ea</t>
  </si>
  <si>
    <t>27714502872</t>
  </si>
  <si>
    <t>13555808</t>
  </si>
  <si>
    <t>bb647866-926f-4406-b1f2-42cfaf90cac5</t>
  </si>
  <si>
    <t>2026-03-09 09:53:55</t>
  </si>
  <si>
    <t>27714281886</t>
  </si>
  <si>
    <t>13555813</t>
  </si>
  <si>
    <t>38fce07e-5c57-4b13-a682-fbea79e6072f</t>
  </si>
  <si>
    <t>27714346622</t>
  </si>
  <si>
    <t>13555816</t>
  </si>
  <si>
    <t>30dc9b68-7d20-4649-ba4a-261e82121093</t>
  </si>
  <si>
    <t>27714358241</t>
  </si>
  <si>
    <t>13555792</t>
  </si>
  <si>
    <t>3a9ef021-781a-4b8d-b4dc-4c90d652afe9</t>
  </si>
  <si>
    <t>2026-03-09 09:53:54</t>
  </si>
  <si>
    <t>27714034673</t>
  </si>
  <si>
    <t>13555795</t>
  </si>
  <si>
    <t>d1c63e7e-d980-436a-87a7-5d0b124d5f73</t>
  </si>
  <si>
    <t>27714097235</t>
  </si>
  <si>
    <t>13555802</t>
  </si>
  <si>
    <t>b29d43f6-30c0-496e-bb75-2d8fcee14d42</t>
  </si>
  <si>
    <t>27714194424</t>
  </si>
  <si>
    <t>13555757</t>
  </si>
  <si>
    <t>8b2282e1-9e4d-4231-87e2-072bca055faf</t>
  </si>
  <si>
    <t>2026-03-09 09:53:53</t>
  </si>
  <si>
    <t>27713707264</t>
  </si>
  <si>
    <t>13555779</t>
  </si>
  <si>
    <t>15f6864d-7e5a-4ae7-99bc-0dd1b323e15f</t>
  </si>
  <si>
    <t>27713906294</t>
  </si>
  <si>
    <t>13555752</t>
  </si>
  <si>
    <t>8ba9b1df-f405-41fe-83c1-faa0399cc61d</t>
  </si>
  <si>
    <t>2026-03-09 09:53:52</t>
  </si>
  <si>
    <t>27713636838</t>
  </si>
  <si>
    <t>13560219</t>
  </si>
  <si>
    <t>5e506115-dc04-4367-9fb1-2cfb7416fdc6</t>
  </si>
  <si>
    <t>27660243693</t>
  </si>
  <si>
    <t>13559816</t>
  </si>
  <si>
    <t>7476cb24-99c7-4ffe-911d-0104205d2bce</t>
  </si>
  <si>
    <t>2026-03-09 09:53:01</t>
  </si>
  <si>
    <t>27793564800</t>
  </si>
  <si>
    <t>13562811</t>
  </si>
  <si>
    <t>b7257a48-79b6-4293-b3c3-a901bfc7ec15</t>
  </si>
  <si>
    <t>27728072897</t>
  </si>
  <si>
    <t>13562857</t>
  </si>
  <si>
    <t>4befaff6-bb12-412f-b625-82ed6e98139d</t>
  </si>
  <si>
    <t>27723791124</t>
  </si>
  <si>
    <t>13562773</t>
  </si>
  <si>
    <t>29570a9c-68f4-4e34-8c6c-ac25ab7ceee2</t>
  </si>
  <si>
    <t>2026-03-09 09:52:58</t>
  </si>
  <si>
    <t>27727645919</t>
  </si>
  <si>
    <t>13562776</t>
  </si>
  <si>
    <t>31a14384-46ab-47a6-8654-0b3ad52a738d</t>
  </si>
  <si>
    <t>27648535200</t>
  </si>
  <si>
    <t>13562752</t>
  </si>
  <si>
    <t>625d220d-3228-4741-9159-61ec5eb16a58</t>
  </si>
  <si>
    <t>2026-03-09 09:52:57</t>
  </si>
  <si>
    <t>27744080540</t>
  </si>
  <si>
    <t>13562755</t>
  </si>
  <si>
    <t>eb0ec95a-994d-4e8b-83f9-2d7b52573869</t>
  </si>
  <si>
    <t>27725003595</t>
  </si>
  <si>
    <t>13563929</t>
  </si>
  <si>
    <t>0ea973fd-e230-4b17-b8f2-ef413bcfdf5e</t>
  </si>
  <si>
    <t>2026-03-09 09:52:56</t>
  </si>
  <si>
    <t>27769340751</t>
  </si>
  <si>
    <t>13563940</t>
  </si>
  <si>
    <t>a64d10cd-f977-442c-9ce8-dbc696e98566</t>
  </si>
  <si>
    <t>27728309685</t>
  </si>
  <si>
    <t>13563956</t>
  </si>
  <si>
    <t>66610288-8abd-4c0e-854e-dcc4d0789cae</t>
  </si>
  <si>
    <t>27607264157</t>
  </si>
  <si>
    <t>13562698</t>
  </si>
  <si>
    <t>56115dc8-5955-4414-a7da-9fc5e6e6b0ac</t>
  </si>
  <si>
    <t>27729646644</t>
  </si>
  <si>
    <t>13562706</t>
  </si>
  <si>
    <t>4dead33b-cffb-4d75-a5f4-325562fc0b45</t>
  </si>
  <si>
    <t>27715010945</t>
  </si>
  <si>
    <t>13562746</t>
  </si>
  <si>
    <t>28a6d34b-9b6a-4b65-9a54-15622cc3c2e1</t>
  </si>
  <si>
    <t>27729503445</t>
  </si>
  <si>
    <t>13562116</t>
  </si>
  <si>
    <t>5563f398-44de-42d7-8fee-953338eaf5c2</t>
  </si>
  <si>
    <t>2026-03-09 09:52:55</t>
  </si>
  <si>
    <t>27660183366</t>
  </si>
  <si>
    <t>13562129</t>
  </si>
  <si>
    <t>a8c6aa05-f08d-4298-84ac-107f5522ce44</t>
  </si>
  <si>
    <t>27646067174</t>
  </si>
  <si>
    <t>13562140</t>
  </si>
  <si>
    <t>49e859be-3275-4c08-94fe-561da06a6a22</t>
  </si>
  <si>
    <t>27761945224</t>
  </si>
  <si>
    <t>13562145</t>
  </si>
  <si>
    <t>30c1dd5f-a09a-431a-98a1-1bfce4ecb08a</t>
  </si>
  <si>
    <t>27664001167</t>
  </si>
  <si>
    <t>13562146</t>
  </si>
  <si>
    <t>4bb4c2b6-bd2b-4450-b1fc-9812012645af</t>
  </si>
  <si>
    <t>27729788700</t>
  </si>
  <si>
    <t>13563839</t>
  </si>
  <si>
    <t>8ed201af-2273-45bf-bd79-d788545f17df</t>
  </si>
  <si>
    <t>27713426759</t>
  </si>
  <si>
    <t>13563882</t>
  </si>
  <si>
    <t>98a8f48e-12e5-45b7-aebf-d17659831810</t>
  </si>
  <si>
    <t>27660264246</t>
  </si>
  <si>
    <t>13563884</t>
  </si>
  <si>
    <t>e821b6c0-1d59-41ad-aabb-b839c7481a35</t>
  </si>
  <si>
    <t>27738703529</t>
  </si>
  <si>
    <t>13563910</t>
  </si>
  <si>
    <t>d497af24-12ef-43d7-93d4-40c09262a806</t>
  </si>
  <si>
    <t>27728074989</t>
  </si>
  <si>
    <t>13562023</t>
  </si>
  <si>
    <t>9fb079e6-0e72-458f-91c6-a9abbdbbb000</t>
  </si>
  <si>
    <t>2026-03-09 09:52:54</t>
  </si>
  <si>
    <t>27724261257</t>
  </si>
  <si>
    <t>13562032</t>
  </si>
  <si>
    <t>7fcb6349-e63b-40d7-92cd-8a753601e488</t>
  </si>
  <si>
    <t>27724728507</t>
  </si>
  <si>
    <t>13561965</t>
  </si>
  <si>
    <t>45ddff84-8894-4d1c-a13f-b173b898e3d4</t>
  </si>
  <si>
    <t>27797085705</t>
  </si>
  <si>
    <t>13562037</t>
  </si>
  <si>
    <t>9b318d43-ddd9-4a76-b2b8-504ec27f50d1</t>
  </si>
  <si>
    <t>27674758925</t>
  </si>
  <si>
    <t>13561983</t>
  </si>
  <si>
    <t>ce81654b-17fc-477e-95eb-34079d529422</t>
  </si>
  <si>
    <t>27795557972</t>
  </si>
  <si>
    <t>13561985</t>
  </si>
  <si>
    <t>d2f95188-b727-4483-81d3-2e6f77ecb1dc</t>
  </si>
  <si>
    <t>27721197591</t>
  </si>
  <si>
    <t>13562000</t>
  </si>
  <si>
    <t>0454a39e-631f-43f2-bd34-306c923382dc</t>
  </si>
  <si>
    <t>27661813665</t>
  </si>
  <si>
    <t>13561920</t>
  </si>
  <si>
    <t>8b3f9c78-5685-44bb-98d2-8f87c6289be1</t>
  </si>
  <si>
    <t>2026-03-09 09:52:53</t>
  </si>
  <si>
    <t>27609279071</t>
  </si>
  <si>
    <t>13561923</t>
  </si>
  <si>
    <t>976d30bb-0406-4d63-9d8d-a97ea75222cf</t>
  </si>
  <si>
    <t>27722873998</t>
  </si>
  <si>
    <t>13562336</t>
  </si>
  <si>
    <t>59b7451b-9c2b-42fc-9c3d-82a574ca6844</t>
  </si>
  <si>
    <t>27714105354</t>
  </si>
  <si>
    <t>13562347</t>
  </si>
  <si>
    <t>361ef471-7347-48f4-81c8-b12edc4ca27d</t>
  </si>
  <si>
    <t>27660059153</t>
  </si>
  <si>
    <t>13561954</t>
  </si>
  <si>
    <t>1add53f5-701f-4eb4-8b4b-de97a3ab4c0e</t>
  </si>
  <si>
    <t>27664980192</t>
  </si>
  <si>
    <t>13562327</t>
  </si>
  <si>
    <t>4e9f6bb2-0adf-4b7b-affb-b665dd77680f</t>
  </si>
  <si>
    <t>2026-03-09 09:52:52</t>
  </si>
  <si>
    <t>27728779774</t>
  </si>
  <si>
    <t>13562268</t>
  </si>
  <si>
    <t>622b2604-c9c6-419b-b2ce-110898496619</t>
  </si>
  <si>
    <t>2026-03-09 09:52:51</t>
  </si>
  <si>
    <t>27723261747</t>
  </si>
  <si>
    <t>13562294</t>
  </si>
  <si>
    <t>fae91c11-ac5e-4d50-b136-e800b275c4d8</t>
  </si>
  <si>
    <t>27608540021</t>
  </si>
  <si>
    <t>13562309</t>
  </si>
  <si>
    <t>d59f5722-6bf2-4df5-a4e6-1c7019eba5c1</t>
  </si>
  <si>
    <t>27714876677</t>
  </si>
  <si>
    <t>13562163</t>
  </si>
  <si>
    <t>9be7b53f-76d0-41d8-8e11-65734c7e3f67</t>
  </si>
  <si>
    <t>2026-03-09 09:52:50</t>
  </si>
  <si>
    <t>27660322934</t>
  </si>
  <si>
    <t>13562264</t>
  </si>
  <si>
    <t>befe513e-9fdf-4413-8015-ad1660b8a101</t>
  </si>
  <si>
    <t>27820966804</t>
  </si>
  <si>
    <t>13561460</t>
  </si>
  <si>
    <t>9c9ce8ca-6a14-4f02-84fa-31c289102ee3</t>
  </si>
  <si>
    <t>27607911410</t>
  </si>
  <si>
    <t>13562234</t>
  </si>
  <si>
    <t>4f407a85-2ee6-4d0c-bb08-cc2c50716d32</t>
  </si>
  <si>
    <t>27794253886</t>
  </si>
  <si>
    <t>13562238</t>
  </si>
  <si>
    <t>de1b37cd-fa42-4ab3-bc75-a73cef24e311</t>
  </si>
  <si>
    <t>27720364695</t>
  </si>
  <si>
    <t>13561449</t>
  </si>
  <si>
    <t>159218bd-1495-47d8-a43b-dedae5e1d400</t>
  </si>
  <si>
    <t>2026-03-09 09:52:49</t>
  </si>
  <si>
    <t>27799434646</t>
  </si>
  <si>
    <t>13561456</t>
  </si>
  <si>
    <t>ef0498f6-000a-4ca8-afcb-6225bde5b898</t>
  </si>
  <si>
    <t>27763918945</t>
  </si>
  <si>
    <t>13555398</t>
  </si>
  <si>
    <t>e490d694-2257-44a3-be42-830e129b36d6</t>
  </si>
  <si>
    <t>2026-03-09 09:52:48</t>
  </si>
  <si>
    <t>27664653990</t>
  </si>
  <si>
    <t>13555741</t>
  </si>
  <si>
    <t>bdcd11f2-dfac-4b5f-8035-b7a54c4702c5</t>
  </si>
  <si>
    <t>27713432541</t>
  </si>
  <si>
    <t>13561444</t>
  </si>
  <si>
    <t>c6955c6b-acc9-4d87-b347-94f4a1592902</t>
  </si>
  <si>
    <t>27722597317</t>
  </si>
  <si>
    <t>13563090</t>
  </si>
  <si>
    <t>a888bc48-2a73-4ac1-846c-5da7dcc42891</t>
  </si>
  <si>
    <t>27674971400</t>
  </si>
  <si>
    <t>13563300</t>
  </si>
  <si>
    <t>549f6256-a9ba-4f63-8b36-9f991abb4670</t>
  </si>
  <si>
    <t>2026-03-09 09:51:58</t>
  </si>
  <si>
    <t>27790579079</t>
  </si>
  <si>
    <t>13563305</t>
  </si>
  <si>
    <t>af25eae3-c760-4895-83df-dad0b8d11558</t>
  </si>
  <si>
    <t>27664071683</t>
  </si>
  <si>
    <t>13563315</t>
  </si>
  <si>
    <t>d94e129b-5b0b-4d51-8b25-72a5a1961654</t>
  </si>
  <si>
    <t>27764802585</t>
  </si>
  <si>
    <t>13563316</t>
  </si>
  <si>
    <t>1f232ad6-a4ac-41e8-ad4b-89393098bea6</t>
  </si>
  <si>
    <t>27606061554</t>
  </si>
  <si>
    <t>13563325</t>
  </si>
  <si>
    <t>98859225-5bcb-4805-9d6d-f6b71e298529</t>
  </si>
  <si>
    <t>27665037218</t>
  </si>
  <si>
    <t>13564624</t>
  </si>
  <si>
    <t>0fedbbcc-443a-40a1-b300-2cec5a505e2a</t>
  </si>
  <si>
    <t>27648055374</t>
  </si>
  <si>
    <t>13563267</t>
  </si>
  <si>
    <t>fde05d9e-2a3c-407c-9515-7260d04cebc5</t>
  </si>
  <si>
    <t>2026-03-09 09:51:57</t>
  </si>
  <si>
    <t>27768069358</t>
  </si>
  <si>
    <t>13563274</t>
  </si>
  <si>
    <t>a68bbf76-9058-4748-af8c-28ec3d4d5dde</t>
  </si>
  <si>
    <t>27713453395</t>
  </si>
  <si>
    <t>13563217</t>
  </si>
  <si>
    <t>d23fc07b-8518-4440-b700-3d79429d9fac</t>
  </si>
  <si>
    <t>2026-03-09 09:51:55</t>
  </si>
  <si>
    <t>27766784526</t>
  </si>
  <si>
    <t>13563223</t>
  </si>
  <si>
    <t>4e9ad01c-3718-4c1a-9984-0853be8f1f46</t>
  </si>
  <si>
    <t>27607670065</t>
  </si>
  <si>
    <t>13563234</t>
  </si>
  <si>
    <t>5772e79b-c438-4358-961c-ff98785ca76c</t>
  </si>
  <si>
    <t>27720381723</t>
  </si>
  <si>
    <t>13563183</t>
  </si>
  <si>
    <t>48ee9c47-7762-42b4-a257-5c56d9282ca8</t>
  </si>
  <si>
    <t>2026-03-09 09:51:54</t>
  </si>
  <si>
    <t>27664274806</t>
  </si>
  <si>
    <t>13563187</t>
  </si>
  <si>
    <t>2e34f413-e06d-484a-a566-79a529d75a64</t>
  </si>
  <si>
    <t>27727618007</t>
  </si>
  <si>
    <t>13563202</t>
  </si>
  <si>
    <t>7522e99d-1043-4580-8864-54dad460b0ba</t>
  </si>
  <si>
    <t>27608750624</t>
  </si>
  <si>
    <t>13563153</t>
  </si>
  <si>
    <t>00ec0ae9-dd08-4d43-8d81-3a345a873a25</t>
  </si>
  <si>
    <t>27733566881</t>
  </si>
  <si>
    <t>13563105</t>
  </si>
  <si>
    <t>6a24d734-5aea-4a2a-b729-8710eb3eb8e6</t>
  </si>
  <si>
    <t>2026-03-09 09:51:53</t>
  </si>
  <si>
    <t>27649289904</t>
  </si>
  <si>
    <t>13563087</t>
  </si>
  <si>
    <t>b84008e2-b054-4751-ae6d-8b11b46c7b0a</t>
  </si>
  <si>
    <t>2026-03-09 09:51:52</t>
  </si>
  <si>
    <t>27769571142</t>
  </si>
  <si>
    <t>13563092</t>
  </si>
  <si>
    <t>8bbefbab-934a-4e16-a284-751b03c95e06</t>
  </si>
  <si>
    <t>27766756059</t>
  </si>
  <si>
    <t>13562994</t>
  </si>
  <si>
    <t>2fc0e0df-b769-4b7e-8ddd-ceee1ca5c0e9</t>
  </si>
  <si>
    <t>2026-03-09 09:51:51</t>
  </si>
  <si>
    <t>27766295999</t>
  </si>
  <si>
    <t>13563000</t>
  </si>
  <si>
    <t>7946bbc3-0c15-4954-9033-f955f6b76608</t>
  </si>
  <si>
    <t>27769952833</t>
  </si>
  <si>
    <t>13563072</t>
  </si>
  <si>
    <t>6e113c9a-5cf9-4da4-9e76-49f8edd4b851</t>
  </si>
  <si>
    <t>27711465252</t>
  </si>
  <si>
    <t>13563077</t>
  </si>
  <si>
    <t>2459fa1b-3bd6-4f50-a37f-dc1fd08849d3</t>
  </si>
  <si>
    <t>27714372264</t>
  </si>
  <si>
    <t>13563047</t>
  </si>
  <si>
    <t>08f59f6a-9650-45b7-beb6-257bd7331500</t>
  </si>
  <si>
    <t>27762983221</t>
  </si>
  <si>
    <t>13563055</t>
  </si>
  <si>
    <t>7ca3c159-c0eb-4d0b-ab50-de4bbcfa5b94</t>
  </si>
  <si>
    <t>27607839363</t>
  </si>
  <si>
    <t>13563056</t>
  </si>
  <si>
    <t>f0d456ab-4226-4361-95b8-83b5d6f60811</t>
  </si>
  <si>
    <t>27609451743</t>
  </si>
  <si>
    <t>13563058</t>
  </si>
  <si>
    <t>b60684a9-c9b7-4e12-b6ab-824372a15f7f</t>
  </si>
  <si>
    <t>27790882890</t>
  </si>
  <si>
    <t>13562821</t>
  </si>
  <si>
    <t>6f2a14b8-4084-4b9e-b149-9f4b6af2468f</t>
  </si>
  <si>
    <t>2026-03-09 09:51:50</t>
  </si>
  <si>
    <t>27760273638</t>
  </si>
  <si>
    <t>13563022</t>
  </si>
  <si>
    <t>bbace309-09d1-4a3a-a60f-c6b968a57018</t>
  </si>
  <si>
    <t>27725192677</t>
  </si>
  <si>
    <t>13562962</t>
  </si>
  <si>
    <t>7b8202e3-cfc1-44f1-a574-ebd1d79b11b3</t>
  </si>
  <si>
    <t>27607576271</t>
  </si>
  <si>
    <t>13563031</t>
  </si>
  <si>
    <t>345fa0e3-a2c2-4d12-83d9-9e23a8bf36e7</t>
  </si>
  <si>
    <t>27729245834</t>
  </si>
  <si>
    <t>13563038</t>
  </si>
  <si>
    <t>4c25b37c-86fd-4db3-b6dc-ac2f27bd341f</t>
  </si>
  <si>
    <t>27646028059</t>
  </si>
  <si>
    <t>13561156</t>
  </si>
  <si>
    <t>bf8704c1-988d-4525-813f-85cd6bc68577</t>
  </si>
  <si>
    <t>2026-03-09 09:51:49</t>
  </si>
  <si>
    <t>27649941627</t>
  </si>
  <si>
    <t>13561173</t>
  </si>
  <si>
    <t>b355ca76-2466-450b-8690-be5b0871ef3c</t>
  </si>
  <si>
    <t>27646346832</t>
  </si>
  <si>
    <t>13561133</t>
  </si>
  <si>
    <t>94cfb96f-bdce-40fc-9e7d-2d540a642e2a</t>
  </si>
  <si>
    <t>27711660161</t>
  </si>
  <si>
    <t>13562778</t>
  </si>
  <si>
    <t>04df2223-96e5-497c-afab-e527d74748d6</t>
  </si>
  <si>
    <t>27788725280</t>
  </si>
  <si>
    <t>13561253</t>
  </si>
  <si>
    <t>5906426b-2e07-49c9-8fb6-9e7febbe0a30</t>
  </si>
  <si>
    <t>2026-03-09 09:51:48</t>
  </si>
  <si>
    <t>27716290529</t>
  </si>
  <si>
    <t>13561052</t>
  </si>
  <si>
    <t>5622e243-007f-4315-9629-5a91c329ae5c</t>
  </si>
  <si>
    <t>27606904835</t>
  </si>
  <si>
    <t>13560958</t>
  </si>
  <si>
    <t>0b739a25-7066-4e2b-9ea0-dc3d45506d02</t>
  </si>
  <si>
    <t>27665547766</t>
  </si>
  <si>
    <t>13560347</t>
  </si>
  <si>
    <t>b4fb6a9e-6bad-4a68-a69a-a18db59e6bc0</t>
  </si>
  <si>
    <t>2026-03-09 09:51:16</t>
  </si>
  <si>
    <t>27712794947</t>
  </si>
  <si>
    <t>13560786</t>
  </si>
  <si>
    <t>9738e431-c82b-45aa-8910-beae76a68a51</t>
  </si>
  <si>
    <t>2026-03-09 09:51:07</t>
  </si>
  <si>
    <t>27737668064</t>
  </si>
  <si>
    <t>13560828</t>
  </si>
  <si>
    <t>9f8d16de-bc1f-445a-a589-a9a5efed81bd</t>
  </si>
  <si>
    <t>27716643338</t>
  </si>
  <si>
    <t>13560978</t>
  </si>
  <si>
    <t>7db98321-7d25-494c-bb52-1b2a34e1cb29</t>
  </si>
  <si>
    <t>27761669033</t>
  </si>
  <si>
    <t>13560883</t>
  </si>
  <si>
    <t>db5bc20c-de0a-49c2-86c8-ab6c721bfc08</t>
  </si>
  <si>
    <t>27673091299</t>
  </si>
  <si>
    <t>13561083</t>
  </si>
  <si>
    <t>4a73a198-201b-4e3a-a257-281a6675eb89</t>
  </si>
  <si>
    <t>27713328284</t>
  </si>
  <si>
    <t>13560897</t>
  </si>
  <si>
    <t>b274951e-df6f-430c-9c2a-632486b0a365</t>
  </si>
  <si>
    <t>27823588280</t>
  </si>
  <si>
    <t>13561092</t>
  </si>
  <si>
    <t>49904476-46ce-433f-82b5-11e6f76bf2d8</t>
  </si>
  <si>
    <t>27665640007</t>
  </si>
  <si>
    <t>13561018</t>
  </si>
  <si>
    <t>7895291d-97a8-4d73-9c6a-086db1a3c498</t>
  </si>
  <si>
    <t>27820947802</t>
  </si>
  <si>
    <t>13560692</t>
  </si>
  <si>
    <t>55c48699-f612-4aa2-9f16-06b516aad7f0</t>
  </si>
  <si>
    <t>2026-03-09 09:51:06</t>
  </si>
  <si>
    <t>27790599432</t>
  </si>
  <si>
    <t>13560773</t>
  </si>
  <si>
    <t>d76e4cfd-15e6-4f8c-9e63-d665c81ccb67</t>
  </si>
  <si>
    <t>27606998439</t>
  </si>
  <si>
    <t>13560709</t>
  </si>
  <si>
    <t>6f00b15d-387c-4c83-8655-addbb69a5cea</t>
  </si>
  <si>
    <t>27761297832</t>
  </si>
  <si>
    <t>13560720</t>
  </si>
  <si>
    <t>41cac9b9-1aa8-47aa-8f7c-943b783ae690</t>
  </si>
  <si>
    <t>27715768896</t>
  </si>
  <si>
    <t>13560930</t>
  </si>
  <si>
    <t>d42c7331-65e8-4751-aca1-078c34782519</t>
  </si>
  <si>
    <t>27636213903</t>
  </si>
  <si>
    <t>13560647</t>
  </si>
  <si>
    <t>be154e36-6cb6-4180-b139-aeabab2d8b92</t>
  </si>
  <si>
    <t>2026-03-09 09:51:04</t>
  </si>
  <si>
    <t>27715006022</t>
  </si>
  <si>
    <t>13560653</t>
  </si>
  <si>
    <t>ebc48f3f-6130-40b1-8eda-7d904af8d2b9</t>
  </si>
  <si>
    <t>27714997624</t>
  </si>
  <si>
    <t>13560657</t>
  </si>
  <si>
    <t>e72a1dad-dad9-4034-b9f0-b12937de2298</t>
  </si>
  <si>
    <t>27664146785</t>
  </si>
  <si>
    <t>13560561</t>
  </si>
  <si>
    <t>5d3ffd89-6a9b-4c7b-a3e8-246fdb294440</t>
  </si>
  <si>
    <t>2026-03-09 09:51:03</t>
  </si>
  <si>
    <t>27791506360</t>
  </si>
  <si>
    <t>13560519</t>
  </si>
  <si>
    <t>1b14f9ff-a311-4ce1-8366-819851c3026a</t>
  </si>
  <si>
    <t>2026-03-09 09:51:00</t>
  </si>
  <si>
    <t>27792492817</t>
  </si>
  <si>
    <t>13561255</t>
  </si>
  <si>
    <t>4b893a38-5b56-4bf7-a080-17db260cee86</t>
  </si>
  <si>
    <t>2026-03-09 09:50:59</t>
  </si>
  <si>
    <t>27722882125</t>
  </si>
  <si>
    <t>13561259</t>
  </si>
  <si>
    <t>eb3eb8b4-acf1-4cf7-90f2-e9d1a0c7bf41</t>
  </si>
  <si>
    <t>27722700955</t>
  </si>
  <si>
    <t>13561288</t>
  </si>
  <si>
    <t>6b70edbe-4490-4d9a-aae4-48ddf0e2ff74</t>
  </si>
  <si>
    <t>27720100496</t>
  </si>
  <si>
    <t>13561237</t>
  </si>
  <si>
    <t>15a62712-6c68-4b24-978b-f7aa350592d3</t>
  </si>
  <si>
    <t>27664448536</t>
  </si>
  <si>
    <t>13561248</t>
  </si>
  <si>
    <t>b7a1d801-58f6-4c8b-b6fd-992241279df7</t>
  </si>
  <si>
    <t>27722685878</t>
  </si>
  <si>
    <t>13559907</t>
  </si>
  <si>
    <t>7d36cfce-c25f-43b0-b15f-acef1408014a</t>
  </si>
  <si>
    <t>2026-03-09 09:50:58</t>
  </si>
  <si>
    <t>27723550332</t>
  </si>
  <si>
    <t>13559927</t>
  </si>
  <si>
    <t>b9fbd184-604d-4d21-9a11-f20ca09e6546</t>
  </si>
  <si>
    <t>27797318544</t>
  </si>
  <si>
    <t>13559946</t>
  </si>
  <si>
    <t>3d88708a-e93d-4f93-9b73-f98e7dac4479</t>
  </si>
  <si>
    <t>27606835555</t>
  </si>
  <si>
    <t>13559948</t>
  </si>
  <si>
    <t>fe880699-25b5-475d-baea-e70c992bc4b0</t>
  </si>
  <si>
    <t>27722615573</t>
  </si>
  <si>
    <t>13559949</t>
  </si>
  <si>
    <t>9215373b-6ea9-443c-a9be-5579ca97a9c7</t>
  </si>
  <si>
    <t>27721935890</t>
  </si>
  <si>
    <t>13559966</t>
  </si>
  <si>
    <t>48da3b13-9761-4af0-a6d2-bccbc419154e</t>
  </si>
  <si>
    <t>27712704750</t>
  </si>
  <si>
    <t>13559829</t>
  </si>
  <si>
    <t>f561f54f-4557-4544-ab6b-32656fa8a84f</t>
  </si>
  <si>
    <t>2026-03-09 09:50:57</t>
  </si>
  <si>
    <t>27827148426</t>
  </si>
  <si>
    <t>13559860</t>
  </si>
  <si>
    <t>3b433d78-6f7b-44f5-a67b-30d8a2025956</t>
  </si>
  <si>
    <t>27767832090</t>
  </si>
  <si>
    <t>13559889</t>
  </si>
  <si>
    <t>821f2c1e-251c-42c8-8975-2c8a0bc9d5c1</t>
  </si>
  <si>
    <t>27794084235</t>
  </si>
  <si>
    <t>13559895</t>
  </si>
  <si>
    <t>4744c79c-8539-424f-a2e2-93b48baecdb3</t>
  </si>
  <si>
    <t>27712653016</t>
  </si>
  <si>
    <t>13559897</t>
  </si>
  <si>
    <t>730d3913-aa84-4ec1-be83-0cb939bcade6</t>
  </si>
  <si>
    <t>27822222162</t>
  </si>
  <si>
    <t>13560792</t>
  </si>
  <si>
    <t>ebe94459-ded2-4826-aef3-c5fc2d137c46</t>
  </si>
  <si>
    <t>27729771456</t>
  </si>
  <si>
    <t>13559811</t>
  </si>
  <si>
    <t>44191f62-8f9f-4505-bba4-5aca6d358287</t>
  </si>
  <si>
    <t>2026-03-09 09:50:55</t>
  </si>
  <si>
    <t>27820447663</t>
  </si>
  <si>
    <t>13559782</t>
  </si>
  <si>
    <t>39cd126d-c8f5-4734-964d-1d235ca49a06</t>
  </si>
  <si>
    <t>2026-03-09 09:50:54</t>
  </si>
  <si>
    <t>27663181586</t>
  </si>
  <si>
    <t>13559785</t>
  </si>
  <si>
    <t>a28a6cb0-0a36-48f3-a4c0-771d9a1176f6</t>
  </si>
  <si>
    <t>27766412185</t>
  </si>
  <si>
    <t>13559810</t>
  </si>
  <si>
    <t>3a46f28a-9997-4529-a1df-4e7aac56f69c</t>
  </si>
  <si>
    <t>27715679087</t>
  </si>
  <si>
    <t>13559610</t>
  </si>
  <si>
    <t>6e57a9b6-0654-4875-870d-5662c235033e</t>
  </si>
  <si>
    <t>2026-03-09 09:50:53</t>
  </si>
  <si>
    <t>27829516791</t>
  </si>
  <si>
    <t>13559659</t>
  </si>
  <si>
    <t>9d22cf0e-62bf-41a9-be95-71dcf4f91baf</t>
  </si>
  <si>
    <t>27836006399</t>
  </si>
  <si>
    <t>13559724</t>
  </si>
  <si>
    <t>ae12cc5d-5e31-4efc-a859-d4c6268b3a5b</t>
  </si>
  <si>
    <t>27723126073</t>
  </si>
  <si>
    <t>13559573</t>
  </si>
  <si>
    <t>54e1f151-1b21-4ce5-9ad9-2ad258cfa359</t>
  </si>
  <si>
    <t>2026-03-09 09:50:51</t>
  </si>
  <si>
    <t>27828643280</t>
  </si>
  <si>
    <t>13559565</t>
  </si>
  <si>
    <t>09cf1d5d-eef5-4e7c-a23c-386f6f0fc299</t>
  </si>
  <si>
    <t>2026-03-09 09:50:50</t>
  </si>
  <si>
    <t>27828541392</t>
  </si>
  <si>
    <t>13559057</t>
  </si>
  <si>
    <t>d9ab03fb-e069-4933-a51c-6dac85f55b3e</t>
  </si>
  <si>
    <t>2026-03-09 09:50:30</t>
  </si>
  <si>
    <t>27822210537</t>
  </si>
  <si>
    <t>13555143</t>
  </si>
  <si>
    <t>adc7fbaa-0c44-43e4-9eb9-42e16b5cbaab</t>
  </si>
  <si>
    <t>2026-03-09 09:50:21</t>
  </si>
  <si>
    <t>27648615059</t>
  </si>
  <si>
    <t>13555149</t>
  </si>
  <si>
    <t>201e2fa0-8a88-46c1-842a-81f1074e6125</t>
  </si>
  <si>
    <t>2026-03-09 09:50:20</t>
  </si>
  <si>
    <t>27648737608</t>
  </si>
  <si>
    <t>13555162</t>
  </si>
  <si>
    <t>001924b5-b905-484f-9c01-4679fd089a02</t>
  </si>
  <si>
    <t>27648935266</t>
  </si>
  <si>
    <t>13564898</t>
  </si>
  <si>
    <t>4615ca7f-6f2f-41cb-b243-09386c9281db</t>
  </si>
  <si>
    <t>2026-03-09 09:50:13</t>
  </si>
  <si>
    <t>27609321207</t>
  </si>
  <si>
    <t>13564912</t>
  </si>
  <si>
    <t>b37b17cc-dbe2-4c1d-b344-220b2ebe5757</t>
  </si>
  <si>
    <t>27609492852</t>
  </si>
  <si>
    <t>13564833</t>
  </si>
  <si>
    <t>0b354127-ad4f-453f-ae53-022088f34441</t>
  </si>
  <si>
    <t>2026-03-09 09:50:12</t>
  </si>
  <si>
    <t>27608151058</t>
  </si>
  <si>
    <t>13564845</t>
  </si>
  <si>
    <t>94b27938-573b-425d-b073-f7de9bbfefa1</t>
  </si>
  <si>
    <t>27608399424</t>
  </si>
  <si>
    <t>13564848</t>
  </si>
  <si>
    <t>14374b7e-e410-4b13-9da7-604f1ceb70e0</t>
  </si>
  <si>
    <t>27608421004</t>
  </si>
  <si>
    <t>13564879</t>
  </si>
  <si>
    <t>3ed4f841-5189-4c32-ba02-a23934845e8e</t>
  </si>
  <si>
    <t>27608966099</t>
  </si>
  <si>
    <t>13564884</t>
  </si>
  <si>
    <t>42bf2004-8306-4da9-8c1c-e729a9ab381d</t>
  </si>
  <si>
    <t>27609042790</t>
  </si>
  <si>
    <t>13564920</t>
  </si>
  <si>
    <t>4e52221a-7d26-4f79-bb83-68662d2c7ea2</t>
  </si>
  <si>
    <t>27609599569</t>
  </si>
  <si>
    <t>13564830</t>
  </si>
  <si>
    <t>ad576e07-b809-4714-a139-f5a02da4a1d8</t>
  </si>
  <si>
    <t>2026-03-09 09:50:10</t>
  </si>
  <si>
    <t>27608118590</t>
  </si>
  <si>
    <t>13564827</t>
  </si>
  <si>
    <t>718fb280-940f-4254-afaf-c461c6742933</t>
  </si>
  <si>
    <t>27608094500</t>
  </si>
  <si>
    <t>13563834</t>
  </si>
  <si>
    <t>2dde8207-ffbc-4dd9-8501-1177632428b3</t>
  </si>
  <si>
    <t>2026-03-09 09:50:09</t>
  </si>
  <si>
    <t>27665248381</t>
  </si>
  <si>
    <t>13564769</t>
  </si>
  <si>
    <t>8304b37a-32a7-48bf-9d12-4123f4a1fd5f</t>
  </si>
  <si>
    <t>27607154601</t>
  </si>
  <si>
    <t>13564793</t>
  </si>
  <si>
    <t>80d35fbc-e887-4128-ade4-956cecde2b87</t>
  </si>
  <si>
    <t>27607539238</t>
  </si>
  <si>
    <t>13564802</t>
  </si>
  <si>
    <t>d06909e3-8945-4564-acab-dfb0b76795e8</t>
  </si>
  <si>
    <t>27607686719</t>
  </si>
  <si>
    <t>13563588</t>
  </si>
  <si>
    <t>b5f34b51-a738-4f53-bba2-587f039db63f</t>
  </si>
  <si>
    <t>2026-03-09 09:50:08</t>
  </si>
  <si>
    <t>27646670540</t>
  </si>
  <si>
    <t>13563668</t>
  </si>
  <si>
    <t>ad5d348c-8156-43ff-88a4-1fb4ff788a2b</t>
  </si>
  <si>
    <t>27724667772</t>
  </si>
  <si>
    <t>13563682</t>
  </si>
  <si>
    <t>044d7a98-3fa4-4dde-bf60-79ba53aacab3</t>
  </si>
  <si>
    <t>27646769946</t>
  </si>
  <si>
    <t>13563771</t>
  </si>
  <si>
    <t>dc6b60b6-99b2-4733-b08b-d5f6ebfcd4a5</t>
  </si>
  <si>
    <t>27665609734</t>
  </si>
  <si>
    <t>13563747</t>
  </si>
  <si>
    <t>446e618f-f98f-4e96-95b0-1c0b86d4ed5a</t>
  </si>
  <si>
    <t>27765287600</t>
  </si>
  <si>
    <t>13564780</t>
  </si>
  <si>
    <t>abb2ac72-14ae-492a-9b03-d8e95df70c6f</t>
  </si>
  <si>
    <t>27607346067</t>
  </si>
  <si>
    <t>13564782</t>
  </si>
  <si>
    <t>c413a09e-9ff1-4985-80e3-daae3786db64</t>
  </si>
  <si>
    <t>27607362777</t>
  </si>
  <si>
    <t>13564789</t>
  </si>
  <si>
    <t>7ed6ab4a-17d6-4fb5-a288-cc2358efa92a</t>
  </si>
  <si>
    <t>27607472545</t>
  </si>
  <si>
    <t>13563557</t>
  </si>
  <si>
    <t>80266ab8-ace9-4638-ae85-be5ea2db1f85</t>
  </si>
  <si>
    <t>2026-03-09 09:50:07</t>
  </si>
  <si>
    <t>27724937630</t>
  </si>
  <si>
    <t>13563530</t>
  </si>
  <si>
    <t>44257993-90d4-4f15-a218-d9293103d2eb</t>
  </si>
  <si>
    <t>27767089423</t>
  </si>
  <si>
    <t>13563532</t>
  </si>
  <si>
    <t>fb7ecb61-a1e7-42df-8763-df83addeeffa</t>
  </si>
  <si>
    <t>27721579864</t>
  </si>
  <si>
    <t>13563525</t>
  </si>
  <si>
    <t>ec32bf19-a945-4f56-9eae-964ab2ae716d</t>
  </si>
  <si>
    <t>2026-03-09 09:50:06</t>
  </si>
  <si>
    <t>27648421376</t>
  </si>
  <si>
    <t>13563425</t>
  </si>
  <si>
    <t>1be3eba9-ef63-40ec-a39d-1367b0e3dfd4</t>
  </si>
  <si>
    <t>2026-03-09 09:50:05</t>
  </si>
  <si>
    <t>27721488305</t>
  </si>
  <si>
    <t>13563430</t>
  </si>
  <si>
    <t>983565b7-5c0e-4136-883c-d0fdc7573815</t>
  </si>
  <si>
    <t>27723741292</t>
  </si>
  <si>
    <t>13563493</t>
  </si>
  <si>
    <t>42b423de-3cae-4740-b20f-b3392f1684b8</t>
  </si>
  <si>
    <t>27675506359</t>
  </si>
  <si>
    <t>13563495</t>
  </si>
  <si>
    <t>c51edb17-dab5-4b66-bb15-eadfef735a4e</t>
  </si>
  <si>
    <t>27762622386</t>
  </si>
  <si>
    <t>13563364</t>
  </si>
  <si>
    <t>bf668be2-d16e-423c-8310-1b53f1dc980a</t>
  </si>
  <si>
    <t>2026-03-09 09:50:04</t>
  </si>
  <si>
    <t>27734205484</t>
  </si>
  <si>
    <t>13563367</t>
  </si>
  <si>
    <t>8eadcde4-edc6-412a-9965-85d8818ba6f1</t>
  </si>
  <si>
    <t>27763684230</t>
  </si>
  <si>
    <t>13563389</t>
  </si>
  <si>
    <t>30f91cde-a53d-45d9-bd20-8cef13d1da8f</t>
  </si>
  <si>
    <t>27762318150</t>
  </si>
  <si>
    <t>13563397</t>
  </si>
  <si>
    <t>2d7e3fb2-156b-44d6-8b08-6782b7af318e</t>
  </si>
  <si>
    <t>27766212807</t>
  </si>
  <si>
    <t>13563406</t>
  </si>
  <si>
    <t>362da4e5-5731-4fa8-9c08-013647f8cda9</t>
  </si>
  <si>
    <t>27673479665</t>
  </si>
  <si>
    <t>13563361</t>
  </si>
  <si>
    <t>f205bc28-ed42-4f51-85bb-68a48a3433ea</t>
  </si>
  <si>
    <t>2026-03-09 09:50:03</t>
  </si>
  <si>
    <t>27720389301</t>
  </si>
  <si>
    <t>13563355</t>
  </si>
  <si>
    <t>5de25698-b0c8-465a-8561-1e173cb35208</t>
  </si>
  <si>
    <t>27674386628</t>
  </si>
  <si>
    <t>13559826</t>
  </si>
  <si>
    <t>0327f5de-0d96-481c-a3eb-0517e2bc0d0b</t>
  </si>
  <si>
    <t>2026-03-09 09:50:02</t>
  </si>
  <si>
    <t>27729215692</t>
  </si>
  <si>
    <t>13563352</t>
  </si>
  <si>
    <t>27e8b113-a4f1-4ee8-801c-5ea173188b57</t>
  </si>
  <si>
    <t>27766599166</t>
  </si>
  <si>
    <t>13559605</t>
  </si>
  <si>
    <t>1dea87b5-e922-4f95-9a42-383e810621e7</t>
  </si>
  <si>
    <t>2026-03-09 09:50:01</t>
  </si>
  <si>
    <t>27829388230</t>
  </si>
  <si>
    <t>13559674</t>
  </si>
  <si>
    <t>cfdce5f9-4dcf-4c5f-b901-09e36d9b8c69</t>
  </si>
  <si>
    <t>27840137051</t>
  </si>
  <si>
    <t>13559681</t>
  </si>
  <si>
    <t>e933875c-10b1-4dd5-a123-66cacdd26006</t>
  </si>
  <si>
    <t>27845144595</t>
  </si>
  <si>
    <t>13559710</t>
  </si>
  <si>
    <t>b3c8fbcf-a922-4e5b-bfa2-49701df50e4a</t>
  </si>
  <si>
    <t>27712137710</t>
  </si>
  <si>
    <t>13559797</t>
  </si>
  <si>
    <t>280d8bbd-4124-40ba-a6ad-010c57ca9d9d</t>
  </si>
  <si>
    <t>27647748191</t>
  </si>
  <si>
    <t>13559722</t>
  </si>
  <si>
    <t>d13837e2-86fd-4bf6-9e6c-f5173fc1e22c</t>
  </si>
  <si>
    <t>27760228256</t>
  </si>
  <si>
    <t>13559560</t>
  </si>
  <si>
    <t>15eab7a3-e184-4f38-8355-016f56f6c09b</t>
  </si>
  <si>
    <t>2026-03-09 09:50:00</t>
  </si>
  <si>
    <t>27828447885</t>
  </si>
  <si>
    <t>13559569</t>
  </si>
  <si>
    <t>9996ccce-cb74-487a-b214-06740b70a637</t>
  </si>
  <si>
    <t>27828591686</t>
  </si>
  <si>
    <t>13559578</t>
  </si>
  <si>
    <t>635da635-c962-44e1-93d3-190edc415671</t>
  </si>
  <si>
    <t>27828667248</t>
  </si>
  <si>
    <t>13559598</t>
  </si>
  <si>
    <t>258c9848-7ef3-44e7-a1b9-9d14922a941c</t>
  </si>
  <si>
    <t>27829312618</t>
  </si>
  <si>
    <t>13560380</t>
  </si>
  <si>
    <t>822cd063-4e76-42e4-85ea-50b5549f0976</t>
  </si>
  <si>
    <t>27762077464</t>
  </si>
  <si>
    <t>13559656</t>
  </si>
  <si>
    <t>4af88f80-5693-4533-b560-d68ada6d261a</t>
  </si>
  <si>
    <t>27835734366</t>
  </si>
  <si>
    <t>13559669</t>
  </si>
  <si>
    <t>cdaf86c2-3c90-4373-88ab-ef539e11d8d5</t>
  </si>
  <si>
    <t>27839292115</t>
  </si>
  <si>
    <t>13560338</t>
  </si>
  <si>
    <t>e177f0dd-45ef-4d15-88c6-328fd95cb766</t>
  </si>
  <si>
    <t>2026-03-09 09:49:59</t>
  </si>
  <si>
    <t>27823177477</t>
  </si>
  <si>
    <t>13560351</t>
  </si>
  <si>
    <t>9a3c9641-288d-47e7-9cb7-3aa313054e5e</t>
  </si>
  <si>
    <t>27764910922</t>
  </si>
  <si>
    <t>13560365</t>
  </si>
  <si>
    <t>5da4b928-81b3-40c5-8a3f-e05dfdce62c7</t>
  </si>
  <si>
    <t>27767897070</t>
  </si>
  <si>
    <t>13556222</t>
  </si>
  <si>
    <t>0069a15f-15ca-46e0-a895-13edd40bb845</t>
  </si>
  <si>
    <t>2026-03-09 09:49:58</t>
  </si>
  <si>
    <t>27721765602</t>
  </si>
  <si>
    <t>13556208</t>
  </si>
  <si>
    <t>07d1990a-af41-481f-bcc9-a18b3c122e09</t>
  </si>
  <si>
    <t>27721579969</t>
  </si>
  <si>
    <t>13560319</t>
  </si>
  <si>
    <t>36a70de4-a012-4bae-9577-e1bb19849d26</t>
  </si>
  <si>
    <t>27764279388</t>
  </si>
  <si>
    <t>13559031</t>
  </si>
  <si>
    <t>72e1722e-26ab-46c4-ad9e-df934d0fc009</t>
  </si>
  <si>
    <t>2026-03-09 09:49:56</t>
  </si>
  <si>
    <t>27820769149</t>
  </si>
  <si>
    <t>13556190</t>
  </si>
  <si>
    <t>b9123d84-77ba-4626-9b95-5dcd94fe6247</t>
  </si>
  <si>
    <t>2026-03-09 09:49:55</t>
  </si>
  <si>
    <t>27721456686</t>
  </si>
  <si>
    <t>13563051</t>
  </si>
  <si>
    <t>ef0df44b-5be2-434b-9f6a-cddcdaa8e402</t>
  </si>
  <si>
    <t>27711608680</t>
  </si>
  <si>
    <t>13564704</t>
  </si>
  <si>
    <t>1a9d829d-829e-4e35-a5a3-dc8154c9946b</t>
  </si>
  <si>
    <t>2026-03-09 09:49:38</t>
  </si>
  <si>
    <t>27606141736</t>
  </si>
  <si>
    <t>13564713</t>
  </si>
  <si>
    <t>ec19c25b-f1df-4787-9088-1281cdac5e0c</t>
  </si>
  <si>
    <t>27606229317</t>
  </si>
  <si>
    <t>13559800</t>
  </si>
  <si>
    <t>5fbe92bb-ea64-4ffd-b7f4-aca9cc1f61b9</t>
  </si>
  <si>
    <t>2026-03-09 09:49:37</t>
  </si>
  <si>
    <t>27760107216</t>
  </si>
  <si>
    <t>13564673</t>
  </si>
  <si>
    <t>9a879b8f-9c9d-4f60-a635-63e858aa618b</t>
  </si>
  <si>
    <t>27664657957</t>
  </si>
  <si>
    <t>13564687</t>
  </si>
  <si>
    <t>6ab7884f-dd00-4178-b04f-abcdadcd3a1b</t>
  </si>
  <si>
    <t>27721470016</t>
  </si>
  <si>
    <t>13564618</t>
  </si>
  <si>
    <t>4fdd663a-0318-4d19-94ff-dd51cd694c65</t>
  </si>
  <si>
    <t>27637168314</t>
  </si>
  <si>
    <t>13564619</t>
  </si>
  <si>
    <t>8cda1739-5172-4c2d-bd40-74c53d3f75bd</t>
  </si>
  <si>
    <t>27727332398</t>
  </si>
  <si>
    <t>13564635</t>
  </si>
  <si>
    <t>ec6d237b-0e67-4635-b6d9-0be504d832f5</t>
  </si>
  <si>
    <t>27722898930</t>
  </si>
  <si>
    <t>13564760</t>
  </si>
  <si>
    <t>48f4fd85-b37c-49f4-8b28-fbfe72c6e3e9</t>
  </si>
  <si>
    <t>27606995524</t>
  </si>
  <si>
    <t>13564721</t>
  </si>
  <si>
    <t>e084c91d-d5a7-423e-b842-7ccd86aaa57a</t>
  </si>
  <si>
    <t>27606334965</t>
  </si>
  <si>
    <t>13564724</t>
  </si>
  <si>
    <t>4876db54-a390-422c-b0ae-69e947a4e8b5</t>
  </si>
  <si>
    <t>27606408551</t>
  </si>
  <si>
    <t>13564173</t>
  </si>
  <si>
    <t>710cd70c-fac8-4c3f-9d7a-d823487bbe24</t>
  </si>
  <si>
    <t>2026-03-09 09:49:36</t>
  </si>
  <si>
    <t>27791371593</t>
  </si>
  <si>
    <t>13564197</t>
  </si>
  <si>
    <t>02f3753f-b639-4d21-a3f8-68e345e1ceb4</t>
  </si>
  <si>
    <t>27725254115</t>
  </si>
  <si>
    <t>13564598</t>
  </si>
  <si>
    <t>eeddd504-a045-4018-a48d-e73acb29619a</t>
  </si>
  <si>
    <t>27727188236</t>
  </si>
  <si>
    <t>13564158</t>
  </si>
  <si>
    <t>4a79ba3f-4998-4a1d-b8a1-b852f7914228</t>
  </si>
  <si>
    <t>2026-03-09 09:49:35</t>
  </si>
  <si>
    <t>27761009252</t>
  </si>
  <si>
    <t>13564155</t>
  </si>
  <si>
    <t>4881078a-efcb-4732-b39d-1df704c87727</t>
  </si>
  <si>
    <t>2026-03-09 09:49:32</t>
  </si>
  <si>
    <t>27729032316</t>
  </si>
  <si>
    <t>13563769</t>
  </si>
  <si>
    <t>6538337b-5eb7-47e9-9407-d0470841d9ef</t>
  </si>
  <si>
    <t>2026-03-09 09:49:31</t>
  </si>
  <si>
    <t>27760777076</t>
  </si>
  <si>
    <t>13563787</t>
  </si>
  <si>
    <t>f895b750-9602-46b1-81c1-5526ec3df685</t>
  </si>
  <si>
    <t>27726824686</t>
  </si>
  <si>
    <t>13564093</t>
  </si>
  <si>
    <t>e45635d5-b731-4380-abd7-95fcfc9a3356</t>
  </si>
  <si>
    <t>27760142945</t>
  </si>
  <si>
    <t>13564108</t>
  </si>
  <si>
    <t>57b8a1f5-f3f4-4cde-8b9a-834f78ec6c19</t>
  </si>
  <si>
    <t>27608157646</t>
  </si>
  <si>
    <t>13564116</t>
  </si>
  <si>
    <t>2b21f85b-dda0-4f83-b14f-1e606c1d3cb7</t>
  </si>
  <si>
    <t>27725638250</t>
  </si>
  <si>
    <t>13564120</t>
  </si>
  <si>
    <t>f64af08b-4aaf-4775-bcbe-cb5ca0142aaa</t>
  </si>
  <si>
    <t>27720321947</t>
  </si>
  <si>
    <t>13564137</t>
  </si>
  <si>
    <t>8d638a66-e9a0-4807-9935-1df3eee53a4d</t>
  </si>
  <si>
    <t>27761415440</t>
  </si>
  <si>
    <t>13563667</t>
  </si>
  <si>
    <t>c49cd583-4d30-4eac-9273-23b3c30f3085</t>
  </si>
  <si>
    <t>2026-03-09 09:49:30</t>
  </si>
  <si>
    <t>27726082896</t>
  </si>
  <si>
    <t>13563676</t>
  </si>
  <si>
    <t>3f6d59ee-2733-4187-a762-02575ad284de</t>
  </si>
  <si>
    <t>27727993746</t>
  </si>
  <si>
    <t>13563678</t>
  </si>
  <si>
    <t>3873d3dd-bb6d-4b40-b076-b741bf9a3e22</t>
  </si>
  <si>
    <t>27715166181</t>
  </si>
  <si>
    <t>13563755</t>
  </si>
  <si>
    <t>d3e3b337-25f8-461e-9405-034eecd87c58</t>
  </si>
  <si>
    <t>27765370870</t>
  </si>
  <si>
    <t>13564064</t>
  </si>
  <si>
    <t>abd12e92-f3c3-4f0b-baed-37afc1e9a018</t>
  </si>
  <si>
    <t>27729628770</t>
  </si>
  <si>
    <t>13563728</t>
  </si>
  <si>
    <t>585e81f0-d733-497d-ab2e-c87e6fb59a8e</t>
  </si>
  <si>
    <t>27647244453</t>
  </si>
  <si>
    <t>13563800</t>
  </si>
  <si>
    <t>a4614223-17ab-4701-bb2d-ef6d7e5b1449</t>
  </si>
  <si>
    <t>27673750102</t>
  </si>
  <si>
    <t>13563835</t>
  </si>
  <si>
    <t>ebc49054-1992-4aea-a415-11ac7d103c5f</t>
  </si>
  <si>
    <t>27716147084</t>
  </si>
  <si>
    <t>13555612</t>
  </si>
  <si>
    <t>c373befb-7f3a-475e-a7a6-147f4d0f0d6d</t>
  </si>
  <si>
    <t>2026-03-09 09:49:29</t>
  </si>
  <si>
    <t>27712130757</t>
  </si>
  <si>
    <t>13555627</t>
  </si>
  <si>
    <t>54808223-045b-4564-b827-3d253debdf85</t>
  </si>
  <si>
    <t>27712277747</t>
  </si>
  <si>
    <t>13563644</t>
  </si>
  <si>
    <t>60fed7c2-c041-4ba0-9ff6-ecac5345b029</t>
  </si>
  <si>
    <t>27725014326</t>
  </si>
  <si>
    <t>13555567</t>
  </si>
  <si>
    <t>b0f488e8-4ea1-4fb7-8160-65253730bc02</t>
  </si>
  <si>
    <t>2026-03-09 09:49:28</t>
  </si>
  <si>
    <t>27711570612</t>
  </si>
  <si>
    <t>13555555</t>
  </si>
  <si>
    <t>466d2b32-12f2-4031-9e3c-0d3d8525deb1</t>
  </si>
  <si>
    <t>27711472404</t>
  </si>
  <si>
    <t>13555550</t>
  </si>
  <si>
    <t>d42f23be-040b-46b4-8daf-adf6268a9e1d</t>
  </si>
  <si>
    <t>2026-03-09 09:49:26</t>
  </si>
  <si>
    <t>27711421141</t>
  </si>
  <si>
    <t>13555523</t>
  </si>
  <si>
    <t>86967796-8150-4a72-8b9b-9a87275b7e64</t>
  </si>
  <si>
    <t>2026-03-09 09:49:25</t>
  </si>
  <si>
    <t>27711137477</t>
  </si>
  <si>
    <t>13555527</t>
  </si>
  <si>
    <t>e05fe7b5-0770-4514-9e94-2a06e0dd298a</t>
  </si>
  <si>
    <t>27711149541</t>
  </si>
  <si>
    <t>13555536</t>
  </si>
  <si>
    <t>f1db4a4d-47cd-48c7-ae6b-22680b13b965</t>
  </si>
  <si>
    <t>27711224358</t>
  </si>
  <si>
    <t>13555538</t>
  </si>
  <si>
    <t>f3a4b5c5-52fb-413c-aff3-61165b60fd8b</t>
  </si>
  <si>
    <t>27711294336</t>
  </si>
  <si>
    <t>13555549</t>
  </si>
  <si>
    <t>e79b75a5-62e1-40d8-a6d5-3c4f6d7f6e8d</t>
  </si>
  <si>
    <t>27711413630</t>
  </si>
  <si>
    <t>13555522</t>
  </si>
  <si>
    <t>3d2a494d-552c-4c59-8382-73e8d7548aea</t>
  </si>
  <si>
    <t>2026-03-09 09:49:22</t>
  </si>
  <si>
    <t>27711134401</t>
  </si>
  <si>
    <t>13556247</t>
  </si>
  <si>
    <t>e21b6e5f-8d96-4669-b47c-e1eb0dabb7e7</t>
  </si>
  <si>
    <t>2026-03-09 09:49:21</t>
  </si>
  <si>
    <t>27721990660</t>
  </si>
  <si>
    <t>13555492</t>
  </si>
  <si>
    <t>ea692e2b-49eb-46b3-b12f-7047bbdea6fe</t>
  </si>
  <si>
    <t>27674732012</t>
  </si>
  <si>
    <t>13559967</t>
  </si>
  <si>
    <t>18f3901c-b2a2-4dda-943f-821b0c676615</t>
  </si>
  <si>
    <t>27825398833</t>
  </si>
  <si>
    <t>13562359</t>
  </si>
  <si>
    <t>99e8ef50-930d-4d0c-aa0a-5505e7b5d3f5</t>
  </si>
  <si>
    <t>27768427993</t>
  </si>
  <si>
    <t>13555273</t>
  </si>
  <si>
    <t>f884e750-e6f0-4f4e-897b-6d507fc5b678</t>
  </si>
  <si>
    <t>2026-03-09 09:48:25</t>
  </si>
  <si>
    <t>27661033325</t>
  </si>
  <si>
    <t>13564540</t>
  </si>
  <si>
    <t>1181632b-95bc-4397-84ec-9cce6562d63c</t>
  </si>
  <si>
    <t>2026-03-09 09:48:24</t>
  </si>
  <si>
    <t>27729269116</t>
  </si>
  <si>
    <t>13564570</t>
  </si>
  <si>
    <t>2368c322-8b28-4d95-a8d2-761875de7cd2</t>
  </si>
  <si>
    <t>27728852347</t>
  </si>
  <si>
    <t>13564574</t>
  </si>
  <si>
    <t>f355e4e1-cae9-4330-8100-424feda90d3c</t>
  </si>
  <si>
    <t>27790828042</t>
  </si>
  <si>
    <t>13564578</t>
  </si>
  <si>
    <t>4a646537-01ab-4fde-a8ea-5b2d12f24733</t>
  </si>
  <si>
    <t>27767762206</t>
  </si>
  <si>
    <t>13564527</t>
  </si>
  <si>
    <t>0dab6973-1141-497c-8bd0-0b3d4c32724c</t>
  </si>
  <si>
    <t>27647732283</t>
  </si>
  <si>
    <t>13564402</t>
  </si>
  <si>
    <t>3a12b51d-aff0-404b-83d8-9a41ff96e597</t>
  </si>
  <si>
    <t>2026-03-09 09:48:23</t>
  </si>
  <si>
    <t>27711241592</t>
  </si>
  <si>
    <t>13564468</t>
  </si>
  <si>
    <t>d61a8fcd-30a7-4dbe-9e7a-09dfe5124350</t>
  </si>
  <si>
    <t>27649288837</t>
  </si>
  <si>
    <t>13564469</t>
  </si>
  <si>
    <t>9bdb8bf7-aec9-43ae-8c16-c09d0d21fd9b</t>
  </si>
  <si>
    <t>27763696640</t>
  </si>
  <si>
    <t>13564480</t>
  </si>
  <si>
    <t>bd92e892-0c7f-4a01-8d26-f7178c462705</t>
  </si>
  <si>
    <t>27661819462</t>
  </si>
  <si>
    <t>13564493</t>
  </si>
  <si>
    <t>4b516269-0511-43e1-b4ee-f34a89cbd5c0</t>
  </si>
  <si>
    <t>27608200134</t>
  </si>
  <si>
    <t>13564499</t>
  </si>
  <si>
    <t>b912ea53-8017-41e8-97ed-3c5e74b2ffdd</t>
  </si>
  <si>
    <t>27728824815</t>
  </si>
  <si>
    <t>13564348</t>
  </si>
  <si>
    <t>0822f3b3-dcff-4416-8d50-4660522e3abf</t>
  </si>
  <si>
    <t>2026-03-09 09:48:22</t>
  </si>
  <si>
    <t>27607153209</t>
  </si>
  <si>
    <t>13564310</t>
  </si>
  <si>
    <t>1308f419-3159-437a-a447-0699573d39bd</t>
  </si>
  <si>
    <t>27713825564</t>
  </si>
  <si>
    <t>13564446</t>
  </si>
  <si>
    <t>3ac75c31-572f-4575-900e-022d1ef7b80c</t>
  </si>
  <si>
    <t>27761391762</t>
  </si>
  <si>
    <t>13564452</t>
  </si>
  <si>
    <t>8f80246e-a648-48cf-b897-f4cc4b344ca5</t>
  </si>
  <si>
    <t>27661490925</t>
  </si>
  <si>
    <t>13564321</t>
  </si>
  <si>
    <t>6a8e3177-5ff2-4da6-b1d2-8ca452692f98</t>
  </si>
  <si>
    <t>27646888143</t>
  </si>
  <si>
    <t>13564458</t>
  </si>
  <si>
    <t>a9fa77c6-d736-430e-b6d0-81dafcb65f4b</t>
  </si>
  <si>
    <t>27768920849</t>
  </si>
  <si>
    <t>13564398</t>
  </si>
  <si>
    <t>73bda485-42fa-4541-a169-f36f324eb645</t>
  </si>
  <si>
    <t>27715138637</t>
  </si>
  <si>
    <t>13564401</t>
  </si>
  <si>
    <t>77a5afa1-8133-4938-a8c2-639c71a9dcad</t>
  </si>
  <si>
    <t>27608991527</t>
  </si>
  <si>
    <t>13564405</t>
  </si>
  <si>
    <t>0060747a-9645-4820-8d53-1c7eb1e1c1b6</t>
  </si>
  <si>
    <t>27769898299</t>
  </si>
  <si>
    <t>13564260</t>
  </si>
  <si>
    <t>2995f1f6-c040-4863-89a0-3d9073c9149b</t>
  </si>
  <si>
    <t>2026-03-09 09:48:21</t>
  </si>
  <si>
    <t>27712154409</t>
  </si>
  <si>
    <t>13564266</t>
  </si>
  <si>
    <t>d51d5185-51a2-4360-b933-4eac70310c69</t>
  </si>
  <si>
    <t>27765230422</t>
  </si>
  <si>
    <t>13564283</t>
  </si>
  <si>
    <t>f760d393-1f5a-4436-8b89-61e36ab6be04</t>
  </si>
  <si>
    <t>27663642516</t>
  </si>
  <si>
    <t>13564293</t>
  </si>
  <si>
    <t>25955edf-6e8a-41d3-a9e3-0c6cfc7e4fed</t>
  </si>
  <si>
    <t>27729060070</t>
  </si>
  <si>
    <t>13564296</t>
  </si>
  <si>
    <t>365e2b7c-be80-46bb-a063-f0ac42a9986f</t>
  </si>
  <si>
    <t>27609037709</t>
  </si>
  <si>
    <t>13564305</t>
  </si>
  <si>
    <t>9f68cba6-f63d-498f-90c2-9b9dc60b96b7</t>
  </si>
  <si>
    <t>27660852185</t>
  </si>
  <si>
    <t>13556349</t>
  </si>
  <si>
    <t>7a3bed85-8f7c-4490-b63d-9426cc2a8731</t>
  </si>
  <si>
    <t>2026-03-09 09:48:20</t>
  </si>
  <si>
    <t>27722988416</t>
  </si>
  <si>
    <t>13564188</t>
  </si>
  <si>
    <t>56e810c9-77c7-45c6-a511-8b59b0023157</t>
  </si>
  <si>
    <t>27727190432</t>
  </si>
  <si>
    <t>13564199</t>
  </si>
  <si>
    <t>901f8d6f-21b2-4f81-b3ef-d2a6629018d6</t>
  </si>
  <si>
    <t>27727627876</t>
  </si>
  <si>
    <t>13564230</t>
  </si>
  <si>
    <t>59a3a50c-0352-45ec-a426-9ccdcdedb0a8</t>
  </si>
  <si>
    <t>27606973884</t>
  </si>
  <si>
    <t>13564592</t>
  </si>
  <si>
    <t>07165fc0-79d7-4f4c-b115-8916801bfbfc</t>
  </si>
  <si>
    <t>27711928891</t>
  </si>
  <si>
    <t>13559465</t>
  </si>
  <si>
    <t>42b3363c-c360-4cc5-a101-3a9f1c582f8d</t>
  </si>
  <si>
    <t>2026-03-09 09:48:18</t>
  </si>
  <si>
    <t>27827201046</t>
  </si>
  <si>
    <t>13558470</t>
  </si>
  <si>
    <t>b010f356-d747-45cc-92f4-ca044e85d09a</t>
  </si>
  <si>
    <t>27794385185</t>
  </si>
  <si>
    <t>13560064</t>
  </si>
  <si>
    <t>b1d7f620-2003-418c-be41-dfbf41157c78</t>
  </si>
  <si>
    <t>27790850901</t>
  </si>
  <si>
    <t>13559855</t>
  </si>
  <si>
    <t>2aa536fc-7c8e-4ee4-8546-ffd1508b3d9e</t>
  </si>
  <si>
    <t>27766506422</t>
  </si>
  <si>
    <t>13559856</t>
  </si>
  <si>
    <t>da3f7bc5-b3ed-435b-b2af-cdec8366f2c3</t>
  </si>
  <si>
    <t>27797712621</t>
  </si>
  <si>
    <t>13559917</t>
  </si>
  <si>
    <t>d5a15295-201f-4668-80d5-fa3d8d610678</t>
  </si>
  <si>
    <t>27798059320</t>
  </si>
  <si>
    <t>13560435</t>
  </si>
  <si>
    <t>382c0b20-4800-4362-9288-673a58a7f5cb</t>
  </si>
  <si>
    <t>27765707953</t>
  </si>
  <si>
    <t>13560439</t>
  </si>
  <si>
    <t>bf1be0bb-558c-4088-b788-4371ca49b49c</t>
  </si>
  <si>
    <t>27607496580</t>
  </si>
  <si>
    <t>13559397</t>
  </si>
  <si>
    <t>999229fb-abc5-40d7-b5f4-3beb15100c56</t>
  </si>
  <si>
    <t>2026-03-09 09:48:17</t>
  </si>
  <si>
    <t>27826445110</t>
  </si>
  <si>
    <t>13559398</t>
  </si>
  <si>
    <t>a442cac7-f408-457c-a645-0c49e7e99781</t>
  </si>
  <si>
    <t>27826454249</t>
  </si>
  <si>
    <t>13559329</t>
  </si>
  <si>
    <t>5282845f-e7dd-4135-81f7-2d9838cc01f8</t>
  </si>
  <si>
    <t>27825485402</t>
  </si>
  <si>
    <t>13559440</t>
  </si>
  <si>
    <t>b561c507-ce3b-42fa-8ab1-e69c9613e8fd</t>
  </si>
  <si>
    <t>27826936608</t>
  </si>
  <si>
    <t>13559453</t>
  </si>
  <si>
    <t>7f61f381-abb1-4655-9a03-e8b81be2a2d5</t>
  </si>
  <si>
    <t>27827047502</t>
  </si>
  <si>
    <t>13559321</t>
  </si>
  <si>
    <t>49176789-758a-4b3c-adb2-bcf52e9eaec3</t>
  </si>
  <si>
    <t>2026-03-09 09:48:13</t>
  </si>
  <si>
    <t>27825416511</t>
  </si>
  <si>
    <t>13560448</t>
  </si>
  <si>
    <t>abdfe23a-91e0-4e09-8eb9-f7b89418e01f</t>
  </si>
  <si>
    <t>27721079537</t>
  </si>
  <si>
    <t>13560470</t>
  </si>
  <si>
    <t>642f8a9b-bf56-4c00-908b-a1af4c761e28</t>
  </si>
  <si>
    <t>27715220374</t>
  </si>
  <si>
    <t>13556322</t>
  </si>
  <si>
    <t>5cae8bfb-f366-4882-9207-b3ae6c3cb1a7</t>
  </si>
  <si>
    <t>2026-03-09 09:47:19</t>
  </si>
  <si>
    <t>27722655769</t>
  </si>
  <si>
    <t>13556331</t>
  </si>
  <si>
    <t>688e024a-a0a6-4634-a93f-5c4ee62c2572</t>
  </si>
  <si>
    <t>27722773965</t>
  </si>
  <si>
    <t>13556359</t>
  </si>
  <si>
    <t>c9399ac0-6851-431e-9555-1d210819f5f5</t>
  </si>
  <si>
    <t>27723101607</t>
  </si>
  <si>
    <t>13556361</t>
  </si>
  <si>
    <t>a6d51306-2c73-4e06-b6da-91631c2f6ad9</t>
  </si>
  <si>
    <t>27723115005</t>
  </si>
  <si>
    <t>13556363</t>
  </si>
  <si>
    <t>d9b49339-d233-4c35-b26e-abece05a30cb</t>
  </si>
  <si>
    <t>27723130511</t>
  </si>
  <si>
    <t>13556375</t>
  </si>
  <si>
    <t>b3d38979-c34b-4373-8dc8-40b9e8f1ae09</t>
  </si>
  <si>
    <t>27723255430</t>
  </si>
  <si>
    <t>13556384</t>
  </si>
  <si>
    <t>d27da164-99bc-448c-8366-08784706e028</t>
  </si>
  <si>
    <t>27723384442</t>
  </si>
  <si>
    <t>13556389</t>
  </si>
  <si>
    <t>ca70d2f5-9d1b-4101-9d09-44631ce34595</t>
  </si>
  <si>
    <t>27723435831</t>
  </si>
  <si>
    <t>13556264</t>
  </si>
  <si>
    <t>a45c641d-fcd8-4ed9-b2b1-388d4f1b781c</t>
  </si>
  <si>
    <t>2026-03-09 09:47:18</t>
  </si>
  <si>
    <t>27722139032</t>
  </si>
  <si>
    <t>13556274</t>
  </si>
  <si>
    <t>4a1e73d8-1692-4577-ba4f-35b6d0db094a</t>
  </si>
  <si>
    <t>27722178850</t>
  </si>
  <si>
    <t>13556281</t>
  </si>
  <si>
    <t>836a1461-2b8f-4f8a-9fdc-7051a1533a72</t>
  </si>
  <si>
    <t>27722232578</t>
  </si>
  <si>
    <t>13555324</t>
  </si>
  <si>
    <t>0d95945b-8fef-4045-9eee-c02aa7d8490b</t>
  </si>
  <si>
    <t>27663146851</t>
  </si>
  <si>
    <t>13555383</t>
  </si>
  <si>
    <t>60d428cb-c28b-4783-bf13-90e0824c7946</t>
  </si>
  <si>
    <t>2026-03-09 09:47:17</t>
  </si>
  <si>
    <t>27664345368</t>
  </si>
  <si>
    <t>13555384</t>
  </si>
  <si>
    <t>2c862439-5b49-4ccc-a0ef-c4eec577a62e</t>
  </si>
  <si>
    <t>27664346767</t>
  </si>
  <si>
    <t>13555480</t>
  </si>
  <si>
    <t>e9bd94c6-9c4a-4c9e-af07-fa5ba362fb57</t>
  </si>
  <si>
    <t>27673989628</t>
  </si>
  <si>
    <t>13555362</t>
  </si>
  <si>
    <t>c13ed83d-636e-43d7-b92a-2b0f7af0541b</t>
  </si>
  <si>
    <t>27664063654</t>
  </si>
  <si>
    <t>13556260</t>
  </si>
  <si>
    <t>2ee84a73-8374-4127-b1a0-8390c5a900d5</t>
  </si>
  <si>
    <t>2026-03-09 09:47:16</t>
  </si>
  <si>
    <t>27722108278</t>
  </si>
  <si>
    <t>13555334</t>
  </si>
  <si>
    <t>ec052664-41be-4351-a60c-33fe522c829c</t>
  </si>
  <si>
    <t>27663347650</t>
  </si>
  <si>
    <t>13555342</t>
  </si>
  <si>
    <t>57dd2508-f2f8-4fd1-8032-e2ffaa0a41e0</t>
  </si>
  <si>
    <t>27663556349</t>
  </si>
  <si>
    <t>13555274</t>
  </si>
  <si>
    <t>a6547a97-350d-450f-b9d4-86012b587713</t>
  </si>
  <si>
    <t>2026-03-09 09:47:15</t>
  </si>
  <si>
    <t>27661033485</t>
  </si>
  <si>
    <t>13555266</t>
  </si>
  <si>
    <t>41b722b6-0518-4f56-b0c8-8b998dc62461</t>
  </si>
  <si>
    <t>27660907827</t>
  </si>
  <si>
    <t>13555282</t>
  </si>
  <si>
    <t>5f3c38f4-e2f2-4b75-b368-9f9f45205063</t>
  </si>
  <si>
    <t>27661157714</t>
  </si>
  <si>
    <t>13555289</t>
  </si>
  <si>
    <t>f3614dae-f03a-4df8-b169-e7e9f0f4627e</t>
  </si>
  <si>
    <t>27661269689</t>
  </si>
  <si>
    <t>13555311</t>
  </si>
  <si>
    <t>80b33cab-7d8a-4bdb-9a2f-0d8b3c54b8c4</t>
  </si>
  <si>
    <t>27661826303</t>
  </si>
  <si>
    <t>13556391</t>
  </si>
  <si>
    <t>ee0c5946-a80a-46cc-b667-92666f7a87b0</t>
  </si>
  <si>
    <t>2026-03-09 09:47:14</t>
  </si>
  <si>
    <t>27723439940</t>
  </si>
  <si>
    <t>13556397</t>
  </si>
  <si>
    <t>d1d082ec-b150-404e-b38a-a7956599e1f3</t>
  </si>
  <si>
    <t>27723482032</t>
  </si>
  <si>
    <t>13560704</t>
  </si>
  <si>
    <t>efd12e54-f6ff-4ab7-8817-2bbd7a68cca9</t>
  </si>
  <si>
    <t>27715655750</t>
  </si>
  <si>
    <t>13560489</t>
  </si>
  <si>
    <t>25d001d6-5aa2-4ee4-a516-0790263fbaad</t>
  </si>
  <si>
    <t>2026-03-09 09:47:13</t>
  </si>
  <si>
    <t>27713328535</t>
  </si>
  <si>
    <t>13560476</t>
  </si>
  <si>
    <t>c6997519-987c-405d-b0a5-d02c426552c8</t>
  </si>
  <si>
    <t>2026-03-09 09:47:11</t>
  </si>
  <si>
    <t>27713777827</t>
  </si>
  <si>
    <t>13560477</t>
  </si>
  <si>
    <t>6e1a8edf-82dc-4f4c-b598-b1e02734605d</t>
  </si>
  <si>
    <t>27673663030</t>
  </si>
  <si>
    <t>13561280</t>
  </si>
  <si>
    <t>d3d5a9c0-69a2-49b4-86e4-d087e7224b95</t>
  </si>
  <si>
    <t>27663314046</t>
  </si>
  <si>
    <t>13559954</t>
  </si>
  <si>
    <t>0be0d2d5-f15d-4df5-befc-4bad2b8d9654</t>
  </si>
  <si>
    <t>27724070757</t>
  </si>
  <si>
    <t>13559963</t>
  </si>
  <si>
    <t>21f4ee11-dd05-46f8-be02-085c11b0c087</t>
  </si>
  <si>
    <t>27713676125</t>
  </si>
  <si>
    <t>13559393</t>
  </si>
  <si>
    <t>27fc1089-89a7-4905-9b0f-d986a27dc6c5</t>
  </si>
  <si>
    <t>2026-03-09 09:47:10</t>
  </si>
  <si>
    <t>27826416030</t>
  </si>
  <si>
    <t>13560069</t>
  </si>
  <si>
    <t>04d5afbf-5345-4323-ab34-3f73df49be4c</t>
  </si>
  <si>
    <t>27827354538</t>
  </si>
  <si>
    <t>13560082</t>
  </si>
  <si>
    <t>1d184c8f-710d-4714-9138-e7c599cc4096</t>
  </si>
  <si>
    <t>27799028717</t>
  </si>
  <si>
    <t>13560256</t>
  </si>
  <si>
    <t>769498a6-c96e-41fe-9bbe-d5e375c7deb5</t>
  </si>
  <si>
    <t>27722666273</t>
  </si>
  <si>
    <t>13559953</t>
  </si>
  <si>
    <t>9090f9c0-8f38-46f6-a0e3-27418715a112</t>
  </si>
  <si>
    <t>27767705905</t>
  </si>
  <si>
    <t>13555003</t>
  </si>
  <si>
    <t>d9da9f29-b325-45da-9322-19b4e5090893</t>
  </si>
  <si>
    <t>2026-03-09 09:46:07</t>
  </si>
  <si>
    <t>27637392575</t>
  </si>
  <si>
    <t>13555219</t>
  </si>
  <si>
    <t>9e0930c0-3f9f-401c-8dab-029ab41d85e8</t>
  </si>
  <si>
    <t>2026-03-09 09:46:06</t>
  </si>
  <si>
    <t>27660106213</t>
  </si>
  <si>
    <t>13555230</t>
  </si>
  <si>
    <t>711a29e4-c965-4b4a-a51c-50c914ceeea6</t>
  </si>
  <si>
    <t>27660321555</t>
  </si>
  <si>
    <t>13554954</t>
  </si>
  <si>
    <t>fe6487e9-1b60-45f1-9a2e-1d8218f2c8e3</t>
  </si>
  <si>
    <t>27636272287</t>
  </si>
  <si>
    <t>13554982</t>
  </si>
  <si>
    <t>38bed4df-96aa-4c30-886d-38ed9389af1f</t>
  </si>
  <si>
    <t>27636684409</t>
  </si>
  <si>
    <t>13554997</t>
  </si>
  <si>
    <t>d8bf18d9-ab64-4a73-b1ce-948ea68763a6</t>
  </si>
  <si>
    <t>27637244216</t>
  </si>
  <si>
    <t>13555189</t>
  </si>
  <si>
    <t>dcf00997-462f-4a7a-9ffd-61c91264156d</t>
  </si>
  <si>
    <t>2026-03-09 09:46:05</t>
  </si>
  <si>
    <t>27649498624</t>
  </si>
  <si>
    <t>13555201</t>
  </si>
  <si>
    <t>1c3306ad-d309-411c-9158-dc04a5db942a</t>
  </si>
  <si>
    <t>27649880749</t>
  </si>
  <si>
    <t>13555123</t>
  </si>
  <si>
    <t>9597597c-21f5-4e84-a8bb-27fdff977dab</t>
  </si>
  <si>
    <t>2026-03-09 09:46:04</t>
  </si>
  <si>
    <t>27648374997</t>
  </si>
  <si>
    <t>13555124</t>
  </si>
  <si>
    <t>275e2b66-b8e8-4553-8ba6-7106ff2ed44b</t>
  </si>
  <si>
    <t>27648387675</t>
  </si>
  <si>
    <t>13555134</t>
  </si>
  <si>
    <t>76ff3084-fe36-41d6-a900-5ad05b45f44c</t>
  </si>
  <si>
    <t>27648477778</t>
  </si>
  <si>
    <t>13555181</t>
  </si>
  <si>
    <t>e5d913b0-3ff3-44c5-adb6-f98a08f93a7e</t>
  </si>
  <si>
    <t>27649432179</t>
  </si>
  <si>
    <t>13555115</t>
  </si>
  <si>
    <t>2432c711-2e4a-4b34-96bf-0ffcfe73763c</t>
  </si>
  <si>
    <t>2026-03-09 09:46:03</t>
  </si>
  <si>
    <t>27648253395</t>
  </si>
  <si>
    <t>13555116</t>
  </si>
  <si>
    <t>8a8e5498-e077-4edb-8d5a-9cae3da07f46</t>
  </si>
  <si>
    <t>27648255570</t>
  </si>
  <si>
    <t>13555119</t>
  </si>
  <si>
    <t>ab94af33-8dcc-4c8b-b545-3239e562dc39</t>
  </si>
  <si>
    <t>27648286291</t>
  </si>
  <si>
    <t>13555101</t>
  </si>
  <si>
    <t>6de5712f-b6c1-4f3a-90cb-5a6f4d6945ac</t>
  </si>
  <si>
    <t>27647897070</t>
  </si>
  <si>
    <t>13556189</t>
  </si>
  <si>
    <t>35a8d2db-a029-4204-9f49-c49cca563a1d</t>
  </si>
  <si>
    <t>27721455647</t>
  </si>
  <si>
    <t>13560730</t>
  </si>
  <si>
    <t>4b4872c8-444c-4a49-a9ee-ce5af81466dd</t>
  </si>
  <si>
    <t>27661942699</t>
  </si>
  <si>
    <t>13555086</t>
  </si>
  <si>
    <t>2389e880-723c-4daa-9264-11081834013e</t>
  </si>
  <si>
    <t>2026-03-09 09:46:02</t>
  </si>
  <si>
    <t>27647332964</t>
  </si>
  <si>
    <t>13556186</t>
  </si>
  <si>
    <t>3d38586f-0ec4-490e-9b71-bec74ac44220</t>
  </si>
  <si>
    <t>27721438038</t>
  </si>
  <si>
    <t>13556205</t>
  </si>
  <si>
    <t>1d52938b-4b7a-412b-a260-0812c034e72c</t>
  </si>
  <si>
    <t>27721557851</t>
  </si>
  <si>
    <t>13556207</t>
  </si>
  <si>
    <t>fb6206e2-3b81-4da3-94ae-0d2444cf2207</t>
  </si>
  <si>
    <t>27721573430</t>
  </si>
  <si>
    <t>13555009</t>
  </si>
  <si>
    <t>14c5eb4f-6bdd-489d-af1c-b0dafb32d51b</t>
  </si>
  <si>
    <t>2026-03-09 09:46:00</t>
  </si>
  <si>
    <t>27637455423</t>
  </si>
  <si>
    <t>13556184</t>
  </si>
  <si>
    <t>932f2bcc-27a5-4a43-a148-f91764562fb0</t>
  </si>
  <si>
    <t>27721403169</t>
  </si>
  <si>
    <t>13559234</t>
  </si>
  <si>
    <t>60482b5f-479c-4c50-8c0e-4350aacf5c0a</t>
  </si>
  <si>
    <t>27824488492</t>
  </si>
  <si>
    <t>13560544</t>
  </si>
  <si>
    <t>7fc8c319-f3a0-4c94-b89f-ae2837f59e47</t>
  </si>
  <si>
    <t>27663499669</t>
  </si>
  <si>
    <t>13561268</t>
  </si>
  <si>
    <t>eb8bd73f-1738-40fe-8ef9-ff89510b0c40</t>
  </si>
  <si>
    <t>2026-03-09 09:45:58</t>
  </si>
  <si>
    <t>27716582878</t>
  </si>
  <si>
    <t>13561241</t>
  </si>
  <si>
    <t>6d354ca4-3dcf-45a5-82b0-a509b00d4f84</t>
  </si>
  <si>
    <t>27712036339</t>
  </si>
  <si>
    <t>13560424</t>
  </si>
  <si>
    <t>4d787677-44df-4763-bc74-459d9b15d861</t>
  </si>
  <si>
    <t>2026-03-09 09:45:57</t>
  </si>
  <si>
    <t>27722845626</t>
  </si>
  <si>
    <t>13560429</t>
  </si>
  <si>
    <t>01cbdc8a-6db3-40c2-bf63-d7a1cf122849</t>
  </si>
  <si>
    <t>27798605078</t>
  </si>
  <si>
    <t>13560507</t>
  </si>
  <si>
    <t>f893f03e-06cc-4391-b53c-db168ae3edea</t>
  </si>
  <si>
    <t>27761885192</t>
  </si>
  <si>
    <t>13559846</t>
  </si>
  <si>
    <t>bd9b01da-07ca-4689-8a76-5be03030309f</t>
  </si>
  <si>
    <t>2026-03-09 09:45:56</t>
  </si>
  <si>
    <t>27760552559</t>
  </si>
  <si>
    <t>13559982</t>
  </si>
  <si>
    <t>127b821b-1cce-4e51-ad47-6a76a3132408</t>
  </si>
  <si>
    <t>27766598463</t>
  </si>
  <si>
    <t>13559984</t>
  </si>
  <si>
    <t>361b180a-dd2c-42a0-b28f-5dc50824d720</t>
  </si>
  <si>
    <t>27826380244</t>
  </si>
  <si>
    <t>13561217</t>
  </si>
  <si>
    <t>b4bb2c49-a406-4bde-af72-283d6e69075e</t>
  </si>
  <si>
    <t>27726215751</t>
  </si>
  <si>
    <t>13559585</t>
  </si>
  <si>
    <t>618d02f5-d32d-4201-a881-ebfdeb98ad1b</t>
  </si>
  <si>
    <t>2026-03-09 09:45:55</t>
  </si>
  <si>
    <t>27828911384</t>
  </si>
  <si>
    <t>13559833</t>
  </si>
  <si>
    <t>c9809deb-03a8-4180-b62d-b6eac00cd051</t>
  </si>
  <si>
    <t>27648979448</t>
  </si>
  <si>
    <t>13559840</t>
  </si>
  <si>
    <t>fe6737bc-05ed-406b-8749-951558b9a8fe</t>
  </si>
  <si>
    <t>27606598753</t>
  </si>
  <si>
    <t>13559842</t>
  </si>
  <si>
    <t>b1548452-dc13-44c2-9654-49e079adf845</t>
  </si>
  <si>
    <t>27722017861</t>
  </si>
  <si>
    <t>13559818</t>
  </si>
  <si>
    <t>214be167-abab-4936-a187-7df2b857ae07</t>
  </si>
  <si>
    <t>27797150722</t>
  </si>
  <si>
    <t>13559231</t>
  </si>
  <si>
    <t>a774b34d-5473-4145-b64b-f39baccfae9b</t>
  </si>
  <si>
    <t>2026-03-09 09:45:50</t>
  </si>
  <si>
    <t>27824424353</t>
  </si>
  <si>
    <t>13564593</t>
  </si>
  <si>
    <t>4c9a40ff-07bc-45ae-8141-5ed79c1f269b</t>
  </si>
  <si>
    <t>2026-03-09 09:45:25</t>
  </si>
  <si>
    <t>27720293091</t>
  </si>
  <si>
    <t>13562629</t>
  </si>
  <si>
    <t>d94d2bc9-f949-4919-98fc-3c64edcfa10e</t>
  </si>
  <si>
    <t>2026-03-09 09:45:07</t>
  </si>
  <si>
    <t>27722258494</t>
  </si>
  <si>
    <t>13562609</t>
  </si>
  <si>
    <t>ef8362d7-6a59-4e1d-a551-a36f0d977232</t>
  </si>
  <si>
    <t>2026-03-09 09:45:06</t>
  </si>
  <si>
    <t>27763838794</t>
  </si>
  <si>
    <t>13562613</t>
  </si>
  <si>
    <t>d38046d5-9e78-44ab-bab7-b3758cc431ec</t>
  </si>
  <si>
    <t>27723129508</t>
  </si>
  <si>
    <t>13562616</t>
  </si>
  <si>
    <t>605ce474-10b6-4d44-b788-5f474a354410</t>
  </si>
  <si>
    <t>27663571247</t>
  </si>
  <si>
    <t>13562543</t>
  </si>
  <si>
    <t>f5739b75-791d-4f2f-b8a8-7bd40a48e698</t>
  </si>
  <si>
    <t>27608503165</t>
  </si>
  <si>
    <t>13562548</t>
  </si>
  <si>
    <t>3274af2f-771f-446a-a99b-694a1ae16e93</t>
  </si>
  <si>
    <t>27609351030</t>
  </si>
  <si>
    <t>13562570</t>
  </si>
  <si>
    <t>5719df15-65ff-4f2c-b366-bb6edd1cdfe4</t>
  </si>
  <si>
    <t>27673575107</t>
  </si>
  <si>
    <t>13562486</t>
  </si>
  <si>
    <t>98769464-0ddc-4b18-9bf0-53dd5829ae4f</t>
  </si>
  <si>
    <t>2026-03-09 09:45:05</t>
  </si>
  <si>
    <t>27637115760</t>
  </si>
  <si>
    <t>13562465</t>
  </si>
  <si>
    <t>686179e8-9ff4-46d9-9d94-14cc59c18f04</t>
  </si>
  <si>
    <t>27725145635</t>
  </si>
  <si>
    <t>13562496</t>
  </si>
  <si>
    <t>5efeb79e-6fb9-4094-b655-e33526efe509</t>
  </si>
  <si>
    <t>27607396122</t>
  </si>
  <si>
    <t>13562503</t>
  </si>
  <si>
    <t>b3cb73a6-86a6-4968-baf8-6aa44f409c04</t>
  </si>
  <si>
    <t>27712977127</t>
  </si>
  <si>
    <t>13562527</t>
  </si>
  <si>
    <t>36af05c7-a459-40a3-831b-224f83c6d51d</t>
  </si>
  <si>
    <t>27725120082</t>
  </si>
  <si>
    <t>13560650</t>
  </si>
  <si>
    <t>c4705350-f1d0-4e1a-b897-c02450a17fe0</t>
  </si>
  <si>
    <t>2026-03-09 09:45:04</t>
  </si>
  <si>
    <t>27727168760</t>
  </si>
  <si>
    <t>13560656</t>
  </si>
  <si>
    <t>c16510f2-3914-4bf5-8994-824c203c49ee</t>
  </si>
  <si>
    <t>27827454772</t>
  </si>
  <si>
    <t>13563996</t>
  </si>
  <si>
    <t>7cfde53e-b6dd-41c8-aea3-a505e1ce9cbe</t>
  </si>
  <si>
    <t>27661057161</t>
  </si>
  <si>
    <t>13564016</t>
  </si>
  <si>
    <t>d632ea27-17ee-45aa-9853-a8ded9f10b57</t>
  </si>
  <si>
    <t>27769299843</t>
  </si>
  <si>
    <t>13562454</t>
  </si>
  <si>
    <t>b9ed18c0-f326-47af-9038-2aea8e04fdb6</t>
  </si>
  <si>
    <t>27660896693</t>
  </si>
  <si>
    <t>13562376</t>
  </si>
  <si>
    <t>319c6f7b-bc37-44d4-aaf4-9cab7549895c</t>
  </si>
  <si>
    <t>27761693930</t>
  </si>
  <si>
    <t>13562381</t>
  </si>
  <si>
    <t>178cc9b1-c14c-4ebd-bb94-d7a208bd5343</t>
  </si>
  <si>
    <t>27714050358</t>
  </si>
  <si>
    <t>13560582</t>
  </si>
  <si>
    <t>701e8dae-fbf3-46b9-94ab-9a72e4c25c2a</t>
  </si>
  <si>
    <t>2026-03-09 09:45:03</t>
  </si>
  <si>
    <t>27766265446</t>
  </si>
  <si>
    <t>13560595</t>
  </si>
  <si>
    <t>3d5d9b87-dbfd-45d7-98c2-8b85da3dc7ac</t>
  </si>
  <si>
    <t>27824839796</t>
  </si>
  <si>
    <t>13560598</t>
  </si>
  <si>
    <t>6bda2b1c-5996-478c-80d4-3e67f23f81a5</t>
  </si>
  <si>
    <t>27826650579</t>
  </si>
  <si>
    <t>13560604</t>
  </si>
  <si>
    <t>d87c5b27-ca9b-4b91-ae4b-8c39a57725bf</t>
  </si>
  <si>
    <t>27794614533</t>
  </si>
  <si>
    <t>13560620</t>
  </si>
  <si>
    <t>50c4ece5-2b15-4532-87b3-8da4f5eb7371</t>
  </si>
  <si>
    <t>27713903455</t>
  </si>
  <si>
    <t>13560287</t>
  </si>
  <si>
    <t>d9c7ea07-8cc8-4d66-b5db-4f913f794b68</t>
  </si>
  <si>
    <t>2026-03-09 09:45:02</t>
  </si>
  <si>
    <t>27797238687</t>
  </si>
  <si>
    <t>13559430</t>
  </si>
  <si>
    <t>bb15808b-7fea-4cb7-a158-dda65c8da51f</t>
  </si>
  <si>
    <t>2026-03-09 09:44:59</t>
  </si>
  <si>
    <t>27826825144</t>
  </si>
  <si>
    <t>13559414</t>
  </si>
  <si>
    <t>8cd463d4-68d7-4e00-a3c8-b8c0ad1e92ee</t>
  </si>
  <si>
    <t>2026-03-09 09:44:58</t>
  </si>
  <si>
    <t>27826656215</t>
  </si>
  <si>
    <t>13559203</t>
  </si>
  <si>
    <t>6dba374f-1d97-4176-9af0-18d7e0ebb212</t>
  </si>
  <si>
    <t>2026-03-09 09:44:57</t>
  </si>
  <si>
    <t>27824153043</t>
  </si>
  <si>
    <t>13559232</t>
  </si>
  <si>
    <t>47e85efe-b2bc-4349-bb57-5024028a8b52</t>
  </si>
  <si>
    <t>27824468128</t>
  </si>
  <si>
    <t>13560808</t>
  </si>
  <si>
    <t>e7cd38ec-0645-416b-8306-fbd9391a1dd4</t>
  </si>
  <si>
    <t>2026-03-09 09:44:20</t>
  </si>
  <si>
    <t>27674407560</t>
  </si>
  <si>
    <t>13561058</t>
  </si>
  <si>
    <t>21da8f5e-958f-49ba-b7d1-62f20bd300dc</t>
  </si>
  <si>
    <t>27730211249</t>
  </si>
  <si>
    <t>13561098</t>
  </si>
  <si>
    <t>31f5e496-84ac-4512-aada-cba3c9b321fb</t>
  </si>
  <si>
    <t>27721039353</t>
  </si>
  <si>
    <t>13560698</t>
  </si>
  <si>
    <t>e8d3dc5d-5d61-43a6-85fe-79596311af4b</t>
  </si>
  <si>
    <t>2026-03-09 09:44:19</t>
  </si>
  <si>
    <t>27724206379</t>
  </si>
  <si>
    <t>13560798</t>
  </si>
  <si>
    <t>8b91fa7a-2b99-4e0c-acc1-fc1d839a22c8</t>
  </si>
  <si>
    <t>27798694912</t>
  </si>
  <si>
    <t>13560719</t>
  </si>
  <si>
    <t>a28fd682-4d0e-4b3d-8fe1-0ee924995884</t>
  </si>
  <si>
    <t>27762592436</t>
  </si>
  <si>
    <t>13560725</t>
  </si>
  <si>
    <t>d8196e26-d6b1-42a3-9bf0-f61a0ab0a570</t>
  </si>
  <si>
    <t>27769058901</t>
  </si>
  <si>
    <t>13559644</t>
  </si>
  <si>
    <t>e684596f-5e78-463d-9a6c-57dd70043f20</t>
  </si>
  <si>
    <t>2026-03-09 09:44:16</t>
  </si>
  <si>
    <t>27834095176</t>
  </si>
  <si>
    <t>13559898</t>
  </si>
  <si>
    <t>6bbf7352-44a3-440f-a660-8df9822aa281</t>
  </si>
  <si>
    <t>27646684332</t>
  </si>
  <si>
    <t>13559718</t>
  </si>
  <si>
    <t>bebc1918-5fd3-427d-9c1a-4df64c2e9002</t>
  </si>
  <si>
    <t>27827108291</t>
  </si>
  <si>
    <t>13559606</t>
  </si>
  <si>
    <t>c3369598-4207-4904-b780-4562c7f39861</t>
  </si>
  <si>
    <t>2026-03-09 09:44:14</t>
  </si>
  <si>
    <t>27829388501</t>
  </si>
  <si>
    <t>13559540</t>
  </si>
  <si>
    <t>6633caa4-17ad-454d-8e1f-b1ff58852001</t>
  </si>
  <si>
    <t>2026-03-09 09:44:13</t>
  </si>
  <si>
    <t>27828167892</t>
  </si>
  <si>
    <t>13559544</t>
  </si>
  <si>
    <t>d88b776d-2d7a-4bbf-b98a-a7e2fe710184</t>
  </si>
  <si>
    <t>27828219285</t>
  </si>
  <si>
    <t>13560012</t>
  </si>
  <si>
    <t>e5926cfe-dc17-4951-8c23-0b3121111477</t>
  </si>
  <si>
    <t>27720647100</t>
  </si>
  <si>
    <t>13559552</t>
  </si>
  <si>
    <t>7e12bbf5-bff6-4938-80f0-3e6eaa7dc473</t>
  </si>
  <si>
    <t>27828366728</t>
  </si>
  <si>
    <t>13560029</t>
  </si>
  <si>
    <t>f07d7300-a592-4fb2-961d-40ce9eb7ae6c</t>
  </si>
  <si>
    <t>27674515868</t>
  </si>
  <si>
    <t>13559633</t>
  </si>
  <si>
    <t>93fcb970-ced8-476b-8e47-e429678d67cd</t>
  </si>
  <si>
    <t>27829783990</t>
  </si>
  <si>
    <t>13559636</t>
  </si>
  <si>
    <t>1c7df684-4567-4058-a166-3a39a114b51f</t>
  </si>
  <si>
    <t>27829983494</t>
  </si>
  <si>
    <t>13559638</t>
  </si>
  <si>
    <t>865a4553-8ec9-476f-a660-b656a05db248</t>
  </si>
  <si>
    <t>27832713929</t>
  </si>
  <si>
    <t>13559317</t>
  </si>
  <si>
    <t>5b27d806-c5f9-4fcc-9567-06a87a108c8d</t>
  </si>
  <si>
    <t>2026-03-09 09:44:12</t>
  </si>
  <si>
    <t>27825400241</t>
  </si>
  <si>
    <t>13559490</t>
  </si>
  <si>
    <t>6c5a4952-a6e5-4c1b-9770-a80383ba9d47</t>
  </si>
  <si>
    <t>27827497917</t>
  </si>
  <si>
    <t>13559334</t>
  </si>
  <si>
    <t>673da5a8-b155-45c4-bc22-d71be3b040b1</t>
  </si>
  <si>
    <t>27825654415</t>
  </si>
  <si>
    <t>13559444</t>
  </si>
  <si>
    <t>fcf257c9-e182-4394-9832-a80c5e71d176</t>
  </si>
  <si>
    <t>27826973192</t>
  </si>
  <si>
    <t>13559229</t>
  </si>
  <si>
    <t>e3c8ce34-1252-4dfb-8fc3-cf5cd1b2880e</t>
  </si>
  <si>
    <t>2026-03-09 09:44:05</t>
  </si>
  <si>
    <t>27824395684</t>
  </si>
  <si>
    <t>13561048</t>
  </si>
  <si>
    <t>68a95928-845c-4535-a6a1-dabcf2233599</t>
  </si>
  <si>
    <t>2026-03-09 09:43:13</t>
  </si>
  <si>
    <t>27765942825</t>
  </si>
  <si>
    <t>13561054</t>
  </si>
  <si>
    <t>c504bd67-61fa-4582-ad0b-032fc6421e2e</t>
  </si>
  <si>
    <t>27663695522</t>
  </si>
  <si>
    <t>13561155</t>
  </si>
  <si>
    <t>b9269383-aea6-4d60-934a-fc660e432586</t>
  </si>
  <si>
    <t>27649280641</t>
  </si>
  <si>
    <t>13561202</t>
  </si>
  <si>
    <t>f52e6d45-064c-4937-a203-7c82ac7fe0d3</t>
  </si>
  <si>
    <t>27646314447</t>
  </si>
  <si>
    <t>13561026</t>
  </si>
  <si>
    <t>7e9fc832-38d5-48f4-a2c0-d4a3ea1ccfad</t>
  </si>
  <si>
    <t>2026-03-09 09:43:11</t>
  </si>
  <si>
    <t>27795259087</t>
  </si>
  <si>
    <t>13561027</t>
  </si>
  <si>
    <t>1ff7ad97-308f-4bbf-834e-2992f6c1b9d0</t>
  </si>
  <si>
    <t>27722895250</t>
  </si>
  <si>
    <t>13561040</t>
  </si>
  <si>
    <t>b0a66752-2e33-4484-ab21-766c1b0738c8</t>
  </si>
  <si>
    <t>27722031099</t>
  </si>
  <si>
    <t>13561043</t>
  </si>
  <si>
    <t>addd4f4e-ebf5-43f2-9802-8a2b130e4a0f</t>
  </si>
  <si>
    <t>27768717640</t>
  </si>
  <si>
    <t>13560856</t>
  </si>
  <si>
    <t>7b525200-ff6f-4a8f-bb16-11b99ff22267</t>
  </si>
  <si>
    <t>2026-03-09 09:43:10</t>
  </si>
  <si>
    <t>27798414699</t>
  </si>
  <si>
    <t>13560858</t>
  </si>
  <si>
    <t>132207ab-4cea-466a-9e81-26e520fcea80</t>
  </si>
  <si>
    <t>27665689961</t>
  </si>
  <si>
    <t>13560867</t>
  </si>
  <si>
    <t>a6f6ff2b-10a9-4c26-9379-88ecb395565b</t>
  </si>
  <si>
    <t>27660656540</t>
  </si>
  <si>
    <t>13560884</t>
  </si>
  <si>
    <t>46175eb8-cac5-4c8e-80b8-7e2a139b6a1c</t>
  </si>
  <si>
    <t>27722256741</t>
  </si>
  <si>
    <t>13560890</t>
  </si>
  <si>
    <t>1e2d0e2e-0276-4511-87d7-d24001d8d29c</t>
  </si>
  <si>
    <t>27724712154</t>
  </si>
  <si>
    <t>13560914</t>
  </si>
  <si>
    <t>df598fe8-65ca-4353-a8c6-dcd64dcb5fd2</t>
  </si>
  <si>
    <t>27820930166</t>
  </si>
  <si>
    <t>13560920</t>
  </si>
  <si>
    <t>d9d63139-3c07-41e3-b410-d7b4d13f08af</t>
  </si>
  <si>
    <t>27646323504</t>
  </si>
  <si>
    <t>13560937</t>
  </si>
  <si>
    <t>d582241c-89d4-479f-986f-21091dc9bd22</t>
  </si>
  <si>
    <t>27794571546</t>
  </si>
  <si>
    <t>13560783</t>
  </si>
  <si>
    <t>ce67a5fb-bbea-402a-aa13-a9571c66aadb</t>
  </si>
  <si>
    <t>2026-03-09 09:43:09</t>
  </si>
  <si>
    <t>27649447074</t>
  </si>
  <si>
    <t>13560812</t>
  </si>
  <si>
    <t>97b83853-074f-43fe-b0f7-e986746d4e68</t>
  </si>
  <si>
    <t>27726720466</t>
  </si>
  <si>
    <t>13560813</t>
  </si>
  <si>
    <t>3cdc6c1c-d9a9-49cc-9733-157558274e74</t>
  </si>
  <si>
    <t>27765244254</t>
  </si>
  <si>
    <t>13560814</t>
  </si>
  <si>
    <t>c9f4bbf5-b436-41e0-b79a-202ef007404f</t>
  </si>
  <si>
    <t>27767874720</t>
  </si>
  <si>
    <t>13560819</t>
  </si>
  <si>
    <t>763a84fe-8229-4e4e-b565-3957da1ec356</t>
  </si>
  <si>
    <t>27608908641</t>
  </si>
  <si>
    <t>13560834</t>
  </si>
  <si>
    <t>c50e8cce-3b4e-42ae-8558-9f7fb8d8d61a</t>
  </si>
  <si>
    <t>27793769129</t>
  </si>
  <si>
    <t>13560854</t>
  </si>
  <si>
    <t>aa200e20-a7f2-4916-8378-f6f2916321ff</t>
  </si>
  <si>
    <t>27665437650</t>
  </si>
  <si>
    <t>13560766</t>
  </si>
  <si>
    <t>4585f391-6014-4737-bd70-236958b47719</t>
  </si>
  <si>
    <t>2026-03-09 09:42:59</t>
  </si>
  <si>
    <t>27774690387</t>
  </si>
  <si>
    <t>13560755</t>
  </si>
  <si>
    <t>70a96649-07bc-4094-ab1c-99935b3c0cd0</t>
  </si>
  <si>
    <t>27664504040</t>
  </si>
  <si>
    <t>13559537</t>
  </si>
  <si>
    <t>5bee060c-2568-437a-93c6-768ae8659bc6</t>
  </si>
  <si>
    <t>2026-03-09 09:42:58</t>
  </si>
  <si>
    <t>27828159418</t>
  </si>
  <si>
    <t>13560089</t>
  </si>
  <si>
    <t>82fc659f-d9a3-4812-b74c-547f201af1fb</t>
  </si>
  <si>
    <t>27725664758</t>
  </si>
  <si>
    <t>13560697</t>
  </si>
  <si>
    <t>2c122dfe-ad2e-4e76-ae57-d5914c5ad340</t>
  </si>
  <si>
    <t>27790864025</t>
  </si>
  <si>
    <t>13560705</t>
  </si>
  <si>
    <t>2f585628-abfd-4406-b98f-0ed4e9b7d55d</t>
  </si>
  <si>
    <t>27761400539</t>
  </si>
  <si>
    <t>13560749</t>
  </si>
  <si>
    <t>24d05b9e-eacc-40f2-85ba-f49ccb7f7bfa</t>
  </si>
  <si>
    <t>27825365035</t>
  </si>
  <si>
    <t>13559476</t>
  </si>
  <si>
    <t>7a10a298-cc58-408f-92e9-0b7b74fcf191</t>
  </si>
  <si>
    <t>2026-03-09 09:42:57</t>
  </si>
  <si>
    <t>27827345775</t>
  </si>
  <si>
    <t>13559478</t>
  </si>
  <si>
    <t>b5d09ec9-ad5a-4ed4-992f-d4e61c950c6b</t>
  </si>
  <si>
    <t>27827367991</t>
  </si>
  <si>
    <t>13559492</t>
  </si>
  <si>
    <t>70e68bc4-cb61-462e-925a-369a1750360d</t>
  </si>
  <si>
    <t>27827527353</t>
  </si>
  <si>
    <t>13559422</t>
  </si>
  <si>
    <t>3f2bb10f-a43b-493c-89db-8e077b90d12c</t>
  </si>
  <si>
    <t>2026-03-09 09:42:56</t>
  </si>
  <si>
    <t>27826712063</t>
  </si>
  <si>
    <t>13559439</t>
  </si>
  <si>
    <t>87cb3701-8c7e-4ad8-85af-e00446e9e4b8</t>
  </si>
  <si>
    <t>27826911594</t>
  </si>
  <si>
    <t>13559342</t>
  </si>
  <si>
    <t>aaedb0be-7f4d-4ad4-9fc6-0e0db9867956</t>
  </si>
  <si>
    <t>2026-03-09 09:42:52</t>
  </si>
  <si>
    <t>27825825748</t>
  </si>
  <si>
    <t>13559345</t>
  </si>
  <si>
    <t>35dc83d7-fe0e-496e-a5fe-9154de0cec2e</t>
  </si>
  <si>
    <t>27825857823</t>
  </si>
  <si>
    <t>13561754</t>
  </si>
  <si>
    <t>4f53dcbd-9643-4cdf-bf0f-1b4858a3bc47</t>
  </si>
  <si>
    <t>2026-03-09 09:41:56</t>
  </si>
  <si>
    <t>27711010925</t>
  </si>
  <si>
    <t>13561720</t>
  </si>
  <si>
    <t>2bad8a07-5ee4-444b-922c-88cbc54dcb03</t>
  </si>
  <si>
    <t>2026-03-09 09:41:55</t>
  </si>
  <si>
    <t>27765308920</t>
  </si>
  <si>
    <t>13561724</t>
  </si>
  <si>
    <t>61947952-fa4e-4ebd-a7f9-0ee5d92aaa67</t>
  </si>
  <si>
    <t>27714881721</t>
  </si>
  <si>
    <t>13561732</t>
  </si>
  <si>
    <t>305578af-edbb-4759-8262-f7d2ed27e8e6</t>
  </si>
  <si>
    <t>27767214761</t>
  </si>
  <si>
    <t>13561655</t>
  </si>
  <si>
    <t>309f11eb-39ff-4f44-ac8b-46950900aead</t>
  </si>
  <si>
    <t>2026-03-09 09:41:54</t>
  </si>
  <si>
    <t>27818453285</t>
  </si>
  <si>
    <t>13561662</t>
  </si>
  <si>
    <t>f560fa2b-3f5e-435b-b64c-7d552308a4c9</t>
  </si>
  <si>
    <t>27648033725</t>
  </si>
  <si>
    <t>13561669</t>
  </si>
  <si>
    <t>c44b0030-2791-4ca1-9c5a-33700283bb28</t>
  </si>
  <si>
    <t>27720639774</t>
  </si>
  <si>
    <t>13561671</t>
  </si>
  <si>
    <t>9b4422d4-2d8f-4543-b4e5-1cede6a0eb8e</t>
  </si>
  <si>
    <t>27768850645</t>
  </si>
  <si>
    <t>13561712</t>
  </si>
  <si>
    <t>57210e2f-187c-4029-b572-d755f99ed8e3</t>
  </si>
  <si>
    <t>27608219036</t>
  </si>
  <si>
    <t>13561522</t>
  </si>
  <si>
    <t>89297014-948b-4020-a449-44adfcdfe531</t>
  </si>
  <si>
    <t>2026-03-09 09:41:53</t>
  </si>
  <si>
    <t>27646058290</t>
  </si>
  <si>
    <t>13561610</t>
  </si>
  <si>
    <t>d089f534-46fb-498a-9b39-7a28055568c9</t>
  </si>
  <si>
    <t>27673029197</t>
  </si>
  <si>
    <t>13561619</t>
  </si>
  <si>
    <t>627bbb31-ab0e-4d8b-b485-ea7b1da92d66</t>
  </si>
  <si>
    <t>27762730564</t>
  </si>
  <si>
    <t>13561624</t>
  </si>
  <si>
    <t>077163cf-4c12-4b02-965f-e4f00296f03e</t>
  </si>
  <si>
    <t>27636827168</t>
  </si>
  <si>
    <t>13561645</t>
  </si>
  <si>
    <t>8dc45563-210d-4017-8d70-bd3a2bb8c155</t>
  </si>
  <si>
    <t>27647248567</t>
  </si>
  <si>
    <t>13561652</t>
  </si>
  <si>
    <t>e0a73b21-96e1-4505-84a3-d7e24a157dcb</t>
  </si>
  <si>
    <t>27769265334</t>
  </si>
  <si>
    <t>13561500</t>
  </si>
  <si>
    <t>e3b29010-126d-4f1f-aab6-ac25a85c2316</t>
  </si>
  <si>
    <t>27728361477</t>
  </si>
  <si>
    <t>13561501</t>
  </si>
  <si>
    <t>21435633-c46a-48db-b629-542e3ea96e18</t>
  </si>
  <si>
    <t>27762192470</t>
  </si>
  <si>
    <t>13561165</t>
  </si>
  <si>
    <t>6692406a-7470-4585-ab48-954e10f71887</t>
  </si>
  <si>
    <t>2026-03-09 09:41:52</t>
  </si>
  <si>
    <t>27727774927</t>
  </si>
  <si>
    <t>13561197</t>
  </si>
  <si>
    <t>5b7c2e7c-bf27-4bfc-8f11-47e979eae84f</t>
  </si>
  <si>
    <t>27713285640</t>
  </si>
  <si>
    <t>13561206</t>
  </si>
  <si>
    <t>eb6fcbed-33fa-4158-b460-be5bb6c9faa5</t>
  </si>
  <si>
    <t>27648789582</t>
  </si>
  <si>
    <t>13561472</t>
  </si>
  <si>
    <t>4504b504-ddf5-4177-bdc6-f274816ef054</t>
  </si>
  <si>
    <t>27715498448</t>
  </si>
  <si>
    <t>13561487</t>
  </si>
  <si>
    <t>935f2c9f-2536-4e4b-916c-02c3f49373f7</t>
  </si>
  <si>
    <t>27766508543</t>
  </si>
  <si>
    <t>13559193</t>
  </si>
  <si>
    <t>982e67c4-f799-4f47-ae7a-f9e066a77397</t>
  </si>
  <si>
    <t>2026-03-09 09:41:51</t>
  </si>
  <si>
    <t>27824044450</t>
  </si>
  <si>
    <t>13559198</t>
  </si>
  <si>
    <t>6dee239a-5282-423c-ad92-1616481eac35</t>
  </si>
  <si>
    <t>27824069608</t>
  </si>
  <si>
    <t>13561113</t>
  </si>
  <si>
    <t>c206781c-6120-4e03-a2e7-d6baa2889c5b</t>
  </si>
  <si>
    <t>27636021063</t>
  </si>
  <si>
    <t>13561121</t>
  </si>
  <si>
    <t>95360984-dec2-4e64-b9ba-9b30410a2a89</t>
  </si>
  <si>
    <t>27647064252</t>
  </si>
  <si>
    <t>13561124</t>
  </si>
  <si>
    <t>48493ed6-2236-4a01-ac39-aaef9e807adf</t>
  </si>
  <si>
    <t>27725353068</t>
  </si>
  <si>
    <t>13561373</t>
  </si>
  <si>
    <t>5c418bb8-edbe-457b-87b4-21abd69aa5c8</t>
  </si>
  <si>
    <t>2026-03-09 09:40:59</t>
  </si>
  <si>
    <t>27636421428</t>
  </si>
  <si>
    <t>13561381</t>
  </si>
  <si>
    <t>6ab1c50a-4cd9-4034-8a95-c8e8747506f7</t>
  </si>
  <si>
    <t>27663336198</t>
  </si>
  <si>
    <t>13562473</t>
  </si>
  <si>
    <t>317b7f72-bda8-458e-aa0d-fe6b14db6d2c</t>
  </si>
  <si>
    <t>27769601831</t>
  </si>
  <si>
    <t>13561900</t>
  </si>
  <si>
    <t>8ac317b5-b666-4bde-b915-ba9f95428d6b</t>
  </si>
  <si>
    <t>2026-03-09 09:40:58</t>
  </si>
  <si>
    <t>27661747313</t>
  </si>
  <si>
    <t>13561364</t>
  </si>
  <si>
    <t>49f277ed-bcbc-4bd6-b595-295e4fccb454</t>
  </si>
  <si>
    <t>27712606092</t>
  </si>
  <si>
    <t>13561313</t>
  </si>
  <si>
    <t>3ef29fc2-79c2-4483-85ee-b59e317fb64e</t>
  </si>
  <si>
    <t>27660978344</t>
  </si>
  <si>
    <t>13561355</t>
  </si>
  <si>
    <t>b750ced5-a91f-49ac-abd7-80b749995b80</t>
  </si>
  <si>
    <t>27711781290</t>
  </si>
  <si>
    <t>13561360</t>
  </si>
  <si>
    <t>36698132-48c6-405b-b5e7-8088a900baac</t>
  </si>
  <si>
    <t>27647838965</t>
  </si>
  <si>
    <t>13562364</t>
  </si>
  <si>
    <t>825b7e85-1eac-4fbf-a5d7-c07df265230e</t>
  </si>
  <si>
    <t>27727602890</t>
  </si>
  <si>
    <t>13561899</t>
  </si>
  <si>
    <t>8fd6a608-c28b-457d-a4d2-9bfbaa903434</t>
  </si>
  <si>
    <t>2026-03-09 09:40:57</t>
  </si>
  <si>
    <t>27795820646</t>
  </si>
  <si>
    <t>13561910</t>
  </si>
  <si>
    <t>57025e3b-4d8d-4b07-b214-3159a7204bf2</t>
  </si>
  <si>
    <t>27661057081</t>
  </si>
  <si>
    <t>13561918</t>
  </si>
  <si>
    <t>c967a831-1633-4836-aa5d-12c9834139a0</t>
  </si>
  <si>
    <t>27711365359</t>
  </si>
  <si>
    <t>13561298</t>
  </si>
  <si>
    <t>76fa82c1-caff-457a-bf45-3e22357fa353</t>
  </si>
  <si>
    <t>27665685604</t>
  </si>
  <si>
    <t>13561862</t>
  </si>
  <si>
    <t>74a971d5-8b91-41e8-a529-d169f2d8771d</t>
  </si>
  <si>
    <t>27724208853</t>
  </si>
  <si>
    <t>13561868</t>
  </si>
  <si>
    <t>d78cd281-a2dc-4b39-be85-602e1b828b80</t>
  </si>
  <si>
    <t>27818109853</t>
  </si>
  <si>
    <t>13561889</t>
  </si>
  <si>
    <t>9706e826-ccc2-4689-b134-69ed4a2ad503</t>
  </si>
  <si>
    <t>27766801588</t>
  </si>
  <si>
    <t>13561834</t>
  </si>
  <si>
    <t>4e98985d-f023-4c7e-9c63-77ca64f43eb6</t>
  </si>
  <si>
    <t>2026-03-09 09:40:56</t>
  </si>
  <si>
    <t>27609509910</t>
  </si>
  <si>
    <t>13561839</t>
  </si>
  <si>
    <t>fe37bdee-4ece-4d5c-8ee5-3b74ab7fb79b</t>
  </si>
  <si>
    <t>27649196279</t>
  </si>
  <si>
    <t>13561842</t>
  </si>
  <si>
    <t>24146cf3-ece8-458a-8712-e8de0ae5a058</t>
  </si>
  <si>
    <t>27796294434</t>
  </si>
  <si>
    <t>13561860</t>
  </si>
  <si>
    <t>4c19e6b2-2217-4404-8c81-bece6f09f4d8</t>
  </si>
  <si>
    <t>27661981670</t>
  </si>
  <si>
    <t>13561820</t>
  </si>
  <si>
    <t>54b6b9e2-44ff-4b3b-bb50-613118d1a189</t>
  </si>
  <si>
    <t>2026-03-09 09:40:55</t>
  </si>
  <si>
    <t>27664377796</t>
  </si>
  <si>
    <t>13561830</t>
  </si>
  <si>
    <t>20b22a51-c5f3-4292-a488-3c9c8aeb8969</t>
  </si>
  <si>
    <t>27723018314</t>
  </si>
  <si>
    <t>13561794</t>
  </si>
  <si>
    <t>bf75878a-d857-415a-a6dc-74a76af92407</t>
  </si>
  <si>
    <t>2026-03-09 09:40:54</t>
  </si>
  <si>
    <t>27794729958</t>
  </si>
  <si>
    <t>13561799</t>
  </si>
  <si>
    <t>8495f9a0-32b7-4390-ac3a-55aa60c08633</t>
  </si>
  <si>
    <t>27727157107</t>
  </si>
  <si>
    <t>13561758</t>
  </si>
  <si>
    <t>27e22702-c565-45e7-aa71-7887cb6cf278</t>
  </si>
  <si>
    <t>27818142356</t>
  </si>
  <si>
    <t>13561770</t>
  </si>
  <si>
    <t>73f7efe3-70da-4877-8d78-a864e9f1763c</t>
  </si>
  <si>
    <t>27673213327</t>
  </si>
  <si>
    <t>13561783</t>
  </si>
  <si>
    <t>eae4a0c4-94f6-4b1d-9861-bddda58a85cf</t>
  </si>
  <si>
    <t>27673536547</t>
  </si>
  <si>
    <t>13561791</t>
  </si>
  <si>
    <t>ae43f52b-5f74-45b0-ab06-741737304f4b</t>
  </si>
  <si>
    <t>27646047212</t>
  </si>
  <si>
    <t>13559174</t>
  </si>
  <si>
    <t>974605b0-8b21-4a37-9e97-bf8e0260e1a4</t>
  </si>
  <si>
    <t>2026-03-09 09:40:53</t>
  </si>
  <si>
    <t>27823893348</t>
  </si>
  <si>
    <t>13559184</t>
  </si>
  <si>
    <t>fd07c6ef-e8e2-4e08-be63-38226b44b47a</t>
  </si>
  <si>
    <t>27823948721</t>
  </si>
  <si>
    <t>13562953</t>
  </si>
  <si>
    <t>20802c0e-4f34-4a17-a4e6-158c81fc07bc</t>
  </si>
  <si>
    <t>2026-03-09 09:40:14</t>
  </si>
  <si>
    <t>27716514961</t>
  </si>
  <si>
    <t>13561379</t>
  </si>
  <si>
    <t>33cbbc6c-28cd-45bb-bc92-89717e11718a</t>
  </si>
  <si>
    <t>2026-03-09 09:39:59</t>
  </si>
  <si>
    <t>27725060213</t>
  </si>
  <si>
    <t>13562121</t>
  </si>
  <si>
    <t>ea664951-3884-4ced-ab02-2baf9cf83189</t>
  </si>
  <si>
    <t>2026-03-09 09:39:27</t>
  </si>
  <si>
    <t>27606317820</t>
  </si>
  <si>
    <t>13562153</t>
  </si>
  <si>
    <t>47c223c4-74a2-4d04-8ecc-33be42c2975c</t>
  </si>
  <si>
    <t>27711081779</t>
  </si>
  <si>
    <t>13563881</t>
  </si>
  <si>
    <t>ec2532f5-06bb-4207-8a9d-61212eda7031</t>
  </si>
  <si>
    <t>27769814019</t>
  </si>
  <si>
    <t>13563921</t>
  </si>
  <si>
    <t>ddfc3e52-2947-4c97-8b68-685829b8e1ad</t>
  </si>
  <si>
    <t>27636486839</t>
  </si>
  <si>
    <t>13564614</t>
  </si>
  <si>
    <t>9a667b06-bf59-45f8-954b-5e3beb130e8e</t>
  </si>
  <si>
    <t>27606801547</t>
  </si>
  <si>
    <t>13562109</t>
  </si>
  <si>
    <t>942fad8e-e931-4358-9d6d-c1ea3064b48e</t>
  </si>
  <si>
    <t>2026-03-09 09:39:26</t>
  </si>
  <si>
    <t>27673754053</t>
  </si>
  <si>
    <t>13562115</t>
  </si>
  <si>
    <t>03ef238f-57c1-448b-aad2-aacc98fb2d18</t>
  </si>
  <si>
    <t>27729527292</t>
  </si>
  <si>
    <t>13562120</t>
  </si>
  <si>
    <t>9a7310bd-bc4c-4d85-abb5-04fb6a1ebfea</t>
  </si>
  <si>
    <t>27793548701</t>
  </si>
  <si>
    <t>13562076</t>
  </si>
  <si>
    <t>05efc388-ef07-4c3e-ae12-91f4001eca32</t>
  </si>
  <si>
    <t>27609399258</t>
  </si>
  <si>
    <t>13562080</t>
  </si>
  <si>
    <t>b7511a72-3093-4ba9-89f1-62537f543334</t>
  </si>
  <si>
    <t>27796394880</t>
  </si>
  <si>
    <t>13562081</t>
  </si>
  <si>
    <t>0a4c6060-1bb8-4487-90e3-83c795fa2cc7</t>
  </si>
  <si>
    <t>27799028053</t>
  </si>
  <si>
    <t>13562094</t>
  </si>
  <si>
    <t>85e333ae-2304-4ebe-ad10-e75b5a3a230b</t>
  </si>
  <si>
    <t>27606006787</t>
  </si>
  <si>
    <t>13562100</t>
  </si>
  <si>
    <t>a074bda0-37f7-4fea-8040-5d575caea6da</t>
  </si>
  <si>
    <t>27761775480</t>
  </si>
  <si>
    <t>13562033</t>
  </si>
  <si>
    <t>157022a8-d60f-4ca9-98fd-5c728294517f</t>
  </si>
  <si>
    <t>2026-03-09 09:39:25</t>
  </si>
  <si>
    <t>27726168571</t>
  </si>
  <si>
    <t>13562046</t>
  </si>
  <si>
    <t>d755d6a0-fd8f-4b80-b9b2-9c192cabd450</t>
  </si>
  <si>
    <t>27606287382</t>
  </si>
  <si>
    <t>13562055</t>
  </si>
  <si>
    <t>6b34699d-616f-4d3f-9eba-04353c96ad1b</t>
  </si>
  <si>
    <t>27798161768</t>
  </si>
  <si>
    <t>13562058</t>
  </si>
  <si>
    <t>723c5a20-3313-4296-84a5-76191d911cf7</t>
  </si>
  <si>
    <t>27762883188</t>
  </si>
  <si>
    <t>13562075</t>
  </si>
  <si>
    <t>f359aba1-ad6d-4784-b2d8-4dd6f83233fd</t>
  </si>
  <si>
    <t>27648929528</t>
  </si>
  <si>
    <t>13562255</t>
  </si>
  <si>
    <t>a2e6cf59-fd41-4d07-b0c3-9ab67c4d6957</t>
  </si>
  <si>
    <t>2026-03-09 09:39:24</t>
  </si>
  <si>
    <t>27793657914</t>
  </si>
  <si>
    <t>13562258</t>
  </si>
  <si>
    <t>386b58ad-ea5c-4478-950e-50741d7e6b13</t>
  </si>
  <si>
    <t>27714319718</t>
  </si>
  <si>
    <t>13562237</t>
  </si>
  <si>
    <t>37170c0a-9113-456d-9fd7-ebd2fce5c5b6</t>
  </si>
  <si>
    <t>27715864883</t>
  </si>
  <si>
    <t>13562243</t>
  </si>
  <si>
    <t>de70f044-7b7f-4bae-904b-22aa7ecff5a4</t>
  </si>
  <si>
    <t>27727704641</t>
  </si>
  <si>
    <t>13562193</t>
  </si>
  <si>
    <t>fa16a9c7-f9f3-4a82-bcbe-fe7df8b26082</t>
  </si>
  <si>
    <t>2026-03-09 09:39:23</t>
  </si>
  <si>
    <t>27604663978</t>
  </si>
  <si>
    <t>13562198</t>
  </si>
  <si>
    <t>b370f532-efba-4787-9088-4298c3c5f6f2</t>
  </si>
  <si>
    <t>27790702688</t>
  </si>
  <si>
    <t>13562206</t>
  </si>
  <si>
    <t>370562f9-0716-4e8c-b7a5-54930d6ff055</t>
  </si>
  <si>
    <t>27767223800</t>
  </si>
  <si>
    <t>13562191</t>
  </si>
  <si>
    <t>ac56a49d-6dce-4172-9dc9-c746eab810ce</t>
  </si>
  <si>
    <t>2026-03-09 09:39:22</t>
  </si>
  <si>
    <t>27796183280</t>
  </si>
  <si>
    <t>13562162</t>
  </si>
  <si>
    <t>c5e67132-6d66-420a-b516-d8b17e1eada5</t>
  </si>
  <si>
    <t>2026-03-09 09:39:20</t>
  </si>
  <si>
    <t>27647364201</t>
  </si>
  <si>
    <t>13561428</t>
  </si>
  <si>
    <t>fba62f72-a9f7-42e5-bd23-79aa58161b38</t>
  </si>
  <si>
    <t>2026-03-09 09:39:15</t>
  </si>
  <si>
    <t>27716962333</t>
  </si>
  <si>
    <t>13561438</t>
  </si>
  <si>
    <t>f12bc59a-4db8-446f-87bc-67d2cb0edebc</t>
  </si>
  <si>
    <t>27665385591</t>
  </si>
  <si>
    <t>13561439</t>
  </si>
  <si>
    <t>c958fc53-2363-4fa7-80e0-e9376716a35a</t>
  </si>
  <si>
    <t>27792076270</t>
  </si>
  <si>
    <t>13561450</t>
  </si>
  <si>
    <t>d26cfac7-8d0a-49a5-b9d5-719b6331ccd4</t>
  </si>
  <si>
    <t>27820531904</t>
  </si>
  <si>
    <t>13558850</t>
  </si>
  <si>
    <t>e97d972a-668f-4ab0-98cf-102d22133ae4</t>
  </si>
  <si>
    <t>2026-03-09 09:39:14</t>
  </si>
  <si>
    <t>27799255817</t>
  </si>
  <si>
    <t>13559729</t>
  </si>
  <si>
    <t>224aa6cb-8bb0-4aa7-b463-aebd329fc790</t>
  </si>
  <si>
    <t>27825415050</t>
  </si>
  <si>
    <t>13558252</t>
  </si>
  <si>
    <t>e1375018-dbf9-41fa-92b3-caafbb5c6158</t>
  </si>
  <si>
    <t>2026-03-09 09:38:06</t>
  </si>
  <si>
    <t>27791827703</t>
  </si>
  <si>
    <t>13563786</t>
  </si>
  <si>
    <t>a57a4ee1-c33b-4b1c-bce8-0632cc87643a</t>
  </si>
  <si>
    <t>2026-03-09 09:38:00</t>
  </si>
  <si>
    <t>27636297367</t>
  </si>
  <si>
    <t>13564539</t>
  </si>
  <si>
    <t>9a96ec2a-261d-4bfd-b25b-f590f8988764</t>
  </si>
  <si>
    <t>27661554752</t>
  </si>
  <si>
    <t>13562413</t>
  </si>
  <si>
    <t>4fd8005f-eac6-48fe-b2cb-a16f11948ced</t>
  </si>
  <si>
    <t>2026-03-09 09:37:59</t>
  </si>
  <si>
    <t>27728472840</t>
  </si>
  <si>
    <t>13562417</t>
  </si>
  <si>
    <t>3e25638e-8dc7-4e96-af86-356612570858</t>
  </si>
  <si>
    <t>27608282177</t>
  </si>
  <si>
    <t>13562418</t>
  </si>
  <si>
    <t>c942a917-5be7-4946-ad54-2b44afa9aedb</t>
  </si>
  <si>
    <t>27726661448</t>
  </si>
  <si>
    <t>13562441</t>
  </si>
  <si>
    <t>56f082c4-1b81-4104-b5ff-f587fbb62411</t>
  </si>
  <si>
    <t>27722062280</t>
  </si>
  <si>
    <t>13562468</t>
  </si>
  <si>
    <t>91c87e04-44d4-4758-b83b-1e1cd95c152c</t>
  </si>
  <si>
    <t>27722642265</t>
  </si>
  <si>
    <t>13563798</t>
  </si>
  <si>
    <t>eba6f023-75a2-4079-90e1-69f2f78857ba</t>
  </si>
  <si>
    <t>27646674164</t>
  </si>
  <si>
    <t>13563808</t>
  </si>
  <si>
    <t>ba806eaa-23a1-47d7-8cc3-7e60909b587e</t>
  </si>
  <si>
    <t>27766358050</t>
  </si>
  <si>
    <t>13563810</t>
  </si>
  <si>
    <t>311bc6e7-2a40-43ce-8908-bf3f50afe2ad</t>
  </si>
  <si>
    <t>27660113840</t>
  </si>
  <si>
    <t>13562391</t>
  </si>
  <si>
    <t>6cfe8497-0c8f-45db-877d-8f08b5f54b42</t>
  </si>
  <si>
    <t>2026-03-09 09:37:58</t>
  </si>
  <si>
    <t>27729812840</t>
  </si>
  <si>
    <t>13562395</t>
  </si>
  <si>
    <t>a0719cff-f185-4c51-83f6-02b156c51bad</t>
  </si>
  <si>
    <t>27723395749</t>
  </si>
  <si>
    <t>13562398</t>
  </si>
  <si>
    <t>14c0f245-dc98-4f05-9142-ea3566856de7</t>
  </si>
  <si>
    <t>27763364039</t>
  </si>
  <si>
    <t>13562412</t>
  </si>
  <si>
    <t>ddd6d8ad-03ac-4cda-ae19-799408e9fdf2</t>
  </si>
  <si>
    <t>27720465902</t>
  </si>
  <si>
    <t>13562389</t>
  </si>
  <si>
    <t>f5bc9e0b-7a3c-40bd-8e42-354b7269a97a</t>
  </si>
  <si>
    <t>2026-03-09 09:37:57</t>
  </si>
  <si>
    <t>27768895733</t>
  </si>
  <si>
    <t>13564035</t>
  </si>
  <si>
    <t>0521748d-ac0e-4e20-825e-8862dc022bba</t>
  </si>
  <si>
    <t>27661238352</t>
  </si>
  <si>
    <t>13564039</t>
  </si>
  <si>
    <t>bd0dc829-ca70-4829-8c2b-5357d373d75e</t>
  </si>
  <si>
    <t>27714479940</t>
  </si>
  <si>
    <t>13562361</t>
  </si>
  <si>
    <t>f36dd9a1-e665-40ad-b697-918000dbdfa4</t>
  </si>
  <si>
    <t>27636035526</t>
  </si>
  <si>
    <t>13563993</t>
  </si>
  <si>
    <t>a748ee4a-5616-4d89-bb37-8746a0426cc5</t>
  </si>
  <si>
    <t>2026-03-09 09:37:56</t>
  </si>
  <si>
    <t>27769720844</t>
  </si>
  <si>
    <t>13563999</t>
  </si>
  <si>
    <t>86dd84d1-f9a0-4c86-aebb-5921bcf57bd3</t>
  </si>
  <si>
    <t>27760285949</t>
  </si>
  <si>
    <t>13564019</t>
  </si>
  <si>
    <t>e7076c10-9526-4436-9816-571f1d1fab2e</t>
  </si>
  <si>
    <t>27769527970</t>
  </si>
  <si>
    <t>13564022</t>
  </si>
  <si>
    <t>ee274151-a242-4066-83b3-859b5d64f310</t>
  </si>
  <si>
    <t>27726790530</t>
  </si>
  <si>
    <t>13563974</t>
  </si>
  <si>
    <t>8a26faf8-7323-4576-b800-b5a89e93ba42</t>
  </si>
  <si>
    <t>27772876324</t>
  </si>
  <si>
    <t>13563977</t>
  </si>
  <si>
    <t>e7195ca2-8604-40b7-9d65-178e9b16bf9f</t>
  </si>
  <si>
    <t>27606750607</t>
  </si>
  <si>
    <t>13559640</t>
  </si>
  <si>
    <t>329f3f36-e437-4511-952e-1595579875fd</t>
  </si>
  <si>
    <t>2026-03-09 09:37:55</t>
  </si>
  <si>
    <t>27833163703</t>
  </si>
  <si>
    <t>13561578</t>
  </si>
  <si>
    <t>7fb3b188-1351-4868-85f4-bfe117970969</t>
  </si>
  <si>
    <t>27722898548</t>
  </si>
  <si>
    <t>13563856</t>
  </si>
  <si>
    <t>50f2d0a0-93a5-47fa-85c3-c8edc1fbd2e1</t>
  </si>
  <si>
    <t>27609496912</t>
  </si>
  <si>
    <t>13563942</t>
  </si>
  <si>
    <t>63676548-2c2d-4ac0-bb09-409449ccffe1</t>
  </si>
  <si>
    <t>27660148207</t>
  </si>
  <si>
    <t>13557868</t>
  </si>
  <si>
    <t>c287bd9d-bc38-4931-8fea-4eeedc8c9192</t>
  </si>
  <si>
    <t>2026-03-09 09:37:53</t>
  </si>
  <si>
    <t>27768152302</t>
  </si>
  <si>
    <t>13558788</t>
  </si>
  <si>
    <t>e8125706-2a80-465b-9695-f47947821d2e</t>
  </si>
  <si>
    <t>27798230898</t>
  </si>
  <si>
    <t>13558792</t>
  </si>
  <si>
    <t>24a5a636-8882-4d46-afab-10ac38f5e827</t>
  </si>
  <si>
    <t>27798325766</t>
  </si>
  <si>
    <t>13558794</t>
  </si>
  <si>
    <t>e52d0818-30f1-41a2-bfc6-fa2451798280</t>
  </si>
  <si>
    <t>27798339286</t>
  </si>
  <si>
    <t>13558795</t>
  </si>
  <si>
    <t>0d506031-bff9-429c-9b78-af1eb0864be1</t>
  </si>
  <si>
    <t>27798351658</t>
  </si>
  <si>
    <t>13558730</t>
  </si>
  <si>
    <t>9482a0cd-402c-4e89-9f8e-cbd286a95970</t>
  </si>
  <si>
    <t>27797519833</t>
  </si>
  <si>
    <t>13558741</t>
  </si>
  <si>
    <t>30172003-665a-468b-bfe2-7b66eb3b48b6</t>
  </si>
  <si>
    <t>27797627172</t>
  </si>
  <si>
    <t>13558766</t>
  </si>
  <si>
    <t>2cbe012c-16a8-465a-952c-0738de706a4a</t>
  </si>
  <si>
    <t>27797990211</t>
  </si>
  <si>
    <t>13556116</t>
  </si>
  <si>
    <t>88346a63-ffcc-41d4-b449-85c061824c2f</t>
  </si>
  <si>
    <t>2026-03-09 09:37:52</t>
  </si>
  <si>
    <t>27720823881</t>
  </si>
  <si>
    <t>13556139</t>
  </si>
  <si>
    <t>5a1d3694-36b1-4c9e-866c-87f6f4f14b7f</t>
  </si>
  <si>
    <t>27721017501</t>
  </si>
  <si>
    <t>13556837</t>
  </si>
  <si>
    <t>6e489cbd-58ae-4eaa-b1d4-66db7bf4ac03</t>
  </si>
  <si>
    <t>27727944778</t>
  </si>
  <si>
    <t>13557847</t>
  </si>
  <si>
    <t>ac61eb7c-9955-4d5c-b643-26ba6a6b3123</t>
  </si>
  <si>
    <t>27767947977</t>
  </si>
  <si>
    <t>13562432</t>
  </si>
  <si>
    <t>03b2fe7d-bb7b-4085-97ec-c1a5ace065f6</t>
  </si>
  <si>
    <t>2026-03-09 09:37:50</t>
  </si>
  <si>
    <t>27674640999</t>
  </si>
  <si>
    <t>13562147</t>
  </si>
  <si>
    <t>6829ab72-5b47-45a2-a44f-4ac76d78419b</t>
  </si>
  <si>
    <t>2026-03-09 09:37:05</t>
  </si>
  <si>
    <t>27826380135</t>
  </si>
  <si>
    <t>13562721</t>
  </si>
  <si>
    <t>bac428c7-c934-4249-8721-8dc9345960c1</t>
  </si>
  <si>
    <t>27761284066</t>
  </si>
  <si>
    <t>13564759</t>
  </si>
  <si>
    <t>9c2909a1-408b-451b-aa47-b97d5ca5334f</t>
  </si>
  <si>
    <t>2026-03-09 09:37:04</t>
  </si>
  <si>
    <t>27606970510</t>
  </si>
  <si>
    <t>13564771</t>
  </si>
  <si>
    <t>5a474e43-ed0a-4bc6-9a2d-bbeaa9511a58</t>
  </si>
  <si>
    <t>27607182243</t>
  </si>
  <si>
    <t>13564803</t>
  </si>
  <si>
    <t>8baaf302-4c90-4115-b8d6-938fd5f60669</t>
  </si>
  <si>
    <t>27607688421</t>
  </si>
  <si>
    <t>13564880</t>
  </si>
  <si>
    <t>93ada0d9-bf25-4be6-b920-d4475bd214f6</t>
  </si>
  <si>
    <t>27608970675</t>
  </si>
  <si>
    <t>13555984</t>
  </si>
  <si>
    <t>9265b0e7-2088-4908-ad4c-1cb996063593</t>
  </si>
  <si>
    <t>2026-03-09 09:37:03</t>
  </si>
  <si>
    <t>27715960898</t>
  </si>
  <si>
    <t>13556058</t>
  </si>
  <si>
    <t>2d6b7752-aa64-417e-99ce-5716454d98f5</t>
  </si>
  <si>
    <t>27720388880</t>
  </si>
  <si>
    <t>13556008</t>
  </si>
  <si>
    <t>2cad676d-392e-4183-9d6a-abacbaeca967</t>
  </si>
  <si>
    <t>27716430390</t>
  </si>
  <si>
    <t>13556084</t>
  </si>
  <si>
    <t>523a620a-0732-4298-adde-90c3d40c1c01</t>
  </si>
  <si>
    <t>27720597178</t>
  </si>
  <si>
    <t>13556108</t>
  </si>
  <si>
    <t>4d8e3880-70a9-414b-9c0b-450dccfb9e5c</t>
  </si>
  <si>
    <t>27720778445</t>
  </si>
  <si>
    <t>13564566</t>
  </si>
  <si>
    <t>408ee398-fb62-4f74-9d8b-f4681fdaca18</t>
  </si>
  <si>
    <t>27762787445</t>
  </si>
  <si>
    <t>13564571</t>
  </si>
  <si>
    <t>6d3278cd-393d-4797-9b7e-d6cc5ca4a36f</t>
  </si>
  <si>
    <t>27764859269</t>
  </si>
  <si>
    <t>13564590</t>
  </si>
  <si>
    <t>e391cd7d-70e1-45e0-9e9e-19a1792ab209</t>
  </si>
  <si>
    <t>27738901167</t>
  </si>
  <si>
    <t>13564594</t>
  </si>
  <si>
    <t>bcdd07ea-6b0a-4d5a-ad69-1b673f46c3a1</t>
  </si>
  <si>
    <t>27609079425</t>
  </si>
  <si>
    <t>13564729</t>
  </si>
  <si>
    <t>43bc866f-2725-456e-97fb-770f3bf4e6ab</t>
  </si>
  <si>
    <t>27606484580</t>
  </si>
  <si>
    <t>13555980</t>
  </si>
  <si>
    <t>ca000738-32b8-47dd-9f25-597fd6519573</t>
  </si>
  <si>
    <t>2026-03-09 09:37:02</t>
  </si>
  <si>
    <t>27715944527</t>
  </si>
  <si>
    <t>13555953</t>
  </si>
  <si>
    <t>9b62db7f-0d4b-45a5-87b2-16954412f937</t>
  </si>
  <si>
    <t>2026-03-09 09:37:00</t>
  </si>
  <si>
    <t>27715772181</t>
  </si>
  <si>
    <t>13555959</t>
  </si>
  <si>
    <t>8e6962ee-2f54-476f-9616-199fc83bad8e</t>
  </si>
  <si>
    <t>27715826190</t>
  </si>
  <si>
    <t>13555965</t>
  </si>
  <si>
    <t>42eb3dc9-5720-4ae3-b062-09d6e356e9ed</t>
  </si>
  <si>
    <t>27715857934</t>
  </si>
  <si>
    <t>13564213</t>
  </si>
  <si>
    <t>6da827b7-1fda-4c56-95b2-7a200bfda665</t>
  </si>
  <si>
    <t>2026-03-09 09:36:09</t>
  </si>
  <si>
    <t>27767052685</t>
  </si>
  <si>
    <t>13564775</t>
  </si>
  <si>
    <t>282da7ad-6b8c-424d-bb14-ae0396eebc46</t>
  </si>
  <si>
    <t>27607203490</t>
  </si>
  <si>
    <t>13562633</t>
  </si>
  <si>
    <t>2c651c34-6168-4120-8c5b-647460b4b1bb</t>
  </si>
  <si>
    <t>2026-03-09 09:36:08</t>
  </si>
  <si>
    <t>27729106536</t>
  </si>
  <si>
    <t>13562658</t>
  </si>
  <si>
    <t>09dab661-f910-415f-965e-0a071a9f60cf</t>
  </si>
  <si>
    <t>27791490240</t>
  </si>
  <si>
    <t>13562661</t>
  </si>
  <si>
    <t>3680f52d-277c-4ef3-a427-664ae286a019</t>
  </si>
  <si>
    <t>27791083750</t>
  </si>
  <si>
    <t>13564079</t>
  </si>
  <si>
    <t>91dcd002-754c-4278-9958-1cd9b3f9ccc7</t>
  </si>
  <si>
    <t>27608016929</t>
  </si>
  <si>
    <t>13563827</t>
  </si>
  <si>
    <t>a3115fcb-e134-4f42-a247-dc53f032870e</t>
  </si>
  <si>
    <t>27712322752</t>
  </si>
  <si>
    <t>13561590</t>
  </si>
  <si>
    <t>f429efb6-fee2-4592-93c7-aab7539b28af</t>
  </si>
  <si>
    <t>2026-03-09 09:36:07</t>
  </si>
  <si>
    <t>27722189160</t>
  </si>
  <si>
    <t>13562586</t>
  </si>
  <si>
    <t>1f2255e9-6d9f-4f83-b7ab-820475f8649e</t>
  </si>
  <si>
    <t>27723544099</t>
  </si>
  <si>
    <t>13562590</t>
  </si>
  <si>
    <t>f9173abb-c4ae-4a16-b131-b756b870433a</t>
  </si>
  <si>
    <t>27729200390</t>
  </si>
  <si>
    <t>13562612</t>
  </si>
  <si>
    <t>75845c3b-b8c1-4f47-9e68-b8ce24f64d7b</t>
  </si>
  <si>
    <t>27721545132</t>
  </si>
  <si>
    <t>13562630</t>
  </si>
  <si>
    <t>e0500623-1d7c-466f-97ea-6119fb7c719c</t>
  </si>
  <si>
    <t>27722886628</t>
  </si>
  <si>
    <t>13562642</t>
  </si>
  <si>
    <t>a8fdcb5f-932a-4814-b03d-d6a2f5e1cecf</t>
  </si>
  <si>
    <t>27763964036</t>
  </si>
  <si>
    <t>13562648</t>
  </si>
  <si>
    <t>8b4ebf5d-e909-488b-9314-82adcd1dbb15</t>
  </si>
  <si>
    <t>27728579732</t>
  </si>
  <si>
    <t>13562651</t>
  </si>
  <si>
    <t>0f73e8ce-6ba3-446b-b134-33061c4cecee</t>
  </si>
  <si>
    <t>27637368937</t>
  </si>
  <si>
    <t>13562652</t>
  </si>
  <si>
    <t>89db3582-bed5-4585-8cf4-0742efbff2f8</t>
  </si>
  <si>
    <t>27637881726</t>
  </si>
  <si>
    <t>13562653</t>
  </si>
  <si>
    <t>c8ddd237-3e72-4520-abf9-89f89b0186ec</t>
  </si>
  <si>
    <t>27728880780</t>
  </si>
  <si>
    <t>13561541</t>
  </si>
  <si>
    <t>cf54b668-a06c-4e99-b51d-7029c5b8e893</t>
  </si>
  <si>
    <t>2026-03-09 09:36:06</t>
  </si>
  <si>
    <t>27713136118</t>
  </si>
  <si>
    <t>13561542</t>
  </si>
  <si>
    <t>bf52bc9e-4142-4c5b-8a54-e01e4c8b3dda</t>
  </si>
  <si>
    <t>27713793190</t>
  </si>
  <si>
    <t>13561544</t>
  </si>
  <si>
    <t>070c136b-6876-45a3-9561-5f8a9a3474bb</t>
  </si>
  <si>
    <t>27791705896</t>
  </si>
  <si>
    <t>13561564</t>
  </si>
  <si>
    <t>5258eeef-fab2-4b9c-a2a3-998afc4a583f</t>
  </si>
  <si>
    <t>27768906338</t>
  </si>
  <si>
    <t>13561527</t>
  </si>
  <si>
    <t>9f01e4ea-01b8-4be1-a7d6-ef548ab0a789</t>
  </si>
  <si>
    <t>2026-03-09 09:36:05</t>
  </si>
  <si>
    <t>27793490424</t>
  </si>
  <si>
    <t>13560976</t>
  </si>
  <si>
    <t>8123a612-3826-462e-a283-b5e79802867a</t>
  </si>
  <si>
    <t>2026-03-09 09:36:04</t>
  </si>
  <si>
    <t>27796074911</t>
  </si>
  <si>
    <t>13560992</t>
  </si>
  <si>
    <t>6fd51a6a-8592-43d4-b7f4-c252ed15e944</t>
  </si>
  <si>
    <t>27728214390</t>
  </si>
  <si>
    <t>13560995</t>
  </si>
  <si>
    <t>31f67708-e730-4475-aef5-baeda2b0c54f</t>
  </si>
  <si>
    <t>27726452955</t>
  </si>
  <si>
    <t>13559515</t>
  </si>
  <si>
    <t>170d3883-dd9d-4c76-afcf-08fb82aca4d2</t>
  </si>
  <si>
    <t>2026-03-09 09:36:03</t>
  </si>
  <si>
    <t>27827825776</t>
  </si>
  <si>
    <t>13559517</t>
  </si>
  <si>
    <t>42d38c4c-39be-467c-a951-ea182a63aa26</t>
  </si>
  <si>
    <t>27827899588</t>
  </si>
  <si>
    <t>13559523</t>
  </si>
  <si>
    <t>518424e1-a369-4847-ba9c-1fbbe22f5647</t>
  </si>
  <si>
    <t>27827934627</t>
  </si>
  <si>
    <t>13560960</t>
  </si>
  <si>
    <t>1f04511f-9bf5-4c1e-b55b-b6529827b78a</t>
  </si>
  <si>
    <t>27664102671</t>
  </si>
  <si>
    <t>13560963</t>
  </si>
  <si>
    <t>5c5dcb63-5c6d-4dfd-ab26-4c5b174afc5f</t>
  </si>
  <si>
    <t>27766161909</t>
  </si>
  <si>
    <t>13560964</t>
  </si>
  <si>
    <t>e59fffc3-aaf4-4295-9f15-afe01d10615c</t>
  </si>
  <si>
    <t>27767866108</t>
  </si>
  <si>
    <t>13560940</t>
  </si>
  <si>
    <t>60875205-4ac9-4131-a438-cd5ba7c3ab08</t>
  </si>
  <si>
    <t>27712751397</t>
  </si>
  <si>
    <t>13559511</t>
  </si>
  <si>
    <t>4ab0b08a-2b3d-4e74-af18-b01e5de44125</t>
  </si>
  <si>
    <t>2026-03-09 09:36:02</t>
  </si>
  <si>
    <t>27827777277</t>
  </si>
  <si>
    <t>13556073</t>
  </si>
  <si>
    <t>17fde964-69f4-4ab3-8a30-bbe00f980fb8</t>
  </si>
  <si>
    <t>2026-03-09 09:36:00</t>
  </si>
  <si>
    <t>27720546751</t>
  </si>
  <si>
    <t>13556036</t>
  </si>
  <si>
    <t>2971039a-0438-49ad-b185-747d0a7677ff</t>
  </si>
  <si>
    <t>27719709644</t>
  </si>
  <si>
    <t>13559245</t>
  </si>
  <si>
    <t>9b658795-1814-42ca-93f4-46b1dccccb6e</t>
  </si>
  <si>
    <t>27824701035</t>
  </si>
  <si>
    <t>13559502</t>
  </si>
  <si>
    <t>5d75a3c0-6bd6-40ca-9095-63f161902d0e</t>
  </si>
  <si>
    <t>27827637216</t>
  </si>
  <si>
    <t>13559508</t>
  </si>
  <si>
    <t>b9fb4cdf-43ae-47ca-af9d-f5125d89f456</t>
  </si>
  <si>
    <t>27827721595</t>
  </si>
  <si>
    <t>13560840</t>
  </si>
  <si>
    <t>23b126fc-4147-4414-936e-b6e2f3ad5676</t>
  </si>
  <si>
    <t>2026-03-09 09:35:33</t>
  </si>
  <si>
    <t>27765683142</t>
  </si>
  <si>
    <t>13564557</t>
  </si>
  <si>
    <t>d0f34b79-2152-4910-9819-b38cd1845362</t>
  </si>
  <si>
    <t>2026-03-09 09:35:23</t>
  </si>
  <si>
    <t>27675513589</t>
  </si>
  <si>
    <t>13564457</t>
  </si>
  <si>
    <t>ee40bab4-97af-4425-8dd0-785a34c5302f</t>
  </si>
  <si>
    <t>2026-03-09 09:35:10</t>
  </si>
  <si>
    <t>27661134667</t>
  </si>
  <si>
    <t>13564465</t>
  </si>
  <si>
    <t>5fd9ce28-234c-4314-9d35-4f2df94beb62</t>
  </si>
  <si>
    <t>27711019119</t>
  </si>
  <si>
    <t>13564477</t>
  </si>
  <si>
    <t>f7279abc-49f5-4a00-86dc-cc6f44e5af15</t>
  </si>
  <si>
    <t>27720181623</t>
  </si>
  <si>
    <t>13564505</t>
  </si>
  <si>
    <t>53ae92da-247f-4846-a7e7-d8d566c0a2be</t>
  </si>
  <si>
    <t>27767831195</t>
  </si>
  <si>
    <t>13564707</t>
  </si>
  <si>
    <t>74731ff3-4fa6-4a60-9afc-393315fc037a</t>
  </si>
  <si>
    <t>27606165309</t>
  </si>
  <si>
    <t>13564455</t>
  </si>
  <si>
    <t>eb761075-eafc-417e-b925-7501c5fc6c20</t>
  </si>
  <si>
    <t>2026-03-09 09:35:09</t>
  </si>
  <si>
    <t>27712377465</t>
  </si>
  <si>
    <t>13564440</t>
  </si>
  <si>
    <t>98675634-3f8a-4ab1-b667-dcb09ca48ca3</t>
  </si>
  <si>
    <t>27712754308</t>
  </si>
  <si>
    <t>13564367</t>
  </si>
  <si>
    <t>bc656b9b-a45c-4278-8580-14f552dff746</t>
  </si>
  <si>
    <t>2026-03-09 09:35:08</t>
  </si>
  <si>
    <t>27725298087</t>
  </si>
  <si>
    <t>13564374</t>
  </si>
  <si>
    <t>56d093f8-ac7f-4ddd-b1e5-4ea6bd37f3cb</t>
  </si>
  <si>
    <t>27767881015</t>
  </si>
  <si>
    <t>13564406</t>
  </si>
  <si>
    <t>372fa3bb-c631-4b30-990a-e7b991f386fb</t>
  </si>
  <si>
    <t>27721569999</t>
  </si>
  <si>
    <t>13564414</t>
  </si>
  <si>
    <t>1e043a3f-8a0d-4c9d-ac64-39d3ca07c990</t>
  </si>
  <si>
    <t>27648713371</t>
  </si>
  <si>
    <t>13564166</t>
  </si>
  <si>
    <t>06620420-42bb-4f24-8454-371ceceaffd3</t>
  </si>
  <si>
    <t>2026-03-09 09:35:07</t>
  </si>
  <si>
    <t>27609396005</t>
  </si>
  <si>
    <t>13564194</t>
  </si>
  <si>
    <t>ec77b8f6-2714-4f2f-92af-85110bdd3bdb</t>
  </si>
  <si>
    <t>27763826929</t>
  </si>
  <si>
    <t>13564195</t>
  </si>
  <si>
    <t>e11de21e-8eab-4ae1-85cb-77797b017f66</t>
  </si>
  <si>
    <t>27662560400</t>
  </si>
  <si>
    <t>13564359</t>
  </si>
  <si>
    <t>ffdf94b3-6883-4c5c-a10a-7f7c36cf718d</t>
  </si>
  <si>
    <t>27764131247</t>
  </si>
  <si>
    <t>13564343</t>
  </si>
  <si>
    <t>aa6f72d7-d953-47f3-bb74-54a3f87f83f1</t>
  </si>
  <si>
    <t>27609295057</t>
  </si>
  <si>
    <t>13564156</t>
  </si>
  <si>
    <t>11c5e7df-3441-48a7-94ab-908f4e527ac2</t>
  </si>
  <si>
    <t>2026-03-09 09:35:05</t>
  </si>
  <si>
    <t>27714404720</t>
  </si>
  <si>
    <t>13564133</t>
  </si>
  <si>
    <t>6268360c-b455-4189-a961-ae1a77156c28</t>
  </si>
  <si>
    <t>27762691666</t>
  </si>
  <si>
    <t>13563824</t>
  </si>
  <si>
    <t>097d50f1-921c-4930-9e10-b90e650006be</t>
  </si>
  <si>
    <t>2026-03-09 09:35:04</t>
  </si>
  <si>
    <t>27721346749</t>
  </si>
  <si>
    <t>13564044</t>
  </si>
  <si>
    <t>3a224a44-d3b3-4652-a53a-dfaf39a96e2b</t>
  </si>
  <si>
    <t>27763482865</t>
  </si>
  <si>
    <t>13558713</t>
  </si>
  <si>
    <t>1d14bd09-13d2-43fd-bcc3-ff47a004dcbe</t>
  </si>
  <si>
    <t>2026-03-09 09:35:03</t>
  </si>
  <si>
    <t>27797256723</t>
  </si>
  <si>
    <t>13558716</t>
  </si>
  <si>
    <t>e5c0f502-5d0b-4150-ac09-f7d7f2a04f24</t>
  </si>
  <si>
    <t>27797274248</t>
  </si>
  <si>
    <t>13559242</t>
  </si>
  <si>
    <t>a3b67697-121e-4193-817c-2f160fe79aab</t>
  </si>
  <si>
    <t>27824651804</t>
  </si>
  <si>
    <t>13558707</t>
  </si>
  <si>
    <t>ad69c7f3-3904-4a61-b1ce-f415dd830464</t>
  </si>
  <si>
    <t>2026-03-09 09:35:02</t>
  </si>
  <si>
    <t>27797173740</t>
  </si>
  <si>
    <t>13558703</t>
  </si>
  <si>
    <t>e5b96e0c-a856-4880-95f7-2171447bc94c</t>
  </si>
  <si>
    <t>2026-03-09 09:35:01</t>
  </si>
  <si>
    <t>27797144275</t>
  </si>
  <si>
    <t>13555942</t>
  </si>
  <si>
    <t>4030c648-92a4-4a1f-8e20-f140dff73f9d</t>
  </si>
  <si>
    <t>2026-03-09 09:35:00</t>
  </si>
  <si>
    <t>27715674338</t>
  </si>
  <si>
    <t>13557880</t>
  </si>
  <si>
    <t>a25b7f4d-d0aa-4c06-9a38-ed1337091017</t>
  </si>
  <si>
    <t>27768251663</t>
  </si>
  <si>
    <t>13557900</t>
  </si>
  <si>
    <t>49d9e653-ba6f-4f76-87ed-2efc7da20f5a</t>
  </si>
  <si>
    <t>27768487959</t>
  </si>
  <si>
    <t>13557905</t>
  </si>
  <si>
    <t>48197b4a-ed6e-4992-9586-a5cf2ee2d22f</t>
  </si>
  <si>
    <t>27768555877</t>
  </si>
  <si>
    <t>13564701</t>
  </si>
  <si>
    <t>e60c35a6-1dd2-4b43-92eb-e5cbb2d27105</t>
  </si>
  <si>
    <t>2026-03-09 09:34:05</t>
  </si>
  <si>
    <t>27606092011</t>
  </si>
  <si>
    <t>13564711</t>
  </si>
  <si>
    <t>84cf21eb-c80e-442e-9690-90d7a9f96c0c</t>
  </si>
  <si>
    <t>27606212000</t>
  </si>
  <si>
    <t>13564253</t>
  </si>
  <si>
    <t>859c1ba7-0153-4828-a4ef-84ffa61979d4</t>
  </si>
  <si>
    <t>2026-03-09 09:34:04</t>
  </si>
  <si>
    <t>27728266407</t>
  </si>
  <si>
    <t>13564300</t>
  </si>
  <si>
    <t>91470c6f-fa7d-41d3-abfe-5e7a06592de5</t>
  </si>
  <si>
    <t>27711752861</t>
  </si>
  <si>
    <t>13564688</t>
  </si>
  <si>
    <t>b2b6f04c-f5d4-413d-ad1c-d8dfbf66f775</t>
  </si>
  <si>
    <t>27606850077</t>
  </si>
  <si>
    <t>13564927</t>
  </si>
  <si>
    <t>30767f9f-0c19-435d-855f-68d9ae878750</t>
  </si>
  <si>
    <t>27613685217</t>
  </si>
  <si>
    <t>13555859</t>
  </si>
  <si>
    <t>88e191f8-11c7-42d7-9493-da62e5d445e4</t>
  </si>
  <si>
    <t>27714973119</t>
  </si>
  <si>
    <t>13564244</t>
  </si>
  <si>
    <t>c62d4063-ad46-4ec5-b816-d233f53f4989</t>
  </si>
  <si>
    <t>2026-03-09 09:34:00</t>
  </si>
  <si>
    <t>27665994352</t>
  </si>
  <si>
    <t>13559295</t>
  </si>
  <si>
    <t>13267647-f473-4825-a9f7-338901d749d7</t>
  </si>
  <si>
    <t>2026-03-09 09:33:59</t>
  </si>
  <si>
    <t>27825170870</t>
  </si>
  <si>
    <t>13562480</t>
  </si>
  <si>
    <t>6a27c611-a7b8-410f-a5c4-9a71a5870aa5</t>
  </si>
  <si>
    <t>27764605611</t>
  </si>
  <si>
    <t>13562549</t>
  </si>
  <si>
    <t>3c615e0f-fafe-490a-bfd2-8f2b437e7c78</t>
  </si>
  <si>
    <t>27723776018</t>
  </si>
  <si>
    <t>13562756</t>
  </si>
  <si>
    <t>4abc4e4c-7aa9-4576-bda7-4823ac023c71</t>
  </si>
  <si>
    <t>2026-03-06 06:51:12</t>
  </si>
  <si>
    <t>27725065451</t>
  </si>
  <si>
    <t>13559274</t>
  </si>
  <si>
    <t>f3aa0f70-7bf7-4768-9610-6aafb47d7b12</t>
  </si>
  <si>
    <t>2026-03-09 09:33:58</t>
  </si>
  <si>
    <t>27825032795</t>
  </si>
  <si>
    <t>13559280</t>
  </si>
  <si>
    <t>06917f5a-dad2-45d6-912b-0ec163413a39</t>
  </si>
  <si>
    <t>27825077977</t>
  </si>
  <si>
    <t>13559255</t>
  </si>
  <si>
    <t>3c30dde0-d5b5-4999-ae76-3b882671709a</t>
  </si>
  <si>
    <t>2026-03-09 09:33:57</t>
  </si>
  <si>
    <t>27824824498</t>
  </si>
  <si>
    <t>13559266</t>
  </si>
  <si>
    <t>32b0a42b-ad9b-455d-b24c-aa94ac2817bf</t>
  </si>
  <si>
    <t>27824937698</t>
  </si>
  <si>
    <t>13559268</t>
  </si>
  <si>
    <t>b69dea79-7594-4602-b272-b83f11b0205f</t>
  </si>
  <si>
    <t>27824982699</t>
  </si>
  <si>
    <t>13556802</t>
  </si>
  <si>
    <t>cc595116-4931-437c-84ac-a9d973a0b927</t>
  </si>
  <si>
    <t>2026-03-09 09:33:56</t>
  </si>
  <si>
    <t>27727614681</t>
  </si>
  <si>
    <t>13556814</t>
  </si>
  <si>
    <t>3a0b9fe8-c601-4167-ad90-955cd7b51a5e</t>
  </si>
  <si>
    <t>27727715831</t>
  </si>
  <si>
    <t>13556824</t>
  </si>
  <si>
    <t>155ff005-bdff-48d4-81ae-cc0a58dd58e4</t>
  </si>
  <si>
    <t>27727799188</t>
  </si>
  <si>
    <t>13556825</t>
  </si>
  <si>
    <t>32bfa0d9-819e-49a9-884a-cea136c49745</t>
  </si>
  <si>
    <t>27727817368</t>
  </si>
  <si>
    <t>13559252</t>
  </si>
  <si>
    <t>d5c1911d-5c46-4f68-850a-450da32f39ad</t>
  </si>
  <si>
    <t>27824777807</t>
  </si>
  <si>
    <t>13556790</t>
  </si>
  <si>
    <t>d4174265-9710-462a-9c04-e296efa65932</t>
  </si>
  <si>
    <t>2026-03-09 09:33:55</t>
  </si>
  <si>
    <t>27727491830</t>
  </si>
  <si>
    <t>13556793</t>
  </si>
  <si>
    <t>0af095c2-f818-4b7f-8864-195a8c212d8e</t>
  </si>
  <si>
    <t>27727547409</t>
  </si>
  <si>
    <t>13555950</t>
  </si>
  <si>
    <t>7f15d72b-62a6-4742-8f19-34e616d3111f</t>
  </si>
  <si>
    <t>2026-03-09 09:33:54</t>
  </si>
  <si>
    <t>27715741200</t>
  </si>
  <si>
    <t>13556741</t>
  </si>
  <si>
    <t>fc1f45ee-4ebb-440f-91f0-8dacb1448d3a</t>
  </si>
  <si>
    <t>27727023090</t>
  </si>
  <si>
    <t>13555937</t>
  </si>
  <si>
    <t>42c2e272-6d15-4ba7-a702-249f2b610646</t>
  </si>
  <si>
    <t>2026-03-09 09:33:51</t>
  </si>
  <si>
    <t>27715621770</t>
  </si>
  <si>
    <t>13555940</t>
  </si>
  <si>
    <t>ce97dbd2-5acf-4fe8-aa91-12f83aeb682f</t>
  </si>
  <si>
    <t>27715644681</t>
  </si>
  <si>
    <t>13555945</t>
  </si>
  <si>
    <t>768d28ad-0430-46c3-8f23-e3d683960822</t>
  </si>
  <si>
    <t>27715708083</t>
  </si>
  <si>
    <t>13555871</t>
  </si>
  <si>
    <t>eaee5ee6-25dc-4832-b267-92fb1dd9e0fa</t>
  </si>
  <si>
    <t>2026-03-09 09:33:50</t>
  </si>
  <si>
    <t>27715072041</t>
  </si>
  <si>
    <t>13555886</t>
  </si>
  <si>
    <t>eab52122-822c-41be-8d08-327347d467e4</t>
  </si>
  <si>
    <t>27715222481</t>
  </si>
  <si>
    <t>13555905</t>
  </si>
  <si>
    <t>83966ad4-ce44-422d-a7bd-7d29f908357f</t>
  </si>
  <si>
    <t>27715397185</t>
  </si>
  <si>
    <t>13555909</t>
  </si>
  <si>
    <t>4856f15c-86cf-44fb-af67-37e80a2fde9b</t>
  </si>
  <si>
    <t>27715422284</t>
  </si>
  <si>
    <t>13562730</t>
  </si>
  <si>
    <t>23df45ee-3546-4052-861e-fb6d0df8edbd</t>
  </si>
  <si>
    <t>2026-03-09 09:33:11</t>
  </si>
  <si>
    <t>27665997435</t>
  </si>
  <si>
    <t>13562743</t>
  </si>
  <si>
    <t>7460e969-7910-483d-a763-eeafbda7115a</t>
  </si>
  <si>
    <t>27646940476</t>
  </si>
  <si>
    <t>13562686</t>
  </si>
  <si>
    <t>59927a31-c12d-4e0f-bdf2-a833934c3e04</t>
  </si>
  <si>
    <t>2026-03-09 09:33:10</t>
  </si>
  <si>
    <t>27649338935</t>
  </si>
  <si>
    <t>13562691</t>
  </si>
  <si>
    <t>e9e676fe-20ac-422a-8ab0-1810498dd648</t>
  </si>
  <si>
    <t>27723579455</t>
  </si>
  <si>
    <t>13562696</t>
  </si>
  <si>
    <t>37f0d72e-b60a-427d-8c9a-955509d3f02c</t>
  </si>
  <si>
    <t>27648125625</t>
  </si>
  <si>
    <t>13562723</t>
  </si>
  <si>
    <t>9546a770-e00d-4a35-aa01-9938db2b85d2</t>
  </si>
  <si>
    <t>27767780284</t>
  </si>
  <si>
    <t>13562729</t>
  </si>
  <si>
    <t>78eee4d1-c1e3-4038-8cfd-3fa5cf468787</t>
  </si>
  <si>
    <t>27665273113</t>
  </si>
  <si>
    <t>13562753</t>
  </si>
  <si>
    <t>8855b92c-5df3-4102-b56c-67150cf7ca08</t>
  </si>
  <si>
    <t>27722513924</t>
  </si>
  <si>
    <t>13562794</t>
  </si>
  <si>
    <t>2a5f9ac3-0121-4989-aa68-d5afcc6b91e2</t>
  </si>
  <si>
    <t>27768480456</t>
  </si>
  <si>
    <t>13564100</t>
  </si>
  <si>
    <t>406f9590-e0d6-487e-8d52-700b5b99ab94</t>
  </si>
  <si>
    <t>27606838068</t>
  </si>
  <si>
    <t>13564288</t>
  </si>
  <si>
    <t>ca541738-cd94-47d9-a313-1a7365d79dc3</t>
  </si>
  <si>
    <t>27636143363</t>
  </si>
  <si>
    <t>13562484</t>
  </si>
  <si>
    <t>0c840b92-8c34-46b3-b383-7d5714642db5</t>
  </si>
  <si>
    <t>2026-03-09 09:33:09</t>
  </si>
  <si>
    <t>27769688878</t>
  </si>
  <si>
    <t>13562504</t>
  </si>
  <si>
    <t>af0bc8cd-8a1e-4948-b7d2-f0540ac28bf4</t>
  </si>
  <si>
    <t>27713518234</t>
  </si>
  <si>
    <t>13562532</t>
  </si>
  <si>
    <t>ec085a2d-12c2-4b38-8d23-c91a6d2ea774</t>
  </si>
  <si>
    <t>27715349075</t>
  </si>
  <si>
    <t>13562537</t>
  </si>
  <si>
    <t>2ec8a0bd-96d5-42c8-b1a1-05c71cc72f65</t>
  </si>
  <si>
    <t>27764621612</t>
  </si>
  <si>
    <t>13562557</t>
  </si>
  <si>
    <t>24d29810-9958-4087-8126-bcad818fcd21</t>
  </si>
  <si>
    <t>27721062227</t>
  </si>
  <si>
    <t>13562560</t>
  </si>
  <si>
    <t>b3d85f35-9f8a-4b21-b722-2b67dcc4bed8</t>
  </si>
  <si>
    <t>27769775994</t>
  </si>
  <si>
    <t>13562563</t>
  </si>
  <si>
    <t>a12e13b3-844f-4086-84b8-ee6f3641988f</t>
  </si>
  <si>
    <t>27607140696</t>
  </si>
  <si>
    <t>13562566</t>
  </si>
  <si>
    <t>3eb553de-26be-4561-aa3d-cf507e89b537</t>
  </si>
  <si>
    <t>27723465264</t>
  </si>
  <si>
    <t>13556873</t>
  </si>
  <si>
    <t>57c4afb8-4f36-478e-b937-aabf31f0ed04</t>
  </si>
  <si>
    <t>2026-03-09 09:33:08</t>
  </si>
  <si>
    <t>27728217951</t>
  </si>
  <si>
    <t>13556884</t>
  </si>
  <si>
    <t>0605aa83-4b7c-4db5-b8fa-af6d731709e6</t>
  </si>
  <si>
    <t>27728283865</t>
  </si>
  <si>
    <t>13560157</t>
  </si>
  <si>
    <t>af53d72d-0a34-4ceb-9dd6-315928c6fdf7</t>
  </si>
  <si>
    <t>27608015135</t>
  </si>
  <si>
    <t>13561611</t>
  </si>
  <si>
    <t>ab18e0f0-69e9-4321-a58d-5943ba1335c1</t>
  </si>
  <si>
    <t>27661371031</t>
  </si>
  <si>
    <t>13561613</t>
  </si>
  <si>
    <t>187bc250-cacc-456a-bbe3-84f7e5dcfef3</t>
  </si>
  <si>
    <t>27673219241</t>
  </si>
  <si>
    <t>13556768</t>
  </si>
  <si>
    <t>0b70cde5-e76a-4fdd-a030-241f44afc432</t>
  </si>
  <si>
    <t>2026-03-09 09:33:07</t>
  </si>
  <si>
    <t>27727312854</t>
  </si>
  <si>
    <t>13556715</t>
  </si>
  <si>
    <t>0894dc9d-715d-422d-9a51-9c4c2feb9d68</t>
  </si>
  <si>
    <t>2026-03-09 09:33:06</t>
  </si>
  <si>
    <t>27726823644</t>
  </si>
  <si>
    <t>13556721</t>
  </si>
  <si>
    <t>43a8e55a-3179-45b3-a17f-e173d257f58a</t>
  </si>
  <si>
    <t>27726863093</t>
  </si>
  <si>
    <t>13556727</t>
  </si>
  <si>
    <t>5b42f1b9-24d6-4663-913c-38317e4f9e1a</t>
  </si>
  <si>
    <t>27726892082</t>
  </si>
  <si>
    <t>13556731</t>
  </si>
  <si>
    <t>70d2bd82-34d5-42b3-bc46-115b9cea8b89</t>
  </si>
  <si>
    <t>27726956814</t>
  </si>
  <si>
    <t>13556697</t>
  </si>
  <si>
    <t>3d7818df-2d6a-474f-b2b9-58df2df57ce2</t>
  </si>
  <si>
    <t>2026-03-09 09:33:05</t>
  </si>
  <si>
    <t>27726647361</t>
  </si>
  <si>
    <t>13556699</t>
  </si>
  <si>
    <t>54e806e3-e2b6-4075-80b1-07293757f6fd</t>
  </si>
  <si>
    <t>27726662084</t>
  </si>
  <si>
    <t>13556705</t>
  </si>
  <si>
    <t>ef5122c3-bfe8-4923-a209-b26247ef6a25</t>
  </si>
  <si>
    <t>27726717021</t>
  </si>
  <si>
    <t>13556654</t>
  </si>
  <si>
    <t>c9ec9897-c6e8-45ff-aecd-379efc475583</t>
  </si>
  <si>
    <t>2026-03-09 09:33:04</t>
  </si>
  <si>
    <t>27726069083</t>
  </si>
  <si>
    <t>13556668</t>
  </si>
  <si>
    <t>9b6cf5d1-0472-476b-a9ac-41b135bf7905</t>
  </si>
  <si>
    <t>27726336169</t>
  </si>
  <si>
    <t>13556690</t>
  </si>
  <si>
    <t>1a1559b7-77a4-40d3-9cb5-241a7aa4fdfc</t>
  </si>
  <si>
    <t>27726586629</t>
  </si>
  <si>
    <t>13556694</t>
  </si>
  <si>
    <t>55fe361e-43d6-44e4-89bf-2ee5922c227d</t>
  </si>
  <si>
    <t>27726613847</t>
  </si>
  <si>
    <t>13556638</t>
  </si>
  <si>
    <t>6534f7f1-b554-4ca1-9c69-982b8aff511d</t>
  </si>
  <si>
    <t>2026-03-09 09:33:00</t>
  </si>
  <si>
    <t>27725786942</t>
  </si>
  <si>
    <t>13556599</t>
  </si>
  <si>
    <t>3efa77ca-55bf-4787-9a14-cdd22d172007</t>
  </si>
  <si>
    <t>27725413311</t>
  </si>
  <si>
    <t>13556618</t>
  </si>
  <si>
    <t>4079f147-db89-45c1-9671-dd8a242feeac</t>
  </si>
  <si>
    <t>27725592893</t>
  </si>
  <si>
    <t>13556620</t>
  </si>
  <si>
    <t>b28867a0-6ff3-461b-a0f1-9ffecfad49b4</t>
  </si>
  <si>
    <t>27725597045</t>
  </si>
  <si>
    <t>13555804</t>
  </si>
  <si>
    <t>a55e332c-80b8-423e-9fd5-3a48a49dfbdd</t>
  </si>
  <si>
    <t>2026-03-09 09:32:59</t>
  </si>
  <si>
    <t>27714214679</t>
  </si>
  <si>
    <t>13556169</t>
  </si>
  <si>
    <t>ab475919-8f0c-4401-8ff2-dbf222c2c9cb</t>
  </si>
  <si>
    <t>27721237214</t>
  </si>
  <si>
    <t>13556173</t>
  </si>
  <si>
    <t>a3010193-67a1-4590-a450-59b4705f271b</t>
  </si>
  <si>
    <t>27721289188</t>
  </si>
  <si>
    <t>13556577</t>
  </si>
  <si>
    <t>cfac8801-ae63-4fbd-8eaf-896bf1ea7068</t>
  </si>
  <si>
    <t>27725201848</t>
  </si>
  <si>
    <t>13556588</t>
  </si>
  <si>
    <t>a5434771-7df9-4927-9a57-867ad416dd68</t>
  </si>
  <si>
    <t>27725312781</t>
  </si>
  <si>
    <t>13555772</t>
  </si>
  <si>
    <t>acb16107-cefe-4e76-aa05-c799013247d6</t>
  </si>
  <si>
    <t>2026-03-09 09:32:58</t>
  </si>
  <si>
    <t>27713799950</t>
  </si>
  <si>
    <t>13555774</t>
  </si>
  <si>
    <t>91e3c7f3-be80-4868-81d8-9ad4016fa559</t>
  </si>
  <si>
    <t>27713839356</t>
  </si>
  <si>
    <t>13555781</t>
  </si>
  <si>
    <t>d95c4b8c-1c91-4239-b1c4-5037ccbc01b0</t>
  </si>
  <si>
    <t>27713933881</t>
  </si>
  <si>
    <t>13555755</t>
  </si>
  <si>
    <t>0dbe4964-61b4-45b5-a233-315fb3394f8d</t>
  </si>
  <si>
    <t>2026-03-09 09:32:56</t>
  </si>
  <si>
    <t>27713688548</t>
  </si>
  <si>
    <t>13555758</t>
  </si>
  <si>
    <t>35bc3aad-ca26-47bc-8e1a-f999cdf30d5d</t>
  </si>
  <si>
    <t>27713714499</t>
  </si>
  <si>
    <t>13555764</t>
  </si>
  <si>
    <t>997732e6-91ef-48c4-a82c-9c4c7bebadc2</t>
  </si>
  <si>
    <t>27713756198</t>
  </si>
  <si>
    <t>13555716</t>
  </si>
  <si>
    <t>b8921808-7eca-4ee8-9923-4a481901a6f3</t>
  </si>
  <si>
    <t>27713156423</t>
  </si>
  <si>
    <t>13555688</t>
  </si>
  <si>
    <t>2c877714-ae23-48c8-b02a-4246c2ce77ce</t>
  </si>
  <si>
    <t>2026-03-09 09:32:55</t>
  </si>
  <si>
    <t>27712953884</t>
  </si>
  <si>
    <t>13563765</t>
  </si>
  <si>
    <t>cedfe8c7-8528-4a96-8dec-85abbd1e9e18</t>
  </si>
  <si>
    <t>2026-03-09 09:31:20</t>
  </si>
  <si>
    <t>27760704173</t>
  </si>
  <si>
    <t>13563727</t>
  </si>
  <si>
    <t>5961de2e-58e2-460c-b770-4472e4443ad7</t>
  </si>
  <si>
    <t>27637904957</t>
  </si>
  <si>
    <t>13563731</t>
  </si>
  <si>
    <t>091572cc-abcd-4dd6-80f8-ceb14f380db0</t>
  </si>
  <si>
    <t>27764920513</t>
  </si>
  <si>
    <t>13563726</t>
  </si>
  <si>
    <t>6f8f68b6-7502-4004-9a56-3744a91fe8de</t>
  </si>
  <si>
    <t>2026-03-09 09:31:17</t>
  </si>
  <si>
    <t>27607416321</t>
  </si>
  <si>
    <t>13562795</t>
  </si>
  <si>
    <t>23f96203-580d-4f52-9a69-2be83032cf70</t>
  </si>
  <si>
    <t>2026-03-09 09:31:14</t>
  </si>
  <si>
    <t>27769786747</t>
  </si>
  <si>
    <t>13562815</t>
  </si>
  <si>
    <t>8057789f-d4f8-497d-9444-f2da34924645</t>
  </si>
  <si>
    <t>27608280089</t>
  </si>
  <si>
    <t>13563694</t>
  </si>
  <si>
    <t>e8e20ea3-1cb4-4896-9093-b6079816ccc8</t>
  </si>
  <si>
    <t>27727894984</t>
  </si>
  <si>
    <t>13558519</t>
  </si>
  <si>
    <t>1e306601-44a3-4267-a649-9c0f2e1e8934</t>
  </si>
  <si>
    <t>2026-03-09 09:31:13</t>
  </si>
  <si>
    <t>27794841222</t>
  </si>
  <si>
    <t>13560008</t>
  </si>
  <si>
    <t>8df9a381-5581-447b-828d-053a738662e2</t>
  </si>
  <si>
    <t>27636299176</t>
  </si>
  <si>
    <t>13557128</t>
  </si>
  <si>
    <t>c9c77791-5b5a-4a44-ad0b-2a6d134a9616</t>
  </si>
  <si>
    <t>2026-03-09 09:31:12</t>
  </si>
  <si>
    <t>27760508407</t>
  </si>
  <si>
    <t>13557105</t>
  </si>
  <si>
    <t>0f1c5586-77ea-4021-89e8-aa54e3f57a1a</t>
  </si>
  <si>
    <t>27760258603</t>
  </si>
  <si>
    <t>13557115</t>
  </si>
  <si>
    <t>18d8f84d-f3c8-49b2-87a1-04532db6886e</t>
  </si>
  <si>
    <t>27760344131</t>
  </si>
  <si>
    <t>13558517</t>
  </si>
  <si>
    <t>644f8e31-6c1d-4b1d-857d-1600554a1117</t>
  </si>
  <si>
    <t>27794815650</t>
  </si>
  <si>
    <t>13557045</t>
  </si>
  <si>
    <t>96762195-9b3f-4487-936a-b2df301d48cf</t>
  </si>
  <si>
    <t>2026-03-09 09:31:10</t>
  </si>
  <si>
    <t>27729936898</t>
  </si>
  <si>
    <t>13557051</t>
  </si>
  <si>
    <t>400df0e7-89fe-4a9f-b1ce-2c077004ddf6</t>
  </si>
  <si>
    <t>27729977763</t>
  </si>
  <si>
    <t>13557058</t>
  </si>
  <si>
    <t>b509aa3a-c0f5-4fce-88e1-d542768da245</t>
  </si>
  <si>
    <t>27730847191</t>
  </si>
  <si>
    <t>13557065</t>
  </si>
  <si>
    <t>f40a50ed-2a51-4c19-9f3d-4ea920b1fc89</t>
  </si>
  <si>
    <t>27732456665</t>
  </si>
  <si>
    <t>13557076</t>
  </si>
  <si>
    <t>76e34af3-d0d7-4212-a801-c5e70c7c689c</t>
  </si>
  <si>
    <t>27734683877</t>
  </si>
  <si>
    <t>13557078</t>
  </si>
  <si>
    <t>5d9cba0d-76af-4be0-bf20-84b8f8e633ea</t>
  </si>
  <si>
    <t>27735110083</t>
  </si>
  <si>
    <t>13557082</t>
  </si>
  <si>
    <t>8739995b-a4db-4f54-b7ca-6f810dc7834b</t>
  </si>
  <si>
    <t>27735759849</t>
  </si>
  <si>
    <t>13557093</t>
  </si>
  <si>
    <t>bade02df-582e-4868-9007-72ccb1a6d322</t>
  </si>
  <si>
    <t>27746206493</t>
  </si>
  <si>
    <t>13557101</t>
  </si>
  <si>
    <t>11784654-5298-4876-83f9-6c62d36fc8ce</t>
  </si>
  <si>
    <t>27760178891</t>
  </si>
  <si>
    <t>13557102</t>
  </si>
  <si>
    <t>be4402c6-884a-47d2-9730-735b13670a7a</t>
  </si>
  <si>
    <t>27760190293</t>
  </si>
  <si>
    <t>13556950</t>
  </si>
  <si>
    <t>586d8f71-af22-4d2d-9e2b-08d7c28205a7</t>
  </si>
  <si>
    <t>2026-03-09 09:31:09</t>
  </si>
  <si>
    <t>27728934756</t>
  </si>
  <si>
    <t>13556960</t>
  </si>
  <si>
    <t>8ea9aa8e-ba4f-40a8-8531-78f060ef31b5</t>
  </si>
  <si>
    <t>27729008418</t>
  </si>
  <si>
    <t>13556972</t>
  </si>
  <si>
    <t>692fd64d-11ee-433b-bf9b-5811eebafa0c</t>
  </si>
  <si>
    <t>27729121790</t>
  </si>
  <si>
    <t>13557035</t>
  </si>
  <si>
    <t>8ab71703-e702-4118-8ddd-0c6051193b62</t>
  </si>
  <si>
    <t>27729815194</t>
  </si>
  <si>
    <t>13556999</t>
  </si>
  <si>
    <t>9d9dd4bf-592d-4eb5-b1e2-7386903a59c0</t>
  </si>
  <si>
    <t>27729349160</t>
  </si>
  <si>
    <t>13556916</t>
  </si>
  <si>
    <t>3dbc1ed2-70d4-4655-8cbe-b48a6df8de11</t>
  </si>
  <si>
    <t>2026-03-09 09:31:08</t>
  </si>
  <si>
    <t>27728593022</t>
  </si>
  <si>
    <t>13556917</t>
  </si>
  <si>
    <t>e5cce579-7ed3-40a0-b891-b19585c180cc</t>
  </si>
  <si>
    <t>27728607770</t>
  </si>
  <si>
    <t>13556920</t>
  </si>
  <si>
    <t>98d74fa6-78e6-4f08-9ae5-9fa0440c0e74</t>
  </si>
  <si>
    <t>27728634274</t>
  </si>
  <si>
    <t>13556911</t>
  </si>
  <si>
    <t>2a04f8f0-7ee6-43e3-821f-1ec25f0b84d1</t>
  </si>
  <si>
    <t>2026-03-09 09:31:06</t>
  </si>
  <si>
    <t>27728551049</t>
  </si>
  <si>
    <t>13563634</t>
  </si>
  <si>
    <t>f2bd1276-f224-40f2-9f95-805c013d178a</t>
  </si>
  <si>
    <t>2026-03-09 09:30:08</t>
  </si>
  <si>
    <t>27646142039</t>
  </si>
  <si>
    <t>13563586</t>
  </si>
  <si>
    <t>65bcc9fc-6025-4411-b4fd-428f853e25bb</t>
  </si>
  <si>
    <t>2026-03-09 09:30:07</t>
  </si>
  <si>
    <t>27723651909</t>
  </si>
  <si>
    <t>13563546</t>
  </si>
  <si>
    <t>ae1bffab-0420-47b6-8c1a-fb61cb76013b</t>
  </si>
  <si>
    <t>27722497607</t>
  </si>
  <si>
    <t>13563529</t>
  </si>
  <si>
    <t>c011e2c9-b6dd-4efe-974e-060e928526b7</t>
  </si>
  <si>
    <t>2026-03-09 09:30:05</t>
  </si>
  <si>
    <t>27712258770</t>
  </si>
  <si>
    <t>13563506</t>
  </si>
  <si>
    <t>2abceb8e-eed7-4919-93a0-7395970e1774</t>
  </si>
  <si>
    <t>2026-03-09 09:30:04</t>
  </si>
  <si>
    <t>27648188616</t>
  </si>
  <si>
    <t>13563516</t>
  </si>
  <si>
    <t>7e97d639-8ae5-4130-a6db-72d64bf93851</t>
  </si>
  <si>
    <t>27607124211</t>
  </si>
  <si>
    <t>13562859</t>
  </si>
  <si>
    <t>9c1273f4-7777-44e8-be72-085809d5f8e4</t>
  </si>
  <si>
    <t>2026-03-09 09:30:03</t>
  </si>
  <si>
    <t>27674342242</t>
  </si>
  <si>
    <t>13563446</t>
  </si>
  <si>
    <t>ffd09d65-09f3-4e56-b791-e1d91c0a3c84</t>
  </si>
  <si>
    <t>27713507197</t>
  </si>
  <si>
    <t>13560242</t>
  </si>
  <si>
    <t>c942facd-dee1-4674-af31-9335f41c5dcc</t>
  </si>
  <si>
    <t>2026-03-09 09:30:02</t>
  </si>
  <si>
    <t>27828055342</t>
  </si>
  <si>
    <t>13560228</t>
  </si>
  <si>
    <t>94ab1245-3dfb-47de-829f-c1defaac877f</t>
  </si>
  <si>
    <t>2026-03-09 09:30:01</t>
  </si>
  <si>
    <t>27773878200</t>
  </si>
  <si>
    <t>13557250</t>
  </si>
  <si>
    <t>6da75650-b2d8-4173-8016-d9a7411d1803</t>
  </si>
  <si>
    <t>2026-03-09 09:30:00</t>
  </si>
  <si>
    <t>27761722249</t>
  </si>
  <si>
    <t>13557299</t>
  </si>
  <si>
    <t>15d5e3a9-7092-4aad-a219-841401e428ae</t>
  </si>
  <si>
    <t>27762251338</t>
  </si>
  <si>
    <t>13557820</t>
  </si>
  <si>
    <t>a73c35fc-be33-4f30-b372-a92c3416c48d</t>
  </si>
  <si>
    <t>27767694820</t>
  </si>
  <si>
    <t>13560161</t>
  </si>
  <si>
    <t>05524c40-3c24-48df-a360-3679bb9e97e4</t>
  </si>
  <si>
    <t>27799586905</t>
  </si>
  <si>
    <t>13557241</t>
  </si>
  <si>
    <t>d3ae5351-8afe-4fd1-aaa0-5f0a0e7e20e2</t>
  </si>
  <si>
    <t>2026-03-09 09:29:59</t>
  </si>
  <si>
    <t>27761631037</t>
  </si>
  <si>
    <t>13557190</t>
  </si>
  <si>
    <t>77a56487-7448-4af9-8aeb-5580e7a7df6b</t>
  </si>
  <si>
    <t>27761092832</t>
  </si>
  <si>
    <t>13557193</t>
  </si>
  <si>
    <t>1a9adaf6-b6f4-44e6-ae8b-477042e7e13b</t>
  </si>
  <si>
    <t>27761132411</t>
  </si>
  <si>
    <t>13557209</t>
  </si>
  <si>
    <t>edd1384a-b88c-43cd-9de6-7eda212b6a45</t>
  </si>
  <si>
    <t>27761280281</t>
  </si>
  <si>
    <t>13555667</t>
  </si>
  <si>
    <t>3145bf20-79dc-4431-8fbc-9c6c23dd1c13</t>
  </si>
  <si>
    <t>2026-03-09 09:29:57</t>
  </si>
  <si>
    <t>27712726821</t>
  </si>
  <si>
    <t>13555639</t>
  </si>
  <si>
    <t>45881c28-d5b7-4898-803c-719cc7176adf</t>
  </si>
  <si>
    <t>27712409533</t>
  </si>
  <si>
    <t>13557129</t>
  </si>
  <si>
    <t>ab20653f-ac96-4e64-9940-c65fa80a7df9</t>
  </si>
  <si>
    <t>27760517290</t>
  </si>
  <si>
    <t>13555615</t>
  </si>
  <si>
    <t>9794ed17-a616-4014-8042-7bc93bafe1fd</t>
  </si>
  <si>
    <t>2026-03-09 09:29:56</t>
  </si>
  <si>
    <t>27712157474</t>
  </si>
  <si>
    <t>13555450</t>
  </si>
  <si>
    <t>ba586822-f9e3-465c-82e8-a8745f438f55</t>
  </si>
  <si>
    <t>2026-03-09 09:29:40</t>
  </si>
  <si>
    <t>27673026932</t>
  </si>
  <si>
    <t>13563457</t>
  </si>
  <si>
    <t>de650c64-90e1-46fe-a363-ad2c0a02bc72</t>
  </si>
  <si>
    <t>2026-03-09 09:29:04</t>
  </si>
  <si>
    <t>27789409249</t>
  </si>
  <si>
    <t>13563392</t>
  </si>
  <si>
    <t>1044e12b-6d7c-44e0-b5a5-84ee83dfcddd</t>
  </si>
  <si>
    <t>27725706182</t>
  </si>
  <si>
    <t>13563437</t>
  </si>
  <si>
    <t>21feffa7-f243-40e0-acec-d19c920a350d</t>
  </si>
  <si>
    <t>27723291463</t>
  </si>
  <si>
    <t>13563387</t>
  </si>
  <si>
    <t>cba9e83a-3155-4669-a6b5-c57da7e1b00e</t>
  </si>
  <si>
    <t>2026-03-09 09:29:03</t>
  </si>
  <si>
    <t>27711185073</t>
  </si>
  <si>
    <t>13559576</t>
  </si>
  <si>
    <t>6d8aa8b4-0bd5-4766-a0de-de1a27090159</t>
  </si>
  <si>
    <t>2026-03-09 09:29:02</t>
  </si>
  <si>
    <t>27828647305</t>
  </si>
  <si>
    <t>13559562</t>
  </si>
  <si>
    <t>49cc3753-c5f5-4504-90ed-d981ef76ef90</t>
  </si>
  <si>
    <t>2026-03-09 09:28:50</t>
  </si>
  <si>
    <t>27828464105</t>
  </si>
  <si>
    <t>13559575</t>
  </si>
  <si>
    <t>2e0a4e07-13c5-4281-996a-c11cd6446d75</t>
  </si>
  <si>
    <t>27828644634</t>
  </si>
  <si>
    <t>13557760</t>
  </si>
  <si>
    <t>6f39dddd-2e19-478e-8fad-e5f6de60f98b</t>
  </si>
  <si>
    <t>2026-03-09 09:28:49</t>
  </si>
  <si>
    <t>27767082472</t>
  </si>
  <si>
    <t>13557791</t>
  </si>
  <si>
    <t>4e10c305-e957-464e-9496-fe497da1e1ea</t>
  </si>
  <si>
    <t>27767434266</t>
  </si>
  <si>
    <t>13557757</t>
  </si>
  <si>
    <t>5d00f9d6-bdab-4458-be50-cd7dbc710836</t>
  </si>
  <si>
    <t>27767016624</t>
  </si>
  <si>
    <t>13560409</t>
  </si>
  <si>
    <t>6ef84977-9a8b-4752-b811-3e131cbee6c9</t>
  </si>
  <si>
    <t>27792031978</t>
  </si>
  <si>
    <t>13557749</t>
  </si>
  <si>
    <t>8c7e9b3c-28ad-472e-bdb1-4ce0b02d1830</t>
  </si>
  <si>
    <t>2026-03-09 09:28:48</t>
  </si>
  <si>
    <t>27766971298</t>
  </si>
  <si>
    <t>13557753</t>
  </si>
  <si>
    <t>c25abe66-6bc2-43d8-b4e1-d7c84f018961</t>
  </si>
  <si>
    <t>27766987929</t>
  </si>
  <si>
    <t>13557713</t>
  </si>
  <si>
    <t>a362f5d6-56f0-435e-92d1-1013cc6f6aaa</t>
  </si>
  <si>
    <t>2026-03-09 09:28:47</t>
  </si>
  <si>
    <t>27766631206</t>
  </si>
  <si>
    <t>13557733</t>
  </si>
  <si>
    <t>1bba8764-ccd4-4366-8355-03700f879c9a</t>
  </si>
  <si>
    <t>27766816175</t>
  </si>
  <si>
    <t>13555561</t>
  </si>
  <si>
    <t>d378b17b-a6a9-4e69-a1e9-0583f8a7c877</t>
  </si>
  <si>
    <t>2026-03-09 09:28:46</t>
  </si>
  <si>
    <t>27711538336</t>
  </si>
  <si>
    <t>13557706</t>
  </si>
  <si>
    <t>9ea670e0-0696-419e-8885-ffb8ec19ce58</t>
  </si>
  <si>
    <t>27766550058</t>
  </si>
  <si>
    <t>13563302</t>
  </si>
  <si>
    <t>91b9aa1c-7b4c-41f6-88ea-60d2cd6ce394</t>
  </si>
  <si>
    <t>2026-03-09 09:28:13</t>
  </si>
  <si>
    <t>27721505573</t>
  </si>
  <si>
    <t>13563307</t>
  </si>
  <si>
    <t>657f5816-72d5-4102-817b-deb0b5c2d253</t>
  </si>
  <si>
    <t>27764249027</t>
  </si>
  <si>
    <t>13558669</t>
  </si>
  <si>
    <t>aec7c059-cacb-4732-a94c-c34dbecc3d0b</t>
  </si>
  <si>
    <t>2026-03-09 09:28:08</t>
  </si>
  <si>
    <t>27796711148</t>
  </si>
  <si>
    <t>13562874</t>
  </si>
  <si>
    <t>f60504b4-f0d0-4b1f-91ba-c13893540bc9</t>
  </si>
  <si>
    <t>27714243226</t>
  </si>
  <si>
    <t>13558210</t>
  </si>
  <si>
    <t>4c3780da-3291-4c53-808b-29346f433170</t>
  </si>
  <si>
    <t>2026-03-09 09:28:07</t>
  </si>
  <si>
    <t>27791331114</t>
  </si>
  <si>
    <t>13562901</t>
  </si>
  <si>
    <t>33bc1916-2332-49cf-8d48-09475bf01747</t>
  </si>
  <si>
    <t>27727912922</t>
  </si>
  <si>
    <t>13563236</t>
  </si>
  <si>
    <t>6662543f-ba22-49ac-a93d-28bd1a0ec541</t>
  </si>
  <si>
    <t>27724106034</t>
  </si>
  <si>
    <t>13557966</t>
  </si>
  <si>
    <t>40bc7be8-1882-408c-8787-2a2e27146ffc</t>
  </si>
  <si>
    <t>2026-03-09 09:28:06</t>
  </si>
  <si>
    <t>27769128879</t>
  </si>
  <si>
    <t>13557927</t>
  </si>
  <si>
    <t>a964558b-58e9-46e6-8947-7de470b0d660</t>
  </si>
  <si>
    <t>27768792862</t>
  </si>
  <si>
    <t>13557944</t>
  </si>
  <si>
    <t>58cf89b2-ecdb-448a-a141-b203be28655d</t>
  </si>
  <si>
    <t>27768900875</t>
  </si>
  <si>
    <t>13558110</t>
  </si>
  <si>
    <t>2af1e6d4-3274-4587-a5a7-d347ecfcf5d6</t>
  </si>
  <si>
    <t>27790218278</t>
  </si>
  <si>
    <t>13555482</t>
  </si>
  <si>
    <t>9038d053-3253-445e-9a97-3fa22c049536</t>
  </si>
  <si>
    <t>2026-03-09 09:28:05</t>
  </si>
  <si>
    <t>27674221634</t>
  </si>
  <si>
    <t>13557700</t>
  </si>
  <si>
    <t>07cf9a23-0d3b-48cc-a204-a3e81aecafb6</t>
  </si>
  <si>
    <t>27766440952</t>
  </si>
  <si>
    <t>13555406</t>
  </si>
  <si>
    <t>1b18a8c0-ffff-4223-9a38-e26ccdbe0962</t>
  </si>
  <si>
    <t>2026-03-09 09:28:04</t>
  </si>
  <si>
    <t>27664866562</t>
  </si>
  <si>
    <t>13555343</t>
  </si>
  <si>
    <t>23b47d8a-3f8c-4f18-9d9b-a68761959556</t>
  </si>
  <si>
    <t>2026-03-09 09:28:00</t>
  </si>
  <si>
    <t>27663584234</t>
  </si>
  <si>
    <t>13555347</t>
  </si>
  <si>
    <t>1a923fab-7a0a-4ebe-a999-0d8b075bfde9</t>
  </si>
  <si>
    <t>27663758076</t>
  </si>
  <si>
    <t>13555241</t>
  </si>
  <si>
    <t>90f9141c-f30b-4762-b5c0-3603064feb8b</t>
  </si>
  <si>
    <t>2026-03-09 09:27:59</t>
  </si>
  <si>
    <t>27660500095</t>
  </si>
  <si>
    <t>13554946</t>
  </si>
  <si>
    <t>7f40e6b4-a40f-4361-907f-fbd90c3a270f</t>
  </si>
  <si>
    <t>27636169137</t>
  </si>
  <si>
    <t>13555491</t>
  </si>
  <si>
    <t>0182a8f6-e546-40dd-9aa3-81867cc40445</t>
  </si>
  <si>
    <t>2026-03-09 09:26:52</t>
  </si>
  <si>
    <t>27674605126</t>
  </si>
  <si>
    <t>13562933</t>
  </si>
  <si>
    <t>77998231-4534-43b5-a2b3-6c556bc5389d</t>
  </si>
  <si>
    <t>2026-03-09 09:26:24</t>
  </si>
  <si>
    <t>27763194919</t>
  </si>
  <si>
    <t>13563034</t>
  </si>
  <si>
    <t>952f0754-4e35-43ab-82c1-24ba55135827</t>
  </si>
  <si>
    <t>27664192455</t>
  </si>
  <si>
    <t>13559750</t>
  </si>
  <si>
    <t>e30285be-4cc6-44e9-b9a7-f139724401fa</t>
  </si>
  <si>
    <t>2026-03-09 09:26:23</t>
  </si>
  <si>
    <t>27609484816</t>
  </si>
  <si>
    <t>13559755</t>
  </si>
  <si>
    <t>bef2eec8-e9e2-443c-b968-e0c9ff51d810</t>
  </si>
  <si>
    <t>27608916842</t>
  </si>
  <si>
    <t>13559772</t>
  </si>
  <si>
    <t>c0b4d832-d5b6-4538-9c7e-5f41050f318e</t>
  </si>
  <si>
    <t>27825927703</t>
  </si>
  <si>
    <t>13562928</t>
  </si>
  <si>
    <t>b77b1c5d-bfe3-4f91-91ff-9e8ab7d58dd7</t>
  </si>
  <si>
    <t>27790217321</t>
  </si>
  <si>
    <t>13563106</t>
  </si>
  <si>
    <t>384b6c66-ae61-4cfe-85c8-bb9045fdde81</t>
  </si>
  <si>
    <t>27762856978</t>
  </si>
  <si>
    <t>13563228</t>
  </si>
  <si>
    <t>64a0d7bb-5813-4ddc-b0f9-2329e514a3c2</t>
  </si>
  <si>
    <t>27712022160</t>
  </si>
  <si>
    <t>13558673</t>
  </si>
  <si>
    <t>1f1dae4e-c0d0-4d7d-84e6-da48467d6a0e</t>
  </si>
  <si>
    <t>2026-03-09 09:26:22</t>
  </si>
  <si>
    <t>27796786332</t>
  </si>
  <si>
    <t>13557680</t>
  </si>
  <si>
    <t>578027e7-203f-477d-9333-dd0291f367f7</t>
  </si>
  <si>
    <t>2026-03-09 09:26:20</t>
  </si>
  <si>
    <t>27766309863</t>
  </si>
  <si>
    <t>13557556</t>
  </si>
  <si>
    <t>5f505355-7778-4836-8bff-2391cf6dd515</t>
  </si>
  <si>
    <t>2026-03-09 09:26:19</t>
  </si>
  <si>
    <t>27765088291</t>
  </si>
  <si>
    <t>13557625</t>
  </si>
  <si>
    <t>1d90c540-3789-4da2-a610-15fbc15dc7e2</t>
  </si>
  <si>
    <t>27765763136</t>
  </si>
  <si>
    <t>13557637</t>
  </si>
  <si>
    <t>45f5977a-fc61-41c9-a8f4-06fe9a0ce99b</t>
  </si>
  <si>
    <t>27765902430</t>
  </si>
  <si>
    <t>13563840</t>
  </si>
  <si>
    <t>dd73905a-df9a-4397-98c8-3fa138b27788</t>
  </si>
  <si>
    <t>2026-03-09 09:26:18</t>
  </si>
  <si>
    <t>27649115169</t>
  </si>
  <si>
    <t>13561911</t>
  </si>
  <si>
    <t>d947bc34-d6fd-40fa-87eb-77fdc990546c</t>
  </si>
  <si>
    <t>2026-03-09 09:25:42</t>
  </si>
  <si>
    <t>27760294436</t>
  </si>
  <si>
    <t>13559789</t>
  </si>
  <si>
    <t>9331ae1f-2c2a-438b-90e9-f74cc5a874b1</t>
  </si>
  <si>
    <t>2026-03-09 09:25:13</t>
  </si>
  <si>
    <t>27823552199</t>
  </si>
  <si>
    <t>13559799</t>
  </si>
  <si>
    <t>d1ac8ee2-17cd-4530-9da3-13dfd8e56353</t>
  </si>
  <si>
    <t>27674981902</t>
  </si>
  <si>
    <t>13557523</t>
  </si>
  <si>
    <t>3a6d1b4f-4dae-468f-9688-a5d43e3091e3</t>
  </si>
  <si>
    <t>2026-03-09 09:25:11</t>
  </si>
  <si>
    <t>27764749013</t>
  </si>
  <si>
    <t>13557571</t>
  </si>
  <si>
    <t>7ee6cb35-20fb-4362-977c-b54aaf3dd38f</t>
  </si>
  <si>
    <t>27765220066</t>
  </si>
  <si>
    <t>13558649</t>
  </si>
  <si>
    <t>e151d383-4cf8-4564-b33c-8bc96440a37f</t>
  </si>
  <si>
    <t>27796527173</t>
  </si>
  <si>
    <t>13557474</t>
  </si>
  <si>
    <t>cdc24486-ebdf-4898-bb5e-ebc0c9ff2db5</t>
  </si>
  <si>
    <t>2026-03-09 09:25:10</t>
  </si>
  <si>
    <t>27764179561</t>
  </si>
  <si>
    <t>13557479</t>
  </si>
  <si>
    <t>3d57f7ce-972f-48f7-84c6-d84e3e083f58</t>
  </si>
  <si>
    <t>27764211346</t>
  </si>
  <si>
    <t>13558387</t>
  </si>
  <si>
    <t>895b0ed0-9af7-4672-8cd0-c1b189d99217</t>
  </si>
  <si>
    <t>2026-03-09 09:25:07</t>
  </si>
  <si>
    <t>27793398637</t>
  </si>
  <si>
    <t>13556562</t>
  </si>
  <si>
    <t>f2fba4f9-6e3c-473d-85ec-c866e4cbbcd4</t>
  </si>
  <si>
    <t>2026-03-09 09:24:59</t>
  </si>
  <si>
    <t>27725053569</t>
  </si>
  <si>
    <t>13556541</t>
  </si>
  <si>
    <t>f658c417-0ed7-4594-bf43-cca0e7c795a7</t>
  </si>
  <si>
    <t>2026-03-09 09:24:57</t>
  </si>
  <si>
    <t>27724872641</t>
  </si>
  <si>
    <t>13555044</t>
  </si>
  <si>
    <t>8fbc637e-8198-48da-8102-e05b16644831</t>
  </si>
  <si>
    <t>2026-03-09 09:24:02</t>
  </si>
  <si>
    <t>27646284187</t>
  </si>
  <si>
    <t>13563011</t>
  </si>
  <si>
    <t>659f26ba-4c0f-418b-a69c-6e6b57341a7f</t>
  </si>
  <si>
    <t>27648781139</t>
  </si>
  <si>
    <t>13562959</t>
  </si>
  <si>
    <t>8d271b70-a609-4100-801e-4657dfe46686</t>
  </si>
  <si>
    <t>27648654948</t>
  </si>
  <si>
    <t>13558352</t>
  </si>
  <si>
    <t>99773258-0615-4f0b-acd3-a01ab7ac3c21</t>
  </si>
  <si>
    <t>2026-03-09 09:24:01</t>
  </si>
  <si>
    <t>27793019652</t>
  </si>
  <si>
    <t>13559124</t>
  </si>
  <si>
    <t>a7c425fa-7a3c-42f1-8a96-84d202244578</t>
  </si>
  <si>
    <t>27823203938</t>
  </si>
  <si>
    <t>13559168</t>
  </si>
  <si>
    <t>47ce3bde-59bd-415b-846b-c602d3fc9eb2</t>
  </si>
  <si>
    <t>27823794728</t>
  </si>
  <si>
    <t>13559481</t>
  </si>
  <si>
    <t>2338a076-d72d-4a3b-9aa3-b7d88052146b</t>
  </si>
  <si>
    <t>27827411195</t>
  </si>
  <si>
    <t>13561307</t>
  </si>
  <si>
    <t>58388587-908a-4bc9-98f4-00ef21bda54a</t>
  </si>
  <si>
    <t>27712105587</t>
  </si>
  <si>
    <t>13556477</t>
  </si>
  <si>
    <t>0fef0faf-cc28-4b82-8b03-4bddb4a393a4</t>
  </si>
  <si>
    <t>2026-03-09 09:24:00</t>
  </si>
  <si>
    <t>27724250825</t>
  </si>
  <si>
    <t>13556489</t>
  </si>
  <si>
    <t>94dac585-e223-4ac7-b75b-353e366eb885</t>
  </si>
  <si>
    <t>27724417499</t>
  </si>
  <si>
    <t>13556506</t>
  </si>
  <si>
    <t>970ef5bd-9712-482f-a42d-4581d0f7a773</t>
  </si>
  <si>
    <t>27724553526</t>
  </si>
  <si>
    <t>13557432</t>
  </si>
  <si>
    <t>bf03bb7f-0022-4f18-b7b9-ae2dc515ca6d</t>
  </si>
  <si>
    <t>2026-03-09 09:23:59</t>
  </si>
  <si>
    <t>27763574564</t>
  </si>
  <si>
    <t>13556413</t>
  </si>
  <si>
    <t>4124512b-8881-4a3f-bab2-ae6b1a0ef772</t>
  </si>
  <si>
    <t>27723613269</t>
  </si>
  <si>
    <t>13556422</t>
  </si>
  <si>
    <t>cbcba3d8-58a6-4030-bc1f-f0fe4e4eb6e0</t>
  </si>
  <si>
    <t>27723687590</t>
  </si>
  <si>
    <t>13557395</t>
  </si>
  <si>
    <t>00e98cea-8c43-4458-b059-d3acf876febb</t>
  </si>
  <si>
    <t>27763165478</t>
  </si>
  <si>
    <t>13555193</t>
  </si>
  <si>
    <t>41db9269-9441-46f1-826f-f87b5972b1dc</t>
  </si>
  <si>
    <t>2026-03-09 09:23:58</t>
  </si>
  <si>
    <t>27649647670</t>
  </si>
  <si>
    <t>13557336</t>
  </si>
  <si>
    <t>f51dcddd-99bd-4f3a-a4eb-71f2b4cf54b9</t>
  </si>
  <si>
    <t>27762670987</t>
  </si>
  <si>
    <t>13555129</t>
  </si>
  <si>
    <t>7740eff5-cc0d-4be1-bf4a-778a833ad903</t>
  </si>
  <si>
    <t>2026-03-09 09:23:56</t>
  </si>
  <si>
    <t>27648426495</t>
  </si>
  <si>
    <t>13555098</t>
  </si>
  <si>
    <t>4835370f-6921-48db-bece-1fd9da0985f5</t>
  </si>
  <si>
    <t>2026-03-09 09:23:55</t>
  </si>
  <si>
    <t>27647850005</t>
  </si>
  <si>
    <t>13555111</t>
  </si>
  <si>
    <t>64b7f87d-531e-4631-a9c0-0d9d4947484d</t>
  </si>
  <si>
    <t>27648189026</t>
  </si>
  <si>
    <t>13557438</t>
  </si>
  <si>
    <t>27b16d2f-090d-40f8-aec8-593237fbc43a</t>
  </si>
  <si>
    <t>27763698756</t>
  </si>
  <si>
    <t>13558934</t>
  </si>
  <si>
    <t>43875da5-d372-486d-840a-86b8aa0f73b8</t>
  </si>
  <si>
    <t>2026-03-09 09:22:57</t>
  </si>
  <si>
    <t>27818121700</t>
  </si>
  <si>
    <t>13558939</t>
  </si>
  <si>
    <t>1065b830-e385-4ce2-a8f7-9074e2e604ed</t>
  </si>
  <si>
    <t>27818158928</t>
  </si>
  <si>
    <t>13559028</t>
  </si>
  <si>
    <t>ee4ef10b-adb1-41a5-9826-b4e27d2b2e51</t>
  </si>
  <si>
    <t>27820746139</t>
  </si>
  <si>
    <t>13558905</t>
  </si>
  <si>
    <t>58b3d6b4-6920-45bc-926f-e13a51eb7e4f</t>
  </si>
  <si>
    <t>2026-03-09 09:22:56</t>
  </si>
  <si>
    <t>27799871981</t>
  </si>
  <si>
    <t>13563939</t>
  </si>
  <si>
    <t>7c2b8613-77f9-41e9-9959-f58b65a67ac0</t>
  </si>
  <si>
    <t>2026-03-09 09:22:54</t>
  </si>
  <si>
    <t>27722872313</t>
  </si>
  <si>
    <t>13562948</t>
  </si>
  <si>
    <t>363a842b-a33b-4f48-b868-a0739767e79e</t>
  </si>
  <si>
    <t>27765268605</t>
  </si>
  <si>
    <t>13559123</t>
  </si>
  <si>
    <t>0593521c-fe45-4913-b110-9a2d9d559897</t>
  </si>
  <si>
    <t>2026-03-09 09:22:53</t>
  </si>
  <si>
    <t>27823156080</t>
  </si>
  <si>
    <t>13559147</t>
  </si>
  <si>
    <t>7663ac54-d8b2-44df-b4aa-26f97ec10243</t>
  </si>
  <si>
    <t>27823540116</t>
  </si>
  <si>
    <t>13562993</t>
  </si>
  <si>
    <t>b85a5c57-2e6b-4eed-b245-7db48596ce6e</t>
  </si>
  <si>
    <t>27711683485</t>
  </si>
  <si>
    <t>13562996</t>
  </si>
  <si>
    <t>3280b7e5-4cb2-4f87-8717-91e164857888</t>
  </si>
  <si>
    <t>27661453989</t>
  </si>
  <si>
    <t>13558781</t>
  </si>
  <si>
    <t>0f9083ac-3c91-4caa-8e2a-65620dc02a68</t>
  </si>
  <si>
    <t>2026-03-09 09:22:51</t>
  </si>
  <si>
    <t>27798132748</t>
  </si>
  <si>
    <t>13559065</t>
  </si>
  <si>
    <t>f6342f5e-f68d-468a-9ac7-668527a7fad1</t>
  </si>
  <si>
    <t>27822241226</t>
  </si>
  <si>
    <t>13555817</t>
  </si>
  <si>
    <t>4fba88ec-952d-4bf2-a982-f1d1a81f3199</t>
  </si>
  <si>
    <t>2026-03-09 09:22:50</t>
  </si>
  <si>
    <t>27714380244</t>
  </si>
  <si>
    <t>13557468</t>
  </si>
  <si>
    <t>2377504d-6a66-4be3-853e-f8c82a456c38</t>
  </si>
  <si>
    <t>2026-03-09 09:22:49</t>
  </si>
  <si>
    <t>27764147946</t>
  </si>
  <si>
    <t>13558711</t>
  </si>
  <si>
    <t>3325ec3c-8243-4e25-ae3f-e0bc63a8a071</t>
  </si>
  <si>
    <t>27797210888</t>
  </si>
  <si>
    <t>13557207</t>
  </si>
  <si>
    <t>d3a83c4f-556d-444f-9c3d-bafbe3fa9a43</t>
  </si>
  <si>
    <t>2026-03-09 09:22:48</t>
  </si>
  <si>
    <t>27761264367</t>
  </si>
  <si>
    <t>13557223</t>
  </si>
  <si>
    <t>a966cc75-b145-420d-a743-d6fd51d9798e</t>
  </si>
  <si>
    <t>27761446744</t>
  </si>
  <si>
    <t>13557305</t>
  </si>
  <si>
    <t>ba5c1c6f-07f0-45b4-9680-c35c837e870b</t>
  </si>
  <si>
    <t>27762312703</t>
  </si>
  <si>
    <t>13558546</t>
  </si>
  <si>
    <t>f9729eb7-6f16-4b90-b2a8-53e700ceac8f</t>
  </si>
  <si>
    <t>2026-03-09 09:21:36</t>
  </si>
  <si>
    <t>27795331562</t>
  </si>
  <si>
    <t>13556252</t>
  </si>
  <si>
    <t>c1c5675c-70c8-40cf-94b7-41722ff65de6</t>
  </si>
  <si>
    <t>2026-03-09 09:21:10</t>
  </si>
  <si>
    <t>27722041741</t>
  </si>
  <si>
    <t>13562902</t>
  </si>
  <si>
    <t>16f5aa56-26f8-4448-9921-6dc7e1b18364</t>
  </si>
  <si>
    <t>27712051701</t>
  </si>
  <si>
    <t>13556289</t>
  </si>
  <si>
    <t>a3489f70-15ec-4270-975f-e2b486141f4d</t>
  </si>
  <si>
    <t>2026-03-09 09:21:09</t>
  </si>
  <si>
    <t>27722263473</t>
  </si>
  <si>
    <t>13556426</t>
  </si>
  <si>
    <t>ad5bc7be-58f9-4075-ad68-e2f93e622342</t>
  </si>
  <si>
    <t>2026-03-09 09:21:05</t>
  </si>
  <si>
    <t>27723727047</t>
  </si>
  <si>
    <t>13556438</t>
  </si>
  <si>
    <t>2554de7b-99db-41cb-b3fd-4dd6be833369</t>
  </si>
  <si>
    <t>2026-03-09 09:21:04</t>
  </si>
  <si>
    <t>27723882006</t>
  </si>
  <si>
    <t>13558353</t>
  </si>
  <si>
    <t>b83cd678-f2f9-419f-a2b4-91f940bf8e83</t>
  </si>
  <si>
    <t>27793025241</t>
  </si>
  <si>
    <t>13557906</t>
  </si>
  <si>
    <t>18b73ed7-3c80-48c2-b5d0-2a48fd4c5bda</t>
  </si>
  <si>
    <t>27768564436</t>
  </si>
  <si>
    <t>13558844</t>
  </si>
  <si>
    <t>b13d47de-92bd-43cb-8dcf-9cbc41f88246</t>
  </si>
  <si>
    <t>27799180805</t>
  </si>
  <si>
    <t>13558424</t>
  </si>
  <si>
    <t>841a8b8d-fb7c-40d0-8618-f3f696102a27</t>
  </si>
  <si>
    <t>2026-03-09 09:20:24</t>
  </si>
  <si>
    <t>27793833965</t>
  </si>
  <si>
    <t>13556221</t>
  </si>
  <si>
    <t>eee35efc-76de-4f86-bc56-18bb050f21c7</t>
  </si>
  <si>
    <t>2026-03-09 09:20:01</t>
  </si>
  <si>
    <t>27721764103</t>
  </si>
  <si>
    <t>13558335</t>
  </si>
  <si>
    <t>b2d6e3fb-6925-464c-93ad-3aa3f8c08fb4</t>
  </si>
  <si>
    <t>2026-03-09 09:19:59</t>
  </si>
  <si>
    <t>27792929269</t>
  </si>
  <si>
    <t>13558338</t>
  </si>
  <si>
    <t>deaa1beb-7701-454c-9cf4-331279caead3</t>
  </si>
  <si>
    <t>27792941142</t>
  </si>
  <si>
    <t>13557593</t>
  </si>
  <si>
    <t>da60979e-5e7f-4e88-87e5-3f5a1d7198e2</t>
  </si>
  <si>
    <t>2026-03-09 09:19:58</t>
  </si>
  <si>
    <t>27765484807</t>
  </si>
  <si>
    <t>13554994</t>
  </si>
  <si>
    <t>98a1d3a0-6931-421c-8ad8-504db41fa896</t>
  </si>
  <si>
    <t>2026-03-09 09:18:55</t>
  </si>
  <si>
    <t>27637220036</t>
  </si>
  <si>
    <t>13555001</t>
  </si>
  <si>
    <t>759241c5-d1af-4e3d-912e-b76e5ea908ec</t>
  </si>
  <si>
    <t>27637324801</t>
  </si>
  <si>
    <t>13562315</t>
  </si>
  <si>
    <t>f18080d1-c27b-425f-a2be-08471ac84881</t>
  </si>
  <si>
    <t>27665158152</t>
  </si>
  <si>
    <t>13558994</t>
  </si>
  <si>
    <t>488dffa2-2516-425d-8420-dd0588f3afd9</t>
  </si>
  <si>
    <t>2026-03-09 09:18:54</t>
  </si>
  <si>
    <t>27818935244</t>
  </si>
  <si>
    <t>13562316</t>
  </si>
  <si>
    <t>ce453e77-813b-48f2-9711-195d780f8fb1</t>
  </si>
  <si>
    <t>27765072803</t>
  </si>
  <si>
    <t>13562317</t>
  </si>
  <si>
    <t>1433b015-077d-4425-9354-c5e8796bbf31</t>
  </si>
  <si>
    <t>27728151248</t>
  </si>
  <si>
    <t>13555638</t>
  </si>
  <si>
    <t>4f33fe64-5b90-471f-b122-8dcdad71f44a</t>
  </si>
  <si>
    <t>2026-03-09 09:18:28</t>
  </si>
  <si>
    <t>27712408197</t>
  </si>
  <si>
    <t>13561976</t>
  </si>
  <si>
    <t>ed812c7d-6012-43cf-b0c9-205335ee376a</t>
  </si>
  <si>
    <t>2026-03-09 09:18:14</t>
  </si>
  <si>
    <t>27712716648</t>
  </si>
  <si>
    <t>13562008</t>
  </si>
  <si>
    <t>6837539b-a6a1-43ff-9401-f7844abd52ca</t>
  </si>
  <si>
    <t>27606884517</t>
  </si>
  <si>
    <t>13559997</t>
  </si>
  <si>
    <t>20f85619-f4b4-4411-9ff5-a6a0d054eb95</t>
  </si>
  <si>
    <t>2026-03-09 09:18:08</t>
  </si>
  <si>
    <t>27842027103</t>
  </si>
  <si>
    <t>13559528</t>
  </si>
  <si>
    <t>859ef28f-a837-4044-971c-51b8cd780f2f</t>
  </si>
  <si>
    <t>2026-03-09 09:18:07</t>
  </si>
  <si>
    <t>27828009399</t>
  </si>
  <si>
    <t>13559206</t>
  </si>
  <si>
    <t>4cde0037-9aa5-4817-8c4e-63dfc1d70d57</t>
  </si>
  <si>
    <t>2026-03-09 09:18:04</t>
  </si>
  <si>
    <t>27824183645</t>
  </si>
  <si>
    <t>13559292</t>
  </si>
  <si>
    <t>bb2df31a-33c6-459c-a03a-2652daaa3483</t>
  </si>
  <si>
    <t>27825135980</t>
  </si>
  <si>
    <t>13560762</t>
  </si>
  <si>
    <t>c0e7728d-4545-4215-9505-d9dfe5b8c519</t>
  </si>
  <si>
    <t>2026-03-09 09:17:56</t>
  </si>
  <si>
    <t>27769360701</t>
  </si>
  <si>
    <t>13562034</t>
  </si>
  <si>
    <t>ad3580d3-19ea-4ca3-a61c-0c3bc7afed86</t>
  </si>
  <si>
    <t>2026-03-09 09:17:55</t>
  </si>
  <si>
    <t>27726432137</t>
  </si>
  <si>
    <t>13557647</t>
  </si>
  <si>
    <t>648a66b5-b075-4dcd-ab24-da56e6a9fd7d</t>
  </si>
  <si>
    <t>2026-03-09 09:16:57</t>
  </si>
  <si>
    <t>27766019932</t>
  </si>
  <si>
    <t>13560254</t>
  </si>
  <si>
    <t>674235fb-d7d3-4cde-b5f1-de16d28761c4</t>
  </si>
  <si>
    <t>27791665572</t>
  </si>
  <si>
    <t>13559586</t>
  </si>
  <si>
    <t>81215bc1-8db9-43df-b488-76c728a9d72b</t>
  </si>
  <si>
    <t>27828973049</t>
  </si>
  <si>
    <t>13559706</t>
  </si>
  <si>
    <t>ba24223b-5a40-4604-9892-faa47d15fa44</t>
  </si>
  <si>
    <t>27665235647</t>
  </si>
  <si>
    <t>13560321</t>
  </si>
  <si>
    <t>2a89f7ff-57ad-430d-8f1d-2e0c580fa094</t>
  </si>
  <si>
    <t>2026-03-09 09:16:56</t>
  </si>
  <si>
    <t>27829314857</t>
  </si>
  <si>
    <t>13556761</t>
  </si>
  <si>
    <t>ac00e839-d1a1-4cc0-9ebf-1f28a0529eb9</t>
  </si>
  <si>
    <t>2026-03-09 09:15:56</t>
  </si>
  <si>
    <t>27727239161</t>
  </si>
  <si>
    <t>13556307</t>
  </si>
  <si>
    <t>d8a16fac-2e3a-4fa2-9632-730b08e040c5</t>
  </si>
  <si>
    <t>2026-03-09 09:15:51</t>
  </si>
  <si>
    <t>27722532598</t>
  </si>
  <si>
    <t>13562018</t>
  </si>
  <si>
    <t>60ea2aba-7945-4100-912f-920a0ad1508e</t>
  </si>
  <si>
    <t>27721796896</t>
  </si>
  <si>
    <t>13557543</t>
  </si>
  <si>
    <t>69fae3a5-9113-4b43-9f7a-0c499ba562e4</t>
  </si>
  <si>
    <t>2026-03-09 09:15:50</t>
  </si>
  <si>
    <t>27764923711</t>
  </si>
  <si>
    <t>13558087</t>
  </si>
  <si>
    <t>54e6009a-a9e2-4b96-9e20-18c37dd9e453</t>
  </si>
  <si>
    <t>27786982478</t>
  </si>
  <si>
    <t>13558097</t>
  </si>
  <si>
    <t>a7ff00b4-e69e-460e-9e40-8a43a1776784</t>
  </si>
  <si>
    <t>27790139146</t>
  </si>
  <si>
    <t>13556511</t>
  </si>
  <si>
    <t>6c432926-32ea-479f-a651-d8b11e6cff27</t>
  </si>
  <si>
    <t>2026-03-09 09:15:49</t>
  </si>
  <si>
    <t>27724578060</t>
  </si>
  <si>
    <t>13556522</t>
  </si>
  <si>
    <t>4aedc4fe-48a4-43e6-bf91-f30454b9f4af</t>
  </si>
  <si>
    <t>27724684821</t>
  </si>
  <si>
    <t>13556528</t>
  </si>
  <si>
    <t>a82b7298-bb44-4fa0-96de-ae5c885e7457</t>
  </si>
  <si>
    <t>27724766297</t>
  </si>
  <si>
    <t>13556461</t>
  </si>
  <si>
    <t>5bc5f47e-2f19-4b65-b9a1-58915ad189f0</t>
  </si>
  <si>
    <t>2026-03-09 09:15:48</t>
  </si>
  <si>
    <t>27724123324</t>
  </si>
  <si>
    <t>13559978</t>
  </si>
  <si>
    <t>e5889c6b-a96a-4363-b1e0-f80c95fd79f8</t>
  </si>
  <si>
    <t>27714415069</t>
  </si>
  <si>
    <t>13557678</t>
  </si>
  <si>
    <t>38c42d28-8891-44fb-b44a-0c117ae0d622</t>
  </si>
  <si>
    <t>2026-03-09 09:15:20</t>
  </si>
  <si>
    <t>27766301286</t>
  </si>
  <si>
    <t>13561574</t>
  </si>
  <si>
    <t>ed5cc4cb-2d02-48fc-8168-85312e5675d9</t>
  </si>
  <si>
    <t>27767796994</t>
  </si>
  <si>
    <t>13561594</t>
  </si>
  <si>
    <t>f55e783b-9dd8-4c62-9d34-54a1c3de3f7f</t>
  </si>
  <si>
    <t>27791687272</t>
  </si>
  <si>
    <t>13560861</t>
  </si>
  <si>
    <t>78354372-34bb-4aab-984c-4ef647cb3615</t>
  </si>
  <si>
    <t>2026-03-09 09:15:19</t>
  </si>
  <si>
    <t>27606669313</t>
  </si>
  <si>
    <t>13561129</t>
  </si>
  <si>
    <t>a36eb585-cbb5-4444-a614-e7d37cb05c2a</t>
  </si>
  <si>
    <t>27606655565</t>
  </si>
  <si>
    <t>13561194</t>
  </si>
  <si>
    <t>c46f39d5-bde0-4b3b-8629-8badd58131ac</t>
  </si>
  <si>
    <t>27722528357</t>
  </si>
  <si>
    <t>13558428</t>
  </si>
  <si>
    <t>4ee3d65e-a0c1-4898-bf7a-cd458f2de0cd</t>
  </si>
  <si>
    <t>2026-03-09 09:15:18</t>
  </si>
  <si>
    <t>27793897890</t>
  </si>
  <si>
    <t>13563862</t>
  </si>
  <si>
    <t>ad1699df-2277-45c8-a53e-61f30a67e2cc</t>
  </si>
  <si>
    <t>27714587966</t>
  </si>
  <si>
    <t>13564679</t>
  </si>
  <si>
    <t>18066870-ba5e-4a86-acc2-3f554212d59d</t>
  </si>
  <si>
    <t>2026-03-09 09:14:22</t>
  </si>
  <si>
    <t>27768956489</t>
  </si>
  <si>
    <t>13563553</t>
  </si>
  <si>
    <t>17e48ec9-3b30-4df8-b79d-625751020e03</t>
  </si>
  <si>
    <t>2026-03-09 09:14:16</t>
  </si>
  <si>
    <t>27774942993</t>
  </si>
  <si>
    <t>13563866</t>
  </si>
  <si>
    <t>3abd662c-eda1-4230-95ec-da7b25c52641</t>
  </si>
  <si>
    <t>2026-03-09 09:13:49</t>
  </si>
  <si>
    <t>27763247474</t>
  </si>
  <si>
    <t>13561996</t>
  </si>
  <si>
    <t>29dd0308-1ce9-4991-be27-ea1a91cafee1</t>
  </si>
  <si>
    <t>2026-03-09 09:13:48</t>
  </si>
  <si>
    <t>27607537531</t>
  </si>
  <si>
    <t>13563970</t>
  </si>
  <si>
    <t>8b181a9d-a078-4acb-85bf-5ff0ea245260</t>
  </si>
  <si>
    <t>27716540498</t>
  </si>
  <si>
    <t>13555907</t>
  </si>
  <si>
    <t>ae140a6d-1beb-4a2c-ae65-d7f09b8d4d14</t>
  </si>
  <si>
    <t>2026-03-09 09:12:51</t>
  </si>
  <si>
    <t>27715413481</t>
  </si>
  <si>
    <t>13562409</t>
  </si>
  <si>
    <t>ad003502-b5e9-49df-899f-96fbd773cced</t>
  </si>
  <si>
    <t>27790687777</t>
  </si>
  <si>
    <t>13562495</t>
  </si>
  <si>
    <t>84373bdd-f42d-4e18-85c0-b9f031234c42</t>
  </si>
  <si>
    <t>27724135494</t>
  </si>
  <si>
    <t>13562535</t>
  </si>
  <si>
    <t>79c44249-a4d5-428d-8510-2a913d055f2e</t>
  </si>
  <si>
    <t>27720776382</t>
  </si>
  <si>
    <t>13563125</t>
  </si>
  <si>
    <t>e79df077-5587-40c6-8ae8-ebc9421991b3</t>
  </si>
  <si>
    <t>27711190308</t>
  </si>
  <si>
    <t>13564043</t>
  </si>
  <si>
    <t>26e110fe-9da2-4219-b3b0-9b84911e6a8c</t>
  </si>
  <si>
    <t>2026-03-09 09:12:50</t>
  </si>
  <si>
    <t>27661638225</t>
  </si>
  <si>
    <t>13559354</t>
  </si>
  <si>
    <t>71bb9af2-2e06-4048-8a68-e5f6f72d7a65</t>
  </si>
  <si>
    <t>2026-03-09 09:12:49</t>
  </si>
  <si>
    <t>27825965240</t>
  </si>
  <si>
    <t>13562883</t>
  </si>
  <si>
    <t>2796e34c-ab26-4807-b699-e612886732e3</t>
  </si>
  <si>
    <t>2026-03-09 09:12:03</t>
  </si>
  <si>
    <t>27769350897</t>
  </si>
  <si>
    <t>13562749</t>
  </si>
  <si>
    <t>23d0f60c-10ce-4b67-976b-974d5a37fec3</t>
  </si>
  <si>
    <t>2026-03-09 09:12:02</t>
  </si>
  <si>
    <t>27763597241</t>
  </si>
  <si>
    <t>13558051</t>
  </si>
  <si>
    <t>035a44f4-98f4-499b-82d0-3fc4bab9b85d</t>
  </si>
  <si>
    <t>2026-03-09 09:12:01</t>
  </si>
  <si>
    <t>27774009175</t>
  </si>
  <si>
    <t>13562663</t>
  </si>
  <si>
    <t>ca663512-67e1-4d52-8745-b261df8d8ec7</t>
  </si>
  <si>
    <t>27715606600</t>
  </si>
  <si>
    <t>13562895</t>
  </si>
  <si>
    <t>12e5eba5-03bf-4f96-b098-97ec766a995f</t>
  </si>
  <si>
    <t>27721996888</t>
  </si>
  <si>
    <t>13555855</t>
  </si>
  <si>
    <t>5995c6dd-e3cc-4a69-9fd0-b4f092a348fc</t>
  </si>
  <si>
    <t>2026-03-09 09:11:06</t>
  </si>
  <si>
    <t>27714934012</t>
  </si>
  <si>
    <t>13562878</t>
  </si>
  <si>
    <t>a16f580d-f15c-4a9f-8626-4acbef527b1d</t>
  </si>
  <si>
    <t>2026-03-09 09:11:05</t>
  </si>
  <si>
    <t>27664556343</t>
  </si>
  <si>
    <t>13562919</t>
  </si>
  <si>
    <t>57104e45-caa7-4ab4-8fc5-3dff42bfa920</t>
  </si>
  <si>
    <t>27670706763</t>
  </si>
  <si>
    <t>13562847</t>
  </si>
  <si>
    <t>8227fea7-813f-4d6b-a490-1422bf0f6f87</t>
  </si>
  <si>
    <t>27673733749</t>
  </si>
  <si>
    <t>13560227</t>
  </si>
  <si>
    <t>0ddfb81b-5fd9-433d-b2b4-9dadacfc4ad1</t>
  </si>
  <si>
    <t>2026-03-09 09:11:04</t>
  </si>
  <si>
    <t>27825331908</t>
  </si>
  <si>
    <t>13562823</t>
  </si>
  <si>
    <t>ad410fb9-13ce-4bff-bfd7-62cbad8032a0</t>
  </si>
  <si>
    <t>27608779630</t>
  </si>
  <si>
    <t>13562835</t>
  </si>
  <si>
    <t>d600c78b-2019-4c4d-8e91-ebae07a91d47</t>
  </si>
  <si>
    <t>27727760605</t>
  </si>
  <si>
    <t>13557534</t>
  </si>
  <si>
    <t>ff1782ff-0f9c-499d-8bc2-007707d30774</t>
  </si>
  <si>
    <t>2026-03-09 09:11:03</t>
  </si>
  <si>
    <t>27764869141</t>
  </si>
  <si>
    <t>13558039</t>
  </si>
  <si>
    <t>c30ad6df-d9ef-4e04-bab4-ff4514751ccd</t>
  </si>
  <si>
    <t>2026-03-09 09:09:52</t>
  </si>
  <si>
    <t>27772867871</t>
  </si>
  <si>
    <t>13563101</t>
  </si>
  <si>
    <t>50ffe6c4-5dfc-4a16-bbfa-661da5518c34</t>
  </si>
  <si>
    <t>27608583189</t>
  </si>
  <si>
    <t>13558027</t>
  </si>
  <si>
    <t>51bb8945-f93a-41de-bad9-cd279dcdf6ad</t>
  </si>
  <si>
    <t>2026-03-09 09:09:51</t>
  </si>
  <si>
    <t>27769899662</t>
  </si>
  <si>
    <t>13563127</t>
  </si>
  <si>
    <t>82ecc3ae-e878-4b92-ad59-82c9d8271bb6</t>
  </si>
  <si>
    <t>2026-03-09 09:09:37</t>
  </si>
  <si>
    <t>27764871553</t>
  </si>
  <si>
    <t>13563029</t>
  </si>
  <si>
    <t>9f61561e-9f76-4d75-9ac9-a2427c7e9697</t>
  </si>
  <si>
    <t>2026-03-09 09:08:44</t>
  </si>
  <si>
    <t>27661218091</t>
  </si>
  <si>
    <t>13563064</t>
  </si>
  <si>
    <t>d5c914a6-220a-4db4-9be0-9e922a8ab7d8</t>
  </si>
  <si>
    <t>2026-03-09 09:08:43</t>
  </si>
  <si>
    <t>27609212870</t>
  </si>
  <si>
    <t>13554986</t>
  </si>
  <si>
    <t>ea8c2c8d-d0a9-40c7-9dc2-59523cbdbdf5</t>
  </si>
  <si>
    <t>2026-03-09 09:08:39</t>
  </si>
  <si>
    <t>27636774794</t>
  </si>
  <si>
    <t>13563504</t>
  </si>
  <si>
    <t>0867f8cb-1c70-4235-a85f-b08dd7a57ba3</t>
  </si>
  <si>
    <t>2026-03-09 09:07:51</t>
  </si>
  <si>
    <t>27772607268</t>
  </si>
  <si>
    <t>13563517</t>
  </si>
  <si>
    <t>40603a00-0980-441c-992b-3b5971d25634</t>
  </si>
  <si>
    <t>27637620413</t>
  </si>
  <si>
    <t>13563455</t>
  </si>
  <si>
    <t>9e78abaa-c9c7-4179-9c4a-0896800fdd94</t>
  </si>
  <si>
    <t>27729872945</t>
  </si>
  <si>
    <t>13556990</t>
  </si>
  <si>
    <t>d18c932c-ea71-477e-9e3b-e3ea1377ebd7</t>
  </si>
  <si>
    <t>2026-03-09 09:07:50</t>
  </si>
  <si>
    <t>27729280780</t>
  </si>
  <si>
    <t>13557884</t>
  </si>
  <si>
    <t>1ad15615-4f69-4413-86f1-f043bedf9118</t>
  </si>
  <si>
    <t>27768270833</t>
  </si>
  <si>
    <t>13556978</t>
  </si>
  <si>
    <t>85af92c6-2503-44a3-ad24-db7bc6e76bac</t>
  </si>
  <si>
    <t>2026-03-09 09:07:49</t>
  </si>
  <si>
    <t>27729166538</t>
  </si>
  <si>
    <t>13556919</t>
  </si>
  <si>
    <t>369983a6-d75f-411f-a040-ab04b0588408</t>
  </si>
  <si>
    <t>27728609484</t>
  </si>
  <si>
    <t>13563598</t>
  </si>
  <si>
    <t>4567f816-a6db-40d3-8445-4d834b3018a5</t>
  </si>
  <si>
    <t>27763465497</t>
  </si>
  <si>
    <t>13561982</t>
  </si>
  <si>
    <t>887adb0d-746f-4312-bc19-133b8f9f5147</t>
  </si>
  <si>
    <t>2026-03-09 09:07:28</t>
  </si>
  <si>
    <t>27792728752</t>
  </si>
  <si>
    <t>13561686</t>
  </si>
  <si>
    <t>e5f1dc40-b7cf-49d9-bbe9-d1d69b0dedc3</t>
  </si>
  <si>
    <t>2026-03-09 09:07:17</t>
  </si>
  <si>
    <t>27773694829</t>
  </si>
  <si>
    <t>13563795</t>
  </si>
  <si>
    <t>7776717f-d804-4f1b-affc-860d06d74c44</t>
  </si>
  <si>
    <t>2026-03-09 09:07:05</t>
  </si>
  <si>
    <t>27762989476</t>
  </si>
  <si>
    <t>13556886</t>
  </si>
  <si>
    <t>9036c363-c67f-46b0-bb03-806acc8ee583</t>
  </si>
  <si>
    <t>2026-03-09 09:06:17</t>
  </si>
  <si>
    <t>27728287862</t>
  </si>
  <si>
    <t>13563602</t>
  </si>
  <si>
    <t>82f8f3f3-0e7e-469b-9dde-70157809c3c1</t>
  </si>
  <si>
    <t>27724292354</t>
  </si>
  <si>
    <t>13564412</t>
  </si>
  <si>
    <t>6875aad5-4455-4d25-85f8-0a5fd88d6a3a</t>
  </si>
  <si>
    <t>27608592496</t>
  </si>
  <si>
    <t>13557703</t>
  </si>
  <si>
    <t>380f4ae2-6836-4e35-aca8-42f6b5ae3590</t>
  </si>
  <si>
    <t>2026-03-09 09:05:31</t>
  </si>
  <si>
    <t>27766506133</t>
  </si>
  <si>
    <t>13558680</t>
  </si>
  <si>
    <t>45df61f1-876a-4213-a3b3-27f33d1773d1</t>
  </si>
  <si>
    <t>2026-03-09 09:05:28</t>
  </si>
  <si>
    <t>27796827013</t>
  </si>
  <si>
    <t>13561666</t>
  </si>
  <si>
    <t>52b99ac2-f1d0-4d78-8a23-dd8ff3675eb2</t>
  </si>
  <si>
    <t>2026-03-09 09:04:59</t>
  </si>
  <si>
    <t>27796141592</t>
  </si>
  <si>
    <t>13563322</t>
  </si>
  <si>
    <t>afffe113-9cf0-4f61-b77c-52f00b895ab1</t>
  </si>
  <si>
    <t>2026-03-09 09:04:51</t>
  </si>
  <si>
    <t>27723366789</t>
  </si>
  <si>
    <t>13564052</t>
  </si>
  <si>
    <t>0a00326b-0d8a-4014-9ab3-d75bb4b5b3bf</t>
  </si>
  <si>
    <t>27720290468</t>
  </si>
  <si>
    <t>13564350</t>
  </si>
  <si>
    <t>b0ed88eb-82ea-498e-ad58-84454d34f082</t>
  </si>
  <si>
    <t>27791602174</t>
  </si>
  <si>
    <t>13555890</t>
  </si>
  <si>
    <t>9c34e7f7-e561-4cbb-8fe2-e3accaa7acd1</t>
  </si>
  <si>
    <t>2026-03-09 09:04:11</t>
  </si>
  <si>
    <t>27715248589</t>
  </si>
  <si>
    <t>13555244</t>
  </si>
  <si>
    <t>5719a992-d34b-4d6d-a05a-b4b9277b2eb1</t>
  </si>
  <si>
    <t>2026-03-09 09:04:03</t>
  </si>
  <si>
    <t>27660524176</t>
  </si>
  <si>
    <t>13563941</t>
  </si>
  <si>
    <t>6b6558d6-dfdc-422a-8f79-c18595f12882</t>
  </si>
  <si>
    <t>27649872930</t>
  </si>
  <si>
    <t>13563574</t>
  </si>
  <si>
    <t>4eaba323-6cb6-4157-a126-0ac85187b366</t>
  </si>
  <si>
    <t>27774551952</t>
  </si>
  <si>
    <t>13563915</t>
  </si>
  <si>
    <t>25322d56-8f76-4d9c-a263-985655040dc2</t>
  </si>
  <si>
    <t>2026-03-09 09:04:01</t>
  </si>
  <si>
    <t>27660916132</t>
  </si>
  <si>
    <t>13555166</t>
  </si>
  <si>
    <t>4b1f43c7-5559-48f6-a5fd-4aca08469f02</t>
  </si>
  <si>
    <t>2026-03-09 09:03:06</t>
  </si>
  <si>
    <t>27648982066</t>
  </si>
  <si>
    <t>13557169</t>
  </si>
  <si>
    <t>299356da-cc1b-440c-ada6-c32489330ca9</t>
  </si>
  <si>
    <t>2026-03-09 09:02:35</t>
  </si>
  <si>
    <t>27760874712</t>
  </si>
  <si>
    <t>13555332</t>
  </si>
  <si>
    <t>a2d77189-86fa-42ab-9d59-1b1cdf65a45c</t>
  </si>
  <si>
    <t>2026-03-09 09:01:18</t>
  </si>
  <si>
    <t>27663302196</t>
  </si>
  <si>
    <t>13559276</t>
  </si>
  <si>
    <t>7c1d5987-ee63-496c-8775-52fd99b8f1d5</t>
  </si>
  <si>
    <t>27825056417</t>
  </si>
  <si>
    <t>13559436</t>
  </si>
  <si>
    <t>f057814d-05dc-4fd0-869b-0c6f2b2b154e</t>
  </si>
  <si>
    <t>2026-03-09 09:00:30</t>
  </si>
  <si>
    <t>27826860132</t>
  </si>
  <si>
    <t>13555534</t>
  </si>
  <si>
    <t>50ecb83c-2bb3-4a4b-843c-6f69e4ed9821</t>
  </si>
  <si>
    <t>2026-03-09 08:59:46</t>
  </si>
  <si>
    <t>27711216171</t>
  </si>
  <si>
    <t>13563750</t>
  </si>
  <si>
    <t>602951d9-6934-4ba3-8437-9b09dce51ade</t>
  </si>
  <si>
    <t>27675710148</t>
  </si>
  <si>
    <t>13564286</t>
  </si>
  <si>
    <t>68310ad3-6c62-4a10-a75e-8b3f6eee366a</t>
  </si>
  <si>
    <t>2026-03-09 08:59:20</t>
  </si>
  <si>
    <t>27763178442</t>
  </si>
  <si>
    <t>13562307</t>
  </si>
  <si>
    <t>ba179770-f1e7-4387-82d7-775137cd2048</t>
  </si>
  <si>
    <t>2026-03-09 08:59:18</t>
  </si>
  <si>
    <t>27665865835</t>
  </si>
  <si>
    <t>13562097</t>
  </si>
  <si>
    <t>2e229ebb-ccd4-4735-8d3e-37b985e638cb</t>
  </si>
  <si>
    <t>27648311116</t>
  </si>
  <si>
    <t>13561192</t>
  </si>
  <si>
    <t>51d888ec-ac48-4b8e-9347-26d59815711f</t>
  </si>
  <si>
    <t>2026-03-09 08:59:15</t>
  </si>
  <si>
    <t>27662096717</t>
  </si>
  <si>
    <t>13558221</t>
  </si>
  <si>
    <t>3df82d7f-63c5-493a-b122-6d13b47d7cb7</t>
  </si>
  <si>
    <t>2026-03-09 08:58:52</t>
  </si>
  <si>
    <t>27791477108</t>
  </si>
  <si>
    <t>13556327</t>
  </si>
  <si>
    <t>417f025f-aaa3-47e2-92a3-0da9be439343</t>
  </si>
  <si>
    <t>2026-03-09 08:58:48</t>
  </si>
  <si>
    <t>27722735873</t>
  </si>
  <si>
    <t>13557113</t>
  </si>
  <si>
    <t>4ae1957c-943f-4ad8-8c8e-f8d0fb736828</t>
  </si>
  <si>
    <t>27760333487</t>
  </si>
  <si>
    <t>13560137</t>
  </si>
  <si>
    <t>d1da213d-bf09-4d43-86e2-db6176926929</t>
  </si>
  <si>
    <t>2026-03-09 08:58:47</t>
  </si>
  <si>
    <t>27814181167</t>
  </si>
  <si>
    <t>13558315</t>
  </si>
  <si>
    <t>d45ebdb7-0788-4d48-9c17-1fef69d39d38</t>
  </si>
  <si>
    <t>2026-03-09 08:58:45</t>
  </si>
  <si>
    <t>27792734690</t>
  </si>
  <si>
    <t>13557899</t>
  </si>
  <si>
    <t>c26d007d-8623-4a25-8232-597ee2c7deac</t>
  </si>
  <si>
    <t>27768442878</t>
  </si>
  <si>
    <t>13562703</t>
  </si>
  <si>
    <t>d425e9ce-8e68-48b7-a4e2-0de38d7f72a2</t>
  </si>
  <si>
    <t>27711203560</t>
  </si>
  <si>
    <t>13559652</t>
  </si>
  <si>
    <t>eabee357-1c7b-4547-a814-a0eeb5e62245</t>
  </si>
  <si>
    <t>2026-03-09 08:58:07</t>
  </si>
  <si>
    <t>27835533030</t>
  </si>
  <si>
    <t>13559970</t>
  </si>
  <si>
    <t>d0fe3c38-f2b6-4dd1-9e86-46e58d040ff7</t>
  </si>
  <si>
    <t>27607546445</t>
  </si>
  <si>
    <t>13558621</t>
  </si>
  <si>
    <t>f8c80816-2279-48c0-a410-fd29f4849da8</t>
  </si>
  <si>
    <t>2026-03-09 08:58:04</t>
  </si>
  <si>
    <t>27796197528</t>
  </si>
  <si>
    <t>13557653</t>
  </si>
  <si>
    <t>e27c9862-6979-4472-8ba3-3d7383d8c593</t>
  </si>
  <si>
    <t>2026-03-09 08:58:03</t>
  </si>
  <si>
    <t>27766127154</t>
  </si>
  <si>
    <t>13558571</t>
  </si>
  <si>
    <t>59c24153-6ad5-4a9f-84c4-7882f9384371</t>
  </si>
  <si>
    <t>27795671041</t>
  </si>
  <si>
    <t>13561731</t>
  </si>
  <si>
    <t>1728a9de-4ba6-436d-8ae6-994a4f358086</t>
  </si>
  <si>
    <t>2026-03-09 08:57:06</t>
  </si>
  <si>
    <t>27722393982</t>
  </si>
  <si>
    <t>13555431</t>
  </si>
  <si>
    <t>7dd07e1e-0746-44dc-bd26-906279ac1a38</t>
  </si>
  <si>
    <t>2026-03-09 08:57:02</t>
  </si>
  <si>
    <t>27665363181</t>
  </si>
  <si>
    <t>13556161</t>
  </si>
  <si>
    <t>7cc8720a-c0d6-4a35-93e7-62ba080c2fc9</t>
  </si>
  <si>
    <t>27721175660</t>
  </si>
  <si>
    <t>13562888</t>
  </si>
  <si>
    <t>7b4e8081-52bd-40c9-96d0-2643c1a3ef56</t>
  </si>
  <si>
    <t>2026-03-09 08:56:39</t>
  </si>
  <si>
    <t>27762807321</t>
  </si>
  <si>
    <t>13564887</t>
  </si>
  <si>
    <t>871070a8-51a4-4bf7-a9ba-285dedbe9526</t>
  </si>
  <si>
    <t>2026-03-09 08:56:38</t>
  </si>
  <si>
    <t>27609087150</t>
  </si>
  <si>
    <t>13561390</t>
  </si>
  <si>
    <t>23c8247a-e0b5-4de9-a9c9-9fc953bfb9da</t>
  </si>
  <si>
    <t>2026-03-09 08:56:27</t>
  </si>
  <si>
    <t>27728876041</t>
  </si>
  <si>
    <t>13561396</t>
  </si>
  <si>
    <t>15468f2a-7532-404c-8647-278da4bfa192</t>
  </si>
  <si>
    <t>27711082866</t>
  </si>
  <si>
    <t>13560094</t>
  </si>
  <si>
    <t>b66d31d1-8621-43f8-a045-c84f7291e59d</t>
  </si>
  <si>
    <t>2026-03-09 08:56:26</t>
  </si>
  <si>
    <t>27711316365</t>
  </si>
  <si>
    <t>13559048</t>
  </si>
  <si>
    <t>d21e0b2a-6a42-4ede-88d6-2645461bb5da</t>
  </si>
  <si>
    <t>2026-03-09 08:56:22</t>
  </si>
  <si>
    <t>27820986345</t>
  </si>
  <si>
    <t>13559396</t>
  </si>
  <si>
    <t>88954fe5-fe9f-444b-b2d3-0109e88f5caa</t>
  </si>
  <si>
    <t>27826437029</t>
  </si>
  <si>
    <t>13559456</t>
  </si>
  <si>
    <t>d2d16afc-69ab-4f1b-8d4c-6e06e74ab4e0</t>
  </si>
  <si>
    <t>27827070464</t>
  </si>
  <si>
    <t>13562855</t>
  </si>
  <si>
    <t>05b1c2cc-ecb5-456d-a9e5-04ecea6f2a85</t>
  </si>
  <si>
    <t>2026-03-09 08:56:19</t>
  </si>
  <si>
    <t>27721795028</t>
  </si>
  <si>
    <t>13561474</t>
  </si>
  <si>
    <t>5e5f9e03-8b99-4f76-ba4a-4da4179f77af</t>
  </si>
  <si>
    <t>2026-03-09 08:54:54</t>
  </si>
  <si>
    <t>27660955462</t>
  </si>
  <si>
    <t>13558052</t>
  </si>
  <si>
    <t>d23f8c56-61a2-4efb-bb73-f6d88a311f7f</t>
  </si>
  <si>
    <t>2026-03-09 08:54:52</t>
  </si>
  <si>
    <t>27774035246</t>
  </si>
  <si>
    <t>13557485</t>
  </si>
  <si>
    <t>418a51d8-5a38-46a5-a63b-114a6e3073a6</t>
  </si>
  <si>
    <t>2026-03-09 08:54:04</t>
  </si>
  <si>
    <t>27764332931</t>
  </si>
  <si>
    <t>13555995</t>
  </si>
  <si>
    <t>fbe54b57-9ecd-4303-b1aa-aa202011619e</t>
  </si>
  <si>
    <t>2026-03-09 08:54:01</t>
  </si>
  <si>
    <t>27716226300</t>
  </si>
  <si>
    <t>13561972</t>
  </si>
  <si>
    <t>0942de1a-3e4d-4b24-ac51-21f10c72dd81</t>
  </si>
  <si>
    <t>2026-03-09 08:52:58</t>
  </si>
  <si>
    <t>27715037553</t>
  </si>
  <si>
    <t>13562070</t>
  </si>
  <si>
    <t>1680dd9e-faea-47d3-a31a-1ac44c5448ee</t>
  </si>
  <si>
    <t>27798405463</t>
  </si>
  <si>
    <t>13563176</t>
  </si>
  <si>
    <t>35058646-1240-44a1-b531-5ce69afd9095</t>
  </si>
  <si>
    <t>2026-03-09 08:52:57</t>
  </si>
  <si>
    <t>27673491407</t>
  </si>
  <si>
    <t>13560260</t>
  </si>
  <si>
    <t>3dd13991-663f-436f-870b-0d939355a7eb</t>
  </si>
  <si>
    <t>2026-03-09 08:52:53</t>
  </si>
  <si>
    <t>27818365230</t>
  </si>
  <si>
    <t>13561418</t>
  </si>
  <si>
    <t>37fba844-1fd0-41da-a705-b2aada99ae18</t>
  </si>
  <si>
    <t>27762645486</t>
  </si>
  <si>
    <t>13556959</t>
  </si>
  <si>
    <t>1119c617-b034-47ed-ac17-020424e17342</t>
  </si>
  <si>
    <t>2026-03-09 08:52:52</t>
  </si>
  <si>
    <t>27728992973</t>
  </si>
  <si>
    <t>13556069</t>
  </si>
  <si>
    <t>26272b1b-2335-404a-8ee5-2f2bd14895cd</t>
  </si>
  <si>
    <t>2026-03-09 08:52:20</t>
  </si>
  <si>
    <t>27720500518</t>
  </si>
  <si>
    <t>13564650</t>
  </si>
  <si>
    <t>e2103be4-836d-446b-a948-1fb8a3d10fad</t>
  </si>
  <si>
    <t>2026-03-09 08:51:36</t>
  </si>
  <si>
    <t>27715863080</t>
  </si>
  <si>
    <t>13558169</t>
  </si>
  <si>
    <t>1ead7f78-6dd8-41e6-aefb-ed16ff20b1be</t>
  </si>
  <si>
    <t>2026-03-09 08:50:24</t>
  </si>
  <si>
    <t>27790910979</t>
  </si>
  <si>
    <t>13564662</t>
  </si>
  <si>
    <t>0678051b-86f3-45d6-a732-49a50a1bf451</t>
  </si>
  <si>
    <t>2026-03-09 08:50:02</t>
  </si>
  <si>
    <t>27661430346</t>
  </si>
  <si>
    <t>13563663</t>
  </si>
  <si>
    <t>9d0e7457-d0d7-462a-8912-6367bcc2fc2d</t>
  </si>
  <si>
    <t>2026-03-09 08:49:59</t>
  </si>
  <si>
    <t>27766096204</t>
  </si>
  <si>
    <t>13563766</t>
  </si>
  <si>
    <t>3eac95fc-5a68-4261-bcb3-7eaba3544e57</t>
  </si>
  <si>
    <t>27762345915</t>
  </si>
  <si>
    <t>13563767</t>
  </si>
  <si>
    <t>5ea87dcd-615f-42fb-ab75-f48327b9a334</t>
  </si>
  <si>
    <t>27646715289</t>
  </si>
  <si>
    <t>13563489</t>
  </si>
  <si>
    <t>e3b321f6-ae97-407e-a58a-4641628d6ec7</t>
  </si>
  <si>
    <t>2026-03-09 08:49:58</t>
  </si>
  <si>
    <t>27721443192</t>
  </si>
  <si>
    <t>13563447</t>
  </si>
  <si>
    <t>fb21456b-30b2-479e-b6e0-c5017bb842f1</t>
  </si>
  <si>
    <t>27723815874</t>
  </si>
  <si>
    <t>13563436</t>
  </si>
  <si>
    <t>60f83e65-ecc5-4dac-bbac-9b876f5ea510</t>
  </si>
  <si>
    <t>2026-03-09 08:49:57</t>
  </si>
  <si>
    <t>27791904270</t>
  </si>
  <si>
    <t>13556288</t>
  </si>
  <si>
    <t>aa7df3e4-3d58-48e1-8057-757ca94eecbc</t>
  </si>
  <si>
    <t>2026-03-09 08:48:28</t>
  </si>
  <si>
    <t>27722261123</t>
  </si>
  <si>
    <t>13560524</t>
  </si>
  <si>
    <t>829339fe-5f6f-40f3-ad0b-b823f38d4457</t>
  </si>
  <si>
    <t>27799863495</t>
  </si>
  <si>
    <t>13564319</t>
  </si>
  <si>
    <t>353468cb-9adb-4f90-bf66-d1993ef32bbc</t>
  </si>
  <si>
    <t>27649878913</t>
  </si>
  <si>
    <t>13559437</t>
  </si>
  <si>
    <t>d3aea51a-c9bb-4700-bc58-f7be25774ed7</t>
  </si>
  <si>
    <t>2026-03-09 08:48:27</t>
  </si>
  <si>
    <t>27826886034</t>
  </si>
  <si>
    <t>13559848</t>
  </si>
  <si>
    <t>03936d63-9fc6-4e57-97c1-7f90848c41ee</t>
  </si>
  <si>
    <t>27820415748</t>
  </si>
  <si>
    <t>13557624</t>
  </si>
  <si>
    <t>14f4aff0-fc6b-436c-9b6f-3e28fa3880c2</t>
  </si>
  <si>
    <t>2026-03-09 08:47:34</t>
  </si>
  <si>
    <t>27765757384</t>
  </si>
  <si>
    <t>13555469</t>
  </si>
  <si>
    <t>664b636e-4113-40d5-a691-b03bea8ac4f5</t>
  </si>
  <si>
    <t>2026-03-09 08:47:01</t>
  </si>
  <si>
    <t>27673576344</t>
  </si>
  <si>
    <t>13555248</t>
  </si>
  <si>
    <t>e34e4d8c-a919-4c30-b8b7-4bef0c6f590d</t>
  </si>
  <si>
    <t>2026-03-09 08:45:54</t>
  </si>
  <si>
    <t>27660598520</t>
  </si>
  <si>
    <t>13555177</t>
  </si>
  <si>
    <t>e76b64fb-8fe7-41ec-94c4-8c03b34bf3fe</t>
  </si>
  <si>
    <t>27649308183</t>
  </si>
  <si>
    <t>13555144</t>
  </si>
  <si>
    <t>bc7e21b0-5fc2-4d2e-9ba3-9e57208d2d69</t>
  </si>
  <si>
    <t>2026-03-09 08:45:53</t>
  </si>
  <si>
    <t>27648616163</t>
  </si>
  <si>
    <t>13555106</t>
  </si>
  <si>
    <t>61570091-1dea-4412-80d2-071484652a14</t>
  </si>
  <si>
    <t>27648008503</t>
  </si>
  <si>
    <t>13561289</t>
  </si>
  <si>
    <t>61bcf3c9-e318-4f05-9905-a80a924f2d2a</t>
  </si>
  <si>
    <t>2026-03-09 08:45:51</t>
  </si>
  <si>
    <t>27711642492</t>
  </si>
  <si>
    <t>13559976</t>
  </si>
  <si>
    <t>eccd27e2-cafe-4a3d-82f6-1bf02074bb3c</t>
  </si>
  <si>
    <t>27794189414</t>
  </si>
  <si>
    <t>13560600</t>
  </si>
  <si>
    <t>1ba00caa-a2ab-4c7a-90fd-49d45241f8aa</t>
  </si>
  <si>
    <t>2026-03-09 08:45:49</t>
  </si>
  <si>
    <t>27792572629</t>
  </si>
  <si>
    <t>13559155</t>
  </si>
  <si>
    <t>177080b2-5bde-4d9f-862a-25b184937e17</t>
  </si>
  <si>
    <t>2026-03-09 08:45:13</t>
  </si>
  <si>
    <t>27823579070</t>
  </si>
  <si>
    <t>13562610</t>
  </si>
  <si>
    <t>db98450f-47cd-4710-840d-a7d5f0b037c4</t>
  </si>
  <si>
    <t>2026-03-09 08:44:50</t>
  </si>
  <si>
    <t>27712756336</t>
  </si>
  <si>
    <t>13560627</t>
  </si>
  <si>
    <t>a01646e0-16f4-463c-82b0-13f83e5b2e3c</t>
  </si>
  <si>
    <t>2026-03-09 08:44:49</t>
  </si>
  <si>
    <t>27646407342</t>
  </si>
  <si>
    <t>13560769</t>
  </si>
  <si>
    <t>a553697f-2284-4585-a284-45b5a1010f4d</t>
  </si>
  <si>
    <t>2026-03-09 08:44:00</t>
  </si>
  <si>
    <t>27673204219</t>
  </si>
  <si>
    <t>13560768</t>
  </si>
  <si>
    <t>86bcb49c-7e33-4a88-9beb-993ca764c086</t>
  </si>
  <si>
    <t>2026-03-09 08:43:59</t>
  </si>
  <si>
    <t>27726812060</t>
  </si>
  <si>
    <t>13561100</t>
  </si>
  <si>
    <t>f2229e69-0bd0-4b39-b17c-632e3a52c608</t>
  </si>
  <si>
    <t>27725314839</t>
  </si>
  <si>
    <t>13561182</t>
  </si>
  <si>
    <t>9c31ae8c-e7b2-414a-9607-86124dcdec25</t>
  </si>
  <si>
    <t>27712531571</t>
  </si>
  <si>
    <t>13560104</t>
  </si>
  <si>
    <t>454a6e86-63fe-49ca-9117-15b908e3e2d2</t>
  </si>
  <si>
    <t>2026-03-09 08:43:51</t>
  </si>
  <si>
    <t>27711117437</t>
  </si>
  <si>
    <t>13561153</t>
  </si>
  <si>
    <t>bf963418-b69f-4985-931b-41e14f768400</t>
  </si>
  <si>
    <t>2026-03-09 08:43:08</t>
  </si>
  <si>
    <t>27724983506</t>
  </si>
  <si>
    <t>13560302</t>
  </si>
  <si>
    <t>8b7436ea-ca52-4727-b6f3-f6e611bab2f0</t>
  </si>
  <si>
    <t>2026-03-09 08:41:50</t>
  </si>
  <si>
    <t>27767217499</t>
  </si>
  <si>
    <t>13564148</t>
  </si>
  <si>
    <t>f23358f4-1b9e-4616-a16e-9d0562355dce</t>
  </si>
  <si>
    <t>2026-03-09 08:41:41</t>
  </si>
  <si>
    <t>27728614482</t>
  </si>
  <si>
    <t>13557908</t>
  </si>
  <si>
    <t>12b734ff-80f2-4c5d-a453-203f6f1713ce</t>
  </si>
  <si>
    <t>2026-03-09 08:41:11</t>
  </si>
  <si>
    <t>27768583206</t>
  </si>
  <si>
    <t>13561858</t>
  </si>
  <si>
    <t>d6493fc0-13b3-4f2f-a160-d95c343a608d</t>
  </si>
  <si>
    <t>2026-03-09 08:40:59</t>
  </si>
  <si>
    <t>27606698459</t>
  </si>
  <si>
    <t>13556888</t>
  </si>
  <si>
    <t>cc0fa430-6a22-465c-9474-5096f79ef9ed</t>
  </si>
  <si>
    <t>2026-03-09 08:40:42</t>
  </si>
  <si>
    <t>27728317197</t>
  </si>
  <si>
    <t>13562182</t>
  </si>
  <si>
    <t>6dc958c5-83b6-42ca-a663-2e8b3c7edbb5</t>
  </si>
  <si>
    <t>2026-03-09 08:39:49</t>
  </si>
  <si>
    <t>27664570348</t>
  </si>
  <si>
    <t>13564731</t>
  </si>
  <si>
    <t>cddbc720-b995-40dd-bbdf-699d02121bc4</t>
  </si>
  <si>
    <t>2026-03-09 08:39:21</t>
  </si>
  <si>
    <t>27606508716</t>
  </si>
  <si>
    <t>13556107</t>
  </si>
  <si>
    <t>8de6825d-cfde-4a14-88d1-72071d32c088</t>
  </si>
  <si>
    <t>2026-03-09 08:39:18</t>
  </si>
  <si>
    <t>27720774119</t>
  </si>
  <si>
    <t>13558771</t>
  </si>
  <si>
    <t>b187e729-5683-4108-b922-9a87f2573700</t>
  </si>
  <si>
    <t>2026-03-09 08:38:53</t>
  </si>
  <si>
    <t>27798018642</t>
  </si>
  <si>
    <t>13563837</t>
  </si>
  <si>
    <t>36b8a7a9-49bf-4d3c-96aa-2251a02d70b9</t>
  </si>
  <si>
    <t>27790215054</t>
  </si>
  <si>
    <t>13563961</t>
  </si>
  <si>
    <t>434c921e-84ad-47d7-ac89-841e9df49422</t>
  </si>
  <si>
    <t>27774612196</t>
  </si>
  <si>
    <t>13556045</t>
  </si>
  <si>
    <t>0e222e98-9c7c-48c1-afca-18b9f7de0e9e</t>
  </si>
  <si>
    <t>2026-03-09 08:37:31</t>
  </si>
  <si>
    <t>27720194114</t>
  </si>
  <si>
    <t>13557195</t>
  </si>
  <si>
    <t>d2a06291-0ab6-4a3b-9e1d-e4bf61f04562</t>
  </si>
  <si>
    <t>2026-03-09 08:37:05</t>
  </si>
  <si>
    <t>27761139793</t>
  </si>
  <si>
    <t>13564096</t>
  </si>
  <si>
    <t>37f40701-a13c-479b-ad85-56a1382239d3</t>
  </si>
  <si>
    <t>2026-03-09 08:35:57</t>
  </si>
  <si>
    <t>27774896040</t>
  </si>
  <si>
    <t>13564445</t>
  </si>
  <si>
    <t>8d7f9c94-3d06-40c9-9fc9-f4998f909cbd</t>
  </si>
  <si>
    <t>2026-03-09 08:35:49</t>
  </si>
  <si>
    <t>27647037410</t>
  </si>
  <si>
    <t>13564511</t>
  </si>
  <si>
    <t>64318223-0eea-441d-b5de-726051f75ef3</t>
  </si>
  <si>
    <t>27761308244</t>
  </si>
  <si>
    <t>13560233</t>
  </si>
  <si>
    <t>9d61cc18-0802-4f9b-b99f-9f1b1c1df6d7</t>
  </si>
  <si>
    <t>2026-03-09 08:35:29</t>
  </si>
  <si>
    <t>27649407400</t>
  </si>
  <si>
    <t>13564926</t>
  </si>
  <si>
    <t>65965206-1126-429b-abf6-eb011fb46fed</t>
  </si>
  <si>
    <t>2026-03-09 08:34:49</t>
  </si>
  <si>
    <t>27612449502</t>
  </si>
  <si>
    <t>13555885</t>
  </si>
  <si>
    <t>ca766e51-4b07-439a-a941-a0c373486e3b</t>
  </si>
  <si>
    <t>2026-03-09 08:34:47</t>
  </si>
  <si>
    <t>27715220711</t>
  </si>
  <si>
    <t>13564269</t>
  </si>
  <si>
    <t>0da12289-b48e-4f6f-8e87-6da103b96354</t>
  </si>
  <si>
    <t>27769179356</t>
  </si>
  <si>
    <t>13563662</t>
  </si>
  <si>
    <t>95a0bd00-35cd-4f02-b9f2-680acf4a0e22</t>
  </si>
  <si>
    <t>2026-03-09 08:34:25</t>
  </si>
  <si>
    <t>27637860285</t>
  </si>
  <si>
    <t>13560138</t>
  </si>
  <si>
    <t>de1f7dbd-82af-4dc2-8d4e-72cf2f7e17d3</t>
  </si>
  <si>
    <t>2026-03-09 08:34:19</t>
  </si>
  <si>
    <t>27606013909</t>
  </si>
  <si>
    <t>13562550</t>
  </si>
  <si>
    <t>bb49bcb4-6d10-46d0-aaa5-5e063bcda811</t>
  </si>
  <si>
    <t>27649579423</t>
  </si>
  <si>
    <t>13559291</t>
  </si>
  <si>
    <t>a461112e-f462-4ad5-a73a-4f99bfd6e87a</t>
  </si>
  <si>
    <t>2026-03-09 08:34:17</t>
  </si>
  <si>
    <t>27825131602</t>
  </si>
  <si>
    <t>13557408</t>
  </si>
  <si>
    <t>c738f489-8f32-449d-8ff7-8509fd7eaaf2</t>
  </si>
  <si>
    <t>2026-03-09 08:33:50</t>
  </si>
  <si>
    <t>27763283620</t>
  </si>
  <si>
    <t>13556703</t>
  </si>
  <si>
    <t>ea9f7b2a-ca30-451a-8da1-2be9d5880eec</t>
  </si>
  <si>
    <t>2026-03-09 08:32:44</t>
  </si>
  <si>
    <t>27726680258</t>
  </si>
  <si>
    <t>13555719</t>
  </si>
  <si>
    <t>e2280e47-e3c3-45d6-b111-39696900e30b</t>
  </si>
  <si>
    <t>2026-03-09 08:31:52</t>
  </si>
  <si>
    <t>27713171780</t>
  </si>
  <si>
    <t>13562826</t>
  </si>
  <si>
    <t>54b31b0d-12ff-4df3-8357-edf7de7176e1</t>
  </si>
  <si>
    <t>2026-03-09 08:31:04</t>
  </si>
  <si>
    <t>27715477949</t>
  </si>
  <si>
    <t>13560149</t>
  </si>
  <si>
    <t>c46978b0-af98-4afb-898d-f1322481673e</t>
  </si>
  <si>
    <t>2026-03-09 08:30:57</t>
  </si>
  <si>
    <t>27606111191</t>
  </si>
  <si>
    <t>13556906</t>
  </si>
  <si>
    <t>0f68d0d4-f44e-4c53-af1a-6278a96e345d</t>
  </si>
  <si>
    <t>2026-03-09 08:30:55</t>
  </si>
  <si>
    <t>27728517724</t>
  </si>
  <si>
    <t>13556890</t>
  </si>
  <si>
    <t>7960a8a5-bfae-4a07-a7b6-9053d79513ac</t>
  </si>
  <si>
    <t>2026-03-09 08:30:54</t>
  </si>
  <si>
    <t>27728326464</t>
  </si>
  <si>
    <t>13555656</t>
  </si>
  <si>
    <t>f13f12aa-bf3a-4a9b-83c0-32a5d191a8cb</t>
  </si>
  <si>
    <t>2026-03-09 08:29:45</t>
  </si>
  <si>
    <t>27712605892</t>
  </si>
  <si>
    <t>13555370</t>
  </si>
  <si>
    <t>0d6a5656-c3e8-4cb6-9ebf-575bb9c797c2</t>
  </si>
  <si>
    <t>2026-03-09 08:29:13</t>
  </si>
  <si>
    <t>27664118124</t>
  </si>
  <si>
    <t>13556230</t>
  </si>
  <si>
    <t>f7efa70e-baef-4fed-85e5-b680257b20cf</t>
  </si>
  <si>
    <t>2026-03-09 08:28:51</t>
  </si>
  <si>
    <t>27721820479</t>
  </si>
  <si>
    <t>13559143</t>
  </si>
  <si>
    <t>5561bcf6-bb20-43d9-899f-7b6e01b2dd13</t>
  </si>
  <si>
    <t>2026-03-09 08:24:00</t>
  </si>
  <si>
    <t>27823514799</t>
  </si>
  <si>
    <t>13563650</t>
  </si>
  <si>
    <t>fdd67159-c5e5-455c-9f3a-464e9d050924</t>
  </si>
  <si>
    <t>2026-03-09 08:23:29</t>
  </si>
  <si>
    <t>27663952787</t>
  </si>
  <si>
    <t>13562961</t>
  </si>
  <si>
    <t>b449186f-27b3-43c0-80ed-9c3ab3157cba</t>
  </si>
  <si>
    <t>2026-03-09 08:22:44</t>
  </si>
  <si>
    <t>27780340075</t>
  </si>
  <si>
    <t>13555544</t>
  </si>
  <si>
    <t>9199b05e-5d5a-4c27-a5f1-b460d828a721</t>
  </si>
  <si>
    <t>2026-03-09 08:20:53</t>
  </si>
  <si>
    <t>27711342577</t>
  </si>
  <si>
    <t>13558627</t>
  </si>
  <si>
    <t>32d680e4-923a-4156-9c6d-1079efa858a7</t>
  </si>
  <si>
    <t>2026-03-09 08:17:39</t>
  </si>
  <si>
    <t>27796266247</t>
  </si>
  <si>
    <t>13558117</t>
  </si>
  <si>
    <t>a772f916-2613-4348-980a-94a881a44152</t>
  </si>
  <si>
    <t>2026-03-09 08:16:00</t>
  </si>
  <si>
    <t>27790271704</t>
  </si>
  <si>
    <t>13557875</t>
  </si>
  <si>
    <t>388bdf0e-c056-425d-a1fc-41ba9deffb7e</t>
  </si>
  <si>
    <t>2026-03-09 07:56:59</t>
  </si>
  <si>
    <t>27768218609</t>
  </si>
  <si>
    <t>13559768</t>
  </si>
  <si>
    <t>92f0c4dd-276a-4dad-b022-733be2eda65c</t>
  </si>
  <si>
    <t>2026-03-09 07:50:55</t>
  </si>
  <si>
    <t>27649761090</t>
  </si>
  <si>
    <t>13562542</t>
  </si>
  <si>
    <t>c66b53e9-36aa-4d01-9512-e2713926df87</t>
  </si>
  <si>
    <t>2026-03-09 07:45:32</t>
  </si>
  <si>
    <t>27766945333</t>
  </si>
  <si>
    <t>13554947</t>
  </si>
  <si>
    <t>35975907-831d-4d9a-95aa-dda22b4b0d69</t>
  </si>
  <si>
    <t>2026-03-09 07:39:50</t>
  </si>
  <si>
    <t>27636172920</t>
  </si>
  <si>
    <t>13558047</t>
  </si>
  <si>
    <t>61e02c2f-8a53-439d-bc78-12d19ca75b9c</t>
  </si>
  <si>
    <t>2026-03-09 07:33:31</t>
  </si>
  <si>
    <t>27773840298</t>
  </si>
  <si>
    <t>13564111</t>
  </si>
  <si>
    <t>2668d9b3-7abf-49d6-b63f-39dd911cd3fc</t>
  </si>
  <si>
    <t>2026-03-09 07:19:42</t>
  </si>
  <si>
    <t>27665350243</t>
  </si>
  <si>
    <t>13555506</t>
  </si>
  <si>
    <t>edf2f918-619e-4216-921e-831fbbcd4ff0</t>
  </si>
  <si>
    <t>2026-03-09 07:15:43</t>
  </si>
  <si>
    <t>27675725978</t>
  </si>
  <si>
    <t>13562306</t>
  </si>
  <si>
    <t>764ebe63-8422-4f7f-85e8-df9c8bb7f75a</t>
  </si>
  <si>
    <t>2026-03-09 07:15:38</t>
  </si>
  <si>
    <t>27818644259</t>
  </si>
  <si>
    <t>13559001</t>
  </si>
  <si>
    <t>cee921e8-d548-4a7c-9eb8-5d701dd27800</t>
  </si>
  <si>
    <t>2026-03-09 07:15:01</t>
  </si>
  <si>
    <t>27820440646</t>
  </si>
  <si>
    <t>13561072</t>
  </si>
  <si>
    <t>745b3035-5cff-4296-9cb8-c0f8a3498405</t>
  </si>
  <si>
    <t>2026-03-09 07:08:08</t>
  </si>
  <si>
    <t>27762745025</t>
  </si>
  <si>
    <t>13560564</t>
  </si>
  <si>
    <t>7a882367-aef3-4759-8e4c-a3d1713c5700</t>
  </si>
  <si>
    <t>2026-03-09 07:06:01</t>
  </si>
  <si>
    <t>27729272193</t>
  </si>
  <si>
    <t>13563443</t>
  </si>
  <si>
    <t>6c2d6a8d-2d5e-496d-9d24-1873830c1982</t>
  </si>
  <si>
    <t>2026-03-09 07:04:50</t>
  </si>
  <si>
    <t>27711717445</t>
  </si>
  <si>
    <t>13560810</t>
  </si>
  <si>
    <t>501a659f-d26b-412f-8383-b50b0fa91cf3</t>
  </si>
  <si>
    <t>2026-03-09 07:03:28</t>
  </si>
  <si>
    <t>27714925384</t>
  </si>
  <si>
    <t>13564849</t>
  </si>
  <si>
    <t>a3620e7d-dcca-4f0b-aece-4c710655e623</t>
  </si>
  <si>
    <t>2026-03-09 07:00:09</t>
  </si>
  <si>
    <t>27608449428</t>
  </si>
  <si>
    <t>13561572</t>
  </si>
  <si>
    <t>3fafb6d1-d00f-4419-9a29-cf4a5efb344b</t>
  </si>
  <si>
    <t>2026-03-09 06:57:51</t>
  </si>
  <si>
    <t>27761683055</t>
  </si>
  <si>
    <t>13555856</t>
  </si>
  <si>
    <t>e3e7d05a-5d0e-4106-ac92-9c2978480b1a</t>
  </si>
  <si>
    <t>2026-03-09 06:57:28</t>
  </si>
  <si>
    <t>27714942372</t>
  </si>
  <si>
    <t>13559899</t>
  </si>
  <si>
    <t>28fa290b-6676-4e24-b566-25914149c19f</t>
  </si>
  <si>
    <t>2026-03-09 06:56:23</t>
  </si>
  <si>
    <t>27649416082</t>
  </si>
  <si>
    <t>13560658</t>
  </si>
  <si>
    <t>a1c6f081-d8d5-44e2-aeb2-d4cc2252fe52</t>
  </si>
  <si>
    <t>2026-03-09 06:56:22</t>
  </si>
  <si>
    <t>27714157001</t>
  </si>
  <si>
    <t>13556779</t>
  </si>
  <si>
    <t>ddeadd43-dcd0-4abb-80c0-ad75ad343ad3</t>
  </si>
  <si>
    <t>2026-03-09 06:56:06</t>
  </si>
  <si>
    <t>27727397680</t>
  </si>
  <si>
    <t>13561873</t>
  </si>
  <si>
    <t>fe0b1ca0-ea48-40f8-85f8-313ba8d86f32</t>
  </si>
  <si>
    <t>2026-03-09 06:56:03</t>
  </si>
  <si>
    <t>27818654965</t>
  </si>
  <si>
    <t>13563838</t>
  </si>
  <si>
    <t>9607e373-060c-41fd-8492-8a0ef2656e93</t>
  </si>
  <si>
    <t>2026-03-09 06:55:58</t>
  </si>
  <si>
    <t>27790365182</t>
  </si>
  <si>
    <t>13563336</t>
  </si>
  <si>
    <t>2796835e-396e-4b60-ba07-cf76730188dc</t>
  </si>
  <si>
    <t>2026-03-09 06:55:51</t>
  </si>
  <si>
    <t>27660271979</t>
  </si>
  <si>
    <t>13556077</t>
  </si>
  <si>
    <t>5ef7ab4b-5124-45e2-8168-1841465da83a</t>
  </si>
  <si>
    <t>2026-03-09 06:55:44</t>
  </si>
  <si>
    <t>27720559531</t>
  </si>
  <si>
    <t>13555721</t>
  </si>
  <si>
    <t>19cb1573-5fdb-4cba-95b9-9ec351d9c9be</t>
  </si>
  <si>
    <t>2026-03-09 06:55:11</t>
  </si>
  <si>
    <t>27713192483</t>
  </si>
  <si>
    <t>13558475</t>
  </si>
  <si>
    <t>7b8c4639-473a-4667-9bd9-55615249381d</t>
  </si>
  <si>
    <t>27794412055</t>
  </si>
  <si>
    <t>13561402</t>
  </si>
  <si>
    <t>a8c57da9-2c74-4197-a42b-047aa5d73a5d</t>
  </si>
  <si>
    <t>CCN</t>
  </si>
  <si>
    <t>Company Cellphone Number</t>
  </si>
  <si>
    <t>27713961723</t>
  </si>
  <si>
    <t>13561653</t>
  </si>
  <si>
    <t>6a3eef32-e1c1-4432-a548-0e6b27ad2ab8</t>
  </si>
  <si>
    <t>2026-03-09 06:55:03</t>
  </si>
  <si>
    <t>27711376233</t>
  </si>
  <si>
    <t>13561682</t>
  </si>
  <si>
    <t>8c4aaf97-6784-431d-b959-ba98288e28ae</t>
  </si>
  <si>
    <t>2026-03-09 06:54:58</t>
  </si>
  <si>
    <t>27722510126</t>
  </si>
  <si>
    <t>13559035</t>
  </si>
  <si>
    <t>6de9fe58-4b80-42df-805c-5edb687dcd9c</t>
  </si>
  <si>
    <t>2026-03-09 06:54:23</t>
  </si>
  <si>
    <t>27820808514</t>
  </si>
  <si>
    <t>13556163</t>
  </si>
  <si>
    <t>c6c92733-5826-4bc9-8c5d-ed223fc996e4</t>
  </si>
  <si>
    <t>2026-03-09 06:54:11</t>
  </si>
  <si>
    <t>Susan Sinugo</t>
  </si>
  <si>
    <t>27721179103</t>
  </si>
  <si>
    <t>13558560</t>
  </si>
  <si>
    <t>4092ef95-b259-4f13-9926-4ce68a5dfe0e</t>
  </si>
  <si>
    <t>2026-03-09 06:54:00</t>
  </si>
  <si>
    <t>27795510450</t>
  </si>
  <si>
    <t>13557798</t>
  </si>
  <si>
    <t>0f2be46b-e464-4210-a387-35fd16095f6b</t>
  </si>
  <si>
    <t>2026-03-09 06:53:48</t>
  </si>
  <si>
    <t>27767493179</t>
  </si>
  <si>
    <t>13557230</t>
  </si>
  <si>
    <t>23702ad6-f8d2-446d-aecd-5bf9e6e99a24</t>
  </si>
  <si>
    <t>2026-03-09 06:53:10</t>
  </si>
  <si>
    <t>27761536703</t>
  </si>
  <si>
    <t>13556144</t>
  </si>
  <si>
    <t>7aba2bf8-1af0-48c5-95f5-ab1d9942d7db</t>
  </si>
  <si>
    <t>2026-03-09 06:52:59</t>
  </si>
  <si>
    <t>27721042840</t>
  </si>
  <si>
    <t>13555412</t>
  </si>
  <si>
    <t>dfc6b681-c9d4-498d-98d6-620e03e58382</t>
  </si>
  <si>
    <t>2026-03-09 06:51:51</t>
  </si>
  <si>
    <t>27664966577</t>
  </si>
  <si>
    <t>13562004</t>
  </si>
  <si>
    <t>f02c22bf-10e5-456d-af27-792461949864</t>
  </si>
  <si>
    <t>2026-03-09 06:51:38</t>
  </si>
  <si>
    <t>27665364231</t>
  </si>
  <si>
    <t>13563209</t>
  </si>
  <si>
    <t>18602adf-639d-425d-b8c7-0847149ffb9b</t>
  </si>
  <si>
    <t>2026-03-09 06:51:19</t>
  </si>
  <si>
    <t>27791197143</t>
  </si>
  <si>
    <t>13561070</t>
  </si>
  <si>
    <t>c6d0b58f-dce0-41d3-bb8b-7bf048fdec06</t>
  </si>
  <si>
    <t>2026-03-09 06:50:21</t>
  </si>
  <si>
    <t>27723258036</t>
  </si>
  <si>
    <t>13560997</t>
  </si>
  <si>
    <t>5e963667-3869-40fa-b2cc-ab1af7c699b5</t>
  </si>
  <si>
    <t>2026-03-09 06:50:17</t>
  </si>
  <si>
    <t>27760662674</t>
  </si>
  <si>
    <t>13560740</t>
  </si>
  <si>
    <t>8c087dcb-29e0-4376-b5e5-431826b33326</t>
  </si>
  <si>
    <t>2026-03-09 06:50:12</t>
  </si>
  <si>
    <t>27607489077</t>
  </si>
  <si>
    <t>13560750</t>
  </si>
  <si>
    <t>dfb588ab-34e9-4ba6-93ff-d852ca7f73bf</t>
  </si>
  <si>
    <t>27663161506</t>
  </si>
  <si>
    <t>13560497</t>
  </si>
  <si>
    <t>fce206e0-0788-490e-9d60-842ec2ebda1e</t>
  </si>
  <si>
    <t>2026-03-09 06:49:57</t>
  </si>
  <si>
    <t>27769503092</t>
  </si>
  <si>
    <t>13561284</t>
  </si>
  <si>
    <t>6a31aa96-449e-40f6-b2d7-f245dc7d91a2</t>
  </si>
  <si>
    <t>2026-03-09 06:49:56</t>
  </si>
  <si>
    <t>27606472040</t>
  </si>
  <si>
    <t>13559941</t>
  </si>
  <si>
    <t>4ad37579-c0a4-46b0-9c0d-cff8cef7cc25</t>
  </si>
  <si>
    <t>2026-03-09 06:49:51</t>
  </si>
  <si>
    <t>27724222910</t>
  </si>
  <si>
    <t>13559902</t>
  </si>
  <si>
    <t>ff5e0b7f-ad4c-475f-9c1e-1b19a32bc158</t>
  </si>
  <si>
    <t>2026-03-09 06:49:49</t>
  </si>
  <si>
    <t>27826376242</t>
  </si>
  <si>
    <t>13563612</t>
  </si>
  <si>
    <t>1306be49-afdf-44ba-b65d-3b1e26369e8e</t>
  </si>
  <si>
    <t>2026-03-09 06:48:27</t>
  </si>
  <si>
    <t>27773929669</t>
  </si>
  <si>
    <t>13564637</t>
  </si>
  <si>
    <t>1255ee3d-94a8-4b1e-b651-c23b6cc2e06e</t>
  </si>
  <si>
    <t>2026-03-09 06:48:09</t>
  </si>
  <si>
    <t>27781774434</t>
  </si>
  <si>
    <t>13564788</t>
  </si>
  <si>
    <t>4a3aee9f-2e62-41fc-b2ec-7228fb5d334b</t>
  </si>
  <si>
    <t>2026-03-09 06:48:01</t>
  </si>
  <si>
    <t>27607457558</t>
  </si>
  <si>
    <t>13564832</t>
  </si>
  <si>
    <t>2f91ea55-db28-46a8-a0d7-6c555706d9d7</t>
  </si>
  <si>
    <t>2026-03-09 06:47:59</t>
  </si>
  <si>
    <t>27608141270</t>
  </si>
  <si>
    <t>13555515</t>
  </si>
  <si>
    <t>d705980c-da42-4941-9b73-ffd22fe5c77f</t>
  </si>
  <si>
    <t>2026-03-09 06:47:38</t>
  </si>
  <si>
    <t>27711007129</t>
  </si>
  <si>
    <t>13559322</t>
  </si>
  <si>
    <t>70ee4043-8e83-47c1-9ab3-0858b0364d51</t>
  </si>
  <si>
    <t>2026-03-09 06:46:33</t>
  </si>
  <si>
    <t>27825424987</t>
  </si>
  <si>
    <t>13560057</t>
  </si>
  <si>
    <t>c03557c4-71aa-4845-9438-f21173a829db</t>
  </si>
  <si>
    <t>2026-03-09 06:46:31</t>
  </si>
  <si>
    <t>27727690488</t>
  </si>
  <si>
    <t>13559849</t>
  </si>
  <si>
    <t>cd311b7d-5c5c-4c81-af79-3382cc223de3</t>
  </si>
  <si>
    <t>2026-03-09 06:46:27</t>
  </si>
  <si>
    <t>27824339624</t>
  </si>
  <si>
    <t>13555393</t>
  </si>
  <si>
    <t>94d309cc-95d9-49a2-b97f-758fcd024431</t>
  </si>
  <si>
    <t>2026-03-09 06:46:05</t>
  </si>
  <si>
    <t>27664578352</t>
  </si>
  <si>
    <t>13556342</t>
  </si>
  <si>
    <t>25949b39-7f38-4d93-9424-045a626d8649</t>
  </si>
  <si>
    <t>2026-03-09 06:45:54</t>
  </si>
  <si>
    <t>27722905406</t>
  </si>
  <si>
    <t>13559824</t>
  </si>
  <si>
    <t>016f49a5-ca59-4983-bb43-8a6890fe33c5</t>
  </si>
  <si>
    <t>2026-03-09 06:44:59</t>
  </si>
  <si>
    <t>27764885628</t>
  </si>
  <si>
    <t>13554938</t>
  </si>
  <si>
    <t>8861e7ee-6fd1-42be-ba3f-b3b47cde8413</t>
  </si>
  <si>
    <t>2026-03-09 06:44:48</t>
  </si>
  <si>
    <t>27636049716</t>
  </si>
  <si>
    <t>13555235</t>
  </si>
  <si>
    <t>8849550e-4153-433c-835e-5c8aecd14a9f</t>
  </si>
  <si>
    <t>2026-03-09 06:44:47</t>
  </si>
  <si>
    <t>27660416670</t>
  </si>
  <si>
    <t>13560632</t>
  </si>
  <si>
    <t>46795a35-c9de-4275-ac39-cc958d04e299</t>
  </si>
  <si>
    <t>2026-03-09 06:44:09</t>
  </si>
  <si>
    <t>27649367478</t>
  </si>
  <si>
    <t>13560645</t>
  </si>
  <si>
    <t>283a99bd-b7d7-4921-8c51-8473b159ec93</t>
  </si>
  <si>
    <t>2026-03-09 06:44:08</t>
  </si>
  <si>
    <t>27765581698</t>
  </si>
  <si>
    <t>13562500</t>
  </si>
  <si>
    <t>da2804f8-fe90-40d7-89c0-2a33c0a28554</t>
  </si>
  <si>
    <t>2026-03-09 06:43:40</t>
  </si>
  <si>
    <t>27673627049</t>
  </si>
  <si>
    <t>13562656</t>
  </si>
  <si>
    <t>7190e41f-8c56-4ab7-8fb3-c052d12e794a</t>
  </si>
  <si>
    <t>2026-03-09 06:43:34</t>
  </si>
  <si>
    <t>27675422854</t>
  </si>
  <si>
    <t>13559450</t>
  </si>
  <si>
    <t>9b7908ae-9287-46e0-a147-28fcea7ed7d7</t>
  </si>
  <si>
    <t>2026-03-09 06:43:27</t>
  </si>
  <si>
    <t>27827034534</t>
  </si>
  <si>
    <t>13558459</t>
  </si>
  <si>
    <t>d009a2f5-48b2-4bdc-8423-d4340c8958e0</t>
  </si>
  <si>
    <t>2026-03-09 06:43:24</t>
  </si>
  <si>
    <t>27794245722</t>
  </si>
  <si>
    <t>13559629</t>
  </si>
  <si>
    <t>b0c9b0aa-7290-4efa-a60a-98194a0e1108</t>
  </si>
  <si>
    <t>2026-03-09 06:42:56</t>
  </si>
  <si>
    <t>27829751626</t>
  </si>
  <si>
    <t>13559479</t>
  </si>
  <si>
    <t>a6135fff-d561-46f1-955f-8a4d83381779</t>
  </si>
  <si>
    <t>2026-03-09 06:42:50</t>
  </si>
  <si>
    <t>27827381775</t>
  </si>
  <si>
    <t>13560767</t>
  </si>
  <si>
    <t>93ca8afd-ceef-4ff3-95dc-4202e5f35f6d</t>
  </si>
  <si>
    <t>2026-03-09 06:42:25</t>
  </si>
  <si>
    <t>27663292672</t>
  </si>
  <si>
    <t>13560102</t>
  </si>
  <si>
    <t>ffccb498-a20e-4cf7-83dc-12da60a1ef0f</t>
  </si>
  <si>
    <t>2026-03-09 06:42:22</t>
  </si>
  <si>
    <t>27768843191</t>
  </si>
  <si>
    <t>13560800</t>
  </si>
  <si>
    <t>36399c32-85ad-4aa5-bac6-da3a2fd3745e</t>
  </si>
  <si>
    <t>2026-03-09 06:42:18</t>
  </si>
  <si>
    <t>27790277547</t>
  </si>
  <si>
    <t>13560820</t>
  </si>
  <si>
    <t>eeb84f65-e921-49d3-8ea0-4ae61026b190</t>
  </si>
  <si>
    <t>2026-03-09 06:42:15</t>
  </si>
  <si>
    <t>27794455090</t>
  </si>
  <si>
    <t>13560933</t>
  </si>
  <si>
    <t>29760b72-f3cf-4278-afbb-005edc80ed10</t>
  </si>
  <si>
    <t>2026-03-09 06:42:03</t>
  </si>
  <si>
    <t>27763756359</t>
  </si>
  <si>
    <t>13560016</t>
  </si>
  <si>
    <t>a63f5b17-1393-4759-8b7c-b306bc0132e5</t>
  </si>
  <si>
    <t>2026-03-09 06:41:59</t>
  </si>
  <si>
    <t>27637030736</t>
  </si>
  <si>
    <t>13559191</t>
  </si>
  <si>
    <t>24936c79-b1ef-48fd-a0f6-a43091137c9e</t>
  </si>
  <si>
    <t>2026-03-09 06:40:46</t>
  </si>
  <si>
    <t>27824020309</t>
  </si>
  <si>
    <t>13561744</t>
  </si>
  <si>
    <t>a9cda679-25cf-4039-b1d8-0949d26a6095</t>
  </si>
  <si>
    <t>2026-03-09 06:40:45</t>
  </si>
  <si>
    <t>27761347762</t>
  </si>
  <si>
    <t>13559169</t>
  </si>
  <si>
    <t>651ad61b-3e30-441e-a27b-1e4cc48e486a</t>
  </si>
  <si>
    <t>2026-03-09 06:39:52</t>
  </si>
  <si>
    <t>27823806292</t>
  </si>
  <si>
    <t>13561880</t>
  </si>
  <si>
    <t>79adea82-9815-491a-8b29-5e1e89c7a346</t>
  </si>
  <si>
    <t>2026-03-09 06:39:10</t>
  </si>
  <si>
    <t>27660256036</t>
  </si>
  <si>
    <t>13562286</t>
  </si>
  <si>
    <t>3f99d20e-d625-4e67-bdf4-1ac59e3d27b0</t>
  </si>
  <si>
    <t>2026-03-09 06:39:09</t>
  </si>
  <si>
    <t>27761220965</t>
  </si>
  <si>
    <t>13562605</t>
  </si>
  <si>
    <t>2333bdcb-658a-4184-b9cc-895eacce3ee7</t>
  </si>
  <si>
    <t>2026-03-09 06:38:52</t>
  </si>
  <si>
    <t>27607210853</t>
  </si>
  <si>
    <t>13558874</t>
  </si>
  <si>
    <t>63213221-d8d1-472b-9e6b-e99e81086031</t>
  </si>
  <si>
    <t>2026-03-09 06:38:50</t>
  </si>
  <si>
    <t>27799524352</t>
  </si>
  <si>
    <t>13562168</t>
  </si>
  <si>
    <t>669c6ec2-df33-4d76-894a-a2d32452cae8</t>
  </si>
  <si>
    <t>2026-03-09 06:38:23</t>
  </si>
  <si>
    <t>27761007645</t>
  </si>
  <si>
    <t>13563551</t>
  </si>
  <si>
    <t>142515bd-2d76-4f31-aaad-6082672b9d5c</t>
  </si>
  <si>
    <t>2026-03-09 06:38:17</t>
  </si>
  <si>
    <t>27664615525</t>
  </si>
  <si>
    <t>13562060</t>
  </si>
  <si>
    <t>4f8c52d2-e406-47c1-a2b4-725fbe9a892b</t>
  </si>
  <si>
    <t>2026-03-09 06:38:12</t>
  </si>
  <si>
    <t>27675393107</t>
  </si>
  <si>
    <t>13562079</t>
  </si>
  <si>
    <t>f26084fe-7003-41d4-8d65-12dd171fb962</t>
  </si>
  <si>
    <t>2026-03-09 06:38:08</t>
  </si>
  <si>
    <t>27769516515</t>
  </si>
  <si>
    <t>13562114</t>
  </si>
  <si>
    <t>ce41eb3a-45b9-4b19-93cc-f72e8ff2e761</t>
  </si>
  <si>
    <t>2026-03-09 06:38:03</t>
  </si>
  <si>
    <t>27724286610</t>
  </si>
  <si>
    <t>13555456</t>
  </si>
  <si>
    <t>8afaa768-dda1-4b5a-8bc5-9abdb9d61f34</t>
  </si>
  <si>
    <t>2026-03-09 06:37:58</t>
  </si>
  <si>
    <t>27673224980</t>
  </si>
  <si>
    <t>13558842</t>
  </si>
  <si>
    <t>cfaf1262-a34f-4847-b038-6789f518e0e3</t>
  </si>
  <si>
    <t>27799165134</t>
  </si>
  <si>
    <t>13558852</t>
  </si>
  <si>
    <t>75cfcac9-ec7e-4364-bc32-66cd9fbbdfa8</t>
  </si>
  <si>
    <t>2026-03-09 06:37:57</t>
  </si>
  <si>
    <t>27799288857</t>
  </si>
  <si>
    <t>13557872</t>
  </si>
  <si>
    <t>e5d99b0a-496c-46b6-8332-2748fd214451</t>
  </si>
  <si>
    <t>2026-03-09 06:36:56</t>
  </si>
  <si>
    <t>27768191901</t>
  </si>
  <si>
    <t>13556830</t>
  </si>
  <si>
    <t>7497c7f4-7b67-484d-8a22-2105dc9f2193</t>
  </si>
  <si>
    <t>2026-03-09 06:36:47</t>
  </si>
  <si>
    <t>27727874736</t>
  </si>
  <si>
    <t>13558989</t>
  </si>
  <si>
    <t>336522ce-efbb-42c1-9d28-8cbb4afd289b</t>
  </si>
  <si>
    <t>2026-03-09 06:36:30</t>
  </si>
  <si>
    <t>27818855096</t>
  </si>
  <si>
    <t>13564556</t>
  </si>
  <si>
    <t>07543320-93ea-4b5c-b8d5-7d83f38e94ba</t>
  </si>
  <si>
    <t>2026-03-09 06:36:29</t>
  </si>
  <si>
    <t>27675887629</t>
  </si>
  <si>
    <t>13556098</t>
  </si>
  <si>
    <t>0e34f307-e1f3-4da8-ad2b-1655fb56d4dc</t>
  </si>
  <si>
    <t>2026-03-09 06:35:39</t>
  </si>
  <si>
    <t>27720699206</t>
  </si>
  <si>
    <t>13562574</t>
  </si>
  <si>
    <t>9c256926-471d-4a9d-9802-f5e6d1bf26ff</t>
  </si>
  <si>
    <t>2026-03-09 06:35:17</t>
  </si>
  <si>
    <t>27763133771</t>
  </si>
  <si>
    <t>13560966</t>
  </si>
  <si>
    <t>271e70ff-cf2d-4812-be33-49867e701634</t>
  </si>
  <si>
    <t>2026-03-09 06:35:12</t>
  </si>
  <si>
    <t>27673652332</t>
  </si>
  <si>
    <t>13562584</t>
  </si>
  <si>
    <t>802fa208-4edf-4878-b6f6-12960d0337f6</t>
  </si>
  <si>
    <t>2026-03-09 06:35:08</t>
  </si>
  <si>
    <t>27791643911</t>
  </si>
  <si>
    <t>13563820</t>
  </si>
  <si>
    <t>884b4679-1b15-4b31-a053-f49b9ed9c2f8</t>
  </si>
  <si>
    <t>2026-03-09 06:34:26</t>
  </si>
  <si>
    <t>27721586086</t>
  </si>
  <si>
    <t>13564193</t>
  </si>
  <si>
    <t>626d0d34-be31-4422-9286-ec8cc50f2f87</t>
  </si>
  <si>
    <t>2026-03-09 06:34:15</t>
  </si>
  <si>
    <t>27649260157</t>
  </si>
  <si>
    <t>13564223</t>
  </si>
  <si>
    <t>891be0b0-70c3-4c90-9185-8715a457256b</t>
  </si>
  <si>
    <t>2026-03-09 06:34:12</t>
  </si>
  <si>
    <t>27711619981</t>
  </si>
  <si>
    <t>13564400</t>
  </si>
  <si>
    <t>df1a3be1-a994-44e7-8732-be18c88813fb</t>
  </si>
  <si>
    <t>2026-03-09 06:34:05</t>
  </si>
  <si>
    <t>27637386957</t>
  </si>
  <si>
    <t>13555951</t>
  </si>
  <si>
    <t>abd65509-d219-439e-b755-dd894b497457</t>
  </si>
  <si>
    <t>2026-03-09 06:33:16</t>
  </si>
  <si>
    <t>27715760139</t>
  </si>
  <si>
    <t>13564265</t>
  </si>
  <si>
    <t>eddaa938-26fd-41e2-b699-91ccd30aa6af</t>
  </si>
  <si>
    <t>2026-03-09 06:33:05</t>
  </si>
  <si>
    <t>27760540055</t>
  </si>
  <si>
    <t>13564277</t>
  </si>
  <si>
    <t>fb785fdc-e245-48f8-8901-0ed18b0145e1</t>
  </si>
  <si>
    <t>2026-03-09 06:33:04</t>
  </si>
  <si>
    <t>27774467750</t>
  </si>
  <si>
    <t>13564307</t>
  </si>
  <si>
    <t>796248b9-875b-4a51-83ca-aca11ed2bf21</t>
  </si>
  <si>
    <t>2026-03-09 06:32:58</t>
  </si>
  <si>
    <t>27664842130</t>
  </si>
  <si>
    <t>13564702</t>
  </si>
  <si>
    <t>98271cf4-32d4-44b5-843a-72d8f5189804</t>
  </si>
  <si>
    <t>2026-03-09 06:32:40</t>
  </si>
  <si>
    <t>27606097506</t>
  </si>
  <si>
    <t>13562477</t>
  </si>
  <si>
    <t>40c7d60c-5035-4a57-bf93-689a5c8359c7</t>
  </si>
  <si>
    <t>2026-03-09 06:32:38</t>
  </si>
  <si>
    <t>27791097238</t>
  </si>
  <si>
    <t>13557182</t>
  </si>
  <si>
    <t>a4a31af3-935d-4f68-9be9-9fa2ac73e1fd</t>
  </si>
  <si>
    <t>2026-03-09 06:31:41</t>
  </si>
  <si>
    <t>27761023109</t>
  </si>
  <si>
    <t>13562510</t>
  </si>
  <si>
    <t>76153d50-c968-48ca-8eb8-d6aa9e7db598</t>
  </si>
  <si>
    <t>27774029180</t>
  </si>
  <si>
    <t>13556700</t>
  </si>
  <si>
    <t>3012c7c5-07e9-46e7-9460-73fad31dbaa9</t>
  </si>
  <si>
    <t>2026-03-09 06:31:38</t>
  </si>
  <si>
    <t>27726664320</t>
  </si>
  <si>
    <t>13556687</t>
  </si>
  <si>
    <t>0a6f437f-7b24-44c9-b583-70a2150b1a3a</t>
  </si>
  <si>
    <t>2026-03-09 06:31:36</t>
  </si>
  <si>
    <t>27726548100</t>
  </si>
  <si>
    <t>13556683</t>
  </si>
  <si>
    <t>31b41e0a-6cf1-4019-a793-f40975b0bfe1</t>
  </si>
  <si>
    <t>2026-03-09 06:31:35</t>
  </si>
  <si>
    <t>27726506668</t>
  </si>
  <si>
    <t>13556619</t>
  </si>
  <si>
    <t>7e973547-6166-4e4b-b766-ba5c6fe4dcd1</t>
  </si>
  <si>
    <t>2026-03-09 06:31:23</t>
  </si>
  <si>
    <t>27725594891</t>
  </si>
  <si>
    <t>13562666</t>
  </si>
  <si>
    <t>60933b77-32a0-4673-b384-b6ea82995aca</t>
  </si>
  <si>
    <t>2026-03-09 06:31:21</t>
  </si>
  <si>
    <t>27765426720</t>
  </si>
  <si>
    <t>13562668</t>
  </si>
  <si>
    <t>be6709c4-53e9-4997-a4f5-9b648f407898</t>
  </si>
  <si>
    <t>27713445111</t>
  </si>
  <si>
    <t>13555794</t>
  </si>
  <si>
    <t>f48f6d6a-1b94-4fd9-9634-a32522a85c2e</t>
  </si>
  <si>
    <t>2026-03-09 06:31:06</t>
  </si>
  <si>
    <t>27714076262</t>
  </si>
  <si>
    <t>13559719</t>
  </si>
  <si>
    <t>91a8317c-08b8-468a-bfcf-d5437bb219fd</t>
  </si>
  <si>
    <t>2026-03-09 06:30:37</t>
  </si>
  <si>
    <t>27608721609</t>
  </si>
  <si>
    <t>13556868</t>
  </si>
  <si>
    <t>a0e98f22-73dd-43c3-9925-feb5b4ee03da</t>
  </si>
  <si>
    <t>2026-03-09 06:30:27</t>
  </si>
  <si>
    <t>27728187949</t>
  </si>
  <si>
    <t>13562788</t>
  </si>
  <si>
    <t>70cc1da1-53e0-4963-9d3c-615412d8e866</t>
  </si>
  <si>
    <t>2026-03-09 06:30:26</t>
  </si>
  <si>
    <t>27715885428</t>
  </si>
  <si>
    <t>13557083</t>
  </si>
  <si>
    <t>064a36bf-dcd3-4175-8617-a5b03c645bfa</t>
  </si>
  <si>
    <t>2026-03-09 06:30:02</t>
  </si>
  <si>
    <t>27736187001</t>
  </si>
  <si>
    <t>13557026</t>
  </si>
  <si>
    <t>733e04cf-7171-41df-adcf-e76100f07070</t>
  </si>
  <si>
    <t>2026-03-09 06:29:58</t>
  </si>
  <si>
    <t>27729718183</t>
  </si>
  <si>
    <t>13557000</t>
  </si>
  <si>
    <t>d8268ca6-bd99-4e8c-92ef-3675ae4cecf6</t>
  </si>
  <si>
    <t>2026-03-09 06:29:54</t>
  </si>
  <si>
    <t>27729368354</t>
  </si>
  <si>
    <t>13557017</t>
  </si>
  <si>
    <t>ec31a824-a6f5-4861-9c9d-24941bde7dc5</t>
  </si>
  <si>
    <t>27729571421</t>
  </si>
  <si>
    <t>13556931</t>
  </si>
  <si>
    <t>9e8b307a-eecf-401e-9ee8-cf73e5500c14</t>
  </si>
  <si>
    <t>2026-03-09 06:29:47</t>
  </si>
  <si>
    <t>27728765467</t>
  </si>
  <si>
    <t>13562861</t>
  </si>
  <si>
    <t>97854e3c-272c-4eef-a8e2-8dd547590162</t>
  </si>
  <si>
    <t>2026-03-09 06:29:19</t>
  </si>
  <si>
    <t>27724367064</t>
  </si>
  <si>
    <t>13557132</t>
  </si>
  <si>
    <t>866f26c4-1c54-430f-8814-3f42e59ccbe0</t>
  </si>
  <si>
    <t>2026-03-09 06:29:12</t>
  </si>
  <si>
    <t>27760534325</t>
  </si>
  <si>
    <t>13557258</t>
  </si>
  <si>
    <t>31f85745-c289-4728-8cb6-774eff706bd2</t>
  </si>
  <si>
    <t>2026-03-09 06:29:09</t>
  </si>
  <si>
    <t>27761788571</t>
  </si>
  <si>
    <t>13563613</t>
  </si>
  <si>
    <t>c556cfc5-74f0-44a6-ac1a-a90de79f3d9f</t>
  </si>
  <si>
    <t>27711317634</t>
  </si>
  <si>
    <t>13560237</t>
  </si>
  <si>
    <t>8b2b3a60-f7b8-4a8a-a1be-5f0c73920bd7</t>
  </si>
  <si>
    <t>2026-03-09 06:29:02</t>
  </si>
  <si>
    <t>27767090681</t>
  </si>
  <si>
    <t>13557168</t>
  </si>
  <si>
    <t>0665bfee-422a-4586-bb7d-6cbd015733f3</t>
  </si>
  <si>
    <t>2026-03-09 06:28:53</t>
  </si>
  <si>
    <t>27760865820</t>
  </si>
  <si>
    <t>13555658</t>
  </si>
  <si>
    <t>6aa796eb-d17d-4acf-b622-0f48ce1a643e</t>
  </si>
  <si>
    <t>2026-03-09 06:28:44</t>
  </si>
  <si>
    <t>27712619838</t>
  </si>
  <si>
    <t>13555548</t>
  </si>
  <si>
    <t>facfc8b5-5c4d-44a0-b061-c922ebb2fc63</t>
  </si>
  <si>
    <t>2026-03-09 06:27:27</t>
  </si>
  <si>
    <t>27711408740</t>
  </si>
  <si>
    <t>13555520</t>
  </si>
  <si>
    <t>9029404e-4d08-4ac7-87f7-5ea3fd224f71</t>
  </si>
  <si>
    <t>2026-03-09 06:27:18</t>
  </si>
  <si>
    <t>27711086962</t>
  </si>
  <si>
    <t>13558163</t>
  </si>
  <si>
    <t>62c1d266-13c7-49b9-b7f1-e23e8f6453a6</t>
  </si>
  <si>
    <t>2026-03-09 06:26:00</t>
  </si>
  <si>
    <t>27790806289</t>
  </si>
  <si>
    <t>13558001</t>
  </si>
  <si>
    <t>7d045ab5-66de-4ea8-a564-c188c4de2de6</t>
  </si>
  <si>
    <t>2026-03-09 06:25:45</t>
  </si>
  <si>
    <t>27769541256</t>
  </si>
  <si>
    <t>13557683</t>
  </si>
  <si>
    <t>8f0e5481-bd38-4799-807b-9edc2d3e2dfb</t>
  </si>
  <si>
    <t>2026-03-09 06:25:34</t>
  </si>
  <si>
    <t>27766340403</t>
  </si>
  <si>
    <t>13557662</t>
  </si>
  <si>
    <t>9c95b9fd-dea1-4412-91a1-b6260afb06aa</t>
  </si>
  <si>
    <t>2026-03-09 06:25:31</t>
  </si>
  <si>
    <t>27766192481</t>
  </si>
  <si>
    <t>13563057</t>
  </si>
  <si>
    <t>f92a1f31-6253-4e07-8963-af0520af1120</t>
  </si>
  <si>
    <t>2026-03-09 06:25:12</t>
  </si>
  <si>
    <t>27724445958</t>
  </si>
  <si>
    <t>13558581</t>
  </si>
  <si>
    <t>a24d725d-5fbd-4ffb-a3ec-14aa6c0f7e89</t>
  </si>
  <si>
    <t>2026-03-09 06:25:11</t>
  </si>
  <si>
    <t>27795764140</t>
  </si>
  <si>
    <t>13558541</t>
  </si>
  <si>
    <t>4e481663-a64c-48d2-993d-39b7a7caaa50</t>
  </si>
  <si>
    <t>2026-03-09 06:25:03</t>
  </si>
  <si>
    <t>27795300055</t>
  </si>
  <si>
    <t>13558539</t>
  </si>
  <si>
    <t>681343e4-8e12-467c-883d-e4f6033871a1</t>
  </si>
  <si>
    <t>2026-03-09 06:25:02</t>
  </si>
  <si>
    <t>27795165234</t>
  </si>
  <si>
    <t>13559786</t>
  </si>
  <si>
    <t>93d600fd-f54a-4d85-942a-4103899811e5</t>
  </si>
  <si>
    <t>2026-03-09 06:24:45</t>
  </si>
  <si>
    <t>27761998901</t>
  </si>
  <si>
    <t>13558249</t>
  </si>
  <si>
    <t>75912e4c-0f28-4760-80b2-55b423d0a377</t>
  </si>
  <si>
    <t>2026-03-09 06:24:38</t>
  </si>
  <si>
    <t>27791779390</t>
  </si>
  <si>
    <t>13557606</t>
  </si>
  <si>
    <t>39446ef2-f4c8-4c41-9e9e-d74b2eed23f1</t>
  </si>
  <si>
    <t>2026-03-09 06:24:36</t>
  </si>
  <si>
    <t>27765593854</t>
  </si>
  <si>
    <t>13559798</t>
  </si>
  <si>
    <t>0f0b7d02-1ede-4e3d-8f1e-e71bb9296c07</t>
  </si>
  <si>
    <t>2026-03-09 06:24:23</t>
  </si>
  <si>
    <t>27662244595</t>
  </si>
  <si>
    <t>13558640</t>
  </si>
  <si>
    <t>23715b69-7edc-4ff9-847e-3632e3977056</t>
  </si>
  <si>
    <t>2026-03-09 06:24:17</t>
  </si>
  <si>
    <t>27796353394</t>
  </si>
  <si>
    <t>13558398</t>
  </si>
  <si>
    <t>8d2db585-0d0e-4658-b1df-ec82770b009e</t>
  </si>
  <si>
    <t>2026-03-09 06:23:32</t>
  </si>
  <si>
    <t>27793512741</t>
  </si>
  <si>
    <t>13556509</t>
  </si>
  <si>
    <t>9a30f973-687e-4e1b-bc03-be0b091775dc</t>
  </si>
  <si>
    <t>2026-03-09 06:23:24</t>
  </si>
  <si>
    <t>27724566772</t>
  </si>
  <si>
    <t>13556493</t>
  </si>
  <si>
    <t>f5434cca-4a83-4b0b-9627-afa8152e06dc</t>
  </si>
  <si>
    <t>2026-03-09 06:23:21</t>
  </si>
  <si>
    <t>27724441936</t>
  </si>
  <si>
    <t>13559060</t>
  </si>
  <si>
    <t>aeedf48c-5a86-4066-8bc0-a8ba47464e19</t>
  </si>
  <si>
    <t>2026-03-09 06:22:15</t>
  </si>
  <si>
    <t>27822218606</t>
  </si>
  <si>
    <t>13557325</t>
  </si>
  <si>
    <t>746f3bda-05d2-4227-aa31-b4c4dd159a17</t>
  </si>
  <si>
    <t>2026-03-09 06:21:09</t>
  </si>
  <si>
    <t>27762500609</t>
  </si>
  <si>
    <t>13558442</t>
  </si>
  <si>
    <t>1515f58c-6010-4a5f-9a51-63f0d66928e4</t>
  </si>
  <si>
    <t>2026-03-09 06:21:05</t>
  </si>
  <si>
    <t>27794022456</t>
  </si>
  <si>
    <t>13557477</t>
  </si>
  <si>
    <t>33bac924-b543-42af-818b-2e2d90e53303</t>
  </si>
  <si>
    <t>2026-03-09 06:21:03</t>
  </si>
  <si>
    <t>27764205587</t>
  </si>
  <si>
    <t>13557790</t>
  </si>
  <si>
    <t>a14ee60b-ae98-4288-88c3-1b86bed7b0a0</t>
  </si>
  <si>
    <t>2026-03-09 06:21:01</t>
  </si>
  <si>
    <t>27767430001</t>
  </si>
  <si>
    <t>13558721</t>
  </si>
  <si>
    <t>a6122c46-916c-478d-ac26-d4161a9aae89</t>
  </si>
  <si>
    <t>2026-03-09 06:20:54</t>
  </si>
  <si>
    <t>27797331101</t>
  </si>
  <si>
    <t>13558825</t>
  </si>
  <si>
    <t>21a93866-4389-4084-90c5-6ba918ddc9c2</t>
  </si>
  <si>
    <t>2026-03-09 06:20:38</t>
  </si>
  <si>
    <t>27798845722</t>
  </si>
  <si>
    <t>13557964</t>
  </si>
  <si>
    <t>c79bedbd-1f0c-4bd5-bfbf-345c51dbc336</t>
  </si>
  <si>
    <t>2026-03-09 06:20:14</t>
  </si>
  <si>
    <t>27769119746</t>
  </si>
  <si>
    <t>13558370</t>
  </si>
  <si>
    <t>8c582275-c25a-49ac-a5d1-abe7e9ded6da</t>
  </si>
  <si>
    <t>2026-03-09 06:20:13</t>
  </si>
  <si>
    <t>27793182404</t>
  </si>
  <si>
    <t>13557916</t>
  </si>
  <si>
    <t>c8044c3c-f470-4c08-9e43-0ea670c77d4b</t>
  </si>
  <si>
    <t>2026-03-09 06:19:37</t>
  </si>
  <si>
    <t>27768692747</t>
  </si>
  <si>
    <t>13557673</t>
  </si>
  <si>
    <t>8796000f-9b0b-449b-8c52-0e7925b45b7c</t>
  </si>
  <si>
    <t>2026-03-09 06:19:07</t>
  </si>
  <si>
    <t>27766273202</t>
  </si>
  <si>
    <t>13557616</t>
  </si>
  <si>
    <t>1849d925-6488-43f7-b14d-167a6373e503</t>
  </si>
  <si>
    <t>2026-03-09 06:18:56</t>
  </si>
  <si>
    <t>27765676768</t>
  </si>
  <si>
    <t>13558285</t>
  </si>
  <si>
    <t>1517ffe1-f638-4b8e-937a-12ae11a678b2</t>
  </si>
  <si>
    <t>2026-03-09 06:18:50</t>
  </si>
  <si>
    <t>27792267287</t>
  </si>
  <si>
    <t>13557607</t>
  </si>
  <si>
    <t>dc340da0-f91e-4408-9b9e-b5990f5f8b64</t>
  </si>
  <si>
    <t>27765594224</t>
  </si>
  <si>
    <t>13562274</t>
  </si>
  <si>
    <t>f5bcd38a-9e98-4aea-89fa-2cdcc1ac36dc</t>
  </si>
  <si>
    <t>2026-03-09 06:17:36</t>
  </si>
  <si>
    <t>27713472761</t>
  </si>
  <si>
    <t>13562301</t>
  </si>
  <si>
    <t>6c78eff2-4af9-481f-94fb-5b60b9f8113b</t>
  </si>
  <si>
    <t>2026-03-09 06:17:33</t>
  </si>
  <si>
    <t>27791187843</t>
  </si>
  <si>
    <t>13559126</t>
  </si>
  <si>
    <t>9c82cd68-20f3-4422-9f8a-c0522b8bda97</t>
  </si>
  <si>
    <t>2026-03-09 06:17:21</t>
  </si>
  <si>
    <t>27823235887</t>
  </si>
  <si>
    <t>13559127</t>
  </si>
  <si>
    <t>497490cc-699f-4939-bdec-f37abfd42cac</t>
  </si>
  <si>
    <t>27823248076</t>
  </si>
  <si>
    <t>13558506</t>
  </si>
  <si>
    <t>f198c641-fc04-4ab5-9bf6-e683ac03af74</t>
  </si>
  <si>
    <t>2026-03-09 06:17:01</t>
  </si>
  <si>
    <t>27794722723</t>
  </si>
  <si>
    <t>13560007</t>
  </si>
  <si>
    <t>60703e6f-0a57-4130-8246-317cc38eba60</t>
  </si>
  <si>
    <t>2026-03-09 06:16:44</t>
  </si>
  <si>
    <t>27768405079</t>
  </si>
  <si>
    <t>13561978</t>
  </si>
  <si>
    <t>f0e78641-ea19-42fe-b948-5ac2fee7d663</t>
  </si>
  <si>
    <t>2026-03-09 06:16:31</t>
  </si>
  <si>
    <t>27721979079</t>
  </si>
  <si>
    <t>13560291</t>
  </si>
  <si>
    <t>ae4ad719-e84a-47e0-ae27-465872fbeb1b</t>
  </si>
  <si>
    <t>2026-03-09 06:16:03</t>
  </si>
  <si>
    <t>27728632745</t>
  </si>
  <si>
    <t>13560394</t>
  </si>
  <si>
    <t>017cba3d-8d82-4507-b795-dfe3ac346d2e</t>
  </si>
  <si>
    <t>2026-03-09 06:15:58</t>
  </si>
  <si>
    <t>27774329065</t>
  </si>
  <si>
    <t>13559635</t>
  </si>
  <si>
    <t>97ebbc53-3c6c-48fb-ae01-75c1b286955a</t>
  </si>
  <si>
    <t>2026-03-09 06:15:50</t>
  </si>
  <si>
    <t>27829981116</t>
  </si>
  <si>
    <t>13559628</t>
  </si>
  <si>
    <t>8c7ce81f-57f5-47d5-b53a-33073c703467</t>
  </si>
  <si>
    <t>27829751105</t>
  </si>
  <si>
    <t>13561246</t>
  </si>
  <si>
    <t>948cd694-968e-42e4-8128-fa35c9d8b6b2</t>
  </si>
  <si>
    <t>2026-03-09 06:15:49</t>
  </si>
  <si>
    <t>27723215913</t>
  </si>
  <si>
    <t>13556535</t>
  </si>
  <si>
    <t>b70fc4f5-d06a-4bd0-9a69-b2b9c49dec29</t>
  </si>
  <si>
    <t>2026-03-09 06:15:18</t>
  </si>
  <si>
    <t>27724844445</t>
  </si>
  <si>
    <t>13558127</t>
  </si>
  <si>
    <t>79e98df1-8f2d-4659-a0a1-e31ae7c773ff</t>
  </si>
  <si>
    <t>2026-03-09 06:15:03</t>
  </si>
  <si>
    <t>27790361183</t>
  </si>
  <si>
    <t>13558062</t>
  </si>
  <si>
    <t>3b17cd4c-54a6-4d3b-95bf-cc08cb46051f</t>
  </si>
  <si>
    <t>2026-03-09 06:14:53</t>
  </si>
  <si>
    <t>27774567046</t>
  </si>
  <si>
    <t>13560842</t>
  </si>
  <si>
    <t>d5c1692d-5e52-41c9-9cad-11890a616ec7</t>
  </si>
  <si>
    <t>2026-03-09 06:13:51</t>
  </si>
  <si>
    <t>27724453219</t>
  </si>
  <si>
    <t>13560847</t>
  </si>
  <si>
    <t>9b7769cc-4eaa-4eb6-a2be-e8f6de090667</t>
  </si>
  <si>
    <t>27768541190</t>
  </si>
  <si>
    <t>13560865</t>
  </si>
  <si>
    <t>4c7628c5-f908-4d7f-af4c-6b971b6aa994</t>
  </si>
  <si>
    <t>2026-03-09 06:13:48</t>
  </si>
  <si>
    <t>27726056179</t>
  </si>
  <si>
    <t>13561570</t>
  </si>
  <si>
    <t>06871c2b-9132-44c4-8e07-1697f2391aa3</t>
  </si>
  <si>
    <t>2026-03-09 06:13:40</t>
  </si>
  <si>
    <t>27773665271</t>
  </si>
  <si>
    <t>13562208</t>
  </si>
  <si>
    <t>77cd58cc-adff-4ba6-8da5-a0a48ae83206</t>
  </si>
  <si>
    <t>2026-03-09 06:13:02</t>
  </si>
  <si>
    <t>27665516897</t>
  </si>
  <si>
    <t>13563895</t>
  </si>
  <si>
    <t>3f3c3a7f-d2ea-4a1e-8df9-fbf7ea8db1c0</t>
  </si>
  <si>
    <t>2026-03-09 06:12:35</t>
  </si>
  <si>
    <t>27727630709</t>
  </si>
  <si>
    <t>13562403</t>
  </si>
  <si>
    <t>7292f986-e34d-4ccc-8a31-5c227cc6e97a</t>
  </si>
  <si>
    <t>2026-03-09 06:12:02</t>
  </si>
  <si>
    <t>27767971463</t>
  </si>
  <si>
    <t>13562426</t>
  </si>
  <si>
    <t>c7550748-70df-4d8e-99dd-42c63407b639</t>
  </si>
  <si>
    <t>CD</t>
  </si>
  <si>
    <t>Client Deceased</t>
  </si>
  <si>
    <t>2026-03-09 06:12:01</t>
  </si>
  <si>
    <t>27636738699</t>
  </si>
  <si>
    <t>13562467</t>
  </si>
  <si>
    <t>83fb1c59-fc0c-43da-87ea-bad0a8a7291e</t>
  </si>
  <si>
    <t>2026-03-09 06:11:59</t>
  </si>
  <si>
    <t>27721981004</t>
  </si>
  <si>
    <t>13562594</t>
  </si>
  <si>
    <t>f91994a8-42d2-48a7-8ee4-5297beffbd37</t>
  </si>
  <si>
    <t>2026-03-09 06:11:33</t>
  </si>
  <si>
    <t>27791763895</t>
  </si>
  <si>
    <t>13557486</t>
  </si>
  <si>
    <t>e806cfbb-b62d-4889-a786-7789d30593d7</t>
  </si>
  <si>
    <t>2026-03-09 06:11:32</t>
  </si>
  <si>
    <t>27764342091</t>
  </si>
  <si>
    <t>13562632</t>
  </si>
  <si>
    <t>39236f46-b512-465d-967f-c628513f7d82</t>
  </si>
  <si>
    <t>2026-03-09 06:11:15</t>
  </si>
  <si>
    <t>27760959205</t>
  </si>
  <si>
    <t>13555264</t>
  </si>
  <si>
    <t>176e4a48-c4df-4036-a27a-bc70e0ef5a1b</t>
  </si>
  <si>
    <t>2026-03-09 06:11:11</t>
  </si>
  <si>
    <t>27660900132</t>
  </si>
  <si>
    <t>13554985</t>
  </si>
  <si>
    <t>7933eeea-969f-4fc6-aa6b-41b831ca172e</t>
  </si>
  <si>
    <t>2026-03-09 06:09:52</t>
  </si>
  <si>
    <t>27636765010</t>
  </si>
  <si>
    <t>13562957</t>
  </si>
  <si>
    <t>e4a9360c-a85c-435e-9769-25cca7be59a3</t>
  </si>
  <si>
    <t>2026-03-09 06:09:51</t>
  </si>
  <si>
    <t>27724326160</t>
  </si>
  <si>
    <t>13561378</t>
  </si>
  <si>
    <t>d02d6e7f-3a3e-4e24-946e-1c14a47219c1</t>
  </si>
  <si>
    <t>2026-03-09 06:09:37</t>
  </si>
  <si>
    <t>27724486940</t>
  </si>
  <si>
    <t>13556368</t>
  </si>
  <si>
    <t>b6837081-fc21-4a4e-ba63-d2fdc364b01c</t>
  </si>
  <si>
    <t>2026-03-09 06:09:36</t>
  </si>
  <si>
    <t>27723165704</t>
  </si>
  <si>
    <t>13556376</t>
  </si>
  <si>
    <t>3e199445-37b6-4ac2-b895-de4b72eef6e4</t>
  </si>
  <si>
    <t>27723265548</t>
  </si>
  <si>
    <t>13556347</t>
  </si>
  <si>
    <t>1adccd69-5f47-4853-839c-8d9bc27a9374</t>
  </si>
  <si>
    <t>2026-03-09 06:09:17</t>
  </si>
  <si>
    <t>27722966311</t>
  </si>
  <si>
    <t>13558025</t>
  </si>
  <si>
    <t>b5c7f031-1c0c-40db-9cbb-b08b9ffe4d66</t>
  </si>
  <si>
    <t>2026-03-09 06:09:09</t>
  </si>
  <si>
    <t>27769879821</t>
  </si>
  <si>
    <t>13557989</t>
  </si>
  <si>
    <t>51b5d73b-d7f2-4ee4-9da6-db2f76b67c7b</t>
  </si>
  <si>
    <t>2026-03-09 06:08:48</t>
  </si>
  <si>
    <t>27769449188</t>
  </si>
  <si>
    <t>13563042</t>
  </si>
  <si>
    <t>b5647ce0-a0b1-495d-9635-6dfb9e3bca9b</t>
  </si>
  <si>
    <t>2026-03-09 06:08:04</t>
  </si>
  <si>
    <t>27790528460</t>
  </si>
  <si>
    <t>13563122</t>
  </si>
  <si>
    <t>4f861e9f-c5a8-4d46-ad0a-3f284b02a0cc</t>
  </si>
  <si>
    <t>2026-03-09 06:07:55</t>
  </si>
  <si>
    <t>27722712928</t>
  </si>
  <si>
    <t>13563194</t>
  </si>
  <si>
    <t>7aa9dd03-59e6-41e7-84ee-87cf62c11de0</t>
  </si>
  <si>
    <t>2026-03-09 06:07:50</t>
  </si>
  <si>
    <t>27774534189</t>
  </si>
  <si>
    <t>13556306</t>
  </si>
  <si>
    <t>b82a0c9b-04b1-401d-863b-b7b129a614bc</t>
  </si>
  <si>
    <t>2026-03-09 06:07:47</t>
  </si>
  <si>
    <t>27722524523</t>
  </si>
  <si>
    <t>13556360</t>
  </si>
  <si>
    <t>8d871565-09b0-42a4-aba8-cb8f4e31f681</t>
  </si>
  <si>
    <t>2026-03-09 06:07:24</t>
  </si>
  <si>
    <t>27723107290</t>
  </si>
  <si>
    <t>13563263</t>
  </si>
  <si>
    <t>7ed17ab6-c93f-4bdc-923d-9fd9669156a1</t>
  </si>
  <si>
    <t>2026-03-09 06:07:14</t>
  </si>
  <si>
    <t>27768182389</t>
  </si>
  <si>
    <t>13563385</t>
  </si>
  <si>
    <t>984d587d-3575-4879-887b-90caf2cb6005</t>
  </si>
  <si>
    <t>2026-03-09 06:07:04</t>
  </si>
  <si>
    <t>27663800786</t>
  </si>
  <si>
    <t>13563562</t>
  </si>
  <si>
    <t>3bdcd55b-b33a-43a0-8688-a155228d8508</t>
  </si>
  <si>
    <t>2026-03-09 06:06:38</t>
  </si>
  <si>
    <t>27664398738</t>
  </si>
  <si>
    <t>13556243</t>
  </si>
  <si>
    <t>ecd9d674-71a5-4618-a52d-411a7d852755</t>
  </si>
  <si>
    <t>2026-03-09 06:06:36</t>
  </si>
  <si>
    <t>27721945686</t>
  </si>
  <si>
    <t>13555832</t>
  </si>
  <si>
    <t>cc251cf7-bbb8-41ba-a5c0-683324c94171</t>
  </si>
  <si>
    <t>2026-03-09 06:06:27</t>
  </si>
  <si>
    <t>27714510601</t>
  </si>
  <si>
    <t>13555809</t>
  </si>
  <si>
    <t>8d047e45-713d-4728-b9a2-8be2ef15bbd2</t>
  </si>
  <si>
    <t>2026-03-09 06:06:22</t>
  </si>
  <si>
    <t>27714293649</t>
  </si>
  <si>
    <t>13557844</t>
  </si>
  <si>
    <t>670c3fd1-d628-4d54-be09-5dc2f8802fea</t>
  </si>
  <si>
    <t>2026-03-09 06:05:55</t>
  </si>
  <si>
    <t>27767919764</t>
  </si>
  <si>
    <t>13564531</t>
  </si>
  <si>
    <t>86e65114-dde7-4a64-8cd0-87ec25291f55</t>
  </si>
  <si>
    <t>2026-03-09 06:05:41</t>
  </si>
  <si>
    <t>27713991182</t>
  </si>
  <si>
    <t>13563569</t>
  </si>
  <si>
    <t>db02a697-3133-444d-8141-0f2a7193a1ea</t>
  </si>
  <si>
    <t>2026-03-09 06:04:50</t>
  </si>
  <si>
    <t>27761834443</t>
  </si>
  <si>
    <t>13563608</t>
  </si>
  <si>
    <t>b42ab935-5c12-4f16-bf2c-d74f139cc20e</t>
  </si>
  <si>
    <t>2026-03-09 06:04:49</t>
  </si>
  <si>
    <t>27714310862</t>
  </si>
  <si>
    <t>13556885</t>
  </si>
  <si>
    <t>90b8bc45-ea3b-48ef-9dad-114cd4045f02</t>
  </si>
  <si>
    <t>2026-03-09 06:04:34</t>
  </si>
  <si>
    <t>27728285439</t>
  </si>
  <si>
    <t>13556781</t>
  </si>
  <si>
    <t>2fa6b6d5-892c-4985-96f0-be8fdb30f009</t>
  </si>
  <si>
    <t>2026-03-09 06:04:25</t>
  </si>
  <si>
    <t>27727406764</t>
  </si>
  <si>
    <t>13563815</t>
  </si>
  <si>
    <t>ed3717e5-acfc-4fec-a3fd-3c4a96f6aeac</t>
  </si>
  <si>
    <t>2026-03-09 06:04:15</t>
  </si>
  <si>
    <t>27660564347</t>
  </si>
  <si>
    <t>13563745</t>
  </si>
  <si>
    <t>19d0eb2a-237f-410f-81e5-1c4bf1891384</t>
  </si>
  <si>
    <t>27648993132</t>
  </si>
  <si>
    <t>13564740</t>
  </si>
  <si>
    <t>47079746-711b-4d73-8470-d5d75bb4692c</t>
  </si>
  <si>
    <t>2026-03-09 06:03:41</t>
  </si>
  <si>
    <t>27606655096</t>
  </si>
  <si>
    <t>13561588</t>
  </si>
  <si>
    <t>6f7dd312-476d-4943-af74-e236da36b671</t>
  </si>
  <si>
    <t>2026-03-09 06:02:36</t>
  </si>
  <si>
    <t>27768827258</t>
  </si>
  <si>
    <t>13555254</t>
  </si>
  <si>
    <t>a3105729-7149-449f-ac3c-d0baaedb97f3</t>
  </si>
  <si>
    <t>2026-03-09 06:02:05</t>
  </si>
  <si>
    <t>27660710069</t>
  </si>
  <si>
    <t>13558126</t>
  </si>
  <si>
    <t>435fc059-4f7f-4cb0-8dbe-e4efbb63cd07</t>
  </si>
  <si>
    <t>2026-03-09 06:01:05</t>
  </si>
  <si>
    <t>27790357076</t>
  </si>
  <si>
    <t>13561276</t>
  </si>
  <si>
    <t>e66f78b3-a011-4703-8417-c2d05228fc9a</t>
  </si>
  <si>
    <t>USA</t>
  </si>
  <si>
    <t>Unsuccessful Application</t>
  </si>
  <si>
    <t>2026-03-07 10:50:59</t>
  </si>
  <si>
    <t>27711900124</t>
  </si>
  <si>
    <t>13564058</t>
  </si>
  <si>
    <t>068cfcd7-b44e-415f-9625-24f91b464d87</t>
  </si>
  <si>
    <t>2026-03-07 10:49:38</t>
  </si>
  <si>
    <t>27724059268</t>
  </si>
  <si>
    <t>13555749</t>
  </si>
  <si>
    <t>d78bd923-9323-461c-b511-d9f6acab666a</t>
  </si>
  <si>
    <t>2026-03-07 10:44:32</t>
  </si>
  <si>
    <t>27713506321</t>
  </si>
  <si>
    <t>13555475</t>
  </si>
  <si>
    <t>31e55ec5-3820-49e9-9f60-3e378c1bce60</t>
  </si>
  <si>
    <t>2026-03-07 10:39:33</t>
  </si>
  <si>
    <t>27673795933</t>
  </si>
  <si>
    <t>13556744</t>
  </si>
  <si>
    <t>7e7cf400-4f04-4206-9a1a-7e3f2b1d8fa7</t>
  </si>
  <si>
    <t>2026-03-07 10:38:47</t>
  </si>
  <si>
    <t>27727072710</t>
  </si>
  <si>
    <t>13558816</t>
  </si>
  <si>
    <t>2537b213-a3b8-4f80-93c7-f7a9717ba603</t>
  </si>
  <si>
    <t>2026-03-07 10:33:04</t>
  </si>
  <si>
    <t>27798617959</t>
  </si>
  <si>
    <t>13556407</t>
  </si>
  <si>
    <t>ca7f7c84-7d44-48f3-acbe-a8fb21489f89</t>
  </si>
  <si>
    <t>2026-03-07 10:29:46</t>
  </si>
  <si>
    <t>27723561852</t>
  </si>
  <si>
    <t>13559632</t>
  </si>
  <si>
    <t>12fe82f1-1f04-4974-bf5f-fccf2f0c1062</t>
  </si>
  <si>
    <t>2026-03-07 10:28:31</t>
  </si>
  <si>
    <t>27829764140</t>
  </si>
  <si>
    <t>13560148</t>
  </si>
  <si>
    <t>061c297d-2c97-42fd-9113-fc9059b464a3</t>
  </si>
  <si>
    <t>2026-03-07 10:23:33</t>
  </si>
  <si>
    <t>27797008622</t>
  </si>
  <si>
    <t>13562164</t>
  </si>
  <si>
    <t>5c0f38be-6608-4901-ba9a-5ad953ee0f30</t>
  </si>
  <si>
    <t>2026-03-07 10:20:30</t>
  </si>
  <si>
    <t>27606420148</t>
  </si>
  <si>
    <t>13564200</t>
  </si>
  <si>
    <t>c629aedb-b9f4-4333-9a84-6a65b1e6cb83</t>
  </si>
  <si>
    <t>2026-03-07 10:18:42</t>
  </si>
  <si>
    <t>27674322914</t>
  </si>
  <si>
    <t>13557218</t>
  </si>
  <si>
    <t>5fc6831e-e3bc-41f1-9fde-2a3947ba6901</t>
  </si>
  <si>
    <t>2026-03-07 10:13:45</t>
  </si>
  <si>
    <t>27761380246</t>
  </si>
  <si>
    <t>13558072</t>
  </si>
  <si>
    <t>0908afa5-5b49-436a-8601-54d62941c383</t>
  </si>
  <si>
    <t>2026-03-07 10:10:34</t>
  </si>
  <si>
    <t>27782316125</t>
  </si>
  <si>
    <t>13558094</t>
  </si>
  <si>
    <t>a7e74191-78cc-4b05-bdfc-3e4d5d366d5b</t>
  </si>
  <si>
    <t>2026-03-07 10:04:21</t>
  </si>
  <si>
    <t>27790128092</t>
  </si>
  <si>
    <t>13559915</t>
  </si>
  <si>
    <t>d1a9bc41-1f04-4131-b388-333eef763541</t>
  </si>
  <si>
    <t>2026-03-07 09:57:42</t>
  </si>
  <si>
    <t>27673171459</t>
  </si>
  <si>
    <t>13563707</t>
  </si>
  <si>
    <t>69b463bf-19a7-4d57-884b-cf4961fd6573</t>
  </si>
  <si>
    <t>2026-03-07 09:51:37</t>
  </si>
  <si>
    <t>27649608691</t>
  </si>
  <si>
    <t>13560781</t>
  </si>
  <si>
    <t>36364c24-43a5-4293-88dd-6ee6954ffa87</t>
  </si>
  <si>
    <t>2026-03-07 09:47:35</t>
  </si>
  <si>
    <t>27794574782</t>
  </si>
  <si>
    <t>13559731</t>
  </si>
  <si>
    <t>83391263-980a-4680-9cd9-a76f239aceea</t>
  </si>
  <si>
    <t>2026-03-07 09:45:37</t>
  </si>
  <si>
    <t>27766784846</t>
  </si>
  <si>
    <t>13564559</t>
  </si>
  <si>
    <t>ebbd8d8c-4898-455d-998f-395c77b99fcf</t>
  </si>
  <si>
    <t>27660226190</t>
  </si>
  <si>
    <t>13558629</t>
  </si>
  <si>
    <t>bef8d286-1cf3-4cf8-9ffd-d852caf48d80</t>
  </si>
  <si>
    <t>2026-03-07 09:44:54</t>
  </si>
  <si>
    <t>27796281967</t>
  </si>
  <si>
    <t>13557920</t>
  </si>
  <si>
    <t>2b9b9b1e-ac1d-42b0-b9f8-9d179d2af638</t>
  </si>
  <si>
    <t>2026-03-07 09:43:40</t>
  </si>
  <si>
    <t>27768738037</t>
  </si>
  <si>
    <t>13559019</t>
  </si>
  <si>
    <t>c6cbfe57-b3aa-40dc-a7a4-ec406a39d472</t>
  </si>
  <si>
    <t>2026-03-07 09:34:17</t>
  </si>
  <si>
    <t>27820612212</t>
  </si>
  <si>
    <t>13556415</t>
  </si>
  <si>
    <t>b8928dfe-b600-494b-b8a9-5a4e3bbcc33f</t>
  </si>
  <si>
    <t>2026-03-07 09:29:24</t>
  </si>
  <si>
    <t>27723621174</t>
  </si>
  <si>
    <t>13562078</t>
  </si>
  <si>
    <t>a1c6dddb-5977-4b7a-b0b3-ea293679b86e</t>
  </si>
  <si>
    <t>2026-03-07 09:28:53</t>
  </si>
  <si>
    <t>27721960219</t>
  </si>
  <si>
    <t>13557387</t>
  </si>
  <si>
    <t>448f1378-cce3-4abf-8549-675c947be15d</t>
  </si>
  <si>
    <t>2026-03-07 09:19:47</t>
  </si>
  <si>
    <t>27763103971</t>
  </si>
  <si>
    <t>13559874</t>
  </si>
  <si>
    <t>05fffc71-429e-4f86-8f0d-400f07cb3064</t>
  </si>
  <si>
    <t>2026-03-07 09:13:38</t>
  </si>
  <si>
    <t>27607927359</t>
  </si>
  <si>
    <t>13558520</t>
  </si>
  <si>
    <t>571ff8cd-4115-4af9-8437-1b2fab703c25</t>
  </si>
  <si>
    <t>2026-03-07 08:59:17</t>
  </si>
  <si>
    <t>27794852082</t>
  </si>
  <si>
    <t>13564834</t>
  </si>
  <si>
    <t>5d7bb67b-95ad-4f9d-9d44-5f4e8d4cfb4b</t>
  </si>
  <si>
    <t>2026-03-07 08:50:12</t>
  </si>
  <si>
    <t>27608199104</t>
  </si>
  <si>
    <t>13563002</t>
  </si>
  <si>
    <t>5f78a272-160b-41d3-8285-ede5cd0c655f</t>
  </si>
  <si>
    <t>2026-03-07 08:49:59</t>
  </si>
  <si>
    <t>27722606108</t>
  </si>
  <si>
    <t>13562013</t>
  </si>
  <si>
    <t>9732e3a7-be4a-4335-94cf-f37d041e3451</t>
  </si>
  <si>
    <t>2026-03-07 08:48:51</t>
  </si>
  <si>
    <t>27661039037</t>
  </si>
  <si>
    <t>13561677</t>
  </si>
  <si>
    <t>239526d5-f700-4bc5-b1b3-037a8eabf038</t>
  </si>
  <si>
    <t>2026-03-07 08:48:44</t>
  </si>
  <si>
    <t>27762428533</t>
  </si>
  <si>
    <t>13555191</t>
  </si>
  <si>
    <t>c1fab7f3-c462-4a55-a950-36b02c1389d7</t>
  </si>
  <si>
    <t>2026-03-07 08:47:49</t>
  </si>
  <si>
    <t>27649601270</t>
  </si>
  <si>
    <t>13564249</t>
  </si>
  <si>
    <t>7395adc6-8d50-43a4-baba-674a7e835e1f</t>
  </si>
  <si>
    <t>2026-03-07 08:47:44</t>
  </si>
  <si>
    <t>27713351405</t>
  </si>
  <si>
    <t>13555505</t>
  </si>
  <si>
    <t>6a1434f1-c127-4ee0-91ee-ed514ab5e9ac</t>
  </si>
  <si>
    <t>2026-03-07 08:47:18</t>
  </si>
  <si>
    <t>27675678445</t>
  </si>
  <si>
    <t>13560852</t>
  </si>
  <si>
    <t>262229a4-21af-4ffe-a2f7-5fd0cbfd5b73</t>
  </si>
  <si>
    <t>2026-03-07 08:46:17</t>
  </si>
  <si>
    <t>27663140327</t>
  </si>
  <si>
    <t>13560461</t>
  </si>
  <si>
    <t>fc10abea-1dc1-4576-9cd1-19c41d10bff4</t>
  </si>
  <si>
    <t>2026-03-07 08:46:12</t>
  </si>
  <si>
    <t>Gugulethu Duma</t>
  </si>
  <si>
    <t>27791301304</t>
  </si>
  <si>
    <t>13559408</t>
  </si>
  <si>
    <t>85e99fe5-1430-4e82-86f5-4b0757a189aa</t>
  </si>
  <si>
    <t>2026-03-07 08:45:01</t>
  </si>
  <si>
    <t>27826617606</t>
  </si>
  <si>
    <t>13559378</t>
  </si>
  <si>
    <t>be02e19b-cacd-4669-932e-8846a5ab0f2f</t>
  </si>
  <si>
    <t>2026-03-07 08:45:00</t>
  </si>
  <si>
    <t>27826283849</t>
  </si>
  <si>
    <t>13558670</t>
  </si>
  <si>
    <t>ac6a4676-e1ce-43a4-acbe-5e5aad170f88</t>
  </si>
  <si>
    <t>2026-03-07 08:44:56</t>
  </si>
  <si>
    <t>Asemahle Gudlani</t>
  </si>
  <si>
    <t>27796714080</t>
  </si>
  <si>
    <t>13558807</t>
  </si>
  <si>
    <t>025aa04d-a03c-4c26-b320-6eeec95fd04f</t>
  </si>
  <si>
    <t>27798445909</t>
  </si>
  <si>
    <t>13557291</t>
  </si>
  <si>
    <t>b58635ad-4fbd-44d5-ba94-d0a34c2526ad</t>
  </si>
  <si>
    <t>2026-03-07 08:44:43</t>
  </si>
  <si>
    <t>27762142142</t>
  </si>
  <si>
    <t>13555066</t>
  </si>
  <si>
    <t>9e4f06c9-5b4c-4673-a0e9-a9a3aa05f39f</t>
  </si>
  <si>
    <t>2026-03-07 08:44:41</t>
  </si>
  <si>
    <t>27646768084</t>
  </si>
  <si>
    <t>13562849</t>
  </si>
  <si>
    <t>d6f53719-4e79-4a0d-863b-f5d59f4b850f</t>
  </si>
  <si>
    <t>2026-03-07 08:43:21</t>
  </si>
  <si>
    <t>27765526037</t>
  </si>
  <si>
    <t>13563033</t>
  </si>
  <si>
    <t>cecc1be4-b772-4065-8ff8-8aa3407c54ea</t>
  </si>
  <si>
    <t>2026-03-07 08:43:20</t>
  </si>
  <si>
    <t>27660198977</t>
  </si>
  <si>
    <t>13563888</t>
  </si>
  <si>
    <t>b9e58f8d-0921-49e5-b07a-6817fbca65c6</t>
  </si>
  <si>
    <t>2026-03-07 08:42:59</t>
  </si>
  <si>
    <t>27764278462</t>
  </si>
  <si>
    <t>13557865</t>
  </si>
  <si>
    <t>099818d6-912b-4791-a470-cc7f8050f1cc</t>
  </si>
  <si>
    <t>2026-03-07 08:42:11</t>
  </si>
  <si>
    <t>27768127661</t>
  </si>
  <si>
    <t>13556471</t>
  </si>
  <si>
    <t>a1b79b8e-28ae-4f98-99c2-0860b922b68c</t>
  </si>
  <si>
    <t>2026-03-07 08:41:05</t>
  </si>
  <si>
    <t>27724217381</t>
  </si>
  <si>
    <t>13554936</t>
  </si>
  <si>
    <t>1c0fb185-3b62-4a10-b168-bfb5597edaa0</t>
  </si>
  <si>
    <t>2026-03-07 08:40:49</t>
  </si>
  <si>
    <t>27636019770</t>
  </si>
  <si>
    <t>13555240</t>
  </si>
  <si>
    <t>a4767bfe-d7b5-43fc-9c40-3835f69fcb3e</t>
  </si>
  <si>
    <t>2026-03-07 08:40:45</t>
  </si>
  <si>
    <t>27660486405</t>
  </si>
  <si>
    <t>13564163</t>
  </si>
  <si>
    <t>235e63da-e1e0-4fbc-8133-afe84911f454</t>
  </si>
  <si>
    <t>2026-03-07 08:39:41</t>
  </si>
  <si>
    <t>27764664136</t>
  </si>
  <si>
    <t>13555825</t>
  </si>
  <si>
    <t>ae8a4b4c-31f9-4842-82bb-9deff852e4a3</t>
  </si>
  <si>
    <t>2026-03-07 08:38:57</t>
  </si>
  <si>
    <t>27714464356</t>
  </si>
  <si>
    <t>13562290</t>
  </si>
  <si>
    <t>bbfad170-8825-432e-ba45-8c8d091ba655</t>
  </si>
  <si>
    <t>2026-03-07 08:38:55</t>
  </si>
  <si>
    <t>27663614545</t>
  </si>
  <si>
    <t>13562009</t>
  </si>
  <si>
    <t>d19f81ca-1c2d-401e-8bfb-c680ec2b3449</t>
  </si>
  <si>
    <t>2026-03-07 08:38:37</t>
  </si>
  <si>
    <t>27763054256</t>
  </si>
  <si>
    <t>13563724</t>
  </si>
  <si>
    <t>0cd20a2b-ad86-4490-9fb6-7da5d97733d8</t>
  </si>
  <si>
    <t>2026-03-07 08:38:05</t>
  </si>
  <si>
    <t>27727842366</t>
  </si>
  <si>
    <t>13561471</t>
  </si>
  <si>
    <t>74ad29df-493d-47b7-aa5f-566a9a3b997a</t>
  </si>
  <si>
    <t>2026-03-07 08:37:16</t>
  </si>
  <si>
    <t>27713790809</t>
  </si>
  <si>
    <t>13554962</t>
  </si>
  <si>
    <t>28095d9b-81ab-40f8-b0e0-2f649397c985</t>
  </si>
  <si>
    <t>2026-03-07 08:37:02</t>
  </si>
  <si>
    <t>27636411920</t>
  </si>
  <si>
    <t>13562082</t>
  </si>
  <si>
    <t>96e1e665-176c-4ca2-99a0-d77011e8106c</t>
  </si>
  <si>
    <t>2026-03-07 08:36:43</t>
  </si>
  <si>
    <t>27799423105</t>
  </si>
  <si>
    <t>13563474</t>
  </si>
  <si>
    <t>d4ed3711-4845-47dd-bac1-1be8b3e2be0f</t>
  </si>
  <si>
    <t>2026-03-07 08:36:01</t>
  </si>
  <si>
    <t>27721150626</t>
  </si>
  <si>
    <t>13562577</t>
  </si>
  <si>
    <t>4b091022-fed3-4d2a-bd99-5c0da56d8a90</t>
  </si>
  <si>
    <t>2026-03-07 08:35:53</t>
  </si>
  <si>
    <t>27636111312</t>
  </si>
  <si>
    <t>13561635</t>
  </si>
  <si>
    <t>b636a739-cd1d-4799-92e7-53a29dfca847</t>
  </si>
  <si>
    <t>2026-03-07 08:35:14</t>
  </si>
  <si>
    <t>27791959611</t>
  </si>
  <si>
    <t>13561895</t>
  </si>
  <si>
    <t>2794beeb-5558-43dd-b023-3bea6482fc61</t>
  </si>
  <si>
    <t>2026-03-07 08:34:17</t>
  </si>
  <si>
    <t>27762318298</t>
  </si>
  <si>
    <t>13560977</t>
  </si>
  <si>
    <t>4a6cf24f-ceb9-46d4-8eb6-0fdacb8f0b1b</t>
  </si>
  <si>
    <t>2026-03-07 08:33:47</t>
  </si>
  <si>
    <t>27798302329</t>
  </si>
  <si>
    <t>13559287</t>
  </si>
  <si>
    <t>592db527-30c5-4f85-9bfc-26bdda5a9adf</t>
  </si>
  <si>
    <t>2026-03-07 08:33:37</t>
  </si>
  <si>
    <t>27825108370</t>
  </si>
  <si>
    <t>13558977</t>
  </si>
  <si>
    <t>4395d103-f901-4a89-a4b4-b05a2c530f4e</t>
  </si>
  <si>
    <t>2026-03-07 08:33:03</t>
  </si>
  <si>
    <t>27818676393</t>
  </si>
  <si>
    <t>13561046</t>
  </si>
  <si>
    <t>1bc0a2e3-9b17-4a92-996a-278b423c1cd8</t>
  </si>
  <si>
    <t>2026-03-07 08:32:47</t>
  </si>
  <si>
    <t>27721548593</t>
  </si>
  <si>
    <t>13561659</t>
  </si>
  <si>
    <t>53602b3d-a8ce-4bfc-89a9-167e951f80a3</t>
  </si>
  <si>
    <t>2026-03-07 08:32:17</t>
  </si>
  <si>
    <t>27722048690</t>
  </si>
  <si>
    <t>13559094</t>
  </si>
  <si>
    <t>01735d5f-2c70-4009-ac5f-7cad93db2554</t>
  </si>
  <si>
    <t>2026-03-07 08:31:31</t>
  </si>
  <si>
    <t>27822628273</t>
  </si>
  <si>
    <t>13561275</t>
  </si>
  <si>
    <t>9d6b371d-5079-4fda-9801-c8088c54934b</t>
  </si>
  <si>
    <t>2026-03-07 08:31:22</t>
  </si>
  <si>
    <t>27673899591</t>
  </si>
  <si>
    <t>13558932</t>
  </si>
  <si>
    <t>3c79c816-4fb8-48a6-bf34-a24f02aed761</t>
  </si>
  <si>
    <t>2026-03-07 08:31:21</t>
  </si>
  <si>
    <t>27818103471</t>
  </si>
  <si>
    <t>13558367</t>
  </si>
  <si>
    <t>57a2ef0e-4b8c-4b3a-bd6a-e3b762c38ad7</t>
  </si>
  <si>
    <t>2026-03-07 08:30:50</t>
  </si>
  <si>
    <t>27793157025</t>
  </si>
  <si>
    <t>13558637</t>
  </si>
  <si>
    <t>64d3f480-a631-4ebe-ba1e-d9865b800901</t>
  </si>
  <si>
    <t>2026-03-07 08:30:04</t>
  </si>
  <si>
    <t>27796342602</t>
  </si>
  <si>
    <t>13561735</t>
  </si>
  <si>
    <t>69a946bf-8f13-4426-9166-d4fa5c531d0e</t>
  </si>
  <si>
    <t>2026-03-07 08:28:56</t>
  </si>
  <si>
    <t>27646311115</t>
  </si>
  <si>
    <t>13558626</t>
  </si>
  <si>
    <t>f4fcb5c5-383e-4eb5-80f7-16fb16815031</t>
  </si>
  <si>
    <t>2026-03-07 08:28:35</t>
  </si>
  <si>
    <t>27796251183</t>
  </si>
  <si>
    <t>13563356</t>
  </si>
  <si>
    <t>0b43e5cf-bbc3-4926-8d9c-9aad747b24f4</t>
  </si>
  <si>
    <t>2026-03-07 08:28:34</t>
  </si>
  <si>
    <t>27608427278</t>
  </si>
  <si>
    <t>13558780</t>
  </si>
  <si>
    <t>311e2a18-fd0e-422b-995b-9de960219a22</t>
  </si>
  <si>
    <t>2026-03-07 08:26:01</t>
  </si>
  <si>
    <t>27798114686</t>
  </si>
  <si>
    <t>13561488</t>
  </si>
  <si>
    <t>36d7a2e5-d6ac-4830-b804-91767c17d76d</t>
  </si>
  <si>
    <t>2026-03-07 08:25:20</t>
  </si>
  <si>
    <t>27799876227</t>
  </si>
  <si>
    <t>13556957</t>
  </si>
  <si>
    <t>5503a611-2620-4352-8ee2-a4d702b1a374</t>
  </si>
  <si>
    <t>2026-03-07 08:24:39</t>
  </si>
  <si>
    <t>27728967514</t>
  </si>
  <si>
    <t>13558540</t>
  </si>
  <si>
    <t>d72327ab-98f0-46a0-885a-f9a6c01bab54</t>
  </si>
  <si>
    <t>2026-03-07 08:23:03</t>
  </si>
  <si>
    <t>27795278730</t>
  </si>
  <si>
    <t>13563832</t>
  </si>
  <si>
    <t>6f6797f4-15a9-4e0e-908a-6e78ac212942</t>
  </si>
  <si>
    <t>27665986225</t>
  </si>
  <si>
    <t>13558567</t>
  </si>
  <si>
    <t>f57bba41-46fc-4a0f-8e73-a354e77a6015</t>
  </si>
  <si>
    <t>2026-03-07 08:22:54</t>
  </si>
  <si>
    <t>27795577817</t>
  </si>
  <si>
    <t>13561952</t>
  </si>
  <si>
    <t>91763f92-b777-4815-9574-3e0e1e87411c</t>
  </si>
  <si>
    <t>2026-03-07 08:22:45</t>
  </si>
  <si>
    <t>27646458372</t>
  </si>
  <si>
    <t>13561908</t>
  </si>
  <si>
    <t>cf2acd10-1f46-4b3d-a6f1-1927b252f010</t>
  </si>
  <si>
    <t>2026-03-07 08:22:05</t>
  </si>
  <si>
    <t>27646956691</t>
  </si>
  <si>
    <t>13562107</t>
  </si>
  <si>
    <t>09cd330a-69f5-43a3-aa2c-00faa11d90bb</t>
  </si>
  <si>
    <t>2026-03-07 08:22:01</t>
  </si>
  <si>
    <t>27820601287</t>
  </si>
  <si>
    <t>13559522</t>
  </si>
  <si>
    <t>aa73eed4-758a-470e-a4ce-61dee9e3a9e5</t>
  </si>
  <si>
    <t>2026-03-07 08:22:00</t>
  </si>
  <si>
    <t>27827933754</t>
  </si>
  <si>
    <t>13559536</t>
  </si>
  <si>
    <t>5545aadc-97e5-44e4-ad04-24861b07762e</t>
  </si>
  <si>
    <t>27828155255</t>
  </si>
  <si>
    <t>13561162</t>
  </si>
  <si>
    <t>d4f5103d-8914-4267-8ba4-c60689296d04</t>
  </si>
  <si>
    <t>2026-03-07 08:20:54</t>
  </si>
  <si>
    <t>27726800490</t>
  </si>
  <si>
    <t>13561126</t>
  </si>
  <si>
    <t>3a1feffb-5b26-452e-8522-5f9735a06e1c</t>
  </si>
  <si>
    <t>2026-03-07 08:20:48</t>
  </si>
  <si>
    <t>27712229917</t>
  </si>
  <si>
    <t>13555516</t>
  </si>
  <si>
    <t>c4f1f128-7a8b-46e8-bcea-f7a8b031b8d6</t>
  </si>
  <si>
    <t>2026-03-07 08:19:25</t>
  </si>
  <si>
    <t>27711007911</t>
  </si>
  <si>
    <t>13560103</t>
  </si>
  <si>
    <t>2a330cdd-ce64-4cd1-9d71-ca3c5b9e50ee</t>
  </si>
  <si>
    <t>2026-03-07 08:19:18</t>
  </si>
  <si>
    <t>27769049860</t>
  </si>
  <si>
    <t>13556126</t>
  </si>
  <si>
    <t>3db78741-a573-4410-a143-d26ccc20ee8d</t>
  </si>
  <si>
    <t>2026-03-07 08:18:58</t>
  </si>
  <si>
    <t>27720894555</t>
  </si>
  <si>
    <t>13557445</t>
  </si>
  <si>
    <t>e4215a01-61c3-4e5b-a52f-1c65ee815793</t>
  </si>
  <si>
    <t>2026-03-07 08:18:24</t>
  </si>
  <si>
    <t>27763814335</t>
  </si>
  <si>
    <t>13560010</t>
  </si>
  <si>
    <t>7dd8d2fd-154b-43bb-b114-8794a22181d5</t>
  </si>
  <si>
    <t>2026-03-07 08:18:00</t>
  </si>
  <si>
    <t>27664203271</t>
  </si>
  <si>
    <t>13559085</t>
  </si>
  <si>
    <t>4a28101a-22da-4639-afc7-14e484a34db1</t>
  </si>
  <si>
    <t>2026-03-07 08:17:52</t>
  </si>
  <si>
    <t>27822602495</t>
  </si>
  <si>
    <t>13559107</t>
  </si>
  <si>
    <t>7c1a3da6-ff35-493e-a0d0-8adf9c61eb41</t>
  </si>
  <si>
    <t>2026-03-07 08:17:50</t>
  </si>
  <si>
    <t>27822909221</t>
  </si>
  <si>
    <t>13559112</t>
  </si>
  <si>
    <t>467011f2-1f26-4ce6-8d83-9cf078c733db</t>
  </si>
  <si>
    <t>27822949949</t>
  </si>
  <si>
    <t>13560128</t>
  </si>
  <si>
    <t>b9b29f68-ee6d-4096-93e4-cd294b55677c</t>
  </si>
  <si>
    <t>2026-03-07 08:17:26</t>
  </si>
  <si>
    <t>27797602922</t>
  </si>
  <si>
    <t>13560154</t>
  </si>
  <si>
    <t>7525f177-6b5e-4ebb-9f52-329f700eefac</t>
  </si>
  <si>
    <t>2026-03-07 08:16:39</t>
  </si>
  <si>
    <t>27818656752</t>
  </si>
  <si>
    <t>13564719</t>
  </si>
  <si>
    <t>84d1e1bc-f182-4416-91a4-92b4abd6290e</t>
  </si>
  <si>
    <t>2026-03-07 08:14:29</t>
  </si>
  <si>
    <t>27606316532</t>
  </si>
  <si>
    <t>13557454</t>
  </si>
  <si>
    <t>68098e32-cfbf-4633-b9a1-b9ddc42f1743</t>
  </si>
  <si>
    <t>2026-03-07 08:13:48</t>
  </si>
  <si>
    <t>27763973448</t>
  </si>
  <si>
    <t>13560898</t>
  </si>
  <si>
    <t>740d7ee2-0024-4748-9239-9d5e24f9d969</t>
  </si>
  <si>
    <t>2026-03-07 08:13:40</t>
  </si>
  <si>
    <t>27826606368</t>
  </si>
  <si>
    <t>13560758</t>
  </si>
  <si>
    <t>47d97f5d-e5f1-4734-9b15-339d1820a47d</t>
  </si>
  <si>
    <t>2026-03-07 08:13:30</t>
  </si>
  <si>
    <t>27824841347</t>
  </si>
  <si>
    <t>13559780</t>
  </si>
  <si>
    <t>4748f2b8-be60-486d-99b8-7748d206d1be</t>
  </si>
  <si>
    <t>2026-03-07 08:13:02</t>
  </si>
  <si>
    <t>27725880994</t>
  </si>
  <si>
    <t>13559367</t>
  </si>
  <si>
    <t>e488084d-75e2-43e0-beef-a14ff35a179f</t>
  </si>
  <si>
    <t>2026-03-07 08:11:39</t>
  </si>
  <si>
    <t>27826205137</t>
  </si>
  <si>
    <t>13559360</t>
  </si>
  <si>
    <t>f933a1d2-1e71-4276-8cfc-4217ef4424aa</t>
  </si>
  <si>
    <t>2026-03-07 08:11:38</t>
  </si>
  <si>
    <t>27826044491</t>
  </si>
  <si>
    <t>13564569</t>
  </si>
  <si>
    <t>1e913c66-994b-4e14-b419-d9b28b9a7912</t>
  </si>
  <si>
    <t>2026-03-07 08:11:17</t>
  </si>
  <si>
    <t>27720408875</t>
  </si>
  <si>
    <t>13560569</t>
  </si>
  <si>
    <t>b498f51f-bb40-4cd4-86af-7a27bc384685</t>
  </si>
  <si>
    <t>2026-03-07 08:10:32</t>
  </si>
  <si>
    <t>27726367032</t>
  </si>
  <si>
    <t>13561305</t>
  </si>
  <si>
    <t>856545ca-42cd-4194-802e-71f376de2687</t>
  </si>
  <si>
    <t>2026-03-07 08:10:21</t>
  </si>
  <si>
    <t>27663294887</t>
  </si>
  <si>
    <t>13557246</t>
  </si>
  <si>
    <t>470d780d-69e4-4b24-973b-48b3cd18c7bd</t>
  </si>
  <si>
    <t>2026-03-07 08:09:03</t>
  </si>
  <si>
    <t>27761694427</t>
  </si>
  <si>
    <t>13557300</t>
  </si>
  <si>
    <t>58b274c5-9e89-4741-b0eb-946dbd4c260a</t>
  </si>
  <si>
    <t>2026-03-07 08:09:01</t>
  </si>
  <si>
    <t>27762261035</t>
  </si>
  <si>
    <t>13557262</t>
  </si>
  <si>
    <t>5d6db8d1-6f69-4608-8665-353a964dfd62</t>
  </si>
  <si>
    <t>2026-03-07 08:09:00</t>
  </si>
  <si>
    <t>27761825212</t>
  </si>
  <si>
    <t>13560637</t>
  </si>
  <si>
    <t>dabe5d86-1f4b-4e17-bb32-c4e3dd620287</t>
  </si>
  <si>
    <t>2026-03-07 08:08:28</t>
  </si>
  <si>
    <t>27818627949</t>
  </si>
  <si>
    <t>13557090</t>
  </si>
  <si>
    <t>7c4cdf48-66b8-4ca7-b6d7-6cc91b5d3985</t>
  </si>
  <si>
    <t>2026-03-07 08:07:20</t>
  </si>
  <si>
    <t>27741334755</t>
  </si>
  <si>
    <t>13559697</t>
  </si>
  <si>
    <t>1483506e-6f62-4fb4-8f15-ccf24be1e14f</t>
  </si>
  <si>
    <t>2026-03-07 08:07:01</t>
  </si>
  <si>
    <t>27773767373</t>
  </si>
  <si>
    <t>13560596</t>
  </si>
  <si>
    <t>c3e8bad9-b943-4d63-bce9-21eb56a2d408</t>
  </si>
  <si>
    <t>2026-03-07 08:06:23</t>
  </si>
  <si>
    <t>27799698760</t>
  </si>
  <si>
    <t>13556852</t>
  </si>
  <si>
    <t>b6b853a0-d93e-41ba-910d-4c13dc17f816</t>
  </si>
  <si>
    <t>2026-03-07 08:06:18</t>
  </si>
  <si>
    <t>27728074545</t>
  </si>
  <si>
    <t>13558280</t>
  </si>
  <si>
    <t>a2f95b18-71b0-46ca-9901-abc4f16dca4c</t>
  </si>
  <si>
    <t>2026-03-07 08:05:01</t>
  </si>
  <si>
    <t>27792206613</t>
  </si>
  <si>
    <t>13556467</t>
  </si>
  <si>
    <t>a6fa30c7-f93d-4666-beb0-31e81bfff1bd</t>
  </si>
  <si>
    <t>2026-03-07 08:04:47</t>
  </si>
  <si>
    <t>27724155737</t>
  </si>
  <si>
    <t>13556466</t>
  </si>
  <si>
    <t>2c7e1ad6-c07b-4fac-99d3-0eebc8c99e0a</t>
  </si>
  <si>
    <t>2026-03-07 08:04:46</t>
  </si>
  <si>
    <t>27724155469</t>
  </si>
  <si>
    <t>13557608</t>
  </si>
  <si>
    <t>4d4da402-8cb5-4cf9-b42c-f933770020fe</t>
  </si>
  <si>
    <t>2026-03-07 08:04:32</t>
  </si>
  <si>
    <t>27765596041</t>
  </si>
  <si>
    <t>13557641</t>
  </si>
  <si>
    <t>99313692-24e1-4901-a875-4cadea656106</t>
  </si>
  <si>
    <t>2026-03-07 08:03:18</t>
  </si>
  <si>
    <t>27765932824</t>
  </si>
  <si>
    <t>13557610</t>
  </si>
  <si>
    <t>9eec85aa-4fc9-48ab-b4de-cd5995fbb4da</t>
  </si>
  <si>
    <t>2026-03-07 08:03:12</t>
  </si>
  <si>
    <t>27765613939</t>
  </si>
  <si>
    <t>13556767</t>
  </si>
  <si>
    <t>22900618-4f9a-4354-bb3a-571b5860efc7</t>
  </si>
  <si>
    <t>2026-03-07 08:02:37</t>
  </si>
  <si>
    <t>27727293699</t>
  </si>
  <si>
    <t>13562259</t>
  </si>
  <si>
    <t>159c2ed0-5df3-4078-84a9-c4f1e0e30571</t>
  </si>
  <si>
    <t>2026-03-07 08:02:33</t>
  </si>
  <si>
    <t>27729981571</t>
  </si>
  <si>
    <t>13557861</t>
  </si>
  <si>
    <t>4115dbf4-a4bb-4317-891a-a81705390e29</t>
  </si>
  <si>
    <t>2026-03-07 08:02:11</t>
  </si>
  <si>
    <t>27768099213</t>
  </si>
  <si>
    <t>13557866</t>
  </si>
  <si>
    <t>c80d7ca6-2715-4225-b263-e6ee3e2ff090</t>
  </si>
  <si>
    <t>27768137926</t>
  </si>
  <si>
    <t>13557638</t>
  </si>
  <si>
    <t>29045a1e-51a9-4afd-ae71-c3128300b6aa</t>
  </si>
  <si>
    <t>2026-03-07 08:02:04</t>
  </si>
  <si>
    <t>27765911735</t>
  </si>
  <si>
    <t>13559434</t>
  </si>
  <si>
    <t>30deb6dd-abc9-4b29-b80f-5c5177561038</t>
  </si>
  <si>
    <t>2026-03-07 08:01:06</t>
  </si>
  <si>
    <t>27826853745</t>
  </si>
  <si>
    <t>13562576</t>
  </si>
  <si>
    <t>90282cf2-9d44-4e1d-86d2-ab2052b5ae00</t>
  </si>
  <si>
    <t>2026-03-07 08:00:21</t>
  </si>
  <si>
    <t>27715619700</t>
  </si>
  <si>
    <t>13562598</t>
  </si>
  <si>
    <t>4e8c484c-1f05-4df2-94b5-c8294039a4f2</t>
  </si>
  <si>
    <t>2026-03-07 08:00:20</t>
  </si>
  <si>
    <t>27712173026</t>
  </si>
  <si>
    <t>13562761</t>
  </si>
  <si>
    <t>ee1f64bd-6353-4fb1-b7b2-fb9bdeea2f6b</t>
  </si>
  <si>
    <t>2026-03-07 07:59:07</t>
  </si>
  <si>
    <t>27773874441</t>
  </si>
  <si>
    <t>13562843</t>
  </si>
  <si>
    <t>afba2039-b40d-462e-8be2-8a35da25b05c</t>
  </si>
  <si>
    <t>2026-03-07 07:58:59</t>
  </si>
  <si>
    <t>27646381898</t>
  </si>
  <si>
    <t>13556831</t>
  </si>
  <si>
    <t>b3226982-00a1-4763-a7e9-820eaa4bd5f9</t>
  </si>
  <si>
    <t>2026-03-07 07:58:53</t>
  </si>
  <si>
    <t>27727882247</t>
  </si>
  <si>
    <t>13562856</t>
  </si>
  <si>
    <t>2eb71980-571b-4aa5-abf6-8ceb1882bb30</t>
  </si>
  <si>
    <t>2026-03-07 07:58:52</t>
  </si>
  <si>
    <t>27723184846</t>
  </si>
  <si>
    <t>13558628</t>
  </si>
  <si>
    <t>0e6df323-369f-4fa8-b938-db9db4281769</t>
  </si>
  <si>
    <t>2026-03-07 07:58:47</t>
  </si>
  <si>
    <t>27796270848</t>
  </si>
  <si>
    <t>13556912</t>
  </si>
  <si>
    <t>373c0091-fc02-4a55-b1f3-36fbe5516620</t>
  </si>
  <si>
    <t>2026-03-07 07:58:29</t>
  </si>
  <si>
    <t>27728554300</t>
  </si>
  <si>
    <t>13556848</t>
  </si>
  <si>
    <t>82ca1ce9-9be2-4a98-b90b-5b6c3ec667fb</t>
  </si>
  <si>
    <t>2026-03-07 07:58:24</t>
  </si>
  <si>
    <t>27728062958</t>
  </si>
  <si>
    <t>13558132</t>
  </si>
  <si>
    <t>753adc72-ad5b-49fd-a3a1-d575108f80a7</t>
  </si>
  <si>
    <t>2026-03-07 07:58:22</t>
  </si>
  <si>
    <t>27790396310</t>
  </si>
  <si>
    <t>13560895</t>
  </si>
  <si>
    <t>c997c907-5da0-485b-84ea-b16fa68fb212</t>
  </si>
  <si>
    <t>2026-03-07 07:57:39</t>
  </si>
  <si>
    <t>27614996610</t>
  </si>
  <si>
    <t>13560935</t>
  </si>
  <si>
    <t>132e47fe-b048-4676-b69d-f56e75b55e6b</t>
  </si>
  <si>
    <t>2026-03-07 07:57:34</t>
  </si>
  <si>
    <t>27723891376</t>
  </si>
  <si>
    <t>13562982</t>
  </si>
  <si>
    <t>7d95a633-b6e9-4ba1-9852-ca04e317e079</t>
  </si>
  <si>
    <t>2026-03-07 07:57:22</t>
  </si>
  <si>
    <t>27714263149</t>
  </si>
  <si>
    <t>13563040</t>
  </si>
  <si>
    <t>611fc2e3-63b6-415d-8460-df49e2b9913b</t>
  </si>
  <si>
    <t>2026-03-07 07:57:03</t>
  </si>
  <si>
    <t>27724595655</t>
  </si>
  <si>
    <t>13563205</t>
  </si>
  <si>
    <t>668e183d-0f8a-4b84-a6f2-7335c19bdecd</t>
  </si>
  <si>
    <t>2026-03-07 07:56:36</t>
  </si>
  <si>
    <t>27721894587</t>
  </si>
  <si>
    <t>13563280</t>
  </si>
  <si>
    <t>9d9609e2-9290-445e-adc1-e8aaad819691</t>
  </si>
  <si>
    <t>2026-03-07 07:55:05</t>
  </si>
  <si>
    <t>27636505408</t>
  </si>
  <si>
    <t>13563412</t>
  </si>
  <si>
    <t>257b188a-4854-4298-a43c-6ba979dd44ef</t>
  </si>
  <si>
    <t>2026-03-07 07:54:52</t>
  </si>
  <si>
    <t>27673375568</t>
  </si>
  <si>
    <t>13563420</t>
  </si>
  <si>
    <t>389ec06a-fb5a-4d13-8aee-d50bf0e85b87</t>
  </si>
  <si>
    <t>2026-03-07 07:54:19</t>
  </si>
  <si>
    <t>27728988455</t>
  </si>
  <si>
    <t>13556726</t>
  </si>
  <si>
    <t>49c50928-e5a8-4d63-8292-b1a467e57aee</t>
  </si>
  <si>
    <t>2026-03-07 07:53:44</t>
  </si>
  <si>
    <t>27726888303</t>
  </si>
  <si>
    <t>13563617</t>
  </si>
  <si>
    <t>007d4e14-558e-4eca-8ad2-28371123b1c5</t>
  </si>
  <si>
    <t>2026-03-07 07:52:57</t>
  </si>
  <si>
    <t>27763508749</t>
  </si>
  <si>
    <t>13556698</t>
  </si>
  <si>
    <t>97a8ef55-3ae3-4431-a38e-c004658e8130</t>
  </si>
  <si>
    <t>2026-03-07 07:52:31</t>
  </si>
  <si>
    <t>27726654324</t>
  </si>
  <si>
    <t>13556664</t>
  </si>
  <si>
    <t>11d3af13-4750-43f7-aa12-0e330c954d75</t>
  </si>
  <si>
    <t>2026-03-07 07:52:10</t>
  </si>
  <si>
    <t>27726179831</t>
  </si>
  <si>
    <t>13563799</t>
  </si>
  <si>
    <t>9930abf4-f906-4884-8ade-d3bb498a0875</t>
  </si>
  <si>
    <t>2026-03-07 07:52:07</t>
  </si>
  <si>
    <t>27724556681</t>
  </si>
  <si>
    <t>13564382</t>
  </si>
  <si>
    <t>f2efc1b8-daa3-42ce-8aa4-cc880c72c417</t>
  </si>
  <si>
    <t>2026-03-07 07:51:46</t>
  </si>
  <si>
    <t>27729637737</t>
  </si>
  <si>
    <t>13563677</t>
  </si>
  <si>
    <t>c2c60c81-d08c-41ca-af18-cb38817cd29e</t>
  </si>
  <si>
    <t>2026-03-07 07:51:33</t>
  </si>
  <si>
    <t>27792211935</t>
  </si>
  <si>
    <t>13563681</t>
  </si>
  <si>
    <t>b838d9f2-ab0c-438f-81c4-675cbfc2a19e</t>
  </si>
  <si>
    <t>27663021670</t>
  </si>
  <si>
    <t>13556624</t>
  </si>
  <si>
    <t>bc233d9b-a9b8-417c-a8ba-e184f967ab46</t>
  </si>
  <si>
    <t>2026-03-07 07:51:21</t>
  </si>
  <si>
    <t>27725608535</t>
  </si>
  <si>
    <t>13556130</t>
  </si>
  <si>
    <t>d3764636-6a03-4918-ab1f-baa01b758e53</t>
  </si>
  <si>
    <t>2026-03-07 07:50:08</t>
  </si>
  <si>
    <t>27720956562</t>
  </si>
  <si>
    <t>13563716</t>
  </si>
  <si>
    <t>d8559909-f61e-49cf-b596-f8f8bd57a14a</t>
  </si>
  <si>
    <t>2026-03-07 07:50:07</t>
  </si>
  <si>
    <t>27721718138</t>
  </si>
  <si>
    <t>13563721</t>
  </si>
  <si>
    <t>dba437b3-2f55-4f50-bdbb-21a4e417ada6</t>
  </si>
  <si>
    <t>2026-03-07 07:50:04</t>
  </si>
  <si>
    <t>27768437664</t>
  </si>
  <si>
    <t>13555927</t>
  </si>
  <si>
    <t>04ec957c-16aa-4b5d-87c1-e1a2dcfe14e3</t>
  </si>
  <si>
    <t>2026-03-07 07:48:21</t>
  </si>
  <si>
    <t>27715562467</t>
  </si>
  <si>
    <t>13564124</t>
  </si>
  <si>
    <t>0088c1b6-4e4a-44e3-a017-6ef6505f9d95</t>
  </si>
  <si>
    <t>2026-03-07 07:47:23</t>
  </si>
  <si>
    <t>27661815983</t>
  </si>
  <si>
    <t>13564247</t>
  </si>
  <si>
    <t>c4c1eb16-85f9-4b22-b032-ca18073692f3</t>
  </si>
  <si>
    <t>2026-03-07 07:47:22</t>
  </si>
  <si>
    <t>27675498973</t>
  </si>
  <si>
    <t>13564433</t>
  </si>
  <si>
    <t>17c7d3cd-96b2-4187-b3fb-bdd00ec97e4e</t>
  </si>
  <si>
    <t>2026-03-07 07:45:56</t>
  </si>
  <si>
    <t>27727661399</t>
  </si>
  <si>
    <t>13564479</t>
  </si>
  <si>
    <t>aae8c271-b660-4549-bd85-526c9616ac0e</t>
  </si>
  <si>
    <t>2026-03-07 07:45:46</t>
  </si>
  <si>
    <t>27767078666</t>
  </si>
  <si>
    <t>13564501</t>
  </si>
  <si>
    <t>22609c71-c68d-4e5e-aeab-ecb5c9a73a1c</t>
  </si>
  <si>
    <t>2026-03-07 07:45:39</t>
  </si>
  <si>
    <t>27791797394</t>
  </si>
  <si>
    <t>13559647</t>
  </si>
  <si>
    <t>482758c1-2d56-47eb-a35b-a2818413c452</t>
  </si>
  <si>
    <t>2026-03-07 07:44:41</t>
  </si>
  <si>
    <t>27834278509</t>
  </si>
  <si>
    <t>13559662</t>
  </si>
  <si>
    <t>1b366e4c-5d5f-4303-91a4-cd9063d6f679</t>
  </si>
  <si>
    <t>2026-03-07 07:44:40</t>
  </si>
  <si>
    <t>27836825866</t>
  </si>
  <si>
    <t>13564548</t>
  </si>
  <si>
    <t>acc4285c-e23e-4ab2-b9d6-b4c53f331e6f</t>
  </si>
  <si>
    <t>2026-03-07 07:44:28</t>
  </si>
  <si>
    <t>27728118338</t>
  </si>
  <si>
    <t>13564764</t>
  </si>
  <si>
    <t>150a8c3b-caae-47f1-8f4c-5faad96b7670</t>
  </si>
  <si>
    <t>2026-03-07 07:44:11</t>
  </si>
  <si>
    <t>27607068195</t>
  </si>
  <si>
    <t>13564776</t>
  </si>
  <si>
    <t>bacff7e3-e095-4a75-822d-76749580433f</t>
  </si>
  <si>
    <t>2026-03-07 07:44:02</t>
  </si>
  <si>
    <t>27607221146</t>
  </si>
  <si>
    <t>13564792</t>
  </si>
  <si>
    <t>db0fcddf-9680-4529-8726-c52d5914de7f</t>
  </si>
  <si>
    <t>2026-03-07 07:43:50</t>
  </si>
  <si>
    <t>27607538492</t>
  </si>
  <si>
    <t>13555726</t>
  </si>
  <si>
    <t>3361cc7b-aa67-46be-a631-b1e573658eee</t>
  </si>
  <si>
    <t>2026-03-07 07:43:39</t>
  </si>
  <si>
    <t>27713231985</t>
  </si>
  <si>
    <t>13555743</t>
  </si>
  <si>
    <t>e3bf2d45-00a1-4f85-b8fa-db2e9dc6935e</t>
  </si>
  <si>
    <t>2026-03-07 07:43:27</t>
  </si>
  <si>
    <t>27713435587</t>
  </si>
  <si>
    <t>13555418</t>
  </si>
  <si>
    <t>8b289e77-2a67-495b-b502-4aa4850c02b3</t>
  </si>
  <si>
    <t>2026-03-07 07:42:04</t>
  </si>
  <si>
    <t>27665094629</t>
  </si>
  <si>
    <t>13555375</t>
  </si>
  <si>
    <t>d8b7da04-9d3c-4fce-9808-39f481968f37</t>
  </si>
  <si>
    <t>2026-03-07 07:42:00</t>
  </si>
  <si>
    <t>27664146216</t>
  </si>
  <si>
    <t>13555364</t>
  </si>
  <si>
    <t>4aca1f94-d553-4463-a4c2-2f822086b785</t>
  </si>
  <si>
    <t>2026-03-07 07:41:55</t>
  </si>
  <si>
    <t>27664083781</t>
  </si>
  <si>
    <t>13555290</t>
  </si>
  <si>
    <t>612dce9b-16d8-4c6e-9977-c834c974ad7d</t>
  </si>
  <si>
    <t>2026-03-07 07:41:02</t>
  </si>
  <si>
    <t>27661274613</t>
  </si>
  <si>
    <t>13556341</t>
  </si>
  <si>
    <t>6ccd92f4-250c-4938-aefc-ecbde4441583</t>
  </si>
  <si>
    <t>2026-03-07 07:40:18</t>
  </si>
  <si>
    <t>27722898891</t>
  </si>
  <si>
    <t>13564664</t>
  </si>
  <si>
    <t>be99cce4-b9ca-4af6-af7d-55f1378f3731</t>
  </si>
  <si>
    <t>2026-03-07 07:39:33</t>
  </si>
  <si>
    <t>27675838522</t>
  </si>
  <si>
    <t>13555487</t>
  </si>
  <si>
    <t>b878a723-d6ad-4dd5-bd3d-05504efc1dbf</t>
  </si>
  <si>
    <t>2026-03-07 07:39:02</t>
  </si>
  <si>
    <t>27674581528</t>
  </si>
  <si>
    <t>13555470</t>
  </si>
  <si>
    <t>ce3d078d-84e5-491b-a1fa-7b4e3be8f9ea</t>
  </si>
  <si>
    <t>2026-03-07 07:38:48</t>
  </si>
  <si>
    <t>27673578158</t>
  </si>
  <si>
    <t>13555830</t>
  </si>
  <si>
    <t>cfe9b5c5-0139-4f0a-9b83-ce87a21ba369</t>
  </si>
  <si>
    <t>2026-03-07 07:38:30</t>
  </si>
  <si>
    <t>27714507324</t>
  </si>
  <si>
    <t>13555532</t>
  </si>
  <si>
    <t>0b111a7a-3ecc-4817-91c7-da0faaa6883e</t>
  </si>
  <si>
    <t>2026-03-07 07:38:13</t>
  </si>
  <si>
    <t>27711200415</t>
  </si>
  <si>
    <t>13564723</t>
  </si>
  <si>
    <t>70669c01-5799-4831-a369-b8932df29953</t>
  </si>
  <si>
    <t>2026-03-07 07:38:12</t>
  </si>
  <si>
    <t>27606359790</t>
  </si>
  <si>
    <t>13555600</t>
  </si>
  <si>
    <t>6aaae5e4-694b-4f12-9cce-6d79a906edf5</t>
  </si>
  <si>
    <t>2026-03-07 07:37:08</t>
  </si>
  <si>
    <t>27711955564</t>
  </si>
  <si>
    <t>13554929</t>
  </si>
  <si>
    <t>f76a784a-93da-4abc-b87a-3858ac75835f</t>
  </si>
  <si>
    <t>2026-03-07 07:36:13</t>
  </si>
  <si>
    <t>27620350728</t>
  </si>
  <si>
    <t>13557426</t>
  </si>
  <si>
    <t>6a82da46-8cb9-4f45-a04e-4c4d23996b8f</t>
  </si>
  <si>
    <t>2026-03-07 07:35:38</t>
  </si>
  <si>
    <t>27763458825</t>
  </si>
  <si>
    <t>13558041</t>
  </si>
  <si>
    <t>e94e8ba8-4ce9-4ac6-90c5-84e9a366262a</t>
  </si>
  <si>
    <t>2026-03-07 07:34:45</t>
  </si>
  <si>
    <t>27772976385</t>
  </si>
  <si>
    <t>13558044</t>
  </si>
  <si>
    <t>d54b08dd-c178-4a63-b247-d1ddfa7c2404</t>
  </si>
  <si>
    <t>27773666516</t>
  </si>
  <si>
    <t>13558144</t>
  </si>
  <si>
    <t>f373e9b4-3f5d-411c-bd6d-cc3510fd169b</t>
  </si>
  <si>
    <t>2026-03-07 07:34:43</t>
  </si>
  <si>
    <t>27790596053</t>
  </si>
  <si>
    <t>13560235</t>
  </si>
  <si>
    <t>f13e681e-6f76-438f-9d11-513c91bd5315</t>
  </si>
  <si>
    <t>2026-03-07 07:33:47</t>
  </si>
  <si>
    <t>27795506819</t>
  </si>
  <si>
    <t>13558350</t>
  </si>
  <si>
    <t>38f7cd47-0b3c-4ba2-a2c5-380ae47af142</t>
  </si>
  <si>
    <t>2026-03-07 07:33:07</t>
  </si>
  <si>
    <t>27793011197</t>
  </si>
  <si>
    <t>13558841</t>
  </si>
  <si>
    <t>663e97c2-b6df-446b-88dd-fe1aa92178eb</t>
  </si>
  <si>
    <t>2026-03-07 07:32:13</t>
  </si>
  <si>
    <t>27799163056</t>
  </si>
  <si>
    <t>13558362</t>
  </si>
  <si>
    <t>88425d34-021e-44f1-81ef-1002d5ab2d28</t>
  </si>
  <si>
    <t>2026-03-07 07:32:12</t>
  </si>
  <si>
    <t>27793137105</t>
  </si>
  <si>
    <t>13559464</t>
  </si>
  <si>
    <t>88a378d3-94c4-4316-974b-75c498d42008</t>
  </si>
  <si>
    <t>2026-03-07 07:32:04</t>
  </si>
  <si>
    <t>27827189933</t>
  </si>
  <si>
    <t>13558715</t>
  </si>
  <si>
    <t>7f1b3273-ec10-4af4-8327-5dd2562f15b9</t>
  </si>
  <si>
    <t>2026-03-07 07:32:03</t>
  </si>
  <si>
    <t>27797268475</t>
  </si>
  <si>
    <t>13558878</t>
  </si>
  <si>
    <t>929c529d-4a79-484d-add8-2e6c675a0487</t>
  </si>
  <si>
    <t>2026-03-07 07:31:41</t>
  </si>
  <si>
    <t>27799571482</t>
  </si>
  <si>
    <t>13555198</t>
  </si>
  <si>
    <t>1fa898d7-7689-404f-aea9-52c13cda2b6b</t>
  </si>
  <si>
    <t>2026-03-07 07:31:36</t>
  </si>
  <si>
    <t>27649835688</t>
  </si>
  <si>
    <t>13564150</t>
  </si>
  <si>
    <t>b07a4a0f-6bd5-48f6-a2d5-68d0b57b3b0a</t>
  </si>
  <si>
    <t>2026-03-07 07:30:42</t>
  </si>
  <si>
    <t>27648790486</t>
  </si>
  <si>
    <t>13558849</t>
  </si>
  <si>
    <t>c5f59e6b-10bf-49fb-b529-e13677716673</t>
  </si>
  <si>
    <t>2026-03-07 07:29:50</t>
  </si>
  <si>
    <t>27799249615</t>
  </si>
  <si>
    <t>13557437</t>
  </si>
  <si>
    <t>34856172-5734-4deb-a4dd-5d2ea9887ea4</t>
  </si>
  <si>
    <t>2026-03-07 07:29:48</t>
  </si>
  <si>
    <t>27763687247</t>
  </si>
  <si>
    <t>13558273</t>
  </si>
  <si>
    <t>8405b6cc-fd79-4132-af60-4c594d6e7787</t>
  </si>
  <si>
    <t>2026-03-07 07:29:10</t>
  </si>
  <si>
    <t>27792132786</t>
  </si>
  <si>
    <t>13556940</t>
  </si>
  <si>
    <t>63a3a494-16f8-4204-baa4-082d63029afb</t>
  </si>
  <si>
    <t>2026-03-07 07:28:45</t>
  </si>
  <si>
    <t>27728832773</t>
  </si>
  <si>
    <t>13556958</t>
  </si>
  <si>
    <t>52361815-1dcc-4b9a-b816-93398615409c</t>
  </si>
  <si>
    <t>2026-03-07 07:28:38</t>
  </si>
  <si>
    <t>27728984600</t>
  </si>
  <si>
    <t>13555182</t>
  </si>
  <si>
    <t>dba59ea4-e0d7-43e9-be11-978b2270bfee</t>
  </si>
  <si>
    <t>2026-03-07 07:28:27</t>
  </si>
  <si>
    <t>27649444303</t>
  </si>
  <si>
    <t>13560274</t>
  </si>
  <si>
    <t>cb72e9b7-2992-4cf7-9000-6265fb706dd3</t>
  </si>
  <si>
    <t>2026-03-07 07:27:32</t>
  </si>
  <si>
    <t>27664387494</t>
  </si>
  <si>
    <t>13555138</t>
  </si>
  <si>
    <t>f6679bd3-0ce8-4687-b1fe-8b1beee73d2b</t>
  </si>
  <si>
    <t>2026-03-07 07:27:21</t>
  </si>
  <si>
    <t>27648546759</t>
  </si>
  <si>
    <t>13555145</t>
  </si>
  <si>
    <t>64f9b4ef-74af-43ca-945f-9d69d1e5d3a8</t>
  </si>
  <si>
    <t>27648635247</t>
  </si>
  <si>
    <t>13555132</t>
  </si>
  <si>
    <t>a55521d3-05fa-4ff1-adf1-23237bae06b1</t>
  </si>
  <si>
    <t>2026-03-07 07:27:20</t>
  </si>
  <si>
    <t>27648458815</t>
  </si>
  <si>
    <t>13560478</t>
  </si>
  <si>
    <t>0b7d4713-654b-4ec3-b9d6-b8f8a376669f</t>
  </si>
  <si>
    <t>2026-03-07 07:26:54</t>
  </si>
  <si>
    <t>27632797289</t>
  </si>
  <si>
    <t>13559195</t>
  </si>
  <si>
    <t>ed544f0d-bf48-49a3-b6ed-7df9c0126e43</t>
  </si>
  <si>
    <t>2026-03-07 07:26:44</t>
  </si>
  <si>
    <t>27824059345</t>
  </si>
  <si>
    <t>13559081</t>
  </si>
  <si>
    <t>314368c1-56ed-49ed-aa18-b42352fa9228</t>
  </si>
  <si>
    <t>2026-03-07 07:26:04</t>
  </si>
  <si>
    <t>27822575852</t>
  </si>
  <si>
    <t>13563780</t>
  </si>
  <si>
    <t>e7bbf842-c314-4eb7-833d-5d531d2db698</t>
  </si>
  <si>
    <t>2026-03-07 07:25:10</t>
  </si>
  <si>
    <t>27728400550</t>
  </si>
  <si>
    <t>13555081</t>
  </si>
  <si>
    <t>54f56f98-aa60-4fc8-8d0d-41b7f84c2339</t>
  </si>
  <si>
    <t>2026-03-07 07:24:21</t>
  </si>
  <si>
    <t>27647226877</t>
  </si>
  <si>
    <t>13556674</t>
  </si>
  <si>
    <t>0c63d802-4776-49c1-b866-a647f9b82df8</t>
  </si>
  <si>
    <t>2026-03-07 07:23:33</t>
  </si>
  <si>
    <t>27726430251</t>
  </si>
  <si>
    <t>13562461</t>
  </si>
  <si>
    <t>31273cf5-9a26-4994-a7f6-bc212f09e057</t>
  </si>
  <si>
    <t>2026-03-07 07:23:27</t>
  </si>
  <si>
    <t>27722082000</t>
  </si>
  <si>
    <t>13557855</t>
  </si>
  <si>
    <t>579340f7-82e8-46de-bd90-e310bb5af799</t>
  </si>
  <si>
    <t>2026-03-07 07:22:56</t>
  </si>
  <si>
    <t>27768041220</t>
  </si>
  <si>
    <t>13557892</t>
  </si>
  <si>
    <t>7c4f5553-f55b-451a-b438-1f1361ae638c</t>
  </si>
  <si>
    <t>2026-03-07 07:22:44</t>
  </si>
  <si>
    <t>27768333507</t>
  </si>
  <si>
    <t>13557452</t>
  </si>
  <si>
    <t>8c7440cf-97ab-4379-8f70-ff8d50ae0a0c</t>
  </si>
  <si>
    <t>2026-03-07 07:22:13</t>
  </si>
  <si>
    <t>27763954755</t>
  </si>
  <si>
    <t>13559960</t>
  </si>
  <si>
    <t>ac071ad0-eb4e-4ac5-9002-2c973fae175f</t>
  </si>
  <si>
    <t>2026-03-07 07:21:51</t>
  </si>
  <si>
    <t>27720504370</t>
  </si>
  <si>
    <t>13557986</t>
  </si>
  <si>
    <t>36e2ff6e-a855-4cf7-986a-90f5a422e351</t>
  </si>
  <si>
    <t>2026-03-07 07:21:50</t>
  </si>
  <si>
    <t>27769381853</t>
  </si>
  <si>
    <t>13559962</t>
  </si>
  <si>
    <t>b2246cf5-dd9a-4fd9-8827-26ef46b1653d</t>
  </si>
  <si>
    <t>2026-03-07 07:21:48</t>
  </si>
  <si>
    <t>27664381484</t>
  </si>
  <si>
    <t>13555046</t>
  </si>
  <si>
    <t>882d2552-fbe9-4cf0-8126-955ff743fafd</t>
  </si>
  <si>
    <t>2026-03-07 07:21:27</t>
  </si>
  <si>
    <t>27646304643</t>
  </si>
  <si>
    <t>13558050</t>
  </si>
  <si>
    <t>d5aaf7da-a980-4a2a-8ee0-908dce1fc16d</t>
  </si>
  <si>
    <t>2026-03-07 07:21:11</t>
  </si>
  <si>
    <t>27774007240</t>
  </si>
  <si>
    <t>13558059</t>
  </si>
  <si>
    <t>9267551e-b880-4807-b34d-fd3ad7ad50a1</t>
  </si>
  <si>
    <t>2026-03-07 07:20:55</t>
  </si>
  <si>
    <t>27774418449</t>
  </si>
  <si>
    <t>13557852</t>
  </si>
  <si>
    <t>063e4f77-993f-40f3-8339-4a959d1d5ee8</t>
  </si>
  <si>
    <t>2026-03-07 07:20:16</t>
  </si>
  <si>
    <t>27768021035</t>
  </si>
  <si>
    <t>13556530</t>
  </si>
  <si>
    <t>1e96f8b3-b7de-48aa-ba16-71cfa353565f</t>
  </si>
  <si>
    <t>2026-03-07 07:19:53</t>
  </si>
  <si>
    <t>27724780499</t>
  </si>
  <si>
    <t>13561587</t>
  </si>
  <si>
    <t>acf3413a-11f3-4461-a80a-f4486c0215c5</t>
  </si>
  <si>
    <t>2026-03-07 07:18:55</t>
  </si>
  <si>
    <t>27607843524</t>
  </si>
  <si>
    <t>13561397</t>
  </si>
  <si>
    <t>71d20ba8-51f4-4a81-9f43-ff344285235c</t>
  </si>
  <si>
    <t>2026-03-07 07:18:49</t>
  </si>
  <si>
    <t>27663511975</t>
  </si>
  <si>
    <t>13561433</t>
  </si>
  <si>
    <t>ffbb8111-62bd-4cd5-a635-ebaf9ae42c2a</t>
  </si>
  <si>
    <t>2026-03-07 07:18:48</t>
  </si>
  <si>
    <t>27713889946</t>
  </si>
  <si>
    <t>13556592</t>
  </si>
  <si>
    <t>63ae58d2-6a6c-4518-9801-7efb48133e9f</t>
  </si>
  <si>
    <t>2026-03-07 07:18:43</t>
  </si>
  <si>
    <t>27725358140</t>
  </si>
  <si>
    <t>13562035</t>
  </si>
  <si>
    <t>100b8ec7-7f70-4d8a-8119-02b806062c9c</t>
  </si>
  <si>
    <t>2026-03-07 07:17:59</t>
  </si>
  <si>
    <t>27767027010</t>
  </si>
  <si>
    <t>13558408</t>
  </si>
  <si>
    <t>de5850fc-d7f6-401b-9bab-238edbdf70ac</t>
  </si>
  <si>
    <t>2026-03-07 07:15:28</t>
  </si>
  <si>
    <t>27793629296</t>
  </si>
  <si>
    <t>13562406</t>
  </si>
  <si>
    <t>5675e585-d88f-4e6a-b967-4208ece293eb</t>
  </si>
  <si>
    <t>2026-03-07 07:15:04</t>
  </si>
  <si>
    <t>27674575916</t>
  </si>
  <si>
    <t>13562471</t>
  </si>
  <si>
    <t>17c90371-128a-494b-8231-29da61088570</t>
  </si>
  <si>
    <t>2026-03-07 07:14:56</t>
  </si>
  <si>
    <t>27765988456</t>
  </si>
  <si>
    <t>13562561</t>
  </si>
  <si>
    <t>3244b85e-858b-4340-a6bb-a13dad5ee1e3</t>
  </si>
  <si>
    <t>2026-03-07 07:14:01</t>
  </si>
  <si>
    <t>27658559368</t>
  </si>
  <si>
    <t>13556020</t>
  </si>
  <si>
    <t>f81be9ba-3de6-4c62-9524-ced8e5da5940</t>
  </si>
  <si>
    <t>2026-03-07 07:13:14</t>
  </si>
  <si>
    <t>27716629286</t>
  </si>
  <si>
    <t>13555998</t>
  </si>
  <si>
    <t>52addcb5-1103-4963-ac5a-c6f7e8f88cf0</t>
  </si>
  <si>
    <t>2026-03-07 07:12:22</t>
  </si>
  <si>
    <t>27716261179</t>
  </si>
  <si>
    <t>13558078</t>
  </si>
  <si>
    <t>dd1bdfa9-9a9a-4ee3-8b3e-40d13a63b972</t>
  </si>
  <si>
    <t>2026-03-07 07:10:01</t>
  </si>
  <si>
    <t>27783808071</t>
  </si>
  <si>
    <t>13558240</t>
  </si>
  <si>
    <t>5cf56bda-3bed-4040-a932-229b9b5b6586</t>
  </si>
  <si>
    <t>2026-03-07 07:09:47</t>
  </si>
  <si>
    <t>27791677511</t>
  </si>
  <si>
    <t>13563117</t>
  </si>
  <si>
    <t>be825ec7-8287-48d1-abda-56890cfb4388</t>
  </si>
  <si>
    <t>2026-03-07 07:08:13</t>
  </si>
  <si>
    <t>27774282703</t>
  </si>
  <si>
    <t>13563199</t>
  </si>
  <si>
    <t>cafef3f6-dec3-4b7d-841f-d669b92a28ab</t>
  </si>
  <si>
    <t>2026-03-07 07:08:03</t>
  </si>
  <si>
    <t>27647771406</t>
  </si>
  <si>
    <t>13563626</t>
  </si>
  <si>
    <t>129063a3-56db-48f7-8155-a94100e76690</t>
  </si>
  <si>
    <t>2026-03-07 07:06:44</t>
  </si>
  <si>
    <t>27763932125</t>
  </si>
  <si>
    <t>13564255</t>
  </si>
  <si>
    <t>70477da8-f632-45ec-b46c-8c36d2459354</t>
  </si>
  <si>
    <t>2026-03-07 07:02:48</t>
  </si>
  <si>
    <t>27607506261</t>
  </si>
  <si>
    <t>13560342</t>
  </si>
  <si>
    <t>0babec4d-af9c-4b57-a637-33201fb0fd15</t>
  </si>
  <si>
    <t>2026-03-07 07:02:35</t>
  </si>
  <si>
    <t>27762249049</t>
  </si>
  <si>
    <t>13562679</t>
  </si>
  <si>
    <t>2bd9a142-b1a2-49a1-82f3-d2e8517290e4</t>
  </si>
  <si>
    <t>2026-03-07 07:01:16</t>
  </si>
  <si>
    <t>27774817382</t>
  </si>
  <si>
    <t>13557562</t>
  </si>
  <si>
    <t>7c3f5c61-dae1-437b-9324-f53682a548a4</t>
  </si>
  <si>
    <t>2026-03-07 07:01:05</t>
  </si>
  <si>
    <t>27765123683</t>
  </si>
  <si>
    <t>13556348</t>
  </si>
  <si>
    <t>e8c402e6-a08f-4432-a468-2c16c2f9d2b2</t>
  </si>
  <si>
    <t>2026-03-06 13:14:51</t>
  </si>
  <si>
    <t>27722968819</t>
  </si>
  <si>
    <t>13561481</t>
  </si>
  <si>
    <t>0e6f693b-792a-4eb5-8869-2c87216e2dcd</t>
  </si>
  <si>
    <t>2026-03-06 13:13:53</t>
  </si>
  <si>
    <t>27715332863</t>
  </si>
  <si>
    <t>13564241</t>
  </si>
  <si>
    <t>20af3f4f-4573-4fe1-b4ef-4b71718d0dc1</t>
  </si>
  <si>
    <t>2026-03-06 13:00:45</t>
  </si>
  <si>
    <t>27772642277</t>
  </si>
  <si>
    <t>13557392</t>
  </si>
  <si>
    <t>034d6334-e115-49b7-a218-b989ce236330</t>
  </si>
  <si>
    <t>2026-03-06 12:59:11</t>
  </si>
  <si>
    <t>27763121761</t>
  </si>
  <si>
    <t>13561774</t>
  </si>
  <si>
    <t>bc4fd59b-b3a1-4875-a587-9f6dc71f4aef</t>
  </si>
  <si>
    <t>2026-03-06 12:48:13</t>
  </si>
  <si>
    <t>27764596764</t>
  </si>
  <si>
    <t>13559154</t>
  </si>
  <si>
    <t>0c547990-d79d-4526-9919-6fe4fcad2595</t>
  </si>
  <si>
    <t>2026-03-06 12:47:30</t>
  </si>
  <si>
    <t>27823578330</t>
  </si>
  <si>
    <t>13561521</t>
  </si>
  <si>
    <t>621d7e94-6f32-4474-a87c-11157f58dde1</t>
  </si>
  <si>
    <t>2026-03-06 12:44:37</t>
  </si>
  <si>
    <t>27762157073</t>
  </si>
  <si>
    <t>13564766</t>
  </si>
  <si>
    <t>9e97dfe8-6f92-4de8-9cc9-3f2a2ccc01e6</t>
  </si>
  <si>
    <t>2026-03-06 12:41:32</t>
  </si>
  <si>
    <t>27607096192</t>
  </si>
  <si>
    <t>13559446</t>
  </si>
  <si>
    <t>bda54122-a5df-4070-8609-9250e3a05f8c</t>
  </si>
  <si>
    <t>2026-03-06 12:40:08</t>
  </si>
  <si>
    <t>Zamantungwa Khumalo</t>
  </si>
  <si>
    <t>27826988672</t>
  </si>
  <si>
    <t>13557970</t>
  </si>
  <si>
    <t>43b1e37f-ef3c-4c33-8302-8e27c62f265a</t>
  </si>
  <si>
    <t>2026-03-06 12:36:37</t>
  </si>
  <si>
    <t>27769202405</t>
  </si>
  <si>
    <t>13563683</t>
  </si>
  <si>
    <t>f516ea6d-bada-46a8-aa2f-82c1d6427e8f</t>
  </si>
  <si>
    <t>2026-03-06 12:36:35</t>
  </si>
  <si>
    <t>27765336678</t>
  </si>
  <si>
    <t>13556334</t>
  </si>
  <si>
    <t>0bc6d1f6-1152-4c5d-9930-0d462157156b</t>
  </si>
  <si>
    <t>2026-03-06 12:35:45</t>
  </si>
  <si>
    <t>Lorato Debra Mogakwe</t>
  </si>
  <si>
    <t>27722796721</t>
  </si>
  <si>
    <t>13563063</t>
  </si>
  <si>
    <t>6e5523ed-2c73-47fe-bc93-796a9bdac2b0</t>
  </si>
  <si>
    <t>2026-03-06 12:35:03</t>
  </si>
  <si>
    <t>Zella Matlowa</t>
  </si>
  <si>
    <t>27725325411</t>
  </si>
  <si>
    <t>13556204</t>
  </si>
  <si>
    <t>2f79b77a-8e6e-4026-b96d-ec540d4ba94f</t>
  </si>
  <si>
    <t>2026-03-06 12:34:30</t>
  </si>
  <si>
    <t>27721552377</t>
  </si>
  <si>
    <t>13555554</t>
  </si>
  <si>
    <t>988de9d4-3090-473b-9d87-e941aecc8f9f</t>
  </si>
  <si>
    <t>2026-03-06 12:33:11</t>
  </si>
  <si>
    <t>27711448845</t>
  </si>
  <si>
    <t>13563742</t>
  </si>
  <si>
    <t>dd3dba61-579f-4138-976e-db696f3d89c6</t>
  </si>
  <si>
    <t>2026-03-06 12:31:00</t>
  </si>
  <si>
    <t>27724122610</t>
  </si>
  <si>
    <t>13557488</t>
  </si>
  <si>
    <t>beb4047c-49ed-49f7-a9b4-19c685a48196</t>
  </si>
  <si>
    <t>2026-03-06 12:30:57</t>
  </si>
  <si>
    <t>27764361364</t>
  </si>
  <si>
    <t>13557955</t>
  </si>
  <si>
    <t>fa1d36e2-ac02-40a0-bd73-3b3bab747774</t>
  </si>
  <si>
    <t>27769031027</t>
  </si>
  <si>
    <t>13555179</t>
  </si>
  <si>
    <t>082ce06a-eb52-4e57-98a2-1626f22bb000</t>
  </si>
  <si>
    <t>2026-03-06 12:28:48</t>
  </si>
  <si>
    <t>27649416863</t>
  </si>
  <si>
    <t>13555777</t>
  </si>
  <si>
    <t>da7c1581-6fbe-403b-9d87-31920f701ff5</t>
  </si>
  <si>
    <t>2026-03-06 12:27:58</t>
  </si>
  <si>
    <t>27713887088</t>
  </si>
  <si>
    <t>13558288</t>
  </si>
  <si>
    <t>7de8114d-7c73-4207-a6f2-9a3589ce3a57</t>
  </si>
  <si>
    <t>2026-03-06 12:22:38</t>
  </si>
  <si>
    <t>27792356559</t>
  </si>
  <si>
    <t>13560257</t>
  </si>
  <si>
    <t>d4a3b1ba-7d9f-4fc6-99eb-60cb392d2d6b</t>
  </si>
  <si>
    <t>2026-03-06 12:20:43</t>
  </si>
  <si>
    <t>27722733739</t>
  </si>
  <si>
    <t>13563454</t>
  </si>
  <si>
    <t>076079bb-07d3-4ff9-9c3c-920b43169b8f</t>
  </si>
  <si>
    <t>2026-03-06 12:17:03</t>
  </si>
  <si>
    <t>27664435041</t>
  </si>
  <si>
    <t>13557513</t>
  </si>
  <si>
    <t>af1780af-4554-4fe1-a893-d3a5d2c8d4de</t>
  </si>
  <si>
    <t>2026-03-06 12:12:44</t>
  </si>
  <si>
    <t>27764667179</t>
  </si>
  <si>
    <t>13562669</t>
  </si>
  <si>
    <t>bdad7876-9d7e-4ce2-be8d-a33c83e3c485</t>
  </si>
  <si>
    <t>27715827727</t>
  </si>
  <si>
    <t>13559802</t>
  </si>
  <si>
    <t>920420a1-6cec-4200-8501-c831ab19356e</t>
  </si>
  <si>
    <t>2026-03-06 12:09:49</t>
  </si>
  <si>
    <t>27797450419</t>
  </si>
  <si>
    <t>13562635</t>
  </si>
  <si>
    <t>94d72a9f-5508-4f86-bde8-defd4e7f427f</t>
  </si>
  <si>
    <t>2026-03-06 12:03:04</t>
  </si>
  <si>
    <t>27675310042</t>
  </si>
  <si>
    <t>13554945</t>
  </si>
  <si>
    <t>27f3b523-d900-4cea-8e8f-98804860051a</t>
  </si>
  <si>
    <t>2026-03-06 12:01:28</t>
  </si>
  <si>
    <t>27636167213</t>
  </si>
  <si>
    <t>13564202</t>
  </si>
  <si>
    <t>676b27bc-21b1-4a67-861b-074c74fbc5df</t>
  </si>
  <si>
    <t>2026-03-06 12:01:27</t>
  </si>
  <si>
    <t>27711894287</t>
  </si>
  <si>
    <t>13563410</t>
  </si>
  <si>
    <t>ee7aefb1-0f48-4ffd-a673-e36c7e793c53</t>
  </si>
  <si>
    <t>2026-03-06 11:54:12</t>
  </si>
  <si>
    <t>27774467982</t>
  </si>
  <si>
    <t>13557679</t>
  </si>
  <si>
    <t>a134630d-8f33-4cab-b520-c7f636680c71</t>
  </si>
  <si>
    <t>2026-03-06 11:48:28</t>
  </si>
  <si>
    <t>27766304678</t>
  </si>
  <si>
    <t>13563738</t>
  </si>
  <si>
    <t>df3a4d41-48ec-4618-8bdd-164bb9ac8891</t>
  </si>
  <si>
    <t>2026-03-06 11:48:15</t>
  </si>
  <si>
    <t>27721871399</t>
  </si>
  <si>
    <t>13559458</t>
  </si>
  <si>
    <t>3f9b2eb5-726c-4512-b4b8-31e362bde527</t>
  </si>
  <si>
    <t>2026-03-06 11:48:14</t>
  </si>
  <si>
    <t>27827088647</t>
  </si>
  <si>
    <t>13561329</t>
  </si>
  <si>
    <t>413b2f26-9c53-4c07-8b09-b29206681037</t>
  </si>
  <si>
    <t>2026-03-06 11:47:44</t>
  </si>
  <si>
    <t>27660597443</t>
  </si>
  <si>
    <t>13558710</t>
  </si>
  <si>
    <t>76a1aafc-ebf7-41be-804d-5f28c0b8f4b6</t>
  </si>
  <si>
    <t>2026-03-06 11:47:06</t>
  </si>
  <si>
    <t>27797202379</t>
  </si>
  <si>
    <t>13560487</t>
  </si>
  <si>
    <t>058b2461-0c83-4e5c-878d-fd7461f41348</t>
  </si>
  <si>
    <t>2026-03-06 11:47:01</t>
  </si>
  <si>
    <t>27766422448</t>
  </si>
  <si>
    <t>13563379</t>
  </si>
  <si>
    <t>9e2d01e2-9647-4d79-ac1c-7e585b8d99da</t>
  </si>
  <si>
    <t>2026-03-06 11:46:58</t>
  </si>
  <si>
    <t>27646623928</t>
  </si>
  <si>
    <t>13563008</t>
  </si>
  <si>
    <t>33f65a7a-1dd9-484c-896f-d78ad8487861</t>
  </si>
  <si>
    <t>2026-03-06 11:46:06</t>
  </si>
  <si>
    <t>27760484619</t>
  </si>
  <si>
    <t>13557954</t>
  </si>
  <si>
    <t>bcec7257-6dbe-4b97-afb6-a366511f41fe</t>
  </si>
  <si>
    <t>2026-03-06 11:46:05</t>
  </si>
  <si>
    <t>27769018738</t>
  </si>
  <si>
    <t>13559732</t>
  </si>
  <si>
    <t>5a44d6d3-f78e-44e4-a2dc-11025f056723</t>
  </si>
  <si>
    <t>27789227475</t>
  </si>
  <si>
    <t>13555879</t>
  </si>
  <si>
    <t>a5bd866d-91de-4abd-816d-2f539e4f0012</t>
  </si>
  <si>
    <t>2026-03-06 11:45:11</t>
  </si>
  <si>
    <t>27715145411</t>
  </si>
  <si>
    <t>13556693</t>
  </si>
  <si>
    <t>b17c8b32-f525-4aae-99c1-af2227d036d1</t>
  </si>
  <si>
    <t>2026-03-06 11:45:01</t>
  </si>
  <si>
    <t>27726610377</t>
  </si>
  <si>
    <t>13564510</t>
  </si>
  <si>
    <t>cf8f1782-26e1-48bd-b4b6-dfd807344c38</t>
  </si>
  <si>
    <t>2026-03-06 11:45:00</t>
  </si>
  <si>
    <t>27715545294</t>
  </si>
  <si>
    <t>13562217</t>
  </si>
  <si>
    <t>75c4bc5e-7251-406c-aba0-ee7f1a6b07c6</t>
  </si>
  <si>
    <t>2026-03-06 11:44:59</t>
  </si>
  <si>
    <t>27793694952</t>
  </si>
  <si>
    <t>13562304</t>
  </si>
  <si>
    <t>318c3059-b604-45bb-af1e-23914903d5e4</t>
  </si>
  <si>
    <t>2026-03-06 11:44:52</t>
  </si>
  <si>
    <t>27720858716</t>
  </si>
  <si>
    <t>13559349</t>
  </si>
  <si>
    <t>5f7df671-7082-477b-893d-411956b2b1ae</t>
  </si>
  <si>
    <t>2026-03-06 11:44:42</t>
  </si>
  <si>
    <t>27825924917</t>
  </si>
  <si>
    <t>13558609</t>
  </si>
  <si>
    <t>7280c403-acc9-4ad5-b107-3384eba77399</t>
  </si>
  <si>
    <t>2026-03-06 11:44:18</t>
  </si>
  <si>
    <t>27796082392</t>
  </si>
  <si>
    <t>13558380</t>
  </si>
  <si>
    <t>d2f439be-306d-4ddf-8c5a-6aa55f74f828</t>
  </si>
  <si>
    <t>2026-03-06 11:44:16</t>
  </si>
  <si>
    <t>27793322878</t>
  </si>
  <si>
    <t>13556481</t>
  </si>
  <si>
    <t>d5afcdac-488c-4698-8a97-4a7b6355a24e</t>
  </si>
  <si>
    <t>2026-03-06 11:44:01</t>
  </si>
  <si>
    <t>Hosana Dhladhla</t>
  </si>
  <si>
    <t>27724346716</t>
  </si>
  <si>
    <t>13558509</t>
  </si>
  <si>
    <t>db10ba2e-acbf-40c0-90ad-b1807bc9fbcc</t>
  </si>
  <si>
    <t>27794749707</t>
  </si>
  <si>
    <t>13564836</t>
  </si>
  <si>
    <t>ddaf0a11-ef17-458e-86c5-cf45a84a02df</t>
  </si>
  <si>
    <t>2026-03-06 11:43:04</t>
  </si>
  <si>
    <t>27608249532</t>
  </si>
  <si>
    <t>13564720</t>
  </si>
  <si>
    <t>690c72b1-4bcf-4ef9-8989-0bfc4771e63f</t>
  </si>
  <si>
    <t>2026-03-06 11:42:50</t>
  </si>
  <si>
    <t>27606324036</t>
  </si>
  <si>
    <t>13556877</t>
  </si>
  <si>
    <t>421d77cb-b635-45de-b763-c93e533815b4</t>
  </si>
  <si>
    <t>2026-03-06 11:41:24</t>
  </si>
  <si>
    <t>27728238795</t>
  </si>
  <si>
    <t>13562986</t>
  </si>
  <si>
    <t>cf7fc900-1882-4d77-b73e-d08174ce6605</t>
  </si>
  <si>
    <t>2026-03-06 11:40:23</t>
  </si>
  <si>
    <t>27634257831</t>
  </si>
  <si>
    <t>13561392</t>
  </si>
  <si>
    <t>14508f7b-1f4c-4d30-9b6e-d63810d506fd</t>
  </si>
  <si>
    <t>2026-03-06 11:39:45</t>
  </si>
  <si>
    <t>27664444767</t>
  </si>
  <si>
    <t>13561930</t>
  </si>
  <si>
    <t>1ef77da3-0c37-4e93-8040-0ca3e5c27a83</t>
  </si>
  <si>
    <t>2026-03-06 11:39:16</t>
  </si>
  <si>
    <t>27791024934</t>
  </si>
  <si>
    <t>13563637</t>
  </si>
  <si>
    <t>f26dd01b-b60a-4c87-96bf-31076806e906</t>
  </si>
  <si>
    <t>2026-03-06 11:39:07</t>
  </si>
  <si>
    <t>27711189782</t>
  </si>
  <si>
    <t>13556357</t>
  </si>
  <si>
    <t>b3f054b0-dd41-45cf-a852-53667896d584</t>
  </si>
  <si>
    <t>2026-03-06 11:38:59</t>
  </si>
  <si>
    <t>27723081518</t>
  </si>
  <si>
    <t>13556815</t>
  </si>
  <si>
    <t>c0865d02-d704-4be4-9a38-0dcc925fee09</t>
  </si>
  <si>
    <t>NAELIN RICHARD</t>
  </si>
  <si>
    <t>DANIELS</t>
  </si>
  <si>
    <t>2026-03-06 11:38:55</t>
  </si>
  <si>
    <t>2026-03-06 11:43:08</t>
  </si>
  <si>
    <t>27727717705</t>
  </si>
  <si>
    <t>13561906</t>
  </si>
  <si>
    <t>2f99be83-7c4d-4520-a13a-bb67d7ea9a21</t>
  </si>
  <si>
    <t>2026-03-06 11:37:08</t>
  </si>
  <si>
    <t>27773891641</t>
  </si>
  <si>
    <t>13561933</t>
  </si>
  <si>
    <t>0f0c7ac6-c3e7-436f-84de-b3e9a7ac4a83</t>
  </si>
  <si>
    <t>27760110992</t>
  </si>
  <si>
    <t>13563989</t>
  </si>
  <si>
    <t>6e729398-77f0-4617-8fa7-0573a15abde1</t>
  </si>
  <si>
    <t>27765013687</t>
  </si>
  <si>
    <t>13556834</t>
  </si>
  <si>
    <t>2736cd2b-ce02-44f7-aaf5-cfd5c38dbe29</t>
  </si>
  <si>
    <t>2026-03-06 11:36:59</t>
  </si>
  <si>
    <t>27727936892</t>
  </si>
  <si>
    <t>13558708</t>
  </si>
  <si>
    <t>09fc9a6b-1531-4964-86d9-33f7341be416</t>
  </si>
  <si>
    <t>2026-03-06 11:36:57</t>
  </si>
  <si>
    <t>27797201621</t>
  </si>
  <si>
    <t>13562491</t>
  </si>
  <si>
    <t>60dab86a-f884-46a8-b78a-e0ad359778d2</t>
  </si>
  <si>
    <t>2026-03-06 11:36:20</t>
  </si>
  <si>
    <t>27660656421</t>
  </si>
  <si>
    <t>13563465</t>
  </si>
  <si>
    <t>0c402d22-6db2-48df-8660-8d80038831df</t>
  </si>
  <si>
    <t>2026-03-06 11:36:16</t>
  </si>
  <si>
    <t>27713951277</t>
  </si>
  <si>
    <t>13556646</t>
  </si>
  <si>
    <t>37a127a1-6e0a-43db-8f19-b9a44f83de96</t>
  </si>
  <si>
    <t>2026-03-06 11:36:14</t>
  </si>
  <si>
    <t>27725925180</t>
  </si>
  <si>
    <t>13562003</t>
  </si>
  <si>
    <t>4459c764-a3dd-41e8-a21a-a27313f9dcc5</t>
  </si>
  <si>
    <t>2026-03-06 11:36:06</t>
  </si>
  <si>
    <t>27609189843</t>
  </si>
  <si>
    <t>13564040</t>
  </si>
  <si>
    <t>38bd0925-4a98-457e-a0e7-3affd1d76be0</t>
  </si>
  <si>
    <t>2026-03-06 11:34:21</t>
  </si>
  <si>
    <t>27720526779</t>
  </si>
  <si>
    <t>13563329</t>
  </si>
  <si>
    <t>2338db50-a3bf-406d-ab13-8ef0617b3256</t>
  </si>
  <si>
    <t>2026-03-06 11:33:51</t>
  </si>
  <si>
    <t>27769597204</t>
  </si>
  <si>
    <t>13563344</t>
  </si>
  <si>
    <t>22c29d89-060a-42c6-97b9-a74ac3d2f1f5</t>
  </si>
  <si>
    <t>2026-03-06 11:33:01</t>
  </si>
  <si>
    <t>27713781374</t>
  </si>
  <si>
    <t>13563679</t>
  </si>
  <si>
    <t>1dd38dee-ae47-418a-b73c-f94c4e76e7ee</t>
  </si>
  <si>
    <t>2026-03-06 11:33:00</t>
  </si>
  <si>
    <t>27665114743</t>
  </si>
  <si>
    <t>13560209</t>
  </si>
  <si>
    <t>362468e1-126b-4352-9dde-c8f2733a0ddb</t>
  </si>
  <si>
    <t>2026-03-06 11:32:45</t>
  </si>
  <si>
    <t>27774796502</t>
  </si>
  <si>
    <t>13561459</t>
  </si>
  <si>
    <t>07b37d91-9795-4e65-a4b8-752db0c5c9c9</t>
  </si>
  <si>
    <t>2026-03-06 11:31:30</t>
  </si>
  <si>
    <t>27661430894</t>
  </si>
  <si>
    <t>13563714</t>
  </si>
  <si>
    <t>5da0d201-78cf-40a9-8db8-fa3faf23c79a</t>
  </si>
  <si>
    <t>27760911198</t>
  </si>
  <si>
    <t>13562388</t>
  </si>
  <si>
    <t>29f65f65-2ca7-46e1-a7a5-3ecbb00400e4</t>
  </si>
  <si>
    <t>2026-03-06 11:31:28</t>
  </si>
  <si>
    <t>27768388013</t>
  </si>
  <si>
    <t>13561063</t>
  </si>
  <si>
    <t>0f92c933-a8a4-4e31-9c10-ebdbc9d45ff0</t>
  </si>
  <si>
    <t>2026-03-06 11:30:43</t>
  </si>
  <si>
    <t>27660744698</t>
  </si>
  <si>
    <t>13559646</t>
  </si>
  <si>
    <t>7f6deca8-8cde-47b9-ab4a-f63e52a943ad</t>
  </si>
  <si>
    <t>2026-03-06 11:29:44</t>
  </si>
  <si>
    <t>27834250522</t>
  </si>
  <si>
    <t>13562976</t>
  </si>
  <si>
    <t>555bd961-94e8-4501-b7c3-69cd07eb87c1</t>
  </si>
  <si>
    <t>2026-03-06 11:29:43</t>
  </si>
  <si>
    <t>27724129278</t>
  </si>
  <si>
    <t>13563543</t>
  </si>
  <si>
    <t>69daeb4a-df0d-498f-b7c0-4f0ea1542c36</t>
  </si>
  <si>
    <t>2026-03-06 11:29:02</t>
  </si>
  <si>
    <t>27647048887</t>
  </si>
  <si>
    <t>13556927</t>
  </si>
  <si>
    <t>aafdf25b-a423-4d6c-ab6e-d541fbf228b6</t>
  </si>
  <si>
    <t>2026-03-06 11:28:18</t>
  </si>
  <si>
    <t>27728729573</t>
  </si>
  <si>
    <t>13562110</t>
  </si>
  <si>
    <t>5864522f-a7eb-42eb-9b77-4a933ada7104</t>
  </si>
  <si>
    <t>2026-03-06 11:28:17</t>
  </si>
  <si>
    <t>27673860266</t>
  </si>
  <si>
    <t>13561713</t>
  </si>
  <si>
    <t>50e4f832-550f-445d-ab67-725364da655e</t>
  </si>
  <si>
    <t>2026-03-06 11:27:24</t>
  </si>
  <si>
    <t>27820649986</t>
  </si>
  <si>
    <t>13562618</t>
  </si>
  <si>
    <t>0f0babd1-b180-42cc-b9b2-3865d1e5ab8e</t>
  </si>
  <si>
    <t>2026-03-06 11:27:03</t>
  </si>
  <si>
    <t>27790183464</t>
  </si>
  <si>
    <t>13562763</t>
  </si>
  <si>
    <t>bed12cc1-b566-44b8-b690-951f72907a99</t>
  </si>
  <si>
    <t>2026-03-06 11:26:54</t>
  </si>
  <si>
    <t>27648184310</t>
  </si>
  <si>
    <t>13562705</t>
  </si>
  <si>
    <t>41a4d3e5-231c-4ae3-bc2d-4d20fd9fee0a</t>
  </si>
  <si>
    <t>2026-03-06 11:26:02</t>
  </si>
  <si>
    <t>27713798232</t>
  </si>
  <si>
    <t>13556132</t>
  </si>
  <si>
    <t>3001a8d8-afcd-482e-a819-ceb2d9335a63</t>
  </si>
  <si>
    <t>2026-03-06 11:25:55</t>
  </si>
  <si>
    <t>27720969559</t>
  </si>
  <si>
    <t>13555868</t>
  </si>
  <si>
    <t>5ab1a04b-5cce-4824-a47d-8321549ef62f</t>
  </si>
  <si>
    <t>2026-03-06 11:25:50</t>
  </si>
  <si>
    <t>27715052620</t>
  </si>
  <si>
    <t>13555823</t>
  </si>
  <si>
    <t>b9461a7a-654f-4178-b849-d886f558e674</t>
  </si>
  <si>
    <t>2026-03-06 11:25:46</t>
  </si>
  <si>
    <t>27714419122</t>
  </si>
  <si>
    <t>13555762</t>
  </si>
  <si>
    <t>0224880d-85dc-4bc5-a05c-8ff37a97432b</t>
  </si>
  <si>
    <t>2026-03-06 11:25:40</t>
  </si>
  <si>
    <t>27713745524</t>
  </si>
  <si>
    <t>13562335</t>
  </si>
  <si>
    <t>51900e08-2e61-42ca-9a0f-7179e27e385d</t>
  </si>
  <si>
    <t>2026-03-06 11:24:46</t>
  </si>
  <si>
    <t>27729880494</t>
  </si>
  <si>
    <t>13562257</t>
  </si>
  <si>
    <t>503e0f6f-93c1-47d5-83b1-e65d1e63a490</t>
  </si>
  <si>
    <t>2026-03-06 11:24:40</t>
  </si>
  <si>
    <t>27663316536</t>
  </si>
  <si>
    <t>13562308</t>
  </si>
  <si>
    <t>eac55a19-8f8f-4716-8ac6-ea772b5e362f</t>
  </si>
  <si>
    <t>2026-03-06 11:24:35</t>
  </si>
  <si>
    <t>27712170449</t>
  </si>
  <si>
    <t>13562071</t>
  </si>
  <si>
    <t>d2315d96-f91b-427c-98df-d5edbfbfa230</t>
  </si>
  <si>
    <t>2026-03-06 11:23:45</t>
  </si>
  <si>
    <t>27637000160</t>
  </si>
  <si>
    <t>13562057</t>
  </si>
  <si>
    <t>6784964f-2e1b-40a5-9d88-18e983f7e8c1</t>
  </si>
  <si>
    <t>2026-03-06 11:23:44</t>
  </si>
  <si>
    <t>27722846972</t>
  </si>
  <si>
    <t>13564076</t>
  </si>
  <si>
    <t>eebdf967-b71d-41fb-adac-d8cd5c28a43d</t>
  </si>
  <si>
    <t>2026-03-06 11:23:07</t>
  </si>
  <si>
    <t>27722572599</t>
  </si>
  <si>
    <t>13564115</t>
  </si>
  <si>
    <t>faaafb9a-5fb2-42c2-9bee-63884276770e</t>
  </si>
  <si>
    <t>2026-03-06 11:23:05</t>
  </si>
  <si>
    <t>27721999942</t>
  </si>
  <si>
    <t>13564198</t>
  </si>
  <si>
    <t>b32dac78-8d2b-4905-b478-aaeec05a3708</t>
  </si>
  <si>
    <t>2026-03-06 11:22:17</t>
  </si>
  <si>
    <t>27727368556</t>
  </si>
  <si>
    <t>13564209</t>
  </si>
  <si>
    <t>384a9729-5899-4eb4-a61b-1d42890e1620</t>
  </si>
  <si>
    <t>27722503720</t>
  </si>
  <si>
    <t>13564228</t>
  </si>
  <si>
    <t>de02972d-2cdc-4300-9dfa-8bd0e6993f7b</t>
  </si>
  <si>
    <t>2026-03-06 11:22:16</t>
  </si>
  <si>
    <t>27729414254</t>
  </si>
  <si>
    <t>13564857</t>
  </si>
  <si>
    <t>453fd1d8-b4aa-4d49-ab2d-73340918e3f0</t>
  </si>
  <si>
    <t>2026-03-06 11:21:58</t>
  </si>
  <si>
    <t>27608615085</t>
  </si>
  <si>
    <t>13564908</t>
  </si>
  <si>
    <t>e40ad1c5-e647-4899-bcbe-082912b1c021</t>
  </si>
  <si>
    <t>2026-03-06 11:21:55</t>
  </si>
  <si>
    <t>27609432260</t>
  </si>
  <si>
    <t>13563812</t>
  </si>
  <si>
    <t>6b57dbd9-2b55-4ecd-bc65-749b0b2d7187</t>
  </si>
  <si>
    <t>2026-03-06 11:21:29</t>
  </si>
  <si>
    <t>27784389564</t>
  </si>
  <si>
    <t>13555399</t>
  </si>
  <si>
    <t>f50e1020-a74d-41cb-bd63-553703853e4d</t>
  </si>
  <si>
    <t>2026-03-06 11:20:43</t>
  </si>
  <si>
    <t>27664661995</t>
  </si>
  <si>
    <t>13556286</t>
  </si>
  <si>
    <t>008528d6-9cbe-453a-ac89-ad42929cc288</t>
  </si>
  <si>
    <t>2026-03-06 11:20:38</t>
  </si>
  <si>
    <t>27722245859</t>
  </si>
  <si>
    <t>13554993</t>
  </si>
  <si>
    <t>5cf127f3-5a52-4c6b-a543-81b89b13b5d5</t>
  </si>
  <si>
    <t>2026-03-06 11:20:32</t>
  </si>
  <si>
    <t>27637178699</t>
  </si>
  <si>
    <t>13564797</t>
  </si>
  <si>
    <t>d53a98d4-1157-4904-8d65-65fc4201ef9c</t>
  </si>
  <si>
    <t>2026-03-06 11:20:24</t>
  </si>
  <si>
    <t>27607582247</t>
  </si>
  <si>
    <t>13555359</t>
  </si>
  <si>
    <t>7b77f086-15cc-4d3d-bc52-235bd2a5607f</t>
  </si>
  <si>
    <t>2026-03-06 11:20:00</t>
  </si>
  <si>
    <t>27663999428</t>
  </si>
  <si>
    <t>13555350</t>
  </si>
  <si>
    <t>c96a9889-6d11-4211-b926-2cc3aa30b579</t>
  </si>
  <si>
    <t>2026-03-06 11:19:56</t>
  </si>
  <si>
    <t>27663847313</t>
  </si>
  <si>
    <t>13555320</t>
  </si>
  <si>
    <t>61eb0933-2136-4794-a427-76354c044c6b</t>
  </si>
  <si>
    <t>2026-03-06 11:19:46</t>
  </si>
  <si>
    <t>27663043883</t>
  </si>
  <si>
    <t>13556794</t>
  </si>
  <si>
    <t>811c63cd-d703-4f6c-966c-05179c4da589</t>
  </si>
  <si>
    <t>2026-03-06 11:19:33</t>
  </si>
  <si>
    <t>27727558979</t>
  </si>
  <si>
    <t>13555053</t>
  </si>
  <si>
    <t>8b7e1f0f-7632-4c8e-b1fc-7807c8e8a192</t>
  </si>
  <si>
    <t>2026-03-06 11:18:46</t>
  </si>
  <si>
    <t>27646433475</t>
  </si>
  <si>
    <t>13564628</t>
  </si>
  <si>
    <t>2fe7fbff-8cab-4308-926b-34c25e6fd4b2</t>
  </si>
  <si>
    <t>2026-03-06 11:18:35</t>
  </si>
  <si>
    <t>27721326507</t>
  </si>
  <si>
    <t>13557071</t>
  </si>
  <si>
    <t>8ac904e6-cc33-4e2d-9d56-bc884b039989</t>
  </si>
  <si>
    <t>2026-03-06 11:16:59</t>
  </si>
  <si>
    <t>27733615829</t>
  </si>
  <si>
    <t>13557066</t>
  </si>
  <si>
    <t>5402a1e2-543f-4edc-a79b-cfdacbcd6a0a</t>
  </si>
  <si>
    <t>2026-03-06 11:16:52</t>
  </si>
  <si>
    <t>27732964848</t>
  </si>
  <si>
    <t>13555602</t>
  </si>
  <si>
    <t>3be3ccea-fea0-4763-a8fc-bbb5b8a43494</t>
  </si>
  <si>
    <t>2026-03-06 11:16:05</t>
  </si>
  <si>
    <t>27712030160</t>
  </si>
  <si>
    <t>13555513</t>
  </si>
  <si>
    <t>e7882e23-836c-48fd-a18e-c2d9978e9f4d</t>
  </si>
  <si>
    <t>2026-03-06 11:16:01</t>
  </si>
  <si>
    <t>27710192405</t>
  </si>
  <si>
    <t>13556117</t>
  </si>
  <si>
    <t>f458ecbd-0301-47b7-8f49-3db23eb1457a</t>
  </si>
  <si>
    <t>2026-03-06 11:15:29</t>
  </si>
  <si>
    <t>27720833622</t>
  </si>
  <si>
    <t>13556031</t>
  </si>
  <si>
    <t>8e354243-d108-4f63-bfc8-ecb84a903e13</t>
  </si>
  <si>
    <t>2026-03-06 11:15:21</t>
  </si>
  <si>
    <t>27717920340</t>
  </si>
  <si>
    <t>13556041</t>
  </si>
  <si>
    <t>1625d221-0ce2-4fe8-9b53-5a5bbc384032</t>
  </si>
  <si>
    <t>2026-03-06 11:15:20</t>
  </si>
  <si>
    <t>27720127150</t>
  </si>
  <si>
    <t>13562416</t>
  </si>
  <si>
    <t>8426bbb9-931c-4025-92df-925939567fdc</t>
  </si>
  <si>
    <t>2026-03-06 11:15:18</t>
  </si>
  <si>
    <t>27763171771</t>
  </si>
  <si>
    <t>13559693</t>
  </si>
  <si>
    <t>bc5c42fc-8e27-4b4b-a16c-c0253f9eb15d</t>
  </si>
  <si>
    <t>2026-03-06 11:15:06</t>
  </si>
  <si>
    <t>27762981552</t>
  </si>
  <si>
    <t>13564435</t>
  </si>
  <si>
    <t>1f3b8003-40a1-459e-b6b5-67addbc9090d</t>
  </si>
  <si>
    <t>2026-03-06 11:14:37</t>
  </si>
  <si>
    <t>27726602909</t>
  </si>
  <si>
    <t>13564438</t>
  </si>
  <si>
    <t>844102ee-7627-4407-b315-941741168770</t>
  </si>
  <si>
    <t>27774539991</t>
  </si>
  <si>
    <t>13557999</t>
  </si>
  <si>
    <t>c21ee047-d9a0-4618-9c12-794c12518430</t>
  </si>
  <si>
    <t>2026-03-06 11:14:24</t>
  </si>
  <si>
    <t>27769534360</t>
  </si>
  <si>
    <t>13558417</t>
  </si>
  <si>
    <t>9221ccad-263b-48c3-907f-6bdccd23b740</t>
  </si>
  <si>
    <t>2026-03-06 11:14:23</t>
  </si>
  <si>
    <t>27793740933</t>
  </si>
  <si>
    <t>13559196</t>
  </si>
  <si>
    <t>4e5f4aa3-bf87-45df-b3dd-5a174734d354</t>
  </si>
  <si>
    <t>2026-03-06 11:13:46</t>
  </si>
  <si>
    <t>27824068029</t>
  </si>
  <si>
    <t>13557119</t>
  </si>
  <si>
    <t>60601834-f989-4bd9-a606-02dfb9c2a716</t>
  </si>
  <si>
    <t>2026-03-06 11:12:48</t>
  </si>
  <si>
    <t>27760354848</t>
  </si>
  <si>
    <t>13564615</t>
  </si>
  <si>
    <t>b959d0f5-56f8-4c6e-b409-866802959d9f</t>
  </si>
  <si>
    <t>2026-03-06 11:12:18</t>
  </si>
  <si>
    <t>27607094146</t>
  </si>
  <si>
    <t>13561008</t>
  </si>
  <si>
    <t>e17f815a-3643-4805-96fb-c8e1b7d68cfa</t>
  </si>
  <si>
    <t>2026-03-06 11:11:25</t>
  </si>
  <si>
    <t>27772701216</t>
  </si>
  <si>
    <t>13560646</t>
  </si>
  <si>
    <t>01654b1c-40b9-4b9a-9e5a-aa121557b105</t>
  </si>
  <si>
    <t>2026-03-06 11:11:15</t>
  </si>
  <si>
    <t>27663741697</t>
  </si>
  <si>
    <t>13561545</t>
  </si>
  <si>
    <t>b622f6c2-aff2-4546-a5de-00e04633daca</t>
  </si>
  <si>
    <t>2026-03-06 11:10:45</t>
  </si>
  <si>
    <t>27743831167</t>
  </si>
  <si>
    <t>13561535</t>
  </si>
  <si>
    <t>1708dec6-0b6f-46ba-9f56-ffeddb73ad61</t>
  </si>
  <si>
    <t>2026-03-06 11:10:43</t>
  </si>
  <si>
    <t>27792736717</t>
  </si>
  <si>
    <t>13560547</t>
  </si>
  <si>
    <t>0aa87f4b-a48e-48d1-8c65-93056842a7de</t>
  </si>
  <si>
    <t>2026-03-06 11:09:51</t>
  </si>
  <si>
    <t>27768768089</t>
  </si>
  <si>
    <t>13560339</t>
  </si>
  <si>
    <t>1707d5fa-b395-4cb1-92b3-3475bf0c66cd</t>
  </si>
  <si>
    <t>2026-03-06 11:09:41</t>
  </si>
  <si>
    <t>27774403205</t>
  </si>
  <si>
    <t>13559409</t>
  </si>
  <si>
    <t>b4afbf38-ae3a-4461-8002-65d76b21486a</t>
  </si>
  <si>
    <t>2026-03-06 11:09:39</t>
  </si>
  <si>
    <t>27826623530</t>
  </si>
  <si>
    <t>13559400</t>
  </si>
  <si>
    <t>1bc1eea6-ea4a-4725-adc6-f25a1965d163</t>
  </si>
  <si>
    <t>2026-03-06 11:09:38</t>
  </si>
  <si>
    <t>27826473393</t>
  </si>
  <si>
    <t>13560330</t>
  </si>
  <si>
    <t>125ec9e2-d9a8-41df-b334-05af07317499</t>
  </si>
  <si>
    <t>27799501987</t>
  </si>
  <si>
    <t>13560754</t>
  </si>
  <si>
    <t>4715822d-fc82-4386-af04-50d14e5f8021</t>
  </si>
  <si>
    <t>2026-03-06 11:09:04</t>
  </si>
  <si>
    <t>27675372861</t>
  </si>
  <si>
    <t>13560731</t>
  </si>
  <si>
    <t>c297c396-00a3-4e87-8d8a-c92faf2517e1</t>
  </si>
  <si>
    <t>2026-03-06 11:08:57</t>
  </si>
  <si>
    <t>27720669258</t>
  </si>
  <si>
    <t>13560314</t>
  </si>
  <si>
    <t>0f043a2a-3a84-4ba1-9a39-0239584d7f17</t>
  </si>
  <si>
    <t>2026-03-06 11:08:17</t>
  </si>
  <si>
    <t>27818109674</t>
  </si>
  <si>
    <t>13561283</t>
  </si>
  <si>
    <t>cdf3a59e-67a7-4f30-92ad-984286e80866</t>
  </si>
  <si>
    <t>2026-03-06 11:08:16</t>
  </si>
  <si>
    <t>27609497200</t>
  </si>
  <si>
    <t>13560809</t>
  </si>
  <si>
    <t>61273fb5-b98e-4bfc-8885-2a1a9d7c7c43</t>
  </si>
  <si>
    <t>2026-03-06 11:08:11</t>
  </si>
  <si>
    <t>27712442484</t>
  </si>
  <si>
    <t>13560853</t>
  </si>
  <si>
    <t>e4cef115-4422-4c7f-b0a7-d712a001e312</t>
  </si>
  <si>
    <t>2026-03-06 11:08:09</t>
  </si>
  <si>
    <t>27665797808</t>
  </si>
  <si>
    <t>13560785</t>
  </si>
  <si>
    <t>be2f9e9c-d007-42fc-a0d0-6f5d451f4c3c</t>
  </si>
  <si>
    <t>2026-03-06 11:08:04</t>
  </si>
  <si>
    <t>27726311060</t>
  </si>
  <si>
    <t>13560666</t>
  </si>
  <si>
    <t>10870377-0ee0-4116-b5e5-7fd458ac071e</t>
  </si>
  <si>
    <t>2026-03-06 11:07:30</t>
  </si>
  <si>
    <t>27716713967</t>
  </si>
  <si>
    <t>13563065</t>
  </si>
  <si>
    <t>2e566708-5dc7-451d-af01-7045721115a0</t>
  </si>
  <si>
    <t>2026-03-06 11:07:24</t>
  </si>
  <si>
    <t>27673771745</t>
  </si>
  <si>
    <t>13560294</t>
  </si>
  <si>
    <t>64b78cc2-081a-4a35-ba1d-c7fe74b92613</t>
  </si>
  <si>
    <t>2026-03-06 11:06:42</t>
  </si>
  <si>
    <t>27725371920</t>
  </si>
  <si>
    <t>13560654</t>
  </si>
  <si>
    <t>5461a7bb-2bd7-4570-90a3-639b47a7feeb</t>
  </si>
  <si>
    <t>2026-03-06 11:06:34</t>
  </si>
  <si>
    <t>27795234556</t>
  </si>
  <si>
    <t>13561494</t>
  </si>
  <si>
    <t>a175fdd3-1639-4285-bff9-f1d6aed287af</t>
  </si>
  <si>
    <t>2026-03-06 11:05:52</t>
  </si>
  <si>
    <t>27609069881</t>
  </si>
  <si>
    <t>13561213</t>
  </si>
  <si>
    <t>89932386-df89-489f-8c52-e01f59e7f08a</t>
  </si>
  <si>
    <t>2026-03-06 11:05:49</t>
  </si>
  <si>
    <t>27721083155</t>
  </si>
  <si>
    <t>13557945</t>
  </si>
  <si>
    <t>efdde15f-ee5c-479a-b254-857d87533ccd</t>
  </si>
  <si>
    <t>2026-03-06 11:05:32</t>
  </si>
  <si>
    <t>27768944768</t>
  </si>
  <si>
    <t>13561841</t>
  </si>
  <si>
    <t>d9bd990f-531a-49e7-a1ab-723075c75745</t>
  </si>
  <si>
    <t>2026-03-06 11:04:51</t>
  </si>
  <si>
    <t>27782667571</t>
  </si>
  <si>
    <t>13560973</t>
  </si>
  <si>
    <t>5ac8b2ce-d70a-4569-8f80-b8b9f941c82f</t>
  </si>
  <si>
    <t>2026-03-06 11:03:57</t>
  </si>
  <si>
    <t>27761789083</t>
  </si>
  <si>
    <t>13561110</t>
  </si>
  <si>
    <t>d86e59b0-8149-461c-8008-64dbbf713968</t>
  </si>
  <si>
    <t>2026-03-06 11:03:54</t>
  </si>
  <si>
    <t>27718028804</t>
  </si>
  <si>
    <t>13560588</t>
  </si>
  <si>
    <t>200db72f-f1a0-4218-8970-d46a99e4e9b4</t>
  </si>
  <si>
    <t>2026-03-06 11:02:24</t>
  </si>
  <si>
    <t>27663869413</t>
  </si>
  <si>
    <t>13564331</t>
  </si>
  <si>
    <t>19b3d2e4-1f04-442c-b5c6-b3e7295089f2</t>
  </si>
  <si>
    <t>2026-03-06 11:00:44</t>
  </si>
  <si>
    <t>27774530945</t>
  </si>
  <si>
    <t>13555943</t>
  </si>
  <si>
    <t>3c21bd8e-81a7-4d3c-a35b-2e7d7bd10555</t>
  </si>
  <si>
    <t>2026-03-06 10:59:48</t>
  </si>
  <si>
    <t>27715694732</t>
  </si>
  <si>
    <t>13561132</t>
  </si>
  <si>
    <t>768c2d22-93c7-4ea4-b0e2-94859f453511</t>
  </si>
  <si>
    <t>2026-03-06 10:58:46</t>
  </si>
  <si>
    <t>27649404155</t>
  </si>
  <si>
    <t>13561061</t>
  </si>
  <si>
    <t>8d5a2a86-3a15-4b3a-b534-6a289f6ef9ef</t>
  </si>
  <si>
    <t>2026-03-06 10:58:08</t>
  </si>
  <si>
    <t>27716150784</t>
  </si>
  <si>
    <t>13559125</t>
  </si>
  <si>
    <t>e50bfde2-6cdd-4c5d-bda6-cd4ff3390d9a</t>
  </si>
  <si>
    <t>2026-03-06 10:56:44</t>
  </si>
  <si>
    <t>27823232836</t>
  </si>
  <si>
    <t>13559957</t>
  </si>
  <si>
    <t>d9cd4be6-7c74-42bb-a987-31b2918cf8c9</t>
  </si>
  <si>
    <t>2026-03-06 10:52:48</t>
  </si>
  <si>
    <t>27637074274</t>
  </si>
  <si>
    <t>13559806</t>
  </si>
  <si>
    <t>63af8809-6d80-442a-9406-eea4da24b609</t>
  </si>
  <si>
    <t>2026-03-06 10:50:45</t>
  </si>
  <si>
    <t>27606894458</t>
  </si>
  <si>
    <t>13560216</t>
  </si>
  <si>
    <t>a8e6792b-d411-429c-bb3f-91b4caaec872</t>
  </si>
  <si>
    <t>2026-03-06 10:48:23</t>
  </si>
  <si>
    <t>27714394616</t>
  </si>
  <si>
    <t>13559445</t>
  </si>
  <si>
    <t>76489567-10a3-45cc-b817-c1dabdbca67b</t>
  </si>
  <si>
    <t>2026-03-06 10:38:21</t>
  </si>
  <si>
    <t>27826982692</t>
  </si>
  <si>
    <t>13557879</t>
  </si>
  <si>
    <t>b9e7dd04-8c16-4dd3-a492-545c47f128ea</t>
  </si>
  <si>
    <t>2026-03-06 10:37:56</t>
  </si>
  <si>
    <t>27768249869</t>
  </si>
  <si>
    <t>13557797</t>
  </si>
  <si>
    <t>966de3d6-372e-43d2-84e0-c6f8f63919fa</t>
  </si>
  <si>
    <t>2026-03-06 10:37:17</t>
  </si>
  <si>
    <t>27767492279</t>
  </si>
  <si>
    <t>13557755</t>
  </si>
  <si>
    <t>ac9ee68d-2197-4361-8979-264184cb99eb</t>
  </si>
  <si>
    <t>2026-03-06 10:37:12</t>
  </si>
  <si>
    <t>27767005353</t>
  </si>
  <si>
    <t>13560939</t>
  </si>
  <si>
    <t>b95ea8ca-fd0b-4d2c-8813-cdd878b02a5d</t>
  </si>
  <si>
    <t>2026-03-06 10:36:01</t>
  </si>
  <si>
    <t>27791084183</t>
  </si>
  <si>
    <t>13556507</t>
  </si>
  <si>
    <t>c0ebe3af-3e6e-4ef8-a12b-3c120e8c0228</t>
  </si>
  <si>
    <t>2026-03-06 10:35:51</t>
  </si>
  <si>
    <t>27724560713</t>
  </si>
  <si>
    <t>13554974</t>
  </si>
  <si>
    <t>7bdb88bb-a01f-4f47-9711-1da6bd8438f9</t>
  </si>
  <si>
    <t>2026-03-06 10:32:47</t>
  </si>
  <si>
    <t>27636535074</t>
  </si>
  <si>
    <t>13556310</t>
  </si>
  <si>
    <t>f219f173-7b69-4fa7-a415-1641cf7386e9</t>
  </si>
  <si>
    <t>2026-03-06 10:31:44</t>
  </si>
  <si>
    <t>27722589101</t>
  </si>
  <si>
    <t>13555838</t>
  </si>
  <si>
    <t>386eddc3-ef94-47a2-ba22-8ade9c256237</t>
  </si>
  <si>
    <t>2026-03-06 10:30:19</t>
  </si>
  <si>
    <t>27714680883</t>
  </si>
  <si>
    <t>13555964</t>
  </si>
  <si>
    <t>0a375399-2b66-42e5-a5a9-28a53ac64324</t>
  </si>
  <si>
    <t>2026-03-06 10:30:15</t>
  </si>
  <si>
    <t>27715846280</t>
  </si>
  <si>
    <t>13556070</t>
  </si>
  <si>
    <t>708e1015-844b-469a-90ae-2875c0e3ae63</t>
  </si>
  <si>
    <t>2026-03-06 10:30:13</t>
  </si>
  <si>
    <t>27720507408</t>
  </si>
  <si>
    <t>13556400</t>
  </si>
  <si>
    <t>321e7d20-3c3e-40ad-b224-d45ed3652afd</t>
  </si>
  <si>
    <t>2026-03-06 10:30:07</t>
  </si>
  <si>
    <t>27723511686</t>
  </si>
  <si>
    <t>13557449</t>
  </si>
  <si>
    <t>220c6b8b-125e-4b89-924d-0806d18ab35d</t>
  </si>
  <si>
    <t>2026-03-06 10:29:19</t>
  </si>
  <si>
    <t>27763884497</t>
  </si>
  <si>
    <t>13556474</t>
  </si>
  <si>
    <t>cdfd2884-c5fa-4235-8b95-737b1aa51972</t>
  </si>
  <si>
    <t>2026-03-06 10:29:13</t>
  </si>
  <si>
    <t>27724232457</t>
  </si>
  <si>
    <t>13556484</t>
  </si>
  <si>
    <t>ca4ef01b-29a0-4d8a-a29c-fc8f67222ca6</t>
  </si>
  <si>
    <t>27724370100</t>
  </si>
  <si>
    <t>13556554</t>
  </si>
  <si>
    <t>8d21f588-22f7-46c9-8f62-e990fc0e4b5b</t>
  </si>
  <si>
    <t>2026-03-06 10:29:12</t>
  </si>
  <si>
    <t>27725002515</t>
  </si>
  <si>
    <t>13557780</t>
  </si>
  <si>
    <t>6aa345a3-bdac-45d9-96df-79521d088e26</t>
  </si>
  <si>
    <t>2026-03-06 10:29:10</t>
  </si>
  <si>
    <t>27767349894</t>
  </si>
  <si>
    <t>13556369</t>
  </si>
  <si>
    <t>ddf9cd9d-5538-4212-8a36-5e3e7c41b260</t>
  </si>
  <si>
    <t>2026-03-06 10:28:21</t>
  </si>
  <si>
    <t>27723212129</t>
  </si>
  <si>
    <t>13556352</t>
  </si>
  <si>
    <t>26935a3d-557c-444e-a060-8ee80d956af3</t>
  </si>
  <si>
    <t>2026-03-06 10:28:17</t>
  </si>
  <si>
    <t>27723023960</t>
  </si>
  <si>
    <t>13556521</t>
  </si>
  <si>
    <t>04fa5da1-fcef-41d3-b00f-233cfb125426</t>
  </si>
  <si>
    <t>2026-03-06 10:28:11</t>
  </si>
  <si>
    <t>27724677637</t>
  </si>
  <si>
    <t>13562438</t>
  </si>
  <si>
    <t>368d8110-cb25-4a98-ac85-5fb43b33e262</t>
  </si>
  <si>
    <t>2026-03-06 10:26:37</t>
  </si>
  <si>
    <t>27713888024</t>
  </si>
  <si>
    <t>13562447</t>
  </si>
  <si>
    <t>e7d806d2-69cb-4b6c-854b-3e72079fc9e5</t>
  </si>
  <si>
    <t>2026-03-06 10:26:02</t>
  </si>
  <si>
    <t>27714012665</t>
  </si>
  <si>
    <t>13559258</t>
  </si>
  <si>
    <t>b025c0f2-b5a9-4e41-b6f0-f9eb1f63cbf0</t>
  </si>
  <si>
    <t>2026-03-06 10:25:07</t>
  </si>
  <si>
    <t>27824836132</t>
  </si>
  <si>
    <t>13559353</t>
  </si>
  <si>
    <t>b756dc5b-f27e-4ed5-b1df-09dd11ca0441</t>
  </si>
  <si>
    <t>2026-03-06 10:25:05</t>
  </si>
  <si>
    <t>27825963116</t>
  </si>
  <si>
    <t>13558776</t>
  </si>
  <si>
    <t>babb50d9-7d62-49be-b2f4-be3c68256b6a</t>
  </si>
  <si>
    <t>2026-03-06 10:24:18</t>
  </si>
  <si>
    <t>27798062229</t>
  </si>
  <si>
    <t>13558857</t>
  </si>
  <si>
    <t>51101319-bdf9-4866-a3b8-722f52fe1d97</t>
  </si>
  <si>
    <t>2026-03-06 10:24:07</t>
  </si>
  <si>
    <t>27799329623</t>
  </si>
  <si>
    <t>13556976</t>
  </si>
  <si>
    <t>550bd6f9-c5d7-4b03-baa5-15f2ce639d38</t>
  </si>
  <si>
    <t>NITF</t>
  </si>
  <si>
    <t>Not Interested Transaction Fees</t>
  </si>
  <si>
    <t>2026-03-06 10:24:00</t>
  </si>
  <si>
    <t>27729140745</t>
  </si>
  <si>
    <t>13556910</t>
  </si>
  <si>
    <t>5d90084f-bfbf-4fc9-ad07-117772672da3</t>
  </si>
  <si>
    <t>2026-03-06 10:23:58</t>
  </si>
  <si>
    <t>27728532357</t>
  </si>
  <si>
    <t>13556889</t>
  </si>
  <si>
    <t>979293c0-9d79-458e-b0f9-becdb9e75c41</t>
  </si>
  <si>
    <t>2026-03-06 10:23:57</t>
  </si>
  <si>
    <t>27728322412</t>
  </si>
  <si>
    <t>13556896</t>
  </si>
  <si>
    <t>fa406028-7840-49c1-8718-7601ccd4b09e</t>
  </si>
  <si>
    <t>27728385917</t>
  </si>
  <si>
    <t>13557237</t>
  </si>
  <si>
    <t>f8d2b479-37c4-491a-a8d5-412e2e1c3564</t>
  </si>
  <si>
    <t>2026-03-06 10:22:52</t>
  </si>
  <si>
    <t>27761587210</t>
  </si>
  <si>
    <t>13563914</t>
  </si>
  <si>
    <t>2b22550d-72d3-46a7-a709-4178dbf120fd</t>
  </si>
  <si>
    <t>2026-03-06 10:22:43</t>
  </si>
  <si>
    <t>27763530616</t>
  </si>
  <si>
    <t>13559130</t>
  </si>
  <si>
    <t>e1639831-bea8-42ef-bcca-87f92d2c4d20</t>
  </si>
  <si>
    <t>2026-03-06 10:21:52</t>
  </si>
  <si>
    <t>27823313959</t>
  </si>
  <si>
    <t>13559092</t>
  </si>
  <si>
    <t>87dc89f1-5be4-4824-8fec-46112ae2134d</t>
  </si>
  <si>
    <t>2026-03-06 10:21:50</t>
  </si>
  <si>
    <t>27822626944</t>
  </si>
  <si>
    <t>13560037</t>
  </si>
  <si>
    <t>35c891d7-7a36-4be9-b197-c8d75dab0ec2</t>
  </si>
  <si>
    <t>2026-03-06 10:20:21</t>
  </si>
  <si>
    <t>27825913748</t>
  </si>
  <si>
    <t>13560001</t>
  </si>
  <si>
    <t>126bdf96-bcfd-4eec-b910-9f1a246ca0ed</t>
  </si>
  <si>
    <t>27792873347</t>
  </si>
  <si>
    <t>13560006</t>
  </si>
  <si>
    <t>fa2f13c8-b8dc-455b-9cb8-948ded117f25</t>
  </si>
  <si>
    <t>27796170492</t>
  </si>
  <si>
    <t>13558591</t>
  </si>
  <si>
    <t>dcdc7ea6-a54c-45a7-9f60-d0c5be5de35d</t>
  </si>
  <si>
    <t>2026-03-06 10:20:14</t>
  </si>
  <si>
    <t>27795888236</t>
  </si>
  <si>
    <t>13561991</t>
  </si>
  <si>
    <t>54e5e402-85c4-443d-913d-6aa734699287</t>
  </si>
  <si>
    <t>2026-03-06 10:18:53</t>
  </si>
  <si>
    <t>27768074394</t>
  </si>
  <si>
    <t>13559615</t>
  </si>
  <si>
    <t>9939876c-1642-4c0e-a33c-79211cd559c6</t>
  </si>
  <si>
    <t>2026-03-06 10:18:51</t>
  </si>
  <si>
    <t>27829609098</t>
  </si>
  <si>
    <t>13560410</t>
  </si>
  <si>
    <t>12833a85-5893-4237-9ba0-1eb4795fee4e</t>
  </si>
  <si>
    <t>2026-03-06 10:18:50</t>
  </si>
  <si>
    <t>27773953197</t>
  </si>
  <si>
    <t>13557239</t>
  </si>
  <si>
    <t>b2e9be08-c1d8-4b14-9598-94549b80480c</t>
  </si>
  <si>
    <t>2026-03-06 10:18:04</t>
  </si>
  <si>
    <t>27761609154</t>
  </si>
  <si>
    <t>13560899</t>
  </si>
  <si>
    <t>05cedffa-8f14-4007-8129-ac4053d69fbe</t>
  </si>
  <si>
    <t>2026-03-06 10:18:00</t>
  </si>
  <si>
    <t>27823945936</t>
  </si>
  <si>
    <t>13562188</t>
  </si>
  <si>
    <t>bb5fef46-d92e-4d46-8aff-d87a439b7356</t>
  </si>
  <si>
    <t>2026-03-06 10:17:49</t>
  </si>
  <si>
    <t>27673183244</t>
  </si>
  <si>
    <t>13562812</t>
  </si>
  <si>
    <t>ac47da32-e5bd-4a04-b191-604a18d3f322</t>
  </si>
  <si>
    <t>2026-03-06 10:17:10</t>
  </si>
  <si>
    <t>27636344017</t>
  </si>
  <si>
    <t>13561579</t>
  </si>
  <si>
    <t>73f1f2d6-f000-42fc-964b-48ef17939731</t>
  </si>
  <si>
    <t>2026-03-06 10:17:02</t>
  </si>
  <si>
    <t>27820402240</t>
  </si>
  <si>
    <t>13560143</t>
  </si>
  <si>
    <t>4cfda8c9-94de-4a0a-818c-6d7f995fccb1</t>
  </si>
  <si>
    <t>2026-03-06 10:15:22</t>
  </si>
  <si>
    <t>27767939220</t>
  </si>
  <si>
    <t>13560193</t>
  </si>
  <si>
    <t>6e8fa6a0-e3c2-42fc-9bc2-7cb69965fcbc</t>
  </si>
  <si>
    <t>27768312900</t>
  </si>
  <si>
    <t>13557518</t>
  </si>
  <si>
    <t>d38caa7a-d874-464f-932b-6cad3b4dbceb</t>
  </si>
  <si>
    <t>2026-03-06 10:15:09</t>
  </si>
  <si>
    <t>27764714369</t>
  </si>
  <si>
    <t>13557352</t>
  </si>
  <si>
    <t>1ba52e30-29ad-40a5-be20-027744b6651b</t>
  </si>
  <si>
    <t>2026-03-06 10:15:07</t>
  </si>
  <si>
    <t>27762840172</t>
  </si>
  <si>
    <t>13557279</t>
  </si>
  <si>
    <t>01d4a314-7018-4eca-8182-4c991aa71f1b</t>
  </si>
  <si>
    <t>2026-03-06 10:14:35</t>
  </si>
  <si>
    <t>27762022396</t>
  </si>
  <si>
    <t>13563204</t>
  </si>
  <si>
    <t>ffb95d2b-3242-45ab-b2d1-da6aa9b0c1b8</t>
  </si>
  <si>
    <t>2026-03-06 10:14:27</t>
  </si>
  <si>
    <t>27762564684</t>
  </si>
  <si>
    <t>13557133</t>
  </si>
  <si>
    <t>a32174f7-0bd8-41a0-9cc3-90fd4bc78823</t>
  </si>
  <si>
    <t>2026-03-06 10:14:19</t>
  </si>
  <si>
    <t>27760535205</t>
  </si>
  <si>
    <t>13562365</t>
  </si>
  <si>
    <t>b81551f0-92b7-4fc9-8e12-84b8335345ed</t>
  </si>
  <si>
    <t>2026-03-06 10:14:12</t>
  </si>
  <si>
    <t>27607476372</t>
  </si>
  <si>
    <t>13559451</t>
  </si>
  <si>
    <t>cc9502c4-ae79-44c5-b6c9-e8bd2fc4f61e</t>
  </si>
  <si>
    <t>2026-03-06 10:13:40</t>
  </si>
  <si>
    <t>27827045706</t>
  </si>
  <si>
    <t>13555787</t>
  </si>
  <si>
    <t>bac42c96-e924-4480-8469-e03016c871b4</t>
  </si>
  <si>
    <t>2026-03-06 10:12:52</t>
  </si>
  <si>
    <t>27714007674</t>
  </si>
  <si>
    <t>13562659</t>
  </si>
  <si>
    <t>297ad554-f416-4a03-9f47-4c83a13d3052</t>
  </si>
  <si>
    <t>2026-03-06 10:11:59</t>
  </si>
  <si>
    <t>27711257542</t>
  </si>
  <si>
    <t>13557514</t>
  </si>
  <si>
    <t>290db102-40e5-4d5a-a1fe-b0d0d9aefb42</t>
  </si>
  <si>
    <t>2026-03-06 10:11:52</t>
  </si>
  <si>
    <t>27764673892</t>
  </si>
  <si>
    <t>13557558</t>
  </si>
  <si>
    <t>cb1ced70-2a9f-46d9-9aa9-e3ceb7834dd2</t>
  </si>
  <si>
    <t>2026-03-06 10:11:18</t>
  </si>
  <si>
    <t>27765089819</t>
  </si>
  <si>
    <t>13557532</t>
  </si>
  <si>
    <t>77256c69-e32a-4243-bd37-b3534c473c39</t>
  </si>
  <si>
    <t>2026-03-06 10:11:14</t>
  </si>
  <si>
    <t>27764846065</t>
  </si>
  <si>
    <t>13557545</t>
  </si>
  <si>
    <t>4185b586-024b-4293-8fc6-13214c1c9441</t>
  </si>
  <si>
    <t>27764967188</t>
  </si>
  <si>
    <t>13558339</t>
  </si>
  <si>
    <t>4938a51a-117b-4474-97d9-2b61926f988f</t>
  </si>
  <si>
    <t>2026-03-06 10:11:09</t>
  </si>
  <si>
    <t>27792949740</t>
  </si>
  <si>
    <t>13558382</t>
  </si>
  <si>
    <t>2a320cca-6bc7-4df0-8c07-abd5f6df2c2e</t>
  </si>
  <si>
    <t>2026-03-06 10:10:21</t>
  </si>
  <si>
    <t>27793328569</t>
  </si>
  <si>
    <t>13562589</t>
  </si>
  <si>
    <t>36991a33-3419-4141-b77e-c86d731fd268</t>
  </si>
  <si>
    <t>Prety</t>
  </si>
  <si>
    <t>2026-03-06 10:10:20</t>
  </si>
  <si>
    <t>2026-03-06 10:12:09</t>
  </si>
  <si>
    <t>27663590833</t>
  </si>
  <si>
    <t>13561648</t>
  </si>
  <si>
    <t>7652c8f6-cf1a-439c-aaaa-f21693e19cc0</t>
  </si>
  <si>
    <t>2026-03-06 10:10:15</t>
  </si>
  <si>
    <t>27713196145</t>
  </si>
  <si>
    <t>13562908</t>
  </si>
  <si>
    <t>8e1ab8d6-4393-49dc-8f2f-df5017c0ec74</t>
  </si>
  <si>
    <t>2026-03-06 10:10:07</t>
  </si>
  <si>
    <t>27773973369</t>
  </si>
  <si>
    <t>13557974</t>
  </si>
  <si>
    <t>a11055a1-7534-483f-bead-e38b2b319248</t>
  </si>
  <si>
    <t>2026-03-06 10:09:23</t>
  </si>
  <si>
    <t>27769220056</t>
  </si>
  <si>
    <t>13563168</t>
  </si>
  <si>
    <t>836a79f3-15c3-44a4-a403-f8c9d26a9a7b</t>
  </si>
  <si>
    <t>2026-03-06 10:09:15</t>
  </si>
  <si>
    <t>27765218037</t>
  </si>
  <si>
    <t>13563089</t>
  </si>
  <si>
    <t>7b6aa7e2-ece5-41d3-883c-b0ec07247258</t>
  </si>
  <si>
    <t>2026-03-06 10:08:31</t>
  </si>
  <si>
    <t>27727313063</t>
  </si>
  <si>
    <t>13563470</t>
  </si>
  <si>
    <t>13dd7fc4-a445-4923-ba7d-6ff315b64c04</t>
  </si>
  <si>
    <t>2026-03-06 10:07:14</t>
  </si>
  <si>
    <t>27765492519</t>
  </si>
  <si>
    <t>13556557</t>
  </si>
  <si>
    <t>7bc6eede-bc62-47b8-bd07-24cb26f5792f</t>
  </si>
  <si>
    <t>2026-03-06 10:06:09</t>
  </si>
  <si>
    <t>27725023839</t>
  </si>
  <si>
    <t>13564045</t>
  </si>
  <si>
    <t>9e3045b7-217c-4c92-8959-844b665b5508</t>
  </si>
  <si>
    <t>2026-03-06 10:06:06</t>
  </si>
  <si>
    <t>27713261194</t>
  </si>
  <si>
    <t>13563512</t>
  </si>
  <si>
    <t>c8eba5fc-ddd1-4b8f-8dd1-bfb72a35ff37</t>
  </si>
  <si>
    <t>2026-03-06 10:06:00</t>
  </si>
  <si>
    <t>27720825377</t>
  </si>
  <si>
    <t>13563519</t>
  </si>
  <si>
    <t>feeac224-3398-4c7d-9318-24b1eec8659e</t>
  </si>
  <si>
    <t>2026-03-06 10:05:59</t>
  </si>
  <si>
    <t>27648210349</t>
  </si>
  <si>
    <t>13563189</t>
  </si>
  <si>
    <t>16113498-e2c3-4d2b-8084-9e640e2c113c</t>
  </si>
  <si>
    <t>2026-03-06 10:01:27</t>
  </si>
  <si>
    <t>27714677046</t>
  </si>
  <si>
    <t>13555465</t>
  </si>
  <si>
    <t>d193ca18-8ca0-47e4-91d8-2bb15626f760</t>
  </si>
  <si>
    <t>2026-03-06 10:01:21</t>
  </si>
  <si>
    <t>27673434594</t>
  </si>
  <si>
    <t>13558563</t>
  </si>
  <si>
    <t>0390569a-af12-48fd-822d-d670ca7b28dd</t>
  </si>
  <si>
    <t>2026-03-06 09:59:12</t>
  </si>
  <si>
    <t>27795541664</t>
  </si>
  <si>
    <t>13563271</t>
  </si>
  <si>
    <t>8baf6af5-2964-4264-957e-2a76a37a490c</t>
  </si>
  <si>
    <t>2026-03-06 09:57:54</t>
  </si>
  <si>
    <t>27748655409</t>
  </si>
  <si>
    <t>13555504</t>
  </si>
  <si>
    <t>45404cab-c8f1-4e41-98a8-de0cdf0fd9f5</t>
  </si>
  <si>
    <t>2026-03-06 09:57:09</t>
  </si>
  <si>
    <t>27675672068</t>
  </si>
  <si>
    <t>13561425</t>
  </si>
  <si>
    <t>e2a496e1-0a79-4b58-aee6-9a387243887a</t>
  </si>
  <si>
    <t>2026-03-06 09:52:58</t>
  </si>
  <si>
    <t>27607970021</t>
  </si>
  <si>
    <t>13555646</t>
  </si>
  <si>
    <t>73f3d7ea-83f3-4fec-9966-f72b3cf72f6d</t>
  </si>
  <si>
    <t>2026-03-06 09:51:02</t>
  </si>
  <si>
    <t>27712492519</t>
  </si>
  <si>
    <t>13556909</t>
  </si>
  <si>
    <t>d27f6864-1500-4e3b-a88e-0b949df319f7</t>
  </si>
  <si>
    <t>2026-03-06 09:49:49</t>
  </si>
  <si>
    <t>27728532289</t>
  </si>
  <si>
    <t>13564533</t>
  </si>
  <si>
    <t>00ecfeec-5623-4f54-99f1-dec6ae7f7698</t>
  </si>
  <si>
    <t>2026-03-06 09:49:09</t>
  </si>
  <si>
    <t>27715684080</t>
  </si>
  <si>
    <t>13564538</t>
  </si>
  <si>
    <t>7c8254be-0a6e-43ca-845d-f4b775d1530a</t>
  </si>
  <si>
    <t>27673660845</t>
  </si>
  <si>
    <t>13558830</t>
  </si>
  <si>
    <t>eacfc830-f844-48c5-8310-967cf3c2f5f0</t>
  </si>
  <si>
    <t>2026-03-06 09:48:30</t>
  </si>
  <si>
    <t>27799013384</t>
  </si>
  <si>
    <t>13561663</t>
  </si>
  <si>
    <t>89ffadcc-4c58-4904-b7b1-93b428b39477</t>
  </si>
  <si>
    <t>2026-03-06 09:47:18</t>
  </si>
  <si>
    <t>27794533557</t>
  </si>
  <si>
    <t>13559905</t>
  </si>
  <si>
    <t>6b1c6304-0c1f-4585-a7e3-a6aa573bff2d</t>
  </si>
  <si>
    <t>2026-03-06 09:41:19</t>
  </si>
  <si>
    <t>27665789888</t>
  </si>
  <si>
    <t>13561220</t>
  </si>
  <si>
    <t>82ddd87e-8deb-40db-a7a0-a074e890bf2f</t>
  </si>
  <si>
    <t>2026-03-06 09:38:59</t>
  </si>
  <si>
    <t>27725737279</t>
  </si>
  <si>
    <t>13562312</t>
  </si>
  <si>
    <t>53ba3434-f011-4127-a656-8846a5bf9400</t>
  </si>
  <si>
    <t>2026-03-06 09:35:46</t>
  </si>
  <si>
    <t>27637947569</t>
  </si>
  <si>
    <t>13559882</t>
  </si>
  <si>
    <t>97790213-e667-4de4-a906-75fb6e32c4e3</t>
  </si>
  <si>
    <t>2026-03-06 09:35:04</t>
  </si>
  <si>
    <t>27769375585</t>
  </si>
  <si>
    <t>13559667</t>
  </si>
  <si>
    <t>7b167a23-0d2a-4eeb-8af7-019f63bf9216</t>
  </si>
  <si>
    <t>2026-03-06 09:34:13</t>
  </si>
  <si>
    <t>27838947014</t>
  </si>
  <si>
    <t>13559665</t>
  </si>
  <si>
    <t>bfec4024-d656-4ead-b4c7-8f263ea74b45</t>
  </si>
  <si>
    <t>2026-03-06 09:34:08</t>
  </si>
  <si>
    <t>27837988615</t>
  </si>
  <si>
    <t>13564272</t>
  </si>
  <si>
    <t>827853b0-0e4e-4913-9242-b503268fd0e5</t>
  </si>
  <si>
    <t>2026-03-06 09:34:05</t>
  </si>
  <si>
    <t>27729336996</t>
  </si>
  <si>
    <t>13561701</t>
  </si>
  <si>
    <t>081eaca7-792d-4333-b49d-ec05059746a4</t>
  </si>
  <si>
    <t>2026-03-06 09:34:04</t>
  </si>
  <si>
    <t>27791322946</t>
  </si>
  <si>
    <t>13555028</t>
  </si>
  <si>
    <t>b24274b7-52ee-4f34-a310-7fe9e037ae5b</t>
  </si>
  <si>
    <t>2026-03-06 09:32:45</t>
  </si>
  <si>
    <t>27646087836</t>
  </si>
  <si>
    <t>13556417</t>
  </si>
  <si>
    <t>7478c764-7fa6-4ae6-9179-b02adc2e2092</t>
  </si>
  <si>
    <t>2026-03-06 09:30:25</t>
  </si>
  <si>
    <t>27723648725</t>
  </si>
  <si>
    <t>13556067</t>
  </si>
  <si>
    <t>7be8caba-59fe-41c1-9b65-c25a6307062b</t>
  </si>
  <si>
    <t>2026-03-06 09:30:19</t>
  </si>
  <si>
    <t>27720483886</t>
  </si>
  <si>
    <t>13559649</t>
  </si>
  <si>
    <t>74b2a6bc-491f-464f-a625-8e4680718c07</t>
  </si>
  <si>
    <t>2026-03-06 09:29:25</t>
  </si>
  <si>
    <t>27834643918</t>
  </si>
  <si>
    <t>13556156</t>
  </si>
  <si>
    <t>0375f09b-6500-4ceb-b083-37546b869851</t>
  </si>
  <si>
    <t>2026-03-06 09:27:21</t>
  </si>
  <si>
    <t>27721130804</t>
  </si>
  <si>
    <t>13557776</t>
  </si>
  <si>
    <t>c196fdc6-0783-46eb-bb3e-f53c113aaa40</t>
  </si>
  <si>
    <t>2026-03-06 09:27:18</t>
  </si>
  <si>
    <t>27767280879</t>
  </si>
  <si>
    <t>13558867</t>
  </si>
  <si>
    <t>a1e21e9c-f5c9-4b77-9a76-98d01a083156</t>
  </si>
  <si>
    <t>2026-03-06 09:26:22</t>
  </si>
  <si>
    <t>27799481507</t>
  </si>
  <si>
    <t>13558498</t>
  </si>
  <si>
    <t>20327eb3-a609-49fa-8e7e-fa0ab76c4c14</t>
  </si>
  <si>
    <t>2026-03-06 09:21:39</t>
  </si>
  <si>
    <t>27794618119</t>
  </si>
  <si>
    <t>13559054</t>
  </si>
  <si>
    <t>3b2f1108-cf2a-4cf2-8711-d1d5388d5d95</t>
  </si>
  <si>
    <t>2026-03-06 09:21:27</t>
  </si>
  <si>
    <t>27822172267</t>
  </si>
  <si>
    <t>13561577</t>
  </si>
  <si>
    <t>0848b233-8751-4b64-8f63-c27b21be2506</t>
  </si>
  <si>
    <t>2026-03-06 09:16:40</t>
  </si>
  <si>
    <t>27714524870</t>
  </si>
  <si>
    <t>13561413</t>
  </si>
  <si>
    <t>22273e09-c7b7-4f06-9368-2a4b1aa92a12</t>
  </si>
  <si>
    <t>2026-03-06 09:16:23</t>
  </si>
  <si>
    <t>27791824998</t>
  </si>
  <si>
    <t>13562127</t>
  </si>
  <si>
    <t>5e594cec-2250-426a-a9a6-c74ee650eb8c</t>
  </si>
  <si>
    <t>2026-03-06 09:16:11</t>
  </si>
  <si>
    <t>27712366581</t>
  </si>
  <si>
    <t>13556016</t>
  </si>
  <si>
    <t>81bdcc41-ec13-4808-ac34-fd2840037f2c</t>
  </si>
  <si>
    <t>2026-03-06 09:11:46</t>
  </si>
  <si>
    <t>27716519378</t>
  </si>
  <si>
    <t>13562534</t>
  </si>
  <si>
    <t>50bbc51d-a127-4789-9c79-ce55bede231c</t>
  </si>
  <si>
    <t>2026-03-06 09:11:45</t>
  </si>
  <si>
    <t>27760360075</t>
  </si>
  <si>
    <t>13563852</t>
  </si>
  <si>
    <t>e9aa8e5b-1a74-473f-97ae-709ee26eca66</t>
  </si>
  <si>
    <t>2026-03-06 09:08:05</t>
  </si>
  <si>
    <t>27746725843</t>
  </si>
  <si>
    <t>13562941</t>
  </si>
  <si>
    <t>3fc623b9-effd-499a-89fb-ebd780f514b1</t>
  </si>
  <si>
    <t>2026-03-06 09:08:04</t>
  </si>
  <si>
    <t>27724748057</t>
  </si>
  <si>
    <t>13558107</t>
  </si>
  <si>
    <t>c15a0235-f41e-4d4b-8cdf-8f8741226281</t>
  </si>
  <si>
    <t>2026-03-06 09:03:21</t>
  </si>
  <si>
    <t>27790209652</t>
  </si>
  <si>
    <t>13555389</t>
  </si>
  <si>
    <t>3752826c-0577-4a3b-8ae7-f401e0e0093c</t>
  </si>
  <si>
    <t>2026-03-06 08:54:04</t>
  </si>
  <si>
    <t>27664474398</t>
  </si>
  <si>
    <t>13555978</t>
  </si>
  <si>
    <t>652b9087-2fc7-4e89-9615-2c01f21beafe</t>
  </si>
  <si>
    <t>2026-03-06 08:51:30</t>
  </si>
  <si>
    <t>27715932049</t>
  </si>
  <si>
    <t>13558948</t>
  </si>
  <si>
    <t>2bdb50e6-3d46-4bfc-8dbb-5766e27e4f92</t>
  </si>
  <si>
    <t>2026-03-06 08:48:15</t>
  </si>
  <si>
    <t>27818271477</t>
  </si>
  <si>
    <t>13555596</t>
  </si>
  <si>
    <t>3f9206a3-02ad-4e06-a141-c1dea9df8621</t>
  </si>
  <si>
    <t>2026-03-06 08:44:00</t>
  </si>
  <si>
    <t>27711939760</t>
  </si>
  <si>
    <t>13564157</t>
  </si>
  <si>
    <t>18b8b4c4-ee31-4b97-8028-53c066a31a37</t>
  </si>
  <si>
    <t>2026-03-06 08:39:51</t>
  </si>
  <si>
    <t>27637399978</t>
  </si>
  <si>
    <t>13555991</t>
  </si>
  <si>
    <t>90122cdf-4a04-45f8-aaf0-6a90ec147dcc</t>
  </si>
  <si>
    <t>2026-03-06 08:39:04</t>
  </si>
  <si>
    <t>27716172462</t>
  </si>
  <si>
    <t>13560185</t>
  </si>
  <si>
    <t>91128328-1ce1-4685-ad14-ee9ddd76ac96</t>
  </si>
  <si>
    <t>2026-03-06 08:28:20</t>
  </si>
  <si>
    <t>27820544822</t>
  </si>
  <si>
    <t>13555407</t>
  </si>
  <si>
    <t>4ab0c8b1-061a-4a4c-97f4-9a6a2f3f99c5</t>
  </si>
  <si>
    <t>2026-03-06 08:23:49</t>
  </si>
  <si>
    <t>27664883633</t>
  </si>
  <si>
    <t>13558918</t>
  </si>
  <si>
    <t>adab611d-8280-4cdd-ada7-82aa94318b4f</t>
  </si>
  <si>
    <t>2026-03-06 08:21:37</t>
  </si>
  <si>
    <t>27810647959</t>
  </si>
  <si>
    <t>13560690</t>
  </si>
  <si>
    <t>2a8525c4-4435-495b-84ed-b524b3970fa6</t>
  </si>
  <si>
    <t>27760785367</t>
  </si>
  <si>
    <t>13559316</t>
  </si>
  <si>
    <t>ca763c5e-8548-4c17-b3d7-54180f333b87</t>
  </si>
  <si>
    <t>2026-03-06 08:11:51</t>
  </si>
  <si>
    <t>27825399299</t>
  </si>
  <si>
    <t>13555474</t>
  </si>
  <si>
    <t>e1ea54eb-ce45-40d0-a93a-e2109feef10d</t>
  </si>
  <si>
    <t>2026-03-06 08:03:07</t>
  </si>
  <si>
    <t>27673740222</t>
  </si>
  <si>
    <t>13555714</t>
  </si>
  <si>
    <t>f79e0d3a-6816-43c5-be8a-f0807b61b3bf</t>
  </si>
  <si>
    <t>2026-03-06 07:57:56</t>
  </si>
  <si>
    <t>27713147767</t>
  </si>
  <si>
    <t>13564125</t>
  </si>
  <si>
    <t>0d8386d3-74ee-4399-8a60-29a6f7306445</t>
  </si>
  <si>
    <t>2026-03-06 07:34:48</t>
  </si>
  <si>
    <t>27728110243</t>
  </si>
  <si>
    <t>13563193</t>
  </si>
  <si>
    <t>8d976c58-1f2a-406a-90e7-b1ef22f41f65</t>
  </si>
  <si>
    <t>2026-03-06 07:33:29</t>
  </si>
  <si>
    <t>27663968344</t>
  </si>
  <si>
    <t>13557897</t>
  </si>
  <si>
    <t>1694aac7-cf63-4fe0-8ef1-b6a70789fc5a</t>
  </si>
  <si>
    <t>2026-03-06 07:32:31</t>
  </si>
  <si>
    <t>27768431778</t>
  </si>
  <si>
    <t>13559359</t>
  </si>
  <si>
    <t>30daafcc-b390-475a-8f1d-1d9520df877f</t>
  </si>
  <si>
    <t>2026-03-06 07:30:55</t>
  </si>
  <si>
    <t>27826017905</t>
  </si>
  <si>
    <t>13562853</t>
  </si>
  <si>
    <t>18d124cd-6cbe-42b1-80f1-901e3e2bb070</t>
  </si>
  <si>
    <t>2026-03-06 07:29:17</t>
  </si>
  <si>
    <t>27712386216</t>
  </si>
  <si>
    <t>13555337</t>
  </si>
  <si>
    <t>514490a0-651b-494d-be26-dcceaa973742</t>
  </si>
  <si>
    <t>2026-03-06 07:25:40</t>
  </si>
  <si>
    <t>27663399414</t>
  </si>
  <si>
    <t>13561694</t>
  </si>
  <si>
    <t>571ad293-af5c-444d-b3b5-7f3c59a01932</t>
  </si>
  <si>
    <t>2026-03-06 07:25:01</t>
  </si>
  <si>
    <t>27716367122</t>
  </si>
  <si>
    <t>13558674</t>
  </si>
  <si>
    <t>417d7d83-4eec-436a-aae2-037b353787f5</t>
  </si>
  <si>
    <t>2026-03-06 07:24:19</t>
  </si>
  <si>
    <t>27796790069</t>
  </si>
  <si>
    <t>13558507</t>
  </si>
  <si>
    <t>84cc236f-c7f7-4277-9761-31c6e56d9639</t>
  </si>
  <si>
    <t>2026-03-06 07:22:52</t>
  </si>
  <si>
    <t>27794740393</t>
  </si>
  <si>
    <t>13558518</t>
  </si>
  <si>
    <t>9e82e8c8-9fd2-4e31-9113-f89d5df48df5</t>
  </si>
  <si>
    <t>2026-03-06 07:20:49</t>
  </si>
  <si>
    <t>27794820832</t>
  </si>
  <si>
    <t>13564136</t>
  </si>
  <si>
    <t>37f73108-fef7-412f-a81b-2770cb12f4b3</t>
  </si>
  <si>
    <t>2026-03-06 07:20:26</t>
  </si>
  <si>
    <t>27726162500</t>
  </si>
  <si>
    <t>13562248</t>
  </si>
  <si>
    <t>f8420310-56ec-4e52-ba29-17495ab24c5c</t>
  </si>
  <si>
    <t>2026-03-06 07:18:38</t>
  </si>
  <si>
    <t>27763471955</t>
  </si>
  <si>
    <t>13563312</t>
  </si>
  <si>
    <t>8a8d9bba-7f58-4339-8a85-2d1df0ea61b9</t>
  </si>
  <si>
    <t>2026-03-06 07:16:05</t>
  </si>
  <si>
    <t>Tebogo Chauke</t>
  </si>
  <si>
    <t>27729285728</t>
  </si>
  <si>
    <t>13556007</t>
  </si>
  <si>
    <t>cec26737-f09f-4abd-bf97-8e5af2d14571</t>
  </si>
  <si>
    <t>2026-03-06 07:15:32</t>
  </si>
  <si>
    <t>27716427895</t>
  </si>
  <si>
    <t>13560782</t>
  </si>
  <si>
    <t>8a29f040-a310-45a0-a94a-c1c3e1acb8d9</t>
  </si>
  <si>
    <t>27649108410</t>
  </si>
  <si>
    <t>13557418</t>
  </si>
  <si>
    <t>ba3ba500-081a-4387-876b-b2e36a1d62ba</t>
  </si>
  <si>
    <t>2026-03-06 07:15:04</t>
  </si>
  <si>
    <t>27763412582</t>
  </si>
  <si>
    <t>13555783</t>
  </si>
  <si>
    <t>eeba4d44-d147-43e9-8282-853df33d8ac2</t>
  </si>
  <si>
    <t>2026-03-06 07:14:25</t>
  </si>
  <si>
    <t>27713972754</t>
  </si>
  <si>
    <t>13558585</t>
  </si>
  <si>
    <t>0d08811d-5087-478e-9f97-23cea210cb88</t>
  </si>
  <si>
    <t>2026-03-06 07:14:22</t>
  </si>
  <si>
    <t>27795796658</t>
  </si>
  <si>
    <t>13555315</t>
  </si>
  <si>
    <t>35890a6d-54aa-45fd-9ed7-27ed2a34e7f4</t>
  </si>
  <si>
    <t>2026-03-06 07:14:00</t>
  </si>
  <si>
    <t>27662092727</t>
  </si>
  <si>
    <t>13562451</t>
  </si>
  <si>
    <t>9dc830a1-64ef-4b84-a4b2-075ecacbeb25</t>
  </si>
  <si>
    <t>2026-03-06 07:13:55</t>
  </si>
  <si>
    <t>27713794316</t>
  </si>
  <si>
    <t>13561999</t>
  </si>
  <si>
    <t>87b127e9-ae01-430d-89ec-039b54fc308f</t>
  </si>
  <si>
    <t>2026-03-06 07:13:52</t>
  </si>
  <si>
    <t>27711658957</t>
  </si>
  <si>
    <t>13563195</t>
  </si>
  <si>
    <t>5345fdb2-547e-43dc-9ea5-3e3696695f77</t>
  </si>
  <si>
    <t>2026-03-06 07:13:26</t>
  </si>
  <si>
    <t>27742322723</t>
  </si>
  <si>
    <t>13561147</t>
  </si>
  <si>
    <t>4a33946e-69d1-4b83-8450-f47ae22e2a69</t>
  </si>
  <si>
    <t>2026-03-06 07:12:15</t>
  </si>
  <si>
    <t>27606165689</t>
  </si>
  <si>
    <t>13562995</t>
  </si>
  <si>
    <t>229440e5-1aeb-4ee3-b6e8-91e3fc455268</t>
  </si>
  <si>
    <t>2026-03-06 07:11:34</t>
  </si>
  <si>
    <t>27722180997</t>
  </si>
  <si>
    <t>13560499</t>
  </si>
  <si>
    <t>ff183421-36e5-4b91-84ae-051e2ebacf83</t>
  </si>
  <si>
    <t>2026-03-06 07:11:25</t>
  </si>
  <si>
    <t>27765659933</t>
  </si>
  <si>
    <t>13555310</t>
  </si>
  <si>
    <t>9d0e8e8c-7fe9-44d7-8aca-a4c4b06ed8ae</t>
  </si>
  <si>
    <t>2026-03-06 07:11:16</t>
  </si>
  <si>
    <t>27661794938</t>
  </si>
  <si>
    <t>13564878</t>
  </si>
  <si>
    <t>5de3f181-647d-4e46-8878-bc5d17da35f9</t>
  </si>
  <si>
    <t>2026-03-06 07:10:10</t>
  </si>
  <si>
    <t>27608950816</t>
  </si>
  <si>
    <t>13563594</t>
  </si>
  <si>
    <t>217be18b-8ddc-4b84-830f-ad68d9dc9e2f</t>
  </si>
  <si>
    <t>2026-03-06 07:09:54</t>
  </si>
  <si>
    <t>27725818327</t>
  </si>
  <si>
    <t>13559032</t>
  </si>
  <si>
    <t>d57be756-19d9-4f4a-a006-4969b52b14fa</t>
  </si>
  <si>
    <t>2026-03-06 07:09:11</t>
  </si>
  <si>
    <t>27820771372</t>
  </si>
  <si>
    <t>13555173</t>
  </si>
  <si>
    <t>d66f5827-c95e-4c6a-8210-5947b840b42d</t>
  </si>
  <si>
    <t>2026-03-06 07:09:09</t>
  </si>
  <si>
    <t>27649215225</t>
  </si>
  <si>
    <t>13559701</t>
  </si>
  <si>
    <t>fd1ccfda-e1bc-478e-a6a7-0cc202665dec</t>
  </si>
  <si>
    <t>2026-03-06 07:09:06</t>
  </si>
  <si>
    <t>27611195172</t>
  </si>
  <si>
    <t>13554980</t>
  </si>
  <si>
    <t>35ae140f-5e4f-4a4c-b6b2-5684ac138137</t>
  </si>
  <si>
    <t>2026-03-06 07:09:05</t>
  </si>
  <si>
    <t>27636653902</t>
  </si>
  <si>
    <t>13558302</t>
  </si>
  <si>
    <t>4e98d8ff-f796-43b3-9f0d-64c9d9382df8</t>
  </si>
  <si>
    <t>27792492467</t>
  </si>
  <si>
    <t>13563024</t>
  </si>
  <si>
    <t>bca22958-ca84-4869-b7a7-86a061491ef8</t>
  </si>
  <si>
    <t>2026-03-06 07:08:11</t>
  </si>
  <si>
    <t>27607730784</t>
  </si>
  <si>
    <t>13560619</t>
  </si>
  <si>
    <t>2e897722-d75d-487d-a186-3e678a8fb7e6</t>
  </si>
  <si>
    <t>2026-03-06 07:08:08</t>
  </si>
  <si>
    <t>27818504035</t>
  </si>
  <si>
    <t>13562178</t>
  </si>
  <si>
    <t>e4dd99dd-ed6d-4743-922d-286a0800a16b</t>
  </si>
  <si>
    <t>27818985917</t>
  </si>
  <si>
    <t>13562218</t>
  </si>
  <si>
    <t>2c8e05ca-e027-4e77-8b95-7e91afc5cd36</t>
  </si>
  <si>
    <t>27793869203</t>
  </si>
  <si>
    <t>13563219</t>
  </si>
  <si>
    <t>45414735-66a2-426a-aaf5-76fa7685bbc4</t>
  </si>
  <si>
    <t>27720521852</t>
  </si>
  <si>
    <t>13555231</t>
  </si>
  <si>
    <t>bcdb684d-3f3e-4c3b-8ea3-f09f4064cb6a</t>
  </si>
  <si>
    <t>2026-03-06 07:08:05</t>
  </si>
  <si>
    <t>27660349060</t>
  </si>
  <si>
    <t>13560688</t>
  </si>
  <si>
    <t>644cf1f7-2cfd-465d-9369-3b2f5b2a5717</t>
  </si>
  <si>
    <t>2026-03-06 07:07:46</t>
  </si>
  <si>
    <t>27798167491</t>
  </si>
  <si>
    <t>13564503</t>
  </si>
  <si>
    <t>4874bfc4-d4dd-4d41-bba1-cbde315b4492</t>
  </si>
  <si>
    <t>2026-03-06 07:07:19</t>
  </si>
  <si>
    <t>27767086940</t>
  </si>
  <si>
    <t>13560710</t>
  </si>
  <si>
    <t>7c4747dd-5ca2-4435-88a0-fdac84f2dbf1</t>
  </si>
  <si>
    <t>2026-03-06 07:07:18</t>
  </si>
  <si>
    <t>27769663736</t>
  </si>
  <si>
    <t>13556717</t>
  </si>
  <si>
    <t>e08249d4-fc02-41ef-a569-a3c03ebb57b6</t>
  </si>
  <si>
    <t>2026-03-06 07:07:17</t>
  </si>
  <si>
    <t>27726842986</t>
  </si>
  <si>
    <t>13556926</t>
  </si>
  <si>
    <t>553cee27-2c9d-41c1-8465-110f31b40a0e</t>
  </si>
  <si>
    <t>2026-03-06 07:07:12</t>
  </si>
  <si>
    <t>Matamela Rabedzwana</t>
  </si>
  <si>
    <t>27728728283</t>
  </si>
  <si>
    <t>13556639</t>
  </si>
  <si>
    <t>48e0a51a-1feb-4e99-be54-e1d866ea8f27</t>
  </si>
  <si>
    <t>2026-03-06 07:06:01</t>
  </si>
  <si>
    <t>27725836210</t>
  </si>
  <si>
    <t>13559222</t>
  </si>
  <si>
    <t>05167eb5-2bc9-49ea-91dc-be4e9ff4e80e</t>
  </si>
  <si>
    <t>2026-03-06 07:05:32</t>
  </si>
  <si>
    <t>27824342850</t>
  </si>
  <si>
    <t>13564513</t>
  </si>
  <si>
    <t>e0906d93-3eba-462e-95f5-b749bcfde883</t>
  </si>
  <si>
    <t>2026-03-06 07:04:22</t>
  </si>
  <si>
    <t>27720619064</t>
  </si>
  <si>
    <t>13561526</t>
  </si>
  <si>
    <t>060f021b-19f8-4e3a-bc83-723013a30d2d</t>
  </si>
  <si>
    <t>2026-03-06 07:04:17</t>
  </si>
  <si>
    <t>27713065696</t>
  </si>
  <si>
    <t>13560777</t>
  </si>
  <si>
    <t>33853e80-2ba2-48a2-8200-85bce652d1f9</t>
  </si>
  <si>
    <t>2026-03-06 07:04:13</t>
  </si>
  <si>
    <t>27728906808</t>
  </si>
  <si>
    <t>13563060</t>
  </si>
  <si>
    <t>25c96cd6-31bf-49f8-a380-522f1933ff22</t>
  </si>
  <si>
    <t>2026-03-06 07:03:34</t>
  </si>
  <si>
    <t>27664621973</t>
  </si>
  <si>
    <t>13562946</t>
  </si>
  <si>
    <t>6132bc3d-015e-4302-9177-e5c52ea7745c</t>
  </si>
  <si>
    <t>2026-03-06 07:03:28</t>
  </si>
  <si>
    <t>27660885255</t>
  </si>
  <si>
    <t>13561176</t>
  </si>
  <si>
    <t>f96193e4-5446-4a11-af40-1eb287d1d6fc</t>
  </si>
  <si>
    <t>2026-03-06 07:02:52</t>
  </si>
  <si>
    <t>27608860106</t>
  </si>
  <si>
    <t>13563741</t>
  </si>
  <si>
    <t>e770e812-f36f-40a7-99ed-beafddba87df</t>
  </si>
  <si>
    <t>2026-03-06 07:02:47</t>
  </si>
  <si>
    <t>27715053057</t>
  </si>
  <si>
    <t>13563733</t>
  </si>
  <si>
    <t>2e977948-09a4-44f6-b4d0-ba08d9031501</t>
  </si>
  <si>
    <t>2026-03-06 07:02:46</t>
  </si>
  <si>
    <t>27649523320</t>
  </si>
  <si>
    <t>13556751</t>
  </si>
  <si>
    <t>c5269d8e-f0da-4535-a587-07f2344d3219</t>
  </si>
  <si>
    <t>2026-03-06 07:02:10</t>
  </si>
  <si>
    <t>27727143649</t>
  </si>
  <si>
    <t>13561818</t>
  </si>
  <si>
    <t>d614d97b-6667-42fa-8eb8-78622cec6bdc</t>
  </si>
  <si>
    <t>2026-03-06 07:01:54</t>
  </si>
  <si>
    <t>27790437812</t>
  </si>
  <si>
    <t>13560670</t>
  </si>
  <si>
    <t>f5eeec9f-0997-4b15-b459-0884624e6d79</t>
  </si>
  <si>
    <t>2026-03-06 07:01:06</t>
  </si>
  <si>
    <t>27664493889</t>
  </si>
  <si>
    <t>13563160</t>
  </si>
  <si>
    <t>2af1aefb-8694-4c5c-852c-71a052c68629</t>
  </si>
  <si>
    <t>27769342960</t>
  </si>
  <si>
    <t>13564497</t>
  </si>
  <si>
    <t>894277ee-f493-4188-8e42-ce01834ea048</t>
  </si>
  <si>
    <t>2026-03-06 07:00:08</t>
  </si>
  <si>
    <t>27723070539</t>
  </si>
  <si>
    <t>13563760</t>
  </si>
  <si>
    <t>99ce4c44-b5b2-42ae-b563-da67ad3a9df6</t>
  </si>
  <si>
    <t>2026-03-06 06:59:24</t>
  </si>
  <si>
    <t>27729729169</t>
  </si>
  <si>
    <t>13564892</t>
  </si>
  <si>
    <t>b5f01981-24e8-4cb0-933c-5bd710643914</t>
  </si>
  <si>
    <t>2026-03-06 06:58:45</t>
  </si>
  <si>
    <t>27609181889</t>
  </si>
  <si>
    <t>13557876</t>
  </si>
  <si>
    <t>168b5d4c-52a0-402a-830c-2d35fb0fd5e3</t>
  </si>
  <si>
    <t>2026-03-06 06:58:40</t>
  </si>
  <si>
    <t>27768222795</t>
  </si>
  <si>
    <t>13554948</t>
  </si>
  <si>
    <t>c21fcb8e-f5d7-427b-8817-5f83e701da21</t>
  </si>
  <si>
    <t>2026-03-06 06:58:37</t>
  </si>
  <si>
    <t>27636191058</t>
  </si>
  <si>
    <t>13564602</t>
  </si>
  <si>
    <t>24436ed2-79e6-4ce4-b428-be7a87421293</t>
  </si>
  <si>
    <t>2026-03-06 06:58:33</t>
  </si>
  <si>
    <t>27711399695</t>
  </si>
  <si>
    <t>13563777</t>
  </si>
  <si>
    <t>450443f1-9c57-4c49-b6d1-3d639b5f4da9</t>
  </si>
  <si>
    <t>2026-03-06 06:58:00</t>
  </si>
  <si>
    <t>27609964277</t>
  </si>
  <si>
    <t>13558574</t>
  </si>
  <si>
    <t>41ac9c1c-2c06-4222-b89b-acf16215c0b7</t>
  </si>
  <si>
    <t>2026-03-06 06:57:26</t>
  </si>
  <si>
    <t>27795698491</t>
  </si>
  <si>
    <t>13558547</t>
  </si>
  <si>
    <t>6912c084-85f9-48ce-9988-e4beba0f7bd3</t>
  </si>
  <si>
    <t>2026-03-06 06:57:23</t>
  </si>
  <si>
    <t>27795334878</t>
  </si>
  <si>
    <t>13558246</t>
  </si>
  <si>
    <t>833e95bb-d8a1-43f8-b2f8-79c222443096</t>
  </si>
  <si>
    <t>2026-03-06 06:57:20</t>
  </si>
  <si>
    <t>27791730518</t>
  </si>
  <si>
    <t>13558205</t>
  </si>
  <si>
    <t>89150cf0-dde5-4aa1-aad6-4a47f37e00c1</t>
  </si>
  <si>
    <t>2026-03-06 06:57:19</t>
  </si>
  <si>
    <t>27791263947</t>
  </si>
  <si>
    <t>13562914</t>
  </si>
  <si>
    <t>15bb7437-3743-44b4-b8e2-c414a99fd430</t>
  </si>
  <si>
    <t>27763017933</t>
  </si>
  <si>
    <t>13555775</t>
  </si>
  <si>
    <t>77832ba2-962a-4a15-97d7-b81cc82075b9</t>
  </si>
  <si>
    <t>2026-03-06 06:56:21</t>
  </si>
  <si>
    <t>27713850447</t>
  </si>
  <si>
    <t>13555761</t>
  </si>
  <si>
    <t>162e1e80-bf79-4ae7-885b-3d793a8afb19</t>
  </si>
  <si>
    <t>2026-03-06 06:56:17</t>
  </si>
  <si>
    <t>27713743619</t>
  </si>
  <si>
    <t>13555763</t>
  </si>
  <si>
    <t>6b56586e-ba9b-418d-8331-76d9c128fd92</t>
  </si>
  <si>
    <t>27713748735</t>
  </si>
  <si>
    <t>13555702</t>
  </si>
  <si>
    <t>7411be0d-5634-4cfa-98b2-eff775cedbde</t>
  </si>
  <si>
    <t>2026-03-06 06:56:14</t>
  </si>
  <si>
    <t>27713076332</t>
  </si>
  <si>
    <t>13555663</t>
  </si>
  <si>
    <t>f92f62ed-dba3-4465-90a7-4bcf2943af2f</t>
  </si>
  <si>
    <t>2026-03-06 06:56:11</t>
  </si>
  <si>
    <t>27712683476</t>
  </si>
  <si>
    <t>13564239</t>
  </si>
  <si>
    <t>1e97df35-c11f-4c8c-9893-7a43f85b5b99</t>
  </si>
  <si>
    <t>2026-03-06 06:55:13</t>
  </si>
  <si>
    <t>27767207852</t>
  </si>
  <si>
    <t>13560880</t>
  </si>
  <si>
    <t>7a4303e4-31bc-4a27-9169-11475aa5606b</t>
  </si>
  <si>
    <t>2026-03-06 06:55:07</t>
  </si>
  <si>
    <t>27768240837</t>
  </si>
  <si>
    <t>13560959</t>
  </si>
  <si>
    <t>07a3ca7d-7d57-4f95-b32e-c80ed6ce706a</t>
  </si>
  <si>
    <t>2026-03-06 06:54:49</t>
  </si>
  <si>
    <t>27609144044</t>
  </si>
  <si>
    <t>13561080</t>
  </si>
  <si>
    <t>8564a8cc-0ec0-4cc8-b208-f9e9bd8a2cad</t>
  </si>
  <si>
    <t>2026-03-06 06:54:41</t>
  </si>
  <si>
    <t>27822098880</t>
  </si>
  <si>
    <t>13561119</t>
  </si>
  <si>
    <t>7ce07ad9-4193-4ab1-8c09-aee21d7a6d96</t>
  </si>
  <si>
    <t>2026-03-06 06:54:30</t>
  </si>
  <si>
    <t>27637831524</t>
  </si>
  <si>
    <t>13562131</t>
  </si>
  <si>
    <t>3a975035-8bb1-42f1-9fe3-ceb4e263ae84</t>
  </si>
  <si>
    <t>2026-03-06 06:54:26</t>
  </si>
  <si>
    <t>27637323991</t>
  </si>
  <si>
    <t>13564607</t>
  </si>
  <si>
    <t>6c5c513d-69d1-4dec-b3c8-409232e2d8dc</t>
  </si>
  <si>
    <t>2026-03-06 06:53:54</t>
  </si>
  <si>
    <t>27766676179</t>
  </si>
  <si>
    <t>13561495</t>
  </si>
  <si>
    <t>1925b58b-4fbb-4893-913a-c98d6c7008b4</t>
  </si>
  <si>
    <t>2026-03-06 06:53:13</t>
  </si>
  <si>
    <t>27825392645</t>
  </si>
  <si>
    <t>13555355</t>
  </si>
  <si>
    <t>277960a4-7cb4-45e9-8547-c35681c2dbb5</t>
  </si>
  <si>
    <t>2026-03-06 06:53:06</t>
  </si>
  <si>
    <t>27663901302</t>
  </si>
  <si>
    <t>13564582</t>
  </si>
  <si>
    <t>d508d5e7-77ad-43a1-a6a8-7a714f9a9402</t>
  </si>
  <si>
    <t>2026-03-06 06:52:57</t>
  </si>
  <si>
    <t>27647091002</t>
  </si>
  <si>
    <t>13562176</t>
  </si>
  <si>
    <t>b74190bc-d02e-44c9-be12-db8c43557759</t>
  </si>
  <si>
    <t>2026-03-06 06:52:52</t>
  </si>
  <si>
    <t>27799105278</t>
  </si>
  <si>
    <t>13561840</t>
  </si>
  <si>
    <t>d62df1ec-ee30-4ac3-bf0d-53ed8e5fbc79</t>
  </si>
  <si>
    <t>2026-03-06 06:52:15</t>
  </si>
  <si>
    <t>27722571227</t>
  </si>
  <si>
    <t>13561882</t>
  </si>
  <si>
    <t>4fb93775-7182-4a09-91c9-7a45458e5866</t>
  </si>
  <si>
    <t>2026-03-06 06:52:08</t>
  </si>
  <si>
    <t>27606610104</t>
  </si>
  <si>
    <t>13559233</t>
  </si>
  <si>
    <t>babf6459-c7af-4bd1-8d4e-104a1f8591c0</t>
  </si>
  <si>
    <t>2026-03-06 06:52:07</t>
  </si>
  <si>
    <t>27824483934</t>
  </si>
  <si>
    <t>13564221</t>
  </si>
  <si>
    <t>83dd1af8-652b-4c1c-a921-9b9af8a76f40</t>
  </si>
  <si>
    <t>27721286816</t>
  </si>
  <si>
    <t>13555395</t>
  </si>
  <si>
    <t>f17c4375-5678-4062-b134-fd3ffd2313cc</t>
  </si>
  <si>
    <t>2026-03-06 06:52:04</t>
  </si>
  <si>
    <t>27664628216</t>
  </si>
  <si>
    <t>13561867</t>
  </si>
  <si>
    <t>b529ebd8-cb2a-4f90-9c1e-2bf60138ed09</t>
  </si>
  <si>
    <t>2026-03-06 06:51:57</t>
  </si>
  <si>
    <t>27796087865</t>
  </si>
  <si>
    <t>13564207</t>
  </si>
  <si>
    <t>20635691-0df5-41d8-99fb-3c198741a2e0</t>
  </si>
  <si>
    <t>2026-03-06 06:51:54</t>
  </si>
  <si>
    <t>27769102828</t>
  </si>
  <si>
    <t>13564482</t>
  </si>
  <si>
    <t>7e80be9b-1952-4957-8a92-b6adf7a67d7b</t>
  </si>
  <si>
    <t>2026-03-06 06:51:15</t>
  </si>
  <si>
    <t>27720618477</t>
  </si>
  <si>
    <t>13557919</t>
  </si>
  <si>
    <t>dd052523-ce55-45dd-a62a-268df4fe69fc</t>
  </si>
  <si>
    <t>2026-03-06 06:51:13</t>
  </si>
  <si>
    <t>27768721086</t>
  </si>
  <si>
    <t>13560589</t>
  </si>
  <si>
    <t>a3006103-7e33-4f75-b522-a4e08e614ed1</t>
  </si>
  <si>
    <t>2026-03-06 06:51:06</t>
  </si>
  <si>
    <t>27728359252</t>
  </si>
  <si>
    <t>13562273</t>
  </si>
  <si>
    <t>f65ee43d-6c57-4da3-a6a4-e8a1105cbebe</t>
  </si>
  <si>
    <t>2026-03-06 06:50:41</t>
  </si>
  <si>
    <t>27713375163</t>
  </si>
  <si>
    <t>13562644</t>
  </si>
  <si>
    <t>001d5eac-6155-49ab-858f-097f606d44c2</t>
  </si>
  <si>
    <t>2026-03-06 06:50:28</t>
  </si>
  <si>
    <t>27766725944</t>
  </si>
  <si>
    <t>13562646</t>
  </si>
  <si>
    <t>401c2a39-0508-4b87-9c77-d5a987b351fc</t>
  </si>
  <si>
    <t>27606649816</t>
  </si>
  <si>
    <t>13560732</t>
  </si>
  <si>
    <t>66a0d4b0-a5d8-42d8-a6bc-0e9f37fa23e7</t>
  </si>
  <si>
    <t>2026-03-06 06:49:29</t>
  </si>
  <si>
    <t>27722824505</t>
  </si>
  <si>
    <t>13556105</t>
  </si>
  <si>
    <t>17fa71fa-403c-4f2e-96cf-d2334fcd09c9</t>
  </si>
  <si>
    <t>2026-03-06 06:49:26</t>
  </si>
  <si>
    <t>27720758669</t>
  </si>
  <si>
    <t>13556122</t>
  </si>
  <si>
    <t>b81f579d-f24e-4fb3-9fd1-1ea1e3f39d1d</t>
  </si>
  <si>
    <t>27720857444</t>
  </si>
  <si>
    <t>13556080</t>
  </si>
  <si>
    <t>e3772315-3dbe-4788-b783-7f21bf5129ca</t>
  </si>
  <si>
    <t>2026-03-06 06:49:19</t>
  </si>
  <si>
    <t>27720571093</t>
  </si>
  <si>
    <t>13556009</t>
  </si>
  <si>
    <t>d6ea1394-a8a4-4258-855b-272ea427bd39</t>
  </si>
  <si>
    <t>2026-03-06 06:48:55</t>
  </si>
  <si>
    <t>27716440643</t>
  </si>
  <si>
    <t>13555840</t>
  </si>
  <si>
    <t>ed8b5513-3061-49a9-ac01-fcb05be9b60c</t>
  </si>
  <si>
    <t>2026-03-06 06:48:43</t>
  </si>
  <si>
    <t>27714729102</t>
  </si>
  <si>
    <t>13563735</t>
  </si>
  <si>
    <t>870813cd-6bcb-4527-94c2-a2cc4ebe5bb4</t>
  </si>
  <si>
    <t>27769327078</t>
  </si>
  <si>
    <t>13556628</t>
  </si>
  <si>
    <t>bc1b2923-a47c-4689-9d30-7f697e17f59f</t>
  </si>
  <si>
    <t>2026-03-06 06:47:57</t>
  </si>
  <si>
    <t>27725637113</t>
  </si>
  <si>
    <t>13556656</t>
  </si>
  <si>
    <t>9ae6b6e3-9079-4340-815e-12f446b45471</t>
  </si>
  <si>
    <t>2026-03-06 06:47:51</t>
  </si>
  <si>
    <t>27726109610</t>
  </si>
  <si>
    <t>13563066</t>
  </si>
  <si>
    <t>2704c1b0-d039-4afb-abd7-659f8f5b1115</t>
  </si>
  <si>
    <t>2026-03-06 06:47:44</t>
  </si>
  <si>
    <t>27721829763</t>
  </si>
  <si>
    <t>13562692</t>
  </si>
  <si>
    <t>0cb8e791-706a-4f00-9eb3-290281fe82da</t>
  </si>
  <si>
    <t>2026-03-06 06:47:23</t>
  </si>
  <si>
    <t>27765940376</t>
  </si>
  <si>
    <t>13558778</t>
  </si>
  <si>
    <t>047f111a-e099-42b0-afe4-67c65ead0069</t>
  </si>
  <si>
    <t>2026-03-06 06:47:22</t>
  </si>
  <si>
    <t>27798096739</t>
  </si>
  <si>
    <t>13564545</t>
  </si>
  <si>
    <t>98c0c82c-181a-4df1-81be-0006c697c744</t>
  </si>
  <si>
    <t>2026-03-06 06:47:15</t>
  </si>
  <si>
    <t>27608581560</t>
  </si>
  <si>
    <t>13561786</t>
  </si>
  <si>
    <t>abe9ea08-d724-4ae8-9348-1fc812d2bdf7</t>
  </si>
  <si>
    <t>2026-03-06 06:46:55</t>
  </si>
  <si>
    <t>27675514198</t>
  </si>
  <si>
    <t>13563916</t>
  </si>
  <si>
    <t>ea588723-9fa6-420f-8931-36c9e9bbebf9</t>
  </si>
  <si>
    <t>2026-03-06 06:45:35</t>
  </si>
  <si>
    <t>27664649770</t>
  </si>
  <si>
    <t>13562357</t>
  </si>
  <si>
    <t>a39e069c-e1f5-4775-b61a-a3bfe47f3823</t>
  </si>
  <si>
    <t>2026-03-06 06:44:54</t>
  </si>
  <si>
    <t>27661823569</t>
  </si>
  <si>
    <t>13558037</t>
  </si>
  <si>
    <t>b72abbe0-756d-45ad-98b0-92318f139849</t>
  </si>
  <si>
    <t>2026-03-06 06:44:44</t>
  </si>
  <si>
    <t>27769987779</t>
  </si>
  <si>
    <t>13558017</t>
  </si>
  <si>
    <t>a5973952-6daa-4c24-bed4-506fdd087360</t>
  </si>
  <si>
    <t>2026-03-06 06:44:43</t>
  </si>
  <si>
    <t>27769710047</t>
  </si>
  <si>
    <t>13559510</t>
  </si>
  <si>
    <t>f623c9fe-38d0-4a3c-a0fb-8625aa350883</t>
  </si>
  <si>
    <t>2026-03-06 06:44:11</t>
  </si>
  <si>
    <t>27827742175</t>
  </si>
  <si>
    <t>13561994</t>
  </si>
  <si>
    <t>4455e5ce-e27e-4318-a142-87ec847790e5</t>
  </si>
  <si>
    <t>2026-03-06 06:44:10</t>
  </si>
  <si>
    <t>27762347137</t>
  </si>
  <si>
    <t>13561997</t>
  </si>
  <si>
    <t>eabeeef6-ca10-4db3-9349-63def7bef809</t>
  </si>
  <si>
    <t>27820660485</t>
  </si>
  <si>
    <t>13561753</t>
  </si>
  <si>
    <t>c539f110-b4ce-4bfd-8b74-c58468770411</t>
  </si>
  <si>
    <t>2026-03-06 06:44:07</t>
  </si>
  <si>
    <t>27665748718</t>
  </si>
  <si>
    <t>13562744</t>
  </si>
  <si>
    <t>a235479c-0705-4c53-bc45-cce55338a982</t>
  </si>
  <si>
    <t>2026-03-06 06:44:05</t>
  </si>
  <si>
    <t>27764890360</t>
  </si>
  <si>
    <t>13564323</t>
  </si>
  <si>
    <t>50b41278-e701-45fd-a603-a8f605c1ee53</t>
  </si>
  <si>
    <t>2026-03-06 06:43:59</t>
  </si>
  <si>
    <t>27715928458</t>
  </si>
  <si>
    <t>13562041</t>
  </si>
  <si>
    <t>0bc0025a-c152-4fd2-bc3d-77470b9a0cca</t>
  </si>
  <si>
    <t>2026-03-06 06:43:53</t>
  </si>
  <si>
    <t>27724432416</t>
  </si>
  <si>
    <t>13557484</t>
  </si>
  <si>
    <t>13e54a90-b582-42b2-a214-6f7a68e6c3f7</t>
  </si>
  <si>
    <t>2026-03-06 06:43:43</t>
  </si>
  <si>
    <t>27764332066</t>
  </si>
  <si>
    <t>13560017</t>
  </si>
  <si>
    <t>bef04774-79fb-4c47-9f69-08cbca6c548a</t>
  </si>
  <si>
    <t>2026-03-06 06:42:57</t>
  </si>
  <si>
    <t>27826422539</t>
  </si>
  <si>
    <t>13560015</t>
  </si>
  <si>
    <t>1b3577e4-21c1-4f97-acfd-937db3e7a9d6</t>
  </si>
  <si>
    <t>2026-03-06 06:42:56</t>
  </si>
  <si>
    <t>27766238383</t>
  </si>
  <si>
    <t>13559424</t>
  </si>
  <si>
    <t>b84fc794-0196-4519-8a8a-d64b9d06e4ac</t>
  </si>
  <si>
    <t>2026-03-06 06:42:33</t>
  </si>
  <si>
    <t>27826748445</t>
  </si>
  <si>
    <t>13561681</t>
  </si>
  <si>
    <t>87223b99-174d-445b-84d6-7b35c1eda2f4</t>
  </si>
  <si>
    <t>2026-03-06 06:42:31</t>
  </si>
  <si>
    <t>27713014797</t>
  </si>
  <si>
    <t>13559407</t>
  </si>
  <si>
    <t>3b59facf-b06f-43db-9b89-7a248847c3e9</t>
  </si>
  <si>
    <t>2026-03-06 06:42:30</t>
  </si>
  <si>
    <t>27826609930</t>
  </si>
  <si>
    <t>13559389</t>
  </si>
  <si>
    <t>d65afc28-9920-4fba-b5c4-3076b1b8792c</t>
  </si>
  <si>
    <t>2026-03-06 06:42:28</t>
  </si>
  <si>
    <t>27826370339</t>
  </si>
  <si>
    <t>13559383</t>
  </si>
  <si>
    <t>ce382bdc-8dd0-4a25-8a9c-3e2838190a93</t>
  </si>
  <si>
    <t>2026-03-06 06:42:25</t>
  </si>
  <si>
    <t>27826307207</t>
  </si>
  <si>
    <t>13555650</t>
  </si>
  <si>
    <t>978a22a4-896b-4b15-9a47-d6d11cef6658</t>
  </si>
  <si>
    <t>2026-03-06 06:42:02</t>
  </si>
  <si>
    <t>27712524030</t>
  </si>
  <si>
    <t>13564251</t>
  </si>
  <si>
    <t>1cba97e9-6780-431b-86fd-aa391eba6582</t>
  </si>
  <si>
    <t>2026-03-06 06:41:50</t>
  </si>
  <si>
    <t>27724907579</t>
  </si>
  <si>
    <t>13555619</t>
  </si>
  <si>
    <t>b478fbb0-46b5-4595-a535-c6e757fd5081</t>
  </si>
  <si>
    <t>2026-03-06 06:41:49</t>
  </si>
  <si>
    <t>27712198569</t>
  </si>
  <si>
    <t>13562298</t>
  </si>
  <si>
    <t>df65068c-530b-44b5-b850-481c1a6249cc</t>
  </si>
  <si>
    <t>2026-03-06 06:41:36</t>
  </si>
  <si>
    <t>27794177802</t>
  </si>
  <si>
    <t>13555591</t>
  </si>
  <si>
    <t>e602761e-2d8e-488d-8740-10b02e1e4bd1</t>
  </si>
  <si>
    <t>2026-03-06 06:41:35</t>
  </si>
  <si>
    <t>27711907635</t>
  </si>
  <si>
    <t>13555584</t>
  </si>
  <si>
    <t>524c81a5-088b-4081-acd3-ac6835d2bbb2</t>
  </si>
  <si>
    <t>2026-03-06 06:41:29</t>
  </si>
  <si>
    <t>27711769217</t>
  </si>
  <si>
    <t>13555569</t>
  </si>
  <si>
    <t>0d92cb83-a0c0-4167-9818-366fe776242d</t>
  </si>
  <si>
    <t>2026-03-06 06:41:07</t>
  </si>
  <si>
    <t>27711579462</t>
  </si>
  <si>
    <t>13555545</t>
  </si>
  <si>
    <t>bb250073-dba4-47ff-8c44-710e976f22a8</t>
  </si>
  <si>
    <t>2026-03-06 06:41:00</t>
  </si>
  <si>
    <t>27711352695</t>
  </si>
  <si>
    <t>13564737</t>
  </si>
  <si>
    <t>b1fd8d36-330d-4ed8-9e4f-392929b12645</t>
  </si>
  <si>
    <t>2026-03-06 06:40:14</t>
  </si>
  <si>
    <t>27606616214</t>
  </si>
  <si>
    <t>13557873</t>
  </si>
  <si>
    <t>cb6cc58b-0073-424a-8acd-af0a6ce4111e</t>
  </si>
  <si>
    <t>2026-03-06 06:40:07</t>
  </si>
  <si>
    <t>27768200619</t>
  </si>
  <si>
    <t>13557857</t>
  </si>
  <si>
    <t>f4815386-75af-4c80-98b0-0c275e25b9f3</t>
  </si>
  <si>
    <t>2026-03-06 06:40:06</t>
  </si>
  <si>
    <t>27768064024</t>
  </si>
  <si>
    <t>13557723</t>
  </si>
  <si>
    <t>967fcee3-4894-4efa-83f8-0573af0f94e4</t>
  </si>
  <si>
    <t>2026-03-06 06:40:05</t>
  </si>
  <si>
    <t>27766728163</t>
  </si>
  <si>
    <t>13562512</t>
  </si>
  <si>
    <t>3d129b94-ca16-4197-b9fa-ea4473ef6ed6</t>
  </si>
  <si>
    <t>2026-03-06 06:40:03</t>
  </si>
  <si>
    <t>27724161514</t>
  </si>
  <si>
    <t>13557632</t>
  </si>
  <si>
    <t>5212c170-a63d-4fb1-bc29-9c10d714429e</t>
  </si>
  <si>
    <t>2026-03-06 06:40:01</t>
  </si>
  <si>
    <t>27765827194</t>
  </si>
  <si>
    <t>13557596</t>
  </si>
  <si>
    <t>66897a7b-b483-4def-a8de-4d84ca6ca3ce</t>
  </si>
  <si>
    <t>2026-03-06 06:40:00</t>
  </si>
  <si>
    <t>27765498408</t>
  </si>
  <si>
    <t>13557547</t>
  </si>
  <si>
    <t>a8813ddc-ff47-4641-9cac-b5a8a757b990</t>
  </si>
  <si>
    <t>2026-03-06 06:39:59</t>
  </si>
  <si>
    <t>27764985509</t>
  </si>
  <si>
    <t>13557505</t>
  </si>
  <si>
    <t>a3647d2f-fd71-4ff8-9e51-8fbf837ecc20</t>
  </si>
  <si>
    <t>2026-03-06 06:39:58</t>
  </si>
  <si>
    <t>27764602678</t>
  </si>
  <si>
    <t>13559903</t>
  </si>
  <si>
    <t>438b46aa-40b5-4050-a1d2-5d7656e43848</t>
  </si>
  <si>
    <t>2026-03-06 06:38:34</t>
  </si>
  <si>
    <t>27768807830</t>
  </si>
  <si>
    <t>13563630</t>
  </si>
  <si>
    <t>9df0f968-fe5b-40c6-9f54-1a442f71ed57</t>
  </si>
  <si>
    <t>2026-03-06 06:38:33</t>
  </si>
  <si>
    <t>27768325041</t>
  </si>
  <si>
    <t>13561571</t>
  </si>
  <si>
    <t>ab04463f-10e1-4f87-84fd-c75af97c1b70</t>
  </si>
  <si>
    <t>2026-03-06 06:37:51</t>
  </si>
  <si>
    <t>27796051542</t>
  </si>
  <si>
    <t>13561625</t>
  </si>
  <si>
    <t>69d43a1d-4d0d-474d-8bed-6231c774590f</t>
  </si>
  <si>
    <t>2026-03-06 06:37:16</t>
  </si>
  <si>
    <t>27675719300</t>
  </si>
  <si>
    <t>13560240</t>
  </si>
  <si>
    <t>9749de83-4947-4c1f-b4b6-1b27ab723d86</t>
  </si>
  <si>
    <t>2026-03-06 06:37:02</t>
  </si>
  <si>
    <t>27745004874</t>
  </si>
  <si>
    <t>13561244</t>
  </si>
  <si>
    <t>c0ce4b19-b5d2-4885-ba27-a7e1e84905e3</t>
  </si>
  <si>
    <t>2026-03-06 06:36:58</t>
  </si>
  <si>
    <t>27665034451</t>
  </si>
  <si>
    <t>13563675</t>
  </si>
  <si>
    <t>db147652-acd5-48d3-a22e-06ec67b1c3ba</t>
  </si>
  <si>
    <t>2026-03-06 06:36:17</t>
  </si>
  <si>
    <t>27609525896</t>
  </si>
  <si>
    <t>13561599</t>
  </si>
  <si>
    <t>cee88ad4-a7f7-499f-b620-d4547b0e95b3</t>
  </si>
  <si>
    <t>2026-03-06 06:36:16</t>
  </si>
  <si>
    <t>27664278243</t>
  </si>
  <si>
    <t>13558689</t>
  </si>
  <si>
    <t>68f8a187-0ead-4090-96e0-c15b8da419c7</t>
  </si>
  <si>
    <t>2026-03-06 06:34:50</t>
  </si>
  <si>
    <t>27796942170</t>
  </si>
  <si>
    <t>13559779</t>
  </si>
  <si>
    <t>75aaa57d-dc35-4f46-87fb-e1c9ac86a6b4</t>
  </si>
  <si>
    <t>2026-03-06 06:34:34</t>
  </si>
  <si>
    <t>27829666735</t>
  </si>
  <si>
    <t>13559776</t>
  </si>
  <si>
    <t>d1ee3d54-d009-4c99-9e9e-35f37e733b95</t>
  </si>
  <si>
    <t>2026-03-06 06:34:31</t>
  </si>
  <si>
    <t>27720871411</t>
  </si>
  <si>
    <t>13557975</t>
  </si>
  <si>
    <t>07cef38b-056c-40dd-9d35-36fb795813f6</t>
  </si>
  <si>
    <t>2026-03-06 06:33:44</t>
  </si>
  <si>
    <t>27769234239</t>
  </si>
  <si>
    <t>13563689</t>
  </si>
  <si>
    <t>24261121-6360-41da-9bd4-c2505fb6cf81</t>
  </si>
  <si>
    <t>2026-03-06 06:33:07</t>
  </si>
  <si>
    <t>27663879821</t>
  </si>
  <si>
    <t>13561710</t>
  </si>
  <si>
    <t>060cb273-a865-483f-a899-b9ffa6ddf708</t>
  </si>
  <si>
    <t>2026-03-06 06:33:04</t>
  </si>
  <si>
    <t>27715599089</t>
  </si>
  <si>
    <t>13559700</t>
  </si>
  <si>
    <t>eaaa2a5d-56e1-4f4a-b5cd-cd98009cfa33</t>
  </si>
  <si>
    <t>2026-03-06 06:31:48</t>
  </si>
  <si>
    <t>27660344984</t>
  </si>
  <si>
    <t>13564754</t>
  </si>
  <si>
    <t>3f84658c-873e-42dc-b62f-4115f9e5c8f5</t>
  </si>
  <si>
    <t>2026-03-06 06:31:07</t>
  </si>
  <si>
    <t>27606812894</t>
  </si>
  <si>
    <t>13564274</t>
  </si>
  <si>
    <t>35516276-1547-4a99-b7ec-fce6922b84d3</t>
  </si>
  <si>
    <t>2026-03-06 06:31:06</t>
  </si>
  <si>
    <t>27727667906</t>
  </si>
  <si>
    <t>13564865</t>
  </si>
  <si>
    <t>9831343e-ecc3-4567-b3d3-55190469ad6a</t>
  </si>
  <si>
    <t>27608773332</t>
  </si>
  <si>
    <t>13554966</t>
  </si>
  <si>
    <t>f32ef643-20d2-4b22-a536-31eeb2d6cb44</t>
  </si>
  <si>
    <t>2026-03-06 06:30:58</t>
  </si>
  <si>
    <t>27636470484</t>
  </si>
  <si>
    <t>13554968</t>
  </si>
  <si>
    <t>1ad5246e-ad0d-4a3d-80e4-77c99dad11a3</t>
  </si>
  <si>
    <t>2026-03-06 06:30:57</t>
  </si>
  <si>
    <t>27636471074</t>
  </si>
  <si>
    <t>13555279</t>
  </si>
  <si>
    <t>1db0ad95-a235-42a5-957a-bcff726379bd</t>
  </si>
  <si>
    <t>2026-03-06 06:30:19</t>
  </si>
  <si>
    <t>27661112531</t>
  </si>
  <si>
    <t>13556194</t>
  </si>
  <si>
    <t>5dad5bd4-c3ce-4d0e-9c7d-fd13bd3ce546</t>
  </si>
  <si>
    <t>2026-03-06 06:30:14</t>
  </si>
  <si>
    <t>27721492276</t>
  </si>
  <si>
    <t>13556237</t>
  </si>
  <si>
    <t>d70ffcaf-4f4d-4c3e-b1cd-eb72f1e36a37</t>
  </si>
  <si>
    <t>2026-03-06 06:30:11</t>
  </si>
  <si>
    <t>27721880987</t>
  </si>
  <si>
    <t>13556267</t>
  </si>
  <si>
    <t>ac396f81-afa8-4ee1-b68f-6f55325b6dd4</t>
  </si>
  <si>
    <t>2026-03-06 06:30:10</t>
  </si>
  <si>
    <t>27722146640</t>
  </si>
  <si>
    <t>13559823</t>
  </si>
  <si>
    <t>bdb428f4-b942-48e7-9d59-b63b08084fc8</t>
  </si>
  <si>
    <t>2026-03-06 06:29:44</t>
  </si>
  <si>
    <t>27663306530</t>
  </si>
  <si>
    <t>13560099</t>
  </si>
  <si>
    <t>2c5f4c86-722b-45e0-a523-46aee5ce0e6b</t>
  </si>
  <si>
    <t>2026-03-06 06:29:40</t>
  </si>
  <si>
    <t>27763454097</t>
  </si>
  <si>
    <t>13560206</t>
  </si>
  <si>
    <t>af356da1-ef57-4a38-b20d-91dca13ee2b0</t>
  </si>
  <si>
    <t>2026-03-06 06:29:22</t>
  </si>
  <si>
    <t>27724218863</t>
  </si>
  <si>
    <t>13560901</t>
  </si>
  <si>
    <t>a610eb1b-c3d8-4be2-9da5-827e8692bdeb</t>
  </si>
  <si>
    <t>2026-03-06 06:29:19</t>
  </si>
  <si>
    <t>27663330287</t>
  </si>
  <si>
    <t>13557818</t>
  </si>
  <si>
    <t>02f2c04d-8ad4-4c68-a097-759854b5584a</t>
  </si>
  <si>
    <t>2026-03-06 06:28:51</t>
  </si>
  <si>
    <t>27767686937</t>
  </si>
  <si>
    <t>13556475</t>
  </si>
  <si>
    <t>a3d4a90e-8eef-4521-b5b4-471fe2a7fa61</t>
  </si>
  <si>
    <t>2026-03-06 06:28:39</t>
  </si>
  <si>
    <t>27724232886</t>
  </si>
  <si>
    <t>13555251</t>
  </si>
  <si>
    <t>4270915d-fa34-4bfb-b102-06ba72c503bd</t>
  </si>
  <si>
    <t>2026-03-06 06:27:52</t>
  </si>
  <si>
    <t>27660651699</t>
  </si>
  <si>
    <t>13557767</t>
  </si>
  <si>
    <t>c211648a-c207-407f-bbe9-4353e990f45c</t>
  </si>
  <si>
    <t>2026-03-06 06:27:03</t>
  </si>
  <si>
    <t>27767201114</t>
  </si>
  <si>
    <t>13556482</t>
  </si>
  <si>
    <t>ff6cfac1-0d03-4760-8b9a-07afa9c9b7e7</t>
  </si>
  <si>
    <t>2026-03-06 06:26:53</t>
  </si>
  <si>
    <t>27724363852</t>
  </si>
  <si>
    <t>13556379</t>
  </si>
  <si>
    <t>11e5a646-bad5-4b4e-9c72-72df6331b6a4</t>
  </si>
  <si>
    <t>2026-03-06 06:26:10</t>
  </si>
  <si>
    <t>27723309551</t>
  </si>
  <si>
    <t>13556373</t>
  </si>
  <si>
    <t>f5243304-397d-41ca-8b9b-4d8a175f900d</t>
  </si>
  <si>
    <t>2026-03-06 06:26:06</t>
  </si>
  <si>
    <t>27723242228</t>
  </si>
  <si>
    <t>13556356</t>
  </si>
  <si>
    <t>8f94a76b-2bdd-4d6b-aa0d-c6d9e7ad2a0f</t>
  </si>
  <si>
    <t>2026-03-06 06:26:04</t>
  </si>
  <si>
    <t>27723076261</t>
  </si>
  <si>
    <t>13556454</t>
  </si>
  <si>
    <t>a5e193e6-50d3-4ae7-9db8-7d3af78da95f</t>
  </si>
  <si>
    <t>2026-03-06 06:26:00</t>
  </si>
  <si>
    <t>27724048200</t>
  </si>
  <si>
    <t>13556524</t>
  </si>
  <si>
    <t>54ed509d-ffad-4e4e-819f-39d0fb6acd90</t>
  </si>
  <si>
    <t>2026-03-06 06:25:59</t>
  </si>
  <si>
    <t>27724732621</t>
  </si>
  <si>
    <t>13557493</t>
  </si>
  <si>
    <t>799c8301-fcc9-484a-a455-ba01acf9a1ce</t>
  </si>
  <si>
    <t>2026-03-06 06:25:22</t>
  </si>
  <si>
    <t>27764414404</t>
  </si>
  <si>
    <t>13564105</t>
  </si>
  <si>
    <t>3221f2bd-32e9-4114-aa7f-28ceef80cdf3</t>
  </si>
  <si>
    <t>2026-03-06 06:25:12</t>
  </si>
  <si>
    <t>27760618133</t>
  </si>
  <si>
    <t>13557419</t>
  </si>
  <si>
    <t>7f6ab6e1-c374-437f-beff-cafb259a27a5</t>
  </si>
  <si>
    <t>2026-03-06 06:25:08</t>
  </si>
  <si>
    <t>27763417496</t>
  </si>
  <si>
    <t>13556014</t>
  </si>
  <si>
    <t>0db06757-1ae0-49e4-80ad-b41fcf983ad9</t>
  </si>
  <si>
    <t>2026-03-06 06:24:54</t>
  </si>
  <si>
    <t>27716485514</t>
  </si>
  <si>
    <t>13554932</t>
  </si>
  <si>
    <t>77d09645-3446-4f73-8006-26171ab594bd</t>
  </si>
  <si>
    <t>2026-03-06 06:24:49</t>
  </si>
  <si>
    <t>27631728613</t>
  </si>
  <si>
    <t>13555227</t>
  </si>
  <si>
    <t>1fdbd9ab-3d65-4dd0-82ad-616d735c62aa</t>
  </si>
  <si>
    <t>2026-03-06 06:24:45</t>
  </si>
  <si>
    <t>27660228279</t>
  </si>
  <si>
    <t>13555213</t>
  </si>
  <si>
    <t>f863bbfe-5a4a-492d-823d-742f0394ad43</t>
  </si>
  <si>
    <t>2026-03-06 06:24:43</t>
  </si>
  <si>
    <t>27660051296</t>
  </si>
  <si>
    <t>13555175</t>
  </si>
  <si>
    <t>fdab9fcf-0c81-4222-b32b-1592ca6b7543</t>
  </si>
  <si>
    <t>2026-03-06 06:24:32</t>
  </si>
  <si>
    <t>27649271670</t>
  </si>
  <si>
    <t>13555180</t>
  </si>
  <si>
    <t>77c48e9d-4c82-479f-acfe-ce6bcffcf50f</t>
  </si>
  <si>
    <t>27649418411</t>
  </si>
  <si>
    <t>13558738</t>
  </si>
  <si>
    <t>3b6903ae-e8a5-4b36-995f-2760ad9a4b17</t>
  </si>
  <si>
    <t>2026-03-06 06:23:45</t>
  </si>
  <si>
    <t>27797590003</t>
  </si>
  <si>
    <t>13558749</t>
  </si>
  <si>
    <t>0efa0df0-2d34-417c-8e72-8f0d07290f41</t>
  </si>
  <si>
    <t>2026-03-06 06:23:44</t>
  </si>
  <si>
    <t>27797717257</t>
  </si>
  <si>
    <t>13555963</t>
  </si>
  <si>
    <t>b8e9ee4d-2441-4cb2-9d2a-b7eb170a8a2b</t>
  </si>
  <si>
    <t>2026-03-06 06:23:41</t>
  </si>
  <si>
    <t>27715843726</t>
  </si>
  <si>
    <t>13557711</t>
  </si>
  <si>
    <t>3b07f879-bb0a-4ff4-ba2a-c23d5ab07f92</t>
  </si>
  <si>
    <t>2026-03-06 06:22:42</t>
  </si>
  <si>
    <t>27766621748</t>
  </si>
  <si>
    <t>13555035</t>
  </si>
  <si>
    <t>f0e5c371-7e2f-460a-afdb-e03e1d160db5</t>
  </si>
  <si>
    <t>2026-03-06 06:22:26</t>
  </si>
  <si>
    <t>27646150760</t>
  </si>
  <si>
    <t>13555037</t>
  </si>
  <si>
    <t>a11c0204-1412-45fb-8048-6ef76a41b3eb</t>
  </si>
  <si>
    <t>27646159934</t>
  </si>
  <si>
    <t>13558757</t>
  </si>
  <si>
    <t>73b3e99d-8566-4590-a7f6-764c4a26d339</t>
  </si>
  <si>
    <t>2026-03-06 06:22:24</t>
  </si>
  <si>
    <t>27797834169</t>
  </si>
  <si>
    <t>13558767</t>
  </si>
  <si>
    <t>be2a2480-0e09-4342-8f4f-71ab69dc3254</t>
  </si>
  <si>
    <t>27797991258</t>
  </si>
  <si>
    <t>13558815</t>
  </si>
  <si>
    <t>e43fcdaf-ee70-4ef1-a760-0d3eceaa6824</t>
  </si>
  <si>
    <t>2026-03-06 06:21:48</t>
  </si>
  <si>
    <t>27798585613</t>
  </si>
  <si>
    <t>13558832</t>
  </si>
  <si>
    <t>97f4427a-8ff4-4a9b-aa2a-b10f5a2beab6</t>
  </si>
  <si>
    <t>2026-03-06 06:21:22</t>
  </si>
  <si>
    <t>27799024976</t>
  </si>
  <si>
    <t>13558922</t>
  </si>
  <si>
    <t>a884ab52-1dfe-4f15-9364-8e1c6a9a0486</t>
  </si>
  <si>
    <t>2026-03-06 06:21:10</t>
  </si>
  <si>
    <t>27813622018</t>
  </si>
  <si>
    <t>13558930</t>
  </si>
  <si>
    <t>015ee3f6-b5aa-4085-9fd6-056684630630</t>
  </si>
  <si>
    <t>27818049750</t>
  </si>
  <si>
    <t>13558972</t>
  </si>
  <si>
    <t>1a04a49a-23e3-4c77-9c7a-c9068db5a48c</t>
  </si>
  <si>
    <t>2026-03-06 06:21:00</t>
  </si>
  <si>
    <t>27818629510</t>
  </si>
  <si>
    <t>13559115</t>
  </si>
  <si>
    <t>2ccca479-f8c5-4079-baf0-bce189859139</t>
  </si>
  <si>
    <t>2026-03-06 06:20:05</t>
  </si>
  <si>
    <t>27822983916</t>
  </si>
  <si>
    <t>13559120</t>
  </si>
  <si>
    <t>ed97d1ee-e3eb-4fef-aa6c-6c73f336c145</t>
  </si>
  <si>
    <t>27823063937</t>
  </si>
  <si>
    <t>13559151</t>
  </si>
  <si>
    <t>3f86a661-fa00-4fd6-8fa5-9705e1c0a731</t>
  </si>
  <si>
    <t>2026-03-06 06:20:01</t>
  </si>
  <si>
    <t>27823558136</t>
  </si>
  <si>
    <t>13558449</t>
  </si>
  <si>
    <t>0359f1dd-9648-43e6-97cd-7a2695d71923</t>
  </si>
  <si>
    <t>2026-03-06 06:19:20</t>
  </si>
  <si>
    <t>27794157390</t>
  </si>
  <si>
    <t>13558481</t>
  </si>
  <si>
    <t>fc814fd9-2aa4-442c-88b1-b564c54e275e</t>
  </si>
  <si>
    <t>2026-03-06 06:19:11</t>
  </si>
  <si>
    <t>27794449585</t>
  </si>
  <si>
    <t>13558493</t>
  </si>
  <si>
    <t>91c20be8-6f2c-41ec-8287-7fe7f9c2d5c2</t>
  </si>
  <si>
    <t>2026-03-06 06:19:09</t>
  </si>
  <si>
    <t>27794589660</t>
  </si>
  <si>
    <t>13558494</t>
  </si>
  <si>
    <t>d30ca3e1-62a0-4ece-a3b6-7511b2e18ab6</t>
  </si>
  <si>
    <t>27794591428</t>
  </si>
  <si>
    <t>13558501</t>
  </si>
  <si>
    <t>e1755279-d8ee-49aa-8c15-416d0f8b0e37</t>
  </si>
  <si>
    <t>2026-03-06 06:19:08</t>
  </si>
  <si>
    <t>27794660245</t>
  </si>
  <si>
    <t>13560000</t>
  </si>
  <si>
    <t>21954637-643b-45ce-9ed3-5bac2bb4998f</t>
  </si>
  <si>
    <t>2026-03-06 06:18:31</t>
  </si>
  <si>
    <t>27795010385</t>
  </si>
  <si>
    <t>13560041</t>
  </si>
  <si>
    <t>6a49bde4-b7c0-4765-942d-827002cf656d</t>
  </si>
  <si>
    <t>2026-03-06 06:18:19</t>
  </si>
  <si>
    <t>27762574500</t>
  </si>
  <si>
    <t>13560044</t>
  </si>
  <si>
    <t>2bd84b34-cfe2-4df0-a6a8-747038e8c876</t>
  </si>
  <si>
    <t>27765343998</t>
  </si>
  <si>
    <t>13560060</t>
  </si>
  <si>
    <t>0fd16652-1698-4f16-ad18-1248a783369a</t>
  </si>
  <si>
    <t>27714137779</t>
  </si>
  <si>
    <t>13560212</t>
  </si>
  <si>
    <t>781722ac-4457-4c9a-b174-c2c9ef244bfe</t>
  </si>
  <si>
    <t>2026-03-06 06:18:10</t>
  </si>
  <si>
    <t>27791934341</t>
  </si>
  <si>
    <t>13560298</t>
  </si>
  <si>
    <t>839e9eb6-0d8f-41e7-a90a-c5646b31e3d9</t>
  </si>
  <si>
    <t>2026-03-06 06:17:25</t>
  </si>
  <si>
    <t>27713480304</t>
  </si>
  <si>
    <t>13559623</t>
  </si>
  <si>
    <t>19ccc17c-8a8e-4078-9282-de48077a9462</t>
  </si>
  <si>
    <t>2026-03-06 06:17:22</t>
  </si>
  <si>
    <t>27829682100</t>
  </si>
  <si>
    <t>13560900</t>
  </si>
  <si>
    <t>ed21f923-7a57-4953-b486-6d65dbd2b715</t>
  </si>
  <si>
    <t>2026-03-06 06:16:22</t>
  </si>
  <si>
    <t>27720535209</t>
  </si>
  <si>
    <t>13560907</t>
  </si>
  <si>
    <t>d3c6dc44-c603-4dc0-b0ad-6eb59d3b6010</t>
  </si>
  <si>
    <t>2026-03-06 06:16:13</t>
  </si>
  <si>
    <t>27798681286</t>
  </si>
  <si>
    <t>13560911</t>
  </si>
  <si>
    <t>e13b3a6f-1060-4a0d-b67e-d8d8cfc09db4</t>
  </si>
  <si>
    <t>27797054276</t>
  </si>
  <si>
    <t>13560925</t>
  </si>
  <si>
    <t>45979f91-876c-42ea-9bd8-d948c7423c39</t>
  </si>
  <si>
    <t>2026-03-06 06:16:09</t>
  </si>
  <si>
    <t>27768881420</t>
  </si>
  <si>
    <t>13560956</t>
  </si>
  <si>
    <t>1b8c8196-5935-4cf6-a072-b74fa119721c</t>
  </si>
  <si>
    <t>2026-03-06 06:16:06</t>
  </si>
  <si>
    <t>27793305749</t>
  </si>
  <si>
    <t>13560961</t>
  </si>
  <si>
    <t>24a48aec-8052-4082-a7ef-1e3cd5afa5e9</t>
  </si>
  <si>
    <t>2026-03-06 06:16:05</t>
  </si>
  <si>
    <t>27793379352</t>
  </si>
  <si>
    <t>13561591</t>
  </si>
  <si>
    <t>d6b0b175-aabd-41b7-af91-85e52206aeb5</t>
  </si>
  <si>
    <t>2026-03-06 06:15:56</t>
  </si>
  <si>
    <t>27790159866</t>
  </si>
  <si>
    <t>13559197</t>
  </si>
  <si>
    <t>5c418fde-705d-4023-9583-dc1e32a86bd2</t>
  </si>
  <si>
    <t>2026-03-06 06:15:30</t>
  </si>
  <si>
    <t>27824068869</t>
  </si>
  <si>
    <t>13556679</t>
  </si>
  <si>
    <t>4b2ca3d8-7201-494d-9f23-55628350c404</t>
  </si>
  <si>
    <t>2026-03-06 06:15:03</t>
  </si>
  <si>
    <t>27726482459</t>
  </si>
  <si>
    <t>13555257</t>
  </si>
  <si>
    <t>37f6ee6a-c294-4350-bdff-d9d4ffa63eba</t>
  </si>
  <si>
    <t>2026-03-06 06:15:01</t>
  </si>
  <si>
    <t>27660761590</t>
  </si>
  <si>
    <t>13561455</t>
  </si>
  <si>
    <t>7c5a8781-77f0-4b79-b141-19ee09632fda</t>
  </si>
  <si>
    <t>27664472743</t>
  </si>
  <si>
    <t>13562194</t>
  </si>
  <si>
    <t>df7ef4a9-ba27-4a31-822b-c3c76496d1d3</t>
  </si>
  <si>
    <t>2026-03-06 06:15:00</t>
  </si>
  <si>
    <t>27726808062</t>
  </si>
  <si>
    <t>13560392</t>
  </si>
  <si>
    <t>c46b8e12-f8a4-4aa6-bdf9-b059267eabdc</t>
  </si>
  <si>
    <t>2026-03-06 06:14:59</t>
  </si>
  <si>
    <t>27711309526</t>
  </si>
  <si>
    <t>13559484</t>
  </si>
  <si>
    <t>a62f3d68-3d2c-4cf1-b3b8-a1dcf2850cf5</t>
  </si>
  <si>
    <t>2026-03-06 06:14:55</t>
  </si>
  <si>
    <t>27827444032</t>
  </si>
  <si>
    <t>13560418</t>
  </si>
  <si>
    <t>54f8abd5-a6bc-4afe-bcaa-868c1435983d</t>
  </si>
  <si>
    <t>27715117997</t>
  </si>
  <si>
    <t>13560869</t>
  </si>
  <si>
    <t>718cafb3-074b-426b-adbc-df959a55fb30</t>
  </si>
  <si>
    <t>2026-03-06 06:14:52</t>
  </si>
  <si>
    <t>27728354719</t>
  </si>
  <si>
    <t>13559587</t>
  </si>
  <si>
    <t>ad227d83-2177-4738-9f24-4b8375fa7da7</t>
  </si>
  <si>
    <t>2026-03-06 06:14:48</t>
  </si>
  <si>
    <t>27828974834</t>
  </si>
  <si>
    <t>13559525</t>
  </si>
  <si>
    <t>b089b42e-473c-4081-b8f4-4ee99cf833c6</t>
  </si>
  <si>
    <t>2026-03-06 06:14:47</t>
  </si>
  <si>
    <t>27827959361</t>
  </si>
  <si>
    <t>13556973</t>
  </si>
  <si>
    <t>86210c68-9637-43fe-a2eb-0417c121664e</t>
  </si>
  <si>
    <t>2026-03-06 06:14:17</t>
  </si>
  <si>
    <t>27729129737</t>
  </si>
  <si>
    <t>13556975</t>
  </si>
  <si>
    <t>05cfab5d-37b3-4f12-a030-d218264e9ea0</t>
  </si>
  <si>
    <t>27729137337</t>
  </si>
  <si>
    <t>13561437</t>
  </si>
  <si>
    <t>12d51d1d-d4eb-404c-9098-09bdcf5d7862</t>
  </si>
  <si>
    <t>27665575311</t>
  </si>
  <si>
    <t>13556988</t>
  </si>
  <si>
    <t>c4232c71-faa1-47ce-9583-7a164b7d0252</t>
  </si>
  <si>
    <t>2026-03-06 06:14:16</t>
  </si>
  <si>
    <t>27729274123</t>
  </si>
  <si>
    <t>13558906</t>
  </si>
  <si>
    <t>dd6afa9a-5537-4345-9cc0-6d32dcf47b88</t>
  </si>
  <si>
    <t>2026-03-06 06:14:13</t>
  </si>
  <si>
    <t>27799883846</t>
  </si>
  <si>
    <t>13561319</t>
  </si>
  <si>
    <t>bed4ff91-4499-4e87-a1ce-58f7202136b1</t>
  </si>
  <si>
    <t>2026-03-06 06:13:31</t>
  </si>
  <si>
    <t>27720627034</t>
  </si>
  <si>
    <t>13561462</t>
  </si>
  <si>
    <t>5fa02f57-5556-4dee-a645-24fb3b981783</t>
  </si>
  <si>
    <t>2026-03-06 06:13:28</t>
  </si>
  <si>
    <t>27664671422</t>
  </si>
  <si>
    <t>13563936</t>
  </si>
  <si>
    <t>dce4fc96-d023-48ed-9f02-c9c8b1322379</t>
  </si>
  <si>
    <t>2026-03-06 06:13:02</t>
  </si>
  <si>
    <t>27713875125</t>
  </si>
  <si>
    <t>13563965</t>
  </si>
  <si>
    <t>2e758f74-6721-49f9-b9d9-b305b224018c</t>
  </si>
  <si>
    <t>2026-03-06 06:12:47</t>
  </si>
  <si>
    <t>27726519335</t>
  </si>
  <si>
    <t>13563982</t>
  </si>
  <si>
    <t>a800959e-0bf2-4051-9f6c-c55197857864</t>
  </si>
  <si>
    <t>2026-03-06 06:12:44</t>
  </si>
  <si>
    <t>27721265780</t>
  </si>
  <si>
    <t>13564005</t>
  </si>
  <si>
    <t>9471c4a2-3fc6-48fc-9add-78b217d2f9ee</t>
  </si>
  <si>
    <t>2026-03-06 06:12:43</t>
  </si>
  <si>
    <t>27636195237</t>
  </si>
  <si>
    <t>13564012</t>
  </si>
  <si>
    <t>d81a0da8-0bf4-4434-a15f-ac7d0e9d7b4d</t>
  </si>
  <si>
    <t>2026-03-06 06:12:41</t>
  </si>
  <si>
    <t>27721415758</t>
  </si>
  <si>
    <t>13557148</t>
  </si>
  <si>
    <t>34b8b17c-3648-40e0-8d11-c8199600a17d</t>
  </si>
  <si>
    <t>2026-03-06 06:12:40</t>
  </si>
  <si>
    <t>27760642259</t>
  </si>
  <si>
    <t>13557295</t>
  </si>
  <si>
    <t>c496e33d-b237-477c-bd20-74eb9f2b650a</t>
  </si>
  <si>
    <t>2026-03-06 06:12:08</t>
  </si>
  <si>
    <t>27762204654</t>
  </si>
  <si>
    <t>13562223</t>
  </si>
  <si>
    <t>9e4131fb-f1f6-48a0-b8cb-be1ddc099bd6</t>
  </si>
  <si>
    <t>2026-03-06 06:12:04</t>
  </si>
  <si>
    <t>27795914196</t>
  </si>
  <si>
    <t>13557319</t>
  </si>
  <si>
    <t>e4816af1-18bd-46bd-83b1-7b5ae6c0b29c</t>
  </si>
  <si>
    <t>2026-03-06 06:12:02</t>
  </si>
  <si>
    <t>27762443876</t>
  </si>
  <si>
    <t>13562225</t>
  </si>
  <si>
    <t>ee7e48c6-feaf-47cc-8953-36c751e67497</t>
  </si>
  <si>
    <t>2026-03-06 06:12:01</t>
  </si>
  <si>
    <t>27711165539</t>
  </si>
  <si>
    <t>13557335</t>
  </si>
  <si>
    <t>23bfedba-ab46-4fbd-b89b-a93a8b156ded</t>
  </si>
  <si>
    <t>2026-03-06 06:12:00</t>
  </si>
  <si>
    <t>27762653625</t>
  </si>
  <si>
    <t>13557353</t>
  </si>
  <si>
    <t>66b576cc-6593-470a-b3e4-c1148b152e1d</t>
  </si>
  <si>
    <t>2026-03-06 06:11:57</t>
  </si>
  <si>
    <t>27762842177</t>
  </si>
  <si>
    <t>13557366</t>
  </si>
  <si>
    <t>3f07b502-31d7-42ad-a802-669009a868d8</t>
  </si>
  <si>
    <t>2026-03-06 06:11:51</t>
  </si>
  <si>
    <t>27762935007</t>
  </si>
  <si>
    <t>13557375</t>
  </si>
  <si>
    <t>2cbb394c-9733-4208-a1de-39890facb6fc</t>
  </si>
  <si>
    <t>27763008118</t>
  </si>
  <si>
    <t>13562408</t>
  </si>
  <si>
    <t>39607b15-a451-4eeb-b308-03444abef072</t>
  </si>
  <si>
    <t>2026-03-06 06:11:11</t>
  </si>
  <si>
    <t>27766099034</t>
  </si>
  <si>
    <t>13562439</t>
  </si>
  <si>
    <t>d3e406db-ce2a-4524-8fcc-2b50d210624d</t>
  </si>
  <si>
    <t>2026-03-06 06:11:05</t>
  </si>
  <si>
    <t>27714672785</t>
  </si>
  <si>
    <t>13562475</t>
  </si>
  <si>
    <t>a9190255-fe52-48c4-9892-95e89a323c7c</t>
  </si>
  <si>
    <t>2026-03-06 06:11:02</t>
  </si>
  <si>
    <t>27760239824</t>
  </si>
  <si>
    <t>13558309</t>
  </si>
  <si>
    <t>21f7605d-55a1-4f12-a010-725d415b7ab3</t>
  </si>
  <si>
    <t>2026-03-06 06:10:20</t>
  </si>
  <si>
    <t>27792644910</t>
  </si>
  <si>
    <t>13562956</t>
  </si>
  <si>
    <t>0b8efbb5-21e3-4d38-b348-3508b76fdc80</t>
  </si>
  <si>
    <t>2026-03-06 06:10:02</t>
  </si>
  <si>
    <t>27765688272</t>
  </si>
  <si>
    <t>13562731</t>
  </si>
  <si>
    <t>81ff1846-1290-477a-bd92-b56dbc5ddf1c</t>
  </si>
  <si>
    <t>2026-03-06 06:09:55</t>
  </si>
  <si>
    <t>27675423779</t>
  </si>
  <si>
    <t>13562732</t>
  </si>
  <si>
    <t>5d9452bb-e1bb-428e-930e-a5def8c72180</t>
  </si>
  <si>
    <t>27767498474</t>
  </si>
  <si>
    <t>13562742</t>
  </si>
  <si>
    <t>49124c9c-d597-4086-910e-0cca4174cd59</t>
  </si>
  <si>
    <t>2026-03-06 06:09:52</t>
  </si>
  <si>
    <t>27646103655</t>
  </si>
  <si>
    <t>13562782</t>
  </si>
  <si>
    <t>6a5ce5f0-02c4-4e72-98c1-713a986f4da1</t>
  </si>
  <si>
    <t>2026-03-06 06:09:51</t>
  </si>
  <si>
    <t>27661014233</t>
  </si>
  <si>
    <t>13562791</t>
  </si>
  <si>
    <t>591dbfff-bb3d-45f7-89ee-21d844b8ffb8</t>
  </si>
  <si>
    <t>2026-03-06 06:09:47</t>
  </si>
  <si>
    <t>27608368002</t>
  </si>
  <si>
    <t>13556294</t>
  </si>
  <si>
    <t>b075aef6-795e-4615-ae86-608d5ab94b1a</t>
  </si>
  <si>
    <t>2026-03-06 06:09:33</t>
  </si>
  <si>
    <t>27722323758</t>
  </si>
  <si>
    <t>13562564</t>
  </si>
  <si>
    <t>9111b0d3-0c3b-453b-b1ae-c030c4840b47</t>
  </si>
  <si>
    <t>2026-03-06 06:08:56</t>
  </si>
  <si>
    <t>27713291161</t>
  </si>
  <si>
    <t>13561540</t>
  </si>
  <si>
    <t>c84cac59-a73e-475c-9f10-39f9f0ba6484</t>
  </si>
  <si>
    <t>2026-03-06 06:08:44</t>
  </si>
  <si>
    <t>27723227637</t>
  </si>
  <si>
    <t>13558321</t>
  </si>
  <si>
    <t>ca8387b3-2aae-4fd0-84fa-9eae3e373630</t>
  </si>
  <si>
    <t>2026-03-06 06:08:41</t>
  </si>
  <si>
    <t>27792753789</t>
  </si>
  <si>
    <t>13558379</t>
  </si>
  <si>
    <t>b3c9d05b-f79b-4f94-b951-2c09c633578d</t>
  </si>
  <si>
    <t>2026-03-06 06:08:29</t>
  </si>
  <si>
    <t>27793315357</t>
  </si>
  <si>
    <t>13562547</t>
  </si>
  <si>
    <t>e187dd1a-5792-4768-9bfb-6fb10b9d1070</t>
  </si>
  <si>
    <t>2026-03-06 06:08:15</t>
  </si>
  <si>
    <t>27648525659</t>
  </si>
  <si>
    <t>13562832</t>
  </si>
  <si>
    <t>8c312665-1889-4dd1-b1f4-fe9907c7cdfc</t>
  </si>
  <si>
    <t>2026-03-06 06:07:36</t>
  </si>
  <si>
    <t>27769790896</t>
  </si>
  <si>
    <t>13557482</t>
  </si>
  <si>
    <t>7f81efe6-3284-4779-891b-f7e3acca0218</t>
  </si>
  <si>
    <t>2026-03-06 06:07:32</t>
  </si>
  <si>
    <t>27764265868</t>
  </si>
  <si>
    <t>13557557</t>
  </si>
  <si>
    <t>1a7626ef-7887-4206-bd37-65867ede581c</t>
  </si>
  <si>
    <t>2026-03-06 06:07:28</t>
  </si>
  <si>
    <t>27765089268</t>
  </si>
  <si>
    <t>13557634</t>
  </si>
  <si>
    <t>d2a7159c-9d35-4eeb-8fdb-c9cf2ddf88bc</t>
  </si>
  <si>
    <t>2026-03-06 06:06:53</t>
  </si>
  <si>
    <t>27765865225</t>
  </si>
  <si>
    <t>13557622</t>
  </si>
  <si>
    <t>636dc393-cb65-406b-a767-d1c6353bcbdf</t>
  </si>
  <si>
    <t>2026-03-06 06:06:14</t>
  </si>
  <si>
    <t>27765731564</t>
  </si>
  <si>
    <t>13563849</t>
  </si>
  <si>
    <t>d4da8c98-6cff-44b9-9fc5-e247d578fded</t>
  </si>
  <si>
    <t>2026-03-06 06:06:12</t>
  </si>
  <si>
    <t>27712408335</t>
  </si>
  <si>
    <t>13560272</t>
  </si>
  <si>
    <t>5098fe64-d1f1-4b74-896a-58b72bc6982b</t>
  </si>
  <si>
    <t>2026-03-06 06:06:06</t>
  </si>
  <si>
    <t>27765295609</t>
  </si>
  <si>
    <t>13563851</t>
  </si>
  <si>
    <t>c8ff6334-28ea-42bf-8986-5056abd76659</t>
  </si>
  <si>
    <t>27762919264</t>
  </si>
  <si>
    <t>13557668</t>
  </si>
  <si>
    <t>d425ee55-8f91-47f9-a0d8-907396a5d3ae</t>
  </si>
  <si>
    <t>2026-03-06 06:06:01</t>
  </si>
  <si>
    <t>27766243116</t>
  </si>
  <si>
    <t>13562988</t>
  </si>
  <si>
    <t>e1a6b7d6-3378-4b3b-8ee5-f51f540bad87</t>
  </si>
  <si>
    <t>2026-03-06 06:05:18</t>
  </si>
  <si>
    <t>27725302084</t>
  </si>
  <si>
    <t>13563197</t>
  </si>
  <si>
    <t>177fbc0f-9a57-4ddb-b341-d813f96c19dc</t>
  </si>
  <si>
    <t>2026-03-06 06:04:34</t>
  </si>
  <si>
    <t>27767662431</t>
  </si>
  <si>
    <t>13563466</t>
  </si>
  <si>
    <t>bb7ca748-d367-4c3c-adbe-9718518b7cb4</t>
  </si>
  <si>
    <t>2026-03-06 06:03:42</t>
  </si>
  <si>
    <t>27769714080</t>
  </si>
  <si>
    <t>13563483</t>
  </si>
  <si>
    <t>f3d3e469-288b-4531-aeaf-e12bec8110f1</t>
  </si>
  <si>
    <t>27728144528</t>
  </si>
  <si>
    <t>13563511</t>
  </si>
  <si>
    <t>8786e222-0d47-43bf-985c-2ec23498bccc</t>
  </si>
  <si>
    <t>2026-03-06 06:03:36</t>
  </si>
  <si>
    <t>27716281422</t>
  </si>
  <si>
    <t>13563583</t>
  </si>
  <si>
    <t>a50313af-1561-4ee8-9f86-e4a93871471d</t>
  </si>
  <si>
    <t>2026-03-06 06:02:59</t>
  </si>
  <si>
    <t>27767726359</t>
  </si>
  <si>
    <t>13563597</t>
  </si>
  <si>
    <t>e83f918e-ab46-4dea-959b-2ca790ebc7e1</t>
  </si>
  <si>
    <t>2026-03-06 06:02:58</t>
  </si>
  <si>
    <t>27761320496</t>
  </si>
  <si>
    <t>13563601</t>
  </si>
  <si>
    <t>d59c7eb9-7be8-4334-8269-48bb89e0e458</t>
  </si>
  <si>
    <t>27649635143</t>
  </si>
  <si>
    <t>13564337</t>
  </si>
  <si>
    <t>08e67cd7-5b41-4142-8086-f0e952548110</t>
  </si>
  <si>
    <t>2026-03-06 06:02:55</t>
  </si>
  <si>
    <t>27725509040</t>
  </si>
  <si>
    <t>13564665</t>
  </si>
  <si>
    <t>f29932a4-9941-4715-ae86-05ccc20f8a16</t>
  </si>
  <si>
    <t>2026-03-06 06:02:45</t>
  </si>
  <si>
    <t>27761081898</t>
  </si>
  <si>
    <t>13563704</t>
  </si>
  <si>
    <t>72c76cf5-7fc2-4c56-83af-d92617dfaa20</t>
  </si>
  <si>
    <t>2026-03-06 06:02:28</t>
  </si>
  <si>
    <t>27764742559</t>
  </si>
  <si>
    <t>13558330</t>
  </si>
  <si>
    <t>3bac43b6-80b2-4a89-b7da-7d330f709506</t>
  </si>
  <si>
    <t>2026-03-06 06:02:27</t>
  </si>
  <si>
    <t>27792882569</t>
  </si>
  <si>
    <t>13558172</t>
  </si>
  <si>
    <t>10909098-e26c-4b26-a326-a7f17e577fa2</t>
  </si>
  <si>
    <t>2026-03-06 06:02:13</t>
  </si>
  <si>
    <t>27790933895</t>
  </si>
  <si>
    <t>13562460</t>
  </si>
  <si>
    <t>4601b68e-e1dd-4c96-a6a3-dde98381fd09</t>
  </si>
  <si>
    <t>2026-03-06 06:01:58</t>
  </si>
  <si>
    <t>27608289807</t>
  </si>
  <si>
    <t>13563191</t>
  </si>
  <si>
    <t>41055581-e897-4649-975a-0d8956839e04</t>
  </si>
  <si>
    <t>2026-03-06 06:01:38</t>
  </si>
  <si>
    <t>27660071008</t>
  </si>
  <si>
    <t>13558150</t>
  </si>
  <si>
    <t>fc790e85-6091-4e11-8ab2-248f28af2d01</t>
  </si>
  <si>
    <t>2026-03-06 06:01:32</t>
  </si>
  <si>
    <t>27790653529</t>
  </si>
  <si>
    <t>13556892</t>
  </si>
  <si>
    <t>f1e3b726-0b5b-4c9e-9c60-838d4b364dbe</t>
  </si>
  <si>
    <t>2026-03-06 06:01:31</t>
  </si>
  <si>
    <t>27728344253</t>
  </si>
  <si>
    <t>13558230</t>
  </si>
  <si>
    <t>bdffe453-fb3a-4a0e-a9d6-9d828c7a51c4</t>
  </si>
  <si>
    <t>2026-03-06 06:00:29</t>
  </si>
  <si>
    <t>27791599054</t>
  </si>
  <si>
    <t>13562578</t>
  </si>
  <si>
    <t>df449dd1-4106-4d0d-a210-be6137b9fe9b</t>
  </si>
  <si>
    <t>2026-03-06 06:00:26</t>
  </si>
  <si>
    <t>27606813741</t>
  </si>
  <si>
    <t>13561215</t>
  </si>
  <si>
    <t>687f45a7-5f0b-49dd-b7e7-30ec4c496879</t>
  </si>
  <si>
    <t>2026-03-06 06:00:24</t>
  </si>
  <si>
    <t>27664522238</t>
  </si>
  <si>
    <t>13562922</t>
  </si>
  <si>
    <t>171c60ea-06b8-4948-b4ef-5d3ea7afcc81</t>
  </si>
  <si>
    <t>2026-03-06 05:59:51</t>
  </si>
  <si>
    <t>27792092530</t>
  </si>
  <si>
    <t>13557339</t>
  </si>
  <si>
    <t>7b8a0a75-af3d-42a9-93e5-76fc7b230bd7</t>
  </si>
  <si>
    <t>2026-03-06 05:48:23</t>
  </si>
  <si>
    <t>27762747780</t>
  </si>
  <si>
    <t>13563354</t>
  </si>
  <si>
    <t>3afd4b93-81aa-492d-9505-8d68c6dd2e20</t>
  </si>
  <si>
    <t>2026-03-05 15:32:29</t>
  </si>
  <si>
    <t>27764164493</t>
  </si>
  <si>
    <t>13559428</t>
  </si>
  <si>
    <t>c3e040c4-364e-4dd4-98e8-2e015a11a120</t>
  </si>
  <si>
    <t>2026-03-05 15:28:03</t>
  </si>
  <si>
    <t>27826809881</t>
  </si>
  <si>
    <t>13559448</t>
  </si>
  <si>
    <t>a03ab000-72d6-4d67-bda0-2797378cd75c</t>
  </si>
  <si>
    <t>2026-03-05 15:28:01</t>
  </si>
  <si>
    <t>27827020043</t>
  </si>
  <si>
    <t>13560141</t>
  </si>
  <si>
    <t>8c76919e-c679-42a5-ba9d-ec217a89f650</t>
  </si>
  <si>
    <t>2026-03-05 15:26:44</t>
  </si>
  <si>
    <t>27798292966</t>
  </si>
  <si>
    <t>13560107</t>
  </si>
  <si>
    <t>b3fc42f8-eaf1-4339-a2e5-748e3048223f</t>
  </si>
  <si>
    <t>27790131228</t>
  </si>
  <si>
    <t>13562128</t>
  </si>
  <si>
    <t>d68b713e-e729-4476-adfa-d155a3835500</t>
  </si>
  <si>
    <t>2026-03-05 15:25:14</t>
  </si>
  <si>
    <t>27646151290</t>
  </si>
  <si>
    <t>13561752</t>
  </si>
  <si>
    <t>10b6d34e-cabf-4a7c-aaab-505ed076c4d5</t>
  </si>
  <si>
    <t>2026-03-05 15:24:31</t>
  </si>
  <si>
    <t>27661645303</t>
  </si>
  <si>
    <t>13558341</t>
  </si>
  <si>
    <t>4bc5d0f2-0ddb-4348-a2e9-e493ad0f7697</t>
  </si>
  <si>
    <t>2026-03-05 15:23:39</t>
  </si>
  <si>
    <t>27792965174</t>
  </si>
  <si>
    <t>13561243</t>
  </si>
  <si>
    <t>6ba899bf-d02b-40a2-be47-b36317b58660</t>
  </si>
  <si>
    <t>2026-03-05 15:23:05</t>
  </si>
  <si>
    <t>27636023745</t>
  </si>
  <si>
    <t>13561231</t>
  </si>
  <si>
    <t>a7067b91-0ce7-4f19-9c00-555b0abd096e</t>
  </si>
  <si>
    <t>2026-03-05 15:23:03</t>
  </si>
  <si>
    <t>27716148347</t>
  </si>
  <si>
    <t>13561272</t>
  </si>
  <si>
    <t>9b00c22e-3cf4-4a55-a2b2-ff3d65c6396d</t>
  </si>
  <si>
    <t>2026-03-05 15:22:58</t>
  </si>
  <si>
    <t>27636671470</t>
  </si>
  <si>
    <t>13560492</t>
  </si>
  <si>
    <t>9ac870ca-ad47-46cc-bbf1-216d0f3bdc47</t>
  </si>
  <si>
    <t>2026-03-05 15:22:02</t>
  </si>
  <si>
    <t>27794477277</t>
  </si>
  <si>
    <t>13562086</t>
  </si>
  <si>
    <t>45f7ac46-518f-4210-aeda-d3da744187fa</t>
  </si>
  <si>
    <t>2026-03-05 15:20:36</t>
  </si>
  <si>
    <t>27715497278</t>
  </si>
  <si>
    <t>13563427</t>
  </si>
  <si>
    <t>5737e0f9-bb09-4349-90c5-28d7d420ab8a</t>
  </si>
  <si>
    <t>2026-03-05 15:19:40</t>
  </si>
  <si>
    <t>27723653337</t>
  </si>
  <si>
    <t>13562165</t>
  </si>
  <si>
    <t>cfe1580a-c765-48d3-a95f-80151e7e990d</t>
  </si>
  <si>
    <t>2026-03-05 15:18:41</t>
  </si>
  <si>
    <t>27609516493</t>
  </si>
  <si>
    <t>13562328</t>
  </si>
  <si>
    <t>60965116-f17c-45d2-b5a7-ce841c86bc83</t>
  </si>
  <si>
    <t>2026-03-05 15:18:40</t>
  </si>
  <si>
    <t>27660340728</t>
  </si>
  <si>
    <t>13561788</t>
  </si>
  <si>
    <t>47b79099-045e-4ae9-a9d9-59f9bf341ad1</t>
  </si>
  <si>
    <t>2026-03-05 15:15:43</t>
  </si>
  <si>
    <t>27726291177</t>
  </si>
  <si>
    <t>13558851</t>
  </si>
  <si>
    <t>ae244a07-4e4b-4b25-a2d1-4fcb3669b951</t>
  </si>
  <si>
    <t>2026-03-05 15:15:06</t>
  </si>
  <si>
    <t>27799280050</t>
  </si>
  <si>
    <t>13564728</t>
  </si>
  <si>
    <t>fc152714-60ad-4334-a7fb-2ac1e20d3a2f</t>
  </si>
  <si>
    <t>27606459398</t>
  </si>
  <si>
    <t>13561781</t>
  </si>
  <si>
    <t>d8351d66-8780-48a8-8eeb-58f3c6c2ec8d</t>
  </si>
  <si>
    <t>2026-03-05 15:14:01</t>
  </si>
  <si>
    <t>27766918004</t>
  </si>
  <si>
    <t>13561748</t>
  </si>
  <si>
    <t>dd2f53ad-a314-4b1b-aaea-0c33c00d2ec3</t>
  </si>
  <si>
    <t>2026-03-05 15:12:31</t>
  </si>
  <si>
    <t>27606154626</t>
  </si>
  <si>
    <t>13559460</t>
  </si>
  <si>
    <t>5634b5aa-a092-41e0-a34c-d64e55d86c02</t>
  </si>
  <si>
    <t>2026-03-05 15:09:39</t>
  </si>
  <si>
    <t>27827115385</t>
  </si>
  <si>
    <t>13562265</t>
  </si>
  <si>
    <t>9320badb-3a9a-4894-997a-a0364cf4b06e</t>
  </si>
  <si>
    <t>2026-03-05 15:09:35</t>
  </si>
  <si>
    <t>27769441731</t>
  </si>
  <si>
    <t>13558031</t>
  </si>
  <si>
    <t>9b29b46b-379a-4e78-93ef-a1ea06233a37</t>
  </si>
  <si>
    <t>2026-03-05 15:06:27</t>
  </si>
  <si>
    <t>27769934323</t>
  </si>
  <si>
    <t>13557531</t>
  </si>
  <si>
    <t>8fdc2e6c-1cf8-4eec-a2f7-8a3b27dcbbc3</t>
  </si>
  <si>
    <t>2026-03-05 15:05:53</t>
  </si>
  <si>
    <t>27764844791</t>
  </si>
  <si>
    <t>13561825</t>
  </si>
  <si>
    <t>19830584-f941-4c65-8327-956114b00531</t>
  </si>
  <si>
    <t>2026-03-05 15:04:13</t>
  </si>
  <si>
    <t>27608833106</t>
  </si>
  <si>
    <t>13561410</t>
  </si>
  <si>
    <t>13ef9f43-78ab-4f97-b8c9-ecc071a3d412</t>
  </si>
  <si>
    <t>2026-03-05 15:03:57</t>
  </si>
  <si>
    <t>27723325194</t>
  </si>
  <si>
    <t>13555238</t>
  </si>
  <si>
    <t>5bb2c6d5-b3a0-4052-9d10-503025c806d4</t>
  </si>
  <si>
    <t>2026-03-05 15:01:13</t>
  </si>
  <si>
    <t>27660446432</t>
  </si>
  <si>
    <t>13562066</t>
  </si>
  <si>
    <t>1c780b8f-54c5-48bc-b7bd-58c8ca673346</t>
  </si>
  <si>
    <t>2026-03-05 14:59:34</t>
  </si>
  <si>
    <t>27818078027</t>
  </si>
  <si>
    <t>13560931</t>
  </si>
  <si>
    <t>81a15d4a-fe11-44ea-9dd7-289aa58416cc</t>
  </si>
  <si>
    <t>2026-03-05 14:58:33</t>
  </si>
  <si>
    <t>27646114275</t>
  </si>
  <si>
    <t>13561684</t>
  </si>
  <si>
    <t>2b9413c2-1cc6-41c7-8343-5a7158733c11</t>
  </si>
  <si>
    <t>2026-03-05 14:58:27</t>
  </si>
  <si>
    <t>27765401944</t>
  </si>
  <si>
    <t>13558225</t>
  </si>
  <si>
    <t>074b6b10-6de0-4211-a351-22d972b1d06a</t>
  </si>
  <si>
    <t>2026-03-05 14:57:43</t>
  </si>
  <si>
    <t>27791506920</t>
  </si>
  <si>
    <t>13561734</t>
  </si>
  <si>
    <t>f6c8eed9-6053-4284-85af-56c2794ba83b</t>
  </si>
  <si>
    <t>2026-03-05 14:57:41</t>
  </si>
  <si>
    <t>27646061252</t>
  </si>
  <si>
    <t>13561102</t>
  </si>
  <si>
    <t>5fbd262f-817d-45b0-ae78-7ce417e41283</t>
  </si>
  <si>
    <t>2026-03-05 14:57:27</t>
  </si>
  <si>
    <t>27649694425</t>
  </si>
  <si>
    <t>13558264</t>
  </si>
  <si>
    <t>e64872a0-8125-44aa-a9d8-571a226b4199</t>
  </si>
  <si>
    <t>2026-03-05 14:56:05</t>
  </si>
  <si>
    <t>27791961242</t>
  </si>
  <si>
    <t>13561553</t>
  </si>
  <si>
    <t>c40f1263-8902-419b-bad8-8cc0c5e379db</t>
  </si>
  <si>
    <t>2026-03-05 14:54:34</t>
  </si>
  <si>
    <t>27765916513</t>
  </si>
  <si>
    <t>13562213</t>
  </si>
  <si>
    <t>84bd68b7-14d0-4182-b308-a68c869c55c9</t>
  </si>
  <si>
    <t>27766842455</t>
  </si>
  <si>
    <t>13563340</t>
  </si>
  <si>
    <t>cdc5885d-e8ec-4326-a7cb-e9f0bdee42ec</t>
  </si>
  <si>
    <t>2026-03-05 14:53:34</t>
  </si>
  <si>
    <t>27661212069</t>
  </si>
  <si>
    <t>13556442</t>
  </si>
  <si>
    <t>da02e4dd-2fde-41fc-bf66-cb9704ed2e46</t>
  </si>
  <si>
    <t>2026-03-05 14:50:32</t>
  </si>
  <si>
    <t>27723936441</t>
  </si>
  <si>
    <t>13558004</t>
  </si>
  <si>
    <t>fb1839fb-46b5-42ac-9dd9-21d8b1be85bc</t>
  </si>
  <si>
    <t>27769551036</t>
  </si>
  <si>
    <t>13562452</t>
  </si>
  <si>
    <t>592526af-0863-4104-8fee-adeff3d98bae</t>
  </si>
  <si>
    <t>2026-03-05 14:48:47</t>
  </si>
  <si>
    <t>27608118433</t>
  </si>
  <si>
    <t>13560070</t>
  </si>
  <si>
    <t>4fd40319-97d1-40f5-b4e9-f4792cb284a3</t>
  </si>
  <si>
    <t>2026-03-05 14:48:42</t>
  </si>
  <si>
    <t>27665018267</t>
  </si>
  <si>
    <t>13559218</t>
  </si>
  <si>
    <t>1388e0c5-9d51-417a-8983-e91cbafead82</t>
  </si>
  <si>
    <t>2026-03-05 14:48:41</t>
  </si>
  <si>
    <t>27824331920</t>
  </si>
  <si>
    <t>13558559</t>
  </si>
  <si>
    <t>1a0e0da1-295b-414a-97f1-f43c220c4081</t>
  </si>
  <si>
    <t>2026-03-05 14:47:55</t>
  </si>
  <si>
    <t>27795509050</t>
  </si>
  <si>
    <t>13561067</t>
  </si>
  <si>
    <t>807c36ad-2a59-4555-a9f8-f5fd45ed62d9</t>
  </si>
  <si>
    <t>2026-03-05 14:47:04</t>
  </si>
  <si>
    <t>27606292714</t>
  </si>
  <si>
    <t>13557109</t>
  </si>
  <si>
    <t>2bb27d34-73c4-4a25-9133-55109a05633a</t>
  </si>
  <si>
    <t>27760281459</t>
  </si>
  <si>
    <t>13560558</t>
  </si>
  <si>
    <t>6d49662b-fa8e-4054-8ac3-1f74f3df4e2d</t>
  </si>
  <si>
    <t>2026-03-05 14:45:40</t>
  </si>
  <si>
    <t>27673888445</t>
  </si>
  <si>
    <t>13562700</t>
  </si>
  <si>
    <t>ee33c9fa-61e0-43b8-b4a2-e476f12c6890</t>
  </si>
  <si>
    <t>2026-03-05 14:44:37</t>
  </si>
  <si>
    <t>27790655545</t>
  </si>
  <si>
    <t>13561060</t>
  </si>
  <si>
    <t>ae65456d-266f-4a7f-98ca-35e327e2fe2f</t>
  </si>
  <si>
    <t>2026-03-05 14:44:34</t>
  </si>
  <si>
    <t>27768366083</t>
  </si>
  <si>
    <t>13560532</t>
  </si>
  <si>
    <t>d29e7b75-4f02-43e5-8ab4-bcdf428345f0</t>
  </si>
  <si>
    <t>2026-03-05 14:44:30</t>
  </si>
  <si>
    <t>27768252548</t>
  </si>
  <si>
    <t>13559675</t>
  </si>
  <si>
    <t>f06d94c8-31e2-4f73-97ab-b16e3b109309</t>
  </si>
  <si>
    <t>2026-03-05 14:44:05</t>
  </si>
  <si>
    <t>27840546482</t>
  </si>
  <si>
    <t>13558092</t>
  </si>
  <si>
    <t>72f7fe05-af5a-4020-8a67-aef408bed311</t>
  </si>
  <si>
    <t>2026-03-05 14:44:01</t>
  </si>
  <si>
    <t>27790116540</t>
  </si>
  <si>
    <t>13559774</t>
  </si>
  <si>
    <t>6ab38d41-7c4d-4faf-a109-8498638fc24d</t>
  </si>
  <si>
    <t>2026-03-05 14:43:12</t>
  </si>
  <si>
    <t>27714719658</t>
  </si>
  <si>
    <t>13559788</t>
  </si>
  <si>
    <t>a5d2863b-7faa-446f-afc0-2c70b527182d</t>
  </si>
  <si>
    <t>27791068700</t>
  </si>
  <si>
    <t>13563739</t>
  </si>
  <si>
    <t>5bce8e6f-1ff9-42f3-9267-fadae6c038a2</t>
  </si>
  <si>
    <t>2026-03-05 14:43:08</t>
  </si>
  <si>
    <t>27723919910</t>
  </si>
  <si>
    <t>13563729</t>
  </si>
  <si>
    <t>70794c9e-9c93-49db-9056-7d92ebb235ec</t>
  </si>
  <si>
    <t>2026-03-05 14:42:33</t>
  </si>
  <si>
    <t>27726699767</t>
  </si>
  <si>
    <t>13561164</t>
  </si>
  <si>
    <t>4d2bdea9-80fb-4ab6-8d09-a172dde68d1f</t>
  </si>
  <si>
    <t>2026-03-05 14:41:34</t>
  </si>
  <si>
    <t>27723553588</t>
  </si>
  <si>
    <t>13558320</t>
  </si>
  <si>
    <t>22f98a50-2cc4-428f-9eeb-67fbd5934d18</t>
  </si>
  <si>
    <t>2026-03-05 14:40:39</t>
  </si>
  <si>
    <t>27792747407</t>
  </si>
  <si>
    <t>13555966</t>
  </si>
  <si>
    <t>0cf5fc78-2831-493f-b6b9-e003faed1666</t>
  </si>
  <si>
    <t>2026-03-05 14:40:38</t>
  </si>
  <si>
    <t>27715860667</t>
  </si>
  <si>
    <t>13562747</t>
  </si>
  <si>
    <t>38d55579-203e-431f-946a-79fe89662ba7</t>
  </si>
  <si>
    <t>2026-03-05 14:40:37</t>
  </si>
  <si>
    <t>27768946978</t>
  </si>
  <si>
    <t>13558613</t>
  </si>
  <si>
    <t>377c039e-cd35-4564-b402-1f64c8b388d1</t>
  </si>
  <si>
    <t>2026-03-05 14:39:59</t>
  </si>
  <si>
    <t>27796122452</t>
  </si>
  <si>
    <t>13559942</t>
  </si>
  <si>
    <t>3532a7da-21d1-40f5-a7aa-7632a866d3db</t>
  </si>
  <si>
    <t>2026-03-05 14:39:55</t>
  </si>
  <si>
    <t>27663633831</t>
  </si>
  <si>
    <t>13562708</t>
  </si>
  <si>
    <t>44dab058-de4c-445d-ba12-65f841923f36</t>
  </si>
  <si>
    <t>27761323166</t>
  </si>
  <si>
    <t>13556433</t>
  </si>
  <si>
    <t>20e688f8-180f-47e6-8d57-a314d4dcc1aa</t>
  </si>
  <si>
    <t>2026-03-05 14:39:50</t>
  </si>
  <si>
    <t>27723792575</t>
  </si>
  <si>
    <t>13559852</t>
  </si>
  <si>
    <t>7111a195-5b76-40d3-9bee-3275b401b23f</t>
  </si>
  <si>
    <t>2026-03-05 14:39:08</t>
  </si>
  <si>
    <t>27768235031</t>
  </si>
  <si>
    <t>13559831</t>
  </si>
  <si>
    <t>ebf42c72-2e52-448e-abed-601248a2096c</t>
  </si>
  <si>
    <t>2026-03-05 14:39:06</t>
  </si>
  <si>
    <t>27793805500</t>
  </si>
  <si>
    <t>13563790</t>
  </si>
  <si>
    <t>b482cfbf-6cdb-4520-82ea-a2976aef537d</t>
  </si>
  <si>
    <t>2026-03-05 14:37:42</t>
  </si>
  <si>
    <t>27765656567</t>
  </si>
  <si>
    <t>13563779</t>
  </si>
  <si>
    <t>b2f9575d-71e5-42f1-8807-5db515579fc3</t>
  </si>
  <si>
    <t>2026-03-05 14:37:41</t>
  </si>
  <si>
    <t>27726563333</t>
  </si>
  <si>
    <t>13564127</t>
  </si>
  <si>
    <t>babc4d50-24cb-4412-b011-fcf3c2cf3636</t>
  </si>
  <si>
    <t>2026-03-05 14:36:42</t>
  </si>
  <si>
    <t>27763803898</t>
  </si>
  <si>
    <t>13555586</t>
  </si>
  <si>
    <t>8293eddf-b906-4514-8f06-d44fae59a0c0</t>
  </si>
  <si>
    <t>has 2 kids ovr 18</t>
  </si>
  <si>
    <t>2026-03-05 14:35:43</t>
  </si>
  <si>
    <t>2026-03-05 06:25:09</t>
  </si>
  <si>
    <t>27711776605</t>
  </si>
  <si>
    <t>13560213</t>
  </si>
  <si>
    <t>256e6939-ae24-4398-b5fd-d42f1d9ac67b</t>
  </si>
  <si>
    <t>2026-03-05 14:35:42</t>
  </si>
  <si>
    <t>27673313548</t>
  </si>
  <si>
    <t>13564147</t>
  </si>
  <si>
    <t>4964ef3b-8787-493a-ada1-58aedc9509f8</t>
  </si>
  <si>
    <t>27724768159</t>
  </si>
  <si>
    <t>13564201</t>
  </si>
  <si>
    <t>52b01a1e-a25b-4a56-91a7-75831cce17f9</t>
  </si>
  <si>
    <t>2026-03-05 14:34:41</t>
  </si>
  <si>
    <t>27764855825</t>
  </si>
  <si>
    <t>13564523</t>
  </si>
  <si>
    <t>8e7949d6-e207-4fe0-824f-45b9b7bcbaeb</t>
  </si>
  <si>
    <t>2026-03-05 14:33:58</t>
  </si>
  <si>
    <t>27663146777</t>
  </si>
  <si>
    <t>13562002</t>
  </si>
  <si>
    <t>a9be13c8-58f2-4788-a4bf-f26b266c3c3d</t>
  </si>
  <si>
    <t>2026-03-05 14:33:57</t>
  </si>
  <si>
    <t>27607816843</t>
  </si>
  <si>
    <t>13564295</t>
  </si>
  <si>
    <t>b84af3f2-9f97-4071-8e91-23aa9842faf0</t>
  </si>
  <si>
    <t>2026-03-05 14:33:54</t>
  </si>
  <si>
    <t>27724883504</t>
  </si>
  <si>
    <t>13564250</t>
  </si>
  <si>
    <t>c22ec67f-90c7-4fa7-8207-fdec871ff5eb</t>
  </si>
  <si>
    <t>2026-03-05 14:33:52</t>
  </si>
  <si>
    <t>27715932140</t>
  </si>
  <si>
    <t>13561445</t>
  </si>
  <si>
    <t>fde81cad-ffd4-4a3f-999b-70f5969fb006</t>
  </si>
  <si>
    <t>2026-03-05 14:33:51</t>
  </si>
  <si>
    <t>27762276192</t>
  </si>
  <si>
    <t>13558458</t>
  </si>
  <si>
    <t>a4a17cdb-c684-4811-a740-ca58982e9aa2</t>
  </si>
  <si>
    <t>2026-03-05 14:33:04</t>
  </si>
  <si>
    <t>27794243175</t>
  </si>
  <si>
    <t>13557072</t>
  </si>
  <si>
    <t>8ae69129-f07e-49b8-8925-fad8b90dcbde</t>
  </si>
  <si>
    <t>2026-03-05 14:32:59</t>
  </si>
  <si>
    <t>27734001102</t>
  </si>
  <si>
    <t>13557186</t>
  </si>
  <si>
    <t>5ead0b8f-52cc-4321-96b8-7039662251f4</t>
  </si>
  <si>
    <t>2026-03-05 14:32:11</t>
  </si>
  <si>
    <t>27761059225</t>
  </si>
  <si>
    <t>13557056</t>
  </si>
  <si>
    <t>9fe7df67-1030-4201-8397-40af94298d8b</t>
  </si>
  <si>
    <t>2026-03-05 14:32:08</t>
  </si>
  <si>
    <t>27729990843</t>
  </si>
  <si>
    <t>13556932</t>
  </si>
  <si>
    <t>784b74a7-294a-4672-adbd-f14fe951a868</t>
  </si>
  <si>
    <t>2026-03-05 14:31:17</t>
  </si>
  <si>
    <t>27728781023</t>
  </si>
  <si>
    <t>13556925</t>
  </si>
  <si>
    <t>0d36f1f4-5dd5-43fd-a59d-dfbc6d722db7</t>
  </si>
  <si>
    <t>2026-03-05 14:31:15</t>
  </si>
  <si>
    <t>27728720606</t>
  </si>
  <si>
    <t>13555754</t>
  </si>
  <si>
    <t>ed565b9b-4bd4-4d4a-910c-f926b8a04917</t>
  </si>
  <si>
    <t>2026-03-05 14:31:08</t>
  </si>
  <si>
    <t>27713672746</t>
  </si>
  <si>
    <t>13556640</t>
  </si>
  <si>
    <t>92fdc0ef-e738-48fa-bc21-ec76106c34f0</t>
  </si>
  <si>
    <t>2026-03-05 14:30:01</t>
  </si>
  <si>
    <t>27725844449</t>
  </si>
  <si>
    <t>13555624</t>
  </si>
  <si>
    <t>c9e99958-f447-4f0c-8809-51e2f21eee1c</t>
  </si>
  <si>
    <t>2026-03-05 14:29:52</t>
  </si>
  <si>
    <t>27712271755</t>
  </si>
  <si>
    <t>13564364</t>
  </si>
  <si>
    <t>ccfbc571-1d26-4159-9f63-f9108252d39a</t>
  </si>
  <si>
    <t>27723228708</t>
  </si>
  <si>
    <t>13557889</t>
  </si>
  <si>
    <t>26d4dec2-a879-42bf-b5cd-e256d1f41e20</t>
  </si>
  <si>
    <t>2026-03-05 14:29:49</t>
  </si>
  <si>
    <t>27768290533</t>
  </si>
  <si>
    <t>13556809</t>
  </si>
  <si>
    <t>815f3561-0b22-4902-8da3-0f358637100c</t>
  </si>
  <si>
    <t>2026-03-05 14:29:48</t>
  </si>
  <si>
    <t>27727698027</t>
  </si>
  <si>
    <t>13555595</t>
  </si>
  <si>
    <t>d55cb264-20c9-468e-b7a0-45dcdab2da6b</t>
  </si>
  <si>
    <t>2026-03-05 14:29:12</t>
  </si>
  <si>
    <t>27711935131</t>
  </si>
  <si>
    <t>13558601</t>
  </si>
  <si>
    <t>a26b220c-1f03-4194-a58c-bd802237d7d8</t>
  </si>
  <si>
    <t>2026-03-05 14:28:59</t>
  </si>
  <si>
    <t>27796010843</t>
  </si>
  <si>
    <t>13564796</t>
  </si>
  <si>
    <t>2ef738cb-9b70-45b0-852f-6a16f08e73ee</t>
  </si>
  <si>
    <t>2026-03-05 14:28:57</t>
  </si>
  <si>
    <t>27607574482</t>
  </si>
  <si>
    <t>13564368</t>
  </si>
  <si>
    <t>6865aaf2-710c-4f18-9020-1604665ea267</t>
  </si>
  <si>
    <t>2026-03-05 14:28:56</t>
  </si>
  <si>
    <t>27606452963</t>
  </si>
  <si>
    <t>13564871</t>
  </si>
  <si>
    <t>b3f82a27-fe99-4280-b69c-731dce0926a1</t>
  </si>
  <si>
    <t>2026-03-05 14:27:55</t>
  </si>
  <si>
    <t>27608834386</t>
  </si>
  <si>
    <t>13564817</t>
  </si>
  <si>
    <t>42ae7800-977b-4bfe-997e-261a292d2a6e</t>
  </si>
  <si>
    <t>2026-03-05 14:27:41</t>
  </si>
  <si>
    <t>27607862186</t>
  </si>
  <si>
    <t>13560188</t>
  </si>
  <si>
    <t>67d17cf5-d02d-4a65-91b4-6396d5a456f3</t>
  </si>
  <si>
    <t>2026-03-05 14:26:47</t>
  </si>
  <si>
    <t>27828127508</t>
  </si>
  <si>
    <t>13564831</t>
  </si>
  <si>
    <t>45bca870-9e3b-4ef4-b3e2-1a69ced2e00b</t>
  </si>
  <si>
    <t>2026-03-05 14:26:45</t>
  </si>
  <si>
    <t>27608132881</t>
  </si>
  <si>
    <t>13564809</t>
  </si>
  <si>
    <t>45f857c7-3730-4e33-8374-56608adba45e</t>
  </si>
  <si>
    <t>2026-03-05 14:26:43</t>
  </si>
  <si>
    <t>27607745267</t>
  </si>
  <si>
    <t>13560308</t>
  </si>
  <si>
    <t>54e6b456-f629-4888-a901-2a6949a2a5a0</t>
  </si>
  <si>
    <t>2026-03-05 14:25:31</t>
  </si>
  <si>
    <t>27768726052</t>
  </si>
  <si>
    <t>13555402</t>
  </si>
  <si>
    <t>818e4bbf-6070-4132-82b6-d6aa382778ab</t>
  </si>
  <si>
    <t>2026-03-05 14:25:06</t>
  </si>
  <si>
    <t>27664683483</t>
  </si>
  <si>
    <t>13556632</t>
  </si>
  <si>
    <t>5b8f1624-32f5-47f6-a1e9-d066e67a5697</t>
  </si>
  <si>
    <t>2026-03-05 14:23:48</t>
  </si>
  <si>
    <t>27725674827</t>
  </si>
  <si>
    <t>13555314</t>
  </si>
  <si>
    <t>b9bd7721-ebef-4e4e-9d6f-d7eac5ffedeb</t>
  </si>
  <si>
    <t>2026-03-05 14:23:41</t>
  </si>
  <si>
    <t>27661997040</t>
  </si>
  <si>
    <t>13555293</t>
  </si>
  <si>
    <t>76ff3151-9442-45b8-b798-a10d137b665c</t>
  </si>
  <si>
    <t>2026-03-05 14:23:39</t>
  </si>
  <si>
    <t>27661322984</t>
  </si>
  <si>
    <t>13555503</t>
  </si>
  <si>
    <t>e2dcb707-3a78-4daa-957a-9faa13621457</t>
  </si>
  <si>
    <t>2026-03-05 14:23:36</t>
  </si>
  <si>
    <t>27675655082</t>
  </si>
  <si>
    <t>13559563</t>
  </si>
  <si>
    <t>1e22db64-6583-4a60-8e94-351b256b440a</t>
  </si>
  <si>
    <t>2026-03-05 14:23:02</t>
  </si>
  <si>
    <t>27828527056</t>
  </si>
  <si>
    <t>13556713</t>
  </si>
  <si>
    <t>2458cbbb-3b9e-4cc5-8cfe-54c507f7a53b</t>
  </si>
  <si>
    <t>2026-03-05 14:23:01</t>
  </si>
  <si>
    <t>27726790055</t>
  </si>
  <si>
    <t>13556393</t>
  </si>
  <si>
    <t>ac8a8d8f-2958-4c17-bffb-995d7093092e</t>
  </si>
  <si>
    <t>2026-03-05 14:22:53</t>
  </si>
  <si>
    <t>27723448336</t>
  </si>
  <si>
    <t>13564508</t>
  </si>
  <si>
    <t>8abf7815-6c7e-412d-9ba8-8426e1a8d36c</t>
  </si>
  <si>
    <t>2026-03-05 14:22:51</t>
  </si>
  <si>
    <t>27648522615</t>
  </si>
  <si>
    <t>13562118</t>
  </si>
  <si>
    <t>1a774b92-19b7-41ae-9e70-cc92ee45d04a</t>
  </si>
  <si>
    <t>2026-03-05 14:21:34</t>
  </si>
  <si>
    <t>27766652288</t>
  </si>
  <si>
    <t>13557939</t>
  </si>
  <si>
    <t>a5f3db42-1829-450d-a12e-890ca3065b83</t>
  </si>
  <si>
    <t>2026-03-05 14:21:32</t>
  </si>
  <si>
    <t>27768868832</t>
  </si>
  <si>
    <t>13556854</t>
  </si>
  <si>
    <t>d5eb2737-1f19-45c5-b3dd-7b0faac6899f</t>
  </si>
  <si>
    <t>2026-03-05 14:21:25</t>
  </si>
  <si>
    <t>27728081979</t>
  </si>
  <si>
    <t>13563070</t>
  </si>
  <si>
    <t>3a1d04c3-5b46-4410-a804-bad349294767</t>
  </si>
  <si>
    <t>2026-03-05 14:20:42</t>
  </si>
  <si>
    <t>27648613906</t>
  </si>
  <si>
    <t>13562499</t>
  </si>
  <si>
    <t>2a2c706e-c75e-41a5-a6be-8b5008c63e0d</t>
  </si>
  <si>
    <t>2026-03-05 14:19:44</t>
  </si>
  <si>
    <t>27663451612</t>
  </si>
  <si>
    <t>13555030</t>
  </si>
  <si>
    <t>fa835cd3-66dc-45ef-9d10-86808fe07f48</t>
  </si>
  <si>
    <t>2026-03-05 14:19:40</t>
  </si>
  <si>
    <t>27646104497</t>
  </si>
  <si>
    <t>13558808</t>
  </si>
  <si>
    <t>8d47501e-889d-410c-8cbd-32fc7a4a8132</t>
  </si>
  <si>
    <t>2026-03-05 14:18:51</t>
  </si>
  <si>
    <t>27798450388</t>
  </si>
  <si>
    <t>13557887</t>
  </si>
  <si>
    <t>cbd67a0a-8b14-4f65-aa57-8a5a31f2295b</t>
  </si>
  <si>
    <t>2026-03-05 14:18:45</t>
  </si>
  <si>
    <t>27768283700</t>
  </si>
  <si>
    <t>13554935</t>
  </si>
  <si>
    <t>7556a54b-f331-402e-86ef-5afefa68c8c2</t>
  </si>
  <si>
    <t>2026-03-05 14:18:12</t>
  </si>
  <si>
    <t>27636019009</t>
  </si>
  <si>
    <t>13554955</t>
  </si>
  <si>
    <t>a36d0be7-5e16-49ca-a9bf-80c6b6769404</t>
  </si>
  <si>
    <t>27636318301</t>
  </si>
  <si>
    <t>13554989</t>
  </si>
  <si>
    <t>df6effe3-240a-4dad-a08e-aabc8507f5de</t>
  </si>
  <si>
    <t>27636940570</t>
  </si>
  <si>
    <t>13564659</t>
  </si>
  <si>
    <t>c59058d0-6967-4f2f-89a4-40ae71a6ec58</t>
  </si>
  <si>
    <t>2026-03-05 14:17:03</t>
  </si>
  <si>
    <t>27765518192</t>
  </si>
  <si>
    <t>13556138</t>
  </si>
  <si>
    <t>cc6b6184-2858-4ae6-ae56-3ccc016f8c11</t>
  </si>
  <si>
    <t>2026-03-05 14:17:02</t>
  </si>
  <si>
    <t>27721004161</t>
  </si>
  <si>
    <t>13555228</t>
  </si>
  <si>
    <t>1356148e-9cb6-4be3-b16d-c84251b259a6</t>
  </si>
  <si>
    <t>2026-03-05 14:17:00</t>
  </si>
  <si>
    <t>27660245398</t>
  </si>
  <si>
    <t>13555016</t>
  </si>
  <si>
    <t>0e65ae1c-a99a-42ca-b180-86bb5f1d6e49</t>
  </si>
  <si>
    <t>2026-03-05 14:15:45</t>
  </si>
  <si>
    <t>27637830231</t>
  </si>
  <si>
    <t>13564700</t>
  </si>
  <si>
    <t>c44a0773-243a-4cda-97cb-2b1538bb46d9</t>
  </si>
  <si>
    <t>2026-03-05 14:14:18</t>
  </si>
  <si>
    <t>27606083021</t>
  </si>
  <si>
    <t>13555167</t>
  </si>
  <si>
    <t>d39bc754-0fb9-40b4-aa36-95dfe01c5481</t>
  </si>
  <si>
    <t>2026-03-05 14:14:14</t>
  </si>
  <si>
    <t>27648985955</t>
  </si>
  <si>
    <t>13555076</t>
  </si>
  <si>
    <t>97460a81-fef2-43ef-8a8d-b3dd83648c77</t>
  </si>
  <si>
    <t>2026-03-05 14:13:35</t>
  </si>
  <si>
    <t>27647035344</t>
  </si>
  <si>
    <t>13561967</t>
  </si>
  <si>
    <t>918aaadb-dfa7-4a6d-a218-4f034e1aa8a4</t>
  </si>
  <si>
    <t>2026-03-05 14:11:54</t>
  </si>
  <si>
    <t>27660553994</t>
  </si>
  <si>
    <t>13561342</t>
  </si>
  <si>
    <t>279c281b-4c13-4fbd-8b18-c495db831394</t>
  </si>
  <si>
    <t>2026-03-05 14:11:53</t>
  </si>
  <si>
    <t>27727352458</t>
  </si>
  <si>
    <t>13556968</t>
  </si>
  <si>
    <t>ae307e8b-bf10-4e80-b3bb-dc33f7cc7c2f</t>
  </si>
  <si>
    <t>2026-03-05 14:11:47</t>
  </si>
  <si>
    <t>27729093976</t>
  </si>
  <si>
    <t>13556346</t>
  </si>
  <si>
    <t>00c6d383-4671-4191-8849-b0cdc461e1f2</t>
  </si>
  <si>
    <t>2026-03-05 14:11:46</t>
  </si>
  <si>
    <t>27722937800</t>
  </si>
  <si>
    <t>13557506</t>
  </si>
  <si>
    <t>41e2423a-a10a-4ea0-868b-9e84ef7f1a25</t>
  </si>
  <si>
    <t>2026-03-05 14:10:59</t>
  </si>
  <si>
    <t>27764606251</t>
  </si>
  <si>
    <t>13561112</t>
  </si>
  <si>
    <t>28ff08f7-d794-4fff-8ed8-fc1fc77d7492</t>
  </si>
  <si>
    <t>2026-03-05 14:10:28</t>
  </si>
  <si>
    <t>27609448191</t>
  </si>
  <si>
    <t>13560035</t>
  </si>
  <si>
    <t>e0cbd13f-0083-433a-9ff7-1219cfd8dbc1</t>
  </si>
  <si>
    <t>2026-03-05 14:10:15</t>
  </si>
  <si>
    <t>27606141459</t>
  </si>
  <si>
    <t>13563192</t>
  </si>
  <si>
    <t>0058c31b-0bf4-40f5-9238-f23efe30aa58</t>
  </si>
  <si>
    <t>2026-03-05 14:10:07</t>
  </si>
  <si>
    <t>27661688803</t>
  </si>
  <si>
    <t>13560955</t>
  </si>
  <si>
    <t>5d12ea22-65b5-486e-adcc-1084d6e53672</t>
  </si>
  <si>
    <t>2026-03-05 14:08:52</t>
  </si>
  <si>
    <t>27761620153</t>
  </si>
  <si>
    <t>13555806</t>
  </si>
  <si>
    <t>fc41a00a-e44d-44b4-8e23-5460ebcbacbb</t>
  </si>
  <si>
    <t>2026-03-05 14:08:43</t>
  </si>
  <si>
    <t>27714261462</t>
  </si>
  <si>
    <t>13554995</t>
  </si>
  <si>
    <t>42eaa555-f264-4be2-a996-1b85f0a22b39</t>
  </si>
  <si>
    <t>2026-03-05 14:08:41</t>
  </si>
  <si>
    <t>27637229878</t>
  </si>
  <si>
    <t>13556311</t>
  </si>
  <si>
    <t>30a380c8-ef83-4708-8e7f-0d3c8b0b0d95</t>
  </si>
  <si>
    <t>27722595346</t>
  </si>
  <si>
    <t>13559475</t>
  </si>
  <si>
    <t>28348b5f-a885-41f0-b378-c49675f5ba82</t>
  </si>
  <si>
    <t>2026-03-05 14:07:57</t>
  </si>
  <si>
    <t>27827327663</t>
  </si>
  <si>
    <t>13556021</t>
  </si>
  <si>
    <t>88290921-5505-4383-ad4f-e7cd9a4d07b5</t>
  </si>
  <si>
    <t>2026-03-05 14:07:54</t>
  </si>
  <si>
    <t>27716715785</t>
  </si>
  <si>
    <t>13556777</t>
  </si>
  <si>
    <t>40301add-8afc-4d93-86c3-d3a8d7150820</t>
  </si>
  <si>
    <t>27727381093</t>
  </si>
  <si>
    <t>13558512</t>
  </si>
  <si>
    <t>b0e6127f-ff08-4178-a252-09717f6c169a</t>
  </si>
  <si>
    <t>2026-03-05 14:06:36</t>
  </si>
  <si>
    <t>27794788437</t>
  </si>
  <si>
    <t>13557704</t>
  </si>
  <si>
    <t>24a314c5-e58c-4370-b6c5-cb30ffd97c50</t>
  </si>
  <si>
    <t>2026-03-05 14:05:38</t>
  </si>
  <si>
    <t>27766521753</t>
  </si>
  <si>
    <t>13561626</t>
  </si>
  <si>
    <t>86827cf9-db61-43ca-ae31-ba67e51e2564</t>
  </si>
  <si>
    <t>2026-03-05 14:03:28</t>
  </si>
  <si>
    <t>27710349311</t>
  </si>
  <si>
    <t>13561651</t>
  </si>
  <si>
    <t>6e7810b5-fc29-446e-8c90-ff85c47c00fc</t>
  </si>
  <si>
    <t>2026-03-05 14:01:23</t>
  </si>
  <si>
    <t>27766095040</t>
  </si>
  <si>
    <t>13561623</t>
  </si>
  <si>
    <t>9d9f3323-ab3a-453a-804a-9671d16b04cb</t>
  </si>
  <si>
    <t>2026-03-05 13:59:53</t>
  </si>
  <si>
    <t>27607594301</t>
  </si>
  <si>
    <t>13562056</t>
  </si>
  <si>
    <t>f2a59231-f1f2-43ca-b474-8ea172b398fc</t>
  </si>
  <si>
    <t>2026-03-05 13:58:55</t>
  </si>
  <si>
    <t>27767551084</t>
  </si>
  <si>
    <t>13557288</t>
  </si>
  <si>
    <t>149786e7-f650-41fe-923b-7fab95b3b3bb</t>
  </si>
  <si>
    <t>2026-03-05 13:58:52</t>
  </si>
  <si>
    <t>27762105556</t>
  </si>
  <si>
    <t>13559657</t>
  </si>
  <si>
    <t>673c202a-f4da-4460-ab87-556a7037a2cb</t>
  </si>
  <si>
    <t>2026-03-05 13:58:14</t>
  </si>
  <si>
    <t>27835758919</t>
  </si>
  <si>
    <t>13560926</t>
  </si>
  <si>
    <t>9f52b065-d75b-4e11-b7cf-40988134f8f6</t>
  </si>
  <si>
    <t>2026-03-05 13:52:44</t>
  </si>
  <si>
    <t>27790761221</t>
  </si>
  <si>
    <t>13564734</t>
  </si>
  <si>
    <t>dc7acda8-fa1a-485e-9a58-e5193ae5829b</t>
  </si>
  <si>
    <t>2026-03-05 13:52:43</t>
  </si>
  <si>
    <t>27606587846</t>
  </si>
  <si>
    <t>13562898</t>
  </si>
  <si>
    <t>6a6f7037-91ba-448c-bebb-f0f660fc0911</t>
  </si>
  <si>
    <t>2026-03-05 13:51:35</t>
  </si>
  <si>
    <t>27725260320</t>
  </si>
  <si>
    <t>13560756</t>
  </si>
  <si>
    <t>108be645-9c02-456b-8cb8-e9d54c9f3936</t>
  </si>
  <si>
    <t>2026-03-05 13:51:04</t>
  </si>
  <si>
    <t>27820869220</t>
  </si>
  <si>
    <t>13560893</t>
  </si>
  <si>
    <t>9bad71b6-c3f2-422d-ae40-c36813112a7c</t>
  </si>
  <si>
    <t>2026-03-05 13:51:02</t>
  </si>
  <si>
    <t>27715607267</t>
  </si>
  <si>
    <t>13555249</t>
  </si>
  <si>
    <t>bf6f7b7b-7b28-4089-890d-73e290b16f0b</t>
  </si>
  <si>
    <t>2026-03-05 13:51:01</t>
  </si>
  <si>
    <t>27660623211</t>
  </si>
  <si>
    <t>13557245</t>
  </si>
  <si>
    <t>96c66c4f-1408-46dd-9949-3293af8074a9</t>
  </si>
  <si>
    <t>2026-03-05 13:49:25</t>
  </si>
  <si>
    <t>27761687654</t>
  </si>
  <si>
    <t>13562897</t>
  </si>
  <si>
    <t>3fef0198-f768-485a-b3b0-733e8ce262f7</t>
  </si>
  <si>
    <t>27790764025</t>
  </si>
  <si>
    <t>13558555</t>
  </si>
  <si>
    <t>7b552f13-7d47-4b85-82c3-c440d957a398</t>
  </si>
  <si>
    <t>2026-03-05 13:49:22</t>
  </si>
  <si>
    <t>27795454177</t>
  </si>
  <si>
    <t>13560715</t>
  </si>
  <si>
    <t>1d60ae0d-713d-41bb-826b-c054a3cf6999</t>
  </si>
  <si>
    <t>2026-03-05 13:47:17</t>
  </si>
  <si>
    <t>27727253757</t>
  </si>
  <si>
    <t>13560597</t>
  </si>
  <si>
    <t>8cb03f55-829b-49b8-bcc1-57aa28182ad1</t>
  </si>
  <si>
    <t>2026-03-05 13:47:13</t>
  </si>
  <si>
    <t>27818006769</t>
  </si>
  <si>
    <t>13563006</t>
  </si>
  <si>
    <t>509e7785-2b32-4907-93a1-b1436bb2bdad</t>
  </si>
  <si>
    <t>2026-03-05 13:43:08</t>
  </si>
  <si>
    <t>27673740958</t>
  </si>
  <si>
    <t>13562205</t>
  </si>
  <si>
    <t>0565d7e1-58e6-4edc-b8ce-8eb808c452ad</t>
  </si>
  <si>
    <t>2026-03-05 13:42:50</t>
  </si>
  <si>
    <t>27643253664</t>
  </si>
  <si>
    <t>13558643</t>
  </si>
  <si>
    <t>b0078e07-d389-46a3-9e9c-ed8fb093ecfc</t>
  </si>
  <si>
    <t>2026-03-05 13:41:53</t>
  </si>
  <si>
    <t>27796418775</t>
  </si>
  <si>
    <t>13558653</t>
  </si>
  <si>
    <t>a59e5ed9-a279-4d2a-aeac-9a084fd40445</t>
  </si>
  <si>
    <t>2026-03-05 13:41:10</t>
  </si>
  <si>
    <t>27796550655</t>
  </si>
  <si>
    <t>13563593</t>
  </si>
  <si>
    <t>c76e5e22-9cff-4edf-a8a6-11c6c88ef86b</t>
  </si>
  <si>
    <t>2026-03-05 13:39:00</t>
  </si>
  <si>
    <t>27636110776</t>
  </si>
  <si>
    <t>13563746</t>
  </si>
  <si>
    <t>da4f6348-7c9f-4fc1-b58b-7099d6e4a0a2</t>
  </si>
  <si>
    <t>2026-03-05 13:38:55</t>
  </si>
  <si>
    <t>27728427275</t>
  </si>
  <si>
    <t>13563549</t>
  </si>
  <si>
    <t>14aa6580-060a-4fbd-a319-3b74f0fde57a</t>
  </si>
  <si>
    <t>2026-03-05 13:38:54</t>
  </si>
  <si>
    <t>27649578095</t>
  </si>
  <si>
    <t>13557345</t>
  </si>
  <si>
    <t>fef03a60-478a-4822-9af4-51d878a67546</t>
  </si>
  <si>
    <t>2026-03-05 13:37:16</t>
  </si>
  <si>
    <t>27762803567</t>
  </si>
  <si>
    <t>13558754</t>
  </si>
  <si>
    <t>6a90c27a-2def-4a35-85ca-ba65d4b9c79a</t>
  </si>
  <si>
    <t>27797777602</t>
  </si>
  <si>
    <t>13561707</t>
  </si>
  <si>
    <t>8d2c593c-3b61-4c3d-b250-08529f017270</t>
  </si>
  <si>
    <t>27724274913</t>
  </si>
  <si>
    <t>13564088</t>
  </si>
  <si>
    <t>58393ab7-bf03-46c6-92a8-26575c6c92b3</t>
  </si>
  <si>
    <t>2026-03-05 13:37:15</t>
  </si>
  <si>
    <t>27763912897</t>
  </si>
  <si>
    <t>13557088</t>
  </si>
  <si>
    <t>d98aa4f3-4dd1-463b-b462-355a9046625d</t>
  </si>
  <si>
    <t>2026-03-05 13:33:38</t>
  </si>
  <si>
    <t>27739046104</t>
  </si>
  <si>
    <t>13563886</t>
  </si>
  <si>
    <t>a9f473a4-46d5-487c-9dd5-e309030508be</t>
  </si>
  <si>
    <t>2026-03-05 13:31:59</t>
  </si>
  <si>
    <t>Vuyiswa Nxumalo</t>
  </si>
  <si>
    <t>27608366682</t>
  </si>
  <si>
    <t>13556951</t>
  </si>
  <si>
    <t>4ab68ac3-a205-4c2b-a04f-5d58b0d68a51</t>
  </si>
  <si>
    <t>2026-03-05 13:30:02</t>
  </si>
  <si>
    <t>27728954862</t>
  </si>
  <si>
    <t>13556650</t>
  </si>
  <si>
    <t>22a9327c-a0f8-429e-ab68-180e32bbb644</t>
  </si>
  <si>
    <t>2026-03-05 13:29:56</t>
  </si>
  <si>
    <t>27725979569</t>
  </si>
  <si>
    <t>13556088</t>
  </si>
  <si>
    <t>30f95933-6333-4d18-8634-5db808f965b8</t>
  </si>
  <si>
    <t>2026-03-05 13:29:04</t>
  </si>
  <si>
    <t>27720611635</t>
  </si>
  <si>
    <t>13564795</t>
  </si>
  <si>
    <t>1dfcbbe9-3aa2-4250-951c-44709f6aed06</t>
  </si>
  <si>
    <t>2026-03-05 13:27:30</t>
  </si>
  <si>
    <t>27607565022</t>
  </si>
  <si>
    <t>13564914</t>
  </si>
  <si>
    <t>475c7d5d-46ef-4df4-b970-3f1491ea296a</t>
  </si>
  <si>
    <t>2026-03-05 13:25:29</t>
  </si>
  <si>
    <t>27609514929</t>
  </si>
  <si>
    <t>13555592</t>
  </si>
  <si>
    <t>2b59868d-831b-455e-ab6b-9bee8d31908d</t>
  </si>
  <si>
    <t>2026-03-05 13:22:42</t>
  </si>
  <si>
    <t>27711911238</t>
  </si>
  <si>
    <t>13556178</t>
  </si>
  <si>
    <t>79a5b1f4-9c0c-4902-99b2-7fdcd1e771f8</t>
  </si>
  <si>
    <t>2026-03-05 13:22:41</t>
  </si>
  <si>
    <t>27721352922</t>
  </si>
  <si>
    <t>13555701</t>
  </si>
  <si>
    <t>721e3c00-52ab-4959-a845-cdb457028a9f</t>
  </si>
  <si>
    <t>2026-03-05 13:21:49</t>
  </si>
  <si>
    <t>27713075300</t>
  </si>
  <si>
    <t>13559406</t>
  </si>
  <si>
    <t>929e5651-709f-45d3-ad86-0dcbb64b5b23</t>
  </si>
  <si>
    <t>2026-03-05 13:21:05</t>
  </si>
  <si>
    <t>27826581444</t>
  </si>
  <si>
    <t>13564525</t>
  </si>
  <si>
    <t>cc4bbdf6-2edf-4109-a672-f94fab5f34b1</t>
  </si>
  <si>
    <t>2026-03-05 13:21:03</t>
  </si>
  <si>
    <t>27724974881</t>
  </si>
  <si>
    <t>13557500</t>
  </si>
  <si>
    <t>9c744ce8-b501-424f-8ffc-67fb354f8df6</t>
  </si>
  <si>
    <t>2026-03-05 13:18:50</t>
  </si>
  <si>
    <t>27764541011</t>
  </si>
  <si>
    <t>13561595</t>
  </si>
  <si>
    <t>cf0df6c2-5c0e-4d96-9486-5534fa92b547</t>
  </si>
  <si>
    <t>2026-03-05 13:17:57</t>
  </si>
  <si>
    <t>27796696809</t>
  </si>
  <si>
    <t>13559008</t>
  </si>
  <si>
    <t>dcd8662f-1d19-4265-a7b0-6f35fddff88d</t>
  </si>
  <si>
    <t>2026-03-05 13:17:55</t>
  </si>
  <si>
    <t>27820511470</t>
  </si>
  <si>
    <t>13558006</t>
  </si>
  <si>
    <t>cd018d39-a1e4-4b26-b363-b4d71bcc0ba7</t>
  </si>
  <si>
    <t>2026-03-05 13:17:54</t>
  </si>
  <si>
    <t>27769556776</t>
  </si>
  <si>
    <t>13563372</t>
  </si>
  <si>
    <t>ff0565e3-e556-44aa-bfe0-b43223f6b3c3</t>
  </si>
  <si>
    <t>2026-03-05 13:10:01</t>
  </si>
  <si>
    <t>27606443608</t>
  </si>
  <si>
    <t>13563374</t>
  </si>
  <si>
    <t>7470f6f9-4be6-4468-bc7b-c359ffc34e1d</t>
  </si>
  <si>
    <t>2026-03-05 13:05:01</t>
  </si>
  <si>
    <t>27727244365</t>
  </si>
  <si>
    <t>13563471</t>
  </si>
  <si>
    <t>a516514c-1b66-45d7-82ea-adb493aafddf</t>
  </si>
  <si>
    <t>2026-03-05 12:56:32</t>
  </si>
  <si>
    <t>27728979422</t>
  </si>
  <si>
    <t>13563121</t>
  </si>
  <si>
    <t>8bd45ead-63e7-4bc7-8e48-4a5d5851e707</t>
  </si>
  <si>
    <t>2026-03-05 12:51:49</t>
  </si>
  <si>
    <t>27608441855</t>
  </si>
  <si>
    <t>13563025</t>
  </si>
  <si>
    <t>92b606d0-1c13-4d84-b930-fb5906c8ab64</t>
  </si>
  <si>
    <t>2026-03-05 12:50:01</t>
  </si>
  <si>
    <t>27725139422</t>
  </si>
  <si>
    <t>13564923</t>
  </si>
  <si>
    <t>ef2e8277-1f3d-494c-b474-ea1b8df587c2</t>
  </si>
  <si>
    <t>2026-03-05 12:48:49</t>
  </si>
  <si>
    <t>27610254749</t>
  </si>
  <si>
    <t>13561584</t>
  </si>
  <si>
    <t>582accaf-c38d-4f81-8fb3-92cf971bb37f</t>
  </si>
  <si>
    <t>2026-03-05 12:45:55</t>
  </si>
  <si>
    <t>27663646465</t>
  </si>
  <si>
    <t>13564186</t>
  </si>
  <si>
    <t>679252b6-1ec5-4ee4-a061-4a69771264a5</t>
  </si>
  <si>
    <t>27722768586</t>
  </si>
  <si>
    <t>13562875</t>
  </si>
  <si>
    <t>60816069-0f4d-410e-963d-f7af348dbb6b</t>
  </si>
  <si>
    <t>2026-03-05 12:45:24</t>
  </si>
  <si>
    <t>27722289805</t>
  </si>
  <si>
    <t>13561033</t>
  </si>
  <si>
    <t>da7cd9b5-a517-45e2-b346-872750bc24a2</t>
  </si>
  <si>
    <t>2026-03-05 12:45:05</t>
  </si>
  <si>
    <t>27826462637</t>
  </si>
  <si>
    <t>13561601</t>
  </si>
  <si>
    <t>a24bf77c-b092-4f36-918f-f76f9737531b</t>
  </si>
  <si>
    <t>2026-03-05 12:42:41</t>
  </si>
  <si>
    <t>27711711587</t>
  </si>
  <si>
    <t>13560652</t>
  </si>
  <si>
    <t>32d915fc-de15-463f-98b5-bbf0cf9d6b6e</t>
  </si>
  <si>
    <t>2026-03-05 12:41:05</t>
  </si>
  <si>
    <t>27649505062</t>
  </si>
  <si>
    <t>13560454</t>
  </si>
  <si>
    <t>954218a4-6bef-49df-bd7b-69f3ad9e7c39</t>
  </si>
  <si>
    <t>2026-03-05 12:41:02</t>
  </si>
  <si>
    <t>27724044783</t>
  </si>
  <si>
    <t>13563926</t>
  </si>
  <si>
    <t>4df6f700-49b7-45c4-b1f5-86836c9b137d</t>
  </si>
  <si>
    <t>2026-03-05 12:35:26</t>
  </si>
  <si>
    <t>27664243851</t>
  </si>
  <si>
    <t>13558462</t>
  </si>
  <si>
    <t>85347b07-8073-45a8-913d-8d9ada9d8710</t>
  </si>
  <si>
    <t>2026-03-05 12:34:43</t>
  </si>
  <si>
    <t>27794283563</t>
  </si>
  <si>
    <t>13557019</t>
  </si>
  <si>
    <t>f73e9bf1-dc2d-4cc0-8126-be1fd8c530b0</t>
  </si>
  <si>
    <t>2026-03-05 12:33:01</t>
  </si>
  <si>
    <t>27729591442</t>
  </si>
  <si>
    <t>13559553</t>
  </si>
  <si>
    <t>f202c930-ca30-4df2-9eca-53cbe2f132e0</t>
  </si>
  <si>
    <t>2026-03-05 12:32:20</t>
  </si>
  <si>
    <t>27828384616</t>
  </si>
  <si>
    <t>13556613</t>
  </si>
  <si>
    <t>92fd663e-c4f6-4ab2-8ceb-63176ef2640d</t>
  </si>
  <si>
    <t>2026-03-05 12:30:36</t>
  </si>
  <si>
    <t>27725549480</t>
  </si>
  <si>
    <t>13560353</t>
  </si>
  <si>
    <t>1411455e-0d74-4162-a06c-a750308af576</t>
  </si>
  <si>
    <t>2026-03-05 12:27:57</t>
  </si>
  <si>
    <t>27798091995</t>
  </si>
  <si>
    <t>13559566</t>
  </si>
  <si>
    <t>0fce1e09-7dff-4f85-9e8b-3b5519a23740</t>
  </si>
  <si>
    <t>2026-03-05 12:25:59</t>
  </si>
  <si>
    <t>27828549801</t>
  </si>
  <si>
    <t>13555439</t>
  </si>
  <si>
    <t>da38d6ec-061c-4f50-92df-311b39e0d60c</t>
  </si>
  <si>
    <t>2026-03-05 12:24:48</t>
  </si>
  <si>
    <t>27665681086</t>
  </si>
  <si>
    <t>13558625</t>
  </si>
  <si>
    <t>b572133a-196d-401a-9a80-3c7751370082</t>
  </si>
  <si>
    <t>2026-03-05 12:24:12</t>
  </si>
  <si>
    <t>27796235211</t>
  </si>
  <si>
    <t>13560500</t>
  </si>
  <si>
    <t>2fd69f79-171c-4d03-a792-1b0593bc4922</t>
  </si>
  <si>
    <t>2026-03-05 12:21:46</t>
  </si>
  <si>
    <t>27675677049</t>
  </si>
  <si>
    <t>13555558</t>
  </si>
  <si>
    <t>01fa613c-7af0-49fa-98b2-f4b098fb85c1</t>
  </si>
  <si>
    <t>2026-03-05 12:20:28</t>
  </si>
  <si>
    <t>27711509792</t>
  </si>
  <si>
    <t>13555947</t>
  </si>
  <si>
    <t>99ed9a23-eb4d-4299-b0de-a999c331e723</t>
  </si>
  <si>
    <t>2026-03-05 12:17:59</t>
  </si>
  <si>
    <t>27715711183</t>
  </si>
  <si>
    <t>13564373</t>
  </si>
  <si>
    <t>113f0fc2-5c1d-4cfc-a299-22d50d3b4edf</t>
  </si>
  <si>
    <t>2026-03-05 12:17:46</t>
  </si>
  <si>
    <t>27720993496</t>
  </si>
  <si>
    <t>13556219</t>
  </si>
  <si>
    <t>13aee89f-013c-4979-8599-1379455993ce</t>
  </si>
  <si>
    <t>2026-03-05 12:10:31</t>
  </si>
  <si>
    <t>27721756350</t>
  </si>
  <si>
    <t>13555019</t>
  </si>
  <si>
    <t>7b625276-d7eb-4700-8ef1-02308dd68aeb</t>
  </si>
  <si>
    <t>2026-03-05 12:08:12</t>
  </si>
  <si>
    <t>27637959439</t>
  </si>
  <si>
    <t>13559714</t>
  </si>
  <si>
    <t>7aa0e1f9-4a5d-44fd-80e7-d0b1854c1f10</t>
  </si>
  <si>
    <t>2026-03-05 12:08:08</t>
  </si>
  <si>
    <t>27766440605</t>
  </si>
  <si>
    <t>13562407</t>
  </si>
  <si>
    <t>950b129e-79e0-4e6c-8824-7ef9abb361e3</t>
  </si>
  <si>
    <t>2026-03-05 12:07:13</t>
  </si>
  <si>
    <t>27765900519</t>
  </si>
  <si>
    <t>13562693</t>
  </si>
  <si>
    <t>80aeab3c-4e6f-4872-8738-4aa4e4472b8b</t>
  </si>
  <si>
    <t>2026-03-05 12:07:08</t>
  </si>
  <si>
    <t>27784861036</t>
  </si>
  <si>
    <t>13555983</t>
  </si>
  <si>
    <t>fa71857c-aa72-4792-b8b9-3a0998d59cf7</t>
  </si>
  <si>
    <t>2026-03-05 12:05:45</t>
  </si>
  <si>
    <t>27715951209</t>
  </si>
  <si>
    <t>13562555</t>
  </si>
  <si>
    <t>b533fa73-4451-4a2e-bec7-8d84bdec4282</t>
  </si>
  <si>
    <t>2026-03-05 12:05:08</t>
  </si>
  <si>
    <t>27791959256</t>
  </si>
  <si>
    <t>13558284</t>
  </si>
  <si>
    <t>b6132bac-74f4-4322-a522-2b0135b24c2a</t>
  </si>
  <si>
    <t>2026-03-05 12:05:06</t>
  </si>
  <si>
    <t>27792253192</t>
  </si>
  <si>
    <t>13563772</t>
  </si>
  <si>
    <t>f0235c26-d3ea-4565-b23a-46030904427e</t>
  </si>
  <si>
    <t>2026-03-05 12:05:01</t>
  </si>
  <si>
    <t>27711722288</t>
  </si>
  <si>
    <t>13555955</t>
  </si>
  <si>
    <t>4e76c853-bf95-4a1c-9d8b-3c07882bd58f</t>
  </si>
  <si>
    <t>2026-03-05 12:04:52</t>
  </si>
  <si>
    <t>27715784650</t>
  </si>
  <si>
    <t>13560159</t>
  </si>
  <si>
    <t>201e440d-214d-4495-82d5-5550089510cd</t>
  </si>
  <si>
    <t>2026-03-05 12:04:06</t>
  </si>
  <si>
    <t>27723245678</t>
  </si>
  <si>
    <t>13562459</t>
  </si>
  <si>
    <t>d8389d35-79d8-4376-877e-b37e6a7dde59</t>
  </si>
  <si>
    <t>27763532850</t>
  </si>
  <si>
    <t>13558793</t>
  </si>
  <si>
    <t>a9f9e420-4067-4841-9737-d33b3657f873</t>
  </si>
  <si>
    <t>2026-03-05 12:04:04</t>
  </si>
  <si>
    <t>27798326870</t>
  </si>
  <si>
    <t>13560350</t>
  </si>
  <si>
    <t>b768fc1a-8987-4092-aba5-4184267a7071</t>
  </si>
  <si>
    <t>27727748179</t>
  </si>
  <si>
    <t>13564483</t>
  </si>
  <si>
    <t>0868d588-a0d3-4cf5-8409-b403a21ecd1f</t>
  </si>
  <si>
    <t>2026-03-05 12:04:02</t>
  </si>
  <si>
    <t>27721093389</t>
  </si>
  <si>
    <t>13559004</t>
  </si>
  <si>
    <t>d59b0f6f-0113-4286-8686-ab414fee337f</t>
  </si>
  <si>
    <t>2026-03-05 12:04:00</t>
  </si>
  <si>
    <t>27820486353</t>
  </si>
  <si>
    <t>13563697</t>
  </si>
  <si>
    <t>c016aa14-19ac-4dde-9f50-232c3bdcd24d</t>
  </si>
  <si>
    <t>2026-03-05 12:03:12</t>
  </si>
  <si>
    <t>27606073805</t>
  </si>
  <si>
    <t>13563636</t>
  </si>
  <si>
    <t>47eaf9c0-8e59-4452-9adf-8bd659f4b833</t>
  </si>
  <si>
    <t>2026-03-05 12:03:09</t>
  </si>
  <si>
    <t>27725941417</t>
  </si>
  <si>
    <t>13563761</t>
  </si>
  <si>
    <t>ac822e23-0a78-4aad-994b-bfde45d6b7d4</t>
  </si>
  <si>
    <t>2026-03-05 12:03:05</t>
  </si>
  <si>
    <t>27729908565</t>
  </si>
  <si>
    <t>13559217</t>
  </si>
  <si>
    <t>fb8e0f0c-e60d-483c-b2cc-3eba0b526964</t>
  </si>
  <si>
    <t>2026-03-05 12:03:04</t>
  </si>
  <si>
    <t>27824288835</t>
  </si>
  <si>
    <t>13560570</t>
  </si>
  <si>
    <t>835bcf10-7386-4f5b-a7ba-8f038653fb2d</t>
  </si>
  <si>
    <t>27761979434</t>
  </si>
  <si>
    <t>13564680</t>
  </si>
  <si>
    <t>0e3a9d27-bd32-4b01-87a7-66b1e09202a6</t>
  </si>
  <si>
    <t>27769031177</t>
  </si>
  <si>
    <t>13563319</t>
  </si>
  <si>
    <t>f1a37a15-c85e-4ce0-bfcb-0ab7a8f81f84</t>
  </si>
  <si>
    <t>2026-03-05 12:02:19</t>
  </si>
  <si>
    <t>27713270775</t>
  </si>
  <si>
    <t>13561336</t>
  </si>
  <si>
    <t>21ef00b4-dcb7-4ff5-94f3-553adffc43a2</t>
  </si>
  <si>
    <t>2026-03-05 12:02:15</t>
  </si>
  <si>
    <t>27606133810</t>
  </si>
  <si>
    <t>13561359</t>
  </si>
  <si>
    <t>8b816351-732e-4da2-8b83-15bb96e59ae0</t>
  </si>
  <si>
    <t>2026-03-05 12:02:10</t>
  </si>
  <si>
    <t>27725392786</t>
  </si>
  <si>
    <t>13556114</t>
  </si>
  <si>
    <t>89d51a60-1bc4-42f5-8a90-bd7418aeff2c</t>
  </si>
  <si>
    <t>2026-03-05 12:02:09</t>
  </si>
  <si>
    <t>27720823689</t>
  </si>
  <si>
    <t>13564605</t>
  </si>
  <si>
    <t>795528b1-f714-44e6-aa80-017bcaaa7041</t>
  </si>
  <si>
    <t>27792279676</t>
  </si>
  <si>
    <t>13562251</t>
  </si>
  <si>
    <t>1d1d6fd7-7575-430f-83ea-4e67fc8f4ea9</t>
  </si>
  <si>
    <t>2026-03-05 12:01:24</t>
  </si>
  <si>
    <t>27606575469</t>
  </si>
  <si>
    <t>13557226</t>
  </si>
  <si>
    <t>8033b96b-1ff6-4ddb-bce0-2958a76b17c7</t>
  </si>
  <si>
    <t>2026-03-05 12:01:19</t>
  </si>
  <si>
    <t>27761462409</t>
  </si>
  <si>
    <t>13563579</t>
  </si>
  <si>
    <t>5d6f2a28-ec57-44fd-884c-476da552e629</t>
  </si>
  <si>
    <t>2026-03-05 12:01:18</t>
  </si>
  <si>
    <t>27674277688</t>
  </si>
  <si>
    <t>13562785</t>
  </si>
  <si>
    <t>2a8ced8a-1d84-4536-889f-4d4089518c4a</t>
  </si>
  <si>
    <t>2026-03-05 12:00:02</t>
  </si>
  <si>
    <t>27764295238</t>
  </si>
  <si>
    <t>13564758</t>
  </si>
  <si>
    <t>f7486a47-6970-4010-8a82-bd9e06ac54e7</t>
  </si>
  <si>
    <t>2026-03-05 12:00:01</t>
  </si>
  <si>
    <t>27606945889</t>
  </si>
  <si>
    <t>13555659</t>
  </si>
  <si>
    <t>ebcdeb3c-807d-4d00-a83f-1c53be0e78ca</t>
  </si>
  <si>
    <t>2026-03-05 11:59:56</t>
  </si>
  <si>
    <t>27712620506</t>
  </si>
  <si>
    <t>13555634</t>
  </si>
  <si>
    <t>9fa417af-1aea-41e0-89e7-51ae6e6132a0</t>
  </si>
  <si>
    <t>27712332502</t>
  </si>
  <si>
    <t>13555652</t>
  </si>
  <si>
    <t>5d8871b2-875e-4150-8dbb-35c1cb00e496</t>
  </si>
  <si>
    <t>27712581279</t>
  </si>
  <si>
    <t>13562877</t>
  </si>
  <si>
    <t>b0b7e3ff-3f6b-4d1d-82e9-87a4ebadea5c</t>
  </si>
  <si>
    <t>2026-03-05 11:59:53</t>
  </si>
  <si>
    <t>27661158795</t>
  </si>
  <si>
    <t>13561199</t>
  </si>
  <si>
    <t>a963b632-9810-499f-a5c1-78b83a10a2f8</t>
  </si>
  <si>
    <t>2026-03-05 11:59:52</t>
  </si>
  <si>
    <t>27649109260</t>
  </si>
  <si>
    <t>13564725</t>
  </si>
  <si>
    <t>7b5c9ab2-552b-41a9-8081-e434e6a50559</t>
  </si>
  <si>
    <t>2026-03-05 11:59:01</t>
  </si>
  <si>
    <t>27606411004</t>
  </si>
  <si>
    <t>13564311</t>
  </si>
  <si>
    <t>4e14fa82-0d28-48f9-b93c-f2920ff7e8e0</t>
  </si>
  <si>
    <t>2026-03-05 11:58:54</t>
  </si>
  <si>
    <t>27763898060</t>
  </si>
  <si>
    <t>13560455</t>
  </si>
  <si>
    <t>3c1ceb2e-d52c-4cf5-8186-cb55c9521a8d</t>
  </si>
  <si>
    <t>2026-03-05 11:58:49</t>
  </si>
  <si>
    <t>27761369821</t>
  </si>
  <si>
    <t>13557537</t>
  </si>
  <si>
    <t>402d88b5-33c9-4923-8009-6762a804f384</t>
  </si>
  <si>
    <t>2026-03-05 11:58:09</t>
  </si>
  <si>
    <t>27764891393</t>
  </si>
  <si>
    <t>13557808</t>
  </si>
  <si>
    <t>d2209e23-e87a-4cfb-bd7a-d06e2400bf7e</t>
  </si>
  <si>
    <t>27767588966</t>
  </si>
  <si>
    <t>13557344</t>
  </si>
  <si>
    <t>c4cdaf58-b47f-47a2-a3ba-38727e7cca7d</t>
  </si>
  <si>
    <t>2026-03-05 11:58:05</t>
  </si>
  <si>
    <t>27762797066</t>
  </si>
  <si>
    <t>13557510</t>
  </si>
  <si>
    <t>e9208cf5-5e6a-4c32-b1f7-a570080fb3b9</t>
  </si>
  <si>
    <t>27764619599</t>
  </si>
  <si>
    <t>13557697</t>
  </si>
  <si>
    <t>c6727c32-7c0d-4cf0-a6bf-e28132861242</t>
  </si>
  <si>
    <t>2026-03-05 11:57:28</t>
  </si>
  <si>
    <t>27766426879</t>
  </si>
  <si>
    <t>13557447</t>
  </si>
  <si>
    <t>f82641f9-cbce-4796-8a33-3a8e88ec1f7f</t>
  </si>
  <si>
    <t>2026-03-05 11:56:46</t>
  </si>
  <si>
    <t>27763846687</t>
  </si>
  <si>
    <t>13557698</t>
  </si>
  <si>
    <t>3aa8e2fc-fefa-4f98-8556-8304d41f3cef</t>
  </si>
  <si>
    <t>27766437565</t>
  </si>
  <si>
    <t>13561398</t>
  </si>
  <si>
    <t>3859f839-114f-4faf-b79e-4f6755ff1803</t>
  </si>
  <si>
    <t>2026-03-05 11:56:40</t>
  </si>
  <si>
    <t>27663744804</t>
  </si>
  <si>
    <t>13557281</t>
  </si>
  <si>
    <t>463500e2-7b9d-442b-8670-dc690871c5dc</t>
  </si>
  <si>
    <t>2026-03-05 11:56:38</t>
  </si>
  <si>
    <t>27762038080</t>
  </si>
  <si>
    <t>13557351</t>
  </si>
  <si>
    <t>c4c5070f-e736-4ee1-b12a-3f39897a9c4a</t>
  </si>
  <si>
    <t>27762839162</t>
  </si>
  <si>
    <t>13556468</t>
  </si>
  <si>
    <t>abb08cec-333d-4692-920e-0f7033360c6a</t>
  </si>
  <si>
    <t>27724156057</t>
  </si>
  <si>
    <t>13557807</t>
  </si>
  <si>
    <t>44603b26-651e-4678-aa98-0cca73e119b4</t>
  </si>
  <si>
    <t>27767578768</t>
  </si>
  <si>
    <t>13562402</t>
  </si>
  <si>
    <t>29eb880d-c092-4192-9c58-68c4d9884a1b</t>
  </si>
  <si>
    <t>27660614796</t>
  </si>
  <si>
    <t>13555158</t>
  </si>
  <si>
    <t>81adaff2-c2fe-4448-ac69-963f16903b43</t>
  </si>
  <si>
    <t>2026-03-05 11:56:33</t>
  </si>
  <si>
    <t>27648887183</t>
  </si>
  <si>
    <t>13557774</t>
  </si>
  <si>
    <t>03e22e58-1ca4-482c-847e-5577f192c442</t>
  </si>
  <si>
    <t>2026-03-05 11:55:51</t>
  </si>
  <si>
    <t>27767263536</t>
  </si>
  <si>
    <t>13557374</t>
  </si>
  <si>
    <t>0956747e-4dd8-475d-90e0-35ce6c6e5f90</t>
  </si>
  <si>
    <t>2026-03-05 11:54:57</t>
  </si>
  <si>
    <t>27763005943</t>
  </si>
  <si>
    <t>13557415</t>
  </si>
  <si>
    <t>3bc627c1-9166-4d13-bfbe-ef65d1720eb5</t>
  </si>
  <si>
    <t>2026-03-05 11:54:48</t>
  </si>
  <si>
    <t>27763347753</t>
  </si>
  <si>
    <t>13557886</t>
  </si>
  <si>
    <t>b93f2999-f902-4ebd-9bd8-0f47e8543d79</t>
  </si>
  <si>
    <t>27768281720</t>
  </si>
  <si>
    <t>13558167</t>
  </si>
  <si>
    <t>6df99a89-4e35-4c99-ac04-a6eb55081506</t>
  </si>
  <si>
    <t>2026-03-05 11:54:04</t>
  </si>
  <si>
    <t>27790878081</t>
  </si>
  <si>
    <t>13558181</t>
  </si>
  <si>
    <t>87feac84-522f-45fc-a721-4e885cf41f45</t>
  </si>
  <si>
    <t>2026-03-05 11:53:55</t>
  </si>
  <si>
    <t>27791045019</t>
  </si>
  <si>
    <t>13561676</t>
  </si>
  <si>
    <t>f96e93ff-225e-4f21-8838-75d2297e7a27</t>
  </si>
  <si>
    <t>2026-03-05 11:53:53</t>
  </si>
  <si>
    <t>27715690655</t>
  </si>
  <si>
    <t>13558190</t>
  </si>
  <si>
    <t>de7ef6f6-e61f-4ab7-97c9-11a443229466</t>
  </si>
  <si>
    <t>2026-03-05 11:53:47</t>
  </si>
  <si>
    <t>27791148385</t>
  </si>
  <si>
    <t>13559973</t>
  </si>
  <si>
    <t>17f053cf-8aa9-4988-bbe4-ed4c22c4ed50</t>
  </si>
  <si>
    <t>2026-03-05 11:53:00</t>
  </si>
  <si>
    <t>27764861851</t>
  </si>
  <si>
    <t>13562597</t>
  </si>
  <si>
    <t>044c8e4b-94ef-49e4-aafd-e5ad31113414</t>
  </si>
  <si>
    <t>2026-03-05 11:52:44</t>
  </si>
  <si>
    <t>27712018528</t>
  </si>
  <si>
    <t>13558012</t>
  </si>
  <si>
    <t>7474ca06-527f-45dc-b29b-bfee398d6b4d</t>
  </si>
  <si>
    <t>2026-03-05 11:52:34</t>
  </si>
  <si>
    <t>27769600260</t>
  </si>
  <si>
    <t>13563486</t>
  </si>
  <si>
    <t>8c22bd7d-7004-4d5c-ba5c-75d654b269c0</t>
  </si>
  <si>
    <t>2026-03-05 11:52:23</t>
  </si>
  <si>
    <t>27714478398</t>
  </si>
  <si>
    <t>13561431</t>
  </si>
  <si>
    <t>a1bba9d2-bcb2-4b95-94b7-e32e0d0e43aa</t>
  </si>
  <si>
    <t>2026-03-05 11:51:55</t>
  </si>
  <si>
    <t>27713368567</t>
  </si>
  <si>
    <t>13563986</t>
  </si>
  <si>
    <t>e22b3896-a881-41b1-987f-cc16d6893d97</t>
  </si>
  <si>
    <t>27646259765</t>
  </si>
  <si>
    <t>13556572</t>
  </si>
  <si>
    <t>30e6e842-881f-4669-b875-94f4278a1278</t>
  </si>
  <si>
    <t>2026-03-05 11:51:06</t>
  </si>
  <si>
    <t>27725160267</t>
  </si>
  <si>
    <t>13562073</t>
  </si>
  <si>
    <t>30e6baa7-6012-426f-b6e8-0be03346e54e</t>
  </si>
  <si>
    <t>27712439821</t>
  </si>
  <si>
    <t>13562411</t>
  </si>
  <si>
    <t>d6548c36-c983-4d08-88e7-c817c48315a8</t>
  </si>
  <si>
    <t>2026-03-05 11:51:05</t>
  </si>
  <si>
    <t>27764845275</t>
  </si>
  <si>
    <t>13556519</t>
  </si>
  <si>
    <t>beb5c03c-a77d-419f-8725-fc5bd0c67540</t>
  </si>
  <si>
    <t>2026-03-05 11:50:58</t>
  </si>
  <si>
    <t>27724666530</t>
  </si>
  <si>
    <t>13556502</t>
  </si>
  <si>
    <t>59aeccaa-afe8-4b5b-8392-bfb872d6dc13</t>
  </si>
  <si>
    <t>2026-03-05 11:50:56</t>
  </si>
  <si>
    <t>27724510047</t>
  </si>
  <si>
    <t>13556495</t>
  </si>
  <si>
    <t>566a43f5-d127-435f-83af-97688516ba5a</t>
  </si>
  <si>
    <t>2026-03-05 11:50:55</t>
  </si>
  <si>
    <t>27724449116</t>
  </si>
  <si>
    <t>13559924</t>
  </si>
  <si>
    <t>63390e36-9b25-4651-bf64-b09382719ecb</t>
  </si>
  <si>
    <t>2026-03-05 11:50:25</t>
  </si>
  <si>
    <t>27763409090</t>
  </si>
  <si>
    <t>13559243</t>
  </si>
  <si>
    <t>3a2219ea-6ed0-48ee-b6dc-3c7b209f2cdd</t>
  </si>
  <si>
    <t>2026-03-05 11:50:02</t>
  </si>
  <si>
    <t>27824680639</t>
  </si>
  <si>
    <t>13563725</t>
  </si>
  <si>
    <t>91c87529-bfed-404b-ab19-8e73e5538343</t>
  </si>
  <si>
    <t>2026-03-05 11:49:43</t>
  </si>
  <si>
    <t>27606003392</t>
  </si>
  <si>
    <t>13558010</t>
  </si>
  <si>
    <t>dcc02c08-27f5-4108-b7d4-c9bc07caa279</t>
  </si>
  <si>
    <t>2026-03-05 11:49:40</t>
  </si>
  <si>
    <t>27769592585</t>
  </si>
  <si>
    <t>13557977</t>
  </si>
  <si>
    <t>d22226cb-fc52-4d07-9a9a-098660760f0b</t>
  </si>
  <si>
    <t>2026-03-05 11:49:38</t>
  </si>
  <si>
    <t>27769251051</t>
  </si>
  <si>
    <t>13557988</t>
  </si>
  <si>
    <t>5e5f1f99-ec48-4f85-b2bd-29a407247785</t>
  </si>
  <si>
    <t>27769416283</t>
  </si>
  <si>
    <t>13560049</t>
  </si>
  <si>
    <t>c7a21949-71ec-4a9b-93f2-e0e49d61e7b9</t>
  </si>
  <si>
    <t>2026-03-05 11:48:40</t>
  </si>
  <si>
    <t>27721162633</t>
  </si>
  <si>
    <t>13560040</t>
  </si>
  <si>
    <t>a42e26f3-f2c2-4d8a-929e-1ca9a77b3ce1</t>
  </si>
  <si>
    <t>MULTI</t>
  </si>
  <si>
    <t>Multiple Calls</t>
  </si>
  <si>
    <t>2026-03-05 11:48:39</t>
  </si>
  <si>
    <t>27674482387</t>
  </si>
  <si>
    <t>13563899</t>
  </si>
  <si>
    <t>473f2c09-f8ae-4d15-8c0b-139bb3254c8a</t>
  </si>
  <si>
    <t>2026-03-05 11:48:28</t>
  </si>
  <si>
    <t>27736086494</t>
  </si>
  <si>
    <t>13562444</t>
  </si>
  <si>
    <t>c33d104b-f695-4e8a-b8b9-c6600ab5a49e</t>
  </si>
  <si>
    <t>2026-03-05 11:47:47</t>
  </si>
  <si>
    <t>27725520437</t>
  </si>
  <si>
    <t>13562434</t>
  </si>
  <si>
    <t>235710cf-8480-4e84-8936-e5dd652f4bf8</t>
  </si>
  <si>
    <t>2026-03-05 11:47:44</t>
  </si>
  <si>
    <t>27609147037</t>
  </si>
  <si>
    <t>13562470</t>
  </si>
  <si>
    <t>64da0937-0cd3-4a78-acdd-1ab443cd1b2d</t>
  </si>
  <si>
    <t>2026-03-05 11:47:01</t>
  </si>
  <si>
    <t>27764819610</t>
  </si>
  <si>
    <t>13562552</t>
  </si>
  <si>
    <t>d62d0bf8-d97b-4bfb-b0c9-2a158a4aa125</t>
  </si>
  <si>
    <t>2026-03-05 11:46:56</t>
  </si>
  <si>
    <t>27712953944</t>
  </si>
  <si>
    <t>13562670</t>
  </si>
  <si>
    <t>63de3928-d940-4245-b3dd-d3553699e5c6</t>
  </si>
  <si>
    <t>2026-03-05 11:46:47</t>
  </si>
  <si>
    <t>27724223089</t>
  </si>
  <si>
    <t>13562680</t>
  </si>
  <si>
    <t>f5f8484b-3b6f-48b6-b9f8-0681c1d97a16</t>
  </si>
  <si>
    <t>2026-03-05 11:46:44</t>
  </si>
  <si>
    <t>27728855352</t>
  </si>
  <si>
    <t>13563878</t>
  </si>
  <si>
    <t>07f1aebf-384f-4070-9b60-3e3631b8506c</t>
  </si>
  <si>
    <t>2026-03-05 11:45:53</t>
  </si>
  <si>
    <t>27637288200</t>
  </si>
  <si>
    <t>13563880</t>
  </si>
  <si>
    <t>ca229e56-b8aa-4c17-a7a9-5e244d3059c2</t>
  </si>
  <si>
    <t>27728343929</t>
  </si>
  <si>
    <t>13563905</t>
  </si>
  <si>
    <t>1d09f7b4-dea2-42a1-8622-64f4d2054e35</t>
  </si>
  <si>
    <t>2026-03-05 11:45:52</t>
  </si>
  <si>
    <t>27711136741</t>
  </si>
  <si>
    <t>13563937</t>
  </si>
  <si>
    <t>ab115299-6198-4383-b643-276d17c0721b</t>
  </si>
  <si>
    <t>2026-03-05 11:45:49</t>
  </si>
  <si>
    <t>27715879418</t>
  </si>
  <si>
    <t>13562871</t>
  </si>
  <si>
    <t>1d59fde1-f742-427e-90e4-a9b2c7c40bed</t>
  </si>
  <si>
    <t>2026-03-05 11:45:03</t>
  </si>
  <si>
    <t>27722679962</t>
  </si>
  <si>
    <t>13562879</t>
  </si>
  <si>
    <t>8c542de9-ed53-406f-abfe-2b41338eb665</t>
  </si>
  <si>
    <t>2026-03-05 11:45:02</t>
  </si>
  <si>
    <t>27765999739</t>
  </si>
  <si>
    <t>13563561</t>
  </si>
  <si>
    <t>c5677c58-a9bb-4782-9ab5-15b406904a7d</t>
  </si>
  <si>
    <t>2026-03-05 11:44:45</t>
  </si>
  <si>
    <t>27665898262</t>
  </si>
  <si>
    <t>13563564</t>
  </si>
  <si>
    <t>cfce9539-0fc8-4ae7-8225-986dd693d547</t>
  </si>
  <si>
    <t>27769088864</t>
  </si>
  <si>
    <t>13563548</t>
  </si>
  <si>
    <t>b3c9e2ce-7c31-44b5-a679-582d23924b8b</t>
  </si>
  <si>
    <t>27722367025</t>
  </si>
  <si>
    <t>13563581</t>
  </si>
  <si>
    <t>f15289d6-4289-4480-b9cf-ae25d6993182</t>
  </si>
  <si>
    <t>2026-03-05 11:44:43</t>
  </si>
  <si>
    <t>27715297425</t>
  </si>
  <si>
    <t>13563590</t>
  </si>
  <si>
    <t>ad5eda8d-b4a4-41f5-9e4c-b804e21c8f25</t>
  </si>
  <si>
    <t>2026-03-05 11:44:03</t>
  </si>
  <si>
    <t>27765237947</t>
  </si>
  <si>
    <t>13563836</t>
  </si>
  <si>
    <t>5f9971a7-0668-4eba-9bb3-e6c3c0598b76</t>
  </si>
  <si>
    <t>2026-03-05 11:43:45</t>
  </si>
  <si>
    <t>27728020218</t>
  </si>
  <si>
    <t>13564047</t>
  </si>
  <si>
    <t>86e41939-5dc4-4db9-9c89-976300e2259e</t>
  </si>
  <si>
    <t>2026-03-05 11:43:44</t>
  </si>
  <si>
    <t>27607261838</t>
  </si>
  <si>
    <t>13564176</t>
  </si>
  <si>
    <t>41ddfb55-d476-4f9f-a033-1b2f9029258f</t>
  </si>
  <si>
    <t>2026-03-05 11:43:43</t>
  </si>
  <si>
    <t>27712978655</t>
  </si>
  <si>
    <t>13564187</t>
  </si>
  <si>
    <t>56d4c602-aaef-483d-be7d-28248175bce9</t>
  </si>
  <si>
    <t>2026-03-05 11:43:36</t>
  </si>
  <si>
    <t>27723962587</t>
  </si>
  <si>
    <t>13564191</t>
  </si>
  <si>
    <t>38c19f06-5fee-4389-8383-f8a368a442a9</t>
  </si>
  <si>
    <t>2026-03-05 11:43:35</t>
  </si>
  <si>
    <t>27728101458</t>
  </si>
  <si>
    <t>13563017</t>
  </si>
  <si>
    <t>203a3646-1278-422a-9b4b-995efffe75ab</t>
  </si>
  <si>
    <t>2026-03-05 11:43:07</t>
  </si>
  <si>
    <t>27714666961</t>
  </si>
  <si>
    <t>13564324</t>
  </si>
  <si>
    <t>0915e782-57ad-4c48-8bed-18ba02e6e8a7</t>
  </si>
  <si>
    <t>2026-03-05 11:42:45</t>
  </si>
  <si>
    <t>27607447562</t>
  </si>
  <si>
    <t>13564335</t>
  </si>
  <si>
    <t>4ba1ee1d-5ec4-4a8a-86ef-54eb41bb77d6</t>
  </si>
  <si>
    <t>2026-03-05 11:42:44</t>
  </si>
  <si>
    <t>27647451717</t>
  </si>
  <si>
    <t>13557204</t>
  </si>
  <si>
    <t>0a9a4985-773b-4391-86af-2f1335360dd8</t>
  </si>
  <si>
    <t>2026-03-05 11:42:21</t>
  </si>
  <si>
    <t>27761226872</t>
  </si>
  <si>
    <t>13557378</t>
  </si>
  <si>
    <t>eef79372-bc35-4d30-9974-366cc0cdf465</t>
  </si>
  <si>
    <t>2026-03-05 11:42:17</t>
  </si>
  <si>
    <t>27763040432</t>
  </si>
  <si>
    <t>13556982</t>
  </si>
  <si>
    <t>38a28979-e168-40d6-8874-a360bb6f1d97</t>
  </si>
  <si>
    <t>2026-03-05 11:42:11</t>
  </si>
  <si>
    <t>27729196960</t>
  </si>
  <si>
    <t>13563405</t>
  </si>
  <si>
    <t>55b55a1a-d469-413a-af38-9dc0c727f22e</t>
  </si>
  <si>
    <t>2026-03-05 11:41:33</t>
  </si>
  <si>
    <t>27790579445</t>
  </si>
  <si>
    <t>13563358</t>
  </si>
  <si>
    <t>67469c1a-9cc5-4935-82a6-0f3d4ade504e</t>
  </si>
  <si>
    <t>27726109775</t>
  </si>
  <si>
    <t>13564562</t>
  </si>
  <si>
    <t>d2ff4acb-476b-47b6-866b-6ff388755639</t>
  </si>
  <si>
    <t>2026-03-05 11:41:28</t>
  </si>
  <si>
    <t>27723612160</t>
  </si>
  <si>
    <t>13556037</t>
  </si>
  <si>
    <t>23b53f12-87b9-4b25-8844-de7e3f67acdc</t>
  </si>
  <si>
    <t>2026-03-05 11:41:00</t>
  </si>
  <si>
    <t>27720102573</t>
  </si>
  <si>
    <t>13556942</t>
  </si>
  <si>
    <t>3813b9c3-7f34-4d88-8010-b7650fcddfff</t>
  </si>
  <si>
    <t>27728875334</t>
  </si>
  <si>
    <t>13560474</t>
  </si>
  <si>
    <t>857d4ca9-5a06-49b2-ae52-53b43d0005b5</t>
  </si>
  <si>
    <t>2026-03-05 11:40:59</t>
  </si>
  <si>
    <t>27792785633</t>
  </si>
  <si>
    <t>13560919</t>
  </si>
  <si>
    <t>609a0e96-c763-4f28-89ec-31072278a45a</t>
  </si>
  <si>
    <t>2026-03-05 11:40:51</t>
  </si>
  <si>
    <t>27728165674</t>
  </si>
  <si>
    <t>13560944</t>
  </si>
  <si>
    <t>eac44eaf-746a-4d2a-be4b-b5e62b416134</t>
  </si>
  <si>
    <t>2026-03-05 11:40:50</t>
  </si>
  <si>
    <t>27721080972</t>
  </si>
  <si>
    <t>13558394</t>
  </si>
  <si>
    <t>702f48c5-9e54-42c9-a263-f851ed9c416d</t>
  </si>
  <si>
    <t>2026-03-05 11:40:02</t>
  </si>
  <si>
    <t>27793494888</t>
  </si>
  <si>
    <t>13558378</t>
  </si>
  <si>
    <t>36bff459-fca1-4b17-aedc-f7f08a7c4e33</t>
  </si>
  <si>
    <t>2026-03-05 11:39:59</t>
  </si>
  <si>
    <t>27793311743</t>
  </si>
  <si>
    <t>13558357</t>
  </si>
  <si>
    <t>89fc79d3-e982-4dbc-9985-bcc524cc0a50</t>
  </si>
  <si>
    <t>2026-03-05 11:39:58</t>
  </si>
  <si>
    <t>27793040140</t>
  </si>
  <si>
    <t>13558298</t>
  </si>
  <si>
    <t>a782df5a-1348-47ed-a2b6-de2f2bca5920</t>
  </si>
  <si>
    <t>2026-03-05 11:39:52</t>
  </si>
  <si>
    <t>27792469447</t>
  </si>
  <si>
    <t>13555970</t>
  </si>
  <si>
    <t>028cb03a-adf3-456d-a090-431682057889</t>
  </si>
  <si>
    <t>2026-03-05 11:39:17</t>
  </si>
  <si>
    <t>27715880722</t>
  </si>
  <si>
    <t>13555954</t>
  </si>
  <si>
    <t>2da82316-3fb2-43f1-84a7-dc140b19b455</t>
  </si>
  <si>
    <t>2026-03-05 11:39:13</t>
  </si>
  <si>
    <t>27715784299</t>
  </si>
  <si>
    <t>13555960</t>
  </si>
  <si>
    <t>537bae5b-b99e-476f-82a2-b93b958376bf</t>
  </si>
  <si>
    <t>27715834369</t>
  </si>
  <si>
    <t>13557644</t>
  </si>
  <si>
    <t>0d37e5e3-69a4-4a8f-adf1-ebe568aed09e</t>
  </si>
  <si>
    <t>2026-03-05 11:39:11</t>
  </si>
  <si>
    <t>27765950599</t>
  </si>
  <si>
    <t>13557656</t>
  </si>
  <si>
    <t>4a1db874-bb68-4c61-829e-37b7cf17871f</t>
  </si>
  <si>
    <t>27766151044</t>
  </si>
  <si>
    <t>13557595</t>
  </si>
  <si>
    <t>fd547b91-91b2-4344-a062-2eb6f5d2b47e</t>
  </si>
  <si>
    <t>2026-03-05 11:39:02</t>
  </si>
  <si>
    <t>27765491280</t>
  </si>
  <si>
    <t>13557569</t>
  </si>
  <si>
    <t>47d82e56-6330-46f3-bfb6-9dfae52e42a1</t>
  </si>
  <si>
    <t>2026-03-05 11:38:31</t>
  </si>
  <si>
    <t>27765192647</t>
  </si>
  <si>
    <t>13564256</t>
  </si>
  <si>
    <t>2c42c544-2492-457e-94b2-7c6dfbeb38ff</t>
  </si>
  <si>
    <t>2026-03-05 11:38:29</t>
  </si>
  <si>
    <t>27728924695</t>
  </si>
  <si>
    <t>13555932</t>
  </si>
  <si>
    <t>b84905c9-63af-4efa-9f41-d0f540ff3559</t>
  </si>
  <si>
    <t>2026-03-05 11:38:20</t>
  </si>
  <si>
    <t>27715590942</t>
  </si>
  <si>
    <t>13555916</t>
  </si>
  <si>
    <t>e7ffb372-b12c-497e-8387-1c52968282c4</t>
  </si>
  <si>
    <t>2026-03-05 11:38:18</t>
  </si>
  <si>
    <t>27715500858</t>
  </si>
  <si>
    <t>13555812</t>
  </si>
  <si>
    <t>6c71bfa5-08d8-4a23-abde-f1150a8aa0d3</t>
  </si>
  <si>
    <t>2026-03-05 11:38:08</t>
  </si>
  <si>
    <t>27714340184</t>
  </si>
  <si>
    <t>13562925</t>
  </si>
  <si>
    <t>9c390447-3b1e-4f90-8032-fb5c65f993db</t>
  </si>
  <si>
    <t>2026-03-05 11:37:29</t>
  </si>
  <si>
    <t>27729123324</t>
  </si>
  <si>
    <t>13563138</t>
  </si>
  <si>
    <t>9370518e-7084-4783-8f7b-d3789831c386</t>
  </si>
  <si>
    <t>2026-03-05 11:37:26</t>
  </si>
  <si>
    <t>27713577802</t>
  </si>
  <si>
    <t>13562973</t>
  </si>
  <si>
    <t>d4c95bc5-aa78-4417-acbb-cee0b4e0abc4</t>
  </si>
  <si>
    <t>2026-03-05 11:37:25</t>
  </si>
  <si>
    <t>27762185560</t>
  </si>
  <si>
    <t>13557142</t>
  </si>
  <si>
    <t>909980ca-b532-4bb3-9375-0a25aaf36b69</t>
  </si>
  <si>
    <t>2026-03-05 11:37:14</t>
  </si>
  <si>
    <t>27760588191</t>
  </si>
  <si>
    <t>13557015</t>
  </si>
  <si>
    <t>29c6c99a-8a5c-4fd7-9561-881cd97397ab</t>
  </si>
  <si>
    <t>2026-03-05 11:37:11</t>
  </si>
  <si>
    <t>27729561754</t>
  </si>
  <si>
    <t>13562984</t>
  </si>
  <si>
    <t>39faccb4-4779-4d49-88dd-560de5500a2d</t>
  </si>
  <si>
    <t>2026-03-05 11:36:31</t>
  </si>
  <si>
    <t>27721797372</t>
  </si>
  <si>
    <t>13562997</t>
  </si>
  <si>
    <t>571f0bd2-dc7c-4fbd-a835-075fbce953ef</t>
  </si>
  <si>
    <t>2026-03-05 11:36:30</t>
  </si>
  <si>
    <t>27663456921</t>
  </si>
  <si>
    <t>13563123</t>
  </si>
  <si>
    <t>8bfb5919-ab37-4d85-92da-80b4c610a153</t>
  </si>
  <si>
    <t>2026-03-05 11:36:15</t>
  </si>
  <si>
    <t>27665190470</t>
  </si>
  <si>
    <t>13558886</t>
  </si>
  <si>
    <t>0e44e2da-db41-4a09-bd74-c5d507ee4b4f</t>
  </si>
  <si>
    <t>2026-03-05 11:35:37</t>
  </si>
  <si>
    <t>27799660621</t>
  </si>
  <si>
    <t>13563170</t>
  </si>
  <si>
    <t>1cc6799d-d38d-4ab3-b220-b00cdc072faa</t>
  </si>
  <si>
    <t>2026-03-05 11:35:34</t>
  </si>
  <si>
    <t>27606137996</t>
  </si>
  <si>
    <t>13559616</t>
  </si>
  <si>
    <t>8fb6c824-ff36-4872-a157-656e44407c15</t>
  </si>
  <si>
    <t>2026-03-05 11:35:32</t>
  </si>
  <si>
    <t>27829626732</t>
  </si>
  <si>
    <t>13563181</t>
  </si>
  <si>
    <t>caa135c3-7640-42d8-9291-5ee730f6a032</t>
  </si>
  <si>
    <t>27712328072</t>
  </si>
  <si>
    <t>13558274</t>
  </si>
  <si>
    <t>77c59e5a-17f5-49c5-8cfb-c2f5438a7e76</t>
  </si>
  <si>
    <t>2026-03-05 11:35:29</t>
  </si>
  <si>
    <t>27792143064</t>
  </si>
  <si>
    <t>13563142</t>
  </si>
  <si>
    <t>376ce16a-4263-4b43-90e9-ceebc1a15297</t>
  </si>
  <si>
    <t>2026-03-05 11:34:47</t>
  </si>
  <si>
    <t>27673992350</t>
  </si>
  <si>
    <t>13559527</t>
  </si>
  <si>
    <t>af9673e0-2d2c-4f19-b69c-07ef8fb646c3</t>
  </si>
  <si>
    <t>2026-03-05 11:34:08</t>
  </si>
  <si>
    <t>27827991964</t>
  </si>
  <si>
    <t>13559507</t>
  </si>
  <si>
    <t>1fb8cabd-10d5-4fa1-a30d-0a36d867c797</t>
  </si>
  <si>
    <t>2026-03-05 11:34:05</t>
  </si>
  <si>
    <t>27827715225</t>
  </si>
  <si>
    <t>13559513</t>
  </si>
  <si>
    <t>3690515b-295e-465a-bb8d-6f734545d768</t>
  </si>
  <si>
    <t>27827806173</t>
  </si>
  <si>
    <t>13559029</t>
  </si>
  <si>
    <t>95749632-fc53-4da6-bf0d-bd651e2350ec</t>
  </si>
  <si>
    <t>2026-03-05 11:33:54</t>
  </si>
  <si>
    <t>27820753640</t>
  </si>
  <si>
    <t>13564021</t>
  </si>
  <si>
    <t>a629fef9-53fb-4344-9553-66e77d8deb7b</t>
  </si>
  <si>
    <t>27725671544</t>
  </si>
  <si>
    <t>13561178</t>
  </si>
  <si>
    <t>ac1713a6-8d88-4abd-bb0e-762d5b6d70f8</t>
  </si>
  <si>
    <t>2026-03-05 11:33:32</t>
  </si>
  <si>
    <t>27723977564</t>
  </si>
  <si>
    <t>13558866</t>
  </si>
  <si>
    <t>7db6f9cc-62dc-4376-9ec6-190905449514</t>
  </si>
  <si>
    <t>2026-03-05 11:33:20</t>
  </si>
  <si>
    <t>27799480918</t>
  </si>
  <si>
    <t>13558845</t>
  </si>
  <si>
    <t>d03e8829-b4aa-4105-bc29-b59d1c21c73b</t>
  </si>
  <si>
    <t>2026-03-05 11:33:15</t>
  </si>
  <si>
    <t>27799186487</t>
  </si>
  <si>
    <t>13558817</t>
  </si>
  <si>
    <t>90286544-eccc-4faf-a004-450464f92de8</t>
  </si>
  <si>
    <t>2026-03-05 11:33:14</t>
  </si>
  <si>
    <t>27798661537</t>
  </si>
  <si>
    <t>13558784</t>
  </si>
  <si>
    <t>ab42ee2d-0a25-4a55-8a8d-ffb0e8939d2b</t>
  </si>
  <si>
    <t>2026-03-05 11:33:09</t>
  </si>
  <si>
    <t>27798167911</t>
  </si>
  <si>
    <t>13558772</t>
  </si>
  <si>
    <t>716a31c7-b253-445b-917a-10a29e8c27c8</t>
  </si>
  <si>
    <t>2026-03-05 11:33:08</t>
  </si>
  <si>
    <t>27798022097</t>
  </si>
  <si>
    <t>13558760</t>
  </si>
  <si>
    <t>575326b1-2ebd-4c80-b9b6-d407be7ee0fc</t>
  </si>
  <si>
    <t>2026-03-05 11:33:07</t>
  </si>
  <si>
    <t>27797888990</t>
  </si>
  <si>
    <t>13558722</t>
  </si>
  <si>
    <t>74382782-10e9-4508-8b06-fd37d44f79db</t>
  </si>
  <si>
    <t>2026-03-05 11:33:05</t>
  </si>
  <si>
    <t>27797354627</t>
  </si>
  <si>
    <t>13558733</t>
  </si>
  <si>
    <t>55ddcacc-5050-46f4-a7ec-5dbc0bce133b</t>
  </si>
  <si>
    <t>2026-03-05 11:33:02</t>
  </si>
  <si>
    <t>27797545667</t>
  </si>
  <si>
    <t>13558701</t>
  </si>
  <si>
    <t>ab10b41c-97a3-4a10-a4a7-8909172377e0</t>
  </si>
  <si>
    <t>2026-03-05 11:32:38</t>
  </si>
  <si>
    <t>27797094084</t>
  </si>
  <si>
    <t>13558538</t>
  </si>
  <si>
    <t>c4277634-59e8-4c66-99cf-c6d254a397c4</t>
  </si>
  <si>
    <t>2026-03-05 11:32:34</t>
  </si>
  <si>
    <t>27795161243</t>
  </si>
  <si>
    <t>13564346</t>
  </si>
  <si>
    <t>ed7a8ea7-5301-4ef0-8cd8-62d1b53ce812</t>
  </si>
  <si>
    <t>2026-03-05 11:32:24</t>
  </si>
  <si>
    <t>27723853871</t>
  </si>
  <si>
    <t>13558959</t>
  </si>
  <si>
    <t>81d7d65a-d160-492b-9ea7-e7ebea79a836</t>
  </si>
  <si>
    <t>2026-03-05 11:32:11</t>
  </si>
  <si>
    <t>27818470857</t>
  </si>
  <si>
    <t>13558961</t>
  </si>
  <si>
    <t>6d81ebab-a3b3-4c32-a1c2-fbe91ace96f4</t>
  </si>
  <si>
    <t>27818478561</t>
  </si>
  <si>
    <t>13558925</t>
  </si>
  <si>
    <t>fbde304e-5bab-43ff-8ceb-c6540db331ce</t>
  </si>
  <si>
    <t>2026-03-05 11:31:35</t>
  </si>
  <si>
    <t>27817481224</t>
  </si>
  <si>
    <t>13563214</t>
  </si>
  <si>
    <t>547312ca-e9ae-457a-ab21-bfa954bd0fe8</t>
  </si>
  <si>
    <t>2026-03-05 11:31:20</t>
  </si>
  <si>
    <t>27764511346</t>
  </si>
  <si>
    <t>13563237</t>
  </si>
  <si>
    <t>8b69ed7c-d8f3-4acf-b631-a62e358a6f26</t>
  </si>
  <si>
    <t>2026-03-05 11:31:19</t>
  </si>
  <si>
    <t>27725370579</t>
  </si>
  <si>
    <t>13563244</t>
  </si>
  <si>
    <t>35bb6bd9-a518-4b6c-8d58-594e6061f6cd</t>
  </si>
  <si>
    <t>2026-03-05 11:31:18</t>
  </si>
  <si>
    <t>27721443080</t>
  </si>
  <si>
    <t>13559170</t>
  </si>
  <si>
    <t>bbca15d9-691d-4a6b-94cd-785d78f81ad2</t>
  </si>
  <si>
    <t>2026-03-05 11:30:52</t>
  </si>
  <si>
    <t>27823823015</t>
  </si>
  <si>
    <t>13559140</t>
  </si>
  <si>
    <t>4124f237-a532-421f-b978-c23db34b7fde</t>
  </si>
  <si>
    <t>2026-03-05 11:30:44</t>
  </si>
  <si>
    <t>27823476117</t>
  </si>
  <si>
    <t>13559044</t>
  </si>
  <si>
    <t>bbf85f84-1656-43de-80ae-719ce2c0829c</t>
  </si>
  <si>
    <t>2026-03-05 11:30:33</t>
  </si>
  <si>
    <t>27820965912</t>
  </si>
  <si>
    <t>13560841</t>
  </si>
  <si>
    <t>e1ff9262-2ddb-4a84-94ff-c1d7fcd690b7</t>
  </si>
  <si>
    <t>2026-03-05 11:29:37</t>
  </si>
  <si>
    <t>27826152708</t>
  </si>
  <si>
    <t>13559109</t>
  </si>
  <si>
    <t>4b972c04-e375-4dce-ae0a-6ec1a85b8155</t>
  </si>
  <si>
    <t>2026-03-05 11:29:36</t>
  </si>
  <si>
    <t>27822918488</t>
  </si>
  <si>
    <t>13560846</t>
  </si>
  <si>
    <t>c0388723-f814-43f4-9b5e-85f42c551ed9</t>
  </si>
  <si>
    <t>27798230705</t>
  </si>
  <si>
    <t>13563278</t>
  </si>
  <si>
    <t>b2b57fb1-de66-4008-9e34-ed3492ed4fef</t>
  </si>
  <si>
    <t>2026-03-05 11:29:33</t>
  </si>
  <si>
    <t>27646330135</t>
  </si>
  <si>
    <t>13559098</t>
  </si>
  <si>
    <t>ecb47244-b478-4f0f-803f-300f472ef285</t>
  </si>
  <si>
    <t>2026-03-05 11:29:31</t>
  </si>
  <si>
    <t>27822676578</t>
  </si>
  <si>
    <t>13559102</t>
  </si>
  <si>
    <t>d18661c7-985f-41bf-afe8-e2caf1756748</t>
  </si>
  <si>
    <t>27822824407</t>
  </si>
  <si>
    <t>13563334</t>
  </si>
  <si>
    <t>6c309d14-8390-4fa6-91e3-9ca855a2d1b7</t>
  </si>
  <si>
    <t>27720497470</t>
  </si>
  <si>
    <t>13559066</t>
  </si>
  <si>
    <t>9dac8d2d-0be1-408c-b3e3-1586867ca85c</t>
  </si>
  <si>
    <t>2026-03-05 11:29:04</t>
  </si>
  <si>
    <t>27822250511</t>
  </si>
  <si>
    <t>13556585</t>
  </si>
  <si>
    <t>7e0b5830-37b5-4036-b094-f008ecd9f96f</t>
  </si>
  <si>
    <t>2026-03-05 11:28:17</t>
  </si>
  <si>
    <t>27725262692</t>
  </si>
  <si>
    <t>13559315</t>
  </si>
  <si>
    <t>2c6295be-183b-4ce3-bff6-251e9eb35566</t>
  </si>
  <si>
    <t>2026-03-05 11:28:12</t>
  </si>
  <si>
    <t>27825397837</t>
  </si>
  <si>
    <t>13556538</t>
  </si>
  <si>
    <t>e846b3ed-e9e1-4002-8d55-17418ad25ec0</t>
  </si>
  <si>
    <t>2026-03-05 11:28:02</t>
  </si>
  <si>
    <t>27724857142</t>
  </si>
  <si>
    <t>13559261</t>
  </si>
  <si>
    <t>3ec5177b-5ec9-4a65-aff3-cb8153cd3032</t>
  </si>
  <si>
    <t>27824895859</t>
  </si>
  <si>
    <t>13559503</t>
  </si>
  <si>
    <t>8af36a4e-0cfd-4361-812e-8348a19c889d</t>
  </si>
  <si>
    <t>2026-03-05 11:26:51</t>
  </si>
  <si>
    <t>27827640723</t>
  </si>
  <si>
    <t>13559433</t>
  </si>
  <si>
    <t>88217d33-60a9-4d9e-9fc1-8970710a9574</t>
  </si>
  <si>
    <t>2026-03-05 11:26:41</t>
  </si>
  <si>
    <t>27826846864</t>
  </si>
  <si>
    <t>13559410</t>
  </si>
  <si>
    <t>eed73ec7-db1d-4759-b72c-e4f882517d61</t>
  </si>
  <si>
    <t>2026-03-05 11:26:38</t>
  </si>
  <si>
    <t>27826628220</t>
  </si>
  <si>
    <t>13559386</t>
  </si>
  <si>
    <t>bd6d2f02-ac8f-4a3b-abf0-74e270ef95c2</t>
  </si>
  <si>
    <t>2026-03-05 11:26:32</t>
  </si>
  <si>
    <t>27826348966</t>
  </si>
  <si>
    <t>13559382</t>
  </si>
  <si>
    <t>b868feee-717f-4695-b156-8c1351aba04e</t>
  </si>
  <si>
    <t>2026-03-05 11:25:55</t>
  </si>
  <si>
    <t>27826295855</t>
  </si>
  <si>
    <t>13559373</t>
  </si>
  <si>
    <t>9c77131b-d809-4c78-8c0d-042a3a36226f</t>
  </si>
  <si>
    <t>2026-03-05 11:25:54</t>
  </si>
  <si>
    <t>27826255584</t>
  </si>
  <si>
    <t>13560358</t>
  </si>
  <si>
    <t>7bf0665b-f48d-4351-927b-7376309824b3</t>
  </si>
  <si>
    <t>2026-03-05 11:25:15</t>
  </si>
  <si>
    <t>27827079908</t>
  </si>
  <si>
    <t>13560109</t>
  </si>
  <si>
    <t>afdf2e8e-4e6f-43bf-a22a-8674062868f6</t>
  </si>
  <si>
    <t>2026-03-05 11:25:02</t>
  </si>
  <si>
    <t>27727390631</t>
  </si>
  <si>
    <t>13556762</t>
  </si>
  <si>
    <t>268530dd-7ce5-47c9-86d2-94a50b5f7e42</t>
  </si>
  <si>
    <t>2026-03-05 11:24:29</t>
  </si>
  <si>
    <t>27727250073</t>
  </si>
  <si>
    <t>13556157</t>
  </si>
  <si>
    <t>886ad265-2d5e-4fc0-8be3-9bbea0ed4260</t>
  </si>
  <si>
    <t>2026-03-05 11:24:23</t>
  </si>
  <si>
    <t>27721131684</t>
  </si>
  <si>
    <t>13556081</t>
  </si>
  <si>
    <t>23b74472-6c0a-4c40-a58e-aad6d911d317</t>
  </si>
  <si>
    <t>2026-03-05 11:24:17</t>
  </si>
  <si>
    <t>27720581460</t>
  </si>
  <si>
    <t>13560329</t>
  </si>
  <si>
    <t>d61c42bc-86fa-4b53-aea9-1cbbba297991</t>
  </si>
  <si>
    <t>2026-03-05 11:24:11</t>
  </si>
  <si>
    <t>27762133933</t>
  </si>
  <si>
    <t>13560318</t>
  </si>
  <si>
    <t>bb7ecfd6-87c4-4665-a2da-055c67cb7af0</t>
  </si>
  <si>
    <t>2026-03-05 11:24:10</t>
  </si>
  <si>
    <t>27727591811</t>
  </si>
  <si>
    <t>13555670</t>
  </si>
  <si>
    <t>989d9025-b028-4f12-80bc-641f78acc2a6</t>
  </si>
  <si>
    <t>2026-03-05 11:23:20</t>
  </si>
  <si>
    <t>27712745075</t>
  </si>
  <si>
    <t>13561777</t>
  </si>
  <si>
    <t>6dc3d8bc-aa50-4702-bcd5-9b3a98d570a5</t>
  </si>
  <si>
    <t>2026-03-05 11:22:46</t>
  </si>
  <si>
    <t>27607954598</t>
  </si>
  <si>
    <t>13563293</t>
  </si>
  <si>
    <t>a6bca7c1-ce46-432b-a787-68ec68ac6106</t>
  </si>
  <si>
    <t>27664228332</t>
  </si>
  <si>
    <t>13563295</t>
  </si>
  <si>
    <t>12c3e369-8de2-4968-a1c2-e08d6fcdf5c6</t>
  </si>
  <si>
    <t>27722236710</t>
  </si>
  <si>
    <t>13563309</t>
  </si>
  <si>
    <t>82f50f48-4a3f-49d1-9a5c-d3405a4f8fb4</t>
  </si>
  <si>
    <t>2026-03-05 11:22:41</t>
  </si>
  <si>
    <t>27729368625</t>
  </si>
  <si>
    <t>13560496</t>
  </si>
  <si>
    <t>a8e26a08-9b95-4f8a-9794-3b4b60937442</t>
  </si>
  <si>
    <t>2026-03-05 11:22:12</t>
  </si>
  <si>
    <t>27767681269</t>
  </si>
  <si>
    <t>13560428</t>
  </si>
  <si>
    <t>6890d0be-9686-4f0f-a5b0-fe1f58237ffb</t>
  </si>
  <si>
    <t>2026-03-05 11:21:57</t>
  </si>
  <si>
    <t>27762332957</t>
  </si>
  <si>
    <t>13560426</t>
  </si>
  <si>
    <t>6781e9c1-4ecb-4b40-be69-a4d5bc0faa94</t>
  </si>
  <si>
    <t>2026-03-05 11:21:56</t>
  </si>
  <si>
    <t>27793881728</t>
  </si>
  <si>
    <t>13559574</t>
  </si>
  <si>
    <t>cef5bd26-5c9c-45ec-b436-46d31fad9dcd</t>
  </si>
  <si>
    <t>2026-03-05 11:21:39</t>
  </si>
  <si>
    <t>27828644111</t>
  </si>
  <si>
    <t>13559559</t>
  </si>
  <si>
    <t>7cbfdf1a-9969-40b7-a114-0eab7ae16044</t>
  </si>
  <si>
    <t>2026-03-05 11:21:38</t>
  </si>
  <si>
    <t>27828444201</t>
  </si>
  <si>
    <t>13562334</t>
  </si>
  <si>
    <t>62c9e211-62f9-4f7a-98de-d8c5c641ce0a</t>
  </si>
  <si>
    <t>2026-03-05 11:21:22</t>
  </si>
  <si>
    <t>27661672724</t>
  </si>
  <si>
    <t>13560801</t>
  </si>
  <si>
    <t>ad899a4f-304b-4aa4-9052-1dd5342ec130</t>
  </si>
  <si>
    <t>2026-03-05 11:20:08</t>
  </si>
  <si>
    <t>27790375260</t>
  </si>
  <si>
    <t>13560789</t>
  </si>
  <si>
    <t>084752cf-aeff-42bb-8547-768e5b2bfe80</t>
  </si>
  <si>
    <t>2026-03-05 11:20:07</t>
  </si>
  <si>
    <t>27711169245</t>
  </si>
  <si>
    <t>13560605</t>
  </si>
  <si>
    <t>ec5dc68a-a45b-4185-ab8b-298d566efbb7</t>
  </si>
  <si>
    <t>2026-03-05 11:19:55</t>
  </si>
  <si>
    <t>27797447732</t>
  </si>
  <si>
    <t>13562092</t>
  </si>
  <si>
    <t>fb930546-4926-4ca9-a1ce-1d2b8223d487</t>
  </si>
  <si>
    <t>2026-03-05 11:19:01</t>
  </si>
  <si>
    <t>27826470654</t>
  </si>
  <si>
    <t>13562045</t>
  </si>
  <si>
    <t>e66c8549-aa80-470a-9ca3-9bd96bb45a74</t>
  </si>
  <si>
    <t>2026-03-05 11:19:00</t>
  </si>
  <si>
    <t>27799135322</t>
  </si>
  <si>
    <t>13562087</t>
  </si>
  <si>
    <t>c699c754-52c4-409b-b1c8-6955fa7d5c41</t>
  </si>
  <si>
    <t>27649168526</t>
  </si>
  <si>
    <t>13563448</t>
  </si>
  <si>
    <t>fdce62f5-b9c7-447a-b28d-3990f4f4777b</t>
  </si>
  <si>
    <t>2026-03-05 11:18:25</t>
  </si>
  <si>
    <t>27651766813</t>
  </si>
  <si>
    <t>13563426</t>
  </si>
  <si>
    <t>93f7809a-1359-40bc-8b04-3254f5f1d27e</t>
  </si>
  <si>
    <t>2026-03-05 11:18:20</t>
  </si>
  <si>
    <t>27721543666</t>
  </si>
  <si>
    <t>13562028</t>
  </si>
  <si>
    <t>bdd2d644-e937-4dee-8be3-2fc002972768</t>
  </si>
  <si>
    <t>2026-03-05 11:17:29</t>
  </si>
  <si>
    <t>27606818266</t>
  </si>
  <si>
    <t>13562287</t>
  </si>
  <si>
    <t>aad1a5b6-77aa-42c9-b15c-1878290fc99f</t>
  </si>
  <si>
    <t>2026-03-05 11:17:14</t>
  </si>
  <si>
    <t>27768860049</t>
  </si>
  <si>
    <t>13562267</t>
  </si>
  <si>
    <t>f4818e34-bb42-4c31-aa71-6761b6d56ba2</t>
  </si>
  <si>
    <t>2026-03-05 11:16:41</t>
  </si>
  <si>
    <t>27790868469</t>
  </si>
  <si>
    <t>13561886</t>
  </si>
  <si>
    <t>045730af-3c0e-44c0-a807-eb33db5413cf</t>
  </si>
  <si>
    <t>2026-03-05 11:16:30</t>
  </si>
  <si>
    <t>27636651546</t>
  </si>
  <si>
    <t>13561826</t>
  </si>
  <si>
    <t>58278583-1fe4-4d3f-828a-382a8321714e</t>
  </si>
  <si>
    <t>2026-03-05 11:16:17</t>
  </si>
  <si>
    <t>27721137510</t>
  </si>
  <si>
    <t>13562161</t>
  </si>
  <si>
    <t>20fa535f-bff3-402f-8e04-c3acf85e2108</t>
  </si>
  <si>
    <t>2026-03-05 11:15:33</t>
  </si>
  <si>
    <t>27646381785</t>
  </si>
  <si>
    <t>13563438</t>
  </si>
  <si>
    <t>cc0895ca-6e6f-46b6-aa50-341b8d4d1192</t>
  </si>
  <si>
    <t>2026-03-05 11:11:10</t>
  </si>
  <si>
    <t>27649166664</t>
  </si>
  <si>
    <t>13561143</t>
  </si>
  <si>
    <t>7d11e73a-b511-4beb-b8cc-f8b0f891ac24</t>
  </si>
  <si>
    <t>2026-03-05 11:07:39</t>
  </si>
  <si>
    <t>27713376313</t>
  </si>
  <si>
    <t>13561660</t>
  </si>
  <si>
    <t>f0f7b7a3-d5c3-4c4f-bb4c-e55d331b570c</t>
  </si>
  <si>
    <t>2026-03-05 11:06:32</t>
  </si>
  <si>
    <t>27606505765</t>
  </si>
  <si>
    <t>13561157</t>
  </si>
  <si>
    <t>f4410850-9726-49af-9b78-592ccc8b5a50</t>
  </si>
  <si>
    <t>2026-03-05 11:04:16</t>
  </si>
  <si>
    <t>27715632785</t>
  </si>
  <si>
    <t>13561637</t>
  </si>
  <si>
    <t>61481ece-2032-472a-abc3-66aa38e361f7</t>
  </si>
  <si>
    <t>2026-03-05 11:01:07</t>
  </si>
  <si>
    <t>27714888766</t>
  </si>
  <si>
    <t>13561497</t>
  </si>
  <si>
    <t>6e9781e6-719e-43a2-ade2-4878cf5782b6</t>
  </si>
  <si>
    <t>2026-03-05 10:59:01</t>
  </si>
  <si>
    <t>27722241579</t>
  </si>
  <si>
    <t>13559655</t>
  </si>
  <si>
    <t>b7a9fd23-3c21-4428-a764-12e838857e0a</t>
  </si>
  <si>
    <t>2026-03-05 10:53:18</t>
  </si>
  <si>
    <t>27835707121</t>
  </si>
  <si>
    <t>13559401</t>
  </si>
  <si>
    <t>8d8b9c4a-691b-47d3-85fa-9770d95f07d0</t>
  </si>
  <si>
    <t>2026-03-05 10:51:31</t>
  </si>
  <si>
    <t>27826480197</t>
  </si>
  <si>
    <t>13560882</t>
  </si>
  <si>
    <t>603bec45-b025-472d-9bd3-004522019d1c</t>
  </si>
  <si>
    <t>2026-03-05 10:49:54</t>
  </si>
  <si>
    <t>27726287466</t>
  </si>
  <si>
    <t>13564535</t>
  </si>
  <si>
    <t>568dd96b-9a18-4e5b-b35a-eec455cdf95a</t>
  </si>
  <si>
    <t>2026-03-05 10:48:22</t>
  </si>
  <si>
    <t>27728708834</t>
  </si>
  <si>
    <t>13559230</t>
  </si>
  <si>
    <t>09a3b2b7-e78b-4e45-bd30-43f4ca0d45c9</t>
  </si>
  <si>
    <t>2026-03-05 10:46:45</t>
  </si>
  <si>
    <t>27824400638</t>
  </si>
  <si>
    <t>13558576</t>
  </si>
  <si>
    <t>e79e8b8e-1d5e-44cb-b13d-f623f8e620b2</t>
  </si>
  <si>
    <t>2026-03-05 10:45:52</t>
  </si>
  <si>
    <t>27795702783</t>
  </si>
  <si>
    <t>13558580</t>
  </si>
  <si>
    <t>0fa7c336-3ca8-411c-b7a3-e3b4f0d75a58</t>
  </si>
  <si>
    <t>27795734181</t>
  </si>
  <si>
    <t>13560660</t>
  </si>
  <si>
    <t>161cc44f-6967-4fb8-955e-c155cb4bfd7f</t>
  </si>
  <si>
    <t>2026-03-05 10:45:03</t>
  </si>
  <si>
    <t>27636534483</t>
  </si>
  <si>
    <t>13563665</t>
  </si>
  <si>
    <t>4a3b5660-56fd-485c-9ec4-e8f8372e296c</t>
  </si>
  <si>
    <t>2026-03-05 10:43:33</t>
  </si>
  <si>
    <t>27714266953</t>
  </si>
  <si>
    <t>13559757</t>
  </si>
  <si>
    <t>943895c5-17e5-43f2-9a68-5484b782ba17</t>
  </si>
  <si>
    <t>2026-03-05 10:43:08</t>
  </si>
  <si>
    <t>27604677094</t>
  </si>
  <si>
    <t>13559713</t>
  </si>
  <si>
    <t>585d84ec-c776-4282-9eab-0ec535233fd1</t>
  </si>
  <si>
    <t>2026-03-05 10:42:45</t>
  </si>
  <si>
    <t>27799773578</t>
  </si>
  <si>
    <t>13559673</t>
  </si>
  <si>
    <t>c0f5d11c-192d-4207-8111-58a19cc33ff2</t>
  </si>
  <si>
    <t>2026-03-05 10:42:38</t>
  </si>
  <si>
    <t>27839988883</t>
  </si>
  <si>
    <t>13559678</t>
  </si>
  <si>
    <t>c3fc76d9-285e-4cc6-aed0-64a0cb8d3a43</t>
  </si>
  <si>
    <t>27843625743</t>
  </si>
  <si>
    <t>13563748</t>
  </si>
  <si>
    <t>0420c57d-740c-486b-8768-f8c813f3aa7d</t>
  </si>
  <si>
    <t>2026-03-05 10:40:37</t>
  </si>
  <si>
    <t>27675416140</t>
  </si>
  <si>
    <t>13561171</t>
  </si>
  <si>
    <t>ff37f10a-69da-4a03-974a-1cbbb2cc6bdd</t>
  </si>
  <si>
    <t>2026-03-05 10:40:32</t>
  </si>
  <si>
    <t>27675507468</t>
  </si>
  <si>
    <t>13561158</t>
  </si>
  <si>
    <t>2ae57950-0b30-42ab-95b4-be5d63c01066</t>
  </si>
  <si>
    <t>2026-03-05 10:40:31</t>
  </si>
  <si>
    <t>27724044799</t>
  </si>
  <si>
    <t>13558600</t>
  </si>
  <si>
    <t>1f07c501-f37f-4d8b-a701-6cd2a2fae3d8</t>
  </si>
  <si>
    <t>2026-03-05 10:39:33</t>
  </si>
  <si>
    <t>27796002957</t>
  </si>
  <si>
    <t>13556808</t>
  </si>
  <si>
    <t>2ea8d775-7e39-4541-87e8-2106c575e194</t>
  </si>
  <si>
    <t>2026-03-05 10:39:02</t>
  </si>
  <si>
    <t>27727689949</t>
  </si>
  <si>
    <t>13558685</t>
  </si>
  <si>
    <t>445c2ce5-b9f7-4e35-b9b6-225d9b735b04</t>
  </si>
  <si>
    <t>2026-03-05 10:38:53</t>
  </si>
  <si>
    <t>27796858141</t>
  </si>
  <si>
    <t>13560164</t>
  </si>
  <si>
    <t>1d7ebbfc-e3e0-436e-b9cc-b7847ceca637</t>
  </si>
  <si>
    <t>2026-03-05 10:38:48</t>
  </si>
  <si>
    <t>27674840584</t>
  </si>
  <si>
    <t>13558614</t>
  </si>
  <si>
    <t>51e54640-3453-4fba-912e-e9f3be32beca</t>
  </si>
  <si>
    <t>2026-03-05 10:38:44</t>
  </si>
  <si>
    <t>27796123653</t>
  </si>
  <si>
    <t>13559934</t>
  </si>
  <si>
    <t>1beb2b38-de72-4674-ab64-a9b08853d198</t>
  </si>
  <si>
    <t>2026-03-05 10:37:25</t>
  </si>
  <si>
    <t>27792331091</t>
  </si>
  <si>
    <t>13559892</t>
  </si>
  <si>
    <t>da96b987-a78b-4326-ab37-deddc3712d6e</t>
  </si>
  <si>
    <t>2026-03-05 10:37:18</t>
  </si>
  <si>
    <t>27608430713</t>
  </si>
  <si>
    <t>13559836</t>
  </si>
  <si>
    <t>7d8b49bb-d2e6-4928-a722-c2f7adc49436</t>
  </si>
  <si>
    <t>2026-03-05 10:37:13</t>
  </si>
  <si>
    <t>27818271245</t>
  </si>
  <si>
    <t>13563774</t>
  </si>
  <si>
    <t>af613704-11a2-4b31-8121-ac3e8d42e374</t>
  </si>
  <si>
    <t>2026-03-05 10:35:46</t>
  </si>
  <si>
    <t>27647946267</t>
  </si>
  <si>
    <t>13564094</t>
  </si>
  <si>
    <t>ce5fe4b1-a2c7-48e6-a3a6-ee8cb016878c</t>
  </si>
  <si>
    <t>2026-03-05 10:33:04</t>
  </si>
  <si>
    <t>27714997207</t>
  </si>
  <si>
    <t>13564090</t>
  </si>
  <si>
    <t>db2e449b-105b-4b19-899e-b0e8b236b463</t>
  </si>
  <si>
    <t>2026-03-05 10:33:03</t>
  </si>
  <si>
    <t>27768964073</t>
  </si>
  <si>
    <t>13564273</t>
  </si>
  <si>
    <t>fdabb775-b6d6-49e6-b11c-79e24770c3da</t>
  </si>
  <si>
    <t>2026-03-05 10:31:48</t>
  </si>
  <si>
    <t>27722407495</t>
  </si>
  <si>
    <t>13560175</t>
  </si>
  <si>
    <t>4695f237-4ced-4ad0-8470-66b55bc104b3</t>
  </si>
  <si>
    <t>2026-03-05 10:31:40</t>
  </si>
  <si>
    <t>27660105040</t>
  </si>
  <si>
    <t>13559599</t>
  </si>
  <si>
    <t>02c426ff-85d7-4097-ba27-2f525f20e23a</t>
  </si>
  <si>
    <t>27829328137</t>
  </si>
  <si>
    <t>13558455</t>
  </si>
  <si>
    <t>9996b932-2203-4d33-9877-d331b07b5519</t>
  </si>
  <si>
    <t>2026-03-05 10:31:37</t>
  </si>
  <si>
    <t>27794229750</t>
  </si>
  <si>
    <t>13557114</t>
  </si>
  <si>
    <t>3b0af17a-4f7e-40e3-8f97-28702a8f9537</t>
  </si>
  <si>
    <t>2026-03-05 10:29:52</t>
  </si>
  <si>
    <t>27760338262</t>
  </si>
  <si>
    <t>13561614</t>
  </si>
  <si>
    <t>cdb32f41-a702-4aee-bd86-ca6db214dd2d</t>
  </si>
  <si>
    <t>2026-03-05 10:29:49</t>
  </si>
  <si>
    <t>27607421764</t>
  </si>
  <si>
    <t>13555748</t>
  </si>
  <si>
    <t>151d2b7d-4eaa-4aca-8e11-7756719b781c</t>
  </si>
  <si>
    <t>2026-03-05 10:29:04</t>
  </si>
  <si>
    <t>27713464012</t>
  </si>
  <si>
    <t>13555696</t>
  </si>
  <si>
    <t>6989ba22-ca7b-4986-9f48-e2bcda38825a</t>
  </si>
  <si>
    <t>2026-03-05 10:29:03</t>
  </si>
  <si>
    <t>27713003701</t>
  </si>
  <si>
    <t>13555698</t>
  </si>
  <si>
    <t>b02c3732-a81a-47d3-ace5-18b70b419ab9</t>
  </si>
  <si>
    <t>27713052910</t>
  </si>
  <si>
    <t>13555680</t>
  </si>
  <si>
    <t>62114b60-8d6a-4aa5-824b-e2cef39d057f</t>
  </si>
  <si>
    <t>2026-03-05 10:29:02</t>
  </si>
  <si>
    <t>27712898211</t>
  </si>
  <si>
    <t>13556933</t>
  </si>
  <si>
    <t>eb472a57-e22c-4fec-a40f-d542c1628530</t>
  </si>
  <si>
    <t>2026-03-05 10:28:48</t>
  </si>
  <si>
    <t>27728791899</t>
  </si>
  <si>
    <t>13556819</t>
  </si>
  <si>
    <t>ac23601f-e2d5-42e1-92ae-b147a652f24c</t>
  </si>
  <si>
    <t>2026-03-05 10:28:05</t>
  </si>
  <si>
    <t>27727756800</t>
  </si>
  <si>
    <t>13556663</t>
  </si>
  <si>
    <t>66ce7862-1820-4086-96dd-be5d445f60da</t>
  </si>
  <si>
    <t>2026-03-05 10:28:03</t>
  </si>
  <si>
    <t>27726173763</t>
  </si>
  <si>
    <t>13556644</t>
  </si>
  <si>
    <t>bbcb0617-24be-4e41-8ed7-22ab0fdcf318</t>
  </si>
  <si>
    <t>2026-03-05 10:28:02</t>
  </si>
  <si>
    <t>27725901361</t>
  </si>
  <si>
    <t>13556651</t>
  </si>
  <si>
    <t>d02dba4c-8305-4ad2-8e8f-abf754eaff75</t>
  </si>
  <si>
    <t>27725988043</t>
  </si>
  <si>
    <t>13561581</t>
  </si>
  <si>
    <t>d132da6e-8d4c-4dd8-bce3-4dbb4faff1e1</t>
  </si>
  <si>
    <t>2026-03-05 10:27:55</t>
  </si>
  <si>
    <t>27721047491</t>
  </si>
  <si>
    <t>13563073</t>
  </si>
  <si>
    <t>7220ad7f-680d-4996-b020-55df1217e1f6</t>
  </si>
  <si>
    <t>2026-03-05 10:27:35</t>
  </si>
  <si>
    <t>27646374667</t>
  </si>
  <si>
    <t>13555577</t>
  </si>
  <si>
    <t>e982f5c7-919b-49f1-8eba-0e6964b034c2</t>
  </si>
  <si>
    <t>2026-03-05 10:27:19</t>
  </si>
  <si>
    <t>27711662389</t>
  </si>
  <si>
    <t>13555512</t>
  </si>
  <si>
    <t>55812669-49ed-474c-b985-9647e70a9fd6</t>
  </si>
  <si>
    <t>2026-03-05 10:27:12</t>
  </si>
  <si>
    <t>27685735130</t>
  </si>
  <si>
    <t>13555547</t>
  </si>
  <si>
    <t>0c4a3424-cff4-4c8c-99f9-efa1e8ad4a46</t>
  </si>
  <si>
    <t>2026-03-05 10:27:11</t>
  </si>
  <si>
    <t>27711386943</t>
  </si>
  <si>
    <t>13556871</t>
  </si>
  <si>
    <t>0b109345-c675-4d72-bdd3-c50d1ab416bd</t>
  </si>
  <si>
    <t>27728213913</t>
  </si>
  <si>
    <t>13555541</t>
  </si>
  <si>
    <t>31001c9e-24b6-4555-a9d3-f8a139e073ed</t>
  </si>
  <si>
    <t>2026-03-05 10:27:10</t>
  </si>
  <si>
    <t>27711296535</t>
  </si>
  <si>
    <t>13564929</t>
  </si>
  <si>
    <t>76c5578d-95c0-4efc-a393-3f67d8e0848b</t>
  </si>
  <si>
    <t>2026-03-05 10:27:07</t>
  </si>
  <si>
    <t>27619367921</t>
  </si>
  <si>
    <t>13564384</t>
  </si>
  <si>
    <t>a31a8dd9-a3a1-4fc6-9d8a-4e608e308cd8</t>
  </si>
  <si>
    <t>2026-03-05 10:25:53</t>
  </si>
  <si>
    <t>27726749435</t>
  </si>
  <si>
    <t>13564385</t>
  </si>
  <si>
    <t>bb3a4d4d-3f75-4fbc-8cbc-3684318c5f86</t>
  </si>
  <si>
    <t>27760553919</t>
  </si>
  <si>
    <t>13564847</t>
  </si>
  <si>
    <t>3a5997ba-7a54-4c23-98fd-66d107b29387</t>
  </si>
  <si>
    <t>2026-03-05 10:25:06</t>
  </si>
  <si>
    <t>27608408841</t>
  </si>
  <si>
    <t>13564842</t>
  </si>
  <si>
    <t>8250c867-82a1-44cb-9606-92bd7b36b435</t>
  </si>
  <si>
    <t>2026-03-05 10:25:05</t>
  </si>
  <si>
    <t>27608333857</t>
  </si>
  <si>
    <t>13555417</t>
  </si>
  <si>
    <t>a51846b6-8c73-40ef-8053-ee33499be73f</t>
  </si>
  <si>
    <t>2026-03-05 10:23:40</t>
  </si>
  <si>
    <t>27665085129</t>
  </si>
  <si>
    <t>13555300</t>
  </si>
  <si>
    <t>8df97a89-5c9c-4c40-85ce-5558106dc47b</t>
  </si>
  <si>
    <t>2026-03-05 10:23:07</t>
  </si>
  <si>
    <t>27661595523</t>
  </si>
  <si>
    <t>13555430</t>
  </si>
  <si>
    <t>1a6c048d-7e04-4d68-88f7-4a521a39e845</t>
  </si>
  <si>
    <t>2026-03-05 10:23:04</t>
  </si>
  <si>
    <t>27665351772</t>
  </si>
  <si>
    <t>13555425</t>
  </si>
  <si>
    <t>caa4eede-08e5-4b20-a43c-38e6930fdb93</t>
  </si>
  <si>
    <t>2026-03-05 10:23:03</t>
  </si>
  <si>
    <t>27665202638</t>
  </si>
  <si>
    <t>13555396</t>
  </si>
  <si>
    <t>270b18ab-b6c6-4dc8-881c-a72196e38db9</t>
  </si>
  <si>
    <t>2026-03-05 10:23:01</t>
  </si>
  <si>
    <t>27664634878</t>
  </si>
  <si>
    <t>13555397</t>
  </si>
  <si>
    <t>469ce335-14e5-4c0f-9b33-5b81d597a22b</t>
  </si>
  <si>
    <t>27664641364</t>
  </si>
  <si>
    <t>13555291</t>
  </si>
  <si>
    <t>0c119565-9b2e-404a-9b72-b24650d9f13c</t>
  </si>
  <si>
    <t>2026-03-05 10:22:26</t>
  </si>
  <si>
    <t>27661290044</t>
  </si>
  <si>
    <t>13556756</t>
  </si>
  <si>
    <t>1f0557ad-1bf4-4cdc-8faf-4309d4a3d443</t>
  </si>
  <si>
    <t>2026-03-05 10:22:22</t>
  </si>
  <si>
    <t>27727196540</t>
  </si>
  <si>
    <t>13556730</t>
  </si>
  <si>
    <t>5c30015f-a40e-4564-bf91-06fb0b94ee82</t>
  </si>
  <si>
    <t>2026-03-05 10:22:19</t>
  </si>
  <si>
    <t>27726940064</t>
  </si>
  <si>
    <t>13556696</t>
  </si>
  <si>
    <t>ad23f8d3-69d1-4869-8569-ca02f8e0062e</t>
  </si>
  <si>
    <t>2026-03-05 10:21:40</t>
  </si>
  <si>
    <t>27726641588</t>
  </si>
  <si>
    <t>13564553</t>
  </si>
  <si>
    <t>be8f3579-ca38-4ab8-bc15-dfccdec59406</t>
  </si>
  <si>
    <t>2026-03-05 10:20:52</t>
  </si>
  <si>
    <t>27726964788</t>
  </si>
  <si>
    <t>13557748</t>
  </si>
  <si>
    <t>e8f17704-018e-4e21-bbb3-d9265b491291</t>
  </si>
  <si>
    <t>2026-03-05 10:20:40</t>
  </si>
  <si>
    <t>27766970521</t>
  </si>
  <si>
    <t>13556905</t>
  </si>
  <si>
    <t>04030990-ca3b-401d-b26c-f046576a2ff0</t>
  </si>
  <si>
    <t>2026-03-05 10:20:39</t>
  </si>
  <si>
    <t>27728505601</t>
  </si>
  <si>
    <t>13556996</t>
  </si>
  <si>
    <t>b3b4791d-997c-409b-915c-ec1217c8e446</t>
  </si>
  <si>
    <t>2026-03-05 10:20:38</t>
  </si>
  <si>
    <t>27729327509</t>
  </si>
  <si>
    <t>13556853</t>
  </si>
  <si>
    <t>c88601fd-f6fe-437d-849e-ab94bb3400db</t>
  </si>
  <si>
    <t>2026-03-05 10:20:05</t>
  </si>
  <si>
    <t>27728077812</t>
  </si>
  <si>
    <t>13557583</t>
  </si>
  <si>
    <t>c2c7ffc7-37f9-45dd-b9d8-01091e9ad75f</t>
  </si>
  <si>
    <t>2026-03-05 10:17:38</t>
  </si>
  <si>
    <t>27765380883</t>
  </si>
  <si>
    <t>13557497</t>
  </si>
  <si>
    <t>1734a384-15b1-4809-8374-4f56bc034b1f</t>
  </si>
  <si>
    <t>2026-03-05 10:17:34</t>
  </si>
  <si>
    <t>27764481939</t>
  </si>
  <si>
    <t>13558386</t>
  </si>
  <si>
    <t>5e8e98fb-696c-43d2-9c48-977a2b01aacb</t>
  </si>
  <si>
    <t>2026-03-05 10:17:33</t>
  </si>
  <si>
    <t>27793389651</t>
  </si>
  <si>
    <t>13554992</t>
  </si>
  <si>
    <t>87c72c8c-5a30-4a93-a699-3828fd5bab6f</t>
  </si>
  <si>
    <t>2026-03-05 10:16:44</t>
  </si>
  <si>
    <t>27637147943</t>
  </si>
  <si>
    <t>13557885</t>
  </si>
  <si>
    <t>b438dfd1-74d8-48aa-b153-e6478d954d4f</t>
  </si>
  <si>
    <t>2026-03-05 10:16:33</t>
  </si>
  <si>
    <t>27768276283</t>
  </si>
  <si>
    <t>13559286</t>
  </si>
  <si>
    <t>b2a140f9-e878-4aab-8d20-05f17e0fb609</t>
  </si>
  <si>
    <t>2026-03-05 10:16:05</t>
  </si>
  <si>
    <t>27825104722</t>
  </si>
  <si>
    <t>13564660</t>
  </si>
  <si>
    <t>8350e2b1-dd29-4fdb-a9f5-e4eb32d1da5f</t>
  </si>
  <si>
    <t>2026-03-05 10:15:06</t>
  </si>
  <si>
    <t>27665795265</t>
  </si>
  <si>
    <t>13564666</t>
  </si>
  <si>
    <t>ce7263fe-f5a8-4fc1-a0d5-f6f0bb2e3ea9</t>
  </si>
  <si>
    <t>27761609184</t>
  </si>
  <si>
    <t>13561951</t>
  </si>
  <si>
    <t>a0c72042-c49e-4079-bae1-9569658dbbd0</t>
  </si>
  <si>
    <t>2026-03-05 10:14:58</t>
  </si>
  <si>
    <t>27608202993</t>
  </si>
  <si>
    <t>13555292</t>
  </si>
  <si>
    <t>97eb971e-0f38-486f-afbc-f19fe4e87635</t>
  </si>
  <si>
    <t>2026-03-05 10:14:16</t>
  </si>
  <si>
    <t>27661315830</t>
  </si>
  <si>
    <t>13556350</t>
  </si>
  <si>
    <t>cff7623b-f1e9-4dc4-bc2d-71858ec04fa1</t>
  </si>
  <si>
    <t>2026-03-05 10:14:11</t>
  </si>
  <si>
    <t>27723000338</t>
  </si>
  <si>
    <t>13563688</t>
  </si>
  <si>
    <t>cbb9eb9b-fb09-4f52-92a9-756dfafafd94</t>
  </si>
  <si>
    <t>2026-03-05 10:14:05</t>
  </si>
  <si>
    <t>27660179444</t>
  </si>
  <si>
    <t>13555208</t>
  </si>
  <si>
    <t>ea83f746-5c60-479a-9a18-669be2a4b7dc</t>
  </si>
  <si>
    <t>2026-03-05 10:13:57</t>
  </si>
  <si>
    <t>27649969706</t>
  </si>
  <si>
    <t>13561356</t>
  </si>
  <si>
    <t>6563dc61-7219-4605-8905-faa4dc42afb0</t>
  </si>
  <si>
    <t>2026-03-05 10:13:54</t>
  </si>
  <si>
    <t>27712312198</t>
  </si>
  <si>
    <t>13555114</t>
  </si>
  <si>
    <t>4fbc3359-081e-4bf1-8121-9c33f3a32dda</t>
  </si>
  <si>
    <t>2026-03-05 10:13:13</t>
  </si>
  <si>
    <t>27648239139</t>
  </si>
  <si>
    <t>13555064</t>
  </si>
  <si>
    <t>7383310a-587a-4c9e-b8dd-28dba21f8e83</t>
  </si>
  <si>
    <t>2026-03-05 10:13:11</t>
  </si>
  <si>
    <t>27646727755</t>
  </si>
  <si>
    <t>13555069</t>
  </si>
  <si>
    <t>12b9f809-445b-4d33-b662-a876caa64171</t>
  </si>
  <si>
    <t>27646919060</t>
  </si>
  <si>
    <t>13560583</t>
  </si>
  <si>
    <t>55eb465e-0236-47cb-9b6a-3155c51e4c00</t>
  </si>
  <si>
    <t>2026-03-05 10:12:33</t>
  </si>
  <si>
    <t>27780333206</t>
  </si>
  <si>
    <t>13555197</t>
  </si>
  <si>
    <t>400508c4-6880-445c-9b94-8b2feee90466</t>
  </si>
  <si>
    <t>2026-03-05 10:12:18</t>
  </si>
  <si>
    <t>27649777442</t>
  </si>
  <si>
    <t>13555141</t>
  </si>
  <si>
    <t>4f5c4a7d-4eda-407d-82eb-8296b28495db</t>
  </si>
  <si>
    <t>2026-03-05 10:11:10</t>
  </si>
  <si>
    <t>27648577230</t>
  </si>
  <si>
    <t>13564541</t>
  </si>
  <si>
    <t>8a4d9adc-bc8a-4ffb-9afd-17d95ac3dd48</t>
  </si>
  <si>
    <t>2026-03-05 10:09:39</t>
  </si>
  <si>
    <t>27753515819</t>
  </si>
  <si>
    <t>13555994</t>
  </si>
  <si>
    <t>6cfcbbc1-d4a5-4c13-95ed-25cc1a18a812</t>
  </si>
  <si>
    <t>2026-03-05 10:08:17</t>
  </si>
  <si>
    <t>27716196565</t>
  </si>
  <si>
    <t>13555805</t>
  </si>
  <si>
    <t>176781a1-aa8c-46dc-851c-3dd13c803d07</t>
  </si>
  <si>
    <t>2026-03-05 10:07:21</t>
  </si>
  <si>
    <t>27714252363</t>
  </si>
  <si>
    <t>13556858</t>
  </si>
  <si>
    <t>43be99e9-f2aa-4bf0-b552-084c491f3a72</t>
  </si>
  <si>
    <t>2026-03-05 10:07:12</t>
  </si>
  <si>
    <t>27728097043</t>
  </si>
  <si>
    <t>13556774</t>
  </si>
  <si>
    <t>ff437f33-4949-43d7-ace1-4e23f39ccffb</t>
  </si>
  <si>
    <t>2026-03-05 10:07:02</t>
  </si>
  <si>
    <t>27727345592</t>
  </si>
  <si>
    <t>13560112</t>
  </si>
  <si>
    <t>f272f8ec-6346-4652-90ea-0a125ee6ba47</t>
  </si>
  <si>
    <t>2026-03-05 10:05:43</t>
  </si>
  <si>
    <t>27664225118</t>
  </si>
  <si>
    <t>13557717</t>
  </si>
  <si>
    <t>b2d4ac44-e946-43c5-b81e-14b1b14fd810</t>
  </si>
  <si>
    <t>2026-03-05 10:05:39</t>
  </si>
  <si>
    <t>27766667293</t>
  </si>
  <si>
    <t>13564739</t>
  </si>
  <si>
    <t>ab2e6367-379c-4d2a-84a2-a427a46040d8</t>
  </si>
  <si>
    <t>27606649515</t>
  </si>
  <si>
    <t>13555992</t>
  </si>
  <si>
    <t>f339ab27-3768-4e30-b3ad-5d87486121a0</t>
  </si>
  <si>
    <t>2026-03-05 10:05:33</t>
  </si>
  <si>
    <t>27716174230</t>
  </si>
  <si>
    <t>13556553</t>
  </si>
  <si>
    <t>87cd7732-24d5-415e-9bcd-ea2911844ed1</t>
  </si>
  <si>
    <t>2026-03-05 10:04:49</t>
  </si>
  <si>
    <t>27724983437</t>
  </si>
  <si>
    <t>13556319</t>
  </si>
  <si>
    <t>bce55929-5fce-4b8c-8ad3-87c0742e6b0f</t>
  </si>
  <si>
    <t>2026-03-05 10:04:16</t>
  </si>
  <si>
    <t>27722638980</t>
  </si>
  <si>
    <t>13556340</t>
  </si>
  <si>
    <t>4c2034a0-beaa-45ad-90d0-17b715b57e61</t>
  </si>
  <si>
    <t>2026-03-05 10:04:13</t>
  </si>
  <si>
    <t>27722893669</t>
  </si>
  <si>
    <t>13556335</t>
  </si>
  <si>
    <t>988fc2f4-bb14-4c38-add1-03f8e5809978</t>
  </si>
  <si>
    <t>2026-03-05 10:04:12</t>
  </si>
  <si>
    <t>27722822443</t>
  </si>
  <si>
    <t>13561170</t>
  </si>
  <si>
    <t>358013bc-3ac8-4a4c-8fd3-b45d36bff582</t>
  </si>
  <si>
    <t>2026-03-05 10:03:53</t>
  </si>
  <si>
    <t>27663256548</t>
  </si>
  <si>
    <t>13555843</t>
  </si>
  <si>
    <t>84eb9c68-0d8d-4744-bbef-92e033d11780</t>
  </si>
  <si>
    <t>2026-03-05 10:03:38</t>
  </si>
  <si>
    <t>27714774168</t>
  </si>
  <si>
    <t>13559865</t>
  </si>
  <si>
    <t>3f77a0b3-e946-4613-8a79-4c5dd5d5ee05</t>
  </si>
  <si>
    <t>2026-03-05 10:00:47</t>
  </si>
  <si>
    <t>27833836988</t>
  </si>
  <si>
    <t>13562516</t>
  </si>
  <si>
    <t>a568a53c-a9ee-4b86-862c-8e61d54d12f8</t>
  </si>
  <si>
    <t>2026-03-05 09:59:47</t>
  </si>
  <si>
    <t>27608976106</t>
  </si>
  <si>
    <t>13561294</t>
  </si>
  <si>
    <t>00d0d336-10eb-406b-90c3-8936bc9b7a7c</t>
  </si>
  <si>
    <t>2026-03-05 09:59:44</t>
  </si>
  <si>
    <t>27607264850</t>
  </si>
  <si>
    <t>13559896</t>
  </si>
  <si>
    <t>4583b144-0967-48f6-b574-546fc581125c</t>
  </si>
  <si>
    <t>2026-03-05 09:59:43</t>
  </si>
  <si>
    <t>27726091013</t>
  </si>
  <si>
    <t>13561130</t>
  </si>
  <si>
    <t>3f4042a8-2af3-43e1-88c5-88dcb9f5ac70</t>
  </si>
  <si>
    <t>2026-03-05 09:59:41</t>
  </si>
  <si>
    <t>27720469317</t>
  </si>
  <si>
    <t>13556513</t>
  </si>
  <si>
    <t>7499d01a-6e22-487f-b6ed-d4b92ae685e8</t>
  </si>
  <si>
    <t>2026-03-05 09:58:57</t>
  </si>
  <si>
    <t>27724599476</t>
  </si>
  <si>
    <t>13559335</t>
  </si>
  <si>
    <t>79622e27-f4c8-4aed-a01b-8cf74eee0ce5</t>
  </si>
  <si>
    <t>2026-03-05 09:58:55</t>
  </si>
  <si>
    <t>27825704981</t>
  </si>
  <si>
    <t>13561670</t>
  </si>
  <si>
    <t>2efde733-e80a-4043-bc3b-0a0fa90fdeef</t>
  </si>
  <si>
    <t>2026-03-05 09:55:37</t>
  </si>
  <si>
    <t>27763776619</t>
  </si>
  <si>
    <t>13560771</t>
  </si>
  <si>
    <t>633380f0-e239-4cae-804c-015b8fb960b6</t>
  </si>
  <si>
    <t>2026-03-05 09:49:11</t>
  </si>
  <si>
    <t>27712408511</t>
  </si>
  <si>
    <t>13559870</t>
  </si>
  <si>
    <t>0fd027ff-d175-4eb7-8c11-155b97c68f1c</t>
  </si>
  <si>
    <t>2026-03-05 09:46:42</t>
  </si>
  <si>
    <t>27797531610</t>
  </si>
  <si>
    <t>13559702</t>
  </si>
  <si>
    <t>6c21420a-f28d-47fa-8778-03f7d1da63cb</t>
  </si>
  <si>
    <t>2026-03-05 09:45:00</t>
  </si>
  <si>
    <t>27795573254</t>
  </si>
  <si>
    <t>13557425</t>
  </si>
  <si>
    <t>4f95e455-e3d2-49c3-a46c-686fe4fbfc14</t>
  </si>
  <si>
    <t>2026-03-05 09:43:46</t>
  </si>
  <si>
    <t>27763451388</t>
  </si>
  <si>
    <t>13559880</t>
  </si>
  <si>
    <t>25ca7e7e-4035-4a06-8d32-2a08a9af75cd</t>
  </si>
  <si>
    <t>2026-03-05 09:39:40</t>
  </si>
  <si>
    <t>27661530153</t>
  </si>
  <si>
    <t>13559841</t>
  </si>
  <si>
    <t>f67e01aa-4d4e-4237-8e4c-67d4d79c8846</t>
  </si>
  <si>
    <t>2026-03-05 09:36:58</t>
  </si>
  <si>
    <t>27827445291</t>
  </si>
  <si>
    <t>13558971</t>
  </si>
  <si>
    <t>ffcd0ccd-4b2e-4e1b-bdd3-c1e459896f4b</t>
  </si>
  <si>
    <t>2026-03-05 09:36:17</t>
  </si>
  <si>
    <t>27818609618</t>
  </si>
  <si>
    <t>13559930</t>
  </si>
  <si>
    <t>23bb1986-68d1-49a9-89df-d3943ee9389f</t>
  </si>
  <si>
    <t>2026-03-05 09:36:02</t>
  </si>
  <si>
    <t>27825846896</t>
  </si>
  <si>
    <t>13559923</t>
  </si>
  <si>
    <t>8ca9b664-d0b3-4302-b1ef-6a2a73da3166</t>
  </si>
  <si>
    <t>2026-03-05 09:36:01</t>
  </si>
  <si>
    <t>27724929496</t>
  </si>
  <si>
    <t>13557086</t>
  </si>
  <si>
    <t>ed5f3399-d3ae-43c4-8665-273181ec127e</t>
  </si>
  <si>
    <t>2026-03-05 09:34:05</t>
  </si>
  <si>
    <t>27737586694</t>
  </si>
  <si>
    <t>13557296</t>
  </si>
  <si>
    <t>104f666b-31ce-4caf-97ab-b3dbabb8062a</t>
  </si>
  <si>
    <t>2026-03-05 09:32:11</t>
  </si>
  <si>
    <t>27762214036</t>
  </si>
  <si>
    <t>13557067</t>
  </si>
  <si>
    <t>d8c9cd43-6dc2-41f3-b850-31dee36b5de5</t>
  </si>
  <si>
    <t>2026-03-05 09:30:47</t>
  </si>
  <si>
    <t>27733061463</t>
  </si>
  <si>
    <t>13557032</t>
  </si>
  <si>
    <t>34263d91-dc4e-4738-a237-ade4b5a62d68</t>
  </si>
  <si>
    <t>2026-03-05 09:30:45</t>
  </si>
  <si>
    <t>27729790183</t>
  </si>
  <si>
    <t>13564916</t>
  </si>
  <si>
    <t>5ad32121-fdde-4674-bc7b-918657a61266</t>
  </si>
  <si>
    <t>2026-03-05 09:26:30</t>
  </si>
  <si>
    <t>27609547281</t>
  </si>
  <si>
    <t>13557688</t>
  </si>
  <si>
    <t>7e40db36-91b2-4b38-afc1-6bf53a9c4561</t>
  </si>
  <si>
    <t>2026-03-05 09:24:39</t>
  </si>
  <si>
    <t>27766396805</t>
  </si>
  <si>
    <t>13555096</t>
  </si>
  <si>
    <t>0c113050-a7a3-496b-b8f8-81aa7925eb63</t>
  </si>
  <si>
    <t>2026-03-05 09:24:38</t>
  </si>
  <si>
    <t>27647750294</t>
  </si>
  <si>
    <t>13555023</t>
  </si>
  <si>
    <t>468d576f-9032-4a6f-9d44-7351fada41bd</t>
  </si>
  <si>
    <t>2026-03-05 09:24:37</t>
  </si>
  <si>
    <t>27646043479</t>
  </si>
  <si>
    <t>13555644</t>
  </si>
  <si>
    <t>5db73fd9-ba6b-47a8-803c-d6d456b980c3</t>
  </si>
  <si>
    <t>2026-03-05 09:20:48</t>
  </si>
  <si>
    <t>27712492037</t>
  </si>
  <si>
    <t>13564555</t>
  </si>
  <si>
    <t>e2bfe937-e847-4a18-9cec-73c0d1970d43</t>
  </si>
  <si>
    <t>2026-03-05 09:18:58</t>
  </si>
  <si>
    <t>27673094162</t>
  </si>
  <si>
    <t>13555518</t>
  </si>
  <si>
    <t>5c71d339-fbd2-4d5b-8fda-f9747ed33189</t>
  </si>
  <si>
    <t>2026-03-05 09:18:46</t>
  </si>
  <si>
    <t>27711056364</t>
  </si>
  <si>
    <t>13561514</t>
  </si>
  <si>
    <t>af75069a-d9d9-4c92-a9bb-2b66de0955f1</t>
  </si>
  <si>
    <t>2026-03-05 09:18:25</t>
  </si>
  <si>
    <t>27649309814</t>
  </si>
  <si>
    <t>13557867</t>
  </si>
  <si>
    <t>868345b9-35e1-4965-8c31-439b77ae4ccc</t>
  </si>
  <si>
    <t>2026-03-05 09:17:36</t>
  </si>
  <si>
    <t>27768137951</t>
  </si>
  <si>
    <t>13555388</t>
  </si>
  <si>
    <t>d76f0bdf-05c6-40b9-96e9-9ce810f34a7e</t>
  </si>
  <si>
    <t>2026-03-05 09:16:47</t>
  </si>
  <si>
    <t>27664414815</t>
  </si>
  <si>
    <t>13564631</t>
  </si>
  <si>
    <t>64544d03-0b32-4e81-9bab-c02d6f7af61f</t>
  </si>
  <si>
    <t>2026-03-05 09:14:51</t>
  </si>
  <si>
    <t>27607682799</t>
  </si>
  <si>
    <t>13561442</t>
  </si>
  <si>
    <t>30869330-967b-4b12-a5a6-557fc76308bf</t>
  </si>
  <si>
    <t>2026-03-05 09:13:06</t>
  </si>
  <si>
    <t>27790148025</t>
  </si>
  <si>
    <t>13558137</t>
  </si>
  <si>
    <t>025ad9b0-5527-49cc-a03b-8c2973e9ceaa</t>
  </si>
  <si>
    <t>2026-03-05 09:12:59</t>
  </si>
  <si>
    <t>27790462096</t>
  </si>
  <si>
    <t>13556615</t>
  </si>
  <si>
    <t>1e311104-a98b-4e05-b3e0-20ccd615653b</t>
  </si>
  <si>
    <t>2026-03-05 09:12:57</t>
  </si>
  <si>
    <t>27725552420</t>
  </si>
  <si>
    <t>13561640</t>
  </si>
  <si>
    <t>e8867182-bc09-40e1-8e80-c57c3aa9fc06</t>
  </si>
  <si>
    <t>2026-03-05 09:10:10</t>
  </si>
  <si>
    <t>27728236288</t>
  </si>
  <si>
    <t>13556743</t>
  </si>
  <si>
    <t>7d98cbf3-d049-415d-81c8-8cb5375d7deb</t>
  </si>
  <si>
    <t>2026-03-05 09:09:55</t>
  </si>
  <si>
    <t>27727071321</t>
  </si>
  <si>
    <t>13560714</t>
  </si>
  <si>
    <t>8d275a33-8fb6-4cf3-b594-c0e1dcd4155d</t>
  </si>
  <si>
    <t>2026-03-05 09:07:38</t>
  </si>
  <si>
    <t>27725289928</t>
  </si>
  <si>
    <t>13556282</t>
  </si>
  <si>
    <t>b74cf9d5-d436-47fc-b54e-d86bcbfca0e6</t>
  </si>
  <si>
    <t>2026-03-05 09:05:33</t>
  </si>
  <si>
    <t>27722233306</t>
  </si>
  <si>
    <t>13563845</t>
  </si>
  <si>
    <t>5b4d08b8-80dd-416a-8de1-5a07bbab911c</t>
  </si>
  <si>
    <t>2026-03-05 09:04:40</t>
  </si>
  <si>
    <t>27767768601</t>
  </si>
  <si>
    <t>13564070</t>
  </si>
  <si>
    <t>46ab7906-9aed-47cb-b835-4088ee6d0e6c</t>
  </si>
  <si>
    <t>2026-03-05 09:03:47</t>
  </si>
  <si>
    <t>27712621876</t>
  </si>
  <si>
    <t>13556330</t>
  </si>
  <si>
    <t>7a93c062-fcf7-46af-a7e8-20ec99e8ad12</t>
  </si>
  <si>
    <t>2026-03-05 09:02:47</t>
  </si>
  <si>
    <t>27722766167</t>
  </si>
  <si>
    <t>13561797</t>
  </si>
  <si>
    <t>27c0412e-2b61-4632-95ce-ca3a0785462b</t>
  </si>
  <si>
    <t>2026-03-05 09:01:01</t>
  </si>
  <si>
    <t>27711212221</t>
  </si>
  <si>
    <t>13561096</t>
  </si>
  <si>
    <t>40d04f52-550b-4716-b5fa-3efc0febd372</t>
  </si>
  <si>
    <t>2026-03-05 08:58:40</t>
  </si>
  <si>
    <t>27663695408</t>
  </si>
  <si>
    <t>13559704</t>
  </si>
  <si>
    <t>bd6880ec-12fd-4327-a6e8-1562e2aed9b7</t>
  </si>
  <si>
    <t>2026-03-05 08:51:39</t>
  </si>
  <si>
    <t>27795440333</t>
  </si>
  <si>
    <t>13561025</t>
  </si>
  <si>
    <t>3d7dbb7b-69f9-401a-9d3f-7e1def2b7678</t>
  </si>
  <si>
    <t>2026-03-05 08:49:38</t>
  </si>
  <si>
    <t>27793413753</t>
  </si>
  <si>
    <t>13555593</t>
  </si>
  <si>
    <t>bd14653c-e2db-480e-923a-d59a39465e40</t>
  </si>
  <si>
    <t>2026-03-05 08:46:11</t>
  </si>
  <si>
    <t>27711929698</t>
  </si>
  <si>
    <t>13560357</t>
  </si>
  <si>
    <t>807674a4-d3a5-4028-b650-761511462ea9</t>
  </si>
  <si>
    <t>2026-03-05 08:46:00</t>
  </si>
  <si>
    <t>27766614425</t>
  </si>
  <si>
    <t>13555183</t>
  </si>
  <si>
    <t>7066fbce-08aa-499f-90da-a054dba6f2df</t>
  </si>
  <si>
    <t>2026-03-05 08:45:23</t>
  </si>
  <si>
    <t>27649449978</t>
  </si>
  <si>
    <t>13563004</t>
  </si>
  <si>
    <t>fdc3c44a-528a-4620-9fe8-4e09f58690cd</t>
  </si>
  <si>
    <t>2026-03-05 08:40:59</t>
  </si>
  <si>
    <t>27663972332</t>
  </si>
  <si>
    <t>13561030</t>
  </si>
  <si>
    <t>cebf94a0-1828-4c80-95dd-5d23da8cca70</t>
  </si>
  <si>
    <t>2026-03-05 08:37:23</t>
  </si>
  <si>
    <t>27763751174</t>
  </si>
  <si>
    <t>13564051</t>
  </si>
  <si>
    <t>0ff07f5c-3e23-4a6a-9556-2aaa773ada72</t>
  </si>
  <si>
    <t>2026-03-05 08:35:26</t>
  </si>
  <si>
    <t>27637158964</t>
  </si>
  <si>
    <t>13563804</t>
  </si>
  <si>
    <t>df74a09e-3ea5-4f3f-9c28-c6bebe96650b</t>
  </si>
  <si>
    <t>2026-03-05 08:34:40</t>
  </si>
  <si>
    <t>27766647363</t>
  </si>
  <si>
    <t>13563052</t>
  </si>
  <si>
    <t>c9904728-9fb6-466e-8c6e-5c7d7f45f4cf</t>
  </si>
  <si>
    <t>2026-03-05 08:33:41</t>
  </si>
  <si>
    <t>27712581199</t>
  </si>
  <si>
    <t>13564029</t>
  </si>
  <si>
    <t>166bbbbe-fd2d-4a6b-8e28-25371fea37a1</t>
  </si>
  <si>
    <t>2026-03-05 08:32:39</t>
  </si>
  <si>
    <t>27727799136</t>
  </si>
  <si>
    <t>13559509</t>
  </si>
  <si>
    <t>e65f8d71-543a-4919-a020-19e7dd3994c5</t>
  </si>
  <si>
    <t>2026-03-05 08:28:49</t>
  </si>
  <si>
    <t>27827742072</t>
  </si>
  <si>
    <t>13556012</t>
  </si>
  <si>
    <t>f6936f98-fa60-41d2-84a9-957ea179d4d6</t>
  </si>
  <si>
    <t>2026-03-05 08:26:27</t>
  </si>
  <si>
    <t>27716473580</t>
  </si>
  <si>
    <t>13555877</t>
  </si>
  <si>
    <t>c93b8683-faea-476e-a226-c595e13ec5b8</t>
  </si>
  <si>
    <t>2026-03-05 08:24:03</t>
  </si>
  <si>
    <t>27715133617</t>
  </si>
  <si>
    <t>13556816</t>
  </si>
  <si>
    <t>f3536491-48d0-4697-9b7f-b0521e12d843</t>
  </si>
  <si>
    <t>2026-03-05 08:23:14</t>
  </si>
  <si>
    <t>27727727914</t>
  </si>
  <si>
    <t>13561405</t>
  </si>
  <si>
    <t>0ed20cc8-b7ce-40d2-92a2-1fa4d9618350</t>
  </si>
  <si>
    <t>2026-03-05 08:22:29</t>
  </si>
  <si>
    <t>27663979558</t>
  </si>
  <si>
    <t>13555722</t>
  </si>
  <si>
    <t>cf0bfe14-ae04-46b4-8c0f-cfe64c2a30fd</t>
  </si>
  <si>
    <t>2026-03-05 08:22:28</t>
  </si>
  <si>
    <t>27713193170</t>
  </si>
  <si>
    <t>13564434</t>
  </si>
  <si>
    <t>9060b5ac-18c4-4a4a-9092-1415540187ce</t>
  </si>
  <si>
    <t>27790514264</t>
  </si>
  <si>
    <t>13564109</t>
  </si>
  <si>
    <t>fa7022bc-6241-4378-b4dd-aa18dc3e0741</t>
  </si>
  <si>
    <t>2026-03-05 08:21:48</t>
  </si>
  <si>
    <t>27646259772</t>
  </si>
  <si>
    <t>13564298</t>
  </si>
  <si>
    <t>97af66ab-f325-44d1-b899-97b46fb1ab12</t>
  </si>
  <si>
    <t>27610166038</t>
  </si>
  <si>
    <t>13555203</t>
  </si>
  <si>
    <t>575ce50e-f074-4d3e-9da2-0a27c104bf8b</t>
  </si>
  <si>
    <t>2026-03-05 08:14:30</t>
  </si>
  <si>
    <t>Lebohang Mabotja</t>
  </si>
  <si>
    <t>27649904169</t>
  </si>
  <si>
    <t>13558026</t>
  </si>
  <si>
    <t>7751d86b-aacd-4c01-b621-c72ac3f1f4de</t>
  </si>
  <si>
    <t>2026-03-05 08:07:25</t>
  </si>
  <si>
    <t>27769886958</t>
  </si>
  <si>
    <t>13561789</t>
  </si>
  <si>
    <t>ea4f6d57-490d-4e6e-878d-14a885b4792f</t>
  </si>
  <si>
    <t>2026-03-05 08:02:40</t>
  </si>
  <si>
    <t>27795771765</t>
  </si>
  <si>
    <t>13563967</t>
  </si>
  <si>
    <t>f830b3d0-6b49-4849-bc5e-6af5f0fea3dd</t>
  </si>
  <si>
    <t>27674738871</t>
  </si>
  <si>
    <t>13561548</t>
  </si>
  <si>
    <t>76db2866-8aa6-43de-afc1-7356d1b9f9e3</t>
  </si>
  <si>
    <t>2026-03-05 08:01:52</t>
  </si>
  <si>
    <t>27768118295</t>
  </si>
  <si>
    <t>13561585</t>
  </si>
  <si>
    <t>441df2e1-2b29-4777-a05d-a4f4712a0442</t>
  </si>
  <si>
    <t>2026-03-05 07:53:10</t>
  </si>
  <si>
    <t>27664166741</t>
  </si>
  <si>
    <t>13560906</t>
  </si>
  <si>
    <t>7151906c-dd5b-42cf-8837-819ed7b04dfb</t>
  </si>
  <si>
    <t>2026-03-05 07:49:36</t>
  </si>
  <si>
    <t>27793335743</t>
  </si>
  <si>
    <t>13559145</t>
  </si>
  <si>
    <t>c15540f9-68d5-4f5b-8dcf-b1fadc6068cd</t>
  </si>
  <si>
    <t>2026-03-05 07:47:41</t>
  </si>
  <si>
    <t>27823536410</t>
  </si>
  <si>
    <t>13563007</t>
  </si>
  <si>
    <t>bd946e63-2c3b-4a05-98b1-ce39ca7f9f0e</t>
  </si>
  <si>
    <t>2026-03-05 07:47:30</t>
  </si>
  <si>
    <t>27760134509</t>
  </si>
  <si>
    <t>13560463</t>
  </si>
  <si>
    <t>47c1d798-fbac-4b9f-942a-ba8727978268</t>
  </si>
  <si>
    <t>2026-03-05 07:45:46</t>
  </si>
  <si>
    <t>27764610046</t>
  </si>
  <si>
    <t>13557147</t>
  </si>
  <si>
    <t>5233c9eb-7e15-4981-b808-3b2d3d26a71a</t>
  </si>
  <si>
    <t>2026-03-05 07:41:14</t>
  </si>
  <si>
    <t>27760636278</t>
  </si>
  <si>
    <t>13562716</t>
  </si>
  <si>
    <t>dedf7aaa-4480-4665-85b8-459c157fe092</t>
  </si>
  <si>
    <t>2026-03-05 07:39:31</t>
  </si>
  <si>
    <t>27728493610</t>
  </si>
  <si>
    <t>13561576</t>
  </si>
  <si>
    <t>ee02baa6-9299-4794-8f2a-bba4ceb57be8</t>
  </si>
  <si>
    <t>2026-03-05 07:38:15</t>
  </si>
  <si>
    <t>27714118099</t>
  </si>
  <si>
    <t>13560452</t>
  </si>
  <si>
    <t>9042e962-2fe7-4c99-9eac-f8a8bb4dfcb2</t>
  </si>
  <si>
    <t>2026-03-05 07:38:02</t>
  </si>
  <si>
    <t>27664494813</t>
  </si>
  <si>
    <t>13555448</t>
  </si>
  <si>
    <t>9adf48c3-82de-45ab-8536-eb23dc03a30c</t>
  </si>
  <si>
    <t>2026-03-05 07:37:09</t>
  </si>
  <si>
    <t>27672263998</t>
  </si>
  <si>
    <t>13555460</t>
  </si>
  <si>
    <t>ba0859f2-5633-473d-9b79-49fa8c4556f3</t>
  </si>
  <si>
    <t>2026-03-05 07:37:08</t>
  </si>
  <si>
    <t>27673307116</t>
  </si>
  <si>
    <t>13555533</t>
  </si>
  <si>
    <t>15bfbb35-d03b-454a-86a5-b72c7f9f44c3</t>
  </si>
  <si>
    <t>2026-03-05 07:37:01</t>
  </si>
  <si>
    <t>27711214922</t>
  </si>
  <si>
    <t>13563229</t>
  </si>
  <si>
    <t>381d6966-29de-43ec-9347-5cdfbeea612f</t>
  </si>
  <si>
    <t>2026-03-05 07:36:55</t>
  </si>
  <si>
    <t>27713913708</t>
  </si>
  <si>
    <t>13555386</t>
  </si>
  <si>
    <t>f40ed223-6a2c-4d34-9d45-8c45f7dd997f</t>
  </si>
  <si>
    <t>2026-03-05 07:36:50</t>
  </si>
  <si>
    <t>27664373135</t>
  </si>
  <si>
    <t>13562805</t>
  </si>
  <si>
    <t>04ca9881-2c6d-4cce-8c76-8a323e2d5d4c</t>
  </si>
  <si>
    <t>2026-03-05 07:36:48</t>
  </si>
  <si>
    <t>27711027396</t>
  </si>
  <si>
    <t>13555575</t>
  </si>
  <si>
    <t>4d62e056-d4b0-444e-816d-b81bc86aae96</t>
  </si>
  <si>
    <t>2026-03-05 07:35:51</t>
  </si>
  <si>
    <t>27711641474</t>
  </si>
  <si>
    <t>13555381</t>
  </si>
  <si>
    <t>ac38632d-6eb0-4113-afa1-f21a565c5a93</t>
  </si>
  <si>
    <t>2026-03-05 07:35:50</t>
  </si>
  <si>
    <t>27664274520</t>
  </si>
  <si>
    <t>13562565</t>
  </si>
  <si>
    <t>94e6f139-6c99-480d-9f03-43afde646a84</t>
  </si>
  <si>
    <t>2026-03-05 07:35:47</t>
  </si>
  <si>
    <t>Charlene Mbazima</t>
  </si>
  <si>
    <t>27714712255</t>
  </si>
  <si>
    <t>13563693</t>
  </si>
  <si>
    <t>6d7156e6-7b67-4cab-be58-49098ce3c715</t>
  </si>
  <si>
    <t>2026-03-05 07:35:35</t>
  </si>
  <si>
    <t>27712126691</t>
  </si>
  <si>
    <t>13555126</t>
  </si>
  <si>
    <t>d94423f5-2686-4833-8333-14b69da2dfed</t>
  </si>
  <si>
    <t>2026-03-05 07:35:33</t>
  </si>
  <si>
    <t>27648409718</t>
  </si>
  <si>
    <t>13555377</t>
  </si>
  <si>
    <t>778ed978-4ed0-4d1e-ba26-a3d4383846b3</t>
  </si>
  <si>
    <t>2026-03-05 07:35:27</t>
  </si>
  <si>
    <t>27664192267</t>
  </si>
  <si>
    <t>13555720</t>
  </si>
  <si>
    <t>c69a2774-7bb8-45e0-9f0c-82e1c3df1fe5</t>
  </si>
  <si>
    <t>2026-03-05 07:35:04</t>
  </si>
  <si>
    <t>27713184984</t>
  </si>
  <si>
    <t>13555993</t>
  </si>
  <si>
    <t>127c099a-f6f9-4a83-bfbc-6a0b38ce5d76</t>
  </si>
  <si>
    <t>2026-03-05 07:35:01</t>
  </si>
  <si>
    <t>27716179840</t>
  </si>
  <si>
    <t>13556128</t>
  </si>
  <si>
    <t>8bde47be-1acd-47de-a0e0-97671312f714</t>
  </si>
  <si>
    <t>2026-03-05 07:35:00</t>
  </si>
  <si>
    <t>27720910341</t>
  </si>
  <si>
    <t>13557346</t>
  </si>
  <si>
    <t>aaa974b6-2203-44a3-a606-9deddde828bb</t>
  </si>
  <si>
    <t>2026-03-05 07:34:58</t>
  </si>
  <si>
    <t>27762826043</t>
  </si>
  <si>
    <t>13562151</t>
  </si>
  <si>
    <t>a456f688-f669-4fa1-9d59-b1c37baf238e</t>
  </si>
  <si>
    <t>2026-03-05 07:34:55</t>
  </si>
  <si>
    <t>27818194421</t>
  </si>
  <si>
    <t>13561929</t>
  </si>
  <si>
    <t>30f7cf9c-f624-4d5a-a957-3be25b3dfe27</t>
  </si>
  <si>
    <t>2026-03-05 07:34:30</t>
  </si>
  <si>
    <t>27727781378</t>
  </si>
  <si>
    <t>13557465</t>
  </si>
  <si>
    <t>99f41bb3-ad37-46e5-9238-b37a19c894f6</t>
  </si>
  <si>
    <t>2026-03-05 07:34:14</t>
  </si>
  <si>
    <t>27764081475</t>
  </si>
  <si>
    <t>13564226</t>
  </si>
  <si>
    <t>a32512f6-3229-41f3-a3a7-af2402f3f8a5</t>
  </si>
  <si>
    <t>2026-03-05 07:34:10</t>
  </si>
  <si>
    <t>27636319168</t>
  </si>
  <si>
    <t>13558219</t>
  </si>
  <si>
    <t>772dfdc8-f725-46ae-91eb-dc17e71b667d</t>
  </si>
  <si>
    <t>2026-03-05 07:34:07</t>
  </si>
  <si>
    <t>27791454195</t>
  </si>
  <si>
    <t>13560936</t>
  </si>
  <si>
    <t>33c8e0a3-9a55-42d6-b04e-b334b72ecba0</t>
  </si>
  <si>
    <t>2026-03-05 07:33:53</t>
  </si>
  <si>
    <t>27794158946</t>
  </si>
  <si>
    <t>13562299</t>
  </si>
  <si>
    <t>1c21f3b9-2034-4d01-bcbb-7e87bb5e5d5a</t>
  </si>
  <si>
    <t>2026-03-05 07:33:47</t>
  </si>
  <si>
    <t>27761481909</t>
  </si>
  <si>
    <t>13557997</t>
  </si>
  <si>
    <t>c11766da-aad3-4588-992b-dfb00ce5670f</t>
  </si>
  <si>
    <t>2026-03-05 07:32:53</t>
  </si>
  <si>
    <t>27769514439</t>
  </si>
  <si>
    <t>13562256</t>
  </si>
  <si>
    <t>16e61205-6898-4c0a-a348-951ee68efc8c</t>
  </si>
  <si>
    <t>2026-03-05 07:32:43</t>
  </si>
  <si>
    <t>27661537328</t>
  </si>
  <si>
    <t>13557235</t>
  </si>
  <si>
    <t>22c86a7e-c7e9-4125-95c8-8fa91cf6c688</t>
  </si>
  <si>
    <t>2026-03-05 07:32:42</t>
  </si>
  <si>
    <t>27761562654</t>
  </si>
  <si>
    <t>13559087</t>
  </si>
  <si>
    <t>3997d138-e50e-46f3-8271-570a2d2afb3b</t>
  </si>
  <si>
    <t>27822608146</t>
  </si>
  <si>
    <t>13557251</t>
  </si>
  <si>
    <t>db6ef194-4aed-445a-8f2f-06f0a1163ed4</t>
  </si>
  <si>
    <t>2026-03-05 07:32:41</t>
  </si>
  <si>
    <t>27761732782</t>
  </si>
  <si>
    <t>13564134</t>
  </si>
  <si>
    <t>d5213bb1-3bca-4b9c-85be-7fe3a085ba36</t>
  </si>
  <si>
    <t>2026-03-05 07:32:36</t>
  </si>
  <si>
    <t>27765678786</t>
  </si>
  <si>
    <t>13562184</t>
  </si>
  <si>
    <t>ffa3a85e-8c9a-4192-8135-49bee190a36e</t>
  </si>
  <si>
    <t>2026-03-05 07:32:04</t>
  </si>
  <si>
    <t>27727767039</t>
  </si>
  <si>
    <t>13564066</t>
  </si>
  <si>
    <t>7d0db4bc-d27b-46bf-9048-ce8c4b6932ed</t>
  </si>
  <si>
    <t>2026-03-05 07:31:24</t>
  </si>
  <si>
    <t>27768226404</t>
  </si>
  <si>
    <t>13563416</t>
  </si>
  <si>
    <t>4ed4e670-c120-4efa-9d26-91d9a94a41cd</t>
  </si>
  <si>
    <t>2026-03-05 07:31:22</t>
  </si>
  <si>
    <t>27765238560</t>
  </si>
  <si>
    <t>13563396</t>
  </si>
  <si>
    <t>ee02bf54-abc3-4b55-8572-4ca9c4d6b53a</t>
  </si>
  <si>
    <t>2026-03-05 07:31:19</t>
  </si>
  <si>
    <t>27712440090</t>
  </si>
  <si>
    <t>13564432</t>
  </si>
  <si>
    <t>3920736b-482a-4020-8a70-6a629f4e1dee</t>
  </si>
  <si>
    <t>2026-03-05 07:31:12</t>
  </si>
  <si>
    <t>27608087813</t>
  </si>
  <si>
    <t>13561529</t>
  </si>
  <si>
    <t>43d7cc0f-5acd-4c0c-a21e-9f52badb5a25</t>
  </si>
  <si>
    <t>2026-03-05 07:30:38</t>
  </si>
  <si>
    <t>27609419969</t>
  </si>
  <si>
    <t>13563341</t>
  </si>
  <si>
    <t>686a6e08-bc6b-48c7-89ab-2a96428cff17</t>
  </si>
  <si>
    <t>2026-03-05 07:30:37</t>
  </si>
  <si>
    <t>27791377901</t>
  </si>
  <si>
    <t>13564716</t>
  </si>
  <si>
    <t>5d222fa6-e566-4431-b031-f7f1d93ff21f</t>
  </si>
  <si>
    <t>2026-03-05 07:30:34</t>
  </si>
  <si>
    <t>27606298762</t>
  </si>
  <si>
    <t>13561416</t>
  </si>
  <si>
    <t>e018bd01-9da5-4a91-91f6-1617edd7c212</t>
  </si>
  <si>
    <t>2026-03-05 07:30:14</t>
  </si>
  <si>
    <t>27664982061</t>
  </si>
  <si>
    <t>13559021</t>
  </si>
  <si>
    <t>529ae103-95d9-4bfc-ae9a-61c7e0d25eca</t>
  </si>
  <si>
    <t>2026-03-05 07:30:11</t>
  </si>
  <si>
    <t>27820640083</t>
  </si>
  <si>
    <t>13562796</t>
  </si>
  <si>
    <t>1832b179-74b6-43a8-9581-de0a0237ec40</t>
  </si>
  <si>
    <t>2026-03-05 07:29:09</t>
  </si>
  <si>
    <t>27711360891</t>
  </si>
  <si>
    <t>13562800</t>
  </si>
  <si>
    <t>adcecdbc-f38b-4bb5-9c09-406d583e2e51</t>
  </si>
  <si>
    <t>2026-03-05 07:29:08</t>
  </si>
  <si>
    <t>27646271616</t>
  </si>
  <si>
    <t>13559529</t>
  </si>
  <si>
    <t>3017902d-5964-467d-a17c-5bdaeb789c5e</t>
  </si>
  <si>
    <t>2026-03-05 07:29:05</t>
  </si>
  <si>
    <t>27828052041</t>
  </si>
  <si>
    <t>13559558</t>
  </si>
  <si>
    <t>7a0f3958-0530-49c0-b159-918cdd160f10</t>
  </si>
  <si>
    <t>27828442847</t>
  </si>
  <si>
    <t>13558471</t>
  </si>
  <si>
    <t>cca5d55b-2f03-42d3-935c-a027ad2fe689</t>
  </si>
  <si>
    <t>2026-03-05 07:29:01</t>
  </si>
  <si>
    <t>27794389362</t>
  </si>
  <si>
    <t>13561448</t>
  </si>
  <si>
    <t>2a1c3cc7-9f28-49d9-abc8-563cb89f6625</t>
  </si>
  <si>
    <t>2026-03-05 07:28:57</t>
  </si>
  <si>
    <t>27713960924</t>
  </si>
  <si>
    <t>13560046</t>
  </si>
  <si>
    <t>6e996281-3bd4-4b4c-8042-4a70b6f17477</t>
  </si>
  <si>
    <t>2026-03-05 07:28:53</t>
  </si>
  <si>
    <t>27799438674</t>
  </si>
  <si>
    <t>13560055</t>
  </si>
  <si>
    <t>242357c3-9a5d-438c-90b4-938ca8cf39bf</t>
  </si>
  <si>
    <t>2026-03-05 07:28:51</t>
  </si>
  <si>
    <t>27646623319</t>
  </si>
  <si>
    <t>13560056</t>
  </si>
  <si>
    <t>3082e22b-a221-48c4-a633-19e7b5cbe72f</t>
  </si>
  <si>
    <t>27722500565</t>
  </si>
  <si>
    <t>13561443</t>
  </si>
  <si>
    <t>f3479e79-40d8-431d-99fb-efe70a66a1fb</t>
  </si>
  <si>
    <t>2026-03-05 07:28:46</t>
  </si>
  <si>
    <t>27727952775</t>
  </si>
  <si>
    <t>13562275</t>
  </si>
  <si>
    <t>dd43fb84-de35-48dc-afa4-1eae0aed65f6</t>
  </si>
  <si>
    <t>2026-03-05 07:28:17</t>
  </si>
  <si>
    <t>27766892212</t>
  </si>
  <si>
    <t>13560197</t>
  </si>
  <si>
    <t>e4ebc222-1074-498d-8e01-895fac14c271</t>
  </si>
  <si>
    <t>2026-03-05 07:28:05</t>
  </si>
  <si>
    <t>27711243891</t>
  </si>
  <si>
    <t>13559063</t>
  </si>
  <si>
    <t>ca9a2168-ea28-4672-a120-33f1c04d568d</t>
  </si>
  <si>
    <t>2026-03-05 07:27:50</t>
  </si>
  <si>
    <t>27822231210</t>
  </si>
  <si>
    <t>13559969</t>
  </si>
  <si>
    <t>70e4b5c8-4be1-4053-9c58-afc39060b958</t>
  </si>
  <si>
    <t>2026-03-05 07:27:47</t>
  </si>
  <si>
    <t>27766557566</t>
  </si>
  <si>
    <t>13562375</t>
  </si>
  <si>
    <t>82853f78-486b-49d5-8bbf-3adc53a50a70</t>
  </si>
  <si>
    <t>27729483846</t>
  </si>
  <si>
    <t>13559971</t>
  </si>
  <si>
    <t>181f9008-dfb6-4ac7-8901-442ac04c9181</t>
  </si>
  <si>
    <t>2026-03-05 07:27:46</t>
  </si>
  <si>
    <t>27662509040</t>
  </si>
  <si>
    <t>13557742</t>
  </si>
  <si>
    <t>5e5b1027-9dd3-4d87-b858-4db04746f99e</t>
  </si>
  <si>
    <t>2026-03-05 07:27:44</t>
  </si>
  <si>
    <t>27766904939</t>
  </si>
  <si>
    <t>13557762</t>
  </si>
  <si>
    <t>86a7335f-e922-475e-b27d-90c3fe93fb16</t>
  </si>
  <si>
    <t>2026-03-05 07:27:36</t>
  </si>
  <si>
    <t>27767115282</t>
  </si>
  <si>
    <t>13562647</t>
  </si>
  <si>
    <t>232b0572-ae37-4194-97b2-5f5e0e2819e2</t>
  </si>
  <si>
    <t>2026-03-05 07:27:26</t>
  </si>
  <si>
    <t>27728305622</t>
  </si>
  <si>
    <t>13563863</t>
  </si>
  <si>
    <t>c12944e5-c0d4-4449-8be5-ae2b0bf202fa</t>
  </si>
  <si>
    <t>2026-03-05 07:27:19</t>
  </si>
  <si>
    <t>27769420413</t>
  </si>
  <si>
    <t>13558422</t>
  </si>
  <si>
    <t>238998a1-f892-4c0f-b73e-ae1d913761b8</t>
  </si>
  <si>
    <t>2026-03-05 07:26:36</t>
  </si>
  <si>
    <t>27793793605</t>
  </si>
  <si>
    <t>13560269</t>
  </si>
  <si>
    <t>343bdf15-b2dd-4ae5-9e3d-4a25b9ec40b8</t>
  </si>
  <si>
    <t>2026-03-05 07:26:34</t>
  </si>
  <si>
    <t>27726540736</t>
  </si>
  <si>
    <t>13560208</t>
  </si>
  <si>
    <t>52384c44-b728-4fc0-9f78-723b0b699888</t>
  </si>
  <si>
    <t>2026-03-05 07:26:29</t>
  </si>
  <si>
    <t>27729474734</t>
  </si>
  <si>
    <t>13555645</t>
  </si>
  <si>
    <t>7490aa71-48e8-49d2-912b-2712994683f2</t>
  </si>
  <si>
    <t>2026-03-05 07:26:25</t>
  </si>
  <si>
    <t>27712492287</t>
  </si>
  <si>
    <t>13559033</t>
  </si>
  <si>
    <t>1f6792d7-bead-405f-b089-a5847f0ce4f0</t>
  </si>
  <si>
    <t>2026-03-05 07:26:11</t>
  </si>
  <si>
    <t>27820775294</t>
  </si>
  <si>
    <t>13557860</t>
  </si>
  <si>
    <t>3c625289-860f-4093-bfc5-8a0442fed920</t>
  </si>
  <si>
    <t>2026-03-05 07:26:07</t>
  </si>
  <si>
    <t>27768095788</t>
  </si>
  <si>
    <t>13559548</t>
  </si>
  <si>
    <t>71c1a980-a9d8-47f7-99f2-d3c2b22c3be2</t>
  </si>
  <si>
    <t>2026-03-05 07:25:56</t>
  </si>
  <si>
    <t>27828310624</t>
  </si>
  <si>
    <t>13562187</t>
  </si>
  <si>
    <t>c76feec8-ab39-4951-b6b8-56b5b78affd1</t>
  </si>
  <si>
    <t>2026-03-05 07:25:41</t>
  </si>
  <si>
    <t>27663996557</t>
  </si>
  <si>
    <t>13560716</t>
  </si>
  <si>
    <t>54c8e613-f8e3-4580-aac8-0e7df3b7dad1</t>
  </si>
  <si>
    <t>2026-03-05 07:24:21</t>
  </si>
  <si>
    <t>27711134446</t>
  </si>
  <si>
    <t>13560908</t>
  </si>
  <si>
    <t>068672c1-fad3-4325-8523-8fcb340879ac</t>
  </si>
  <si>
    <t>2026-03-05 07:24:17</t>
  </si>
  <si>
    <t>27823427809</t>
  </si>
  <si>
    <t>13562160</t>
  </si>
  <si>
    <t>efbd480e-5961-4b68-9651-5510d5e72efa</t>
  </si>
  <si>
    <t>2026-03-05 07:24:15</t>
  </si>
  <si>
    <t>27732525258</t>
  </si>
  <si>
    <t>13562830</t>
  </si>
  <si>
    <t>7fdfaa26-3320-4dcc-b89a-515fce815c20</t>
  </si>
  <si>
    <t>2026-03-05 07:23:45</t>
  </si>
  <si>
    <t>27664842286</t>
  </si>
  <si>
    <t>13557832</t>
  </si>
  <si>
    <t>6f8ebdc7-b770-4649-ae1e-da6271fd1a5e</t>
  </si>
  <si>
    <t>2026-03-05 07:23:43</t>
  </si>
  <si>
    <t>27767789592</t>
  </si>
  <si>
    <t>13564000</t>
  </si>
  <si>
    <t>4713cd00-8440-4fd1-a21b-795bb5acb739</t>
  </si>
  <si>
    <t>2026-03-05 07:23:34</t>
  </si>
  <si>
    <t>27675664544</t>
  </si>
  <si>
    <t>13564117</t>
  </si>
  <si>
    <t>9bc618f0-cdc2-48c6-8dfa-d60cd6f21a7d</t>
  </si>
  <si>
    <t>27786813135</t>
  </si>
  <si>
    <t>13558439</t>
  </si>
  <si>
    <t>895d39ed-beb9-49bc-8643-61e653d54a5f</t>
  </si>
  <si>
    <t>2026-03-05 07:23:00</t>
  </si>
  <si>
    <t>27793997866</t>
  </si>
  <si>
    <t>13558426</t>
  </si>
  <si>
    <t>1c85e681-c732-4281-a81a-da1de2c5651b</t>
  </si>
  <si>
    <t>2026-03-05 07:22:53</t>
  </si>
  <si>
    <t>27793846685</t>
  </si>
  <si>
    <t>13561575</t>
  </si>
  <si>
    <t>629fa440-2316-4eb2-8ca7-f9b0ec9ff383</t>
  </si>
  <si>
    <t>2026-03-05 07:22:51</t>
  </si>
  <si>
    <t>27714100011</t>
  </si>
  <si>
    <t>13558322</t>
  </si>
  <si>
    <t>a6061c16-0fc4-4876-affa-153a707ee1b5</t>
  </si>
  <si>
    <t>2026-03-05 07:22:50</t>
  </si>
  <si>
    <t>27792760702</t>
  </si>
  <si>
    <t>13562786</t>
  </si>
  <si>
    <t>3b341a32-4e01-40b4-8bf2-9550925d4275</t>
  </si>
  <si>
    <t>27765475770</t>
  </si>
  <si>
    <t>13558308</t>
  </si>
  <si>
    <t>0218ed3c-66a8-4b46-8e75-0aa8b8293b4f</t>
  </si>
  <si>
    <t>2026-03-05 07:22:48</t>
  </si>
  <si>
    <t>27792637883</t>
  </si>
  <si>
    <t>13558314</t>
  </si>
  <si>
    <t>8ab3644a-8459-4064-af58-1a266f9682a2</t>
  </si>
  <si>
    <t>27792720995</t>
  </si>
  <si>
    <t>13558304</t>
  </si>
  <si>
    <t>5fe0fd5a-7714-4b73-8c50-8962a5e096e2</t>
  </si>
  <si>
    <t>2026-03-05 07:22:47</t>
  </si>
  <si>
    <t>27792543825</t>
  </si>
  <si>
    <t>13558312</t>
  </si>
  <si>
    <t>b2fe80b0-0250-4e8c-a519-c1c6cfa5c97d</t>
  </si>
  <si>
    <t>27792694793</t>
  </si>
  <si>
    <t>13558278</t>
  </si>
  <si>
    <t>3dc16c76-f650-4572-a9fc-1673d09b05bf</t>
  </si>
  <si>
    <t>2026-03-05 07:22:42</t>
  </si>
  <si>
    <t>27792178442</t>
  </si>
  <si>
    <t>13561461</t>
  </si>
  <si>
    <t>c810edbd-b8a6-47a5-b7de-8e8c75261502</t>
  </si>
  <si>
    <t>2026-03-05 07:22:35</t>
  </si>
  <si>
    <t>27714257569</t>
  </si>
  <si>
    <t>13557626</t>
  </si>
  <si>
    <t>502bc724-0ae6-47b2-985b-cc9998319f8c</t>
  </si>
  <si>
    <t>2026-03-05 07:21:52</t>
  </si>
  <si>
    <t>27765769777</t>
  </si>
  <si>
    <t>13557795</t>
  </si>
  <si>
    <t>9110f75f-9ade-4632-8849-a618a9ef8c95</t>
  </si>
  <si>
    <t>27767461737</t>
  </si>
  <si>
    <t>13562229</t>
  </si>
  <si>
    <t>edb0fcf2-767c-4771-918e-ae42fead6df0</t>
  </si>
  <si>
    <t>2026-03-05 07:21:51</t>
  </si>
  <si>
    <t>27713476605</t>
  </si>
  <si>
    <t>13557639</t>
  </si>
  <si>
    <t>db8ea674-b7b8-45fb-8b84-5ed693ef6d4e</t>
  </si>
  <si>
    <t>2026-03-05 07:21:49</t>
  </si>
  <si>
    <t>27765915636</t>
  </si>
  <si>
    <t>13557825</t>
  </si>
  <si>
    <t>2773148c-f707-4b8f-b4d4-439e48de98c2</t>
  </si>
  <si>
    <t>2026-03-05 07:21:48</t>
  </si>
  <si>
    <t>27767714597</t>
  </si>
  <si>
    <t>13557690</t>
  </si>
  <si>
    <t>ef7b3614-1603-475e-b437-abf4e23af5b9</t>
  </si>
  <si>
    <t>2026-03-05 07:21:35</t>
  </si>
  <si>
    <t>27766403250</t>
  </si>
  <si>
    <t>13557854</t>
  </si>
  <si>
    <t>2fc19f68-4881-4bbf-a94c-883dae16c075</t>
  </si>
  <si>
    <t>2026-03-05 07:21:30</t>
  </si>
  <si>
    <t>27768036127</t>
  </si>
  <si>
    <t>13557907</t>
  </si>
  <si>
    <t>4096ce51-7c57-462f-8744-cedfa3f2a981</t>
  </si>
  <si>
    <t>2026-03-05 07:21:03</t>
  </si>
  <si>
    <t>27768565052</t>
  </si>
  <si>
    <t>13561301</t>
  </si>
  <si>
    <t>a8815c2e-4bc9-4b2f-b4ed-c20900acf2b7</t>
  </si>
  <si>
    <t>2026-03-05 07:20:27</t>
  </si>
  <si>
    <t>27646410970</t>
  </si>
  <si>
    <t>13561792</t>
  </si>
  <si>
    <t>b17d361b-6214-48e0-9f06-f64c83ab4f49</t>
  </si>
  <si>
    <t>2026-03-05 07:20:26</t>
  </si>
  <si>
    <t>27760839249</t>
  </si>
  <si>
    <t>13562540</t>
  </si>
  <si>
    <t>80d87be9-80cc-49fa-9de8-a410e02e9424</t>
  </si>
  <si>
    <t>2026-03-05 07:20:23</t>
  </si>
  <si>
    <t>27769953246</t>
  </si>
  <si>
    <t>13559310</t>
  </si>
  <si>
    <t>7702e9d1-3e88-4a22-9b68-d3b23ef086c9</t>
  </si>
  <si>
    <t>2026-03-05 07:20:21</t>
  </si>
  <si>
    <t>27825380757</t>
  </si>
  <si>
    <t>13564041</t>
  </si>
  <si>
    <t>cf8984c9-3619-4944-9e8c-922c541752bc</t>
  </si>
  <si>
    <t>2026-03-05 07:20:14</t>
  </si>
  <si>
    <t>27765759271</t>
  </si>
  <si>
    <t>13559240</t>
  </si>
  <si>
    <t>36148f77-fd81-4002-8bff-965de2f881c7</t>
  </si>
  <si>
    <t>2026-03-05 07:19:11</t>
  </si>
  <si>
    <t>27824601089</t>
  </si>
  <si>
    <t>13563386</t>
  </si>
  <si>
    <t>261588cf-d9fb-42b5-932f-79fd56ed7822</t>
  </si>
  <si>
    <t>2026-03-05 07:19:03</t>
  </si>
  <si>
    <t>27767132696</t>
  </si>
  <si>
    <t>13559164</t>
  </si>
  <si>
    <t>279260ed-23f5-48ed-b726-a96704af85e7</t>
  </si>
  <si>
    <t>2026-03-05 07:18:58</t>
  </si>
  <si>
    <t>27823749852</t>
  </si>
  <si>
    <t>13561235</t>
  </si>
  <si>
    <t>06842fa4-6a81-4ad5-8885-e4e7103c7183</t>
  </si>
  <si>
    <t>2026-03-05 07:18:51</t>
  </si>
  <si>
    <t>27647048678</t>
  </si>
  <si>
    <t>13559149</t>
  </si>
  <si>
    <t>5bd5fe83-3210-481b-9e8c-824af2d858f8</t>
  </si>
  <si>
    <t>2026-03-05 07:18:47</t>
  </si>
  <si>
    <t>27823547601</t>
  </si>
  <si>
    <t>13557891</t>
  </si>
  <si>
    <t>302d5b8d-af67-4c51-97ee-10a13fb478e8</t>
  </si>
  <si>
    <t>2026-03-05 07:18:09</t>
  </si>
  <si>
    <t>27768315971</t>
  </si>
  <si>
    <t>13557932</t>
  </si>
  <si>
    <t>8974e8a8-4f20-4b34-a8a2-4831101a6dd3</t>
  </si>
  <si>
    <t>2026-03-05 07:18:03</t>
  </si>
  <si>
    <t>27768813635</t>
  </si>
  <si>
    <t>13557933</t>
  </si>
  <si>
    <t>71990fab-16ff-40ef-a013-ca8c22755bfc</t>
  </si>
  <si>
    <t>2026-03-05 07:18:02</t>
  </si>
  <si>
    <t>27768823418</t>
  </si>
  <si>
    <t>13557957</t>
  </si>
  <si>
    <t>57c5e863-41a3-4666-af4f-b2a2272633fe</t>
  </si>
  <si>
    <t>2026-03-05 07:17:48</t>
  </si>
  <si>
    <t>27769048878</t>
  </si>
  <si>
    <t>13557962</t>
  </si>
  <si>
    <t>eb91b6d4-62b3-43e0-8da1-bf6f7a1be34c</t>
  </si>
  <si>
    <t>2026-03-05 07:17:45</t>
  </si>
  <si>
    <t>27769078868</t>
  </si>
  <si>
    <t>13556516</t>
  </si>
  <si>
    <t>656129ba-8e47-4393-ac33-16be2b407f0a</t>
  </si>
  <si>
    <t>2026-03-05 07:16:39</t>
  </si>
  <si>
    <t>27724637981</t>
  </si>
  <si>
    <t>13557781</t>
  </si>
  <si>
    <t>360152da-bead-4531-887d-5bc64e346578</t>
  </si>
  <si>
    <t>27767358350</t>
  </si>
  <si>
    <t>13561809</t>
  </si>
  <si>
    <t>72ca075f-b5b3-4260-baf3-0cf97f8306f2</t>
  </si>
  <si>
    <t>2026-03-05 07:16:36</t>
  </si>
  <si>
    <t>27661089406</t>
  </si>
  <si>
    <t>13561320</t>
  </si>
  <si>
    <t>7993c2e0-2cb7-46a4-88d3-56a15a74921b</t>
  </si>
  <si>
    <t>2026-03-05 07:16:35</t>
  </si>
  <si>
    <t>27647280811</t>
  </si>
  <si>
    <t>13562482</t>
  </si>
  <si>
    <t>fe908135-9f27-48d7-abe9-d3333b685466</t>
  </si>
  <si>
    <t>27727636109</t>
  </si>
  <si>
    <t>13557788</t>
  </si>
  <si>
    <t>d7593fe4-c74c-4bd4-8250-7753458fd26e</t>
  </si>
  <si>
    <t>2026-03-05 07:16:33</t>
  </si>
  <si>
    <t>27767404171</t>
  </si>
  <si>
    <t>13561917</t>
  </si>
  <si>
    <t>37f91af1-c0ce-42fb-9f10-87d1949d8c84</t>
  </si>
  <si>
    <t>2026-03-05 07:16:31</t>
  </si>
  <si>
    <t>27637017476</t>
  </si>
  <si>
    <t>13561904</t>
  </si>
  <si>
    <t>3c963722-8566-422a-8d10-ad9e48d9ff1c</t>
  </si>
  <si>
    <t>2026-03-05 07:16:12</t>
  </si>
  <si>
    <t>27608481417</t>
  </si>
  <si>
    <t>13563275</t>
  </si>
  <si>
    <t>9bad1a0c-2ec5-4b44-be2c-5fe651df86fa</t>
  </si>
  <si>
    <t>2026-03-05 07:15:31</t>
  </si>
  <si>
    <t>27606432066</t>
  </si>
  <si>
    <t>13561609</t>
  </si>
  <si>
    <t>132a0246-5fbf-47f8-a65d-1205752eff90</t>
  </si>
  <si>
    <t>2026-03-05 07:15:28</t>
  </si>
  <si>
    <t>27609315288</t>
  </si>
  <si>
    <t>13561219</t>
  </si>
  <si>
    <t>0bd5c2a9-e370-403b-9648-be124ceb5dfd</t>
  </si>
  <si>
    <t>2026-03-05 07:15:24</t>
  </si>
  <si>
    <t>27728556598</t>
  </si>
  <si>
    <t>13561909</t>
  </si>
  <si>
    <t>86e26bae-63a7-4149-a997-01585f0ab70b</t>
  </si>
  <si>
    <t>2026-03-05 07:15:23</t>
  </si>
  <si>
    <t>27664299121</t>
  </si>
  <si>
    <t>13563220</t>
  </si>
  <si>
    <t>fbe5db47-3e50-42b2-907e-533c110a7559</t>
  </si>
  <si>
    <t>2026-03-05 07:15:16</t>
  </si>
  <si>
    <t>27636389336</t>
  </si>
  <si>
    <t>13563522</t>
  </si>
  <si>
    <t>77d9908c-c59f-455c-923b-3b0e60915529</t>
  </si>
  <si>
    <t>2026-03-05 07:15:14</t>
  </si>
  <si>
    <t>27713168130</t>
  </si>
  <si>
    <t>13562494</t>
  </si>
  <si>
    <t>048e5184-65b8-4c0b-9781-df77cc29faca</t>
  </si>
  <si>
    <t>2026-03-05 07:14:28</t>
  </si>
  <si>
    <t>27721411856</t>
  </si>
  <si>
    <t>13558103</t>
  </si>
  <si>
    <t>8a4a4ab4-a412-4741-98a1-3a3202b4e303</t>
  </si>
  <si>
    <t>2026-03-05 07:14:27</t>
  </si>
  <si>
    <t>27790183404</t>
  </si>
  <si>
    <t>13558118</t>
  </si>
  <si>
    <t>a441b2f9-9f0e-4a5e-ba68-11e9bdd66435</t>
  </si>
  <si>
    <t>2026-03-05 07:14:23</t>
  </si>
  <si>
    <t>27790278738</t>
  </si>
  <si>
    <t>13559009</t>
  </si>
  <si>
    <t>f872ff4a-7143-4e07-94b1-60d334f9663d</t>
  </si>
  <si>
    <t>27820511775</t>
  </si>
  <si>
    <t>13558124</t>
  </si>
  <si>
    <t>996ac412-37b9-433f-bb46-6d6901c5fec0</t>
  </si>
  <si>
    <t>2026-03-05 07:14:20</t>
  </si>
  <si>
    <t>27790341358</t>
  </si>
  <si>
    <t>13558125</t>
  </si>
  <si>
    <t>664d4b3b-d24f-465f-8ccb-923e069e6002</t>
  </si>
  <si>
    <t>27790354210</t>
  </si>
  <si>
    <t>13559024</t>
  </si>
  <si>
    <t>d3c5ff6f-0e26-4227-8cf5-3a95cabe4b98</t>
  </si>
  <si>
    <t>2026-03-05 07:14:16</t>
  </si>
  <si>
    <t>27820690238</t>
  </si>
  <si>
    <t>13558342</t>
  </si>
  <si>
    <t>fb52ca7d-8a0a-4786-9274-f7afaaaef78b</t>
  </si>
  <si>
    <t>2026-03-05 07:14:14</t>
  </si>
  <si>
    <t>27792966572</t>
  </si>
  <si>
    <t>13562808</t>
  </si>
  <si>
    <t>747f7fbe-07a4-43fd-80f5-31d161dc4de0</t>
  </si>
  <si>
    <t>2026-03-05 07:13:37</t>
  </si>
  <si>
    <t>27726641182</t>
  </si>
  <si>
    <t>13558152</t>
  </si>
  <si>
    <t>ce617a3e-01e3-4065-bcd4-ce42a384d400</t>
  </si>
  <si>
    <t>2026-03-05 07:13:30</t>
  </si>
  <si>
    <t>27790677211</t>
  </si>
  <si>
    <t>13558174</t>
  </si>
  <si>
    <t>dfbe7d65-4e46-4a03-9098-9c8761b4a3cf</t>
  </si>
  <si>
    <t>27790988662</t>
  </si>
  <si>
    <t>13558696</t>
  </si>
  <si>
    <t>18d705d3-a767-4817-b594-eeaefd5ef0dc</t>
  </si>
  <si>
    <t>2026-03-05 07:12:59</t>
  </si>
  <si>
    <t>27797072803</t>
  </si>
  <si>
    <t>13558726</t>
  </si>
  <si>
    <t>80b5eb2b-b12e-4513-9ff6-6fbed269f789</t>
  </si>
  <si>
    <t>2026-03-05 07:12:58</t>
  </si>
  <si>
    <t>27797444889</t>
  </si>
  <si>
    <t>13558746</t>
  </si>
  <si>
    <t>9eb2797d-cc79-48ba-9f87-2df3f067bba9</t>
  </si>
  <si>
    <t>2026-03-05 07:12:55</t>
  </si>
  <si>
    <t>27797649840</t>
  </si>
  <si>
    <t>13558758</t>
  </si>
  <si>
    <t>45fcffcd-c793-4409-b989-addbf92d06d9</t>
  </si>
  <si>
    <t>2026-03-05 07:12:54</t>
  </si>
  <si>
    <t>27797866841</t>
  </si>
  <si>
    <t>13558774</t>
  </si>
  <si>
    <t>877d3694-114c-441e-8c86-63310fccfccb</t>
  </si>
  <si>
    <t>2026-03-05 07:12:05</t>
  </si>
  <si>
    <t>27798029841</t>
  </si>
  <si>
    <t>13558789</t>
  </si>
  <si>
    <t>01ce36be-76ff-4ea7-aecf-80425c0881e3</t>
  </si>
  <si>
    <t>2026-03-05 07:12:01</t>
  </si>
  <si>
    <t>27798231846</t>
  </si>
  <si>
    <t>13558799</t>
  </si>
  <si>
    <t>ff7d8d7e-f410-4030-8287-c09f0d6fdf88</t>
  </si>
  <si>
    <t>2026-03-05 07:12:00</t>
  </si>
  <si>
    <t>27798378669</t>
  </si>
  <si>
    <t>13559000</t>
  </si>
  <si>
    <t>2c4e779a-f2cd-40e5-96cb-759f4777f8a0</t>
  </si>
  <si>
    <t>2026-03-05 07:11:50</t>
  </si>
  <si>
    <t>27820415310</t>
  </si>
  <si>
    <t>13560702</t>
  </si>
  <si>
    <t>3d6fa2af-72e1-4558-bb15-9977a455be0e</t>
  </si>
  <si>
    <t>2026-03-05 07:11:15</t>
  </si>
  <si>
    <t>27648233500</t>
  </si>
  <si>
    <t>13559435</t>
  </si>
  <si>
    <t>920b1c6b-b769-42b3-bd27-61adf18f2452</t>
  </si>
  <si>
    <t>2026-03-05 07:11:08</t>
  </si>
  <si>
    <t>27826859101</t>
  </si>
  <si>
    <t>13557581</t>
  </si>
  <si>
    <t>4e7e7cd9-1812-4435-88da-527049ddec18</t>
  </si>
  <si>
    <t>2026-03-05 07:11:07</t>
  </si>
  <si>
    <t>27765354449</t>
  </si>
  <si>
    <t>13559441</t>
  </si>
  <si>
    <t>308355e3-d311-4403-b6a4-e8821eda4368</t>
  </si>
  <si>
    <t>2026-03-05 07:11:06</t>
  </si>
  <si>
    <t>27826936766</t>
  </si>
  <si>
    <t>13557559</t>
  </si>
  <si>
    <t>376e6080-88cd-46d1-8632-b62dffed3f99</t>
  </si>
  <si>
    <t>2026-03-05 07:11:00</t>
  </si>
  <si>
    <t>27765093203</t>
  </si>
  <si>
    <t>13557544</t>
  </si>
  <si>
    <t>aa160cf3-3ddd-4b9c-87dd-8ec9a51232aa</t>
  </si>
  <si>
    <t>2026-03-05 07:10:07</t>
  </si>
  <si>
    <t>27764958416</t>
  </si>
  <si>
    <t>13559468</t>
  </si>
  <si>
    <t>d8662e52-ecee-453a-8a63-cf5e2b223db1</t>
  </si>
  <si>
    <t>2026-03-05 07:09:51</t>
  </si>
  <si>
    <t>27827254106</t>
  </si>
  <si>
    <t>13557491</t>
  </si>
  <si>
    <t>9810e4db-c785-46d7-9703-68950c1cbe72</t>
  </si>
  <si>
    <t>2026-03-05 07:09:47</t>
  </si>
  <si>
    <t>27764382974</t>
  </si>
  <si>
    <t>13558348</t>
  </si>
  <si>
    <t>78df115e-bd58-47d2-b295-1ba5e669f0df</t>
  </si>
  <si>
    <t>2026-03-05 07:09:31</t>
  </si>
  <si>
    <t>27792998977</t>
  </si>
  <si>
    <t>13558347</t>
  </si>
  <si>
    <t>a40ae615-d097-4150-824e-dd4dcd3fcef8</t>
  </si>
  <si>
    <t>2026-03-05 07:09:30</t>
  </si>
  <si>
    <t>27792997919</t>
  </si>
  <si>
    <t>13558346</t>
  </si>
  <si>
    <t>f987478f-92c5-422c-8c77-e5e073f568d0</t>
  </si>
  <si>
    <t>2026-03-05 07:09:29</t>
  </si>
  <si>
    <t>27792993556</t>
  </si>
  <si>
    <t>13562332</t>
  </si>
  <si>
    <t>8ecb0e69-9fd7-4d7c-84c2-18b490a58fc6</t>
  </si>
  <si>
    <t>2026-03-05 07:08:55</t>
  </si>
  <si>
    <t>27715010716</t>
  </si>
  <si>
    <t>13561921</t>
  </si>
  <si>
    <t>f8079d2b-bfa2-4f01-a9d7-d784405ba7cc</t>
  </si>
  <si>
    <t>2026-03-05 07:08:48</t>
  </si>
  <si>
    <t>27791127273</t>
  </si>
  <si>
    <t>13561934</t>
  </si>
  <si>
    <t>69ddb208-e72f-47a9-b138-8be0a1a55e4a</t>
  </si>
  <si>
    <t>2026-03-05 07:08:45</t>
  </si>
  <si>
    <t>27647418994</t>
  </si>
  <si>
    <t>13561937</t>
  </si>
  <si>
    <t>9926cc97-a47d-4a1e-a0bd-42e94696429f</t>
  </si>
  <si>
    <t>2026-03-05 07:08:41</t>
  </si>
  <si>
    <t>27828158756</t>
  </si>
  <si>
    <t>13561955</t>
  </si>
  <si>
    <t>ffe2f5af-d09c-4a02-a434-4faa41c4434d</t>
  </si>
  <si>
    <t>2026-03-05 07:08:40</t>
  </si>
  <si>
    <t>27766420228</t>
  </si>
  <si>
    <t>13558332</t>
  </si>
  <si>
    <t>87339d0a-fb0e-4056-9b35-4514c783d95e</t>
  </si>
  <si>
    <t>2026-03-05 07:07:42</t>
  </si>
  <si>
    <t>27792915941</t>
  </si>
  <si>
    <t>13560097</t>
  </si>
  <si>
    <t>73b0460f-e52d-45c5-aff7-f04f73a2984a</t>
  </si>
  <si>
    <t>2026-03-05 07:07:40</t>
  </si>
  <si>
    <t>27764072377</t>
  </si>
  <si>
    <t>13562553</t>
  </si>
  <si>
    <t>0a74e173-d1b6-45dc-bbbe-8c47740be87e</t>
  </si>
  <si>
    <t>2026-03-05 07:07:39</t>
  </si>
  <si>
    <t>27715909886</t>
  </si>
  <si>
    <t>13562282</t>
  </si>
  <si>
    <t>50f70874-2713-4bc4-bfc7-d5884416f3c3</t>
  </si>
  <si>
    <t>2026-03-05 07:07:18</t>
  </si>
  <si>
    <t>27789782510</t>
  </si>
  <si>
    <t>13560473</t>
  </si>
  <si>
    <t>19da193b-5e47-4565-b99b-2d019b63cef8</t>
  </si>
  <si>
    <t>2026-03-05 07:07:10</t>
  </si>
  <si>
    <t>27765783442</t>
  </si>
  <si>
    <t>13563566</t>
  </si>
  <si>
    <t>4c05c88a-a0fa-4008-990b-937b7a98693a</t>
  </si>
  <si>
    <t>2026-03-05 07:07:03</t>
  </si>
  <si>
    <t>27636330580</t>
  </si>
  <si>
    <t>13562300</t>
  </si>
  <si>
    <t>d20ec0b4-f5e3-4d1a-bb54-be73f7758d7a</t>
  </si>
  <si>
    <t>2026-03-05 07:07:02</t>
  </si>
  <si>
    <t>27768347140</t>
  </si>
  <si>
    <t>13562303</t>
  </si>
  <si>
    <t>be2becd6-cfdc-4253-8eb3-2754bbe072b3</t>
  </si>
  <si>
    <t>2026-03-05 07:07:01</t>
  </si>
  <si>
    <t>27664193974</t>
  </si>
  <si>
    <t>13558160</t>
  </si>
  <si>
    <t>b1dde44e-ab1f-4d26-b640-2d887845b284</t>
  </si>
  <si>
    <t>2026-03-05 07:06:50</t>
  </si>
  <si>
    <t>27790784142</t>
  </si>
  <si>
    <t>13562322</t>
  </si>
  <si>
    <t>9d3088c7-2199-4692-bd6f-2898b4541691</t>
  </si>
  <si>
    <t>27827436682</t>
  </si>
  <si>
    <t>13559267</t>
  </si>
  <si>
    <t>e878ac22-4b5e-4792-9e47-fc7bf654be8a</t>
  </si>
  <si>
    <t>2026-03-05 07:06:18</t>
  </si>
  <si>
    <t>27824964063</t>
  </si>
  <si>
    <t>13559300</t>
  </si>
  <si>
    <t>461e0012-d3e9-481a-8acd-d46943dcc55b</t>
  </si>
  <si>
    <t>2026-03-05 07:06:08</t>
  </si>
  <si>
    <t>27825299401</t>
  </si>
  <si>
    <t>13559339</t>
  </si>
  <si>
    <t>d9ed50c6-b63f-4f16-980c-0601bd0d4b91</t>
  </si>
  <si>
    <t>27825793964</t>
  </si>
  <si>
    <t>13559364</t>
  </si>
  <si>
    <t>c1f6c3be-d8cf-496b-ae30-4ae6a80a631c</t>
  </si>
  <si>
    <t>2026-03-05 07:06:07</t>
  </si>
  <si>
    <t>27826082565</t>
  </si>
  <si>
    <t>13559385</t>
  </si>
  <si>
    <t>f74c9556-63bf-466f-909e-cdfe0ef4e1a6</t>
  </si>
  <si>
    <t>2026-03-05 07:05:58</t>
  </si>
  <si>
    <t>27826346808</t>
  </si>
  <si>
    <t>13558023</t>
  </si>
  <si>
    <t>fd2aea66-e56d-45eb-8c0e-4e1703809fdb</t>
  </si>
  <si>
    <t>2026-03-05 07:05:16</t>
  </si>
  <si>
    <t>27769825028</t>
  </si>
  <si>
    <t>13558019</t>
  </si>
  <si>
    <t>d41c6903-f226-483f-8be4-71b435bde59d</t>
  </si>
  <si>
    <t>2026-03-05 07:05:08</t>
  </si>
  <si>
    <t>27769727065</t>
  </si>
  <si>
    <t>13558014</t>
  </si>
  <si>
    <t>9b21159c-45c6-49de-805b-039953c1ad06</t>
  </si>
  <si>
    <t>2026-03-05 07:05:05</t>
  </si>
  <si>
    <t>27769666398</t>
  </si>
  <si>
    <t>13557987</t>
  </si>
  <si>
    <t>2b0ad492-c1f7-49a8-b5ed-f56f0c3a8b20</t>
  </si>
  <si>
    <t>2026-03-05 07:05:02</t>
  </si>
  <si>
    <t>27769407666</t>
  </si>
  <si>
    <t>13557985</t>
  </si>
  <si>
    <t>2f882ef8-33d0-4c37-8614-2bd9effdeb8a</t>
  </si>
  <si>
    <t>2026-03-05 07:05:01</t>
  </si>
  <si>
    <t>27769359545</t>
  </si>
  <si>
    <t>13558383</t>
  </si>
  <si>
    <t>ab7431eb-f219-4f36-8610-ab1984718926</t>
  </si>
  <si>
    <t>2026-03-05 07:04:12</t>
  </si>
  <si>
    <t>27793342597</t>
  </si>
  <si>
    <t>13558385</t>
  </si>
  <si>
    <t>eaac9dee-a0be-4d25-bb8f-df8efc026cde</t>
  </si>
  <si>
    <t>2026-03-05 07:04:11</t>
  </si>
  <si>
    <t>27793388830</t>
  </si>
  <si>
    <t>13558391</t>
  </si>
  <si>
    <t>bf2546eb-eacf-4fe3-acb1-785864698686</t>
  </si>
  <si>
    <t>2026-03-05 07:04:06</t>
  </si>
  <si>
    <t>27793426643</t>
  </si>
  <si>
    <t>13563575</t>
  </si>
  <si>
    <t>adf17b75-4821-479d-b74b-715dd012cbb5</t>
  </si>
  <si>
    <t>2026-03-05 07:04:05</t>
  </si>
  <si>
    <t>27721360874</t>
  </si>
  <si>
    <t>13559516</t>
  </si>
  <si>
    <t>594a0289-3a12-4dc6-b6d6-6d39f2248ac5</t>
  </si>
  <si>
    <t>2026-03-05 07:04:00</t>
  </si>
  <si>
    <t>27827869932</t>
  </si>
  <si>
    <t>13558407</t>
  </si>
  <si>
    <t>92f744f7-c680-465c-b525-6eafc38dc008</t>
  </si>
  <si>
    <t>2026-03-05 07:03:39</t>
  </si>
  <si>
    <t>27793618379</t>
  </si>
  <si>
    <t>13558421</t>
  </si>
  <si>
    <t>03256337-82ce-4059-bb06-69f376c3fb54</t>
  </si>
  <si>
    <t>2026-03-05 07:03:34</t>
  </si>
  <si>
    <t>27793778334</t>
  </si>
  <si>
    <t>13562084</t>
  </si>
  <si>
    <t>ea39bc9c-91ad-4913-9e3b-983d645a632f</t>
  </si>
  <si>
    <t>2026-03-05 07:03:27</t>
  </si>
  <si>
    <t>27665878532</t>
  </si>
  <si>
    <t>13562085</t>
  </si>
  <si>
    <t>fc08d6f1-691c-4441-9012-5106e77b322d</t>
  </si>
  <si>
    <t>27713902070</t>
  </si>
  <si>
    <t>13562088</t>
  </si>
  <si>
    <t>cc80a55b-0210-4137-8c72-759daebffcbd</t>
  </si>
  <si>
    <t>2026-03-05 07:03:24</t>
  </si>
  <si>
    <t>27607761036</t>
  </si>
  <si>
    <t>13563843</t>
  </si>
  <si>
    <t>ff9e9e71-862b-4353-a9d9-7581722a5402</t>
  </si>
  <si>
    <t>2026-03-05 07:03:19</t>
  </si>
  <si>
    <t>27761409741</t>
  </si>
  <si>
    <t>13563857</t>
  </si>
  <si>
    <t>962bffc9-d432-445d-a97b-b84769c9a8d2</t>
  </si>
  <si>
    <t>2026-03-05 07:03:17</t>
  </si>
  <si>
    <t>27716163447</t>
  </si>
  <si>
    <t>13561636</t>
  </si>
  <si>
    <t>56efeb5d-b3e2-429d-949d-53e514a39203</t>
  </si>
  <si>
    <t>2026-03-05 07:03:16</t>
  </si>
  <si>
    <t>27608126592</t>
  </si>
  <si>
    <t>13563510</t>
  </si>
  <si>
    <t>51f47145-c278-49ec-b878-d77bfc8e2c23</t>
  </si>
  <si>
    <t>27790941640</t>
  </si>
  <si>
    <t>13560402</t>
  </si>
  <si>
    <t>2742b49d-432f-44ff-88e6-538276f5c6ed</t>
  </si>
  <si>
    <t>2026-03-05 07:02:44</t>
  </si>
  <si>
    <t>27792999997</t>
  </si>
  <si>
    <t>13556473</t>
  </si>
  <si>
    <t>25f9893c-7d81-4ea3-aacf-cb67174e6abc</t>
  </si>
  <si>
    <t>2026-03-05 07:02:18</t>
  </si>
  <si>
    <t>27724226164</t>
  </si>
  <si>
    <t>13561394</t>
  </si>
  <si>
    <t>886901f4-0b5b-4ec9-b5be-bbc6ea9a1e6a</t>
  </si>
  <si>
    <t>2026-03-05 07:02:17</t>
  </si>
  <si>
    <t>27649627247</t>
  </si>
  <si>
    <t>13561384</t>
  </si>
  <si>
    <t>11f66791-d787-4683-8a60-f80ecd3c0c34</t>
  </si>
  <si>
    <t>2026-03-05 07:02:16</t>
  </si>
  <si>
    <t>27665370126</t>
  </si>
  <si>
    <t>13562101</t>
  </si>
  <si>
    <t>71722cb8-040a-481a-a60b-bb5b35a986ed</t>
  </si>
  <si>
    <t>2026-03-05 07:02:14</t>
  </si>
  <si>
    <t>27733732467</t>
  </si>
  <si>
    <t>13562102</t>
  </si>
  <si>
    <t>d9f1280f-5452-4ca1-b298-f46c6846e826</t>
  </si>
  <si>
    <t>27722299751</t>
  </si>
  <si>
    <t>13560023</t>
  </si>
  <si>
    <t>fda7ca5a-c67a-4928-9e17-27176dd0f22e</t>
  </si>
  <si>
    <t>2026-03-05 07:02:13</t>
  </si>
  <si>
    <t>27674789772</t>
  </si>
  <si>
    <t>13561338</t>
  </si>
  <si>
    <t>58c63636-69a4-4fa6-97b2-55df386c41df</t>
  </si>
  <si>
    <t>2026-03-05 07:01:28</t>
  </si>
  <si>
    <t>27607613400</t>
  </si>
  <si>
    <t>13555985</t>
  </si>
  <si>
    <t>9ee43327-0938-4d3d-a2da-e8984818873e</t>
  </si>
  <si>
    <t>2026-03-05 07:01:14</t>
  </si>
  <si>
    <t>27715977648</t>
  </si>
  <si>
    <t>13559173</t>
  </si>
  <si>
    <t>fdd4f10c-d5cc-463d-ad8f-746934970e88</t>
  </si>
  <si>
    <t>2026-03-05 07:01:07</t>
  </si>
  <si>
    <t>27823869504</t>
  </si>
  <si>
    <t>13561326</t>
  </si>
  <si>
    <t>2c5a7eab-d6a5-4640-af1e-9bb14096cd51</t>
  </si>
  <si>
    <t>2026-03-05 07:01:06</t>
  </si>
  <si>
    <t>27608258663</t>
  </si>
  <si>
    <t>13559202</t>
  </si>
  <si>
    <t>b8b2df2e-0550-4bca-ab0c-c3dd3a17e261</t>
  </si>
  <si>
    <t>2026-03-05 07:00:37</t>
  </si>
  <si>
    <t>27824132461</t>
  </si>
  <si>
    <t>13559177</t>
  </si>
  <si>
    <t>ec2d2677-9d58-4b0b-9c51-9a940462fe34</t>
  </si>
  <si>
    <t>2026-03-05 07:00:33</t>
  </si>
  <si>
    <t>27823905426</t>
  </si>
  <si>
    <t>13559131</t>
  </si>
  <si>
    <t>154d3fcd-cbae-4856-8319-611825a70a08</t>
  </si>
  <si>
    <t>2026-03-05 07:00:18</t>
  </si>
  <si>
    <t>27823337857</t>
  </si>
  <si>
    <t>13559113</t>
  </si>
  <si>
    <t>60d049b7-b717-4712-9d33-567f190772eb</t>
  </si>
  <si>
    <t>2026-03-05 07:00:04</t>
  </si>
  <si>
    <t>27822959432</t>
  </si>
  <si>
    <t>13559106</t>
  </si>
  <si>
    <t>3dfc55a4-7570-4bbe-a49b-afac1e6506b6</t>
  </si>
  <si>
    <t>2026-03-05 07:00:01</t>
  </si>
  <si>
    <t>27822900560</t>
  </si>
  <si>
    <t>13563314</t>
  </si>
  <si>
    <t>b5211006-936c-4a68-aafa-7a1d370ea5a0</t>
  </si>
  <si>
    <t>2026-03-05 06:59:06</t>
  </si>
  <si>
    <t>27648161232</t>
  </si>
  <si>
    <t>13561815</t>
  </si>
  <si>
    <t>3ead2d6f-44ed-48f5-a0b0-f66a86993ad8</t>
  </si>
  <si>
    <t>2026-03-05 06:58:58</t>
  </si>
  <si>
    <t>27722031970</t>
  </si>
  <si>
    <t>13561823</t>
  </si>
  <si>
    <t>d290e535-70d7-42cf-9023-4ecacf522d23</t>
  </si>
  <si>
    <t>2026-03-05 06:58:57</t>
  </si>
  <si>
    <t>27835558069</t>
  </si>
  <si>
    <t>13561827</t>
  </si>
  <si>
    <t>64eecb66-ec27-420f-9c84-e0f9d9be3c5c</t>
  </si>
  <si>
    <t>2026-03-05 06:58:56</t>
  </si>
  <si>
    <t>27797345590</t>
  </si>
  <si>
    <t>13563320</t>
  </si>
  <si>
    <t>71d7f63a-bafe-4e41-b98d-88535f78f08c</t>
  </si>
  <si>
    <t>27716484011</t>
  </si>
  <si>
    <t>13561879</t>
  </si>
  <si>
    <t>dcb6440f-b5e1-43e7-8592-0abbafac713b</t>
  </si>
  <si>
    <t>2026-03-05 06:58:30</t>
  </si>
  <si>
    <t>27818793314</t>
  </si>
  <si>
    <t>13557670</t>
  </si>
  <si>
    <t>43374042-2b56-446d-bd89-86cda4867891</t>
  </si>
  <si>
    <t>2026-03-05 06:58:24</t>
  </si>
  <si>
    <t>27766253265</t>
  </si>
  <si>
    <t>13558168</t>
  </si>
  <si>
    <t>f81e498d-7590-473a-974e-c34e4044a551</t>
  </si>
  <si>
    <t>2026-03-05 06:58:23</t>
  </si>
  <si>
    <t>27790905921</t>
  </si>
  <si>
    <t>13561277</t>
  </si>
  <si>
    <t>9ac20073-d080-4898-9f66-d0a8b6f9b073</t>
  </si>
  <si>
    <t>2026-03-05 06:57:33</t>
  </si>
  <si>
    <t>27647471619</t>
  </si>
  <si>
    <t>13556498</t>
  </si>
  <si>
    <t>16c1ac19-55f8-4dfd-b345-202b89f4cd78</t>
  </si>
  <si>
    <t>2026-03-05 06:57:21</t>
  </si>
  <si>
    <t>27724473849</t>
  </si>
  <si>
    <t>13563415</t>
  </si>
  <si>
    <t>92d5c33b-7ca1-4da0-b551-1e5a4dbbcc5f</t>
  </si>
  <si>
    <t>27765210116</t>
  </si>
  <si>
    <t>13556494</t>
  </si>
  <si>
    <t>6b641bd6-4539-4051-8617-b52ccc935dfd</t>
  </si>
  <si>
    <t>2026-03-05 06:57:20</t>
  </si>
  <si>
    <t>27724448828</t>
  </si>
  <si>
    <t>13559327</t>
  </si>
  <si>
    <t>13ffaaa4-2c01-41e7-b772-9dc0bf79e792</t>
  </si>
  <si>
    <t>2026-03-05 06:57:05</t>
  </si>
  <si>
    <t>27825450204</t>
  </si>
  <si>
    <t>13559319</t>
  </si>
  <si>
    <t>f4295f5e-9eaa-4983-b2f0-29822781f3b9</t>
  </si>
  <si>
    <t>2026-03-05 06:56:55</t>
  </si>
  <si>
    <t>27825403525</t>
  </si>
  <si>
    <t>13556478</t>
  </si>
  <si>
    <t>44cae4f5-1abe-424f-bb00-a5355ef1a968</t>
  </si>
  <si>
    <t>2026-03-05 06:56:09</t>
  </si>
  <si>
    <t>27724306088</t>
  </si>
  <si>
    <t>13561630</t>
  </si>
  <si>
    <t>f40a774f-a351-447c-966c-8aafe6a99209</t>
  </si>
  <si>
    <t>2026-03-05 06:56:03</t>
  </si>
  <si>
    <t>27637535005</t>
  </si>
  <si>
    <t>13561643</t>
  </si>
  <si>
    <t>5ed283af-546a-49a5-8d91-7bb758909e15</t>
  </si>
  <si>
    <t>2026-03-05 06:55:58</t>
  </si>
  <si>
    <t>27647608503</t>
  </si>
  <si>
    <t>13556457</t>
  </si>
  <si>
    <t>e89b5ae2-edfd-4ab5-9fa6-ceef09d18fd6</t>
  </si>
  <si>
    <t>2026-03-05 06:55:54</t>
  </si>
  <si>
    <t>27724109052</t>
  </si>
  <si>
    <t>13562020</t>
  </si>
  <si>
    <t>c7422dd3-d7af-40a1-8224-4304f64e2bfb</t>
  </si>
  <si>
    <t>2026-03-05 06:55:52</t>
  </si>
  <si>
    <t>27820593827</t>
  </si>
  <si>
    <t>13562157</t>
  </si>
  <si>
    <t>9ba50b6e-cd24-483a-a261-5b508c73af7c</t>
  </si>
  <si>
    <t>2026-03-05 06:55:48</t>
  </si>
  <si>
    <t>27712589631</t>
  </si>
  <si>
    <t>13561658</t>
  </si>
  <si>
    <t>e52f6a87-b985-42b3-8fb3-28442e3305f8</t>
  </si>
  <si>
    <t>2026-03-05 06:55:08</t>
  </si>
  <si>
    <t>27790803922</t>
  </si>
  <si>
    <t>13561680</t>
  </si>
  <si>
    <t>09e6f1ee-30be-47ce-8c12-32ec9db52019</t>
  </si>
  <si>
    <t>2026-03-05 06:54:37</t>
  </si>
  <si>
    <t>27766339982</t>
  </si>
  <si>
    <t>13561688</t>
  </si>
  <si>
    <t>e4834abf-4306-420b-93e9-498663120813</t>
  </si>
  <si>
    <t>2026-03-05 06:54:31</t>
  </si>
  <si>
    <t>27791184753</t>
  </si>
  <si>
    <t>13563885</t>
  </si>
  <si>
    <t>c1666af2-3971-47fa-b717-52e18e210d0b</t>
  </si>
  <si>
    <t>2026-03-05 06:54:30</t>
  </si>
  <si>
    <t>27781086694</t>
  </si>
  <si>
    <t>13561702</t>
  </si>
  <si>
    <t>3da1e0c9-a360-419e-b9a5-5ebc932e614c</t>
  </si>
  <si>
    <t>2026-03-05 06:54:24</t>
  </si>
  <si>
    <t>27799129810</t>
  </si>
  <si>
    <t>13561733</t>
  </si>
  <si>
    <t>05b6fd34-4d50-4e83-aad3-3b7ac66ce509</t>
  </si>
  <si>
    <t>2026-03-05 06:54:22</t>
  </si>
  <si>
    <t>27713353338</t>
  </si>
  <si>
    <t>13563898</t>
  </si>
  <si>
    <t>125691eb-f4ad-42e3-a59b-d867cdcdb6cd</t>
  </si>
  <si>
    <t>2026-03-05 06:53:33</t>
  </si>
  <si>
    <t>27608686888</t>
  </si>
  <si>
    <t>13563908</t>
  </si>
  <si>
    <t>64654c8a-1630-4514-b06e-7b1dce17de79</t>
  </si>
  <si>
    <t>2026-03-05 06:53:28</t>
  </si>
  <si>
    <t>27713478095</t>
  </si>
  <si>
    <t>13563958</t>
  </si>
  <si>
    <t>ed093b44-47b1-48cd-bddd-91819a60da49</t>
  </si>
  <si>
    <t>2026-03-05 06:53:21</t>
  </si>
  <si>
    <t>27766497421</t>
  </si>
  <si>
    <t>13563995</t>
  </si>
  <si>
    <t>f37e99b3-65a1-4865-9bed-788efe1b3ab0</t>
  </si>
  <si>
    <t>2026-03-05 06:53:19</t>
  </si>
  <si>
    <t>27648595257</t>
  </si>
  <si>
    <t>13563997</t>
  </si>
  <si>
    <t>d30cfa37-9aef-4467-b52c-4236d03cab89</t>
  </si>
  <si>
    <t>2026-03-05 06:53:18</t>
  </si>
  <si>
    <t>27608326535</t>
  </si>
  <si>
    <t>13563462</t>
  </si>
  <si>
    <t>d26e4584-3761-419e-ac7b-904fc5f76c13</t>
  </si>
  <si>
    <t>27663844802</t>
  </si>
  <si>
    <t>13560132</t>
  </si>
  <si>
    <t>db944096-2406-4d5a-9fd0-d6c09aecc141</t>
  </si>
  <si>
    <t>2026-03-05 06:53:11</t>
  </si>
  <si>
    <t>27728424993</t>
  </si>
  <si>
    <t>13564015</t>
  </si>
  <si>
    <t>c0e64b32-9910-4c3e-aff2-15ab54f0fde5</t>
  </si>
  <si>
    <t>2026-03-05 06:52:58</t>
  </si>
  <si>
    <t>27647898702</t>
  </si>
  <si>
    <t>13563102</t>
  </si>
  <si>
    <t>c0e81eee-165b-4426-a1b2-9d2c46568da1</t>
  </si>
  <si>
    <t>2026-03-05 06:52:33</t>
  </si>
  <si>
    <t>27727282879</t>
  </si>
  <si>
    <t>13560416</t>
  </si>
  <si>
    <t>7d1b8c85-a715-4672-9c8d-501fad528904</t>
  </si>
  <si>
    <t>2026-03-05 06:52:00</t>
  </si>
  <si>
    <t>27825769957</t>
  </si>
  <si>
    <t>13560381</t>
  </si>
  <si>
    <t>59fc3a97-6604-4f1c-9a38-274378b59e84</t>
  </si>
  <si>
    <t>2026-03-05 06:51:57</t>
  </si>
  <si>
    <t>27762213298</t>
  </si>
  <si>
    <t>13560377</t>
  </si>
  <si>
    <t>d98adb06-3259-4e64-9811-8924e17026ba</t>
  </si>
  <si>
    <t>2026-03-05 06:51:56</t>
  </si>
  <si>
    <t>27766039884</t>
  </si>
  <si>
    <t>13560346</t>
  </si>
  <si>
    <t>c707bae2-5d23-4726-87f0-756b657ff443</t>
  </si>
  <si>
    <t>2026-03-05 06:51:52</t>
  </si>
  <si>
    <t>27767485303</t>
  </si>
  <si>
    <t>13560331</t>
  </si>
  <si>
    <t>1f23cd0f-cf2a-4b18-97bb-51bb6692fa38</t>
  </si>
  <si>
    <t>2026-03-05 06:51:51</t>
  </si>
  <si>
    <t>27766079015</t>
  </si>
  <si>
    <t>13561269</t>
  </si>
  <si>
    <t>015e9777-9852-4822-a571-29f6e078acff</t>
  </si>
  <si>
    <t>2026-03-05 06:51:00</t>
  </si>
  <si>
    <t>27607084235</t>
  </si>
  <si>
    <t>13563091</t>
  </si>
  <si>
    <t>97c3cad5-abd6-48c3-a2bc-61ca61eb84a2</t>
  </si>
  <si>
    <t>2026-03-05 06:50:55</t>
  </si>
  <si>
    <t>27712542446</t>
  </si>
  <si>
    <t>13563133</t>
  </si>
  <si>
    <t>9a5f56e7-cc5c-4103-bb4a-b9d612e9fe55</t>
  </si>
  <si>
    <t>2026-03-05 06:50:54</t>
  </si>
  <si>
    <t>27649277821</t>
  </si>
  <si>
    <t>13561560</t>
  </si>
  <si>
    <t>2e9c9c5d-d30b-44cb-9e32-6da1ad4356dc</t>
  </si>
  <si>
    <t>2026-03-05 06:50:41</t>
  </si>
  <si>
    <t>27665917239</t>
  </si>
  <si>
    <t>13561504</t>
  </si>
  <si>
    <t>4a68a486-8d37-4f97-88bd-9d26ac4a6fb7</t>
  </si>
  <si>
    <t>2026-03-05 06:50:03</t>
  </si>
  <si>
    <t>27725984259</t>
  </si>
  <si>
    <t>13563338</t>
  </si>
  <si>
    <t>d1bdcdc8-dea8-4ff3-b704-9904f18d8bdd</t>
  </si>
  <si>
    <t>2026-03-05 06:49:18</t>
  </si>
  <si>
    <t>27721402674</t>
  </si>
  <si>
    <t>13558889</t>
  </si>
  <si>
    <t>398b4b73-59b5-4527-a9c5-8397a4b3c428</t>
  </si>
  <si>
    <t>2026-03-05 06:49:15</t>
  </si>
  <si>
    <t>27799664231</t>
  </si>
  <si>
    <t>13561001</t>
  </si>
  <si>
    <t>f2c34258-4079-423e-8001-66aa1745f6d5</t>
  </si>
  <si>
    <t>2026-03-05 06:49:05</t>
  </si>
  <si>
    <t>27729704926</t>
  </si>
  <si>
    <t>13561029</t>
  </si>
  <si>
    <t>a7e09850-8a28-424b-abad-8742488b48e2</t>
  </si>
  <si>
    <t>2026-03-05 06:48:30</t>
  </si>
  <si>
    <t>27763549664</t>
  </si>
  <si>
    <t>13562022</t>
  </si>
  <si>
    <t>dad94148-f036-44d2-8990-84cd10ab4ec5</t>
  </si>
  <si>
    <t>2026-03-05 06:48:26</t>
  </si>
  <si>
    <t>27760118926</t>
  </si>
  <si>
    <t>13558865</t>
  </si>
  <si>
    <t>71147c74-ba94-411d-a42a-f9c1936358f5</t>
  </si>
  <si>
    <t>2026-03-05 06:48:10</t>
  </si>
  <si>
    <t>27799476924</t>
  </si>
  <si>
    <t>13562047</t>
  </si>
  <si>
    <t>de5407ea-8a9b-4451-8ad8-c93b4514dbe1</t>
  </si>
  <si>
    <t>2026-03-05 06:47:56</t>
  </si>
  <si>
    <t>27608197600</t>
  </si>
  <si>
    <t>13558847</t>
  </si>
  <si>
    <t>7f19c7f0-b780-4d40-82d2-d339ecd8e7f3</t>
  </si>
  <si>
    <t>2026-03-05 06:47:36</t>
  </si>
  <si>
    <t>27799229921</t>
  </si>
  <si>
    <t>13562064</t>
  </si>
  <si>
    <t>830b437d-5604-4cfb-9730-bb7124e0a3ae</t>
  </si>
  <si>
    <t>2026-03-05 06:47:31</t>
  </si>
  <si>
    <t>27660033936</t>
  </si>
  <si>
    <t>13560763</t>
  </si>
  <si>
    <t>bf507af5-bb1e-4edf-983d-7bf0fc61ac27</t>
  </si>
  <si>
    <t>2026-03-05 06:46:02</t>
  </si>
  <si>
    <t>27797947880</t>
  </si>
  <si>
    <t>13563018</t>
  </si>
  <si>
    <t>1ef12240-6e92-4fb8-ae4f-c193e01c0471</t>
  </si>
  <si>
    <t>2026-03-05 06:45:57</t>
  </si>
  <si>
    <t>27715257422</t>
  </si>
  <si>
    <t>13559153</t>
  </si>
  <si>
    <t>a5a5a51a-5e15-4b3d-bc36-5b406b6f2a55</t>
  </si>
  <si>
    <t>2026-03-05 06:45:36</t>
  </si>
  <si>
    <t>27823574154</t>
  </si>
  <si>
    <t>13558919</t>
  </si>
  <si>
    <t>2caf2b03-de42-4b1b-be1d-76348e202ce9</t>
  </si>
  <si>
    <t>2026-03-05 06:45:22</t>
  </si>
  <si>
    <t>27812991974</t>
  </si>
  <si>
    <t>13560115</t>
  </si>
  <si>
    <t>9a2d9091-58e7-4229-a520-92acfbb380bb</t>
  </si>
  <si>
    <t>2026-03-05 06:44:47</t>
  </si>
  <si>
    <t>27649609861</t>
  </si>
  <si>
    <t>13560111</t>
  </si>
  <si>
    <t>319a2839-c22e-40d7-9610-65edf7dc9bca</t>
  </si>
  <si>
    <t>2026-03-05 06:44:46</t>
  </si>
  <si>
    <t>27795628432</t>
  </si>
  <si>
    <t>13560134</t>
  </si>
  <si>
    <t>b4866565-bae3-44fe-a882-1518f8e175fe</t>
  </si>
  <si>
    <t>27724346186</t>
  </si>
  <si>
    <t>13560119</t>
  </si>
  <si>
    <t>b5cf97ab-537d-41da-adac-e868caa2aa26</t>
  </si>
  <si>
    <t>2026-03-05 06:44:45</t>
  </si>
  <si>
    <t>27766639706</t>
  </si>
  <si>
    <t>13560090</t>
  </si>
  <si>
    <t>cea16041-58ae-4351-903f-27f665a6f16d</t>
  </si>
  <si>
    <t>2026-03-05 06:44:39</t>
  </si>
  <si>
    <t>27712866093</t>
  </si>
  <si>
    <t>13560072</t>
  </si>
  <si>
    <t>422adda1-9a20-4465-81f5-c1274c6396b6</t>
  </si>
  <si>
    <t>2026-03-05 06:44:36</t>
  </si>
  <si>
    <t>27793676507</t>
  </si>
  <si>
    <t>13560073</t>
  </si>
  <si>
    <t>8f6b8851-d4f4-4411-8863-b1f7d79129ba</t>
  </si>
  <si>
    <t>27818487238</t>
  </si>
  <si>
    <t>13562911</t>
  </si>
  <si>
    <t>430765c0-41bf-4342-a11a-b8f4442ab2ed</t>
  </si>
  <si>
    <t>2026-03-05 06:43:39</t>
  </si>
  <si>
    <t>27761255493</t>
  </si>
  <si>
    <t>13562952</t>
  </si>
  <si>
    <t>7998f6a2-261b-40d4-bae6-ac0fd67f0f3a</t>
  </si>
  <si>
    <t>2026-03-05 06:43:37</t>
  </si>
  <si>
    <t>27714055565</t>
  </si>
  <si>
    <t>13562958</t>
  </si>
  <si>
    <t>6b1bb1f9-847d-48c4-b812-2ce3c424d01e</t>
  </si>
  <si>
    <t>27728912813</t>
  </si>
  <si>
    <t>13560685</t>
  </si>
  <si>
    <t>bcd087b6-8a3f-451b-870e-b1f37586bb3a</t>
  </si>
  <si>
    <t>2026-03-05 06:43:36</t>
  </si>
  <si>
    <t>27764202123</t>
  </si>
  <si>
    <t>13562949</t>
  </si>
  <si>
    <t>5e73ba44-4a5d-47df-bb83-eaaf2373e7b3</t>
  </si>
  <si>
    <t>27715585392</t>
  </si>
  <si>
    <t>13562964</t>
  </si>
  <si>
    <t>05410b60-27f6-4463-9f04-88bf97e0702a</t>
  </si>
  <si>
    <t>2026-03-05 06:43:33</t>
  </si>
  <si>
    <t>27728732120</t>
  </si>
  <si>
    <t>13558180</t>
  </si>
  <si>
    <t>c73fe720-7418-4361-82b1-73af695baf2f</t>
  </si>
  <si>
    <t>2026-03-05 06:42:47</t>
  </si>
  <si>
    <t>27791031047</t>
  </si>
  <si>
    <t>13561151</t>
  </si>
  <si>
    <t>b0a1452a-c9ed-459b-90f0-8d49f20e500c</t>
  </si>
  <si>
    <t>2026-03-05 06:42:31</t>
  </si>
  <si>
    <t>27712841791</t>
  </si>
  <si>
    <t>13560634</t>
  </si>
  <si>
    <t>1ff63e27-fd5e-4ff2-9e0c-0d300e55db42</t>
  </si>
  <si>
    <t>2026-03-05 06:42:14</t>
  </si>
  <si>
    <t>27712919776</t>
  </si>
  <si>
    <t>13560626</t>
  </si>
  <si>
    <t>5e8418e1-ae58-461a-ab6a-601e68af8ed3</t>
  </si>
  <si>
    <t>2026-03-05 06:42:13</t>
  </si>
  <si>
    <t>27728802289</t>
  </si>
  <si>
    <t>13560607</t>
  </si>
  <si>
    <t>ca9cec51-7b08-4b29-831d-555254685e75</t>
  </si>
  <si>
    <t>2026-03-05 06:42:11</t>
  </si>
  <si>
    <t>27714846692</t>
  </si>
  <si>
    <t>13560618</t>
  </si>
  <si>
    <t>f1a9a02c-dbea-413f-995d-8f834e7da062</t>
  </si>
  <si>
    <t>27795762252</t>
  </si>
  <si>
    <t>13560587</t>
  </si>
  <si>
    <t>6743cea8-3111-4234-9ac8-149ce5c87f6d</t>
  </si>
  <si>
    <t>2026-03-05 06:42:05</t>
  </si>
  <si>
    <t>27765384565</t>
  </si>
  <si>
    <t>13558197</t>
  </si>
  <si>
    <t>74800aae-7864-4c76-9b65-0f2473b89fe2</t>
  </si>
  <si>
    <t>2026-03-05 06:42:04</t>
  </si>
  <si>
    <t>27791190960</t>
  </si>
  <si>
    <t>13558192</t>
  </si>
  <si>
    <t>cd2cd5e6-3d0a-4d02-b21b-cebf74792dd4</t>
  </si>
  <si>
    <t>2026-03-05 06:42:03</t>
  </si>
  <si>
    <t>27791171674</t>
  </si>
  <si>
    <t>13561117</t>
  </si>
  <si>
    <t>3bd8bdd9-a3c0-4e30-8449-897da457cfab</t>
  </si>
  <si>
    <t>2026-03-05 06:42:01</t>
  </si>
  <si>
    <t>27664163018</t>
  </si>
  <si>
    <t>13558183</t>
  </si>
  <si>
    <t>c003c254-ff0d-41cd-91cf-be7a5c569979</t>
  </si>
  <si>
    <t>2026-03-05 06:42:00</t>
  </si>
  <si>
    <t>27791062894</t>
  </si>
  <si>
    <t>13558179</t>
  </si>
  <si>
    <t>aafa7a9a-2f08-43c8-bc2f-399cebb505dc</t>
  </si>
  <si>
    <t>2026-03-05 06:41:58</t>
  </si>
  <si>
    <t>27791030347</t>
  </si>
  <si>
    <t>13558176</t>
  </si>
  <si>
    <t>acd3af30-c3ef-48a5-93b3-4daea24eddb7</t>
  </si>
  <si>
    <t>2026-03-05 06:41:57</t>
  </si>
  <si>
    <t>27791007653</t>
  </si>
  <si>
    <t>13560520</t>
  </si>
  <si>
    <t>2f0cf596-017d-4bec-a36a-e7d7c9c49f69</t>
  </si>
  <si>
    <t>2026-03-05 06:41:03</t>
  </si>
  <si>
    <t>27827317072</t>
  </si>
  <si>
    <t>13562858</t>
  </si>
  <si>
    <t>b7f1177c-3b29-408d-9c4e-aec78a581395</t>
  </si>
  <si>
    <t>27637168866</t>
  </si>
  <si>
    <t>13561068</t>
  </si>
  <si>
    <t>f4a96ffa-f379-4721-af78-0e61858d8a18</t>
  </si>
  <si>
    <t>2026-03-05 06:40:45</t>
  </si>
  <si>
    <t>27763579301</t>
  </si>
  <si>
    <t>13558535</t>
  </si>
  <si>
    <t>9be6f7a2-e316-46a5-9882-ce306c3a8653</t>
  </si>
  <si>
    <t>2026-03-05 06:40:34</t>
  </si>
  <si>
    <t>27795111818</t>
  </si>
  <si>
    <t>13558912</t>
  </si>
  <si>
    <t>719f9429-87f2-4482-ad34-72872470fdc5</t>
  </si>
  <si>
    <t>2026-03-05 06:40:21</t>
  </si>
  <si>
    <t>27799941065</t>
  </si>
  <si>
    <t>13558904</t>
  </si>
  <si>
    <t>331e456d-4c8c-483c-bf25-5da1b37ecce4</t>
  </si>
  <si>
    <t>2026-03-05 06:40:20</t>
  </si>
  <si>
    <t>27799863324</t>
  </si>
  <si>
    <t>13558907</t>
  </si>
  <si>
    <t>701e7a80-609c-4004-b08b-37cfe1111db4</t>
  </si>
  <si>
    <t>27799891791</t>
  </si>
  <si>
    <t>13558891</t>
  </si>
  <si>
    <t>1f3f7023-5015-4bc8-9498-e3a854e3cb92</t>
  </si>
  <si>
    <t>2026-03-05 06:40:13</t>
  </si>
  <si>
    <t>27799673552</t>
  </si>
  <si>
    <t>13559660</t>
  </si>
  <si>
    <t>02b8711f-1e8a-4449-9ae4-a438bcd745ae</t>
  </si>
  <si>
    <t>2026-03-05 06:39:31</t>
  </si>
  <si>
    <t>27836257580</t>
  </si>
  <si>
    <t>13559753</t>
  </si>
  <si>
    <t>6c030a38-9c8a-46c7-b456-d559b87dc956</t>
  </si>
  <si>
    <t>2026-03-05 06:39:30</t>
  </si>
  <si>
    <t>27820479188</t>
  </si>
  <si>
    <t>13561207</t>
  </si>
  <si>
    <t>44719d99-e2d7-41ed-94bc-3bd984513220</t>
  </si>
  <si>
    <t>2026-03-05 06:39:16</t>
  </si>
  <si>
    <t>27608476621</t>
  </si>
  <si>
    <t>13561212</t>
  </si>
  <si>
    <t>f3018589-7d4f-4a2b-8609-e9ce3afbf63a</t>
  </si>
  <si>
    <t>27714784368</t>
  </si>
  <si>
    <t>13561204</t>
  </si>
  <si>
    <t>5b346760-e57c-4f7e-8864-141a4329acb3</t>
  </si>
  <si>
    <t>2026-03-05 06:39:15</t>
  </si>
  <si>
    <t>27661301945</t>
  </si>
  <si>
    <t>13558957</t>
  </si>
  <si>
    <t>d442b0ce-5507-4bae-8667-95664e3aaada</t>
  </si>
  <si>
    <t>2026-03-05 06:39:05</t>
  </si>
  <si>
    <t>27818460575</t>
  </si>
  <si>
    <t>13560245</t>
  </si>
  <si>
    <t>bab4a3c4-97ce-456d-89a7-a716501b712f</t>
  </si>
  <si>
    <t>2026-03-05 06:39:04</t>
  </si>
  <si>
    <t>27663926644</t>
  </si>
  <si>
    <t>13557475</t>
  </si>
  <si>
    <t>aba0fefa-1111-461f-83ac-016fa88c4cd7</t>
  </si>
  <si>
    <t>2026-03-05 06:38:38</t>
  </si>
  <si>
    <t>27764192091</t>
  </si>
  <si>
    <t>13558556</t>
  </si>
  <si>
    <t>ed0aba4f-9dfe-4823-b322-4294ee4d70d1</t>
  </si>
  <si>
    <t>2026-03-05 06:38:37</t>
  </si>
  <si>
    <t>27795460145</t>
  </si>
  <si>
    <t>13558952</t>
  </si>
  <si>
    <t>9da9335e-4fda-422f-8f38-933d874ed8ff</t>
  </si>
  <si>
    <t>2026-03-05 06:38:31</t>
  </si>
  <si>
    <t>27818382771</t>
  </si>
  <si>
    <t>13558949</t>
  </si>
  <si>
    <t>737453ff-a74f-4797-be42-6e036c6937f2</t>
  </si>
  <si>
    <t>2026-03-05 06:38:27</t>
  </si>
  <si>
    <t>27818288995</t>
  </si>
  <si>
    <t>13558550</t>
  </si>
  <si>
    <t>3d2ec8c3-dc2b-460d-8d12-2380103e9064</t>
  </si>
  <si>
    <t>2026-03-05 06:38:02</t>
  </si>
  <si>
    <t>27795391551</t>
  </si>
  <si>
    <t>13558610</t>
  </si>
  <si>
    <t>2f7ab687-2c06-452c-89aa-49204e8a0064</t>
  </si>
  <si>
    <t>2026-03-05 06:37:54</t>
  </si>
  <si>
    <t>27796092190</t>
  </si>
  <si>
    <t>13558679</t>
  </si>
  <si>
    <t>3fa8e0b5-f78c-4d49-92d4-f310c8561a64</t>
  </si>
  <si>
    <t>2026-03-05 06:37:45</t>
  </si>
  <si>
    <t>27796824196</t>
  </si>
  <si>
    <t>13559868</t>
  </si>
  <si>
    <t>5d8fbab1-9471-4c57-a4b3-262b121e73bd</t>
  </si>
  <si>
    <t>2026-03-05 06:36:48</t>
  </si>
  <si>
    <t>27792673103</t>
  </si>
  <si>
    <t>13559956</t>
  </si>
  <si>
    <t>4dac42b5-cd2d-49e0-a212-4e72f82be167</t>
  </si>
  <si>
    <t>2026-03-05 06:36:47</t>
  </si>
  <si>
    <t>27767491200</t>
  </si>
  <si>
    <t>13562715</t>
  </si>
  <si>
    <t>35cb378f-289f-4bc3-a689-7ac63ffd387b</t>
  </si>
  <si>
    <t>2026-03-05 06:36:46</t>
  </si>
  <si>
    <t>27766400585</t>
  </si>
  <si>
    <t>13562390</t>
  </si>
  <si>
    <t>c81e70d4-e948-4386-a0a1-daa1fa5548bf</t>
  </si>
  <si>
    <t>2026-03-05 06:36:42</t>
  </si>
  <si>
    <t>27769714320</t>
  </si>
  <si>
    <t>13563498</t>
  </si>
  <si>
    <t>40e12238-e6bb-49b4-956f-016f584f2b1d</t>
  </si>
  <si>
    <t>27727311557</t>
  </si>
  <si>
    <t>13559189</t>
  </si>
  <si>
    <t>7c362419-92c7-4e83-94b8-522b6f96da90</t>
  </si>
  <si>
    <t>2026-03-05 06:36:32</t>
  </si>
  <si>
    <t>27823980679</t>
  </si>
  <si>
    <t>13557391</t>
  </si>
  <si>
    <t>d93c4a4d-772a-421b-83f4-d1b1c43e0e7e</t>
  </si>
  <si>
    <t>2026-03-05 06:36:26</t>
  </si>
  <si>
    <t>27763121298</t>
  </si>
  <si>
    <t>13564118</t>
  </si>
  <si>
    <t>a74457dd-2353-4238-83fd-0038225e9a6d</t>
  </si>
  <si>
    <t>2026-03-05 06:36:19</t>
  </si>
  <si>
    <t>27607816479</t>
  </si>
  <si>
    <t>13562694</t>
  </si>
  <si>
    <t>c819469d-efc3-477e-a2b0-af293e21034d</t>
  </si>
  <si>
    <t>2026-03-05 06:35:32</t>
  </si>
  <si>
    <t>27765762710</t>
  </si>
  <si>
    <t>13559814</t>
  </si>
  <si>
    <t>4a42f3b9-747c-4155-b838-962883e90f2e</t>
  </si>
  <si>
    <t>2026-03-05 06:35:31</t>
  </si>
  <si>
    <t>27829630500</t>
  </si>
  <si>
    <t>13562712</t>
  </si>
  <si>
    <t>bcf87b6b-ba08-4d11-8331-0d3f2e13438a</t>
  </si>
  <si>
    <t>2026-03-05 06:35:22</t>
  </si>
  <si>
    <t>27712874338</t>
  </si>
  <si>
    <t>13562759</t>
  </si>
  <si>
    <t>7a9ebb3a-129f-418e-b6f8-c0c2de07f0a5</t>
  </si>
  <si>
    <t>2026-03-05 06:35:00</t>
  </si>
  <si>
    <t>27766072754</t>
  </si>
  <si>
    <t>13563737</t>
  </si>
  <si>
    <t>064c0cae-8d41-4183-ba7b-544d6d8e0fa9</t>
  </si>
  <si>
    <t>2026-03-05 06:34:47</t>
  </si>
  <si>
    <t>27712015665</t>
  </si>
  <si>
    <t>13563659</t>
  </si>
  <si>
    <t>4b71209a-bf89-4d4a-ac0d-6e051611ec2f</t>
  </si>
  <si>
    <t>2026-03-05 06:34:16</t>
  </si>
  <si>
    <t>27768510019</t>
  </si>
  <si>
    <t>13563669</t>
  </si>
  <si>
    <t>46fb52a1-96e3-4c11-a730-fbad626f9167</t>
  </si>
  <si>
    <t>2026-03-05 06:34:09</t>
  </si>
  <si>
    <t>27674241961</t>
  </si>
  <si>
    <t>13557368</t>
  </si>
  <si>
    <t>0a7f5200-2f22-4fad-8f71-e590deebbcdd</t>
  </si>
  <si>
    <t>2026-03-05 06:33:19</t>
  </si>
  <si>
    <t>27762942839</t>
  </si>
  <si>
    <t>13563758</t>
  </si>
  <si>
    <t>79962937-11d6-4044-b5e7-4b039ff3a979</t>
  </si>
  <si>
    <t>2026-03-05 06:33:05</t>
  </si>
  <si>
    <t>27660526747</t>
  </si>
  <si>
    <t>13563764</t>
  </si>
  <si>
    <t>bc27d5d5-ad7e-4ada-b016-d7f15f7436f3</t>
  </si>
  <si>
    <t>27728540655</t>
  </si>
  <si>
    <t>13563829</t>
  </si>
  <si>
    <t>190c8eb4-e724-4dfd-b1b0-03cdcadb2853</t>
  </si>
  <si>
    <t>2026-03-05 06:32:44</t>
  </si>
  <si>
    <t>27727593605</t>
  </si>
  <si>
    <t>13557322</t>
  </si>
  <si>
    <t>dfe0187b-5919-4e0b-9935-9979e259e8fb</t>
  </si>
  <si>
    <t>2026-03-05 06:32:03</t>
  </si>
  <si>
    <t>27762468473</t>
  </si>
  <si>
    <t>13564092</t>
  </si>
  <si>
    <t>3f5eb3be-542c-46b0-ac02-74036f466b37</t>
  </si>
  <si>
    <t>2026-03-05 06:31:47</t>
  </si>
  <si>
    <t>27729430250</t>
  </si>
  <si>
    <t>13564103</t>
  </si>
  <si>
    <t>9143af51-ea7e-406f-a561-82ec2e6d2aa7</t>
  </si>
  <si>
    <t>27728203825</t>
  </si>
  <si>
    <t>13557185</t>
  </si>
  <si>
    <t>425cd7f7-8591-499a-85e1-ed3bf45ab8ad</t>
  </si>
  <si>
    <t>2026-03-05 06:30:28</t>
  </si>
  <si>
    <t>27761047009</t>
  </si>
  <si>
    <t>13557293</t>
  </si>
  <si>
    <t>4b32c9f3-299e-4a63-a5c0-1fbc48a0d4d1</t>
  </si>
  <si>
    <t>2026-03-05 06:30:21</t>
  </si>
  <si>
    <t>27762160793</t>
  </si>
  <si>
    <t>13557275</t>
  </si>
  <si>
    <t>18d04bd8-a9c2-4bbb-85d5-5d25fd2442a4</t>
  </si>
  <si>
    <t>2026-03-05 06:30:15</t>
  </si>
  <si>
    <t>27761974391</t>
  </si>
  <si>
    <t>13557278</t>
  </si>
  <si>
    <t>2556c649-0259-42bb-9bac-6c196f4756b3</t>
  </si>
  <si>
    <t>2026-03-05 06:30:14</t>
  </si>
  <si>
    <t>27762011138</t>
  </si>
  <si>
    <t>13557257</t>
  </si>
  <si>
    <t>25204163-de34-48ad-8dcf-ff63ff8743dc</t>
  </si>
  <si>
    <t>2026-03-05 06:30:13</t>
  </si>
  <si>
    <t>27761781289</t>
  </si>
  <si>
    <t>13557236</t>
  </si>
  <si>
    <t>2175a3cd-e828-4bef-a7c7-da6d8fbb48b8</t>
  </si>
  <si>
    <t>2026-03-05 06:30:08</t>
  </si>
  <si>
    <t>27761570676</t>
  </si>
  <si>
    <t>13557405</t>
  </si>
  <si>
    <t>787ec263-dc44-4166-aa8f-b71d88d18ef6</t>
  </si>
  <si>
    <t>2026-03-05 06:30:05</t>
  </si>
  <si>
    <t>27763261267</t>
  </si>
  <si>
    <t>13557200</t>
  </si>
  <si>
    <t>663f864c-04d7-4459-8379-dad5c9304e4b</t>
  </si>
  <si>
    <t>2026-03-05 06:29:57</t>
  </si>
  <si>
    <t>27761191354</t>
  </si>
  <si>
    <t>13557191</t>
  </si>
  <si>
    <t>bc9bd749-262c-4948-a463-396614adb472</t>
  </si>
  <si>
    <t>2026-03-05 06:29:50</t>
  </si>
  <si>
    <t>27761121973</t>
  </si>
  <si>
    <t>13557122</t>
  </si>
  <si>
    <t>e007ec0b-5083-445e-9375-8306bee08337</t>
  </si>
  <si>
    <t>2026-03-05 06:28:51</t>
  </si>
  <si>
    <t>27760423713</t>
  </si>
  <si>
    <t>13564284</t>
  </si>
  <si>
    <t>6d2e1ec0-8545-4891-be31-f4f9368e084a</t>
  </si>
  <si>
    <t>2026-03-05 06:28:20</t>
  </si>
  <si>
    <t>27767039382</t>
  </si>
  <si>
    <t>13557014</t>
  </si>
  <si>
    <t>8d7fb41b-2e64-4605-8e5d-0253b686966c</t>
  </si>
  <si>
    <t>2026-03-05 06:28:05</t>
  </si>
  <si>
    <t>27729556484</t>
  </si>
  <si>
    <t>13556993</t>
  </si>
  <si>
    <t>dabc7962-5f1c-4ddd-ae6a-751c5a5ea32f</t>
  </si>
  <si>
    <t>2026-03-05 06:27:54</t>
  </si>
  <si>
    <t>27729300349</t>
  </si>
  <si>
    <t>13556985</t>
  </si>
  <si>
    <t>df416a1f-4b79-47ab-9f36-74621aab470f</t>
  </si>
  <si>
    <t>2026-03-05 06:27:41</t>
  </si>
  <si>
    <t>27729227041</t>
  </si>
  <si>
    <t>13556827</t>
  </si>
  <si>
    <t>e3f485f4-bf35-4d12-9654-62ea1dbe1e57</t>
  </si>
  <si>
    <t>2026-03-05 06:27:32</t>
  </si>
  <si>
    <t>27727827988</t>
  </si>
  <si>
    <t>13556954</t>
  </si>
  <si>
    <t>6706a827-4877-4240-938d-534cfe4c9d71</t>
  </si>
  <si>
    <t>2026-03-05 06:27:05</t>
  </si>
  <si>
    <t>27728958731</t>
  </si>
  <si>
    <t>13556947</t>
  </si>
  <si>
    <t>b9565840-2ff7-4f00-ac0e-5efc998ac797</t>
  </si>
  <si>
    <t>2026-03-05 06:27:04</t>
  </si>
  <si>
    <t>27728895515</t>
  </si>
  <si>
    <t>13556106</t>
  </si>
  <si>
    <t>de93a4ae-decb-489c-a55d-0753dcdeab81</t>
  </si>
  <si>
    <t>2026-03-05 06:25:45</t>
  </si>
  <si>
    <t>27720769010</t>
  </si>
  <si>
    <t>13556097</t>
  </si>
  <si>
    <t>d18764b4-8c12-4f52-9799-c6cc9cbfd79d</t>
  </si>
  <si>
    <t>2026-03-05 06:25:43</t>
  </si>
  <si>
    <t>27720691578</t>
  </si>
  <si>
    <t>13556074</t>
  </si>
  <si>
    <t>769abc66-c667-4d58-b0d3-5368895410ad</t>
  </si>
  <si>
    <t>2026-03-05 06:25:41</t>
  </si>
  <si>
    <t>27720552229</t>
  </si>
  <si>
    <t>13556002</t>
  </si>
  <si>
    <t>86a3d128-e5b4-4062-b5fc-ec232eb196ee</t>
  </si>
  <si>
    <t>2026-03-05 06:24:56</t>
  </si>
  <si>
    <t>27716326273</t>
  </si>
  <si>
    <t>13555948</t>
  </si>
  <si>
    <t>aba2a488-dac6-4ad0-9278-6051c6afca02</t>
  </si>
  <si>
    <t>2026-03-05 06:24:43</t>
  </si>
  <si>
    <t>27715717547</t>
  </si>
  <si>
    <t>13564906</t>
  </si>
  <si>
    <t>8d98143e-f6ad-4e96-8759-b60644db77b5</t>
  </si>
  <si>
    <t>2026-03-05 06:23:46</t>
  </si>
  <si>
    <t>27609415055</t>
  </si>
  <si>
    <t>13564919</t>
  </si>
  <si>
    <t>af80fca3-a40b-451f-ab2b-8c76227b943a</t>
  </si>
  <si>
    <t>2026-03-05 06:23:34</t>
  </si>
  <si>
    <t>27609585044</t>
  </si>
  <si>
    <t>13564921</t>
  </si>
  <si>
    <t>bf22ece8-2122-4d9a-9cf7-4ced48984355</t>
  </si>
  <si>
    <t>2026-03-05 06:23:31</t>
  </si>
  <si>
    <t>27609964346</t>
  </si>
  <si>
    <t>13557041</t>
  </si>
  <si>
    <t>85ca4425-097f-4140-89b5-e53e72ee7c87</t>
  </si>
  <si>
    <t>2026-03-05 06:23:25</t>
  </si>
  <si>
    <t>27729893246</t>
  </si>
  <si>
    <t>13555924</t>
  </si>
  <si>
    <t>565406b3-0b55-4170-8641-da6d848ed6ac</t>
  </si>
  <si>
    <t>2026-03-05 06:23:16</t>
  </si>
  <si>
    <t>27715528619</t>
  </si>
  <si>
    <t>13564805</t>
  </si>
  <si>
    <t>7fc1e28e-32f0-41be-816f-ed84f0abda0c</t>
  </si>
  <si>
    <t>2026-03-05 06:23:04</t>
  </si>
  <si>
    <t>27607717300</t>
  </si>
  <si>
    <t>13564815</t>
  </si>
  <si>
    <t>6810a751-5c44-4f37-bc3b-46e28f899b2f</t>
  </si>
  <si>
    <t>2026-03-05 06:23:00</t>
  </si>
  <si>
    <t>27607845448</t>
  </si>
  <si>
    <t>13564816</t>
  </si>
  <si>
    <t>284c82dd-ccd6-41e6-a0ae-32b936678599</t>
  </si>
  <si>
    <t>27607848338</t>
  </si>
  <si>
    <t>13564824</t>
  </si>
  <si>
    <t>fb5fba62-f460-464c-8ea6-5e3a50734471</t>
  </si>
  <si>
    <t>2026-03-05 06:22:49</t>
  </si>
  <si>
    <t>27608031672</t>
  </si>
  <si>
    <t>13564844</t>
  </si>
  <si>
    <t>9de6d9d2-cd61-40a8-ae0e-b20ca9032bd6</t>
  </si>
  <si>
    <t>2026-03-05 06:22:47</t>
  </si>
  <si>
    <t>27608386652</t>
  </si>
  <si>
    <t>13564872</t>
  </si>
  <si>
    <t>88f73a97-bd43-44db-8e45-45bb45db868a</t>
  </si>
  <si>
    <t>2026-03-05 06:22:42</t>
  </si>
  <si>
    <t>27608836233</t>
  </si>
  <si>
    <t>13564486</t>
  </si>
  <si>
    <t>3838bd52-03ae-403d-9e84-6bf047fbff45</t>
  </si>
  <si>
    <t>2026-03-05 06:22:20</t>
  </si>
  <si>
    <t>27724351021</t>
  </si>
  <si>
    <t>13555818</t>
  </si>
  <si>
    <t>c8fa787d-ce0d-4527-a26c-4f5b1e1f9e66</t>
  </si>
  <si>
    <t>2026-03-05 06:22:01</t>
  </si>
  <si>
    <t>27714382845</t>
  </si>
  <si>
    <t>13555810</t>
  </si>
  <si>
    <t>96d534b3-728a-4307-a39e-f24f16f9b60f</t>
  </si>
  <si>
    <t>2026-03-05 06:21:58</t>
  </si>
  <si>
    <t>27714307139</t>
  </si>
  <si>
    <t>13555791</t>
  </si>
  <si>
    <t>3d16e8d2-0797-4bc0-910e-9765a43bdf47</t>
  </si>
  <si>
    <t>2026-03-05 06:21:56</t>
  </si>
  <si>
    <t>27714030516</t>
  </si>
  <si>
    <t>13555785</t>
  </si>
  <si>
    <t>84e7cf93-1006-400f-8447-2ce59164bc83</t>
  </si>
  <si>
    <t>2026-03-05 06:21:54</t>
  </si>
  <si>
    <t>27713993802</t>
  </si>
  <si>
    <t>13564423</t>
  </si>
  <si>
    <t>f4243126-cdd8-4d87-bb9d-47355cb412f9</t>
  </si>
  <si>
    <t>2026-03-05 06:21:19</t>
  </si>
  <si>
    <t>27683469557</t>
  </si>
  <si>
    <t>13564439</t>
  </si>
  <si>
    <t>8dfbc00a-2368-4cf0-a363-9e5d4241c1ee</t>
  </si>
  <si>
    <t>2026-03-05 06:21:16</t>
  </si>
  <si>
    <t>27711882820</t>
  </si>
  <si>
    <t>13564453</t>
  </si>
  <si>
    <t>640d1413-b25d-42b8-b4c6-ffcbaf82837e</t>
  </si>
  <si>
    <t>2026-03-05 06:21:13</t>
  </si>
  <si>
    <t>27673327520</t>
  </si>
  <si>
    <t>13564463</t>
  </si>
  <si>
    <t>bb630a5f-bd3a-4824-a92e-25dfa2b7e123</t>
  </si>
  <si>
    <t>2026-03-05 06:21:11</t>
  </si>
  <si>
    <t>27609397415</t>
  </si>
  <si>
    <t>13555853</t>
  </si>
  <si>
    <t>128deeb0-bd08-4692-a105-920a88760106</t>
  </si>
  <si>
    <t>2026-03-05 06:20:24</t>
  </si>
  <si>
    <t>27714929850</t>
  </si>
  <si>
    <t>13555730</t>
  </si>
  <si>
    <t>5f7759e3-6a0b-4625-ba1e-69f0aadcbf72</t>
  </si>
  <si>
    <t>2026-03-05 06:20:19</t>
  </si>
  <si>
    <t>27713270903</t>
  </si>
  <si>
    <t>13555717</t>
  </si>
  <si>
    <t>55db9353-b097-4ec2-bc7f-b524f14239ca</t>
  </si>
  <si>
    <t>2026-03-05 06:20:14</t>
  </si>
  <si>
    <t>27713166858</t>
  </si>
  <si>
    <t>13555675</t>
  </si>
  <si>
    <t>ec532413-a11e-47bb-9ca0-cde46afa55ca</t>
  </si>
  <si>
    <t>2026-03-05 06:19:48</t>
  </si>
  <si>
    <t>27712859171</t>
  </si>
  <si>
    <t>13555622</t>
  </si>
  <si>
    <t>ffe85509-2b6c-4f04-8d93-2701d23e95ad</t>
  </si>
  <si>
    <t>2026-03-05 06:19:25</t>
  </si>
  <si>
    <t>27712229845</t>
  </si>
  <si>
    <t>13555607</t>
  </si>
  <si>
    <t>7ae55e77-c1ac-486c-8c1b-cc23844e6baf</t>
  </si>
  <si>
    <t>2026-03-05 06:19:22</t>
  </si>
  <si>
    <t>27712085454</t>
  </si>
  <si>
    <t>13564489</t>
  </si>
  <si>
    <t>8fcda941-5576-4493-a554-2df4eca5e451</t>
  </si>
  <si>
    <t>2026-03-05 06:19:14</t>
  </si>
  <si>
    <t>27760228370</t>
  </si>
  <si>
    <t>13555603</t>
  </si>
  <si>
    <t>fd4f0d76-7c2c-496e-bea0-8d4acba0c456</t>
  </si>
  <si>
    <t>2026-03-05 06:19:06</t>
  </si>
  <si>
    <t>27712057077</t>
  </si>
  <si>
    <t>13564526</t>
  </si>
  <si>
    <t>a5a6241c-a61a-4143-91bf-0088da959244</t>
  </si>
  <si>
    <t>2026-03-05 06:18:19</t>
  </si>
  <si>
    <t>27722104627</t>
  </si>
  <si>
    <t>13564549</t>
  </si>
  <si>
    <t>83283c4a-ccb3-4a42-890a-7d4cec27c05d</t>
  </si>
  <si>
    <t>2026-03-05 06:18:14</t>
  </si>
  <si>
    <t>27722937078</t>
  </si>
  <si>
    <t>13555517</t>
  </si>
  <si>
    <t>4ea87f9e-54f8-4347-81b8-f11d0f55faf3</t>
  </si>
  <si>
    <t>2026-03-05 06:17:47</t>
  </si>
  <si>
    <t>27711028349</t>
  </si>
  <si>
    <t>13555498</t>
  </si>
  <si>
    <t>a3c6976b-0e9e-4635-a249-8e78405f494b</t>
  </si>
  <si>
    <t>2026-03-05 06:17:42</t>
  </si>
  <si>
    <t>27675355094</t>
  </si>
  <si>
    <t>13555490</t>
  </si>
  <si>
    <t>9a17f1e3-a9a1-4abe-ad9b-284dde26de24</t>
  </si>
  <si>
    <t>2026-03-05 06:17:41</t>
  </si>
  <si>
    <t>27674603239</t>
  </si>
  <si>
    <t>13555463</t>
  </si>
  <si>
    <t>142e3f85-fd34-46b9-8503-4e84a764bdf6</t>
  </si>
  <si>
    <t>2026-03-05 06:17:00</t>
  </si>
  <si>
    <t>27673405434</t>
  </si>
  <si>
    <t>13555441</t>
  </si>
  <si>
    <t>d435dfc5-abfe-4aa2-a61f-c73113ba2e7b</t>
  </si>
  <si>
    <t>2026-03-05 06:16:53</t>
  </si>
  <si>
    <t>27665690668</t>
  </si>
  <si>
    <t>13555419</t>
  </si>
  <si>
    <t>aea8bd19-61aa-4426-96c7-b01703fb1c5b</t>
  </si>
  <si>
    <t>2026-03-05 06:16:51</t>
  </si>
  <si>
    <t>27665101408</t>
  </si>
  <si>
    <t>13555420</t>
  </si>
  <si>
    <t>c5de276c-af38-43ba-99e2-8d2789ad4fc5</t>
  </si>
  <si>
    <t>27665135009</t>
  </si>
  <si>
    <t>13564596</t>
  </si>
  <si>
    <t>6e6e6c9c-cf4b-4baa-8003-e72102fdd6d9</t>
  </si>
  <si>
    <t>2026-03-05 06:16:09</t>
  </si>
  <si>
    <t>27649584732</t>
  </si>
  <si>
    <t>13564597</t>
  </si>
  <si>
    <t>d8f776c7-5d80-4bec-8fd2-033c0c657b3b</t>
  </si>
  <si>
    <t>27660777582</t>
  </si>
  <si>
    <t>13555387</t>
  </si>
  <si>
    <t>071e5b88-e5d3-46f6-a8de-967fb49110fe</t>
  </si>
  <si>
    <t>2026-03-05 06:16:07</t>
  </si>
  <si>
    <t>27664383390</t>
  </si>
  <si>
    <t>13556187</t>
  </si>
  <si>
    <t>3cbc24c7-3149-4ddf-aadf-c2fe720c4253</t>
  </si>
  <si>
    <t>2026-03-05 06:14:37</t>
  </si>
  <si>
    <t>27721443710</t>
  </si>
  <si>
    <t>13556177</t>
  </si>
  <si>
    <t>82027168-8c09-441d-8474-db87eb0ee0f9</t>
  </si>
  <si>
    <t>2026-03-05 06:14:35</t>
  </si>
  <si>
    <t>27721352534</t>
  </si>
  <si>
    <t>13555025</t>
  </si>
  <si>
    <t>063fe7d8-7e82-486a-8287-033a1439d885</t>
  </si>
  <si>
    <t>2026-03-05 06:14:34</t>
  </si>
  <si>
    <t>27646060731</t>
  </si>
  <si>
    <t>13555005</t>
  </si>
  <si>
    <t>9e8c2307-543f-4812-b1dc-7fbabc8611f0</t>
  </si>
  <si>
    <t>2026-03-05 06:14:30</t>
  </si>
  <si>
    <t>27637403621</t>
  </si>
  <si>
    <t>13554953</t>
  </si>
  <si>
    <t>cf790c72-3813-45fa-90cb-9dfb60e2aa78</t>
  </si>
  <si>
    <t>2026-03-05 06:13:56</t>
  </si>
  <si>
    <t>27636264145</t>
  </si>
  <si>
    <t>13564629</t>
  </si>
  <si>
    <t>12fe07dd-13ac-42ab-8168-530b96fa905b</t>
  </si>
  <si>
    <t>2026-03-05 06:13:21</t>
  </si>
  <si>
    <t>27648869772</t>
  </si>
  <si>
    <t>13564651</t>
  </si>
  <si>
    <t>9430bec7-e240-4955-9ec6-6681d5bfab94</t>
  </si>
  <si>
    <t>2026-03-05 06:13:18</t>
  </si>
  <si>
    <t>27716452183</t>
  </si>
  <si>
    <t>13564661</t>
  </si>
  <si>
    <t>6061aae4-a643-45fb-ba26-4e2d49ac7a4e</t>
  </si>
  <si>
    <t>2026-03-05 06:13:11</t>
  </si>
  <si>
    <t>27661060795</t>
  </si>
  <si>
    <t>13564671</t>
  </si>
  <si>
    <t>cd2f10a1-f1a1-4963-8079-dd10d35b4c99</t>
  </si>
  <si>
    <t>2026-03-05 06:13:10</t>
  </si>
  <si>
    <t>27721151974</t>
  </si>
  <si>
    <t>13556147</t>
  </si>
  <si>
    <t>297d2d45-2c36-486a-945d-eb8b5d33393f</t>
  </si>
  <si>
    <t>2026-03-05 06:13:02</t>
  </si>
  <si>
    <t>27721070640</t>
  </si>
  <si>
    <t>13556142</t>
  </si>
  <si>
    <t>95c0fe7a-add5-444c-9520-400acb62fc21</t>
  </si>
  <si>
    <t>2026-03-05 06:13:01</t>
  </si>
  <si>
    <t>27721037888</t>
  </si>
  <si>
    <t>13556152</t>
  </si>
  <si>
    <t>d1f227f6-52eb-44ae-81c8-1b2148690b05</t>
  </si>
  <si>
    <t>27721110890</t>
  </si>
  <si>
    <t>13556129</t>
  </si>
  <si>
    <t>1474544b-de2e-4c11-9a64-e3a73ce2ebab</t>
  </si>
  <si>
    <t>2026-03-05 06:12:23</t>
  </si>
  <si>
    <t>27720954631</t>
  </si>
  <si>
    <t>13556123</t>
  </si>
  <si>
    <t>b9589178-d2a4-4b08-81d5-7ec6f2fa45a2</t>
  </si>
  <si>
    <t>2026-03-05 06:12:22</t>
  </si>
  <si>
    <t>27720871492</t>
  </si>
  <si>
    <t>13555216</t>
  </si>
  <si>
    <t>85b52087-938f-4fb6-9f24-edd1142df603</t>
  </si>
  <si>
    <t>2026-03-05 06:12:17</t>
  </si>
  <si>
    <t>27660082495</t>
  </si>
  <si>
    <t>13556629</t>
  </si>
  <si>
    <t>582232de-8844-4f89-836e-7b41a7ab4d5a</t>
  </si>
  <si>
    <t>2026-03-05 06:11:55</t>
  </si>
  <si>
    <t>27725639550</t>
  </si>
  <si>
    <t>13556608</t>
  </si>
  <si>
    <t>6c6012df-57b7-4a55-adf5-033584bed57b</t>
  </si>
  <si>
    <t>2026-03-05 06:11:50</t>
  </si>
  <si>
    <t>27725526068</t>
  </si>
  <si>
    <t>13556594</t>
  </si>
  <si>
    <t>5ed82833-b8db-4cf8-92d7-9efd6a4f3fdb</t>
  </si>
  <si>
    <t>2026-03-05 06:11:33</t>
  </si>
  <si>
    <t>27725378558</t>
  </si>
  <si>
    <t>13555092</t>
  </si>
  <si>
    <t>7b396b9c-2f0c-4295-bf81-3196fb177a44</t>
  </si>
  <si>
    <t>2026-03-05 06:10:46</t>
  </si>
  <si>
    <t>27647658321</t>
  </si>
  <si>
    <t>13555091</t>
  </si>
  <si>
    <t>96156806-6b94-447d-8b8c-80d967d76fcd</t>
  </si>
  <si>
    <t>2026-03-05 06:10:45</t>
  </si>
  <si>
    <t>27647494643</t>
  </si>
  <si>
    <t>13564693</t>
  </si>
  <si>
    <t>5b6880ca-8415-4f61-8986-da4de272ad64</t>
  </si>
  <si>
    <t>2026-03-05 06:10:15</t>
  </si>
  <si>
    <t>27605255773</t>
  </si>
  <si>
    <t>13564699</t>
  </si>
  <si>
    <t>fe27dae2-dfcb-44b0-afae-d0cd2ed5055e</t>
  </si>
  <si>
    <t>2026-03-05 06:10:14</t>
  </si>
  <si>
    <t>27606077953</t>
  </si>
  <si>
    <t>13564727</t>
  </si>
  <si>
    <t>25902930-e05f-4a91-9530-f9fe1bfaa743</t>
  </si>
  <si>
    <t>2026-03-05 06:10:10</t>
  </si>
  <si>
    <t>27606447617</t>
  </si>
  <si>
    <t>13555195</t>
  </si>
  <si>
    <t>6c8d23cb-653a-4208-bd1d-f2f78e47231a</t>
  </si>
  <si>
    <t>2026-03-05 06:10:07</t>
  </si>
  <si>
    <t>27649741598</t>
  </si>
  <si>
    <t>13555168</t>
  </si>
  <si>
    <t>1a00badb-a113-4987-ab1b-d69ccdcf6121</t>
  </si>
  <si>
    <t>2026-03-05 06:09:56</t>
  </si>
  <si>
    <t>27648994544</t>
  </si>
  <si>
    <t>13555137</t>
  </si>
  <si>
    <t>6345c85e-fcda-452b-bf91-358b2ac145b9</t>
  </si>
  <si>
    <t>2026-03-05 06:09:34</t>
  </si>
  <si>
    <t>27648516722</t>
  </si>
  <si>
    <t>13556740</t>
  </si>
  <si>
    <t>be93c91e-79e0-408a-8369-70ce46539dc6</t>
  </si>
  <si>
    <t>2026-03-05 06:09:32</t>
  </si>
  <si>
    <t>27727021778</t>
  </si>
  <si>
    <t>13556718</t>
  </si>
  <si>
    <t>5274853a-c40b-4e52-b7b7-888c11820c59</t>
  </si>
  <si>
    <t>2026-03-05 06:09:01</t>
  </si>
  <si>
    <t>27726848936</t>
  </si>
  <si>
    <t>13556702</t>
  </si>
  <si>
    <t>4eeae260-d1a2-41c6-befd-204e61f5ca2c</t>
  </si>
  <si>
    <t>2026-03-05 06:08:59</t>
  </si>
  <si>
    <t>27726672508</t>
  </si>
  <si>
    <t>13556377</t>
  </si>
  <si>
    <t>3af41920-105a-4af3-869e-924ece7d5c5e</t>
  </si>
  <si>
    <t>2026-03-05 06:08:10</t>
  </si>
  <si>
    <t>27723279321</t>
  </si>
  <si>
    <t>13556250</t>
  </si>
  <si>
    <t>4a0a1a2a-15e6-4eb7-888a-80e42cc076ff</t>
  </si>
  <si>
    <t>2026-03-05 06:08:09</t>
  </si>
  <si>
    <t>27722020724</t>
  </si>
  <si>
    <t>13556242</t>
  </si>
  <si>
    <t>3a5d7991-2663-49eb-bada-e5a6522be90e</t>
  </si>
  <si>
    <t>2026-03-05 06:08:08</t>
  </si>
  <si>
    <t>27721943904</t>
  </si>
  <si>
    <t>13561297</t>
  </si>
  <si>
    <t>33423a91-c1e3-4543-b9d8-08f4818b6b1f</t>
  </si>
  <si>
    <t>2026-03-05 06:08:04</t>
  </si>
  <si>
    <t>27726425483</t>
  </si>
  <si>
    <t>13556228</t>
  </si>
  <si>
    <t>ef94f8d1-5ae5-4123-a6e5-828cd3f483f4</t>
  </si>
  <si>
    <t>2026-03-05 06:07:20</t>
  </si>
  <si>
    <t>27721804040</t>
  </si>
  <si>
    <t>13556856</t>
  </si>
  <si>
    <t>3d05d2dc-7888-4043-8da4-ad9d756da24c</t>
  </si>
  <si>
    <t>2026-03-05 06:07:02</t>
  </si>
  <si>
    <t>27728090918</t>
  </si>
  <si>
    <t>13556268</t>
  </si>
  <si>
    <t>d1b3473f-99cc-42f1-bc81-1186bc78fc5d</t>
  </si>
  <si>
    <t>2026-03-05 06:06:46</t>
  </si>
  <si>
    <t>27722152243</t>
  </si>
  <si>
    <t>13556263</t>
  </si>
  <si>
    <t>f4577199-c9d0-4532-95c7-a0208a929d69</t>
  </si>
  <si>
    <t>2026-03-05 06:06:45</t>
  </si>
  <si>
    <t>27722133160</t>
  </si>
  <si>
    <t>13555020</t>
  </si>
  <si>
    <t>affae38c-5d1b-4d95-8102-32f5810e4d67</t>
  </si>
  <si>
    <t>2026-03-05 06:06:41</t>
  </si>
  <si>
    <t>27637987739</t>
  </si>
  <si>
    <t>13556290</t>
  </si>
  <si>
    <t>0066a221-e7f2-4324-b039-dc8e8881bdcf</t>
  </si>
  <si>
    <t>2026-03-05 06:06:40</t>
  </si>
  <si>
    <t>27722269830</t>
  </si>
  <si>
    <t>13556298</t>
  </si>
  <si>
    <t>1246cfdc-5fd3-4719-a306-eb0afda89622</t>
  </si>
  <si>
    <t>27722377616</t>
  </si>
  <si>
    <t>13556214</t>
  </si>
  <si>
    <t>4970fb7a-f566-4ff8-9fc1-3140320c81bc</t>
  </si>
  <si>
    <t>2026-03-05 06:06:26</t>
  </si>
  <si>
    <t>27721640196</t>
  </si>
  <si>
    <t>13556370</t>
  </si>
  <si>
    <t>95152318-93f2-479f-a423-3ff8f141cbc6</t>
  </si>
  <si>
    <t>2026-03-05 06:06:05</t>
  </si>
  <si>
    <t>27723217238</t>
  </si>
  <si>
    <t>13555876</t>
  </si>
  <si>
    <t>15841a39-a022-4547-8eca-4d6fe0252e7b</t>
  </si>
  <si>
    <t>2026-03-05 06:05:53</t>
  </si>
  <si>
    <t>27715127212</t>
  </si>
  <si>
    <t>13555902</t>
  </si>
  <si>
    <t>d32c60bf-568b-4da7-a7be-3f119975e06e</t>
  </si>
  <si>
    <t>2026-03-05 06:05:51</t>
  </si>
  <si>
    <t>27715369723</t>
  </si>
  <si>
    <t>13556043</t>
  </si>
  <si>
    <t>12715f0b-fd81-4b10-9e95-78b0ce496c4f</t>
  </si>
  <si>
    <t>2026-03-05 06:05:47</t>
  </si>
  <si>
    <t>27720137467</t>
  </si>
  <si>
    <t>13556770</t>
  </si>
  <si>
    <t>2742c534-4091-4863-ae8c-9f4ff4179c65</t>
  </si>
  <si>
    <t>2026-03-05 06:05:42</t>
  </si>
  <si>
    <t>27727324421</t>
  </si>
  <si>
    <t>13556778</t>
  </si>
  <si>
    <t>055bc0b7-d4f6-4b96-8ae4-f29f4083bcd4</t>
  </si>
  <si>
    <t>2026-03-05 06:05:41</t>
  </si>
  <si>
    <t>27727396265</t>
  </si>
  <si>
    <t>13556786</t>
  </si>
  <si>
    <t>fbf92ca9-2514-41ad-b903-4b3e5ab177cb</t>
  </si>
  <si>
    <t>2026-03-05 06:05:35</t>
  </si>
  <si>
    <t>27727452464</t>
  </si>
  <si>
    <t>13556842</t>
  </si>
  <si>
    <t>8ddef48c-74b1-473e-be54-5ac0b2760bb9</t>
  </si>
  <si>
    <t>2026-03-05 06:05:34</t>
  </si>
  <si>
    <t>27727993081</t>
  </si>
  <si>
    <t>13556351</t>
  </si>
  <si>
    <t>a005b966-b744-48d8-a1a5-cd5c90e60747</t>
  </si>
  <si>
    <t>2026-03-05 06:04:41</t>
  </si>
  <si>
    <t>27723001614</t>
  </si>
  <si>
    <t>13556849</t>
  </si>
  <si>
    <t>072ad6da-c9a9-4a21-a89f-8e97ddb4f1cf</t>
  </si>
  <si>
    <t>2026-03-05 06:04:38</t>
  </si>
  <si>
    <t>27728067115</t>
  </si>
  <si>
    <t>13556256</t>
  </si>
  <si>
    <t>074aae45-ff1e-4ba7-9973-91fb05d21b32</t>
  </si>
  <si>
    <t>2026-03-05 06:04:15</t>
  </si>
  <si>
    <t>27722063526</t>
  </si>
  <si>
    <t>13557714</t>
  </si>
  <si>
    <t>53db206f-0238-40f6-885b-7a54efea8c2d</t>
  </si>
  <si>
    <t>2026-03-05 06:03:32</t>
  </si>
  <si>
    <t>27766643104</t>
  </si>
  <si>
    <t>13557716</t>
  </si>
  <si>
    <t>6091deeb-4cdf-4589-b7b5-30face310596</t>
  </si>
  <si>
    <t>27766653745</t>
  </si>
  <si>
    <t>13558076</t>
  </si>
  <si>
    <t>69aa349b-e094-4c8e-84bd-0bc79ef883c8</t>
  </si>
  <si>
    <t>2026-03-05 06:03:31</t>
  </si>
  <si>
    <t>27783431514</t>
  </si>
  <si>
    <t>13559551</t>
  </si>
  <si>
    <t>25638d5c-806f-4cf6-8983-687dde5a0300</t>
  </si>
  <si>
    <t>2026-03-05 06:03:29</t>
  </si>
  <si>
    <t>27828360551</t>
  </si>
  <si>
    <t>13554979</t>
  </si>
  <si>
    <t>236d6423-566b-4444-b8a7-deb166c39022</t>
  </si>
  <si>
    <t>2026-03-05 06:02:42</t>
  </si>
  <si>
    <t>27636638405</t>
  </si>
  <si>
    <t>13560244</t>
  </si>
  <si>
    <t>cf528d64-8b75-437b-9fa9-9226000825db</t>
  </si>
  <si>
    <t>2026-03-05 06:01:57</t>
  </si>
  <si>
    <t>27665342244</t>
  </si>
  <si>
    <t>13559483</t>
  </si>
  <si>
    <t>5415013a-49d1-4e4f-b98a-acb5a3af1983</t>
  </si>
  <si>
    <t>2026-03-05 06:01:53</t>
  </si>
  <si>
    <t>27827424825</t>
  </si>
  <si>
    <t>13558496</t>
  </si>
  <si>
    <t>2f30bc47-9caa-408e-9c8a-44faa377fbf9</t>
  </si>
  <si>
    <t>2026-03-05 06:01:50</t>
  </si>
  <si>
    <t>27794606453</t>
  </si>
  <si>
    <t>13559532</t>
  </si>
  <si>
    <t>2d7b1afd-bb68-4192-8c3d-1121289367d1</t>
  </si>
  <si>
    <t>2026-03-05 06:01:44</t>
  </si>
  <si>
    <t>27828124329</t>
  </si>
  <si>
    <t>13558524</t>
  </si>
  <si>
    <t>8f555d0c-c9f1-4609-8da8-f641d87949c2</t>
  </si>
  <si>
    <t>2026-03-05 06:01:14</t>
  </si>
  <si>
    <t>27794893626</t>
  </si>
  <si>
    <t>13556564</t>
  </si>
  <si>
    <t>50907293-6d51-49de-830d-c4f05bb2da94</t>
  </si>
  <si>
    <t>2026-03-05 06:01:02</t>
  </si>
  <si>
    <t>27725105461</t>
  </si>
  <si>
    <t>13556217</t>
  </si>
  <si>
    <t>1827cd27-2fec-4cff-8745-4c1059d7f53a</t>
  </si>
  <si>
    <t>2026-03-05 06:00:43</t>
  </si>
  <si>
    <t>27721723313</t>
  </si>
  <si>
    <t>13556215</t>
  </si>
  <si>
    <t>88f625b6-92e1-49a3-a8da-5ffb0aa55f3f</t>
  </si>
  <si>
    <t>2026-03-05 06:00:42</t>
  </si>
  <si>
    <t>27721690850</t>
  </si>
  <si>
    <t>13556582</t>
  </si>
  <si>
    <t>2a744827-1d24-45e9-88be-5b18589ea849</t>
  </si>
  <si>
    <t>27725239732</t>
  </si>
  <si>
    <t>13560296</t>
  </si>
  <si>
    <t>89369b8c-9dd0-4dc4-a08f-436826354f25</t>
  </si>
  <si>
    <t>2026-03-05 05:59:55</t>
  </si>
  <si>
    <t>27726942370</t>
  </si>
  <si>
    <t>13560316</t>
  </si>
  <si>
    <t>f1c4a331-49a2-4ad2-b4b7-2accd6675667</t>
  </si>
  <si>
    <t>2026-03-05 05:59:54</t>
  </si>
  <si>
    <t>27790120419</t>
  </si>
  <si>
    <t>13560328</t>
  </si>
  <si>
    <t>09c02d3a-dbf9-4606-8669-a928cbc555d1</t>
  </si>
  <si>
    <t>2026-03-05 05:58:52</t>
  </si>
  <si>
    <t>27723358518</t>
  </si>
  <si>
    <t>13560635</t>
  </si>
  <si>
    <t>5ad97dff-fb82-4ee7-bd54-2a998898e11e</t>
  </si>
  <si>
    <t>2026-03-05 05:58:15</t>
  </si>
  <si>
    <t>27720500799</t>
  </si>
  <si>
    <t>13555255</t>
  </si>
  <si>
    <t>20ef5abf-95ab-4812-9296-49b87c5b84ce</t>
  </si>
  <si>
    <t>2026-03-05 05:57:29</t>
  </si>
  <si>
    <t>27660724370</t>
  </si>
  <si>
    <t>13560623</t>
  </si>
  <si>
    <t>b3fe7118-2c7b-4724-8efb-20b69ae08834</t>
  </si>
  <si>
    <t>2026-03-05 05:57:08</t>
  </si>
  <si>
    <t>27781891093</t>
  </si>
  <si>
    <t>13556547</t>
  </si>
  <si>
    <t>408196eb-d51b-4d60-b99f-0d77c1a71f0b</t>
  </si>
  <si>
    <t>2026-03-05 05:40:27</t>
  </si>
  <si>
    <t>27724935069</t>
  </si>
  <si>
    <t>13559352</t>
  </si>
  <si>
    <t>9a457a2d-4ea4-4922-9ae1-b935c60dd20e</t>
  </si>
  <si>
    <t>2026-03-04 15:27:49</t>
  </si>
  <si>
    <t>27825961378</t>
  </si>
  <si>
    <t>13564138</t>
  </si>
  <si>
    <t>0e0f2f9e-9662-4803-ba5e-009347ffe827</t>
  </si>
  <si>
    <t>27715124651</t>
  </si>
  <si>
    <t>13561021</t>
  </si>
  <si>
    <t>18c71620-3be2-4612-babb-d23858894310</t>
  </si>
  <si>
    <t>2026-03-04 15:24:29</t>
  </si>
  <si>
    <t>27767419731</t>
  </si>
  <si>
    <t>13559411</t>
  </si>
  <si>
    <t>6e140128-c7fb-42a4-979d-d4d3cc727933</t>
  </si>
  <si>
    <t>2026-03-04 15:24:27</t>
  </si>
  <si>
    <t>27826630073</t>
  </si>
  <si>
    <t>13555691</t>
  </si>
  <si>
    <t>0dd515bd-01ed-4aa5-a4c8-f20b2039f7ec</t>
  </si>
  <si>
    <t>2026-03-04 15:23:51</t>
  </si>
  <si>
    <t>27712968683</t>
  </si>
  <si>
    <t>13559438</t>
  </si>
  <si>
    <t>bcd2d987-e34c-4107-b3f5-70df78bd52bc</t>
  </si>
  <si>
    <t>2026-03-04 15:23:49</t>
  </si>
  <si>
    <t>27826897612</t>
  </si>
  <si>
    <t>13556763</t>
  </si>
  <si>
    <t>72fa6e31-583d-4359-acb1-3e6f0cdf99a6</t>
  </si>
  <si>
    <t>2026-03-04 15:23:47</t>
  </si>
  <si>
    <t>27727253569</t>
  </si>
  <si>
    <t>13560631</t>
  </si>
  <si>
    <t>d7f5c084-5052-437a-907a-0bd65f49d2c7</t>
  </si>
  <si>
    <t>2026-03-04 15:23:39</t>
  </si>
  <si>
    <t>27648060889</t>
  </si>
  <si>
    <t>13556561</t>
  </si>
  <si>
    <t>a2ce887b-d065-4f0d-9750-dbdcb21fe8a5</t>
  </si>
  <si>
    <t>2026-03-04 15:21:25</t>
  </si>
  <si>
    <t>27725052055</t>
  </si>
  <si>
    <t>13560979</t>
  </si>
  <si>
    <t>8c00c9a7-13a2-4bc1-9278-9a59c79e07f9</t>
  </si>
  <si>
    <t>2026-03-04 15:20:42</t>
  </si>
  <si>
    <t>27673543966</t>
  </si>
  <si>
    <t>13558605</t>
  </si>
  <si>
    <t>30c2483d-b7b0-42d4-b310-629976cffa58</t>
  </si>
  <si>
    <t>2026-03-04 15:20:33</t>
  </si>
  <si>
    <t>27796063491</t>
  </si>
  <si>
    <t>13558616</t>
  </si>
  <si>
    <t>d208ebce-0365-4c4d-ae14-0ca5e9c599c8</t>
  </si>
  <si>
    <t>27796139905</t>
  </si>
  <si>
    <t>13558717</t>
  </si>
  <si>
    <t>fd707349-59a5-402b-952d-c3122bb42da4</t>
  </si>
  <si>
    <t>27797300980</t>
  </si>
  <si>
    <t>13558570</t>
  </si>
  <si>
    <t>c211fd59-85eb-40e1-8532-030077eaad8e</t>
  </si>
  <si>
    <t>2026-03-04 15:20:32</t>
  </si>
  <si>
    <t>27795651610</t>
  </si>
  <si>
    <t>13558883</t>
  </si>
  <si>
    <t>fef41504-05b4-49e4-ab23-4972e3b715a5</t>
  </si>
  <si>
    <t>2026-03-04 15:19:27</t>
  </si>
  <si>
    <t>27799623933</t>
  </si>
  <si>
    <t>13556823</t>
  </si>
  <si>
    <t>523111b5-0f95-426b-b8e9-fcd03cffac78</t>
  </si>
  <si>
    <t>2026-03-04 15:18:43</t>
  </si>
  <si>
    <t>27727788406</t>
  </si>
  <si>
    <t>13555968</t>
  </si>
  <si>
    <t>96673f9b-a0d1-46e5-ad2e-653ccd287f75</t>
  </si>
  <si>
    <t>2026-03-04 15:16:59</t>
  </si>
  <si>
    <t>27715872527</t>
  </si>
  <si>
    <t>13562764</t>
  </si>
  <si>
    <t>703c655d-336d-48ef-b8b5-f913b062be47</t>
  </si>
  <si>
    <t>2026-03-04 15:16:52</t>
  </si>
  <si>
    <t>27648876418</t>
  </si>
  <si>
    <t>13556796</t>
  </si>
  <si>
    <t>5ed98971-f281-49c0-bf13-752287e57736</t>
  </si>
  <si>
    <t>2026-03-04 15:16:47</t>
  </si>
  <si>
    <t>27727569880</t>
  </si>
  <si>
    <t>13562960</t>
  </si>
  <si>
    <t>c3ed9603-c023-4c18-a41c-4dab00fc2317</t>
  </si>
  <si>
    <t>2026-03-04 15:16:09</t>
  </si>
  <si>
    <t>27762042958</t>
  </si>
  <si>
    <t>13555917</t>
  </si>
  <si>
    <t>69f69db7-ef5a-4212-a7de-147b08778a70</t>
  </si>
  <si>
    <t>2026-03-04 15:15:26</t>
  </si>
  <si>
    <t>27715501253</t>
  </si>
  <si>
    <t>13559429</t>
  </si>
  <si>
    <t>608226f8-49f3-47c9-b735-9664775cc4b1</t>
  </si>
  <si>
    <t>2026-03-04 15:12:30</t>
  </si>
  <si>
    <t>27826820090</t>
  </si>
  <si>
    <t>13557141</t>
  </si>
  <si>
    <t>dddd6f4d-2009-4543-be4f-85a29c5841a5</t>
  </si>
  <si>
    <t>2026-03-04 15:11:31</t>
  </si>
  <si>
    <t>27760587125</t>
  </si>
  <si>
    <t>13558453</t>
  </si>
  <si>
    <t>e41d2300-fc46-48c3-a582-14d975e5b84f</t>
  </si>
  <si>
    <t>2026-03-04 15:11:29</t>
  </si>
  <si>
    <t>27794224038</t>
  </si>
  <si>
    <t>13562981</t>
  </si>
  <si>
    <t>22491771-6277-4e50-a707-1904b566b8f7</t>
  </si>
  <si>
    <t>2026-03-04 15:06:27</t>
  </si>
  <si>
    <t>27768553359</t>
  </si>
  <si>
    <t>13563680</t>
  </si>
  <si>
    <t>e3a4fc96-e135-4fae-9776-2e8b2ba39bc4</t>
  </si>
  <si>
    <t>2026-03-04 15:02:53</t>
  </si>
  <si>
    <t>27727067185</t>
  </si>
  <si>
    <t>13555050</t>
  </si>
  <si>
    <t>c4deeb9a-14fa-4311-b34f-b63975021e81</t>
  </si>
  <si>
    <t>2026-03-04 15:02:11</t>
  </si>
  <si>
    <t>27646384389</t>
  </si>
  <si>
    <t>13555457</t>
  </si>
  <si>
    <t>f35ba560-87d6-47fc-8ae9-af169297d2c1</t>
  </si>
  <si>
    <t>2026-03-04 15:01:04</t>
  </si>
  <si>
    <t>27673247640</t>
  </si>
  <si>
    <t>13558719</t>
  </si>
  <si>
    <t>aa7425f3-c5f1-4dba-91cb-214985ff822d</t>
  </si>
  <si>
    <t>2026-03-04 15:00:32</t>
  </si>
  <si>
    <t>27797317761</t>
  </si>
  <si>
    <t>13561851</t>
  </si>
  <si>
    <t>2e48a55d-398b-47fc-808a-3ff03f488d9f</t>
  </si>
  <si>
    <t>2026-03-04 14:59:30</t>
  </si>
  <si>
    <t>27661920650</t>
  </si>
  <si>
    <t>13564234</t>
  </si>
  <si>
    <t>0477d80b-b196-4b6e-824f-1c9a0242fcfc</t>
  </si>
  <si>
    <t>2026-03-04 14:58:42</t>
  </si>
  <si>
    <t>27715843694</t>
  </si>
  <si>
    <t>13556688</t>
  </si>
  <si>
    <t>8038f5c0-b336-4149-92cf-428b74c56455</t>
  </si>
  <si>
    <t>2026-03-04 14:58:23</t>
  </si>
  <si>
    <t>27726556942</t>
  </si>
  <si>
    <t>13556965</t>
  </si>
  <si>
    <t>fa6293e7-341a-4dfb-85eb-1bc128c041a8</t>
  </si>
  <si>
    <t>2026-03-04 14:58:07</t>
  </si>
  <si>
    <t>27729067211</t>
  </si>
  <si>
    <t>13555861</t>
  </si>
  <si>
    <t>56d6b12a-b668-447c-b63b-482870153c57</t>
  </si>
  <si>
    <t>2026-03-04 14:58:06</t>
  </si>
  <si>
    <t>27714976449</t>
  </si>
  <si>
    <t>13556071</t>
  </si>
  <si>
    <t>001557e0-f786-4aaf-a5fd-242aba86aa40</t>
  </si>
  <si>
    <t>2026-03-04 14:58:02</t>
  </si>
  <si>
    <t>27720517707</t>
  </si>
  <si>
    <t>13557901</t>
  </si>
  <si>
    <t>d4cde168-689f-4e56-9be3-50bdc10b338d</t>
  </si>
  <si>
    <t>2026-03-04 14:54:02</t>
  </si>
  <si>
    <t>27768509746</t>
  </si>
  <si>
    <t>13561221</t>
  </si>
  <si>
    <t>558e2d17-4cfe-480e-b240-958cded60fd4</t>
  </si>
  <si>
    <t>2026-03-04 14:53:25</t>
  </si>
  <si>
    <t>27712927741</t>
  </si>
  <si>
    <t>13562985</t>
  </si>
  <si>
    <t>7317234b-1cd3-47af-b6e1-33e7759796fd</t>
  </si>
  <si>
    <t>2026-03-04 14:50:25</t>
  </si>
  <si>
    <t>27727833948</t>
  </si>
  <si>
    <t>13564025</t>
  </si>
  <si>
    <t>2d5e7620-d477-4a4c-89b4-0ce54c2aab6c</t>
  </si>
  <si>
    <t>2026-03-04 14:48:56</t>
  </si>
  <si>
    <t>27762363796</t>
  </si>
  <si>
    <t>13561479</t>
  </si>
  <si>
    <t>094d906c-439e-4f49-9f61-280f340ec383</t>
  </si>
  <si>
    <t>2026-03-04 14:48:03</t>
  </si>
  <si>
    <t>27664632714</t>
  </si>
  <si>
    <t>13560004</t>
  </si>
  <si>
    <t>83ab716f-48b9-4d60-b30a-75db38dd8a91</t>
  </si>
  <si>
    <t>2026-03-04 14:47:57</t>
  </si>
  <si>
    <t>27823545083</t>
  </si>
  <si>
    <t>13562955</t>
  </si>
  <si>
    <t>31fb75b9-7d72-4b6d-86a8-3d9a0729c36d</t>
  </si>
  <si>
    <t>2026-03-04 14:46:09</t>
  </si>
  <si>
    <t>27723864111</t>
  </si>
  <si>
    <t>13563119</t>
  </si>
  <si>
    <t>adcc2aec-1f03-412b-b8b4-bd5565dc0202</t>
  </si>
  <si>
    <t>27721365232</t>
  </si>
  <si>
    <t>13554967</t>
  </si>
  <si>
    <t>1d044fab-daff-4fb4-9501-bb69c3701620</t>
  </si>
  <si>
    <t>2026-03-04 14:46:00</t>
  </si>
  <si>
    <t>27636470844</t>
  </si>
  <si>
    <t>13563383</t>
  </si>
  <si>
    <t>b4a12f8f-d3c0-4920-8993-7f14a61e3a3a</t>
  </si>
  <si>
    <t>2026-03-04 14:44:47</t>
  </si>
  <si>
    <t>27608713159</t>
  </si>
  <si>
    <t>13557002</t>
  </si>
  <si>
    <t>ba58abee-7268-4f1c-a93b-c2fc68b66523</t>
  </si>
  <si>
    <t>2026-03-04 14:44:45</t>
  </si>
  <si>
    <t>27729401801</t>
  </si>
  <si>
    <t>13556977</t>
  </si>
  <si>
    <t>ff670de5-17a4-49b8-9ada-2fc3bbc43c89</t>
  </si>
  <si>
    <t>2026-03-04 14:44:41</t>
  </si>
  <si>
    <t>27729145213</t>
  </si>
  <si>
    <t>13564050</t>
  </si>
  <si>
    <t>c89ef09c-d93f-4b6e-9f5d-2b59ac5c8c81</t>
  </si>
  <si>
    <t>2026-03-04 14:44:39</t>
  </si>
  <si>
    <t>27637016745</t>
  </si>
  <si>
    <t>13563497</t>
  </si>
  <si>
    <t>c061a6d8-69ee-4a56-bf07-4e32322103ab</t>
  </si>
  <si>
    <t>2026-03-04 14:44:38</t>
  </si>
  <si>
    <t>27726877015</t>
  </si>
  <si>
    <t>13563366</t>
  </si>
  <si>
    <t>f84a5274-7102-480a-928f-051299fbb3e7</t>
  </si>
  <si>
    <t>2026-03-04 14:44:36</t>
  </si>
  <si>
    <t>27660880890</t>
  </si>
  <si>
    <t>13564054</t>
  </si>
  <si>
    <t>bd018534-f3cc-4a60-8081-ed7bf1c87764</t>
  </si>
  <si>
    <t>2026-03-04 14:42:47</t>
  </si>
  <si>
    <t>27660446289</t>
  </si>
  <si>
    <t>13560823</t>
  </si>
  <si>
    <t>c91df1c7-4712-43ac-baf1-9482e2dc81f2</t>
  </si>
  <si>
    <t>2026-03-04 14:42:44</t>
  </si>
  <si>
    <t>27791081781</t>
  </si>
  <si>
    <t>13562638</t>
  </si>
  <si>
    <t>aa03b392-8aed-45fd-9fa6-0a12d26bf2b4</t>
  </si>
  <si>
    <t>2026-03-04 14:42:10</t>
  </si>
  <si>
    <t>27684706265</t>
  </si>
  <si>
    <t>13557228</t>
  </si>
  <si>
    <t>fb666f58-8c9c-42f4-b693-c1cba52e5ac7</t>
  </si>
  <si>
    <t>2026-03-04 14:41:45</t>
  </si>
  <si>
    <t>27761507011</t>
  </si>
  <si>
    <t>13556566</t>
  </si>
  <si>
    <t>3e8c5606-22e9-4e73-959b-a0fa3ec7eb75</t>
  </si>
  <si>
    <t>2026-03-04 14:41:13</t>
  </si>
  <si>
    <t>27725125269</t>
  </si>
  <si>
    <t>13558317</t>
  </si>
  <si>
    <t>823d1d9e-9005-4142-8683-44b80c00c62b</t>
  </si>
  <si>
    <t>2026-03-04 14:40:58</t>
  </si>
  <si>
    <t>27792744479</t>
  </si>
  <si>
    <t>13560896</t>
  </si>
  <si>
    <t>95583e7d-1a64-43d1-901f-08a5f2565ccf</t>
  </si>
  <si>
    <t>2026-03-04 14:40:50</t>
  </si>
  <si>
    <t>27606869329</t>
  </si>
  <si>
    <t>13557684</t>
  </si>
  <si>
    <t>95ac0665-346f-45d1-bf09-ad5d01214a47</t>
  </si>
  <si>
    <t>2026-03-04 14:40:09</t>
  </si>
  <si>
    <t>27766363822</t>
  </si>
  <si>
    <t>13557380</t>
  </si>
  <si>
    <t>8bbdca04-c0da-4a85-9ad1-665db1040722</t>
  </si>
  <si>
    <t>2026-03-04 14:38:32</t>
  </si>
  <si>
    <t>27763057080</t>
  </si>
  <si>
    <t>13557369</t>
  </si>
  <si>
    <t>62d605b8-f40a-4f0b-8df2-b7dd0b96de3d</t>
  </si>
  <si>
    <t>2026-03-04 14:38:31</t>
  </si>
  <si>
    <t>27762942985</t>
  </si>
  <si>
    <t>13556771</t>
  </si>
  <si>
    <t>4c89497b-f94c-4286-a758-757e6eb55715</t>
  </si>
  <si>
    <t>2026-03-04 14:38:29</t>
  </si>
  <si>
    <t>27727335910</t>
  </si>
  <si>
    <t>13557412</t>
  </si>
  <si>
    <t>9c2e9e7a-24e8-4143-bacf-010bac0a10d5</t>
  </si>
  <si>
    <t>2026-03-04 14:37:37</t>
  </si>
  <si>
    <t>27763308230</t>
  </si>
  <si>
    <t>13561366</t>
  </si>
  <si>
    <t>4cbbdd41-96cb-45cf-9215-335de8c76bdc</t>
  </si>
  <si>
    <t>2026-03-04 14:37:06</t>
  </si>
  <si>
    <t>27714887376</t>
  </si>
  <si>
    <t>13561337</t>
  </si>
  <si>
    <t>ca6dc3df-7070-424f-9f98-5a676e0a79ce</t>
  </si>
  <si>
    <t>2026-03-04 14:37:05</t>
  </si>
  <si>
    <t>27606840598</t>
  </si>
  <si>
    <t>13555234</t>
  </si>
  <si>
    <t>ea69edc5-4ff5-48a6-abc9-5c628757a193</t>
  </si>
  <si>
    <t>2026-03-04 14:36:57</t>
  </si>
  <si>
    <t>27660396742</t>
  </si>
  <si>
    <t>13557394</t>
  </si>
  <si>
    <t>f05804ed-d42a-4484-9d62-b48c2ac71ddf</t>
  </si>
  <si>
    <t>27763156407</t>
  </si>
  <si>
    <t>13556882</t>
  </si>
  <si>
    <t>3f7a4f6b-c78b-447d-b6b8-5c2791bfb36e</t>
  </si>
  <si>
    <t>2026-03-04 14:36:46</t>
  </si>
  <si>
    <t>27728274925</t>
  </si>
  <si>
    <t>13564002</t>
  </si>
  <si>
    <t>482c4804-ac06-4b2f-bcd4-261caf737bd0</t>
  </si>
  <si>
    <t>2026-03-04 14:36:42</t>
  </si>
  <si>
    <t>27665773826</t>
  </si>
  <si>
    <t>13560325</t>
  </si>
  <si>
    <t>98236c16-4bf6-4df9-8634-ac285221e43e</t>
  </si>
  <si>
    <t>2026-03-04 14:36:41</t>
  </si>
  <si>
    <t>27714011127</t>
  </si>
  <si>
    <t>13557444</t>
  </si>
  <si>
    <t>7a91bcca-c65b-4a48-a2e6-c010ba11e298</t>
  </si>
  <si>
    <t>2026-03-04 14:36:11</t>
  </si>
  <si>
    <t>27763809877</t>
  </si>
  <si>
    <t>13560369</t>
  </si>
  <si>
    <t>598a147a-e96a-4a60-935f-0eeef7f72530</t>
  </si>
  <si>
    <t>2026-03-04 14:36:00</t>
  </si>
  <si>
    <t>27794048383</t>
  </si>
  <si>
    <t>13559199</t>
  </si>
  <si>
    <t>1fa31e07-7a06-45ad-adae-add586a35884</t>
  </si>
  <si>
    <t>2026-03-04 14:34:39</t>
  </si>
  <si>
    <t>27824077238</t>
  </si>
  <si>
    <t>13557692</t>
  </si>
  <si>
    <t>0dd5ece1-5814-4c86-9ea1-073ad44b3677</t>
  </si>
  <si>
    <t>2026-03-04 14:34:36</t>
  </si>
  <si>
    <t>27766409052</t>
  </si>
  <si>
    <t>13557450</t>
  </si>
  <si>
    <t>b28086e6-f74c-4b51-81d9-44f4bd1f9c59</t>
  </si>
  <si>
    <t>2026-03-04 14:34:31</t>
  </si>
  <si>
    <t>27763894556</t>
  </si>
  <si>
    <t>13558303</t>
  </si>
  <si>
    <t>32c652af-8275-47e5-85c7-dc1221147aec</t>
  </si>
  <si>
    <t>2026-03-04 14:33:45</t>
  </si>
  <si>
    <t>27792495547</t>
  </si>
  <si>
    <t>13558279</t>
  </si>
  <si>
    <t>bb9715c5-6bd3-456b-8125-d70df5daf5e9</t>
  </si>
  <si>
    <t>2026-03-04 14:33:30</t>
  </si>
  <si>
    <t>27792188624</t>
  </si>
  <si>
    <t>13564001</t>
  </si>
  <si>
    <t>14866fdb-22c0-432e-b833-83436bf7b9a2</t>
  </si>
  <si>
    <t>27791373839</t>
  </si>
  <si>
    <t>13564053</t>
  </si>
  <si>
    <t>47ea4fcb-c326-49a8-b51b-9e6cdb008e2a</t>
  </si>
  <si>
    <t>2026-03-04 14:33:29</t>
  </si>
  <si>
    <t>27791015312</t>
  </si>
  <si>
    <t>13558463</t>
  </si>
  <si>
    <t>eb54b1a2-13ff-405d-be5b-038f86ddacf6</t>
  </si>
  <si>
    <t>2026-03-04 14:32:42</t>
  </si>
  <si>
    <t>27794300687</t>
  </si>
  <si>
    <t>13559556</t>
  </si>
  <si>
    <t>f11bd1e9-a779-426b-8a48-b4a9892d5470</t>
  </si>
  <si>
    <t>2026-03-04 14:32:41</t>
  </si>
  <si>
    <t>27828394164</t>
  </si>
  <si>
    <t>13559328</t>
  </si>
  <si>
    <t>adc6a9e0-1ae0-4cd8-ad1c-b7c41bf64f59</t>
  </si>
  <si>
    <t>2026-03-04 14:32:39</t>
  </si>
  <si>
    <t>27825455097</t>
  </si>
  <si>
    <t>13559055</t>
  </si>
  <si>
    <t>af89422c-814b-4d3a-b202-8d867d6d94d7</t>
  </si>
  <si>
    <t>2026-03-04 14:32:38</t>
  </si>
  <si>
    <t>27822173124</t>
  </si>
  <si>
    <t>13555997</t>
  </si>
  <si>
    <t>1901d9fd-ee09-4a7d-b908-6778a7325c1f</t>
  </si>
  <si>
    <t>2026-03-04 14:32:35</t>
  </si>
  <si>
    <t>27716247322</t>
  </si>
  <si>
    <t>13559613</t>
  </si>
  <si>
    <t>2d50ca46-e7a7-4890-ad8f-79385ad265b5</t>
  </si>
  <si>
    <t>2026-03-04 14:32:30</t>
  </si>
  <si>
    <t>27829547845</t>
  </si>
  <si>
    <t>13559614</t>
  </si>
  <si>
    <t>474f56c4-76fa-4f42-85ad-b9ff608382b6</t>
  </si>
  <si>
    <t>2026-03-04 14:31:24</t>
  </si>
  <si>
    <t>27829572200</t>
  </si>
  <si>
    <t>13559579</t>
  </si>
  <si>
    <t>827cb1f6-f9fb-4298-ae8f-bf4a36599585</t>
  </si>
  <si>
    <t>2026-03-04 14:31:20</t>
  </si>
  <si>
    <t>27828693354</t>
  </si>
  <si>
    <t>13559589</t>
  </si>
  <si>
    <t>3d50fa36-646f-4500-aca6-fc5943d4e513</t>
  </si>
  <si>
    <t>27829223520</t>
  </si>
  <si>
    <t>13558294</t>
  </si>
  <si>
    <t>f2e6afac-95ca-4746-9999-c4d127e2268f</t>
  </si>
  <si>
    <t>2026-03-04 14:30:43</t>
  </si>
  <si>
    <t>27792411535</t>
  </si>
  <si>
    <t>13562353</t>
  </si>
  <si>
    <t>616ad9a4-4729-436f-a941-2881197fd272</t>
  </si>
  <si>
    <t>2026-03-04 14:29:37</t>
  </si>
  <si>
    <t>27761457078</t>
  </si>
  <si>
    <t>13557621</t>
  </si>
  <si>
    <t>431ceb4d-cde7-4d50-a52f-54fac77d8a80</t>
  </si>
  <si>
    <t>2026-03-04 14:29:36</t>
  </si>
  <si>
    <t>27765712477</t>
  </si>
  <si>
    <t>13558247</t>
  </si>
  <si>
    <t>e2535651-343a-441d-9a5b-1d47b96239f1</t>
  </si>
  <si>
    <t>27791736871</t>
  </si>
  <si>
    <t>13558272</t>
  </si>
  <si>
    <t>138c97e2-d287-430f-9fe3-54be83d12fb0</t>
  </si>
  <si>
    <t>27792109375</t>
  </si>
  <si>
    <t>13558740</t>
  </si>
  <si>
    <t>1fab2289-ad85-4805-b5e0-a462c2a01b08</t>
  </si>
  <si>
    <t>2026-03-04 14:28:43</t>
  </si>
  <si>
    <t>27797607554</t>
  </si>
  <si>
    <t>13562200</t>
  </si>
  <si>
    <t>c292ce0a-63d7-4015-9202-bb69aee8a593</t>
  </si>
  <si>
    <t>2026-03-04 14:27:57</t>
  </si>
  <si>
    <t>27791789986</t>
  </si>
  <si>
    <t>13558745</t>
  </si>
  <si>
    <t>c0b5dc61-f1be-4917-9a37-751c9679e643</t>
  </si>
  <si>
    <t>2026-03-04 14:27:54</t>
  </si>
  <si>
    <t>27797640165</t>
  </si>
  <si>
    <t>13559341</t>
  </si>
  <si>
    <t>a26d8606-1d61-46fc-a947-4029e78fd3a6</t>
  </si>
  <si>
    <t>2026-03-04 14:27:01</t>
  </si>
  <si>
    <t>27825805817</t>
  </si>
  <si>
    <t>13560236</t>
  </si>
  <si>
    <t>6b4719b7-a2fe-48a9-bcda-cc01bffccfc7</t>
  </si>
  <si>
    <t>2026-03-04 14:27:00</t>
  </si>
  <si>
    <t>27798235509</t>
  </si>
  <si>
    <t>13560422</t>
  </si>
  <si>
    <t>2454881e-5d94-4e1f-9cbc-04da85ffb832</t>
  </si>
  <si>
    <t>27721563927</t>
  </si>
  <si>
    <t>13556597</t>
  </si>
  <si>
    <t>bb10158c-d4d4-46f8-a871-683c3f6845f4</t>
  </si>
  <si>
    <t>2026-03-04 14:26:59</t>
  </si>
  <si>
    <t>27725393009</t>
  </si>
  <si>
    <t>13561399</t>
  </si>
  <si>
    <t>9b69ddaa-af6e-4c9f-a7b2-154f6300e30a</t>
  </si>
  <si>
    <t>2026-03-04 14:26:58</t>
  </si>
  <si>
    <t>27673588188</t>
  </si>
  <si>
    <t>13556611</t>
  </si>
  <si>
    <t>0732bfce-76ad-4c90-b15f-7137b6f464fa</t>
  </si>
  <si>
    <t>2026-03-04 14:26:57</t>
  </si>
  <si>
    <t>27725541913</t>
  </si>
  <si>
    <t>13556621</t>
  </si>
  <si>
    <t>214e67e1-d674-4fd5-9733-2ca52f441df0</t>
  </si>
  <si>
    <t>2026-03-04 14:26:55</t>
  </si>
  <si>
    <t>27725601319</t>
  </si>
  <si>
    <t>13562190</t>
  </si>
  <si>
    <t>a32083e4-4eaf-4d19-910b-1d93c84d3ea0</t>
  </si>
  <si>
    <t>27722728244</t>
  </si>
  <si>
    <t>13563624</t>
  </si>
  <si>
    <t>8fc20ae5-c1eb-44b2-aa7c-661d9cea3620</t>
  </si>
  <si>
    <t>2026-03-04 14:26:42</t>
  </si>
  <si>
    <t>27729969642</t>
  </si>
  <si>
    <t>13560599</t>
  </si>
  <si>
    <t>0354e314-9adc-4cba-b87c-f4f5ac9c9ca1</t>
  </si>
  <si>
    <t>2026-03-04 14:25:39</t>
  </si>
  <si>
    <t>27608751507</t>
  </si>
  <si>
    <t>13559244</t>
  </si>
  <si>
    <t>ccaaa5b5-9305-4da6-9cda-b9e5e894d1b3</t>
  </si>
  <si>
    <t>2026-03-04 14:25:26</t>
  </si>
  <si>
    <t>27824689188</t>
  </si>
  <si>
    <t>13559281</t>
  </si>
  <si>
    <t>ec201688-9172-4dc3-b34b-44d050c474ab</t>
  </si>
  <si>
    <t>2026-03-04 14:25:24</t>
  </si>
  <si>
    <t>27825090442</t>
  </si>
  <si>
    <t>13561451</t>
  </si>
  <si>
    <t>197a06b8-2d68-40bf-8067-75d06ab73228</t>
  </si>
  <si>
    <t>2026-03-04 14:24:58</t>
  </si>
  <si>
    <t>27646368523</t>
  </si>
  <si>
    <t>13559235</t>
  </si>
  <si>
    <t>536639e7-bda7-4872-8c83-945f7efb2724</t>
  </si>
  <si>
    <t>2026-03-04 14:23:36</t>
  </si>
  <si>
    <t>27824511030</t>
  </si>
  <si>
    <t>13562233</t>
  </si>
  <si>
    <t>d9c0aae8-96f0-4f49-a9a9-9fd738ab8090</t>
  </si>
  <si>
    <t>27764620049</t>
  </si>
  <si>
    <t>13559877</t>
  </si>
  <si>
    <t>be47ded3-1d20-45da-8cee-a198f3608359</t>
  </si>
  <si>
    <t>2026-03-04 14:23:32</t>
  </si>
  <si>
    <t>27798689654</t>
  </si>
  <si>
    <t>13562227</t>
  </si>
  <si>
    <t>5998cea1-006b-423e-93f9-6da8e125b992</t>
  </si>
  <si>
    <t>27725099324</t>
  </si>
  <si>
    <t>13559204</t>
  </si>
  <si>
    <t>0fcae869-fc24-4fc5-aa2c-2122c349404f</t>
  </si>
  <si>
    <t>2026-03-04 14:22:45</t>
  </si>
  <si>
    <t>27824160328</t>
  </si>
  <si>
    <t>13559207</t>
  </si>
  <si>
    <t>cf6d07e4-fe28-4ba0-922b-7afbd851f0b8</t>
  </si>
  <si>
    <t>2026-03-04 14:22:44</t>
  </si>
  <si>
    <t>27824208259</t>
  </si>
  <si>
    <t>13564010</t>
  </si>
  <si>
    <t>3e3ae78e-096a-43ef-a01f-8e69786dddb9</t>
  </si>
  <si>
    <t>2026-03-04 14:22:03</t>
  </si>
  <si>
    <t>27720366846</t>
  </si>
  <si>
    <t>13564243</t>
  </si>
  <si>
    <t>338f6ad0-1c1e-4429-b3fc-7bdbecc12a15</t>
  </si>
  <si>
    <t>2026-03-04 14:21:13</t>
  </si>
  <si>
    <t>27727242566</t>
  </si>
  <si>
    <t>13563311</t>
  </si>
  <si>
    <t>94e4f2d9-ef12-4c63-a7d7-f0a77da476ea</t>
  </si>
  <si>
    <t>2026-03-04 14:21:04</t>
  </si>
  <si>
    <t>27767707706</t>
  </si>
  <si>
    <t>13564534</t>
  </si>
  <si>
    <t>e3dfe6ea-a5a7-439c-9e52-f7f7e96d8690</t>
  </si>
  <si>
    <t>2026-03-04 14:20:16</t>
  </si>
  <si>
    <t>27716043905</t>
  </si>
  <si>
    <t>13563864</t>
  </si>
  <si>
    <t>01d2b77a-8d6b-49ef-9130-f649ab0e835e</t>
  </si>
  <si>
    <t>2026-03-04 14:20:12</t>
  </si>
  <si>
    <t>27767117360</t>
  </si>
  <si>
    <t>13559185</t>
  </si>
  <si>
    <t>eec5c735-c2f9-437a-8f0e-00e85c4ba28a</t>
  </si>
  <si>
    <t>2026-03-04 14:20:08</t>
  </si>
  <si>
    <t>27823962398</t>
  </si>
  <si>
    <t>13557969</t>
  </si>
  <si>
    <t>96638446-14a1-48d8-a11a-7ccde6a51fec</t>
  </si>
  <si>
    <t>2026-03-04 14:20:03</t>
  </si>
  <si>
    <t>27769201235</t>
  </si>
  <si>
    <t>13564902</t>
  </si>
  <si>
    <t>41f73634-70f0-4599-abb6-7240b3b9213c</t>
  </si>
  <si>
    <t>2026-03-04 14:20:01</t>
  </si>
  <si>
    <t>27609394100</t>
  </si>
  <si>
    <t>13563357</t>
  </si>
  <si>
    <t>4153e3bb-9371-47ba-8c10-b71074a528fa</t>
  </si>
  <si>
    <t>2026-03-04 14:19:47</t>
  </si>
  <si>
    <t>27648096930</t>
  </si>
  <si>
    <t>13558390</t>
  </si>
  <si>
    <t>53ef0598-2fb5-4af6-911a-6ab5fc70c607</t>
  </si>
  <si>
    <t>2026-03-04 14:18:50</t>
  </si>
  <si>
    <t>27793425705</t>
  </si>
  <si>
    <t>13555275</t>
  </si>
  <si>
    <t>2b5914ae-45cb-4129-a259-b05fb2c5d43a</t>
  </si>
  <si>
    <t>2026-03-04 14:17:55</t>
  </si>
  <si>
    <t>27661068956</t>
  </si>
  <si>
    <t>13555338</t>
  </si>
  <si>
    <t>66831d8b-ae10-417c-a7df-b202561c54f7</t>
  </si>
  <si>
    <t>27663453094</t>
  </si>
  <si>
    <t>13563464</t>
  </si>
  <si>
    <t>73481d89-6415-4358-90c6-69fd4f438bf2</t>
  </si>
  <si>
    <t>2026-03-04 14:17:10</t>
  </si>
  <si>
    <t>27665660951</t>
  </si>
  <si>
    <t>13563794</t>
  </si>
  <si>
    <t>4cf4a9f8-0dea-46a2-8aa4-6f0f5c43fda1</t>
  </si>
  <si>
    <t>2026-03-04 14:17:06</t>
  </si>
  <si>
    <t>27760752107</t>
  </si>
  <si>
    <t>13554957</t>
  </si>
  <si>
    <t>a5575b4d-d18f-4f7b-81a0-f1026688848a</t>
  </si>
  <si>
    <t>2026-03-04 14:17:02</t>
  </si>
  <si>
    <t>27636332559</t>
  </si>
  <si>
    <t>13560721</t>
  </si>
  <si>
    <t>e2f669d1-72a3-42ed-887c-a825ff751d9f</t>
  </si>
  <si>
    <t>2026-03-04 14:16:07</t>
  </si>
  <si>
    <t>27793916799</t>
  </si>
  <si>
    <t>13559813</t>
  </si>
  <si>
    <t>60b3a2b4-1403-4e53-8993-cf60b55c0571</t>
  </si>
  <si>
    <t>2026-03-04 14:16:01</t>
  </si>
  <si>
    <t>27716711856</t>
  </si>
  <si>
    <t>13561239</t>
  </si>
  <si>
    <t>dd51643b-a98a-4383-8a9a-8567e95bd674</t>
  </si>
  <si>
    <t>27715733824</t>
  </si>
  <si>
    <t>13559581</t>
  </si>
  <si>
    <t>501c78cf-552c-4d70-a596-3370d3ac09ef</t>
  </si>
  <si>
    <t>2026-03-04 14:15:58</t>
  </si>
  <si>
    <t>27828769226</t>
  </si>
  <si>
    <t>13562393</t>
  </si>
  <si>
    <t>448d8547-1f72-48fd-b0e0-2be5fdae398d</t>
  </si>
  <si>
    <t>2026-03-04 14:15:54</t>
  </si>
  <si>
    <t>27767964008</t>
  </si>
  <si>
    <t>13554950</t>
  </si>
  <si>
    <t>28aefbc6-3437-4271-8035-2d07b7681be2</t>
  </si>
  <si>
    <t>2026-03-04 14:15:53</t>
  </si>
  <si>
    <t>27636202745</t>
  </si>
  <si>
    <t>13556091</t>
  </si>
  <si>
    <t>157f5bb7-42b6-4913-af12-45503c0ba967</t>
  </si>
  <si>
    <t>2026-03-04 14:15:48</t>
  </si>
  <si>
    <t>27720637184</t>
  </si>
  <si>
    <t>13560307</t>
  </si>
  <si>
    <t>fb48a118-81d1-4912-8809-133a9765ebe6</t>
  </si>
  <si>
    <t>2026-03-04 14:15:43</t>
  </si>
  <si>
    <t>27826368973</t>
  </si>
  <si>
    <t>13557424</t>
  </si>
  <si>
    <t>1989accd-03c8-45d5-b9d2-3fe72c69106f</t>
  </si>
  <si>
    <t>2026-03-04 14:15:25</t>
  </si>
  <si>
    <t>27763449581</t>
  </si>
  <si>
    <t>13564042</t>
  </si>
  <si>
    <t>339b1676-1c8c-4295-8b65-a02d4ddc5cc2</t>
  </si>
  <si>
    <t>2026-03-04 14:14:43</t>
  </si>
  <si>
    <t>27661312837</t>
  </si>
  <si>
    <t>13555204</t>
  </si>
  <si>
    <t>74868c42-b0f4-4e6f-8b43-008210f77dcf</t>
  </si>
  <si>
    <t>2026-03-04 14:14:39</t>
  </si>
  <si>
    <t>27649908072</t>
  </si>
  <si>
    <t>13555223</t>
  </si>
  <si>
    <t>9404bc71-079f-4d29-80eb-2dee7ea78ee5</t>
  </si>
  <si>
    <t>2026-03-04 14:14:36</t>
  </si>
  <si>
    <t>27660185529</t>
  </si>
  <si>
    <t>13555225</t>
  </si>
  <si>
    <t>771c7734-9ee4-40f9-8cf4-892928b4154e</t>
  </si>
  <si>
    <t>27660190590</t>
  </si>
  <si>
    <t>13555232</t>
  </si>
  <si>
    <t>89a7a12e-68ed-4834-b62b-8903cdb7441b</t>
  </si>
  <si>
    <t>2026-03-04 14:14:35</t>
  </si>
  <si>
    <t>27660364699</t>
  </si>
  <si>
    <t>13555233</t>
  </si>
  <si>
    <t>fbca8bee-c72e-41b7-9d27-2e5fbb904a1a</t>
  </si>
  <si>
    <t>27660393973</t>
  </si>
  <si>
    <t>13555032</t>
  </si>
  <si>
    <t>ac6be613-2676-4b18-b22a-f04db783920e</t>
  </si>
  <si>
    <t>27646123428</t>
  </si>
  <si>
    <t>13557428</t>
  </si>
  <si>
    <t>6bcfd2bc-36c0-4690-a4c6-3295b8e98df6</t>
  </si>
  <si>
    <t>2026-03-04 14:14:33</t>
  </si>
  <si>
    <t>27763475797</t>
  </si>
  <si>
    <t>13556200</t>
  </si>
  <si>
    <t>63f3db03-8b16-4996-a24d-a2d57dc57b8e</t>
  </si>
  <si>
    <t>2026-03-04 14:13:55</t>
  </si>
  <si>
    <t>27721520423</t>
  </si>
  <si>
    <t>13555747</t>
  </si>
  <si>
    <t>66cb17a5-275b-4e47-8eb3-742429414b5c</t>
  </si>
  <si>
    <t>2026-03-04 14:13:53</t>
  </si>
  <si>
    <t>27713461515</t>
  </si>
  <si>
    <t>13558565</t>
  </si>
  <si>
    <t>1ec02032-dc34-440f-a55c-f99adeaf7d74</t>
  </si>
  <si>
    <t>2026-03-04 14:13:44</t>
  </si>
  <si>
    <t>27795543746</t>
  </si>
  <si>
    <t>13558999</t>
  </si>
  <si>
    <t>9d4c1c15-fcb7-435e-b44c-162cdec8d3f8</t>
  </si>
  <si>
    <t>2026-03-04 14:13:43</t>
  </si>
  <si>
    <t>27820414174</t>
  </si>
  <si>
    <t>13556155</t>
  </si>
  <si>
    <t>25e50ac6-fcf4-472d-aee8-2191a7c63f31</t>
  </si>
  <si>
    <t>2026-03-04 14:13:01</t>
  </si>
  <si>
    <t>27721130375</t>
  </si>
  <si>
    <t>13558340</t>
  </si>
  <si>
    <t>608e8543-2449-487b-bd68-89e325b82e55</t>
  </si>
  <si>
    <t>2026-03-04 14:12:01</t>
  </si>
  <si>
    <t>27792951543</t>
  </si>
  <si>
    <t>13557121</t>
  </si>
  <si>
    <t>a3e57aad-a893-4bc0-b651-5c32556ff25a</t>
  </si>
  <si>
    <t>2026-03-04 14:11:33</t>
  </si>
  <si>
    <t>27760415913</t>
  </si>
  <si>
    <t>13557095</t>
  </si>
  <si>
    <t>7777d073-e7de-450a-a036-e0e03e1f625c</t>
  </si>
  <si>
    <t>2026-03-04 14:10:30</t>
  </si>
  <si>
    <t>27749692459</t>
  </si>
  <si>
    <t>13557097</t>
  </si>
  <si>
    <t>610a31bd-e337-442f-853e-1b6ccc30c6f7</t>
  </si>
  <si>
    <t>27760149429</t>
  </si>
  <si>
    <t>13557110</t>
  </si>
  <si>
    <t>8ca06e6b-c469-4f1a-9223-111e82ed22ce</t>
  </si>
  <si>
    <t>2026-03-04 14:10:29</t>
  </si>
  <si>
    <t>27760283277</t>
  </si>
  <si>
    <t>13557111</t>
  </si>
  <si>
    <t>403bdc41-3d07-43eb-be11-af49eb4801f7</t>
  </si>
  <si>
    <t>2026-03-04 14:10:28</t>
  </si>
  <si>
    <t>27760306588</t>
  </si>
  <si>
    <t>13557176</t>
  </si>
  <si>
    <t>45981c7d-26ac-432f-80b8-121c6deb3185</t>
  </si>
  <si>
    <t>2026-03-04 14:10:24</t>
  </si>
  <si>
    <t>27760962989</t>
  </si>
  <si>
    <t>13557048</t>
  </si>
  <si>
    <t>ebcc8c67-591e-41a9-96d7-eb3fda6e847b</t>
  </si>
  <si>
    <t>2026-03-04 14:09:38</t>
  </si>
  <si>
    <t>27729953728</t>
  </si>
  <si>
    <t>13556747</t>
  </si>
  <si>
    <t>5eac590e-7d67-4bd7-a95e-d39940c66480</t>
  </si>
  <si>
    <t>2026-03-04 14:09:36</t>
  </si>
  <si>
    <t>27727098988</t>
  </si>
  <si>
    <t>13556166</t>
  </si>
  <si>
    <t>0116ecce-5690-4aba-afb4-7b1458ee9ea2</t>
  </si>
  <si>
    <t>2026-03-04 14:08:55</t>
  </si>
  <si>
    <t>27721222851</t>
  </si>
  <si>
    <t>13556170</t>
  </si>
  <si>
    <t>952a2a46-cb21-46a2-9cc0-29235f7f7510</t>
  </si>
  <si>
    <t>27721239333</t>
  </si>
  <si>
    <t>13557332</t>
  </si>
  <si>
    <t>3caaf2be-a101-4388-be06-593b303d4f39</t>
  </si>
  <si>
    <t>2026-03-04 14:08:38</t>
  </si>
  <si>
    <t>27762602855</t>
  </si>
  <si>
    <t>13557312</t>
  </si>
  <si>
    <t>346e5b1c-478a-48d5-9e12-0fff8cd8f562</t>
  </si>
  <si>
    <t>27762360604</t>
  </si>
  <si>
    <t>13557342</t>
  </si>
  <si>
    <t>0149bfa2-89a4-41e9-bbe0-f4c2dd55724d</t>
  </si>
  <si>
    <t>2026-03-04 14:08:37</t>
  </si>
  <si>
    <t>27762785962</t>
  </si>
  <si>
    <t>13556462</t>
  </si>
  <si>
    <t>93f5d7fe-ce59-40fd-bb4f-1d1128aef631</t>
  </si>
  <si>
    <t>2026-03-04 14:08:33</t>
  </si>
  <si>
    <t>27724133834</t>
  </si>
  <si>
    <t>13559547</t>
  </si>
  <si>
    <t>6cf19dd7-f7e5-4496-8a71-2754cc4f3851</t>
  </si>
  <si>
    <t>2026-03-04 14:07:55</t>
  </si>
  <si>
    <t>27828309513</t>
  </si>
  <si>
    <t>13557283</t>
  </si>
  <si>
    <t>af47afa4-f3e8-4284-9a2f-ee250c2346cf</t>
  </si>
  <si>
    <t>2026-03-04 14:07:52</t>
  </si>
  <si>
    <t>27762065763</t>
  </si>
  <si>
    <t>13557286</t>
  </si>
  <si>
    <t>c1bf9e0d-72f7-4155-86b1-5a8978a3c4b3</t>
  </si>
  <si>
    <t>27762087883</t>
  </si>
  <si>
    <t>13564852</t>
  </si>
  <si>
    <t>72f24636-ef28-4595-975f-d325dead49e2</t>
  </si>
  <si>
    <t>2026-03-04 14:07:47</t>
  </si>
  <si>
    <t>27608517370</t>
  </si>
  <si>
    <t>13556047</t>
  </si>
  <si>
    <t>0acb3e0d-20a1-4c62-bd23-9a8ba3dff96a</t>
  </si>
  <si>
    <t>2026-03-04 14:07:15</t>
  </si>
  <si>
    <t>27720237138</t>
  </si>
  <si>
    <t>13555938</t>
  </si>
  <si>
    <t>e3a17f64-262e-4442-baab-3a33d33f49d0</t>
  </si>
  <si>
    <t>2026-03-04 14:07:14</t>
  </si>
  <si>
    <t>27715627924</t>
  </si>
  <si>
    <t>13555896</t>
  </si>
  <si>
    <t>18173660-1b3c-48ab-aee8-852cb1e24277</t>
  </si>
  <si>
    <t>2026-03-04 14:07:12</t>
  </si>
  <si>
    <t>27715317329</t>
  </si>
  <si>
    <t>13555982</t>
  </si>
  <si>
    <t>67dcab21-359e-4464-bae1-955b8d937738</t>
  </si>
  <si>
    <t>27715946876</t>
  </si>
  <si>
    <t>13557635</t>
  </si>
  <si>
    <t>bbcabc9f-97b7-4fe5-9524-d09a2551c501</t>
  </si>
  <si>
    <t>2026-03-04 14:05:58</t>
  </si>
  <si>
    <t>27765893004</t>
  </si>
  <si>
    <t>13559518</t>
  </si>
  <si>
    <t>809754c9-ea68-4070-b88c-393053c554b3</t>
  </si>
  <si>
    <t>27827901100</t>
  </si>
  <si>
    <t>13557326</t>
  </si>
  <si>
    <t>830a274f-7e15-411f-b363-777aca3ab2f0</t>
  </si>
  <si>
    <t>2026-03-04 14:05:32</t>
  </si>
  <si>
    <t>27762502827</t>
  </si>
  <si>
    <t>13558427</t>
  </si>
  <si>
    <t>c55edf1c-903d-4726-9aef-4ae0f5b027bc</t>
  </si>
  <si>
    <t>2026-03-04 14:05:07</t>
  </si>
  <si>
    <t>27793879357</t>
  </si>
  <si>
    <t>13558443</t>
  </si>
  <si>
    <t>52219071-38e5-4ffc-8d96-f6f5a42322dc</t>
  </si>
  <si>
    <t>2026-03-04 14:05:05</t>
  </si>
  <si>
    <t>27794029604</t>
  </si>
  <si>
    <t>13556427</t>
  </si>
  <si>
    <t>cb567bd0-2579-47a6-bfe4-132d59a607a5</t>
  </si>
  <si>
    <t>2026-03-04 14:05:04</t>
  </si>
  <si>
    <t>27723733160</t>
  </si>
  <si>
    <t>13558105</t>
  </si>
  <si>
    <t>a1509eef-3c6c-4be3-881e-8bc6c63914c9</t>
  </si>
  <si>
    <t>2026-03-04 14:04:12</t>
  </si>
  <si>
    <t>27790196406</t>
  </si>
  <si>
    <t>13555642</t>
  </si>
  <si>
    <t>fa75948f-0c77-44cf-a2e9-ef9ca5654c18</t>
  </si>
  <si>
    <t>2026-03-04 14:04:06</t>
  </si>
  <si>
    <t>27712479200</t>
  </si>
  <si>
    <t>13555630</t>
  </si>
  <si>
    <t>6f7d0ede-f821-4b46-99a2-0f87f4c16744</t>
  </si>
  <si>
    <t>2026-03-04 14:04:05</t>
  </si>
  <si>
    <t>27712302657</t>
  </si>
  <si>
    <t>13555621</t>
  </si>
  <si>
    <t>0ad05a89-e871-44e5-a42a-852aec519504</t>
  </si>
  <si>
    <t>2026-03-04 14:03:58</t>
  </si>
  <si>
    <t>27712218378</t>
  </si>
  <si>
    <t>13555609</t>
  </si>
  <si>
    <t>05abedfc-c0aa-49cd-86e4-c5ac393b7f40</t>
  </si>
  <si>
    <t>2026-03-04 14:03:57</t>
  </si>
  <si>
    <t>27712115782</t>
  </si>
  <si>
    <t>13562727</t>
  </si>
  <si>
    <t>c4b0ff09-bf0d-49d9-8afb-709aeb71a575</t>
  </si>
  <si>
    <t>2026-03-04 14:03:52</t>
  </si>
  <si>
    <t>27636425504</t>
  </si>
  <si>
    <t>13558373</t>
  </si>
  <si>
    <t>277f6759-c28b-45a5-8611-785471388de7</t>
  </si>
  <si>
    <t>2026-03-04 14:03:35</t>
  </si>
  <si>
    <t>27793201339</t>
  </si>
  <si>
    <t>13557539</t>
  </si>
  <si>
    <t>c4f94968-c5c3-42ea-8c40-57a773b83433</t>
  </si>
  <si>
    <t>2026-03-04 14:02:56</t>
  </si>
  <si>
    <t>27764907764</t>
  </si>
  <si>
    <t>13557577</t>
  </si>
  <si>
    <t>94b74cbf-da94-4d4e-85e0-8a9dd03b0632</t>
  </si>
  <si>
    <t>2026-03-04 14:02:55</t>
  </si>
  <si>
    <t>27765301154</t>
  </si>
  <si>
    <t>13559853</t>
  </si>
  <si>
    <t>9c1e3853-0601-45b9-99e2-fadfa2868bb4</t>
  </si>
  <si>
    <t>2026-03-04 14:02:52</t>
  </si>
  <si>
    <t>27791204610</t>
  </si>
  <si>
    <t>13559854</t>
  </si>
  <si>
    <t>62c95c17-e88d-4340-af26-484eeb9e801e</t>
  </si>
  <si>
    <t>27649997292</t>
  </si>
  <si>
    <t>13560590</t>
  </si>
  <si>
    <t>7b67d13b-3325-419b-bd59-1ca5649622bb</t>
  </si>
  <si>
    <t>2026-03-04 14:02:51</t>
  </si>
  <si>
    <t>27729894546</t>
  </si>
  <si>
    <t>13558405</t>
  </si>
  <si>
    <t>03dddca2-dea7-40cb-b7b8-6fcda189068f</t>
  </si>
  <si>
    <t>2026-03-04 14:02:49</t>
  </si>
  <si>
    <t>27793582349</t>
  </si>
  <si>
    <t>13558392</t>
  </si>
  <si>
    <t>41fb6145-e35e-4536-97f1-047220c0ccec</t>
  </si>
  <si>
    <t>2026-03-04 14:02:48</t>
  </si>
  <si>
    <t>Thelma Nkoatse</t>
  </si>
  <si>
    <t>27793435417</t>
  </si>
  <si>
    <t>13558397</t>
  </si>
  <si>
    <t>41c55f2a-1373-40d0-a856-6a2d31503e43</t>
  </si>
  <si>
    <t>27793505687</t>
  </si>
  <si>
    <t>13555495</t>
  </si>
  <si>
    <t>69c01523-9788-4a15-885a-a242c46280d8</t>
  </si>
  <si>
    <t>2026-03-04 14:01:59</t>
  </si>
  <si>
    <t>27674767951</t>
  </si>
  <si>
    <t>13556394</t>
  </si>
  <si>
    <t>e163eedb-517a-4acd-b436-223d325fac88</t>
  </si>
  <si>
    <t>2026-03-04 14:01:25</t>
  </si>
  <si>
    <t>27723449025</t>
  </si>
  <si>
    <t>13557588</t>
  </si>
  <si>
    <t>a49025ae-ff57-45fe-8e37-8fd625980294</t>
  </si>
  <si>
    <t>2026-03-04 14:01:23</t>
  </si>
  <si>
    <t>27765416546</t>
  </si>
  <si>
    <t>13557589</t>
  </si>
  <si>
    <t>580a9209-65c7-483c-815a-6b6ea8ef5a5b</t>
  </si>
  <si>
    <t>27765430398</t>
  </si>
  <si>
    <t>13557856</t>
  </si>
  <si>
    <t>b149d24d-37db-44f7-ad1e-e5fbaab33211</t>
  </si>
  <si>
    <t>2026-03-04 14:01:18</t>
  </si>
  <si>
    <t>27768048517</t>
  </si>
  <si>
    <t>13557863</t>
  </si>
  <si>
    <t>c2550aab-810a-4325-9e82-5a98c6c0082c</t>
  </si>
  <si>
    <t>2026-03-04 14:01:17</t>
  </si>
  <si>
    <t>27768118564</t>
  </si>
  <si>
    <t>13557869</t>
  </si>
  <si>
    <t>3237fa94-7260-4b81-814b-4645c207ca4d</t>
  </si>
  <si>
    <t>2026-03-04 14:01:16</t>
  </si>
  <si>
    <t>27768158848</t>
  </si>
  <si>
    <t>13557870</t>
  </si>
  <si>
    <t>437c8329-e95a-4753-9a40-8eb7841859a7</t>
  </si>
  <si>
    <t>27768163191</t>
  </si>
  <si>
    <t>13557563</t>
  </si>
  <si>
    <t>c4f45378-142c-4867-9c06-175eb45c42df</t>
  </si>
  <si>
    <t>2026-03-04 14:01:12</t>
  </si>
  <si>
    <t>27765133690</t>
  </si>
  <si>
    <t>13556904</t>
  </si>
  <si>
    <t>5b85df73-c8da-44a5-9c24-aeb52aa8f65a</t>
  </si>
  <si>
    <t>2026-03-04 14:00:39</t>
  </si>
  <si>
    <t>27728495398</t>
  </si>
  <si>
    <t>13558786</t>
  </si>
  <si>
    <t>57c5d50e-af0e-4bab-b0af-96689d06a119</t>
  </si>
  <si>
    <t>2026-03-04 14:00:24</t>
  </si>
  <si>
    <t>27798190586</t>
  </si>
  <si>
    <t>13557827</t>
  </si>
  <si>
    <t>caaa45d9-ef59-4800-b5f7-8b40617e1f3e</t>
  </si>
  <si>
    <t>2026-03-04 14:00:13</t>
  </si>
  <si>
    <t>27767749486</t>
  </si>
  <si>
    <t>13557789</t>
  </si>
  <si>
    <t>1356bf5b-f55c-4a28-9bca-203ccdf2a141</t>
  </si>
  <si>
    <t>2026-03-04 13:59:45</t>
  </si>
  <si>
    <t>27767426380</t>
  </si>
  <si>
    <t>13555729</t>
  </si>
  <si>
    <t>7b180370-3619-4634-b964-88297ec1dab2</t>
  </si>
  <si>
    <t>2026-03-04 13:59:44</t>
  </si>
  <si>
    <t>27713268988</t>
  </si>
  <si>
    <t>13557765</t>
  </si>
  <si>
    <t>06ec2fb2-ed33-45e5-9d79-5f54a167c1c5</t>
  </si>
  <si>
    <t>2026-03-04 13:59:42</t>
  </si>
  <si>
    <t>27767165882</t>
  </si>
  <si>
    <t>13557743</t>
  </si>
  <si>
    <t>d147f9a9-6fee-4c69-a845-211047052ca3</t>
  </si>
  <si>
    <t>27766906004</t>
  </si>
  <si>
    <t>13557655</t>
  </si>
  <si>
    <t>2f43617e-2b83-469e-a1a9-ced70a3d9130</t>
  </si>
  <si>
    <t>2026-03-04 13:59:35</t>
  </si>
  <si>
    <t>27766142280</t>
  </si>
  <si>
    <t>13559162</t>
  </si>
  <si>
    <t>a0a6822b-cde1-4825-8837-861b06223717</t>
  </si>
  <si>
    <t>2026-03-04 13:59:11</t>
  </si>
  <si>
    <t>27823690548</t>
  </si>
  <si>
    <t>13557751</t>
  </si>
  <si>
    <t>61da1114-7708-490d-8697-293f89718999</t>
  </si>
  <si>
    <t>2026-03-04 13:58:48</t>
  </si>
  <si>
    <t>27766979471</t>
  </si>
  <si>
    <t>13557734</t>
  </si>
  <si>
    <t>82759e8c-c133-49fe-a278-7ebf82c86880</t>
  </si>
  <si>
    <t>2026-03-04 13:58:45</t>
  </si>
  <si>
    <t>27766816635</t>
  </si>
  <si>
    <t>13557726</t>
  </si>
  <si>
    <t>baec847f-2125-4379-9e17-bff878f9ade2</t>
  </si>
  <si>
    <t>2026-03-04 13:58:42</t>
  </si>
  <si>
    <t>27766745590</t>
  </si>
  <si>
    <t>13557728</t>
  </si>
  <si>
    <t>0a988cbf-4eb7-4d2e-8821-583a81f23c43</t>
  </si>
  <si>
    <t>27766772631</t>
  </si>
  <si>
    <t>13557627</t>
  </si>
  <si>
    <t>a7d749d1-0c76-4dfb-a088-8cda947e78cf</t>
  </si>
  <si>
    <t>2026-03-04 13:58:41</t>
  </si>
  <si>
    <t>27765783002</t>
  </si>
  <si>
    <t>13560929</t>
  </si>
  <si>
    <t>3e33c8dc-a18a-4dfa-a05d-8ddf68fa7b2f</t>
  </si>
  <si>
    <t>2026-03-04 13:58:04</t>
  </si>
  <si>
    <t>27609256338</t>
  </si>
  <si>
    <t>13562253</t>
  </si>
  <si>
    <t>ea87fb5b-cb82-4c2b-92f2-ae3e3516b8af</t>
  </si>
  <si>
    <t>2026-03-04 13:57:55</t>
  </si>
  <si>
    <t>27726742116</t>
  </si>
  <si>
    <t>13562175</t>
  </si>
  <si>
    <t>8846dd43-1444-41a2-8b38-6418aac54cf0</t>
  </si>
  <si>
    <t>27795938583</t>
  </si>
  <si>
    <t>13557814</t>
  </si>
  <si>
    <t>e9f88368-156f-4902-aaa8-2e61f2e910d5</t>
  </si>
  <si>
    <t>2026-03-04 13:57:54</t>
  </si>
  <si>
    <t>27767626703</t>
  </si>
  <si>
    <t>13555423</t>
  </si>
  <si>
    <t>c021fcbb-df62-4f89-a50b-e92c668ce111</t>
  </si>
  <si>
    <t>2026-03-04 13:56:56</t>
  </si>
  <si>
    <t>27665182015</t>
  </si>
  <si>
    <t>13560915</t>
  </si>
  <si>
    <t>81822e8d-a56f-46ac-861c-d3b6257e1527</t>
  </si>
  <si>
    <t>2026-03-04 13:56:49</t>
  </si>
  <si>
    <t>27720332343</t>
  </si>
  <si>
    <t>13560575</t>
  </si>
  <si>
    <t>8d9f3842-686c-4fa2-95a1-5ae1efc41fdb</t>
  </si>
  <si>
    <t>2026-03-04 13:56:48</t>
  </si>
  <si>
    <t>27646887882</t>
  </si>
  <si>
    <t>13560571</t>
  </si>
  <si>
    <t>fa3e200a-c589-4c37-8f4e-f6acf0428101</t>
  </si>
  <si>
    <t>2026-03-04 13:56:47</t>
  </si>
  <si>
    <t>27823964500</t>
  </si>
  <si>
    <t>13561829</t>
  </si>
  <si>
    <t>927db107-b04a-422e-8772-10f3562026b3</t>
  </si>
  <si>
    <t>2026-03-04 13:56:46</t>
  </si>
  <si>
    <t>27719409537</t>
  </si>
  <si>
    <t>13561831</t>
  </si>
  <si>
    <t>325bbf9a-7bc6-49f7-9678-744f37236d50</t>
  </si>
  <si>
    <t>27608950233</t>
  </si>
  <si>
    <t>13561859</t>
  </si>
  <si>
    <t>0c029246-86f6-48af-ba1c-b0a235f66576</t>
  </si>
  <si>
    <t>2026-03-04 13:56:45</t>
  </si>
  <si>
    <t>27661409207</t>
  </si>
  <si>
    <t>13559337</t>
  </si>
  <si>
    <t>672ac252-d660-4d5b-833b-f9dba51ef146</t>
  </si>
  <si>
    <t>2026-03-04 13:56:00</t>
  </si>
  <si>
    <t>27825741481</t>
  </si>
  <si>
    <t>13558234</t>
  </si>
  <si>
    <t>678570b6-4950-4d2c-b8a5-00948fbe1de5</t>
  </si>
  <si>
    <t>2026-03-04 13:55:58</t>
  </si>
  <si>
    <t>27791613471</t>
  </si>
  <si>
    <t>13558204</t>
  </si>
  <si>
    <t>786adaf5-9162-4501-bef8-c9c468eb1dd1</t>
  </si>
  <si>
    <t>2026-03-04 13:55:50</t>
  </si>
  <si>
    <t>27791242525</t>
  </si>
  <si>
    <t>13558187</t>
  </si>
  <si>
    <t>35214c77-de6f-43af-81b7-57f89e092151</t>
  </si>
  <si>
    <t>2026-03-04 13:55:15</t>
  </si>
  <si>
    <t>27791130097</t>
  </si>
  <si>
    <t>13558161</t>
  </si>
  <si>
    <t>4266dba8-b17a-4ea9-be6c-4d9bda822fc9</t>
  </si>
  <si>
    <t>2026-03-04 13:55:14</t>
  </si>
  <si>
    <t>27790789835</t>
  </si>
  <si>
    <t>13558128</t>
  </si>
  <si>
    <t>d22e5fe9-c765-495e-abb4-69d85175cc93</t>
  </si>
  <si>
    <t>2026-03-04 13:55:04</t>
  </si>
  <si>
    <t>27790367632</t>
  </si>
  <si>
    <t>13558113</t>
  </si>
  <si>
    <t>91f59fc1-3358-4957-993d-f606643d0cfc</t>
  </si>
  <si>
    <t>2026-03-04 13:55:03</t>
  </si>
  <si>
    <t>27790232017</t>
  </si>
  <si>
    <t>13558108</t>
  </si>
  <si>
    <t>0061d511-f22f-4d4e-8695-2aafd8bf3805</t>
  </si>
  <si>
    <t>2026-03-04 13:55:02</t>
  </si>
  <si>
    <t>27790215651</t>
  </si>
  <si>
    <t>13558099</t>
  </si>
  <si>
    <t>f1f70e2e-2fdb-4a28-8a2f-38516a2b714f</t>
  </si>
  <si>
    <t>2026-03-04 13:55:01</t>
  </si>
  <si>
    <t>27790166288</t>
  </si>
  <si>
    <t>13558091</t>
  </si>
  <si>
    <t>d8975ae6-67da-4c1e-bce2-0c916de5235f</t>
  </si>
  <si>
    <t>2026-03-04 13:54:59</t>
  </si>
  <si>
    <t>27790102999</t>
  </si>
  <si>
    <t>13556989</t>
  </si>
  <si>
    <t>497244c0-83f8-4ece-98ed-46bf15e33836</t>
  </si>
  <si>
    <t>2026-03-04 13:54:38</t>
  </si>
  <si>
    <t>27729280202</t>
  </si>
  <si>
    <t>13556941</t>
  </si>
  <si>
    <t>bddfbb73-69c2-4121-8d2d-6b9a7c7a9ec4</t>
  </si>
  <si>
    <t>2026-03-04 13:54:35</t>
  </si>
  <si>
    <t>27728863044</t>
  </si>
  <si>
    <t>13557940</t>
  </si>
  <si>
    <t>f146e1df-b1db-408f-880b-c5631fad2954</t>
  </si>
  <si>
    <t>27768871041</t>
  </si>
  <si>
    <t>13557203</t>
  </si>
  <si>
    <t>56f87077-b0d8-40ec-a0f2-f8b2be03af61</t>
  </si>
  <si>
    <t>2026-03-04 13:54:10</t>
  </si>
  <si>
    <t>27761209317</t>
  </si>
  <si>
    <t>13557180</t>
  </si>
  <si>
    <t>7d811b10-a897-4a7e-bcc0-dc7f4966ab04</t>
  </si>
  <si>
    <t>2026-03-04 13:54:09</t>
  </si>
  <si>
    <t>27761012467</t>
  </si>
  <si>
    <t>13555366</t>
  </si>
  <si>
    <t>0907b28d-9233-4a31-ab76-a1596c840a03</t>
  </si>
  <si>
    <t>2026-03-04 13:53:53</t>
  </si>
  <si>
    <t>27664098399</t>
  </si>
  <si>
    <t>13558791</t>
  </si>
  <si>
    <t>5431eddd-e993-4ae3-9370-47e715eb98ed</t>
  </si>
  <si>
    <t>2026-03-04 13:53:46</t>
  </si>
  <si>
    <t>27798266206</t>
  </si>
  <si>
    <t>13555574</t>
  </si>
  <si>
    <t>8a5740c9-fe12-4667-9e0c-4ab3283bd45e</t>
  </si>
  <si>
    <t>2026-03-04 13:53:29</t>
  </si>
  <si>
    <t>27711635412</t>
  </si>
  <si>
    <t>13558834</t>
  </si>
  <si>
    <t>27d65bf1-8e0e-4e1c-bc14-2572c12176f4</t>
  </si>
  <si>
    <t>2026-03-04 13:53:03</t>
  </si>
  <si>
    <t>27799092185</t>
  </si>
  <si>
    <t>13558803</t>
  </si>
  <si>
    <t>f319f493-d179-41e7-9f1c-f65e31ca6789</t>
  </si>
  <si>
    <t>2026-03-04 13:52:31</t>
  </si>
  <si>
    <t>27798414464</t>
  </si>
  <si>
    <t>13558182</t>
  </si>
  <si>
    <t>a54b658e-f1ab-46a6-9da5-ec15d865734a</t>
  </si>
  <si>
    <t>2026-03-04 13:52:27</t>
  </si>
  <si>
    <t>27791047699</t>
  </si>
  <si>
    <t>13557466</t>
  </si>
  <si>
    <t>1e0a30db-1457-4396-a3fe-80a8bf31eefc</t>
  </si>
  <si>
    <t>2026-03-04 13:51:42</t>
  </si>
  <si>
    <t>27764130654</t>
  </si>
  <si>
    <t>13558281</t>
  </si>
  <si>
    <t>d2f54c14-0b86-468f-a507-7141f029bd27</t>
  </si>
  <si>
    <t>2026-03-04 13:51:40</t>
  </si>
  <si>
    <t>27792217165</t>
  </si>
  <si>
    <t>13556549</t>
  </si>
  <si>
    <t>75f3161a-672d-42bd-a43e-453efad8e453</t>
  </si>
  <si>
    <t>2026-03-04 13:51:39</t>
  </si>
  <si>
    <t>27724945261</t>
  </si>
  <si>
    <t>13556567</t>
  </si>
  <si>
    <t>2165817d-c009-431d-b530-05b6a2d58a84</t>
  </si>
  <si>
    <t>2026-03-04 13:51:38</t>
  </si>
  <si>
    <t>27725131503</t>
  </si>
  <si>
    <t>13558777</t>
  </si>
  <si>
    <t>aed8d271-a0fc-47a6-adfd-05ba74ebc294</t>
  </si>
  <si>
    <t>2026-03-04 13:50:57</t>
  </si>
  <si>
    <t>27798069727</t>
  </si>
  <si>
    <t>13558638</t>
  </si>
  <si>
    <t>3c397676-c62c-41e5-8d77-de6b93bb7129</t>
  </si>
  <si>
    <t>2026-03-04 13:50:50</t>
  </si>
  <si>
    <t>27796350492</t>
  </si>
  <si>
    <t>13558709</t>
  </si>
  <si>
    <t>69961aef-4677-47d1-a53d-7965da5da0fc</t>
  </si>
  <si>
    <t>2026-03-04 13:50:49</t>
  </si>
  <si>
    <t>27797202237</t>
  </si>
  <si>
    <t>13558682</t>
  </si>
  <si>
    <t>36cc905e-813f-4526-b06f-d0767d3a8b56</t>
  </si>
  <si>
    <t>2026-03-04 13:50:48</t>
  </si>
  <si>
    <t>27796849356</t>
  </si>
  <si>
    <t>13562591</t>
  </si>
  <si>
    <t>13823b51-923c-4f17-9008-7a66ad98f191</t>
  </si>
  <si>
    <t>27760472691</t>
  </si>
  <si>
    <t>13558536</t>
  </si>
  <si>
    <t>2d2e03d0-6e95-4fb6-a0c4-adced4492a2b</t>
  </si>
  <si>
    <t>2026-03-04 13:50:43</t>
  </si>
  <si>
    <t>27795134400</t>
  </si>
  <si>
    <t>13558622</t>
  </si>
  <si>
    <t>479bfe77-76cb-42e9-a995-f8df65c79b42</t>
  </si>
  <si>
    <t>2026-03-04 13:50:42</t>
  </si>
  <si>
    <t>27796210052</t>
  </si>
  <si>
    <t>13558276</t>
  </si>
  <si>
    <t>42fbedc7-4e9a-4fda-b83d-3d7717c302d3</t>
  </si>
  <si>
    <t>2026-03-04 13:50:16</t>
  </si>
  <si>
    <t>27792169078</t>
  </si>
  <si>
    <t>13555373</t>
  </si>
  <si>
    <t>f13feabe-4984-4845-872e-4ab92481a762</t>
  </si>
  <si>
    <t>2026-03-04 13:49:47</t>
  </si>
  <si>
    <t>27664145638</t>
  </si>
  <si>
    <t>13555354</t>
  </si>
  <si>
    <t>15517f69-be17-4040-a316-a0577e3b1e03</t>
  </si>
  <si>
    <t>2026-03-04 13:49:14</t>
  </si>
  <si>
    <t>27663877116</t>
  </si>
  <si>
    <t>13564917</t>
  </si>
  <si>
    <t>9bdfff6e-083d-495f-a338-0136b6dc2dbc</t>
  </si>
  <si>
    <t>2026-03-04 13:49:12</t>
  </si>
  <si>
    <t>27609548240</t>
  </si>
  <si>
    <t>13561719</t>
  </si>
  <si>
    <t>561cae07-7a3a-43c6-93df-4e1fc46f8b91</t>
  </si>
  <si>
    <t>2026-03-04 13:49:03</t>
  </si>
  <si>
    <t>27714189031</t>
  </si>
  <si>
    <t>13562626</t>
  </si>
  <si>
    <t>1d0345c0-45e7-4d1c-ba21-a8e8e34fd92f</t>
  </si>
  <si>
    <t>2026-03-04 13:48:51</t>
  </si>
  <si>
    <t>27726412110</t>
  </si>
  <si>
    <t>13559016</t>
  </si>
  <si>
    <t>50bb6e4f-2eb3-4922-b1d7-0a9a9c3892c5</t>
  </si>
  <si>
    <t>2026-03-04 13:48:00</t>
  </si>
  <si>
    <t>27820595753</t>
  </si>
  <si>
    <t>13558940</t>
  </si>
  <si>
    <t>db356440-a64c-487e-ba77-a9bedf9d176b</t>
  </si>
  <si>
    <t>2026-03-04 13:47:55</t>
  </si>
  <si>
    <t>27818177618</t>
  </si>
  <si>
    <t>13558936</t>
  </si>
  <si>
    <t>ca7aa41e-a0ae-4ae1-85f3-84d4dbb007a3</t>
  </si>
  <si>
    <t>2026-03-04 13:47:51</t>
  </si>
  <si>
    <t>27818152597</t>
  </si>
  <si>
    <t>13558913</t>
  </si>
  <si>
    <t>7830247b-2cee-4d5f-a710-514c22037960</t>
  </si>
  <si>
    <t>2026-03-04 13:47:47</t>
  </si>
  <si>
    <t>27799961747</t>
  </si>
  <si>
    <t>13558915</t>
  </si>
  <si>
    <t>2ae7b301-d3fd-41b7-9e67-b3ba9a9249a2</t>
  </si>
  <si>
    <t>27799985245</t>
  </si>
  <si>
    <t>13558839</t>
  </si>
  <si>
    <t>a9d25060-11cf-48f8-94e6-c513b10b76be</t>
  </si>
  <si>
    <t>2026-03-04 13:47:46</t>
  </si>
  <si>
    <t>27799152071</t>
  </si>
  <si>
    <t>13559111</t>
  </si>
  <si>
    <t>fc541e7b-6ac9-4845-a853-1f6bce6197f4</t>
  </si>
  <si>
    <t>2026-03-04 13:46:59</t>
  </si>
  <si>
    <t>27822933411</t>
  </si>
  <si>
    <t>13559101</t>
  </si>
  <si>
    <t>2ba686dc-5a39-4d62-9e02-e967af25b574</t>
  </si>
  <si>
    <t>2026-03-04 13:46:58</t>
  </si>
  <si>
    <t>27822811012</t>
  </si>
  <si>
    <t>13559105</t>
  </si>
  <si>
    <t>f6e78452-2ba1-4827-80f6-4eca949a647e</t>
  </si>
  <si>
    <t>27822890510</t>
  </si>
  <si>
    <t>13558902</t>
  </si>
  <si>
    <t>7e7366cb-4dbc-45b5-ac5d-bef20849aa99</t>
  </si>
  <si>
    <t>2026-03-04 13:46:44</t>
  </si>
  <si>
    <t>27799793993</t>
  </si>
  <si>
    <t>13558450</t>
  </si>
  <si>
    <t>d6e4dff5-5ec2-4c35-bf08-06f5069889f6</t>
  </si>
  <si>
    <t>2026-03-04 13:46:23</t>
  </si>
  <si>
    <t>27794161721</t>
  </si>
  <si>
    <t>13558486</t>
  </si>
  <si>
    <t>2bd0635f-8b9d-4235-b72e-fcdc171bb3bf</t>
  </si>
  <si>
    <t>2026-03-04 13:45:17</t>
  </si>
  <si>
    <t>27794510588</t>
  </si>
  <si>
    <t>13559375</t>
  </si>
  <si>
    <t>45aec496-54db-4674-b22b-11d272a13d55</t>
  </si>
  <si>
    <t>2026-03-04 13:45:15</t>
  </si>
  <si>
    <t>27826266536</t>
  </si>
  <si>
    <t>13561245</t>
  </si>
  <si>
    <t>2b35250e-575b-4642-8b18-9c0e637d2476</t>
  </si>
  <si>
    <t>2026-03-04 13:44:14</t>
  </si>
  <si>
    <t>27721567099</t>
  </si>
  <si>
    <t>13561254</t>
  </si>
  <si>
    <t>69d1fc66-f6da-492c-9373-81005046fdf4</t>
  </si>
  <si>
    <t>2026-03-04 13:44:13</t>
  </si>
  <si>
    <t>27720428188</t>
  </si>
  <si>
    <t>13560147</t>
  </si>
  <si>
    <t>84d9e022-01e8-44c5-91ba-893d05cf7939</t>
  </si>
  <si>
    <t>2026-03-04 13:44:06</t>
  </si>
  <si>
    <t>27796407360</t>
  </si>
  <si>
    <t>13560108</t>
  </si>
  <si>
    <t>bd25ab0a-8a86-4c7d-83c0-7873625a5c6b</t>
  </si>
  <si>
    <t>2026-03-04 13:43:54</t>
  </si>
  <si>
    <t>27665571951</t>
  </si>
  <si>
    <t>13560084</t>
  </si>
  <si>
    <t>93fee054-d9cd-417b-8f5d-e6860c907688</t>
  </si>
  <si>
    <t>2026-03-04 13:43:37</t>
  </si>
  <si>
    <t>27661002330</t>
  </si>
  <si>
    <t>13559728</t>
  </si>
  <si>
    <t>a72e3e87-8b8d-4eda-a038-eafd4a518b00</t>
  </si>
  <si>
    <t>2026-03-04 13:42:40</t>
  </si>
  <si>
    <t>27769051923</t>
  </si>
  <si>
    <t>13559694</t>
  </si>
  <si>
    <t>cbd8bad6-3947-4ffa-867c-aff583788f39</t>
  </si>
  <si>
    <t>2026-03-04 13:42:32</t>
  </si>
  <si>
    <t>27649239133</t>
  </si>
  <si>
    <t>13560184</t>
  </si>
  <si>
    <t>74ae28f2-9bce-4f39-a572-ca400ccae82a</t>
  </si>
  <si>
    <t>2026-03-04 13:42:30</t>
  </si>
  <si>
    <t>27798541485</t>
  </si>
  <si>
    <t>13560158</t>
  </si>
  <si>
    <t>d9033f1a-aa10-464a-b28a-6aec10380331</t>
  </si>
  <si>
    <t>2026-03-04 13:42:29</t>
  </si>
  <si>
    <t>27765054005</t>
  </si>
  <si>
    <t>13559661</t>
  </si>
  <si>
    <t>0081537b-51bc-4c5d-8fca-3d2f7dd7ef0e</t>
  </si>
  <si>
    <t>2026-03-04 13:42:09</t>
  </si>
  <si>
    <t>27836543335</t>
  </si>
  <si>
    <t>13559634</t>
  </si>
  <si>
    <t>7c74e223-bcb7-4d3f-aa65-074002c5eb66</t>
  </si>
  <si>
    <t>2026-03-04 13:41:57</t>
  </si>
  <si>
    <t>27829789398</t>
  </si>
  <si>
    <t>13559572</t>
  </si>
  <si>
    <t>00d5aafc-5b82-42e7-9b2a-739d5f30969f</t>
  </si>
  <si>
    <t>2026-03-04 13:41:53</t>
  </si>
  <si>
    <t>27828639916</t>
  </si>
  <si>
    <t>13560400</t>
  </si>
  <si>
    <t>c1a654f5-9185-4902-9fe5-1d7ad669dcc0</t>
  </si>
  <si>
    <t>2026-03-04 13:41:50</t>
  </si>
  <si>
    <t>27720277982</t>
  </si>
  <si>
    <t>13559928</t>
  </si>
  <si>
    <t>41321d17-a6d8-446a-983d-c70f7061b809</t>
  </si>
  <si>
    <t>2026-03-04 13:40:58</t>
  </si>
  <si>
    <t>27823085770</t>
  </si>
  <si>
    <t>13559787</t>
  </si>
  <si>
    <t>527591e7-2f66-4c82-abe3-cbcb2a4dd61f</t>
  </si>
  <si>
    <t>2026-03-04 13:40:54</t>
  </si>
  <si>
    <t>27769463694</t>
  </si>
  <si>
    <t>13559795</t>
  </si>
  <si>
    <t>ecaa6159-7a54-4310-85b2-03da2a47191c</t>
  </si>
  <si>
    <t>27766909218</t>
  </si>
  <si>
    <t>13559784</t>
  </si>
  <si>
    <t>5a0165e1-7cf2-455e-9883-d8b7ce1857fc</t>
  </si>
  <si>
    <t>2026-03-04 13:40:50</t>
  </si>
  <si>
    <t>27767873302</t>
  </si>
  <si>
    <t>13559778</t>
  </si>
  <si>
    <t>f9eba97a-02b6-47ce-9910-dc05a5a69d79</t>
  </si>
  <si>
    <t>2026-03-04 13:40:49</t>
  </si>
  <si>
    <t>27725952564</t>
  </si>
  <si>
    <t>13559743</t>
  </si>
  <si>
    <t>43cf3532-40ad-4aa4-9814-ce56816b65b8</t>
  </si>
  <si>
    <t>2026-03-04 13:40:46</t>
  </si>
  <si>
    <t>27724163030</t>
  </si>
  <si>
    <t>13559745</t>
  </si>
  <si>
    <t>5a059b89-82d8-41c1-a142-022d7c84137e</t>
  </si>
  <si>
    <t>27796737569</t>
  </si>
  <si>
    <t>13562074</t>
  </si>
  <si>
    <t>759889c2-7083-4678-9eb4-0e8d61c90f5a</t>
  </si>
  <si>
    <t>2026-03-04 13:39:52</t>
  </si>
  <si>
    <t>27661050298</t>
  </si>
  <si>
    <t>13560665</t>
  </si>
  <si>
    <t>bea1756e-5a44-4785-adfd-d855368ce692</t>
  </si>
  <si>
    <t>2026-03-04 13:39:32</t>
  </si>
  <si>
    <t>27798862867</t>
  </si>
  <si>
    <t>13560638</t>
  </si>
  <si>
    <t>8715a8a1-8f01-4831-a53c-c1e0511cf4f2</t>
  </si>
  <si>
    <t>2026-03-04 13:39:22</t>
  </si>
  <si>
    <t>27767875548</t>
  </si>
  <si>
    <t>13560495</t>
  </si>
  <si>
    <t>2a92c92d-ef00-42b4-8602-c4bf6805c766</t>
  </si>
  <si>
    <t>2026-03-04 13:39:21</t>
  </si>
  <si>
    <t>27727658357</t>
  </si>
  <si>
    <t>13560622</t>
  </si>
  <si>
    <t>dafec164-b11c-45dc-9fcd-7708702db7d7</t>
  </si>
  <si>
    <t>27728004253</t>
  </si>
  <si>
    <t>13560464</t>
  </si>
  <si>
    <t>7cae38ca-646a-4ac2-a3e1-cbff864cce34</t>
  </si>
  <si>
    <t>2026-03-04 13:39:19</t>
  </si>
  <si>
    <t>27826700489</t>
  </si>
  <si>
    <t>13560467</t>
  </si>
  <si>
    <t>868a6ef0-3510-429f-b02f-1541fbdd8834</t>
  </si>
  <si>
    <t>27725273051</t>
  </si>
  <si>
    <t>13560469</t>
  </si>
  <si>
    <t>9f3b580b-0a32-4e39-b3d7-bd75b6314088</t>
  </si>
  <si>
    <t>27712955352</t>
  </si>
  <si>
    <t>13560450</t>
  </si>
  <si>
    <t>a6ef5823-559f-41c5-992e-611b10bd9991</t>
  </si>
  <si>
    <t>2026-03-04 13:39:08</t>
  </si>
  <si>
    <t>27724031710</t>
  </si>
  <si>
    <t>13556344</t>
  </si>
  <si>
    <t>4772387d-cdea-400d-9bb5-ddcd4b63a622</t>
  </si>
  <si>
    <t>2026-03-04 13:38:47</t>
  </si>
  <si>
    <t>27722920109</t>
  </si>
  <si>
    <t>13560434</t>
  </si>
  <si>
    <t>14fdbdf2-92db-4296-9623-eabb390f2ac7</t>
  </si>
  <si>
    <t>2026-03-04 13:38:44</t>
  </si>
  <si>
    <t>27763253167</t>
  </si>
  <si>
    <t>13561285</t>
  </si>
  <si>
    <t>e9e838de-5c55-4399-9d90-7d4a214e80df</t>
  </si>
  <si>
    <t>2026-03-04 13:38:43</t>
  </si>
  <si>
    <t>27711546958</t>
  </si>
  <si>
    <t>13560425</t>
  </si>
  <si>
    <t>59b58202-47f9-4e26-a0d0-ddda2ffac2cf</t>
  </si>
  <si>
    <t>27712015377</t>
  </si>
  <si>
    <t>13561273</t>
  </si>
  <si>
    <t>03e247c1-4c45-49bd-b2ca-1748a660c14d</t>
  </si>
  <si>
    <t>2026-03-04 13:38:41</t>
  </si>
  <si>
    <t>27722344551</t>
  </si>
  <si>
    <t>13558993</t>
  </si>
  <si>
    <t>93f3713f-e85c-44ab-b254-a61207b71618</t>
  </si>
  <si>
    <t>2026-03-04 13:38:21</t>
  </si>
  <si>
    <t>27818925726</t>
  </si>
  <si>
    <t>13564515</t>
  </si>
  <si>
    <t>2b1b1960-77ef-4b29-a6b1-071cc242d15e</t>
  </si>
  <si>
    <t>2026-03-04 13:37:53</t>
  </si>
  <si>
    <t>27791240452</t>
  </si>
  <si>
    <t>13556329</t>
  </si>
  <si>
    <t>01a464ed-613d-4a56-ac89-7ffc2fcb27cb</t>
  </si>
  <si>
    <t>2026-03-04 13:37:52</t>
  </si>
  <si>
    <t>27722755286</t>
  </si>
  <si>
    <t>13562367</t>
  </si>
  <si>
    <t>79c41653-80f3-41e4-abc3-b282b818490e</t>
  </si>
  <si>
    <t>2026-03-04 13:37:50</t>
  </si>
  <si>
    <t>27725406629</t>
  </si>
  <si>
    <t>13563111</t>
  </si>
  <si>
    <t>e9b5d49d-25bc-4449-a63b-e976f7161d9a</t>
  </si>
  <si>
    <t>27673061295</t>
  </si>
  <si>
    <t>13560946</t>
  </si>
  <si>
    <t>19455c88-796c-463f-b9d7-ece044d51785</t>
  </si>
  <si>
    <t>2026-03-04 13:37:05</t>
  </si>
  <si>
    <t>27798177434</t>
  </si>
  <si>
    <t>13560744</t>
  </si>
  <si>
    <t>0b4365d0-613d-4b76-a976-201f882f9333</t>
  </si>
  <si>
    <t>2026-03-04 13:36:55</t>
  </si>
  <si>
    <t>27798599495</t>
  </si>
  <si>
    <t>13560713</t>
  </si>
  <si>
    <t>167e12b1-e338-4fae-b769-ab1cbfe32101</t>
  </si>
  <si>
    <t>2026-03-04 13:36:54</t>
  </si>
  <si>
    <t>27712011357</t>
  </si>
  <si>
    <t>13560717</t>
  </si>
  <si>
    <t>a7802c34-3e9d-4e82-bffd-b4fc7edfeeb5</t>
  </si>
  <si>
    <t>27720985729</t>
  </si>
  <si>
    <t>13560722</t>
  </si>
  <si>
    <t>43c49e78-3482-4e94-981c-f535c7d1c487</t>
  </si>
  <si>
    <t>27824734978</t>
  </si>
  <si>
    <t>13560712</t>
  </si>
  <si>
    <t>eaf8dc53-8238-4cff-b417-6a28a40984c1</t>
  </si>
  <si>
    <t>2026-03-04 13:36:53</t>
  </si>
  <si>
    <t>27799579296</t>
  </si>
  <si>
    <t>13560727</t>
  </si>
  <si>
    <t>f19efda2-14dd-4ee6-a7be-31b3a582c2b8</t>
  </si>
  <si>
    <t>27825843984</t>
  </si>
  <si>
    <t>13560729</t>
  </si>
  <si>
    <t>25001c6b-630c-4a70-a5b2-cf11b4a67eaa</t>
  </si>
  <si>
    <t>27762324987</t>
  </si>
  <si>
    <t>13560699</t>
  </si>
  <si>
    <t>f60a8329-4685-4c9d-b641-9f91205ff09f</t>
  </si>
  <si>
    <t>2026-03-04 13:36:46</t>
  </si>
  <si>
    <t>27761763655</t>
  </si>
  <si>
    <t>13560686</t>
  </si>
  <si>
    <t>0ebaaccf-2c22-4a96-922d-7aa9edeadc91</t>
  </si>
  <si>
    <t>2026-03-04 13:36:42</t>
  </si>
  <si>
    <t>27768738830</t>
  </si>
  <si>
    <t>13561028</t>
  </si>
  <si>
    <t>c1860cff-7d56-43c9-aeff-9f379b4bd95e</t>
  </si>
  <si>
    <t>2026-03-04 13:35:48</t>
  </si>
  <si>
    <t>27727629934</t>
  </si>
  <si>
    <t>13561004</t>
  </si>
  <si>
    <t>38500278-3c1c-4a25-af3e-775e900519e3</t>
  </si>
  <si>
    <t>2026-03-04 13:35:44</t>
  </si>
  <si>
    <t>27649980666</t>
  </si>
  <si>
    <t>13561005</t>
  </si>
  <si>
    <t>fba227a0-068f-41e6-9837-98be73ea2ec2</t>
  </si>
  <si>
    <t>27731758860</t>
  </si>
  <si>
    <t>13560993</t>
  </si>
  <si>
    <t>7b89d86c-1eca-4e79-a843-0f7d9d4fa383</t>
  </si>
  <si>
    <t>2026-03-04 13:35:39</t>
  </si>
  <si>
    <t>27761988573</t>
  </si>
  <si>
    <t>13560996</t>
  </si>
  <si>
    <t>0a9ef22a-e36d-4645-beeb-c124e6755757</t>
  </si>
  <si>
    <t>27725182064</t>
  </si>
  <si>
    <t>13557025</t>
  </si>
  <si>
    <t>46cef7f1-bfa4-41d4-ada0-ae8523d50d15</t>
  </si>
  <si>
    <t>2026-03-04 13:35:30</t>
  </si>
  <si>
    <t>27729691677</t>
  </si>
  <si>
    <t>13561358</t>
  </si>
  <si>
    <t>3495acb0-6a55-461d-b939-d4deaee1e998</t>
  </si>
  <si>
    <t>2026-03-04 13:34:39</t>
  </si>
  <si>
    <t>27721198185</t>
  </si>
  <si>
    <t>13561490</t>
  </si>
  <si>
    <t>5e65806b-d893-471d-84f1-c586656b6958</t>
  </si>
  <si>
    <t>2026-03-04 13:34:38</t>
  </si>
  <si>
    <t>27793366699</t>
  </si>
  <si>
    <t>13561482</t>
  </si>
  <si>
    <t>4368d294-9961-4245-ae2a-f54e5e492740</t>
  </si>
  <si>
    <t>2026-03-04 13:34:35</t>
  </si>
  <si>
    <t>27722501926</t>
  </si>
  <si>
    <t>13561183</t>
  </si>
  <si>
    <t>f06c820f-4fec-4e74-b3a1-a877b920fe21</t>
  </si>
  <si>
    <t>2026-03-04 13:34:34</t>
  </si>
  <si>
    <t>27609110616</t>
  </si>
  <si>
    <t>13561325</t>
  </si>
  <si>
    <t>39730eea-a3b9-457d-a582-339a84f76a3e</t>
  </si>
  <si>
    <t>2026-03-04 13:34:04</t>
  </si>
  <si>
    <t>27664079580</t>
  </si>
  <si>
    <t>13561638</t>
  </si>
  <si>
    <t>61501c8c-222b-4a7b-a5c2-bcf58eb86eae</t>
  </si>
  <si>
    <t>2026-03-04 13:33:59</t>
  </si>
  <si>
    <t>27791468528</t>
  </si>
  <si>
    <t>13561306</t>
  </si>
  <si>
    <t>37892fe1-21e9-4a73-abf8-448896548326</t>
  </si>
  <si>
    <t>2026-03-04 13:32:41</t>
  </si>
  <si>
    <t>27711026105</t>
  </si>
  <si>
    <t>13561773</t>
  </si>
  <si>
    <t>afa1d6ab-c439-4e32-bc90-90e175dad7f8</t>
  </si>
  <si>
    <t>2026-03-04 13:32:34</t>
  </si>
  <si>
    <t>27796376063</t>
  </si>
  <si>
    <t>13561790</t>
  </si>
  <si>
    <t>80a1bdbd-019a-4329-90c4-920c52207fc2</t>
  </si>
  <si>
    <t>2026-03-04 13:32:33</t>
  </si>
  <si>
    <t>27663403447</t>
  </si>
  <si>
    <t>13561152</t>
  </si>
  <si>
    <t>4a0e7979-c7d8-46b3-b045-e33b56a52719</t>
  </si>
  <si>
    <t>2026-03-04 13:32:31</t>
  </si>
  <si>
    <t>27712938689</t>
  </si>
  <si>
    <t>13562289</t>
  </si>
  <si>
    <t>c1fb508f-e015-4eec-a19b-6273891da990</t>
  </si>
  <si>
    <t>2026-03-04 13:32:05</t>
  </si>
  <si>
    <t>27660554645</t>
  </si>
  <si>
    <t>13556241</t>
  </si>
  <si>
    <t>dee1b36d-5cc7-4236-8bbb-b4862f32976a</t>
  </si>
  <si>
    <t>2026-03-04 13:32:03</t>
  </si>
  <si>
    <t>27721931050</t>
  </si>
  <si>
    <t>13555007</t>
  </si>
  <si>
    <t>fae627e6-38f2-4797-9e46-4abbe201c554</t>
  </si>
  <si>
    <t>2026-03-04 13:31:57</t>
  </si>
  <si>
    <t>27637440913</t>
  </si>
  <si>
    <t>13562320</t>
  </si>
  <si>
    <t>927365f7-9ae0-411b-8e4a-7d33f1adb542</t>
  </si>
  <si>
    <t>2026-03-04 13:30:56</t>
  </si>
  <si>
    <t>27793186952</t>
  </si>
  <si>
    <t>13562269</t>
  </si>
  <si>
    <t>1411f81e-58c2-4420-8e36-70963d42b682</t>
  </si>
  <si>
    <t>2026-03-04 13:30:53</t>
  </si>
  <si>
    <t>27747222122</t>
  </si>
  <si>
    <t>13562283</t>
  </si>
  <si>
    <t>6c2b10fb-177b-4689-a878-4f736ee404d8</t>
  </si>
  <si>
    <t>27761529081</t>
  </si>
  <si>
    <t>13562204</t>
  </si>
  <si>
    <t>0db0c16c-1a08-49f8-a6e5-76e404c6b3c3</t>
  </si>
  <si>
    <t>2026-03-04 13:30:51</t>
  </si>
  <si>
    <t>27636164103</t>
  </si>
  <si>
    <t>13562197</t>
  </si>
  <si>
    <t>c6f11b7f-c230-4cb6-8c40-ff332322dc82</t>
  </si>
  <si>
    <t>2026-03-04 13:30:50</t>
  </si>
  <si>
    <t>27769586198</t>
  </si>
  <si>
    <t>13562122</t>
  </si>
  <si>
    <t>d7630dd7-9b08-413c-aaf1-8a5996e2dc92</t>
  </si>
  <si>
    <t>2026-03-04 13:30:15</t>
  </si>
  <si>
    <t>27608929126</t>
  </si>
  <si>
    <t>13556202</t>
  </si>
  <si>
    <t>60e90882-bea3-400e-9ac8-13079d626527</t>
  </si>
  <si>
    <t>2026-03-04 13:29:34</t>
  </si>
  <si>
    <t>27721532299</t>
  </si>
  <si>
    <t>13564524</t>
  </si>
  <si>
    <t>f3728e22-e36a-4d25-aff9-0d4e6bed65f3</t>
  </si>
  <si>
    <t>2026-03-04 13:29:03</t>
  </si>
  <si>
    <t>27665574314</t>
  </si>
  <si>
    <t>13561969</t>
  </si>
  <si>
    <t>3857c0a4-8ee0-4a6c-b45f-7bf5ddf495de</t>
  </si>
  <si>
    <t>2026-03-04 13:28:35</t>
  </si>
  <si>
    <t>27665081755</t>
  </si>
  <si>
    <t>13563935</t>
  </si>
  <si>
    <t>04482039-46b8-47a3-9843-b4f03418408c</t>
  </si>
  <si>
    <t>2026-03-04 13:27:51</t>
  </si>
  <si>
    <t>27674702949</t>
  </si>
  <si>
    <t>13563922</t>
  </si>
  <si>
    <t>b8ab0699-de5c-4e04-a6b6-2d3f3b5082ab</t>
  </si>
  <si>
    <t>2026-03-04 13:27:50</t>
  </si>
  <si>
    <t>27721357953</t>
  </si>
  <si>
    <t>13563932</t>
  </si>
  <si>
    <t>1df1e882-db69-4236-816c-250671cd9ad2</t>
  </si>
  <si>
    <t>27728645232</t>
  </si>
  <si>
    <t>13563892</t>
  </si>
  <si>
    <t>3adf518d-0a74-464b-bd37-64802dff5df7</t>
  </si>
  <si>
    <t>2026-03-04 13:27:47</t>
  </si>
  <si>
    <t>27712819154</t>
  </si>
  <si>
    <t>13562425</t>
  </si>
  <si>
    <t>cc876903-72ee-4f38-95d4-da825b7722f9</t>
  </si>
  <si>
    <t>2026-03-04 13:26:42</t>
  </si>
  <si>
    <t>27714566101</t>
  </si>
  <si>
    <t>13563994</t>
  </si>
  <si>
    <t>c35574c7-9180-43e3-8946-0dd91f9c9860</t>
  </si>
  <si>
    <t>2026-03-04 13:26:38</t>
  </si>
  <si>
    <t>27663756682</t>
  </si>
  <si>
    <t>13563998</t>
  </si>
  <si>
    <t>dd56b4fb-6f35-46e6-8878-76ff08d5bd1d</t>
  </si>
  <si>
    <t>27608910489</t>
  </si>
  <si>
    <t>13564018</t>
  </si>
  <si>
    <t>425e80fc-919d-4178-bbef-72f72a4b4856</t>
  </si>
  <si>
    <t>27767017034</t>
  </si>
  <si>
    <t>13564020</t>
  </si>
  <si>
    <t>85548d91-547d-401e-8019-51c33d3dee11</t>
  </si>
  <si>
    <t>27606774546</t>
  </si>
  <si>
    <t>13563972</t>
  </si>
  <si>
    <t>2e5b18d0-2574-4f35-a518-cdd7c8eeb672</t>
  </si>
  <si>
    <t>2026-03-04 13:26:35</t>
  </si>
  <si>
    <t>27664050573</t>
  </si>
  <si>
    <t>13562714</t>
  </si>
  <si>
    <t>c20c3d1b-a2c3-482c-949c-07b07ff327b6</t>
  </si>
  <si>
    <t>2026-03-04 13:26:06</t>
  </si>
  <si>
    <t>27649152788</t>
  </si>
  <si>
    <t>13562531</t>
  </si>
  <si>
    <t>f3a19c53-5414-47ab-9c0b-0d833ae01ff9</t>
  </si>
  <si>
    <t>2026-03-04 13:26:05</t>
  </si>
  <si>
    <t>27763086363</t>
  </si>
  <si>
    <t>13562541</t>
  </si>
  <si>
    <t>f041b414-1721-4523-9b04-2585ad829f5c</t>
  </si>
  <si>
    <t>27660608743</t>
  </si>
  <si>
    <t>13562524</t>
  </si>
  <si>
    <t>7140a5ee-eb96-4407-97b3-80ff4fca0d78</t>
  </si>
  <si>
    <t>2026-03-04 13:26:02</t>
  </si>
  <si>
    <t>27766280328</t>
  </si>
  <si>
    <t>13562497</t>
  </si>
  <si>
    <t>c64b8134-9f8c-4dc0-8c74-38f91f1e968f</t>
  </si>
  <si>
    <t>2026-03-04 13:25:34</t>
  </si>
  <si>
    <t>27729687466</t>
  </si>
  <si>
    <t>13562478</t>
  </si>
  <si>
    <t>d3ac2b00-1bbb-46c6-9b35-9a6639156994</t>
  </si>
  <si>
    <t>2026-03-04 13:25:33</t>
  </si>
  <si>
    <t>27727567286</t>
  </si>
  <si>
    <t>13562485</t>
  </si>
  <si>
    <t>492e2657-2f4b-46c6-b731-c2f551d7b34a</t>
  </si>
  <si>
    <t>2026-03-04 13:25:32</t>
  </si>
  <si>
    <t>27767856968</t>
  </si>
  <si>
    <t>13555303</t>
  </si>
  <si>
    <t>26d99db6-75f7-4cc6-a990-a56bbfc34922</t>
  </si>
  <si>
    <t>2026-03-04 13:25:00</t>
  </si>
  <si>
    <t>27661650480</t>
  </si>
  <si>
    <t>13562676</t>
  </si>
  <si>
    <t>330a1395-30f4-4795-8aa9-f740cc84aca4</t>
  </si>
  <si>
    <t>2026-03-04 13:24:37</t>
  </si>
  <si>
    <t>27769045738</t>
  </si>
  <si>
    <t>13563071</t>
  </si>
  <si>
    <t>3ec30a48-2376-4f3b-a25e-caf2f3f7b303</t>
  </si>
  <si>
    <t>2026-03-04 13:24:13</t>
  </si>
  <si>
    <t>27674707261</t>
  </si>
  <si>
    <t>13562701</t>
  </si>
  <si>
    <t>599db463-3438-4b5f-820e-74990d38441a</t>
  </si>
  <si>
    <t>2026-03-04 13:24:04</t>
  </si>
  <si>
    <t>27726379174</t>
  </si>
  <si>
    <t>13562673</t>
  </si>
  <si>
    <t>946128c2-be2d-4a03-b07d-0387c7b93398</t>
  </si>
  <si>
    <t>2026-03-04 13:23:58</t>
  </si>
  <si>
    <t>27647637404</t>
  </si>
  <si>
    <t>13562607</t>
  </si>
  <si>
    <t>e01840c0-eeb4-4dbc-90e9-ca948e034662</t>
  </si>
  <si>
    <t>2026-03-04 13:23:39</t>
  </si>
  <si>
    <t>27762183276</t>
  </si>
  <si>
    <t>13563807</t>
  </si>
  <si>
    <t>2c9f8938-c1fd-408c-9b03-d09a1c47fb00</t>
  </si>
  <si>
    <t>2026-03-04 13:23:37</t>
  </si>
  <si>
    <t>27637580657</t>
  </si>
  <si>
    <t>13562912</t>
  </si>
  <si>
    <t>4cfa1b62-823a-4c6b-a793-71edf07ded10</t>
  </si>
  <si>
    <t>2026-03-04 13:22:36</t>
  </si>
  <si>
    <t>27761686738</t>
  </si>
  <si>
    <t>13562780</t>
  </si>
  <si>
    <t>83432f43-ccb6-4bce-87bd-e736adfe4eaf</t>
  </si>
  <si>
    <t>2026-03-04 13:22:35</t>
  </si>
  <si>
    <t>27637839772</t>
  </si>
  <si>
    <t>13562801</t>
  </si>
  <si>
    <t>3f015e0d-4401-4edc-b28e-920ffa0773f3</t>
  </si>
  <si>
    <t>2026-03-04 13:21:28</t>
  </si>
  <si>
    <t>27790210938</t>
  </si>
  <si>
    <t>13562545</t>
  </si>
  <si>
    <t>da3df507-720b-402f-a691-4285a0ed1378</t>
  </si>
  <si>
    <t>2026-03-04 13:21:19</t>
  </si>
  <si>
    <t>27712375915</t>
  </si>
  <si>
    <t>13562596</t>
  </si>
  <si>
    <t>c4623df2-923e-4d4b-aa42-5278abdf87d4</t>
  </si>
  <si>
    <t>2026-03-04 13:20:45</t>
  </si>
  <si>
    <t>27665331470</t>
  </si>
  <si>
    <t>13563044</t>
  </si>
  <si>
    <t>180b74f6-def3-46da-aa4d-a8a42132bda3</t>
  </si>
  <si>
    <t>2026-03-04 13:20:10</t>
  </si>
  <si>
    <t>27763685836</t>
  </si>
  <si>
    <t>13563037</t>
  </si>
  <si>
    <t>03558b34-d3c5-4bb9-86a1-266fe0233b3d</t>
  </si>
  <si>
    <t>2026-03-04 13:20:09</t>
  </si>
  <si>
    <t>27637812594</t>
  </si>
  <si>
    <t>13563036</t>
  </si>
  <si>
    <t>6933aa00-34fb-4631-9f5d-41f8782a4124</t>
  </si>
  <si>
    <t>2026-03-04 13:20:08</t>
  </si>
  <si>
    <t>27769240450</t>
  </si>
  <si>
    <t>13563015</t>
  </si>
  <si>
    <t>aae5fa4f-f234-492d-91ee-1046dd45277e</t>
  </si>
  <si>
    <t>2026-03-04 13:20:04</t>
  </si>
  <si>
    <t>27743052195</t>
  </si>
  <si>
    <t>13562936</t>
  </si>
  <si>
    <t>cf4a13d9-fbf3-4bdb-adf6-94d5d146f99b</t>
  </si>
  <si>
    <t>2026-03-04 13:19:26</t>
  </si>
  <si>
    <t>27637817924</t>
  </si>
  <si>
    <t>13563232</t>
  </si>
  <si>
    <t>b06834ea-fb1c-49e4-849b-4516eecd0064</t>
  </si>
  <si>
    <t>2026-03-04 13:18:38</t>
  </si>
  <si>
    <t>27648413788</t>
  </si>
  <si>
    <t>13563094</t>
  </si>
  <si>
    <t>98477ef1-269c-46ae-806f-04e4d4d4d9ec</t>
  </si>
  <si>
    <t>2026-03-04 13:18:35</t>
  </si>
  <si>
    <t>27790857825</t>
  </si>
  <si>
    <t>13563082</t>
  </si>
  <si>
    <t>d88bf406-9d8a-4b76-9ef5-4affd3adbe72</t>
  </si>
  <si>
    <t>2026-03-04 13:18:34</t>
  </si>
  <si>
    <t>27673052363</t>
  </si>
  <si>
    <t>13563213</t>
  </si>
  <si>
    <t>b7b92ae4-30e1-40a5-af2a-a49ffaa33bdd</t>
  </si>
  <si>
    <t>2026-03-04 13:17:50</t>
  </si>
  <si>
    <t>27763067135</t>
  </si>
  <si>
    <t>13563216</t>
  </si>
  <si>
    <t>71e325ad-8547-414e-848c-99487149165d</t>
  </si>
  <si>
    <t>27661271099</t>
  </si>
  <si>
    <t>13563203</t>
  </si>
  <si>
    <t>e82d2d1f-882c-4c17-a325-0d51104dad0e</t>
  </si>
  <si>
    <t>2026-03-04 13:17:49</t>
  </si>
  <si>
    <t>27729062472</t>
  </si>
  <si>
    <t>13563289</t>
  </si>
  <si>
    <t>009d11c3-0c1a-4efe-876a-3d73f4e0b8a6</t>
  </si>
  <si>
    <t>2026-03-04 13:16:24</t>
  </si>
  <si>
    <t>27608342536</t>
  </si>
  <si>
    <t>13563301</t>
  </si>
  <si>
    <t>468d022c-4376-40d3-b70d-082fcbe2e5d0</t>
  </si>
  <si>
    <t>27765263632</t>
  </si>
  <si>
    <t>13563494</t>
  </si>
  <si>
    <t>c254331f-5def-402b-9685-0d59b0be27b1</t>
  </si>
  <si>
    <t>2026-03-04 13:12:39</t>
  </si>
  <si>
    <t>27761761618</t>
  </si>
  <si>
    <t>13563596</t>
  </si>
  <si>
    <t>e3398db9-5cee-4be7-aacc-299afcc578d2</t>
  </si>
  <si>
    <t>2026-03-04 13:10:27</t>
  </si>
  <si>
    <t>27673242717</t>
  </si>
  <si>
    <t>13563645</t>
  </si>
  <si>
    <t>f248f762-829f-4592-a8ed-7a297c15c002</t>
  </si>
  <si>
    <t>2026-03-04 13:09:45</t>
  </si>
  <si>
    <t>27729285286</t>
  </si>
  <si>
    <t>13563698</t>
  </si>
  <si>
    <t>5795075e-c3c8-4fba-a7ec-c54f4e69130b</t>
  </si>
  <si>
    <t>2026-03-04 13:08:43</t>
  </si>
  <si>
    <t>27722717721</t>
  </si>
  <si>
    <t>13563649</t>
  </si>
  <si>
    <t>e975b749-128b-4962-8350-bf84885538d8</t>
  </si>
  <si>
    <t>2026-03-04 13:08:23</t>
  </si>
  <si>
    <t>27765094825</t>
  </si>
  <si>
    <t>13561742</t>
  </si>
  <si>
    <t>f3f51741-6292-4150-97e5-c15d435d7c43</t>
  </si>
  <si>
    <t>2026-03-04 13:07:02</t>
  </si>
  <si>
    <t>27792406879</t>
  </si>
  <si>
    <t>13563622</t>
  </si>
  <si>
    <t>8e1b55fe-5b3a-459a-876b-a43fa2a7501a</t>
  </si>
  <si>
    <t>2026-03-04 13:05:25</t>
  </si>
  <si>
    <t>27729792156</t>
  </si>
  <si>
    <t>13555692</t>
  </si>
  <si>
    <t>28768637-eff0-4645-9247-9da4aefbf0bc</t>
  </si>
  <si>
    <t>2026-03-04 13:02:33</t>
  </si>
  <si>
    <t>27712975510</t>
  </si>
  <si>
    <t>13563723</t>
  </si>
  <si>
    <t>6453ca86-8fac-40a7-bd1d-5bf7e41d1bda</t>
  </si>
  <si>
    <t>2026-03-04 13:01:25</t>
  </si>
  <si>
    <t>27723909131</t>
  </si>
  <si>
    <t>13562096</t>
  </si>
  <si>
    <t>ae031da2-a818-4f2d-ba9d-595446cc693c</t>
  </si>
  <si>
    <t>2026-03-04 13:01:09</t>
  </si>
  <si>
    <t>27795683534</t>
  </si>
  <si>
    <t>13563670</t>
  </si>
  <si>
    <t>f75640e9-caa7-4171-bcf5-9b510be3fb0b</t>
  </si>
  <si>
    <t>27711934178</t>
  </si>
  <si>
    <t>13557672</t>
  </si>
  <si>
    <t>44646d48-a339-4530-b7c9-cd58aecfa3d4</t>
  </si>
  <si>
    <t>2026-03-04 13:01:06</t>
  </si>
  <si>
    <t>27766256624</t>
  </si>
  <si>
    <t>13557584</t>
  </si>
  <si>
    <t>9d487f44-bd49-4038-8f5b-40242da497be</t>
  </si>
  <si>
    <t>2026-03-04 13:01:03</t>
  </si>
  <si>
    <t>27765383234</t>
  </si>
  <si>
    <t>13564485</t>
  </si>
  <si>
    <t>450f55c0-b8fb-4f61-99dc-514c4ce121b5</t>
  </si>
  <si>
    <t>2026-03-04 13:00:05</t>
  </si>
  <si>
    <t>27608868186</t>
  </si>
  <si>
    <t>13564490</t>
  </si>
  <si>
    <t>d2f7d8d3-b78d-4096-82f4-5c664f4795f1</t>
  </si>
  <si>
    <t>27761708713</t>
  </si>
  <si>
    <t>13564415</t>
  </si>
  <si>
    <t>52cf6da3-b3d8-4416-a4f3-4757ba3cd03e</t>
  </si>
  <si>
    <t>2026-03-04 13:00:04</t>
  </si>
  <si>
    <t>27765273607</t>
  </si>
  <si>
    <t>13564494</t>
  </si>
  <si>
    <t>31590c99-321b-420d-8745-1c60dac6385c</t>
  </si>
  <si>
    <t>27648515097</t>
  </si>
  <si>
    <t>13564225</t>
  </si>
  <si>
    <t>cdba5eba-8a18-49ff-b9e8-9d659046c113</t>
  </si>
  <si>
    <t>2026-03-04 12:59:18</t>
  </si>
  <si>
    <t>27723434671</t>
  </si>
  <si>
    <t>13564072</t>
  </si>
  <si>
    <t>dae49158-0c79-4ca7-b37b-c3d11dc05fca</t>
  </si>
  <si>
    <t>2026-03-04 12:59:01</t>
  </si>
  <si>
    <t>27647811831</t>
  </si>
  <si>
    <t>13564080</t>
  </si>
  <si>
    <t>452022d8-3c86-447c-ac46-1ebb6847ab84</t>
  </si>
  <si>
    <t>27647965770</t>
  </si>
  <si>
    <t>13564146</t>
  </si>
  <si>
    <t>d00c7b85-06ae-4d87-8d4d-a936ce1448ab</t>
  </si>
  <si>
    <t>2026-03-04 12:58:13</t>
  </si>
  <si>
    <t>27712551324</t>
  </si>
  <si>
    <t>13564110</t>
  </si>
  <si>
    <t>108e85c6-52a5-4e30-bb51-d192a422c099</t>
  </si>
  <si>
    <t>2026-03-04 12:58:09</t>
  </si>
  <si>
    <t>27727017847</t>
  </si>
  <si>
    <t>13557794</t>
  </si>
  <si>
    <t>45ec3728-8897-457d-acd8-54f093f41f9b</t>
  </si>
  <si>
    <t>2026-03-04 12:57:33</t>
  </si>
  <si>
    <t>27767453669</t>
  </si>
  <si>
    <t>13555727</t>
  </si>
  <si>
    <t>acaa5933-0d57-4d4f-b387-d1d9b58127a1</t>
  </si>
  <si>
    <t>2026-03-04 12:57:29</t>
  </si>
  <si>
    <t>27713241696</t>
  </si>
  <si>
    <t>13564341</t>
  </si>
  <si>
    <t>6b62b054-045b-488e-9e0a-0a764fa13b48</t>
  </si>
  <si>
    <t>2026-03-04 12:56:31</t>
  </si>
  <si>
    <t>27711113304</t>
  </si>
  <si>
    <t>13564282</t>
  </si>
  <si>
    <t>84c12d77-86b4-4b07-8a1c-4c9effe45c2a</t>
  </si>
  <si>
    <t>2026-03-04 12:56:18</t>
  </si>
  <si>
    <t>27713864462</t>
  </si>
  <si>
    <t>13557993</t>
  </si>
  <si>
    <t>b85098ee-109b-4a9f-9d30-c892e2b260fc</t>
  </si>
  <si>
    <t>2026-03-04 12:55:56</t>
  </si>
  <si>
    <t>27769493434</t>
  </si>
  <si>
    <t>13564404</t>
  </si>
  <si>
    <t>5a3e32b3-25dd-4d71-a453-da1d8ac1100b</t>
  </si>
  <si>
    <t>2026-03-04 12:55:48</t>
  </si>
  <si>
    <t>27733368192</t>
  </si>
  <si>
    <t>13564460</t>
  </si>
  <si>
    <t>042327ec-7e17-42c0-9257-a59ec7ff4cf2</t>
  </si>
  <si>
    <t>2026-03-04 12:55:47</t>
  </si>
  <si>
    <t>27723392091</t>
  </si>
  <si>
    <t>13564462</t>
  </si>
  <si>
    <t>76bc5544-ca62-4ce3-8071-d14149d8ade5</t>
  </si>
  <si>
    <t>2026-03-04 12:55:44</t>
  </si>
  <si>
    <t>27791518934</t>
  </si>
  <si>
    <t>13564326</t>
  </si>
  <si>
    <t>1dbbbdf7-a347-4db5-8d2b-f5893cbb1a8d</t>
  </si>
  <si>
    <t>2026-03-04 12:55:41</t>
  </si>
  <si>
    <t>27726703006</t>
  </si>
  <si>
    <t>13560921</t>
  </si>
  <si>
    <t>9f0301bc-6592-46d5-857c-4f39b87abed1</t>
  </si>
  <si>
    <t>2026-03-04 12:54:34</t>
  </si>
  <si>
    <t>27791632018</t>
  </si>
  <si>
    <t>13558218</t>
  </si>
  <si>
    <t>0db20195-42fc-4405-85bc-2ead3183aa17</t>
  </si>
  <si>
    <t>2026-03-04 12:54:33</t>
  </si>
  <si>
    <t>27791445268</t>
  </si>
  <si>
    <t>13564362</t>
  </si>
  <si>
    <t>a52cfe66-fa76-4da0-b0a3-f94c3dc7df22</t>
  </si>
  <si>
    <t>2026-03-04 12:54:12</t>
  </si>
  <si>
    <t>27764996411</t>
  </si>
  <si>
    <t>13564419</t>
  </si>
  <si>
    <t>c2872a37-964c-45d0-9954-e837a5703b52</t>
  </si>
  <si>
    <t>2026-03-04 12:54:08</t>
  </si>
  <si>
    <t>27769552092</t>
  </si>
  <si>
    <t>13555140</t>
  </si>
  <si>
    <t>36021cf8-e669-4f6e-817e-c80973158609</t>
  </si>
  <si>
    <t>2026-03-04 12:53:14</t>
  </si>
  <si>
    <t>27648569727</t>
  </si>
  <si>
    <t>13564449</t>
  </si>
  <si>
    <t>b21dc1eb-ce14-469c-a5cc-91d98f011c9a</t>
  </si>
  <si>
    <t>2026-03-04 12:53:08</t>
  </si>
  <si>
    <t>27766900249</t>
  </si>
  <si>
    <t>13564355</t>
  </si>
  <si>
    <t>6cec8b2e-266e-471d-aec9-68ced2d2a20d</t>
  </si>
  <si>
    <t>2026-03-04 12:52:38</t>
  </si>
  <si>
    <t>27763846794</t>
  </si>
  <si>
    <t>13564407</t>
  </si>
  <si>
    <t>7ff554d9-98a0-45d5-81bc-05bd6f849fe1</t>
  </si>
  <si>
    <t>2026-03-04 12:52:36</t>
  </si>
  <si>
    <t>27725772358</t>
  </si>
  <si>
    <t>13564411</t>
  </si>
  <si>
    <t>e914e86b-8c8c-4131-b898-60b657397b5e</t>
  </si>
  <si>
    <t>27636650250</t>
  </si>
  <si>
    <t>13564426</t>
  </si>
  <si>
    <t>34964045-4feb-4988-9da6-69c9d73d0df4</t>
  </si>
  <si>
    <t>2026-03-04 12:52:31</t>
  </si>
  <si>
    <t>27766617772</t>
  </si>
  <si>
    <t>13559819</t>
  </si>
  <si>
    <t>b7152828-2e48-4c35-931c-7149076b9889</t>
  </si>
  <si>
    <t>2026-03-04 12:52:03</t>
  </si>
  <si>
    <t>27661843811</t>
  </si>
  <si>
    <t>13564522</t>
  </si>
  <si>
    <t>b0b81dcf-fb1f-4aa0-b5b1-355f746c5fbc</t>
  </si>
  <si>
    <t>2026-03-04 12:52:02</t>
  </si>
  <si>
    <t>27664166578</t>
  </si>
  <si>
    <t>13564856</t>
  </si>
  <si>
    <t>300595d7-d414-4197-ac97-62ed080034e5</t>
  </si>
  <si>
    <t>2026-03-04 12:51:35</t>
  </si>
  <si>
    <t>27608608338</t>
  </si>
  <si>
    <t>13564543</t>
  </si>
  <si>
    <t>e5ff1c9d-4393-4ae4-879a-2828c3ad9a57</t>
  </si>
  <si>
    <t>2026-03-04 12:51:34</t>
  </si>
  <si>
    <t>27723404943</t>
  </si>
  <si>
    <t>13564862</t>
  </si>
  <si>
    <t>2fab45d8-37ae-4fc6-8624-40f2ec371bb5</t>
  </si>
  <si>
    <t>2026-03-04 12:51:31</t>
  </si>
  <si>
    <t>27608692947</t>
  </si>
  <si>
    <t>13564558</t>
  </si>
  <si>
    <t>6a7e4d65-febf-4c78-8176-1e23d4aa14c7</t>
  </si>
  <si>
    <t>2026-03-04 12:50:32</t>
  </si>
  <si>
    <t>27609692045</t>
  </si>
  <si>
    <t>13564647</t>
  </si>
  <si>
    <t>660b7eb0-cebc-41c8-830c-d61f634c1e7b</t>
  </si>
  <si>
    <t>2026-03-04 12:49:36</t>
  </si>
  <si>
    <t>27664536925</t>
  </si>
  <si>
    <t>13564714</t>
  </si>
  <si>
    <t>ad035154-6ad8-41b9-943a-77da88654a45</t>
  </si>
  <si>
    <t>27606233931</t>
  </si>
  <si>
    <t>13564683</t>
  </si>
  <si>
    <t>64bac2a5-6016-4ce3-8712-5c11d6255741</t>
  </si>
  <si>
    <t>2026-03-04 12:49:32</t>
  </si>
  <si>
    <t>27792317803</t>
  </si>
  <si>
    <t>13564738</t>
  </si>
  <si>
    <t>96811404-3b0c-4891-a598-af39842174d8</t>
  </si>
  <si>
    <t>2026-03-04 12:48:39</t>
  </si>
  <si>
    <t>27606621197</t>
  </si>
  <si>
    <t>13555694</t>
  </si>
  <si>
    <t>4b6998d7-6929-4977-bae6-faab52cf9d96</t>
  </si>
  <si>
    <t>2026-03-04 12:48:37</t>
  </si>
  <si>
    <t>27712997521</t>
  </si>
  <si>
    <t>13558812</t>
  </si>
  <si>
    <t>c3840bbd-2e34-40c0-89a5-56d18ad8afbc</t>
  </si>
  <si>
    <t>2026-03-04 12:48:33</t>
  </si>
  <si>
    <t>27798565989</t>
  </si>
  <si>
    <t>13564639</t>
  </si>
  <si>
    <t>0fdb7667-9d54-4947-a693-4d5048a97570</t>
  </si>
  <si>
    <t>2026-03-04 12:48:30</t>
  </si>
  <si>
    <t>27769052900</t>
  </si>
  <si>
    <t>13564644</t>
  </si>
  <si>
    <t>69852b4e-8209-4f53-840a-0daf3f96733f</t>
  </si>
  <si>
    <t>27646258621</t>
  </si>
  <si>
    <t>13564748</t>
  </si>
  <si>
    <t>152acdac-89b9-443e-97d2-58bdf70da50d</t>
  </si>
  <si>
    <t>27606726656</t>
  </si>
  <si>
    <t>13555738</t>
  </si>
  <si>
    <t>3a887331-f3c9-4f25-9c35-29cbe080e68c</t>
  </si>
  <si>
    <t>2026-03-04 12:47:14</t>
  </si>
  <si>
    <t>27713426318</t>
  </si>
  <si>
    <t>13564826</t>
  </si>
  <si>
    <t>14cb2235-e0b9-4bf2-a71f-1cb34ebcce19</t>
  </si>
  <si>
    <t>2026-03-04 12:46:40</t>
  </si>
  <si>
    <t>27608076717</t>
  </si>
  <si>
    <t>13555710</t>
  </si>
  <si>
    <t>5369a784-5524-4e19-95d0-0f88efea856d</t>
  </si>
  <si>
    <t>2026-03-04 12:46:37</t>
  </si>
  <si>
    <t>27713131718</t>
  </si>
  <si>
    <t>13564811</t>
  </si>
  <si>
    <t>df00a883-a0b5-4813-83e5-d94ef61b3fa1</t>
  </si>
  <si>
    <t>2026-03-04 12:45:48</t>
  </si>
  <si>
    <t>27607771071</t>
  </si>
  <si>
    <t>13559318</t>
  </si>
  <si>
    <t>1fb8ad67-7491-4a80-88f2-fc81d9375637</t>
  </si>
  <si>
    <t>2026-03-04 12:45:40</t>
  </si>
  <si>
    <t>27825402925</t>
  </si>
  <si>
    <t>13564822</t>
  </si>
  <si>
    <t>173a9a62-11a6-49cb-b90c-548c697b15ae</t>
  </si>
  <si>
    <t>2026-03-04 12:45:39</t>
  </si>
  <si>
    <t>27607988369</t>
  </si>
  <si>
    <t>13564877</t>
  </si>
  <si>
    <t>913bb9d1-1e65-472d-86c5-2f03fbd233e5</t>
  </si>
  <si>
    <t>2026-03-04 12:45:36</t>
  </si>
  <si>
    <t>27608932960</t>
  </si>
  <si>
    <t>13564868</t>
  </si>
  <si>
    <t>332994cb-16d1-4898-b64c-43ee81f6e491</t>
  </si>
  <si>
    <t>2026-03-04 12:45:35</t>
  </si>
  <si>
    <t>27608788750</t>
  </si>
  <si>
    <t>13555118</t>
  </si>
  <si>
    <t>e27fc5b4-004e-4be0-bb9c-93265031277c</t>
  </si>
  <si>
    <t>2026-03-04 12:44:40</t>
  </si>
  <si>
    <t>27648277190</t>
  </si>
  <si>
    <t>13555087</t>
  </si>
  <si>
    <t>146525f1-50a8-4b94-8bd4-37646b022a8e</t>
  </si>
  <si>
    <t>2026-03-04 12:44:38</t>
  </si>
  <si>
    <t>27647336205</t>
  </si>
  <si>
    <t>13555159</t>
  </si>
  <si>
    <t>d5bb81d5-126f-4cc5-9ad2-a5595a27502b</t>
  </si>
  <si>
    <t>2026-03-04 12:44:36</t>
  </si>
  <si>
    <t>27648891788</t>
  </si>
  <si>
    <t>13555178</t>
  </si>
  <si>
    <t>70616170-08e9-4cf0-9917-d6eea532d7bf</t>
  </si>
  <si>
    <t>2026-03-04 12:44:29</t>
  </si>
  <si>
    <t>27649356233</t>
  </si>
  <si>
    <t>13555063</t>
  </si>
  <si>
    <t>ffcfb968-06b6-451b-84b5-72ab32ff9ab0</t>
  </si>
  <si>
    <t>2026-03-04 12:43:49</t>
  </si>
  <si>
    <t>27646727060</t>
  </si>
  <si>
    <t>13559104</t>
  </si>
  <si>
    <t>1b0b5165-2fb5-4dd9-b8fc-9d79725651e3</t>
  </si>
  <si>
    <t>2026-03-04 12:43:47</t>
  </si>
  <si>
    <t>27822841913</t>
  </si>
  <si>
    <t>13560189</t>
  </si>
  <si>
    <t>bf75516b-11f4-44d0-a86b-c265848b1bad</t>
  </si>
  <si>
    <t>2026-03-04 12:40:25</t>
  </si>
  <si>
    <t>27724515706</t>
  </si>
  <si>
    <t>13562379</t>
  </si>
  <si>
    <t>c5a47153-51a2-4f46-bb46-4f41ca34cb6d</t>
  </si>
  <si>
    <t>2026-03-04 12:38:49</t>
  </si>
  <si>
    <t>27769758555</t>
  </si>
  <si>
    <t>13559709</t>
  </si>
  <si>
    <t>e6c96268-b4e1-422a-94fc-1f398c8bc43f</t>
  </si>
  <si>
    <t>2026-03-04 12:38:48</t>
  </si>
  <si>
    <t>27761462972</t>
  </si>
  <si>
    <t>13560466</t>
  </si>
  <si>
    <t>63584fa8-5c46-4ac0-b207-423dbfa0c4d1</t>
  </si>
  <si>
    <t>2026-03-04 12:35:34</t>
  </si>
  <si>
    <t>27798113402</t>
  </si>
  <si>
    <t>13560780</t>
  </si>
  <si>
    <t>3b57f747-330e-459d-adfc-8bb0ddd9d438</t>
  </si>
  <si>
    <t>2026-03-04 12:34:51</t>
  </si>
  <si>
    <t>27791071876</t>
  </si>
  <si>
    <t>13560736</t>
  </si>
  <si>
    <t>6abd2ed4-d106-49fa-81ea-2dcafbce2a2a</t>
  </si>
  <si>
    <t>2026-03-04 12:34:49</t>
  </si>
  <si>
    <t>27636120155</t>
  </si>
  <si>
    <t>13560765</t>
  </si>
  <si>
    <t>270c759e-b2b5-47da-8b11-4268ddb08d14</t>
  </si>
  <si>
    <t>2026-03-04 12:34:46</t>
  </si>
  <si>
    <t>27767512239</t>
  </si>
  <si>
    <t>13561503</t>
  </si>
  <si>
    <t>9c99a6c0-d602-426b-86f4-32bf8ad99311</t>
  </si>
  <si>
    <t>2026-03-04 12:32:57</t>
  </si>
  <si>
    <t>27725193721</t>
  </si>
  <si>
    <t>13558500</t>
  </si>
  <si>
    <t>6da381ba-d3b9-4555-b32c-2a00205689ef</t>
  </si>
  <si>
    <t>2026-03-04 12:30:45</t>
  </si>
  <si>
    <t>27794652283</t>
  </si>
  <si>
    <t>13555192</t>
  </si>
  <si>
    <t>227aa2fe-9e0c-461a-8bdd-0ee5cca2636c</t>
  </si>
  <si>
    <t>2026-03-04 12:30:44</t>
  </si>
  <si>
    <t>27649644658</t>
  </si>
  <si>
    <t>13561345</t>
  </si>
  <si>
    <t>d3b149c3-2113-49ff-ae37-00f8ec0c16e1</t>
  </si>
  <si>
    <t>2026-03-04 12:27:32</t>
  </si>
  <si>
    <t>27648769218</t>
  </si>
  <si>
    <t>13556738</t>
  </si>
  <si>
    <t>9d4a5d9a-fab0-44d1-94be-c9ac4becdb51</t>
  </si>
  <si>
    <t>2026-03-04 12:24:02</t>
  </si>
  <si>
    <t>27727002604</t>
  </si>
  <si>
    <t>13555371</t>
  </si>
  <si>
    <t>ccd43bc4-c270-4c08-82ef-08bebb7959e3</t>
  </si>
  <si>
    <t>2026-03-04 12:22:34</t>
  </si>
  <si>
    <t>27664122086</t>
  </si>
  <si>
    <t>13559209</t>
  </si>
  <si>
    <t>02a35447-3d4c-45a6-ba8c-e285924b56fe</t>
  </si>
  <si>
    <t>27824220801</t>
  </si>
  <si>
    <t>13562346</t>
  </si>
  <si>
    <t>668b63ce-4501-46f5-ae2a-5035ab68dd6f</t>
  </si>
  <si>
    <t>2026-03-04 12:22:05</t>
  </si>
  <si>
    <t>27791295629</t>
  </si>
  <si>
    <t>13562450</t>
  </si>
  <si>
    <t>e28706a1-5030-43b6-8d5d-efbfc440002d</t>
  </si>
  <si>
    <t>2026-03-04 12:18:40</t>
  </si>
  <si>
    <t>27674872244</t>
  </si>
  <si>
    <t>13563943</t>
  </si>
  <si>
    <t>b9280577-2679-4a00-934e-f108e87e3ba3</t>
  </si>
  <si>
    <t>2026-03-04 12:18:35</t>
  </si>
  <si>
    <t>27726564570</t>
  </si>
  <si>
    <t>13562479</t>
  </si>
  <si>
    <t>f96fe39b-77af-4385-8313-5024a0d6d30d</t>
  </si>
  <si>
    <t>2026-03-04 12:17:48</t>
  </si>
  <si>
    <t>27727955604</t>
  </si>
  <si>
    <t>13562455</t>
  </si>
  <si>
    <t>4cbd66d1-4a4d-4a8b-a616-8254db5dc3b2</t>
  </si>
  <si>
    <t>2026-03-04 12:16:36</t>
  </si>
  <si>
    <t>27674752358</t>
  </si>
  <si>
    <t>13555478</t>
  </si>
  <si>
    <t>c74ada85-500c-404c-af95-3b322a08dce8</t>
  </si>
  <si>
    <t>2026-03-04 12:15:35</t>
  </si>
  <si>
    <t>27673898821</t>
  </si>
  <si>
    <t>13555519</t>
  </si>
  <si>
    <t>fdc94867-5436-4142-8812-6e1a992c5ab7</t>
  </si>
  <si>
    <t>2026-03-04 12:15:33</t>
  </si>
  <si>
    <t>27711081288</t>
  </si>
  <si>
    <t>13562568</t>
  </si>
  <si>
    <t>15ef74b7-c453-4ef2-9f6a-eb21fef6c76b</t>
  </si>
  <si>
    <t>27724401623</t>
  </si>
  <si>
    <t>13555501</t>
  </si>
  <si>
    <t>898027ce-5ba0-430a-ab74-b0e844f48959</t>
  </si>
  <si>
    <t>2026-03-04 12:15:32</t>
  </si>
  <si>
    <t>27675427027</t>
  </si>
  <si>
    <t>13562798</t>
  </si>
  <si>
    <t>8827c33d-ceae-4b7a-9ecc-1e708bb75654</t>
  </si>
  <si>
    <t>2026-03-04 12:12:28</t>
  </si>
  <si>
    <t>27720305733</t>
  </si>
  <si>
    <t>13562750</t>
  </si>
  <si>
    <t>b3d13e9a-1c99-48fb-847a-e8b9c092f372</t>
  </si>
  <si>
    <t>2026-03-04 12:12:27</t>
  </si>
  <si>
    <t>27763946085</t>
  </si>
  <si>
    <t>13556807</t>
  </si>
  <si>
    <t>7f4fb89c-a3d6-4dc9-8b82-9646aa0a16a6</t>
  </si>
  <si>
    <t>2026-03-04 12:11:41</t>
  </si>
  <si>
    <t>27727685894</t>
  </si>
  <si>
    <t>13555648</t>
  </si>
  <si>
    <t>dd49c68b-0ceb-4879-af59-d2be5515aaea</t>
  </si>
  <si>
    <t>2026-03-04 12:10:43</t>
  </si>
  <si>
    <t>27712515299</t>
  </si>
  <si>
    <t>13562937</t>
  </si>
  <si>
    <t>cc7907e1-6a14-4e9a-a9c9-16df3755a3b1</t>
  </si>
  <si>
    <t>2026-03-04 12:10:40</t>
  </si>
  <si>
    <t>27639568562</t>
  </si>
  <si>
    <t>13562910</t>
  </si>
  <si>
    <t>ae515212-5fd7-4bbb-88c0-95f56b6e662e</t>
  </si>
  <si>
    <t>2026-03-04 12:09:42</t>
  </si>
  <si>
    <t>27760431037</t>
  </si>
  <si>
    <t>13562850</t>
  </si>
  <si>
    <t>aa078835-b41c-4926-a135-89f998f7725c</t>
  </si>
  <si>
    <t>2026-03-04 12:09:39</t>
  </si>
  <si>
    <t>27713873466</t>
  </si>
  <si>
    <t>13563081</t>
  </si>
  <si>
    <t>9d5278a3-f2c9-4a9b-b6b2-a1b3cc32981e</t>
  </si>
  <si>
    <t>2026-03-04 12:08:35</t>
  </si>
  <si>
    <t>27764183732</t>
  </si>
  <si>
    <t>13563086</t>
  </si>
  <si>
    <t>f14d8855-a663-4547-ab9f-1ce0afea279f</t>
  </si>
  <si>
    <t>2026-03-04 12:08:30</t>
  </si>
  <si>
    <t>27767031577</t>
  </si>
  <si>
    <t>13556701</t>
  </si>
  <si>
    <t>24b51fbd-388f-42f6-8115-d432ce0d345c</t>
  </si>
  <si>
    <t>2026-03-04 12:08:12</t>
  </si>
  <si>
    <t>27726665308</t>
  </si>
  <si>
    <t>13563185</t>
  </si>
  <si>
    <t>0ea3ee95-5264-4d4d-85f2-cd8b5cf03ad4</t>
  </si>
  <si>
    <t>2026-03-04 12:07:59</t>
  </si>
  <si>
    <t>27606606077</t>
  </si>
  <si>
    <t>13563252</t>
  </si>
  <si>
    <t>9d7e3aec-921b-491f-bc55-0a1bb5a8cd77</t>
  </si>
  <si>
    <t>2026-03-04 12:07:54</t>
  </si>
  <si>
    <t>27723592607</t>
  </si>
  <si>
    <t>13563299</t>
  </si>
  <si>
    <t>48ea59ac-2d09-4349-a2ec-bf3e406b510a</t>
  </si>
  <si>
    <t>2026-03-04 12:05:37</t>
  </si>
  <si>
    <t>27649113894</t>
  </si>
  <si>
    <t>13564380</t>
  </si>
  <si>
    <t>edf772ac-a332-473c-8bb4-c9371898a00b</t>
  </si>
  <si>
    <t>2026-03-04 12:04:44</t>
  </si>
  <si>
    <t>27764880020</t>
  </si>
  <si>
    <t>13563434</t>
  </si>
  <si>
    <t>2130205a-a3e0-4b44-98ea-58333d5661b7</t>
  </si>
  <si>
    <t>2026-03-04 12:04:33</t>
  </si>
  <si>
    <t>27765252525</t>
  </si>
  <si>
    <t>13563828</t>
  </si>
  <si>
    <t>7b4fd985-708b-419b-b0d6-dceb17cffc83</t>
  </si>
  <si>
    <t>2026-03-04 12:02:42</t>
  </si>
  <si>
    <t>27725139329</t>
  </si>
  <si>
    <t>13563656</t>
  </si>
  <si>
    <t>e50c4bf8-acaa-475c-a192-dd5c1123f1b0</t>
  </si>
  <si>
    <t>2026-03-04 12:02:33</t>
  </si>
  <si>
    <t>27723154042</t>
  </si>
  <si>
    <t>13563802</t>
  </si>
  <si>
    <t>286c6f52-6feb-48e9-b5ac-70ef5165d3ac</t>
  </si>
  <si>
    <t>2026-03-04 12:00:00</t>
  </si>
  <si>
    <t>27674772968</t>
  </si>
  <si>
    <t>13564121</t>
  </si>
  <si>
    <t>8f045b5a-a5fa-439c-bcd5-f0ab70c50317</t>
  </si>
  <si>
    <t>2026-03-04 11:59:36</t>
  </si>
  <si>
    <t>27721440765</t>
  </si>
  <si>
    <t>13564159</t>
  </si>
  <si>
    <t>c21bb7b7-865b-4331-bc43-0baca4cc9b8a</t>
  </si>
  <si>
    <t>2026-03-04 11:58:53</t>
  </si>
  <si>
    <t>27766306153</t>
  </si>
  <si>
    <t>13562539</t>
  </si>
  <si>
    <t>b32cffcc-7057-43c9-ac08-64af30a726bd</t>
  </si>
  <si>
    <t>2026-03-04 11:53:59</t>
  </si>
  <si>
    <t>27716297517</t>
  </si>
  <si>
    <t>13561489</t>
  </si>
  <si>
    <t>eb38fe9a-3d33-4aef-985b-c6f474debe9b</t>
  </si>
  <si>
    <t>2026-03-04 11:53:48</t>
  </si>
  <si>
    <t>27673178479</t>
  </si>
  <si>
    <t>13564394</t>
  </si>
  <si>
    <t>9a6f4f70-8b51-4041-9a67-1bdb0e6cf1e0</t>
  </si>
  <si>
    <t>2026-03-04 11:52:51</t>
  </si>
  <si>
    <t>27766224788</t>
  </si>
  <si>
    <t>13564386</t>
  </si>
  <si>
    <t>fd93c87e-baae-4b82-8476-837ff79cdb4f</t>
  </si>
  <si>
    <t>2026-03-04 11:52:47</t>
  </si>
  <si>
    <t>27763979709</t>
  </si>
  <si>
    <t>13564393</t>
  </si>
  <si>
    <t>6f40834f-e078-46b3-96d7-f42bf401261c</t>
  </si>
  <si>
    <t>27764945990</t>
  </si>
  <si>
    <t>13564627</t>
  </si>
  <si>
    <t>84ae5367-21a2-4a1b-9d45-aa88085aa66a</t>
  </si>
  <si>
    <t>2026-03-04 11:51:59</t>
  </si>
  <si>
    <t>27763009473</t>
  </si>
  <si>
    <t>13564864</t>
  </si>
  <si>
    <t>ff37156e-00c3-44f4-85b4-ebe728a7d953</t>
  </si>
  <si>
    <t>2026-03-04 11:51:53</t>
  </si>
  <si>
    <t>27608713599</t>
  </si>
  <si>
    <t>13564521</t>
  </si>
  <si>
    <t>5d7294f5-58e3-4d87-8e30-bd827884fc51</t>
  </si>
  <si>
    <t>2026-03-04 11:51:13</t>
  </si>
  <si>
    <t>27646393395</t>
  </si>
  <si>
    <t>13558171</t>
  </si>
  <si>
    <t>6a5e633f-e709-44ff-a2d7-a3e4673942c9</t>
  </si>
  <si>
    <t>2026-03-04 11:51:07</t>
  </si>
  <si>
    <t>27790922687</t>
  </si>
  <si>
    <t>13564676</t>
  </si>
  <si>
    <t>71fdf1d7-f103-472b-af41-3cc6992d3e85</t>
  </si>
  <si>
    <t>2026-03-04 11:49:51</t>
  </si>
  <si>
    <t>27713463244</t>
  </si>
  <si>
    <t>13564756</t>
  </si>
  <si>
    <t>0cf8a1cb-7a3b-4334-91d9-644daff23dcc</t>
  </si>
  <si>
    <t>2026-03-04 11:49:15</t>
  </si>
  <si>
    <t>27606904613</t>
  </si>
  <si>
    <t>13564781</t>
  </si>
  <si>
    <t>2f5df3ba-e71a-435f-b36e-88b27abffd4a</t>
  </si>
  <si>
    <t>27607358180</t>
  </si>
  <si>
    <t>13555061</t>
  </si>
  <si>
    <t>58debb36-7738-48a3-8c98-5eaefa8fd7b2</t>
  </si>
  <si>
    <t>2026-03-04 11:48:05</t>
  </si>
  <si>
    <t>27646711992</t>
  </si>
  <si>
    <t>13564768</t>
  </si>
  <si>
    <t>677463d8-dc5a-4939-9ff5-b1aef333aee2</t>
  </si>
  <si>
    <t>2026-03-04 11:48:03</t>
  </si>
  <si>
    <t>27607150157</t>
  </si>
  <si>
    <t>13556390</t>
  </si>
  <si>
    <t>d4fe19e2-8d56-42bb-8395-4a5868e7cd0a</t>
  </si>
  <si>
    <t>2026-03-04 11:47:46</t>
  </si>
  <si>
    <t>27723438388</t>
  </si>
  <si>
    <t>13563238</t>
  </si>
  <si>
    <t>33d2a2c4-a92e-4b6e-86b4-79ea199cb358</t>
  </si>
  <si>
    <t>2026-03-04 11:47:13</t>
  </si>
  <si>
    <t>27609876652</t>
  </si>
  <si>
    <t>13564825</t>
  </si>
  <si>
    <t>a2a806f0-3662-40a4-84da-e2d8cee3de74</t>
  </si>
  <si>
    <t>2026-03-04 11:47:09</t>
  </si>
  <si>
    <t>27608039052</t>
  </si>
  <si>
    <t>13563224</t>
  </si>
  <si>
    <t>9a4098e9-f47e-444b-a65f-778ff893bc3d</t>
  </si>
  <si>
    <t>2026-03-04 11:46:29</t>
  </si>
  <si>
    <t>27760601394</t>
  </si>
  <si>
    <t>13562106</t>
  </si>
  <si>
    <t>5823dd00-8329-4a7b-a6cb-5a61e20da043</t>
  </si>
  <si>
    <t>2026-03-04 11:46:22</t>
  </si>
  <si>
    <t>27760177710</t>
  </si>
  <si>
    <t>13561977</t>
  </si>
  <si>
    <t>77f1b2e7-7915-4bbc-8e81-d007ca5404ce</t>
  </si>
  <si>
    <t>2026-03-04 11:46:18</t>
  </si>
  <si>
    <t>27720381257</t>
  </si>
  <si>
    <t>13558034</t>
  </si>
  <si>
    <t>d605f9e8-46c8-49b6-b3ea-29a8e3eb955b</t>
  </si>
  <si>
    <t>2026-03-04 11:46:15</t>
  </si>
  <si>
    <t>27769956881</t>
  </si>
  <si>
    <t>13557158</t>
  </si>
  <si>
    <t>9857beff-eae2-4a82-8929-47b52eb718d9</t>
  </si>
  <si>
    <t>2026-03-04 11:45:31</t>
  </si>
  <si>
    <t>27760730489</t>
  </si>
  <si>
    <t>13556595</t>
  </si>
  <si>
    <t>fb34ba0f-9696-4309-8d9f-ca4a7d9195bc</t>
  </si>
  <si>
    <t>2026-03-04 11:45:29</t>
  </si>
  <si>
    <t>27725386063</t>
  </si>
  <si>
    <t>13562507</t>
  </si>
  <si>
    <t>807cc097-5c7f-47b0-b4ba-8692d2d56481</t>
  </si>
  <si>
    <t>2026-03-04 11:45:27</t>
  </si>
  <si>
    <t>27661462488</t>
  </si>
  <si>
    <t>13562433</t>
  </si>
  <si>
    <t>b7d02580-c12e-400a-9033-ef3e57691fbe</t>
  </si>
  <si>
    <t>2026-03-04 11:45:24</t>
  </si>
  <si>
    <t>27714992136</t>
  </si>
  <si>
    <t>13563894</t>
  </si>
  <si>
    <t>45415162-b538-4280-8440-6495d2d32056</t>
  </si>
  <si>
    <t>2026-03-04 11:45:19</t>
  </si>
  <si>
    <t>27765026828</t>
  </si>
  <si>
    <t>13555243</t>
  </si>
  <si>
    <t>f83aa4da-4dc2-4ae6-a6c5-00b64bc899e5</t>
  </si>
  <si>
    <t>2026-03-04 11:45:03</t>
  </si>
  <si>
    <t>27660517222</t>
  </si>
  <si>
    <t>13563298</t>
  </si>
  <si>
    <t>ea7dabf0-c815-4649-8fca-c757743661dd</t>
  </si>
  <si>
    <t>2026-03-04 11:44:49</t>
  </si>
  <si>
    <t>27665741874</t>
  </si>
  <si>
    <t>13559486</t>
  </si>
  <si>
    <t>9d953e39-43ae-4dfe-91f6-823c0c671239</t>
  </si>
  <si>
    <t>2026-03-04 11:44:24</t>
  </si>
  <si>
    <t>27827453805</t>
  </si>
  <si>
    <t>13562581</t>
  </si>
  <si>
    <t>cf8a38f4-174e-4b62-b771-e8a0cfe1671b</t>
  </si>
  <si>
    <t>27673249751</t>
  </si>
  <si>
    <t>13563139</t>
  </si>
  <si>
    <t>fd061876-b98d-4ff7-866b-65fb0d842268</t>
  </si>
  <si>
    <t>2026-03-04 11:44:17</t>
  </si>
  <si>
    <t>27720538468</t>
  </si>
  <si>
    <t>13564903</t>
  </si>
  <si>
    <t>5c358aa8-bbfc-43e9-9ffc-db0999f619d9</t>
  </si>
  <si>
    <t>2026-03-04 11:43:01</t>
  </si>
  <si>
    <t>27609397074</t>
  </si>
  <si>
    <t>13555269</t>
  </si>
  <si>
    <t>b1410dc4-0b9c-423b-890b-22cdc6cb6fd6</t>
  </si>
  <si>
    <t>2026-03-04 11:43:00</t>
  </si>
  <si>
    <t>27660933359</t>
  </si>
  <si>
    <t>13555881</t>
  </si>
  <si>
    <t>f479bbb8-3623-4915-8062-1c0b8ff7fd4d</t>
  </si>
  <si>
    <t>2026-03-04 11:42:59</t>
  </si>
  <si>
    <t>27715154514</t>
  </si>
  <si>
    <t>13555875</t>
  </si>
  <si>
    <t>a65e2f22-a9fd-4565-985d-198d6f3e5c61</t>
  </si>
  <si>
    <t>2026-03-04 11:42:52</t>
  </si>
  <si>
    <t>27715124360</t>
  </si>
  <si>
    <t>13556386</t>
  </si>
  <si>
    <t>5548885d-530e-4a18-8551-96d2e693859b</t>
  </si>
  <si>
    <t>2026-03-04 11:42:49</t>
  </si>
  <si>
    <t>27723394028</t>
  </si>
  <si>
    <t>13556296</t>
  </si>
  <si>
    <t>fe29bed5-3fcd-4144-b301-7e8da2a2059c</t>
  </si>
  <si>
    <t>2026-03-04 11:42:19</t>
  </si>
  <si>
    <t>27722334557</t>
  </si>
  <si>
    <t>13556297</t>
  </si>
  <si>
    <t>72254a94-b6da-4c29-a300-dfb595ae0bec</t>
  </si>
  <si>
    <t>2026-03-04 11:42:18</t>
  </si>
  <si>
    <t>27722372241</t>
  </si>
  <si>
    <t>13557874</t>
  </si>
  <si>
    <t>d83248ef-8b99-45c2-b113-03a05823ba4f</t>
  </si>
  <si>
    <t>2026-03-04 11:41:57</t>
  </si>
  <si>
    <t>27768209571</t>
  </si>
  <si>
    <t>13555259</t>
  </si>
  <si>
    <t>311c12a0-2462-4dbd-8e4e-1988e1ece60e</t>
  </si>
  <si>
    <t>2026-03-04 11:41:21</t>
  </si>
  <si>
    <t>27660775046</t>
  </si>
  <si>
    <t>13554970</t>
  </si>
  <si>
    <t>ae2e563f-036c-4bef-8269-33f999ac712b</t>
  </si>
  <si>
    <t>2026-03-04 11:41:19</t>
  </si>
  <si>
    <t>27636505769</t>
  </si>
  <si>
    <t>13559531</t>
  </si>
  <si>
    <t>c33472aa-5a9c-4387-8760-c187321e7c22</t>
  </si>
  <si>
    <t>2026-03-04 11:41:14</t>
  </si>
  <si>
    <t>27828110589</t>
  </si>
  <si>
    <t>13559535</t>
  </si>
  <si>
    <t>f35f79e0-eeac-428a-ba09-4b920f911164</t>
  </si>
  <si>
    <t>27828143987</t>
  </si>
  <si>
    <t>13556229</t>
  </si>
  <si>
    <t>16619a8e-e7ec-44cc-84bc-45714a7d8ddd</t>
  </si>
  <si>
    <t>2026-03-04 11:41:03</t>
  </si>
  <si>
    <t>27721816105</t>
  </si>
  <si>
    <t>13560974</t>
  </si>
  <si>
    <t>8a7119f5-cd5f-44e3-a1ee-6bd2fb656181</t>
  </si>
  <si>
    <t>27769794511</t>
  </si>
  <si>
    <t>13562352</t>
  </si>
  <si>
    <t>7e25d7d4-7bfa-4014-b291-11d647e4f1f6</t>
  </si>
  <si>
    <t>2026-03-04 11:40:58</t>
  </si>
  <si>
    <t>27735264938</t>
  </si>
  <si>
    <t>13554988</t>
  </si>
  <si>
    <t>c3a2f581-2ab1-4f99-94d2-0b58bab81dea</t>
  </si>
  <si>
    <t>2026-03-04 11:39:54</t>
  </si>
  <si>
    <t>27636793292</t>
  </si>
  <si>
    <t>13557470</t>
  </si>
  <si>
    <t>557c3445-a3f4-4ad0-a89d-64ee2eb0f11d</t>
  </si>
  <si>
    <t>2026-03-04 11:39:51</t>
  </si>
  <si>
    <t>27764156627</t>
  </si>
  <si>
    <t>13556220</t>
  </si>
  <si>
    <t>ed0a6587-baa5-4ccd-b8d8-4d67c7cd7e66</t>
  </si>
  <si>
    <t>2026-03-04 11:39:50</t>
  </si>
  <si>
    <t>27721757677</t>
  </si>
  <si>
    <t>13556065</t>
  </si>
  <si>
    <t>dde36805-c90b-4c6e-823a-bb666c006a10</t>
  </si>
  <si>
    <t>2026-03-04 11:39:47</t>
  </si>
  <si>
    <t>27720477014</t>
  </si>
  <si>
    <t>13556678</t>
  </si>
  <si>
    <t>cbf94677-3967-4019-b6e5-a5e485180a3b</t>
  </si>
  <si>
    <t>2026-03-04 11:39:17</t>
  </si>
  <si>
    <t>27726471514</t>
  </si>
  <si>
    <t>13560014</t>
  </si>
  <si>
    <t>45b22e8a-be3b-408c-9713-c2b09be0be3e</t>
  </si>
  <si>
    <t>2026-03-04 11:38:59</t>
  </si>
  <si>
    <t>27764217684</t>
  </si>
  <si>
    <t>13556066</t>
  </si>
  <si>
    <t>762efdae-0802-4305-867c-e6987f291e66</t>
  </si>
  <si>
    <t>2026-03-04 11:38:08</t>
  </si>
  <si>
    <t>27720479506</t>
  </si>
  <si>
    <t>13555852</t>
  </si>
  <si>
    <t>d26fb479-b4ba-412a-9933-a2cebbdaa81d</t>
  </si>
  <si>
    <t>2026-03-04 11:38:07</t>
  </si>
  <si>
    <t>27714928119</t>
  </si>
  <si>
    <t>13560117</t>
  </si>
  <si>
    <t>7901aa47-c8b4-4789-b485-b1a98c9ad675</t>
  </si>
  <si>
    <t>2026-03-04 11:38:06</t>
  </si>
  <si>
    <t>27674718234</t>
  </si>
  <si>
    <t>13557166</t>
  </si>
  <si>
    <t>c4d261a9-6bcc-45af-87b8-4a7e4f2ebd04</t>
  </si>
  <si>
    <t>2026-03-04 11:37:38</t>
  </si>
  <si>
    <t>27760831749</t>
  </si>
  <si>
    <t>13556673</t>
  </si>
  <si>
    <t>e9cb0ca7-5880-4754-bdcf-69ee8da8d0e3</t>
  </si>
  <si>
    <t>2026-03-04 11:36:59</t>
  </si>
  <si>
    <t>27726404725</t>
  </si>
  <si>
    <t>13556801</t>
  </si>
  <si>
    <t>9ec71296-c91b-4717-9806-2b270f9a71b2</t>
  </si>
  <si>
    <t>2026-03-04 11:36:20</t>
  </si>
  <si>
    <t>27727614354</t>
  </si>
  <si>
    <t>13561131</t>
  </si>
  <si>
    <t>04c65d54-bd1e-4652-ba68-e35f77dc38e3</t>
  </si>
  <si>
    <t>2026-03-04 11:36:11</t>
  </si>
  <si>
    <t>27721936858</t>
  </si>
  <si>
    <t>13559533</t>
  </si>
  <si>
    <t>845e35a3-1ac5-46dd-b9dc-0d331f241f2c</t>
  </si>
  <si>
    <t>2026-03-04 11:36:10</t>
  </si>
  <si>
    <t>27828132737</t>
  </si>
  <si>
    <t>13561371</t>
  </si>
  <si>
    <t>de9d9f41-dbb4-4f7f-96be-257d2aed0f1d</t>
  </si>
  <si>
    <t>2026-03-04 11:36:08</t>
  </si>
  <si>
    <t>27665727484</t>
  </si>
  <si>
    <t>13560954</t>
  </si>
  <si>
    <t>675ebd9e-f862-4b3a-afe9-a6fc07dff0fd</t>
  </si>
  <si>
    <t>2026-03-04 11:36:05</t>
  </si>
  <si>
    <t>27729247149</t>
  </si>
  <si>
    <t>13560283</t>
  </si>
  <si>
    <t>98ac4aaf-625a-4044-b805-c6095f0a3ea4</t>
  </si>
  <si>
    <t>2026-03-04 11:35:53</t>
  </si>
  <si>
    <t>27729809195</t>
  </si>
  <si>
    <t>13563850</t>
  </si>
  <si>
    <t>e8f09cde-28a8-47fe-bb1f-15b08b9cc0e6</t>
  </si>
  <si>
    <t>2026-03-04 11:35:50</t>
  </si>
  <si>
    <t>27646489735</t>
  </si>
  <si>
    <t>13556293</t>
  </si>
  <si>
    <t>c7d321b3-877a-4bf7-9eea-282d77f8763d</t>
  </si>
  <si>
    <t>2026-03-04 11:35:44</t>
  </si>
  <si>
    <t>27722304485</t>
  </si>
  <si>
    <t>13558073</t>
  </si>
  <si>
    <t>1342f1a8-e5ef-4ba0-8314-64c6e2a97d86</t>
  </si>
  <si>
    <t>2026-03-04 11:35:40</t>
  </si>
  <si>
    <t>27782922907</t>
  </si>
  <si>
    <t>13560255</t>
  </si>
  <si>
    <t>ff50b813-b083-4d50-a12d-450d0b1a7a90</t>
  </si>
  <si>
    <t>2026-03-04 11:33:47</t>
  </si>
  <si>
    <t>27725354905</t>
  </si>
  <si>
    <t>13560279</t>
  </si>
  <si>
    <t>b0b63eca-712d-43bd-9a8d-4955292a32f8</t>
  </si>
  <si>
    <t>2026-03-04 11:33:46</t>
  </si>
  <si>
    <t>27673850341</t>
  </si>
  <si>
    <t>13556270</t>
  </si>
  <si>
    <t>cc2a6c2d-453b-4f19-914e-0129ea85b195</t>
  </si>
  <si>
    <t>2026-03-04 11:33:18</t>
  </si>
  <si>
    <t>27722157719</t>
  </si>
  <si>
    <t>13556543</t>
  </si>
  <si>
    <t>5e791506-cee0-4510-a46f-1383366bc641</t>
  </si>
  <si>
    <t>2026-03-04 11:33:13</t>
  </si>
  <si>
    <t>27724880359</t>
  </si>
  <si>
    <t>13556560</t>
  </si>
  <si>
    <t>7b52030a-0482-4c4a-b912-90052e39333a</t>
  </si>
  <si>
    <t>2026-03-04 11:33:00</t>
  </si>
  <si>
    <t>27725051795</t>
  </si>
  <si>
    <t>13558452</t>
  </si>
  <si>
    <t>8773fef9-3242-4186-a39b-eef3c71129d9</t>
  </si>
  <si>
    <t>2026-03-04 11:31:00</t>
  </si>
  <si>
    <t>27794194523</t>
  </si>
  <si>
    <t>13558468</t>
  </si>
  <si>
    <t>47b96ac3-bdd6-4a68-8077-fd85f534cff2</t>
  </si>
  <si>
    <t>2026-03-04 11:30:54</t>
  </si>
  <si>
    <t>27794358713</t>
  </si>
  <si>
    <t>13558474</t>
  </si>
  <si>
    <t>fabdff57-dd72-482f-b0b3-bc747f002af2</t>
  </si>
  <si>
    <t>27794405386</t>
  </si>
  <si>
    <t>13556406</t>
  </si>
  <si>
    <t>c0dcf3b0-8d42-4577-a1a6-c49443e16508</t>
  </si>
  <si>
    <t>2026-03-04 11:30:00</t>
  </si>
  <si>
    <t>27723557293</t>
  </si>
  <si>
    <t>13556948</t>
  </si>
  <si>
    <t>cb159b2c-ec2a-4a4d-a841-84258eeeba4c</t>
  </si>
  <si>
    <t>2026-03-04 11:29:19</t>
  </si>
  <si>
    <t>27728903833</t>
  </si>
  <si>
    <t>13560222</t>
  </si>
  <si>
    <t>9526f9a7-7e49-4c5e-a664-b67915b22260</t>
  </si>
  <si>
    <t>2026-03-04 11:28:52</t>
  </si>
  <si>
    <t>27769174675</t>
  </si>
  <si>
    <t>13556075</t>
  </si>
  <si>
    <t>708074a7-b362-4a95-811f-3227246c7a29</t>
  </si>
  <si>
    <t>2026-03-04 11:28:45</t>
  </si>
  <si>
    <t>27720552506</t>
  </si>
  <si>
    <t>13555833</t>
  </si>
  <si>
    <t>9457fa39-2cbe-4c18-8836-9aa5cc6b6780</t>
  </si>
  <si>
    <t>2026-03-04 11:28:33</t>
  </si>
  <si>
    <t>27714549142</t>
  </si>
  <si>
    <t>13555017</t>
  </si>
  <si>
    <t>fda9769f-df2e-47c8-b7ab-8884a015a149</t>
  </si>
  <si>
    <t>2026-03-04 11:28:20</t>
  </si>
  <si>
    <t>27637867311</t>
  </si>
  <si>
    <t>13555831</t>
  </si>
  <si>
    <t>d358662e-aa55-44ed-bcfe-6a8711416ef6</t>
  </si>
  <si>
    <t>2026-03-04 11:27:44</t>
  </si>
  <si>
    <t>27714508946</t>
  </si>
  <si>
    <t>13559935</t>
  </si>
  <si>
    <t>8d8bb84e-5f29-48f4-a329-a29feff1f3dc</t>
  </si>
  <si>
    <t>2026-03-04 11:26:28</t>
  </si>
  <si>
    <t>27799391685</t>
  </si>
  <si>
    <t>13563754</t>
  </si>
  <si>
    <t>0f546d15-e2df-4cad-a01c-5f3b1bdfd3bc</t>
  </si>
  <si>
    <t>2026-03-04 11:25:48</t>
  </si>
  <si>
    <t>27764265830</t>
  </si>
  <si>
    <t>13560262</t>
  </si>
  <si>
    <t>83c1be12-9229-4fef-a992-05955f844d77</t>
  </si>
  <si>
    <t>2026-03-04 11:25:10</t>
  </si>
  <si>
    <t>27796318942</t>
  </si>
  <si>
    <t>13561062</t>
  </si>
  <si>
    <t>7393f762-f439-4912-a04b-875e9d0e22e1</t>
  </si>
  <si>
    <t>2026-03-04 11:24:50</t>
  </si>
  <si>
    <t>27827121998</t>
  </si>
  <si>
    <t>13564413</t>
  </si>
  <si>
    <t>37f7e4aa-4cf0-43d0-a033-e33acd4d72f7</t>
  </si>
  <si>
    <t>2026-03-04 11:24:35</t>
  </si>
  <si>
    <t>27647097813</t>
  </si>
  <si>
    <t>13556312</t>
  </si>
  <si>
    <t>96bb9d02-8407-46a3-863a-3a2930a46171</t>
  </si>
  <si>
    <t>2026-03-04 11:24:08</t>
  </si>
  <si>
    <t>27722598784</t>
  </si>
  <si>
    <t>13556026</t>
  </si>
  <si>
    <t>b52cd334-c200-4b9c-8e4c-8c321980d485</t>
  </si>
  <si>
    <t>2026-03-04 11:21:59</t>
  </si>
  <si>
    <t>27716837628</t>
  </si>
  <si>
    <t>13556035</t>
  </si>
  <si>
    <t>94586a82-e6f4-4e1f-b04f-67e9b24c5355</t>
  </si>
  <si>
    <t>2026-03-04 11:21:53</t>
  </si>
  <si>
    <t>27719419101</t>
  </si>
  <si>
    <t>13563468</t>
  </si>
  <si>
    <t>05236ca9-22c9-4dbd-8baa-947cf35dc305</t>
  </si>
  <si>
    <t>2026-03-04 11:21:11</t>
  </si>
  <si>
    <t>27648381589</t>
  </si>
  <si>
    <t>13560371</t>
  </si>
  <si>
    <t>7e31535b-2781-4bd0-9136-348c80b6d3ab</t>
  </si>
  <si>
    <t>2026-03-04 11:21:08</t>
  </si>
  <si>
    <t>27762965036</t>
  </si>
  <si>
    <t>13564037</t>
  </si>
  <si>
    <t>55395ee5-f30e-487f-ac1e-01687e10f6e7</t>
  </si>
  <si>
    <t>2026-03-04 11:21:07</t>
  </si>
  <si>
    <t>27790755903</t>
  </si>
  <si>
    <t>13556383</t>
  </si>
  <si>
    <t>26251d1c-045b-419a-9a4f-074b188ed33f</t>
  </si>
  <si>
    <t>2026-03-04 11:20:35</t>
  </si>
  <si>
    <t>27723377988</t>
  </si>
  <si>
    <t>13558718</t>
  </si>
  <si>
    <t>17d316a9-63c5-43f1-83e2-9d5af227bed6</t>
  </si>
  <si>
    <t>2026-03-04 11:19:03</t>
  </si>
  <si>
    <t>27797301806</t>
  </si>
  <si>
    <t>13558731</t>
  </si>
  <si>
    <t>e5a13fe2-e154-4148-8e09-60c9c994ad20</t>
  </si>
  <si>
    <t>27797525049</t>
  </si>
  <si>
    <t>13561907</t>
  </si>
  <si>
    <t>ae48303d-2017-43e6-aae2-a7bf62a7cd37</t>
  </si>
  <si>
    <t>2026-03-04 11:18:59</t>
  </si>
  <si>
    <t>27713904233</t>
  </si>
  <si>
    <t>13561914</t>
  </si>
  <si>
    <t>b1eadfb7-c1bc-4f30-8ce5-976516789ebf</t>
  </si>
  <si>
    <t>2026-03-04 11:18:56</t>
  </si>
  <si>
    <t>27766997841</t>
  </si>
  <si>
    <t>13556160</t>
  </si>
  <si>
    <t>e1fa2a62-c58c-49a4-aa1d-3ef7ebbd8964</t>
  </si>
  <si>
    <t>2026-03-04 11:17:50</t>
  </si>
  <si>
    <t>27721167594</t>
  </si>
  <si>
    <t>13560131</t>
  </si>
  <si>
    <t>f9e3b9de-8bc3-4984-bf02-d7e803ccc6c9</t>
  </si>
  <si>
    <t>2026-03-04 11:17:06</t>
  </si>
  <si>
    <t>27767722464</t>
  </si>
  <si>
    <t>13560243</t>
  </si>
  <si>
    <t>5a9b3fba-b199-4f46-89e1-962cc8cc494c</t>
  </si>
  <si>
    <t>2026-03-04 11:16:57</t>
  </si>
  <si>
    <t>27829452952</t>
  </si>
  <si>
    <t>13560312</t>
  </si>
  <si>
    <t>a0154b64-4227-4c82-ae76-57d07b69fbf2</t>
  </si>
  <si>
    <t>2026-03-04 11:13:49</t>
  </si>
  <si>
    <t>27715541286</t>
  </si>
  <si>
    <t>13561467</t>
  </si>
  <si>
    <t>4b9a4648-5dd6-41f9-9e7e-96304425b2ee</t>
  </si>
  <si>
    <t>2026-03-04 11:12:20</t>
  </si>
  <si>
    <t>27665405690</t>
  </si>
  <si>
    <t>13558472</t>
  </si>
  <si>
    <t>55ff28f0-7e91-4ef6-a400-18d4c9b83b96</t>
  </si>
  <si>
    <t>2026-03-04 11:10:59</t>
  </si>
  <si>
    <t>27794402538</t>
  </si>
  <si>
    <t>13562358</t>
  </si>
  <si>
    <t>ea559881-6f12-4a27-aef8-c27a0280c0a0</t>
  </si>
  <si>
    <t>2026-03-04 11:07:27</t>
  </si>
  <si>
    <t>27766892450</t>
  </si>
  <si>
    <t>13562969</t>
  </si>
  <si>
    <t>c5bcd50e-4fee-404e-9976-beaa338e01fa</t>
  </si>
  <si>
    <t>2026-03-04 11:02:23</t>
  </si>
  <si>
    <t>27715189956</t>
  </si>
  <si>
    <t>13560261</t>
  </si>
  <si>
    <t>b09eb440-a922-42b6-bf86-388816d8f0bf</t>
  </si>
  <si>
    <t>2026-03-04 11:00:56</t>
  </si>
  <si>
    <t>27716782913</t>
  </si>
  <si>
    <t>13560135</t>
  </si>
  <si>
    <t>fd3e7fef-abff-4587-9ccc-cce5a555d6ff</t>
  </si>
  <si>
    <t>2026-03-04 10:57:03</t>
  </si>
  <si>
    <t>27762466575</t>
  </si>
  <si>
    <t>13555975</t>
  </si>
  <si>
    <t>372871a1-2039-4663-a743-65eb8323b827</t>
  </si>
  <si>
    <t>2026-03-04 10:48:10</t>
  </si>
  <si>
    <t>27715916718</t>
  </si>
  <si>
    <t>13555080</t>
  </si>
  <si>
    <t>74b6b9cf-ea8a-470b-abcd-883b15322383</t>
  </si>
  <si>
    <t>2026-03-04 10:47:55</t>
  </si>
  <si>
    <t>27647068936</t>
  </si>
  <si>
    <t>13561447</t>
  </si>
  <si>
    <t>8ba80d7f-b5bf-45c6-a4a5-d205b4b75790</t>
  </si>
  <si>
    <t>2026-03-04 10:47:40</t>
  </si>
  <si>
    <t>27673982067</t>
  </si>
  <si>
    <t>13556665</t>
  </si>
  <si>
    <t>1fbbc70f-29fb-4582-9db0-0894657d31fe</t>
  </si>
  <si>
    <t>2026-03-04 10:46:40</t>
  </si>
  <si>
    <t>27726195175</t>
  </si>
  <si>
    <t>13561387</t>
  </si>
  <si>
    <t>87d02946-7a66-42ad-8ed0-b7c7fd98bb76</t>
  </si>
  <si>
    <t>2026-03-04 10:45:55</t>
  </si>
  <si>
    <t>27663523717</t>
  </si>
  <si>
    <t>13556880</t>
  </si>
  <si>
    <t>b1397c4c-4b3f-40e0-afce-6f461620a876</t>
  </si>
  <si>
    <t>2026-03-04 10:45:51</t>
  </si>
  <si>
    <t>27728256503</t>
  </si>
  <si>
    <t>13560271</t>
  </si>
  <si>
    <t>f95fbc07-306d-4a53-9f55-8039502cca66</t>
  </si>
  <si>
    <t>2026-03-04 10:45:03</t>
  </si>
  <si>
    <t>27729440968</t>
  </si>
  <si>
    <t>13560270</t>
  </si>
  <si>
    <t>2f154d97-3ecb-45c0-b519-acb5582a8bf7</t>
  </si>
  <si>
    <t>2026-03-04 10:44:54</t>
  </si>
  <si>
    <t>27726129115</t>
  </si>
  <si>
    <t>13559990</t>
  </si>
  <si>
    <t>cd0913f8-6861-49c0-af58-aff9a477ba6f</t>
  </si>
  <si>
    <t>2026-03-04 10:43:15</t>
  </si>
  <si>
    <t>27799793277</t>
  </si>
  <si>
    <t>13557004</t>
  </si>
  <si>
    <t>c9e03585-8ce1-4c03-822c-d8bc303a82d5</t>
  </si>
  <si>
    <t>2026-03-04 10:42:10</t>
  </si>
  <si>
    <t>27729499678</t>
  </si>
  <si>
    <t>13557005</t>
  </si>
  <si>
    <t>356f275f-b9a6-4c49-be31-57ee65e0ae76</t>
  </si>
  <si>
    <t>2026-03-04 10:42:09</t>
  </si>
  <si>
    <t>27729502730</t>
  </si>
  <si>
    <t>13560822</t>
  </si>
  <si>
    <t>e6fa8e9c-049c-4ac7-994b-902c81df4c66</t>
  </si>
  <si>
    <t>27790452738</t>
  </si>
  <si>
    <t>13557009</t>
  </si>
  <si>
    <t>6e393906-16ba-4782-9365-afc26b44263c</t>
  </si>
  <si>
    <t>2026-03-04 10:41:56</t>
  </si>
  <si>
    <t>27729516189</t>
  </si>
  <si>
    <t>13557397</t>
  </si>
  <si>
    <t>77fbf38f-bcd5-449f-bc15-2c49c2178f8e</t>
  </si>
  <si>
    <t>2026-03-04 10:41:22</t>
  </si>
  <si>
    <t>27763173079</t>
  </si>
  <si>
    <t>13564928</t>
  </si>
  <si>
    <t>675f03dc-32e9-4cc3-83f1-aa1566771f99</t>
  </si>
  <si>
    <t>2026-03-04 10:40:51</t>
  </si>
  <si>
    <t>27614644021</t>
  </si>
  <si>
    <t>13560968</t>
  </si>
  <si>
    <t>d67919fd-0a5e-47bc-a05e-adde8a85aa2a</t>
  </si>
  <si>
    <t>2026-03-04 10:40:17</t>
  </si>
  <si>
    <t>27663879519</t>
  </si>
  <si>
    <t>13557360</t>
  </si>
  <si>
    <t>f2b0ad23-02c0-4162-8e4b-87bd0dccbe78</t>
  </si>
  <si>
    <t>2026-03-04 10:38:33</t>
  </si>
  <si>
    <t>27762913349</t>
  </si>
  <si>
    <t>13556936</t>
  </si>
  <si>
    <t>57a7efab-d38d-41c4-b78e-5f8821e27c67</t>
  </si>
  <si>
    <t>2026-03-04 10:37:43</t>
  </si>
  <si>
    <t>27728802182</t>
  </si>
  <si>
    <t>13557201</t>
  </si>
  <si>
    <t>fa54fbbc-ffb6-4a87-8a6c-b37a0a4a5bdc</t>
  </si>
  <si>
    <t>2026-03-04 10:37:15</t>
  </si>
  <si>
    <t>27761198192</t>
  </si>
  <si>
    <t>13556971</t>
  </si>
  <si>
    <t>46148369-b85e-4c6a-a12f-dc37373a533d</t>
  </si>
  <si>
    <t>2026-03-04 10:37:04</t>
  </si>
  <si>
    <t>27729116879</t>
  </si>
  <si>
    <t>13557687</t>
  </si>
  <si>
    <t>909607d4-7446-48d2-8638-0bb02f89c209</t>
  </si>
  <si>
    <t>2026-03-04 10:36:30</t>
  </si>
  <si>
    <t>27766395717</t>
  </si>
  <si>
    <t>13556998</t>
  </si>
  <si>
    <t>6102e12a-5e75-4052-934d-cee002f5865b</t>
  </si>
  <si>
    <t>2026-03-04 10:35:47</t>
  </si>
  <si>
    <t>27729346465</t>
  </si>
  <si>
    <t>13557398</t>
  </si>
  <si>
    <t>ddf52cae-c083-40a4-8bfb-422be6406887</t>
  </si>
  <si>
    <t>2026-03-04 10:35:40</t>
  </si>
  <si>
    <t>27763189432</t>
  </si>
  <si>
    <t>13556412</t>
  </si>
  <si>
    <t>3c27f73a-d1f0-4d17-ba11-509993570a4c</t>
  </si>
  <si>
    <t>2026-03-04 10:35:11</t>
  </si>
  <si>
    <t>27723609119</t>
  </si>
  <si>
    <t>13556408</t>
  </si>
  <si>
    <t>baff5d51-c204-42ae-8273-f29a1866b608</t>
  </si>
  <si>
    <t>2026-03-04 10:35:02</t>
  </si>
  <si>
    <t>27723569338</t>
  </si>
  <si>
    <t>13556411</t>
  </si>
  <si>
    <t>f326e98c-6bdf-4096-93ca-84bbf47182b9</t>
  </si>
  <si>
    <t>2026-03-04 10:34:34</t>
  </si>
  <si>
    <t>27723605478</t>
  </si>
  <si>
    <t>13556418</t>
  </si>
  <si>
    <t>55d51601-ebe1-4109-ac74-7282b5a7f208</t>
  </si>
  <si>
    <t>2026-03-04 10:34:32</t>
  </si>
  <si>
    <t>27723665858</t>
  </si>
  <si>
    <t>13556421</t>
  </si>
  <si>
    <t>ceba7480-76b0-4f5b-a437-de802cc13f4b</t>
  </si>
  <si>
    <t>27723686993</t>
  </si>
  <si>
    <t>13559201</t>
  </si>
  <si>
    <t>60dfdcc0-96bb-434b-b43a-a23f436c624d</t>
  </si>
  <si>
    <t>2026-03-04 10:33:34</t>
  </si>
  <si>
    <t>27824088433</t>
  </si>
  <si>
    <t>13559290</t>
  </si>
  <si>
    <t>1bc7b106-f364-4cb1-8cff-9ed3eba3ca15</t>
  </si>
  <si>
    <t>2026-03-04 10:33:21</t>
  </si>
  <si>
    <t>27825129270</t>
  </si>
  <si>
    <t>13559330</t>
  </si>
  <si>
    <t>927a1940-0555-480b-ac00-031a6ae620c9</t>
  </si>
  <si>
    <t>2026-03-04 10:33:18</t>
  </si>
  <si>
    <t>27825495255</t>
  </si>
  <si>
    <t>13558291</t>
  </si>
  <si>
    <t>c5c9319d-fb27-45d7-83ad-8451383b1219</t>
  </si>
  <si>
    <t>2026-03-04 10:32:02</t>
  </si>
  <si>
    <t>27792378078</t>
  </si>
  <si>
    <t>13559677</t>
  </si>
  <si>
    <t>65830810-b32f-4dfc-975b-183c317f9c71</t>
  </si>
  <si>
    <t>2026-03-04 10:32:01</t>
  </si>
  <si>
    <t>27843220027</t>
  </si>
  <si>
    <t>13559679</t>
  </si>
  <si>
    <t>60e502ac-f494-459c-8a92-cf2e5f149103</t>
  </si>
  <si>
    <t>27844544983</t>
  </si>
  <si>
    <t>13558305</t>
  </si>
  <si>
    <t>6488dfa0-8070-4b15-805b-7b89954311a9</t>
  </si>
  <si>
    <t>2026-03-04 10:31:59</t>
  </si>
  <si>
    <t>27792556641</t>
  </si>
  <si>
    <t>13556548</t>
  </si>
  <si>
    <t>2e56e0f4-9441-4138-9c62-d7ebc4981c18</t>
  </si>
  <si>
    <t>2026-03-04 10:31:13</t>
  </si>
  <si>
    <t>27724943805</t>
  </si>
  <si>
    <t>13560360</t>
  </si>
  <si>
    <t>7ad537d8-20b5-4882-95e6-6c909612f8ac</t>
  </si>
  <si>
    <t>27672764983</t>
  </si>
  <si>
    <t>13559026</t>
  </si>
  <si>
    <t>31f5b42b-2afb-4bdf-a68d-27fc6a8d7a87</t>
  </si>
  <si>
    <t>2026-03-04 10:30:55</t>
  </si>
  <si>
    <t>27820707106</t>
  </si>
  <si>
    <t>13559047</t>
  </si>
  <si>
    <t>6287ec1a-7aae-472e-b0e3-5364364ad6e1</t>
  </si>
  <si>
    <t>2026-03-04 10:30:53</t>
  </si>
  <si>
    <t>27820985484</t>
  </si>
  <si>
    <t>13556829</t>
  </si>
  <si>
    <t>6021f9ae-9d95-40a0-8605-9a32564618de</t>
  </si>
  <si>
    <t>2026-03-04 10:30:04</t>
  </si>
  <si>
    <t>27727852092</t>
  </si>
  <si>
    <t>13559584</t>
  </si>
  <si>
    <t>69ff5f0f-ee97-43ae-859a-c9716025d7d1</t>
  </si>
  <si>
    <t>2026-03-04 10:29:36</t>
  </si>
  <si>
    <t>27828889096</t>
  </si>
  <si>
    <t>13559588</t>
  </si>
  <si>
    <t>299f3082-a9fc-4d59-a2ce-652f0d6fad59</t>
  </si>
  <si>
    <t>2026-03-04 10:29:33</t>
  </si>
  <si>
    <t>27829200465</t>
  </si>
  <si>
    <t>13558079</t>
  </si>
  <si>
    <t>3d6ca9c5-b65f-4fe3-a459-da383c25bdef</t>
  </si>
  <si>
    <t>2026-03-04 10:29:25</t>
  </si>
  <si>
    <t>27784290218</t>
  </si>
  <si>
    <t>13559590</t>
  </si>
  <si>
    <t>5f16903a-332f-4243-8ae1-10aa91289f1f</t>
  </si>
  <si>
    <t>2026-03-04 10:29:06</t>
  </si>
  <si>
    <t>27829234332</t>
  </si>
  <si>
    <t>13559591</t>
  </si>
  <si>
    <t>46e935f4-6b6e-4591-a7de-af8807951bb5</t>
  </si>
  <si>
    <t>2026-03-04 10:28:59</t>
  </si>
  <si>
    <t>27829235460</t>
  </si>
  <si>
    <t>13558086</t>
  </si>
  <si>
    <t>4a56330d-6e9b-4ebb-a5b4-6ebdbb33fc27</t>
  </si>
  <si>
    <t>2026-03-04 10:28:53</t>
  </si>
  <si>
    <t>27786433791</t>
  </si>
  <si>
    <t>13559602</t>
  </si>
  <si>
    <t>2b6c5d91-2042-4f64-a650-deb2903c19fd</t>
  </si>
  <si>
    <t>2026-03-04 10:28:51</t>
  </si>
  <si>
    <t>27829364361</t>
  </si>
  <si>
    <t>13558296</t>
  </si>
  <si>
    <t>1997acb2-88c7-4f6f-8e6e-5f98f4bf8af0</t>
  </si>
  <si>
    <t>2026-03-04 10:28:48</t>
  </si>
  <si>
    <t>27792419992</t>
  </si>
  <si>
    <t>13560378</t>
  </si>
  <si>
    <t>58155ced-006e-4f51-b725-bfc39c8b3e7c</t>
  </si>
  <si>
    <t>27768167879</t>
  </si>
  <si>
    <t>13559619</t>
  </si>
  <si>
    <t>7d9d38b2-e6bb-4873-8ca4-a093116cd9b5</t>
  </si>
  <si>
    <t>2026-03-04 10:27:50</t>
  </si>
  <si>
    <t>27829650878</t>
  </si>
  <si>
    <t>13556642</t>
  </si>
  <si>
    <t>5761759f-d7a3-4584-aee2-3d929f9c859f</t>
  </si>
  <si>
    <t>2026-03-04 10:27:49</t>
  </si>
  <si>
    <t>27725876321</t>
  </si>
  <si>
    <t>13559621</t>
  </si>
  <si>
    <t>fa4d6d88-cc68-4558-a94e-f8b7cee0292b</t>
  </si>
  <si>
    <t>2026-03-04 10:27:48</t>
  </si>
  <si>
    <t>27829672649</t>
  </si>
  <si>
    <t>13562216</t>
  </si>
  <si>
    <t>14b478cf-5d22-4172-89a2-732453a435ac</t>
  </si>
  <si>
    <t>2026-03-04 10:27:22</t>
  </si>
  <si>
    <t>27607078626</t>
  </si>
  <si>
    <t>13557882</t>
  </si>
  <si>
    <t>4283b566-bfa3-485d-bfa9-3abe1b7c0f48</t>
  </si>
  <si>
    <t>2026-03-04 10:27:20</t>
  </si>
  <si>
    <t>27768255889</t>
  </si>
  <si>
    <t>13560337</t>
  </si>
  <si>
    <t>490aaf1e-fba5-46cc-bc29-3f73f8160560</t>
  </si>
  <si>
    <t>2026-03-04 10:27:17</t>
  </si>
  <si>
    <t>27823157196</t>
  </si>
  <si>
    <t>13562240</t>
  </si>
  <si>
    <t>d71191c7-abb6-4d13-90f5-cb5b8af917cc</t>
  </si>
  <si>
    <t>2026-03-04 10:27:14</t>
  </si>
  <si>
    <t>27715830260</t>
  </si>
  <si>
    <t>13559653</t>
  </si>
  <si>
    <t>46b29309-7e60-48a6-9fd1-30d074b91491</t>
  </si>
  <si>
    <t>2026-03-04 10:26:58</t>
  </si>
  <si>
    <t>27835533190</t>
  </si>
  <si>
    <t>13560340</t>
  </si>
  <si>
    <t>0cb0702c-650c-4e7e-83c1-0b9b3c99b509</t>
  </si>
  <si>
    <t>2026-03-04 10:26:57</t>
  </si>
  <si>
    <t>27660189521</t>
  </si>
  <si>
    <t>13560398</t>
  </si>
  <si>
    <t>ab7a5add-ee58-48b7-b589-a167b5b24e8d</t>
  </si>
  <si>
    <t>2026-03-04 10:26:36</t>
  </si>
  <si>
    <t>27762980073</t>
  </si>
  <si>
    <t>13562341</t>
  </si>
  <si>
    <t>e14c7ba8-5da9-4af2-b9ef-f8493e8d3ae2</t>
  </si>
  <si>
    <t>2026-03-04 10:26:35</t>
  </si>
  <si>
    <t>27607022636</t>
  </si>
  <si>
    <t>13560403</t>
  </si>
  <si>
    <t>b833d33c-5d87-4c4a-84cc-8b19f70c5a33</t>
  </si>
  <si>
    <t>2026-03-04 10:26:19</t>
  </si>
  <si>
    <t>27795803372</t>
  </si>
  <si>
    <t>13558743</t>
  </si>
  <si>
    <t>1864d4d1-fb9b-4d26-b347-b8e69e8e74d2</t>
  </si>
  <si>
    <t>2026-03-04 10:26:18</t>
  </si>
  <si>
    <t>27797633877</t>
  </si>
  <si>
    <t>13562351</t>
  </si>
  <si>
    <t>f3742812-003b-4ca6-99da-cd8459829f4c</t>
  </si>
  <si>
    <t>2026-03-04 10:26:16</t>
  </si>
  <si>
    <t>27674122065</t>
  </si>
  <si>
    <t>13556627</t>
  </si>
  <si>
    <t>ca8afc14-518a-4ca3-9b14-95e4ee3a9acc</t>
  </si>
  <si>
    <t>2026-03-04 10:25:27</t>
  </si>
  <si>
    <t>27725626179</t>
  </si>
  <si>
    <t>13561457</t>
  </si>
  <si>
    <t>015a52f9-3fc5-4239-9190-2a3d2ea77884</t>
  </si>
  <si>
    <t>2026-03-04 10:25:21</t>
  </si>
  <si>
    <t>27793894694</t>
  </si>
  <si>
    <t>13556609</t>
  </si>
  <si>
    <t>c3151685-25aa-427d-8f71-91a00fcc631e</t>
  </si>
  <si>
    <t>2026-03-04 10:25:08</t>
  </si>
  <si>
    <t>27725536177</t>
  </si>
  <si>
    <t>13560423</t>
  </si>
  <si>
    <t>56a3d965-38e0-49d6-9a40-733e52dc15f3</t>
  </si>
  <si>
    <t>27722473750</t>
  </si>
  <si>
    <t>13556591</t>
  </si>
  <si>
    <t>60d77d4d-7936-4957-bc65-3f60c13b4210</t>
  </si>
  <si>
    <t>2026-03-04 10:24:57</t>
  </si>
  <si>
    <t>27725350518</t>
  </si>
  <si>
    <t>13559631</t>
  </si>
  <si>
    <t>8186b062-f35b-4a7a-9483-5f772b5f6d57</t>
  </si>
  <si>
    <t>2026-03-04 10:24:44</t>
  </si>
  <si>
    <t>27829754995</t>
  </si>
  <si>
    <t>13559034</t>
  </si>
  <si>
    <t>8ad8ef48-ec76-4a05-bd4a-093811e1530d</t>
  </si>
  <si>
    <t>2026-03-04 10:24:30</t>
  </si>
  <si>
    <t>27820797581</t>
  </si>
  <si>
    <t>13560503</t>
  </si>
  <si>
    <t>0c42f4f9-9a7a-47af-83df-73abd898d135</t>
  </si>
  <si>
    <t>2026-03-04 10:23:41</t>
  </si>
  <si>
    <t>27665781018</t>
  </si>
  <si>
    <t>13559872</t>
  </si>
  <si>
    <t>dcabbc66-ddf0-40cd-90ae-85b6a95e3075</t>
  </si>
  <si>
    <t>2026-03-04 10:23:40</t>
  </si>
  <si>
    <t>27715901778</t>
  </si>
  <si>
    <t>13559279</t>
  </si>
  <si>
    <t>e4f54e4a-f055-4722-9eb7-7b76c8d82f42</t>
  </si>
  <si>
    <t>2026-03-04 10:23:23</t>
  </si>
  <si>
    <t>27825070147</t>
  </si>
  <si>
    <t>13564899</t>
  </si>
  <si>
    <t>f5b50bd0-1374-459b-b9c5-ea62aefdf499</t>
  </si>
  <si>
    <t>2026-03-04 10:22:56</t>
  </si>
  <si>
    <t>27609336694</t>
  </si>
  <si>
    <t>13562220</t>
  </si>
  <si>
    <t>325aa953-cd69-4902-9171-aedf07ae4b9f</t>
  </si>
  <si>
    <t>2026-03-04 10:22:43</t>
  </si>
  <si>
    <t>27712495283</t>
  </si>
  <si>
    <t>13562224</t>
  </si>
  <si>
    <t>e2a52e2b-0101-4040-9fd2-82f15fe737b0</t>
  </si>
  <si>
    <t>2026-03-04 10:22:41</t>
  </si>
  <si>
    <t>27711137835</t>
  </si>
  <si>
    <t>13557052</t>
  </si>
  <si>
    <t>7de59e6a-5086-4f66-b8d2-7fb80254cb47</t>
  </si>
  <si>
    <t>2026-03-04 10:22:01</t>
  </si>
  <si>
    <t>27729978259</t>
  </si>
  <si>
    <t>13559887</t>
  </si>
  <si>
    <t>5e2e1b2a-d0e0-4c01-9483-3c22ac975d9a</t>
  </si>
  <si>
    <t>2026-03-04 10:21:57</t>
  </si>
  <si>
    <t>27761198852</t>
  </si>
  <si>
    <t>13559890</t>
  </si>
  <si>
    <t>146930f5-9d94-4447-a251-efab3de302e4</t>
  </si>
  <si>
    <t>2026-03-04 10:21:56</t>
  </si>
  <si>
    <t>27797235732</t>
  </si>
  <si>
    <t>13559076</t>
  </si>
  <si>
    <t>48679646-9ee3-4329-8154-81d61526a2db</t>
  </si>
  <si>
    <t>2026-03-04 10:21:53</t>
  </si>
  <si>
    <t>27822547734</t>
  </si>
  <si>
    <t>13562410</t>
  </si>
  <si>
    <t>4aa8d07c-87ba-4f75-a417-53ae5b773576</t>
  </si>
  <si>
    <t>2026-03-04 10:21:38</t>
  </si>
  <si>
    <t>27711034606</t>
  </si>
  <si>
    <t>13559078</t>
  </si>
  <si>
    <t>af791f90-77e3-4a1c-9bd3-80af15a3d195</t>
  </si>
  <si>
    <t>2026-03-04 10:21:11</t>
  </si>
  <si>
    <t>27822553415</t>
  </si>
  <si>
    <t>13556750</t>
  </si>
  <si>
    <t>687e5840-01ac-49ed-9718-f74893e0f44a</t>
  </si>
  <si>
    <t>2026-03-04 10:20:54</t>
  </si>
  <si>
    <t>27727126182</t>
  </si>
  <si>
    <t>13560608</t>
  </si>
  <si>
    <t>be669c66-b687-44ba-b175-3f9568859896</t>
  </si>
  <si>
    <t>2026-03-04 10:20:49</t>
  </si>
  <si>
    <t>27636517959</t>
  </si>
  <si>
    <t>13561940</t>
  </si>
  <si>
    <t>69cf895f-1951-4e95-827d-00f1b8a126c0</t>
  </si>
  <si>
    <t>27608349252</t>
  </si>
  <si>
    <t>13561944</t>
  </si>
  <si>
    <t>16a6a6c5-f76c-4eb1-a94d-e54ce8ae09fe</t>
  </si>
  <si>
    <t>2026-03-04 10:20:47</t>
  </si>
  <si>
    <t>27714326323</t>
  </si>
  <si>
    <t>13559717</t>
  </si>
  <si>
    <t>9eddd454-bfc1-49cc-beed-b45151008e9d</t>
  </si>
  <si>
    <t>2026-03-04 10:20:40</t>
  </si>
  <si>
    <t>27715902611</t>
  </si>
  <si>
    <t>13560663</t>
  </si>
  <si>
    <t>5b85e759-3696-433e-9595-309e9c357549</t>
  </si>
  <si>
    <t>2026-03-04 10:20:39</t>
  </si>
  <si>
    <t>27794052452</t>
  </si>
  <si>
    <t>13561768</t>
  </si>
  <si>
    <t>5bff5712-6b0c-4053-b2dd-b93eb87e6833</t>
  </si>
  <si>
    <t>2026-03-04 10:19:54</t>
  </si>
  <si>
    <t>27607447484</t>
  </si>
  <si>
    <t>13564896</t>
  </si>
  <si>
    <t>dc879d0b-4b0b-41a9-b073-80d68daef95e</t>
  </si>
  <si>
    <t>2026-03-04 10:19:48</t>
  </si>
  <si>
    <t>27609277585</t>
  </si>
  <si>
    <t>13560639</t>
  </si>
  <si>
    <t>20a86faf-86b5-48a1-96f7-f6e2ebe7624f</t>
  </si>
  <si>
    <t>2026-03-04 10:19:44</t>
  </si>
  <si>
    <t>27791430193</t>
  </si>
  <si>
    <t>13563179</t>
  </si>
  <si>
    <t>b1fa4907-cc0f-4815-a543-adf8e1e6da2f</t>
  </si>
  <si>
    <t>2026-03-04 10:19:35</t>
  </si>
  <si>
    <t>27762970176</t>
  </si>
  <si>
    <t>13562067</t>
  </si>
  <si>
    <t>6d9f4a47-780c-495b-b457-b8849ee701d0</t>
  </si>
  <si>
    <t>2026-03-04 10:19:34</t>
  </si>
  <si>
    <t>27636936385</t>
  </si>
  <si>
    <t>13559205</t>
  </si>
  <si>
    <t>ce3fb6c3-7f9a-43f3-b889-16bd55c76147</t>
  </si>
  <si>
    <t>2026-03-04 10:19:33</t>
  </si>
  <si>
    <t>27824167440</t>
  </si>
  <si>
    <t>13563846</t>
  </si>
  <si>
    <t>fe203414-6463-42ea-adfb-bc9f4cfbd57e</t>
  </si>
  <si>
    <t>2026-03-04 10:19:24</t>
  </si>
  <si>
    <t>27768788037</t>
  </si>
  <si>
    <t>13563445</t>
  </si>
  <si>
    <t>10628989-fcb1-4bf6-a2be-d04bade23e26</t>
  </si>
  <si>
    <t>2026-03-04 10:19:19</t>
  </si>
  <si>
    <t>27765308001</t>
  </si>
  <si>
    <t>13564900</t>
  </si>
  <si>
    <t>79337f3a-d428-478f-af82-6e8b3498bffd</t>
  </si>
  <si>
    <t>2026-03-04 10:19:06</t>
  </si>
  <si>
    <t>27609368738</t>
  </si>
  <si>
    <t>13562016</t>
  </si>
  <si>
    <t>8513cc5b-867e-4ab9-8308-978e12a1aaf4</t>
  </si>
  <si>
    <t>2026-03-04 10:19:05</t>
  </si>
  <si>
    <t>27711539989</t>
  </si>
  <si>
    <t>13559041</t>
  </si>
  <si>
    <t>32ba0318-bf0d-4a7e-acc7-2bc49c3bd9d4</t>
  </si>
  <si>
    <t>2026-03-04 10:19:02</t>
  </si>
  <si>
    <t>27820921474</t>
  </si>
  <si>
    <t>13560667</t>
  </si>
  <si>
    <t>95aa4819-71a8-4306-8bbd-4ab3331b01a7</t>
  </si>
  <si>
    <t>2026-03-04 10:18:34</t>
  </si>
  <si>
    <t>27725527989</t>
  </si>
  <si>
    <t>13563871</t>
  </si>
  <si>
    <t>bcbfe11e-2283-4f96-b10e-c620aef49ae9</t>
  </si>
  <si>
    <t>2026-03-04 10:18:29</t>
  </si>
  <si>
    <t>27714767079</t>
  </si>
  <si>
    <t>13559175</t>
  </si>
  <si>
    <t>6615e79e-04f5-42e6-86eb-dee0a11de6e6</t>
  </si>
  <si>
    <t>2026-03-04 10:18:27</t>
  </si>
  <si>
    <t>27823902198</t>
  </si>
  <si>
    <t>13564024</t>
  </si>
  <si>
    <t>104a2274-3d0a-469c-af2d-8cc7d106645d</t>
  </si>
  <si>
    <t>2026-03-04 10:17:47</t>
  </si>
  <si>
    <t>27761287780</t>
  </si>
  <si>
    <t>13556092</t>
  </si>
  <si>
    <t>21058cfd-26d5-4f36-ba2a-a47cc80aaf55</t>
  </si>
  <si>
    <t>2026-03-04 10:17:18</t>
  </si>
  <si>
    <t>27720654721</t>
  </si>
  <si>
    <t>13557895</t>
  </si>
  <si>
    <t>9b4e046e-1082-49c4-a6cf-860d8e444a11</t>
  </si>
  <si>
    <t>2026-03-04 10:16:55</t>
  </si>
  <si>
    <t>27768402271</t>
  </si>
  <si>
    <t>13562039</t>
  </si>
  <si>
    <t>18ac7fe3-7b9f-48ff-abf6-fed41bdf821a</t>
  </si>
  <si>
    <t>27818474614</t>
  </si>
  <si>
    <t>13564027</t>
  </si>
  <si>
    <t>5a1a1b54-4dc7-4a3c-bcd2-24166d5425fb</t>
  </si>
  <si>
    <t>2026-03-04 10:16:48</t>
  </si>
  <si>
    <t>27636692519</t>
  </si>
  <si>
    <t>13563378</t>
  </si>
  <si>
    <t>48a5e19f-53b4-4f0f-9afd-1caceed288d1</t>
  </si>
  <si>
    <t>2026-03-04 10:16:47</t>
  </si>
  <si>
    <t>27608463480</t>
  </si>
  <si>
    <t>13558572</t>
  </si>
  <si>
    <t>d305b1d0-4f32-4011-84ba-4f65c6182140</t>
  </si>
  <si>
    <t>2026-03-04 10:16:26</t>
  </si>
  <si>
    <t>27795674148</t>
  </si>
  <si>
    <t>13560784</t>
  </si>
  <si>
    <t>75ba8e07-b9bb-4c1f-ba64-480e8b7a6947</t>
  </si>
  <si>
    <t>27723736007</t>
  </si>
  <si>
    <t>13558884</t>
  </si>
  <si>
    <t>cd72a2ae-909d-4ef9-b2c5-97ebf3adde12</t>
  </si>
  <si>
    <t>2026-03-04 10:15:44</t>
  </si>
  <si>
    <t>27799633332</t>
  </si>
  <si>
    <t>13558035</t>
  </si>
  <si>
    <t>bf44b07e-f3c4-41c6-aa70-efdf6c0470ec</t>
  </si>
  <si>
    <t>2026-03-04 10:15:11</t>
  </si>
  <si>
    <t>27769959961</t>
  </si>
  <si>
    <t>13558032</t>
  </si>
  <si>
    <t>f360cadd-1ded-4691-9d0b-cad264b602de</t>
  </si>
  <si>
    <t>2026-03-04 10:15:09</t>
  </si>
  <si>
    <t>27769936808</t>
  </si>
  <si>
    <t>13561943</t>
  </si>
  <si>
    <t>9226d34e-722d-453c-bcf3-a2c46b23409a</t>
  </si>
  <si>
    <t>2026-03-04 10:15:05</t>
  </si>
  <si>
    <t>27715489301</t>
  </si>
  <si>
    <t>13560591</t>
  </si>
  <si>
    <t>6fd4899e-0367-4012-80ca-52e27fc98aa9</t>
  </si>
  <si>
    <t>2026-03-04 10:14:48</t>
  </si>
  <si>
    <t>27769385738</t>
  </si>
  <si>
    <t>13554944</t>
  </si>
  <si>
    <t>94241677-a700-48b5-ac43-266a532046f6</t>
  </si>
  <si>
    <t>2026-03-04 10:14:35</t>
  </si>
  <si>
    <t>27636162385</t>
  </si>
  <si>
    <t>13554939</t>
  </si>
  <si>
    <t>08f7192e-2e26-4dcb-9eb4-25ab86467c22</t>
  </si>
  <si>
    <t>2026-03-04 10:14:32</t>
  </si>
  <si>
    <t>27636068029</t>
  </si>
  <si>
    <t>13554940</t>
  </si>
  <si>
    <t>1b9cbdf4-11f2-42ca-8ede-e6d129831470</t>
  </si>
  <si>
    <t>27636103837</t>
  </si>
  <si>
    <t>13554934</t>
  </si>
  <si>
    <t>804ee9e0-a975-4413-8ed6-ffb52c15d46d</t>
  </si>
  <si>
    <t>2026-03-04 10:14:31</t>
  </si>
  <si>
    <t>27636011620</t>
  </si>
  <si>
    <t>13555242</t>
  </si>
  <si>
    <t>85b0d9e7-3930-4d73-8697-a2db2900b2f3</t>
  </si>
  <si>
    <t>2026-03-04 10:13:30</t>
  </si>
  <si>
    <t>27660503896</t>
  </si>
  <si>
    <t>13555221</t>
  </si>
  <si>
    <t>59f03cf5-c53f-4b4f-925c-c0ddf9cef9d5</t>
  </si>
  <si>
    <t>2026-03-04 10:13:00</t>
  </si>
  <si>
    <t>27660157518</t>
  </si>
  <si>
    <t>13555210</t>
  </si>
  <si>
    <t>f909dcc8-95ff-49c3-83f2-c797f1ee637f</t>
  </si>
  <si>
    <t>2026-03-04 10:12:57</t>
  </si>
  <si>
    <t>27660031747</t>
  </si>
  <si>
    <t>13555206</t>
  </si>
  <si>
    <t>1be646d1-a039-4770-9f79-d48311127909</t>
  </si>
  <si>
    <t>2026-03-04 10:12:55</t>
  </si>
  <si>
    <t>27649943570</t>
  </si>
  <si>
    <t>13555202</t>
  </si>
  <si>
    <t>41f0490b-5f8f-48e7-8656-f14ab06e2218</t>
  </si>
  <si>
    <t>2026-03-04 10:12:54</t>
  </si>
  <si>
    <t>27649893076</t>
  </si>
  <si>
    <t>13556210</t>
  </si>
  <si>
    <t>33022553-ea5d-4e70-97d9-c0bc0b184a9f</t>
  </si>
  <si>
    <t>2026-03-04 10:12:24</t>
  </si>
  <si>
    <t>27721592096</t>
  </si>
  <si>
    <t>13556203</t>
  </si>
  <si>
    <t>3d0520de-1682-4ecd-a70a-03284add0187</t>
  </si>
  <si>
    <t>2026-03-04 10:12:23</t>
  </si>
  <si>
    <t>27721549255</t>
  </si>
  <si>
    <t>13556196</t>
  </si>
  <si>
    <t>5cbe0cd2-86a2-4f9c-84ed-b042c497d656</t>
  </si>
  <si>
    <t>2026-03-04 10:12:21</t>
  </si>
  <si>
    <t>27721500040</t>
  </si>
  <si>
    <t>13556198</t>
  </si>
  <si>
    <t>f70a5674-e07f-460b-baf9-7f6428dbe028</t>
  </si>
  <si>
    <t>27721508838</t>
  </si>
  <si>
    <t>13555033</t>
  </si>
  <si>
    <t>8a565b0e-6b65-4b7f-965f-1a79c1ecd39f</t>
  </si>
  <si>
    <t>2026-03-04 10:12:03</t>
  </si>
  <si>
    <t>27646136283</t>
  </si>
  <si>
    <t>13557420</t>
  </si>
  <si>
    <t>c0076431-debe-4b66-babf-226229dab854</t>
  </si>
  <si>
    <t>2026-03-04 10:11:50</t>
  </si>
  <si>
    <t>27763423503</t>
  </si>
  <si>
    <t>13562030</t>
  </si>
  <si>
    <t>dd489ac4-b9ee-4980-a5a9-70287b3ed45f</t>
  </si>
  <si>
    <t>27663669070</t>
  </si>
  <si>
    <t>13555799</t>
  </si>
  <si>
    <t>df232128-b8fc-4cc9-a155-68729cd322a9</t>
  </si>
  <si>
    <t>2026-03-04 10:11:31</t>
  </si>
  <si>
    <t>27714125958</t>
  </si>
  <si>
    <t>13555780</t>
  </si>
  <si>
    <t>64fff64c-d97f-4a33-b239-05d22758acb9</t>
  </si>
  <si>
    <t>2026-03-04 10:11:19</t>
  </si>
  <si>
    <t>27713919458</t>
  </si>
  <si>
    <t>13555770</t>
  </si>
  <si>
    <t>81c26451-d92f-4891-9c69-3edc6f3f63d6</t>
  </si>
  <si>
    <t>2026-03-04 10:11:17</t>
  </si>
  <si>
    <t>27713790042</t>
  </si>
  <si>
    <t>13562781</t>
  </si>
  <si>
    <t>6e839633-15e0-4cb8-b64e-81294be63274</t>
  </si>
  <si>
    <t>2026-03-04 10:11:00</t>
  </si>
  <si>
    <t>27761468371</t>
  </si>
  <si>
    <t>13558319</t>
  </si>
  <si>
    <t>d92ea711-633b-418c-93cc-79b22d782a7e</t>
  </si>
  <si>
    <t>2026-03-04 10:10:35</t>
  </si>
  <si>
    <t>27792746914</t>
  </si>
  <si>
    <t>13558664</t>
  </si>
  <si>
    <t>4ae93094-9ca2-45b3-89f9-495961735339</t>
  </si>
  <si>
    <t>2026-03-04 10:10:30</t>
  </si>
  <si>
    <t>27796681967</t>
  </si>
  <si>
    <t>13555939</t>
  </si>
  <si>
    <t>0c6efd2e-e1f6-49a8-afce-e61181f54f73</t>
  </si>
  <si>
    <t>2026-03-04 10:09:53</t>
  </si>
  <si>
    <t>27715636667</t>
  </si>
  <si>
    <t>13561743</t>
  </si>
  <si>
    <t>5d86a753-c613-4d60-9d0a-43b94d4a343f</t>
  </si>
  <si>
    <t>27729323751</t>
  </si>
  <si>
    <t>13558992</t>
  </si>
  <si>
    <t>5ce89d61-cd1e-481c-a6bd-e56855613bde</t>
  </si>
  <si>
    <t>2026-03-04 10:09:47</t>
  </si>
  <si>
    <t>27818909910</t>
  </si>
  <si>
    <t>13558981</t>
  </si>
  <si>
    <t>b0c5ad82-075d-4224-8afa-8f59a34b1411</t>
  </si>
  <si>
    <t>2026-03-04 10:09:46</t>
  </si>
  <si>
    <t>27818773606</t>
  </si>
  <si>
    <t>13558963</t>
  </si>
  <si>
    <t>8197c5e3-9c25-4e12-ad83-3139f8f12b3d</t>
  </si>
  <si>
    <t>2026-03-04 10:09:44</t>
  </si>
  <si>
    <t>27818493923</t>
  </si>
  <si>
    <t>13556086</t>
  </si>
  <si>
    <t>95f14d75-7f9b-45d2-bfdb-329c9c2ee06d</t>
  </si>
  <si>
    <t>2026-03-04 10:09:02</t>
  </si>
  <si>
    <t>27720601925</t>
  </si>
  <si>
    <t>13556094</t>
  </si>
  <si>
    <t>31783005-b768-4c3a-a911-959c04c18c76</t>
  </si>
  <si>
    <t>27720661508</t>
  </si>
  <si>
    <t>13558896</t>
  </si>
  <si>
    <t>ecf99d3f-a3bb-4e02-a2a5-157a7a0e3209</t>
  </si>
  <si>
    <t>2026-03-04 10:08:37</t>
  </si>
  <si>
    <t>27799768664</t>
  </si>
  <si>
    <t>13556755</t>
  </si>
  <si>
    <t>b010c6d5-c325-406e-85af-e41ffa948542</t>
  </si>
  <si>
    <t>2026-03-04 10:08:17</t>
  </si>
  <si>
    <t>27727175270</t>
  </si>
  <si>
    <t>13558954</t>
  </si>
  <si>
    <t>0585c7db-3087-42fc-a462-ddf66041ad9d</t>
  </si>
  <si>
    <t>2026-03-04 10:08:11</t>
  </si>
  <si>
    <t>27818420586</t>
  </si>
  <si>
    <t>13556729</t>
  </si>
  <si>
    <t>1d772b1d-59df-4ff5-8ec0-7146711c20c2</t>
  </si>
  <si>
    <t>2026-03-04 10:08:04</t>
  </si>
  <si>
    <t>27726922771</t>
  </si>
  <si>
    <t>13556720</t>
  </si>
  <si>
    <t>01746472-c064-4ee2-a07e-166e3f9b6688</t>
  </si>
  <si>
    <t>2026-03-04 10:08:02</t>
  </si>
  <si>
    <t>27726862150</t>
  </si>
  <si>
    <t>13556689</t>
  </si>
  <si>
    <t>31b67aac-c185-4718-856e-b3e7a06760da</t>
  </si>
  <si>
    <t>2026-03-04 10:07:57</t>
  </si>
  <si>
    <t>27726571127</t>
  </si>
  <si>
    <t>13557167</t>
  </si>
  <si>
    <t>2b4c1b3e-2716-4e89-bdbf-d253f313721e</t>
  </si>
  <si>
    <t>2026-03-04 10:07:13</t>
  </si>
  <si>
    <t>27760851635</t>
  </si>
  <si>
    <t>13557150</t>
  </si>
  <si>
    <t>a0e400e8-197b-4c83-ada2-d68f7820f4cb</t>
  </si>
  <si>
    <t>2026-03-04 10:07:12</t>
  </si>
  <si>
    <t>27760657874</t>
  </si>
  <si>
    <t>13557138</t>
  </si>
  <si>
    <t>7cb14473-ca50-476b-94e4-36d35b76e1bf</t>
  </si>
  <si>
    <t>2026-03-04 10:06:59</t>
  </si>
  <si>
    <t>27760567757</t>
  </si>
  <si>
    <t>13557131</t>
  </si>
  <si>
    <t>5c4f5ff9-fcca-4ede-9894-11b5764dc9c7</t>
  </si>
  <si>
    <t>2026-03-04 10:06:58</t>
  </si>
  <si>
    <t>27760526913</t>
  </si>
  <si>
    <t>13557104</t>
  </si>
  <si>
    <t>8bf779ed-c634-4721-9f2e-c3882ca7e4e9</t>
  </si>
  <si>
    <t>2026-03-04 10:06:21</t>
  </si>
  <si>
    <t>27760235466</t>
  </si>
  <si>
    <t>13557091</t>
  </si>
  <si>
    <t>c0da1c7a-28e1-43b6-85ac-c42c197a191e</t>
  </si>
  <si>
    <t>2026-03-04 10:06:14</t>
  </si>
  <si>
    <t>27743096944</t>
  </si>
  <si>
    <t>13557044</t>
  </si>
  <si>
    <t>c1384bfe-96f0-46cb-9437-b96d0b029385</t>
  </si>
  <si>
    <t>2026-03-04 10:06:05</t>
  </si>
  <si>
    <t>27729935546</t>
  </si>
  <si>
    <t>13561074</t>
  </si>
  <si>
    <t>26c92151-1f7e-43e1-8bc7-e717e709a917</t>
  </si>
  <si>
    <t>2026-03-04 10:06:03</t>
  </si>
  <si>
    <t>27673806571</t>
  </si>
  <si>
    <t>13557276</t>
  </si>
  <si>
    <t>e5534d7f-91a6-492c-aa7f-62645025bcea</t>
  </si>
  <si>
    <t>2026-03-04 10:05:26</t>
  </si>
  <si>
    <t>27761979390</t>
  </si>
  <si>
    <t>13562665</t>
  </si>
  <si>
    <t>732d4329-9cb1-473d-b17a-28f43d1cf38e</t>
  </si>
  <si>
    <t>2026-03-04 10:05:20</t>
  </si>
  <si>
    <t>27712359187</t>
  </si>
  <si>
    <t>13557260</t>
  </si>
  <si>
    <t>d3ff9cc7-2954-4b02-93e3-02cee8b30332</t>
  </si>
  <si>
    <t>2026-03-04 10:05:18</t>
  </si>
  <si>
    <t>27761809631</t>
  </si>
  <si>
    <t>13557240</t>
  </si>
  <si>
    <t>f3ec49a0-cecb-426a-9b66-4cb30e0e6180</t>
  </si>
  <si>
    <t>2026-03-04 10:05:17</t>
  </si>
  <si>
    <t>27761617624</t>
  </si>
  <si>
    <t>13557232</t>
  </si>
  <si>
    <t>5acefad9-ee42-4be9-a2dc-dafd3250d178</t>
  </si>
  <si>
    <t>2026-03-04 10:05:14</t>
  </si>
  <si>
    <t>27761547874</t>
  </si>
  <si>
    <t>13557234</t>
  </si>
  <si>
    <t>d06f40ec-5d52-4bfa-ab27-a25e6b5f6bd3</t>
  </si>
  <si>
    <t>27761559394</t>
  </si>
  <si>
    <t>13559859</t>
  </si>
  <si>
    <t>8185cf69-14cf-4497-9938-1781ec28ae02</t>
  </si>
  <si>
    <t>2026-03-04 10:04:46</t>
  </si>
  <si>
    <t>27765948960</t>
  </si>
  <si>
    <t>13563842</t>
  </si>
  <si>
    <t>35c5b944-42ec-4c4d-afd0-d127013cd04b</t>
  </si>
  <si>
    <t>2026-03-04 10:04:40</t>
  </si>
  <si>
    <t>27721653094</t>
  </si>
  <si>
    <t>13559777</t>
  </si>
  <si>
    <t>0a2f91bb-07fd-4026-8df7-4216f4a28476</t>
  </si>
  <si>
    <t>2026-03-04 10:04:35</t>
  </si>
  <si>
    <t>27649777205</t>
  </si>
  <si>
    <t>13557333</t>
  </si>
  <si>
    <t>66619ca8-6680-410c-b318-c29a7c29e751</t>
  </si>
  <si>
    <t>2026-03-04 10:04:32</t>
  </si>
  <si>
    <t>27762602859</t>
  </si>
  <si>
    <t>13557318</t>
  </si>
  <si>
    <t>174f76a7-bfd0-4269-a0dc-6a37fbbb6aa2</t>
  </si>
  <si>
    <t>2026-03-04 10:04:09</t>
  </si>
  <si>
    <t>27762423354</t>
  </si>
  <si>
    <t>13557315</t>
  </si>
  <si>
    <t>d01166a5-5caa-4538-866f-968e077af7e4</t>
  </si>
  <si>
    <t>2026-03-04 10:04:08</t>
  </si>
  <si>
    <t>27762414096</t>
  </si>
  <si>
    <t>13559501</t>
  </si>
  <si>
    <t>475cafe4-4441-4e86-91b9-a017be9e58b3</t>
  </si>
  <si>
    <t>2026-03-04 10:03:53</t>
  </si>
  <si>
    <t>27827620554</t>
  </si>
  <si>
    <t>13556526</t>
  </si>
  <si>
    <t>16209379-e0f1-430f-8fbb-0bda9e9235a9</t>
  </si>
  <si>
    <t>2026-03-04 10:03:18</t>
  </si>
  <si>
    <t>27724753372</t>
  </si>
  <si>
    <t>13556496</t>
  </si>
  <si>
    <t>21d2a0d5-d1f0-4eb9-9ea2-6cbe3ca0de60</t>
  </si>
  <si>
    <t>2026-03-04 10:03:12</t>
  </si>
  <si>
    <t>27724455110</t>
  </si>
  <si>
    <t>13556472</t>
  </si>
  <si>
    <t>5604d68a-0eb5-4dcf-83b9-c1ca5402df61</t>
  </si>
  <si>
    <t>2026-03-04 10:03:08</t>
  </si>
  <si>
    <t>27724217937</t>
  </si>
  <si>
    <t>13556456</t>
  </si>
  <si>
    <t>cdcd1f97-77df-4093-ae6e-d1360b0712e3</t>
  </si>
  <si>
    <t>2026-03-04 10:03:05</t>
  </si>
  <si>
    <t>27724093940</t>
  </si>
  <si>
    <t>13556463</t>
  </si>
  <si>
    <t>6c1e67f3-3885-4b48-924e-89b376e5eef4</t>
  </si>
  <si>
    <t>2026-03-04 10:03:04</t>
  </si>
  <si>
    <t>27724145361</t>
  </si>
  <si>
    <t>13556445</t>
  </si>
  <si>
    <t>e168d023-f3ce-4ce9-a961-101bbe6d33be</t>
  </si>
  <si>
    <t>2026-03-04 10:03:02</t>
  </si>
  <si>
    <t>27723985104</t>
  </si>
  <si>
    <t>13556429</t>
  </si>
  <si>
    <t>379d166d-61da-4c54-8a77-a9297020cc99</t>
  </si>
  <si>
    <t>2026-03-04 10:02:58</t>
  </si>
  <si>
    <t>27723740390</t>
  </si>
  <si>
    <t>13557548</t>
  </si>
  <si>
    <t>0136b4bb-d9ca-4fe9-a581-896d1ebf6c28</t>
  </si>
  <si>
    <t>2026-03-04 10:01:57</t>
  </si>
  <si>
    <t>27765001195</t>
  </si>
  <si>
    <t>13558400</t>
  </si>
  <si>
    <t>0a509cac-cf72-4ffe-a733-f1afb75028c3</t>
  </si>
  <si>
    <t>2026-03-04 10:01:42</t>
  </si>
  <si>
    <t>27793548625</t>
  </si>
  <si>
    <t>13558401</t>
  </si>
  <si>
    <t>9de2fa81-1e6e-44df-aa0e-9f635f50b915</t>
  </si>
  <si>
    <t>27793550305</t>
  </si>
  <si>
    <t>13558395</t>
  </si>
  <si>
    <t>b2a6ff1c-39dc-4bb4-ae62-83227ca26df1</t>
  </si>
  <si>
    <t>2026-03-04 10:01:41</t>
  </si>
  <si>
    <t>27793495048</t>
  </si>
  <si>
    <t>13558368</t>
  </si>
  <si>
    <t>34d7d057-37e1-43d7-a23b-c77ad5e8cf89</t>
  </si>
  <si>
    <t>2026-03-04 10:01:37</t>
  </si>
  <si>
    <t>27793173907</t>
  </si>
  <si>
    <t>13558358</t>
  </si>
  <si>
    <t>09ea40aa-746c-4bfb-876a-956a1b36038e</t>
  </si>
  <si>
    <t>2026-03-04 10:01:34</t>
  </si>
  <si>
    <t>27793049546</t>
  </si>
  <si>
    <t>13561892</t>
  </si>
  <si>
    <t>adcc6090-9a5f-4424-84ef-5eba999b0b70</t>
  </si>
  <si>
    <t>2026-03-04 10:00:56</t>
  </si>
  <si>
    <t>27608188297</t>
  </si>
  <si>
    <t>13561890</t>
  </si>
  <si>
    <t>6866cfbe-9830-4941-b5be-86d6d665407f</t>
  </si>
  <si>
    <t>2026-03-04 10:00:53</t>
  </si>
  <si>
    <t>27790824225</t>
  </si>
  <si>
    <t>13557541</t>
  </si>
  <si>
    <t>b36c478a-340f-4e4a-95be-98c01314dedb</t>
  </si>
  <si>
    <t>2026-03-04 10:00:31</t>
  </si>
  <si>
    <t>27764911283</t>
  </si>
  <si>
    <t>13557509</t>
  </si>
  <si>
    <t>a1b6b27b-6197-4498-81e4-13331f7995c9</t>
  </si>
  <si>
    <t>2026-03-04 09:59:52</t>
  </si>
  <si>
    <t>27764616611</t>
  </si>
  <si>
    <t>13557487</t>
  </si>
  <si>
    <t>17b10069-32b3-4bf1-9c7d-9f3fa76f84b5</t>
  </si>
  <si>
    <t>2026-03-04 09:59:50</t>
  </si>
  <si>
    <t>27764358224</t>
  </si>
  <si>
    <t>13562724</t>
  </si>
  <si>
    <t>8e8cf5b1-391c-4cde-948c-a19122d52306</t>
  </si>
  <si>
    <t>2026-03-04 09:59:42</t>
  </si>
  <si>
    <t>27766086159</t>
  </si>
  <si>
    <t>13557594</t>
  </si>
  <si>
    <t>c6300573-b8c0-4c0a-b3e4-6f0e1b4ea68d</t>
  </si>
  <si>
    <t>2026-03-04 09:59:02</t>
  </si>
  <si>
    <t>27765488019</t>
  </si>
  <si>
    <t>13557575</t>
  </si>
  <si>
    <t>5e925275-d082-4c85-a48d-285776dc767a</t>
  </si>
  <si>
    <t>2026-03-04 09:59:00</t>
  </si>
  <si>
    <t>27765278170</t>
  </si>
  <si>
    <t>13557566</t>
  </si>
  <si>
    <t>9006efdd-b830-49bc-abd8-785e6b5ab8e2</t>
  </si>
  <si>
    <t>2026-03-04 09:58:54</t>
  </si>
  <si>
    <t>27765151767</t>
  </si>
  <si>
    <t>13560586</t>
  </si>
  <si>
    <t>6369ece7-2285-4307-b732-cf72d79f3a49</t>
  </si>
  <si>
    <t>2026-03-04 09:58:53</t>
  </si>
  <si>
    <t>27728618872</t>
  </si>
  <si>
    <t>13557666</t>
  </si>
  <si>
    <t>0edb4214-58a3-42f7-8f67-b536485b5950</t>
  </si>
  <si>
    <t>2026-03-04 09:58:19</t>
  </si>
  <si>
    <t>27766217221</t>
  </si>
  <si>
    <t>13557645</t>
  </si>
  <si>
    <t>d94758b6-a6ec-4801-8fe4-cd818502c5fb</t>
  </si>
  <si>
    <t>2026-03-04 09:58:13</t>
  </si>
  <si>
    <t>27765970060</t>
  </si>
  <si>
    <t>13557654</t>
  </si>
  <si>
    <t>f86fc9f3-6ac4-4b1b-9d20-3315675481ce</t>
  </si>
  <si>
    <t>2026-03-04 09:58:12</t>
  </si>
  <si>
    <t>27766141352</t>
  </si>
  <si>
    <t>13557775</t>
  </si>
  <si>
    <t>1f85579e-ce34-4451-a1a1-f974c0176644</t>
  </si>
  <si>
    <t>2026-03-04 09:57:32</t>
  </si>
  <si>
    <t>27767276544</t>
  </si>
  <si>
    <t>13557778</t>
  </si>
  <si>
    <t>f14b3fcc-19c9-42de-9004-be87597e189a</t>
  </si>
  <si>
    <t>2026-03-04 09:57:30</t>
  </si>
  <si>
    <t>27767287016</t>
  </si>
  <si>
    <t>13557758</t>
  </si>
  <si>
    <t>bf3e8218-00fe-4e2e-85cf-569e72164822</t>
  </si>
  <si>
    <t>2026-03-04 09:57:17</t>
  </si>
  <si>
    <t>27767036027</t>
  </si>
  <si>
    <t>13557745</t>
  </si>
  <si>
    <t>edeb29ec-fdec-43b0-99dc-c45a970611c7</t>
  </si>
  <si>
    <t>2026-03-04 09:57:13</t>
  </si>
  <si>
    <t>27766952437</t>
  </si>
  <si>
    <t>13557746</t>
  </si>
  <si>
    <t>f1d9a75a-ab57-4bbc-9cd7-6e5d6b6b4baf</t>
  </si>
  <si>
    <t>27766962679</t>
  </si>
  <si>
    <t>13557740</t>
  </si>
  <si>
    <t>f77833b4-1361-4bd7-aa7c-6617c4df0fb5</t>
  </si>
  <si>
    <t>2026-03-04 09:57:09</t>
  </si>
  <si>
    <t>27766842756</t>
  </si>
  <si>
    <t>13557729</t>
  </si>
  <si>
    <t>c79c623a-5257-4c06-ae4a-b131bb350963</t>
  </si>
  <si>
    <t>2026-03-04 09:57:08</t>
  </si>
  <si>
    <t>27766790043</t>
  </si>
  <si>
    <t>13557730</t>
  </si>
  <si>
    <t>28c9634e-3bdb-46da-b1bc-5cdf51ddafdb</t>
  </si>
  <si>
    <t>27766792535</t>
  </si>
  <si>
    <t>13557735</t>
  </si>
  <si>
    <t>8089cd09-702b-4407-b5e9-558aa2bb17a9</t>
  </si>
  <si>
    <t>2026-03-04 09:57:06</t>
  </si>
  <si>
    <t>27766823241</t>
  </si>
  <si>
    <t>13561881</t>
  </si>
  <si>
    <t>c03cdd86-3f78-4238-bd32-72e7217f1182</t>
  </si>
  <si>
    <t>2026-03-04 09:56:35</t>
  </si>
  <si>
    <t>27818633154</t>
  </si>
  <si>
    <t>13559839</t>
  </si>
  <si>
    <t>22b45f82-dfdb-4d7c-8fa3-f7c9c4ce986a</t>
  </si>
  <si>
    <t>2026-03-04 09:56:32</t>
  </si>
  <si>
    <t>27761054075</t>
  </si>
  <si>
    <t>13557864</t>
  </si>
  <si>
    <t>8d556ead-1d99-4f73-a748-b1bb156fb2a2</t>
  </si>
  <si>
    <t>2026-03-04 09:56:29</t>
  </si>
  <si>
    <t>27768126274</t>
  </si>
  <si>
    <t>13557858</t>
  </si>
  <si>
    <t>f9836338-a958-4ea9-80eb-7787667d0feb</t>
  </si>
  <si>
    <t>2026-03-04 09:56:28</t>
  </si>
  <si>
    <t>27768067950</t>
  </si>
  <si>
    <t>13557783</t>
  </si>
  <si>
    <t>a39d7749-d933-4df3-b0ec-c55105ba0bb8</t>
  </si>
  <si>
    <t>2026-03-04 09:56:10</t>
  </si>
  <si>
    <t>27767366140</t>
  </si>
  <si>
    <t>13557980</t>
  </si>
  <si>
    <t>4c9786bc-d448-4a5b-9841-5d3e8beea7e5</t>
  </si>
  <si>
    <t>2026-03-04 09:55:44</t>
  </si>
  <si>
    <t>27769282366</t>
  </si>
  <si>
    <t>13557833</t>
  </si>
  <si>
    <t>98acad98-8d6c-4936-850b-96ba435d568b</t>
  </si>
  <si>
    <t>2026-03-04 09:55:17</t>
  </si>
  <si>
    <t>27767791897</t>
  </si>
  <si>
    <t>13557826</t>
  </si>
  <si>
    <t>815ff68e-b1b3-4cf1-902e-1138a52cb9a6</t>
  </si>
  <si>
    <t>2026-03-04 09:55:16</t>
  </si>
  <si>
    <t>27767714728</t>
  </si>
  <si>
    <t>13557995</t>
  </si>
  <si>
    <t>226fa0e0-e325-4e53-8189-bcbe8e1edc99</t>
  </si>
  <si>
    <t>2026-03-04 09:54:31</t>
  </si>
  <si>
    <t>27769510040</t>
  </si>
  <si>
    <t>13557991</t>
  </si>
  <si>
    <t>05b3e03e-6489-49ed-9c1b-a6a62d8186e8</t>
  </si>
  <si>
    <t>2026-03-04 09:54:30</t>
  </si>
  <si>
    <t>27769483015</t>
  </si>
  <si>
    <t>13557992</t>
  </si>
  <si>
    <t>a9aea89e-91a5-4fd9-8909-86de28d27886</t>
  </si>
  <si>
    <t>27769483690</t>
  </si>
  <si>
    <t>13557983</t>
  </si>
  <si>
    <t>609ed352-d101-48e6-8e17-272cd167c73b</t>
  </si>
  <si>
    <t>2026-03-04 09:54:26</t>
  </si>
  <si>
    <t>27769335382</t>
  </si>
  <si>
    <t>13557979</t>
  </si>
  <si>
    <t>ea60f03f-cc02-40ca-9eca-46ec998f4d82</t>
  </si>
  <si>
    <t>2026-03-04 09:53:49</t>
  </si>
  <si>
    <t>27769277524</t>
  </si>
  <si>
    <t>13557948</t>
  </si>
  <si>
    <t>c1d6a786-8048-45ca-9d8e-8e7e01d4a516</t>
  </si>
  <si>
    <t>2026-03-04 09:53:37</t>
  </si>
  <si>
    <t>27768970338</t>
  </si>
  <si>
    <t>13557946</t>
  </si>
  <si>
    <t>1f4e77c4-c2f3-47bd-b2ce-8963459f718d</t>
  </si>
  <si>
    <t>2026-03-04 09:53:36</t>
  </si>
  <si>
    <t>27768957178</t>
  </si>
  <si>
    <t>13559239</t>
  </si>
  <si>
    <t>c71b30d1-df64-4114-ae4a-606d44d2c97e</t>
  </si>
  <si>
    <t>2026-03-04 09:53:34</t>
  </si>
  <si>
    <t>27824567843</t>
  </si>
  <si>
    <t>13559830</t>
  </si>
  <si>
    <t>16697a53-5bf6-4838-8e0e-201597319b22</t>
  </si>
  <si>
    <t>2026-03-04 09:52:45</t>
  </si>
  <si>
    <t>27715164039</t>
  </si>
  <si>
    <t>13560572</t>
  </si>
  <si>
    <t>0185267b-05dc-422e-ae48-d1ef3fead0af</t>
  </si>
  <si>
    <t>27769439700</t>
  </si>
  <si>
    <t>13561870</t>
  </si>
  <si>
    <t>239be420-d4ee-45cf-a23f-14d1fe2c2e07</t>
  </si>
  <si>
    <t>27711603015</t>
  </si>
  <si>
    <t>13558245</t>
  </si>
  <si>
    <t>d3fc8181-7591-4dc1-863f-7b0e485d390e</t>
  </si>
  <si>
    <t>2026-03-04 09:52:42</t>
  </si>
  <si>
    <t>27791724302</t>
  </si>
  <si>
    <t>13558226</t>
  </si>
  <si>
    <t>9806a092-55e9-41cb-a3ef-a08f41b82fb7</t>
  </si>
  <si>
    <t>2026-03-04 09:52:00</t>
  </si>
  <si>
    <t>27791519605</t>
  </si>
  <si>
    <t>13558220</t>
  </si>
  <si>
    <t>0b249748-34b8-499e-a2e7-d1e53d4e12f9</t>
  </si>
  <si>
    <t>2026-03-04 09:51:58</t>
  </si>
  <si>
    <t>27791463977</t>
  </si>
  <si>
    <t>13561042</t>
  </si>
  <si>
    <t>71e21c7e-638f-4935-8778-00a6e156ec2b</t>
  </si>
  <si>
    <t>27766617537</t>
  </si>
  <si>
    <t>13558164</t>
  </si>
  <si>
    <t>e619e306-a54a-43fa-ba2c-d4ff7acd1260</t>
  </si>
  <si>
    <t>2026-03-04 09:51:54</t>
  </si>
  <si>
    <t>27790806852</t>
  </si>
  <si>
    <t>13558165</t>
  </si>
  <si>
    <t>6b342af8-c4d3-4167-a40a-5b04378188fa</t>
  </si>
  <si>
    <t>27790844693</t>
  </si>
  <si>
    <t>13558153</t>
  </si>
  <si>
    <t>7ca185aa-8dcb-46e1-a347-6c52d954e7e8</t>
  </si>
  <si>
    <t>2026-03-04 09:51:48</t>
  </si>
  <si>
    <t>27790705442</t>
  </si>
  <si>
    <t>13558112</t>
  </si>
  <si>
    <t>05b0eab5-0c57-48a7-a914-a39421de23fe</t>
  </si>
  <si>
    <t>2026-03-04 09:51:42</t>
  </si>
  <si>
    <t>27790223566</t>
  </si>
  <si>
    <t>13558759</t>
  </si>
  <si>
    <t>aec137ff-ba8c-4b26-8f4d-d34bd6a9a433</t>
  </si>
  <si>
    <t>27797870961</t>
  </si>
  <si>
    <t>13558090</t>
  </si>
  <si>
    <t>96f96459-db5a-4a76-8859-88da8cfbe3fc</t>
  </si>
  <si>
    <t>2026-03-04 09:51:36</t>
  </si>
  <si>
    <t>27789498209</t>
  </si>
  <si>
    <t>13558101</t>
  </si>
  <si>
    <t>4d1db53f-0773-4fb2-a15f-f17d46688005</t>
  </si>
  <si>
    <t>27790181258</t>
  </si>
  <si>
    <t>13561865</t>
  </si>
  <si>
    <t>4ca84452-9269-452f-ab1c-05d95313d781</t>
  </si>
  <si>
    <t>2026-03-04 09:51:00</t>
  </si>
  <si>
    <t>27663195798</t>
  </si>
  <si>
    <t>13558209</t>
  </si>
  <si>
    <t>ca57167e-e7c0-4cb2-bd06-d4a941a0963c</t>
  </si>
  <si>
    <t>2026-03-04 09:50:46</t>
  </si>
  <si>
    <t>27791327154</t>
  </si>
  <si>
    <t>13558195</t>
  </si>
  <si>
    <t>82bb1277-ee10-4656-a713-a80278546bfc</t>
  </si>
  <si>
    <t>2026-03-04 09:50:43</t>
  </si>
  <si>
    <t>27791190448</t>
  </si>
  <si>
    <t>13560560</t>
  </si>
  <si>
    <t>8028fe6b-49d7-4a26-9761-93ce00ed23ca</t>
  </si>
  <si>
    <t>2026-03-04 09:49:47</t>
  </si>
  <si>
    <t>27768000769</t>
  </si>
  <si>
    <t>13555378</t>
  </si>
  <si>
    <t>d5722572-f2e5-4f61-880a-859030f9185a</t>
  </si>
  <si>
    <t>2026-03-04 09:49:46</t>
  </si>
  <si>
    <t>27664200709</t>
  </si>
  <si>
    <t>13560553</t>
  </si>
  <si>
    <t>19b9b6b7-ecc5-436f-bd77-44cdef2df1cc</t>
  </si>
  <si>
    <t>2026-03-04 09:49:42</t>
  </si>
  <si>
    <t>27794099609</t>
  </si>
  <si>
    <t>13558697</t>
  </si>
  <si>
    <t>ff2fcf8b-4b83-44b6-b961-4f6c58f8d369</t>
  </si>
  <si>
    <t>2026-03-04 09:48:58</t>
  </si>
  <si>
    <t>27797075859</t>
  </si>
  <si>
    <t>13561848</t>
  </si>
  <si>
    <t>a8aacded-e2e6-42de-86f2-d215d0776b03</t>
  </si>
  <si>
    <t>2026-03-04 09:48:53</t>
  </si>
  <si>
    <t>27763630045</t>
  </si>
  <si>
    <t>13563107</t>
  </si>
  <si>
    <t>b60531de-ff49-4986-8b22-2ac623b4b3b3</t>
  </si>
  <si>
    <t>2026-03-04 09:48:49</t>
  </si>
  <si>
    <t>27713259551</t>
  </si>
  <si>
    <t>13561835</t>
  </si>
  <si>
    <t>86f4eb95-e1bb-48b3-9702-a9e49ff7b0be</t>
  </si>
  <si>
    <t>2026-03-04 09:48:44</t>
  </si>
  <si>
    <t>27796662767</t>
  </si>
  <si>
    <t>13560879</t>
  </si>
  <si>
    <t>25cb6ca1-e30b-4070-8ff0-18ae3f8c682c</t>
  </si>
  <si>
    <t>2026-03-04 09:48:40</t>
  </si>
  <si>
    <t>27728375895</t>
  </si>
  <si>
    <t>13560876</t>
  </si>
  <si>
    <t>2f7d9fb0-4d42-4668-a255-87aea275e582</t>
  </si>
  <si>
    <t>2026-03-04 09:48:39</t>
  </si>
  <si>
    <t>27791704359</t>
  </si>
  <si>
    <t>13558692</t>
  </si>
  <si>
    <t>e9c3da5e-7218-4e09-82ca-311a079fa959</t>
  </si>
  <si>
    <t>2026-03-04 09:48:13</t>
  </si>
  <si>
    <t>27797032210</t>
  </si>
  <si>
    <t>13558655</t>
  </si>
  <si>
    <t>f883192d-62f1-484c-949b-4975b44173c3</t>
  </si>
  <si>
    <t>2026-03-04 09:47:58</t>
  </si>
  <si>
    <t>27796578282</t>
  </si>
  <si>
    <t>13558647</t>
  </si>
  <si>
    <t>fce8fb02-def1-4a8d-8071-4c3f0dcf37f7</t>
  </si>
  <si>
    <t>2026-03-04 09:47:57</t>
  </si>
  <si>
    <t>27796486962</t>
  </si>
  <si>
    <t>13558636</t>
  </si>
  <si>
    <t>51dc1e01-1bdf-44c8-b926-85d9a21f30c1</t>
  </si>
  <si>
    <t>2026-03-04 09:47:55</t>
  </si>
  <si>
    <t>27796338647</t>
  </si>
  <si>
    <t>13560873</t>
  </si>
  <si>
    <t>f9d38f66-d79e-4022-87af-320ab8145e2b</t>
  </si>
  <si>
    <t>2026-03-04 09:47:45</t>
  </si>
  <si>
    <t>27818876569</t>
  </si>
  <si>
    <t>13558813</t>
  </si>
  <si>
    <t>693dca01-9596-4ed3-a949-c8bc861d7f48</t>
  </si>
  <si>
    <t>2026-03-04 09:47:07</t>
  </si>
  <si>
    <t>27798566594</t>
  </si>
  <si>
    <t>13558843</t>
  </si>
  <si>
    <t>d4cf33c3-7335-449d-b954-f3e877230182</t>
  </si>
  <si>
    <t>27799174272</t>
  </si>
  <si>
    <t>13558797</t>
  </si>
  <si>
    <t>ab9b40cb-42a5-4dff-8c8b-9f485c6efe2f</t>
  </si>
  <si>
    <t>2026-03-04 09:47:05</t>
  </si>
  <si>
    <t>27798361131</t>
  </si>
  <si>
    <t>13558748</t>
  </si>
  <si>
    <t>b0f65284-35d7-4faa-b191-e8d2d0082113</t>
  </si>
  <si>
    <t>2026-03-04 09:46:14</t>
  </si>
  <si>
    <t>27797691706</t>
  </si>
  <si>
    <t>13560866</t>
  </si>
  <si>
    <t>9d79151c-c323-4e91-9ed8-a4bcf7d58ba4</t>
  </si>
  <si>
    <t>2026-03-04 09:45:41</t>
  </si>
  <si>
    <t>27792267306</t>
  </si>
  <si>
    <t>13560863</t>
  </si>
  <si>
    <t>aea4d9dc-6fec-4218-9175-fdbe31b12376</t>
  </si>
  <si>
    <t>2026-03-04 09:45:40</t>
  </si>
  <si>
    <t>27723942056</t>
  </si>
  <si>
    <t>13558835</t>
  </si>
  <si>
    <t>1018c3de-010d-4421-a046-ca29b8992964</t>
  </si>
  <si>
    <t>2026-03-04 09:45:38</t>
  </si>
  <si>
    <t>27799095696</t>
  </si>
  <si>
    <t>13558826</t>
  </si>
  <si>
    <t>621da192-7c98-4b93-9f4f-72995bd25bb7</t>
  </si>
  <si>
    <t>2026-03-04 09:45:28</t>
  </si>
  <si>
    <t>27798910207</t>
  </si>
  <si>
    <t>13558828</t>
  </si>
  <si>
    <t>3e264e3b-47df-4b72-bb64-cc594e46c2d9</t>
  </si>
  <si>
    <t>27799009052</t>
  </si>
  <si>
    <t>13561730</t>
  </si>
  <si>
    <t>18ac5880-0a8b-4079-8c30-1fb81fc49d75</t>
  </si>
  <si>
    <t>2026-03-04 09:44:36</t>
  </si>
  <si>
    <t>27636312190</t>
  </si>
  <si>
    <t>13560850</t>
  </si>
  <si>
    <t>0188fc18-12e7-4e15-83ff-6c8313995f20</t>
  </si>
  <si>
    <t>2026-03-04 09:44:35</t>
  </si>
  <si>
    <t>27721052537</t>
  </si>
  <si>
    <t>13561727</t>
  </si>
  <si>
    <t>30b350fa-a73f-49e3-8b7f-d471fc00bdc6</t>
  </si>
  <si>
    <t>2026-03-04 09:44:34</t>
  </si>
  <si>
    <t>27818230755</t>
  </si>
  <si>
    <t>13558958</t>
  </si>
  <si>
    <t>0c279a4e-5bc9-4c29-a798-83693e667857</t>
  </si>
  <si>
    <t>2026-03-04 09:44:30</t>
  </si>
  <si>
    <t>27818464641</t>
  </si>
  <si>
    <t>13561704</t>
  </si>
  <si>
    <t>2b882a00-3125-4b53-8cc9-d516409ae9d2</t>
  </si>
  <si>
    <t>2026-03-04 09:44:15</t>
  </si>
  <si>
    <t>27790745818</t>
  </si>
  <si>
    <t>13558921</t>
  </si>
  <si>
    <t>602bf724-daf1-4ddf-af56-02467495a89c</t>
  </si>
  <si>
    <t>2026-03-04 09:43:55</t>
  </si>
  <si>
    <t>27813502845</t>
  </si>
  <si>
    <t>13558916</t>
  </si>
  <si>
    <t>bc7d8f3f-b578-4805-8716-d8054f93ef01</t>
  </si>
  <si>
    <t>2026-03-04 09:43:54</t>
  </si>
  <si>
    <t>27799995100</t>
  </si>
  <si>
    <t>13559348</t>
  </si>
  <si>
    <t>e527664d-4dca-4a05-b863-b7c9668ff183</t>
  </si>
  <si>
    <t>2026-03-04 09:43:51</t>
  </si>
  <si>
    <t>27825924765</t>
  </si>
  <si>
    <t>13561723</t>
  </si>
  <si>
    <t>b0d8717e-28fe-48b4-b38a-9ee31497ec52</t>
  </si>
  <si>
    <t>2026-03-04 09:43:50</t>
  </si>
  <si>
    <t>27762339486</t>
  </si>
  <si>
    <t>13559128</t>
  </si>
  <si>
    <t>23985358-b3f8-4cee-964f-88c1375bcf22</t>
  </si>
  <si>
    <t>2026-03-04 09:42:48</t>
  </si>
  <si>
    <t>27823260011</t>
  </si>
  <si>
    <t>13559119</t>
  </si>
  <si>
    <t>745fbec4-9cb7-4a6c-8798-1d1a99690a8c</t>
  </si>
  <si>
    <t>2026-03-04 09:42:47</t>
  </si>
  <si>
    <t>27823060689</t>
  </si>
  <si>
    <t>13564320</t>
  </si>
  <si>
    <t>0c97923f-ef6e-4346-9780-f09d75f46a63</t>
  </si>
  <si>
    <t>2026-03-04 09:42:24</t>
  </si>
  <si>
    <t>27606525666</t>
  </si>
  <si>
    <t>13559323</t>
  </si>
  <si>
    <t>225a3c61-3189-49c8-8b68-e9c3e9851b65</t>
  </si>
  <si>
    <t>2026-03-04 09:42:00</t>
  </si>
  <si>
    <t>27825439103</t>
  </si>
  <si>
    <t>13559325</t>
  </si>
  <si>
    <t>9043a73d-5925-4a17-b0b2-7b512c82197a</t>
  </si>
  <si>
    <t>27825443672</t>
  </si>
  <si>
    <t>13561618</t>
  </si>
  <si>
    <t>2533b76c-094d-4d50-8624-962e6460fdce</t>
  </si>
  <si>
    <t>2026-03-04 09:41:58</t>
  </si>
  <si>
    <t>27749725458</t>
  </si>
  <si>
    <t>13559394</t>
  </si>
  <si>
    <t>c7e2613b-439d-4f66-9e4f-f859a0bc7f13</t>
  </si>
  <si>
    <t>2026-03-04 09:41:57</t>
  </si>
  <si>
    <t>27826418979</t>
  </si>
  <si>
    <t>13559314</t>
  </si>
  <si>
    <t>ea9fece7-b140-40e2-9116-63e92fc89e1d</t>
  </si>
  <si>
    <t>27825393601</t>
  </si>
  <si>
    <t>13559308</t>
  </si>
  <si>
    <t>4f4afe45-3e1a-4417-8d7d-61ac90403e07</t>
  </si>
  <si>
    <t>2026-03-04 09:41:56</t>
  </si>
  <si>
    <t>27825361599</t>
  </si>
  <si>
    <t>13559296</t>
  </si>
  <si>
    <t>07553240-4d80-495a-a85f-d189445a6f18</t>
  </si>
  <si>
    <t>2026-03-04 09:41:52</t>
  </si>
  <si>
    <t>27825175941</t>
  </si>
  <si>
    <t>13559366</t>
  </si>
  <si>
    <t>4cdaf246-ea35-4b93-bb9a-a4a915a606f1</t>
  </si>
  <si>
    <t>2026-03-04 09:41:04</t>
  </si>
  <si>
    <t>27826151858</t>
  </si>
  <si>
    <t>13559369</t>
  </si>
  <si>
    <t>8a48b8f9-5ab8-439c-aa77-904015423ca5</t>
  </si>
  <si>
    <t>27826211953</t>
  </si>
  <si>
    <t>13560081</t>
  </si>
  <si>
    <t>3653c471-260c-42b2-8eaa-acfee409b1c0</t>
  </si>
  <si>
    <t>2026-03-04 09:40:12</t>
  </si>
  <si>
    <t>27715278472</t>
  </si>
  <si>
    <t>13560092</t>
  </si>
  <si>
    <t>ecf91045-caaa-4aa2-a85d-c4538c9c5fc8</t>
  </si>
  <si>
    <t>27727985352</t>
  </si>
  <si>
    <t>13560071</t>
  </si>
  <si>
    <t>eeb42851-f3d5-4b06-88bb-96d247a7b43e</t>
  </si>
  <si>
    <t>2026-03-04 09:40:10</t>
  </si>
  <si>
    <t>27715037722</t>
  </si>
  <si>
    <t>13558489</t>
  </si>
  <si>
    <t>7f83a965-8659-4f2b-873d-8ea2b6879d63</t>
  </si>
  <si>
    <t>2026-03-04 09:39:55</t>
  </si>
  <si>
    <t>27794544512</t>
  </si>
  <si>
    <t>13560207</t>
  </si>
  <si>
    <t>5b01cc66-01e3-4b4a-ab9b-5adb5f55d401</t>
  </si>
  <si>
    <t>2026-03-04 09:39:28</t>
  </si>
  <si>
    <t>27729099619</t>
  </si>
  <si>
    <t>13560168</t>
  </si>
  <si>
    <t>0f4b81de-449f-4ae3-a602-f68359bbeacc</t>
  </si>
  <si>
    <t>2026-03-04 09:39:15</t>
  </si>
  <si>
    <t>27665114202</t>
  </si>
  <si>
    <t>13560169</t>
  </si>
  <si>
    <t>46fdf6f2-d928-4aac-b8df-3a4d17b093b0</t>
  </si>
  <si>
    <t>27648493886</t>
  </si>
  <si>
    <t>13561608</t>
  </si>
  <si>
    <t>26e1f378-6c9e-4657-895d-ca5c22998df3</t>
  </si>
  <si>
    <t>2026-03-04 09:38:37</t>
  </si>
  <si>
    <t>27722270474</t>
  </si>
  <si>
    <t>13559790</t>
  </si>
  <si>
    <t>76d819f1-f025-44b6-8a36-0360eaeaaf22</t>
  </si>
  <si>
    <t>2026-03-04 09:38:33</t>
  </si>
  <si>
    <t>27715118067</t>
  </si>
  <si>
    <t>13559767</t>
  </si>
  <si>
    <t>5ab249ed-8e3e-47ee-b201-4ec367b51025</t>
  </si>
  <si>
    <t>2026-03-04 09:38:28</t>
  </si>
  <si>
    <t>27813008698</t>
  </si>
  <si>
    <t>13559762</t>
  </si>
  <si>
    <t>bedd9dd4-85a0-42f0-b722-27dedf231a71</t>
  </si>
  <si>
    <t>2026-03-04 09:38:27</t>
  </si>
  <si>
    <t>27826968920</t>
  </si>
  <si>
    <t>13559765</t>
  </si>
  <si>
    <t>8f026a3a-1117-4773-903b-e57f8930dc63</t>
  </si>
  <si>
    <t>27607505796</t>
  </si>
  <si>
    <t>13559754</t>
  </si>
  <si>
    <t>c832b5a7-290c-4567-ba17-f862f2148e46</t>
  </si>
  <si>
    <t>2026-03-04 09:37:44</t>
  </si>
  <si>
    <t>27678952970</t>
  </si>
  <si>
    <t>13559744</t>
  </si>
  <si>
    <t>5030dd6a-2b4c-4d24-bd53-fa6ec7b6cd66</t>
  </si>
  <si>
    <t>2026-03-04 09:37:42</t>
  </si>
  <si>
    <t>27829561956</t>
  </si>
  <si>
    <t>13559726</t>
  </si>
  <si>
    <t>2ae6ebcf-c127-4e32-85df-06851b1c4960</t>
  </si>
  <si>
    <t>2026-03-04 09:37:37</t>
  </si>
  <si>
    <t>27799305087</t>
  </si>
  <si>
    <t>13562641</t>
  </si>
  <si>
    <t>42fe8ed8-23b8-45ff-b7b6-9fda77adff70</t>
  </si>
  <si>
    <t>2026-03-04 09:36:48</t>
  </si>
  <si>
    <t>27646146863</t>
  </si>
  <si>
    <t>13562394</t>
  </si>
  <si>
    <t>d2139ed0-2fc0-46b7-b768-49b366dc1439</t>
  </si>
  <si>
    <t>2026-03-04 09:36:44</t>
  </si>
  <si>
    <t>27769963810</t>
  </si>
  <si>
    <t>13562399</t>
  </si>
  <si>
    <t>051a5ab8-7ec0-44c7-a2c4-7fe07aa6cf34</t>
  </si>
  <si>
    <t>2026-03-04 09:36:43</t>
  </si>
  <si>
    <t>27720306600</t>
  </si>
  <si>
    <t>13562385</t>
  </si>
  <si>
    <t>1d39b08a-e341-413e-bbc1-74cb63d8af33</t>
  </si>
  <si>
    <t>27609951157</t>
  </si>
  <si>
    <t>13562372</t>
  </si>
  <si>
    <t>4072ef19-4398-454f-8e28-e6fcb0094ce5</t>
  </si>
  <si>
    <t>2026-03-04 09:36:41</t>
  </si>
  <si>
    <t>27607493493</t>
  </si>
  <si>
    <t>13561265</t>
  </si>
  <si>
    <t>3b5a0815-7572-4c00-aa2e-bd13f35c048f</t>
  </si>
  <si>
    <t>2026-03-04 09:36:31</t>
  </si>
  <si>
    <t>27712492949</t>
  </si>
  <si>
    <t>13561264</t>
  </si>
  <si>
    <t>cea5f309-0541-41ae-99fd-980362221cce</t>
  </si>
  <si>
    <t>2026-03-04 09:36:30</t>
  </si>
  <si>
    <t>27663416933</t>
  </si>
  <si>
    <t>13561260</t>
  </si>
  <si>
    <t>f3e862d6-327f-4e30-bc92-380436f237df</t>
  </si>
  <si>
    <t>2026-03-04 09:36:27</t>
  </si>
  <si>
    <t>27712941867</t>
  </si>
  <si>
    <t>13561224</t>
  </si>
  <si>
    <t>9849f4e5-ad1f-4ad4-b7ae-a816c0903893</t>
  </si>
  <si>
    <t>2026-03-04 09:36:00</t>
  </si>
  <si>
    <t>27726768587</t>
  </si>
  <si>
    <t>13561225</t>
  </si>
  <si>
    <t>865a604a-4be1-4457-84c1-948e45919011</t>
  </si>
  <si>
    <t>27728305791</t>
  </si>
  <si>
    <t>13559975</t>
  </si>
  <si>
    <t>5dd162bb-f8e2-4967-9fdf-5a93239ce8d2</t>
  </si>
  <si>
    <t>2026-03-04 09:35:21</t>
  </si>
  <si>
    <t>27824349083</t>
  </si>
  <si>
    <t>13559951</t>
  </si>
  <si>
    <t>7304ae71-6bf1-4316-93cb-0b1baa82e4c8</t>
  </si>
  <si>
    <t>2026-03-04 09:35:16</t>
  </si>
  <si>
    <t>27822889586</t>
  </si>
  <si>
    <t>13559952</t>
  </si>
  <si>
    <t>71ab0c86-d75e-4e87-b3b0-b1a0e46a065e</t>
  </si>
  <si>
    <t>27827695983</t>
  </si>
  <si>
    <t>13562370</t>
  </si>
  <si>
    <t>d34120fe-e17a-4a42-8b24-5ce50023123d</t>
  </si>
  <si>
    <t>2026-03-04 09:35:08</t>
  </si>
  <si>
    <t>27664162047</t>
  </si>
  <si>
    <t>13560462</t>
  </si>
  <si>
    <t>a2d3b3a7-11ca-4d80-bccb-614d23fc2c39</t>
  </si>
  <si>
    <t>2026-03-04 09:34:23</t>
  </si>
  <si>
    <t>27711927327</t>
  </si>
  <si>
    <t>13560458</t>
  </si>
  <si>
    <t>dceac4b1-5cb8-4ca7-a043-2b71ac30b9fc</t>
  </si>
  <si>
    <t>2026-03-04 09:34:19</t>
  </si>
  <si>
    <t>27728311041</t>
  </si>
  <si>
    <t>13563521</t>
  </si>
  <si>
    <t>b8dff4ae-84e2-4544-a96e-8c6be1fe3adf</t>
  </si>
  <si>
    <t>2026-03-04 09:34:00</t>
  </si>
  <si>
    <t>27762150142</t>
  </si>
  <si>
    <t>13561759</t>
  </si>
  <si>
    <t>95d22f23-79e1-4dfc-8a8c-6881f8266d58</t>
  </si>
  <si>
    <t>2026-03-04 09:33:47</t>
  </si>
  <si>
    <t>27799346364</t>
  </si>
  <si>
    <t>13560778</t>
  </si>
  <si>
    <t>f5d005a1-3b6e-47aa-9409-d79d96bca5b3</t>
  </si>
  <si>
    <t>2026-03-04 09:33:22</t>
  </si>
  <si>
    <t>27760214940</t>
  </si>
  <si>
    <t>13560696</t>
  </si>
  <si>
    <t>548fc749-5a24-4c7e-ae3b-3f3bca654f1c</t>
  </si>
  <si>
    <t>2026-03-04 09:33:05</t>
  </si>
  <si>
    <t>27609003939</t>
  </si>
  <si>
    <t>13561057</t>
  </si>
  <si>
    <t>824652c3-3947-4fa7-8712-7a166cc69efa</t>
  </si>
  <si>
    <t>2026-03-04 09:32:41</t>
  </si>
  <si>
    <t>27723638710</t>
  </si>
  <si>
    <t>13561084</t>
  </si>
  <si>
    <t>7d898201-18c4-4998-8fef-bdf7e98255d2</t>
  </si>
  <si>
    <t>2026-03-04 09:32:21</t>
  </si>
  <si>
    <t>27715988444</t>
  </si>
  <si>
    <t>13561103</t>
  </si>
  <si>
    <t>db566d35-fe26-4d15-8aeb-24fe0c675298</t>
  </si>
  <si>
    <t>2026-03-04 09:32:20</t>
  </si>
  <si>
    <t>27664153155</t>
  </si>
  <si>
    <t>13561075</t>
  </si>
  <si>
    <t>296c53c2-d62e-4a25-8401-81764d2a7570</t>
  </si>
  <si>
    <t>2026-03-04 09:31:33</t>
  </si>
  <si>
    <t>27608730727</t>
  </si>
  <si>
    <t>13561024</t>
  </si>
  <si>
    <t>832dc917-3702-4755-807d-7dbb5569d416</t>
  </si>
  <si>
    <t>2026-03-04 09:31:17</t>
  </si>
  <si>
    <t>27646045072</t>
  </si>
  <si>
    <t>13561019</t>
  </si>
  <si>
    <t>3c6dd3de-09a1-48a3-b925-6ab980432c5c</t>
  </si>
  <si>
    <t>2026-03-04 09:31:16</t>
  </si>
  <si>
    <t>27723303833</t>
  </si>
  <si>
    <t>13561020</t>
  </si>
  <si>
    <t>0e125b00-d272-4465-8766-d0cdc9343260</t>
  </si>
  <si>
    <t>27663948473</t>
  </si>
  <si>
    <t>13560994</t>
  </si>
  <si>
    <t>8fb3003b-a1bb-4c6d-8a91-a49a1b1872f9</t>
  </si>
  <si>
    <t>2026-03-04 09:31:04</t>
  </si>
  <si>
    <t>27724497927</t>
  </si>
  <si>
    <t>13563112</t>
  </si>
  <si>
    <t>7f06e373-7028-449b-a922-3b62f6c90e72</t>
  </si>
  <si>
    <t>2026-03-04 09:30:54</t>
  </si>
  <si>
    <t>27725193259</t>
  </si>
  <si>
    <t>13563099</t>
  </si>
  <si>
    <t>28ac0cff-56bf-4375-8d64-870ffbafab0f</t>
  </si>
  <si>
    <t>2026-03-04 09:30:45</t>
  </si>
  <si>
    <t>27790121703</t>
  </si>
  <si>
    <t>13562457</t>
  </si>
  <si>
    <t>274d06b0-23a0-44b2-a9ee-85870d9c17ae</t>
  </si>
  <si>
    <t>2026-03-04 09:30:43</t>
  </si>
  <si>
    <t>27768606492</t>
  </si>
  <si>
    <t>13562915</t>
  </si>
  <si>
    <t>7c0a446b-a760-41be-af17-89d2ab3c18fa</t>
  </si>
  <si>
    <t>2026-03-04 09:30:17</t>
  </si>
  <si>
    <t>27661314501</t>
  </si>
  <si>
    <t>13561188</t>
  </si>
  <si>
    <t>d8ec4792-9818-433c-a0af-a4071e6183a7</t>
  </si>
  <si>
    <t>2026-03-04 09:30:07</t>
  </si>
  <si>
    <t>27609381254</t>
  </si>
  <si>
    <t>13561169</t>
  </si>
  <si>
    <t>716798c6-8ccd-45bb-9539-155457268636</t>
  </si>
  <si>
    <t>2026-03-04 09:30:03</t>
  </si>
  <si>
    <t>27636183803</t>
  </si>
  <si>
    <t>13561166</t>
  </si>
  <si>
    <t>8b91d840-1a8a-412c-b016-d12fcbe388a4</t>
  </si>
  <si>
    <t>2026-03-04 09:30:02</t>
  </si>
  <si>
    <t>27649508527</t>
  </si>
  <si>
    <t>13561146</t>
  </si>
  <si>
    <t>dc9ac640-f69c-4728-a7f5-7574d402dc87</t>
  </si>
  <si>
    <t>2026-03-04 09:29:51</t>
  </si>
  <si>
    <t>27646110394</t>
  </si>
  <si>
    <t>13561141</t>
  </si>
  <si>
    <t>f5870d19-ee66-4c08-a88d-7a563783c4e0</t>
  </si>
  <si>
    <t>2026-03-04 09:29:50</t>
  </si>
  <si>
    <t>27609219977</t>
  </si>
  <si>
    <t>13555194</t>
  </si>
  <si>
    <t>808f3f57-1851-41b8-97d9-99758da09108</t>
  </si>
  <si>
    <t>2026-03-04 09:29:43</t>
  </si>
  <si>
    <t>27649656201</t>
  </si>
  <si>
    <t>13561536</t>
  </si>
  <si>
    <t>bdfaa6c3-3753-4537-9bb7-ded54582de5d</t>
  </si>
  <si>
    <t>2026-03-04 09:28:54</t>
  </si>
  <si>
    <t>27795714476</t>
  </si>
  <si>
    <t>13561530</t>
  </si>
  <si>
    <t>770215d6-2caf-418c-a09a-5caddd94879a</t>
  </si>
  <si>
    <t>2026-03-04 09:28:53</t>
  </si>
  <si>
    <t>27765370918</t>
  </si>
  <si>
    <t>13561520</t>
  </si>
  <si>
    <t>d30c46a7-c6b3-43d2-b947-a59e512a24b4</t>
  </si>
  <si>
    <t>2026-03-04 09:28:50</t>
  </si>
  <si>
    <t>27729463722</t>
  </si>
  <si>
    <t>13561512</t>
  </si>
  <si>
    <t>cc4ab87f-ba96-4324-bcaf-b688efd7acbf</t>
  </si>
  <si>
    <t>2026-03-04 09:28:48</t>
  </si>
  <si>
    <t>27722546273</t>
  </si>
  <si>
    <t>13561641</t>
  </si>
  <si>
    <t>f50ca32c-2e65-41e1-844d-43d54649b589</t>
  </si>
  <si>
    <t>2026-03-04 09:28:04</t>
  </si>
  <si>
    <t>27743530043</t>
  </si>
  <si>
    <t>13561647</t>
  </si>
  <si>
    <t>f6344042-5da7-48fb-b270-b26dba1b2054</t>
  </si>
  <si>
    <t>27673820145</t>
  </si>
  <si>
    <t>13561639</t>
  </si>
  <si>
    <t>918c146e-9cdb-4a63-a33a-ceb119f18753</t>
  </si>
  <si>
    <t>2026-03-04 09:28:03</t>
  </si>
  <si>
    <t>27726723878</t>
  </si>
  <si>
    <t>13561803</t>
  </si>
  <si>
    <t>eeacd2cf-6a17-49cc-a2b9-f17cb9523758</t>
  </si>
  <si>
    <t>2026-03-04 09:27:26</t>
  </si>
  <si>
    <t>27714083482</t>
  </si>
  <si>
    <t>13561805</t>
  </si>
  <si>
    <t>ed2bd14f-2782-4e3a-b132-b912f40467df</t>
  </si>
  <si>
    <t>27636758422</t>
  </si>
  <si>
    <t>13561810</t>
  </si>
  <si>
    <t>343a0d5c-ae33-4471-9b9d-58cdf65cff52</t>
  </si>
  <si>
    <t>27766233847</t>
  </si>
  <si>
    <t>13561767</t>
  </si>
  <si>
    <t>91e9a9f2-dfc8-4274-8393-6dd8ec2b95d0</t>
  </si>
  <si>
    <t>2026-03-04 09:27:17</t>
  </si>
  <si>
    <t>27795917674</t>
  </si>
  <si>
    <t>13561761</t>
  </si>
  <si>
    <t>3ee5e819-eabb-4288-8997-de753ee95251</t>
  </si>
  <si>
    <t>2026-03-04 09:27:15</t>
  </si>
  <si>
    <t>27713147664</t>
  </si>
  <si>
    <t>13561755</t>
  </si>
  <si>
    <t>797e7171-8c5d-4da2-ba41-d68de569ca5b</t>
  </si>
  <si>
    <t>2026-03-04 09:26:51</t>
  </si>
  <si>
    <t>27764425485</t>
  </si>
  <si>
    <t>13561749</t>
  </si>
  <si>
    <t>d3f4639b-ec86-4fd8-ab7d-394cae7c68f2</t>
  </si>
  <si>
    <t>2026-03-04 09:26:50</t>
  </si>
  <si>
    <t>27768654070</t>
  </si>
  <si>
    <t>13555012</t>
  </si>
  <si>
    <t>d664de08-dd94-49b0-992d-90641b5ed2aa</t>
  </si>
  <si>
    <t>2026-03-04 09:26:42</t>
  </si>
  <si>
    <t>27637586996</t>
  </si>
  <si>
    <t>13555004</t>
  </si>
  <si>
    <t>ef614566-db18-44bb-8416-004b364cd7c5</t>
  </si>
  <si>
    <t>2026-03-04 09:26:39</t>
  </si>
  <si>
    <t>27637394097</t>
  </si>
  <si>
    <t>13561368</t>
  </si>
  <si>
    <t>9df16ad6-864e-4f33-9709-d35d081ae967</t>
  </si>
  <si>
    <t>2026-03-04 09:26:25</t>
  </si>
  <si>
    <t>27607606117</t>
  </si>
  <si>
    <t>13561363</t>
  </si>
  <si>
    <t>381d4ace-fdb7-4e8e-bec3-18d67888c5e3</t>
  </si>
  <si>
    <t>2026-03-04 09:26:24</t>
  </si>
  <si>
    <t>27726132604</t>
  </si>
  <si>
    <t>13561334</t>
  </si>
  <si>
    <t>e0571f4e-a399-438c-8cf8-788c9f3926f1</t>
  </si>
  <si>
    <t>2026-03-04 09:26:18</t>
  </si>
  <si>
    <t>27722963730</t>
  </si>
  <si>
    <t>13561347</t>
  </si>
  <si>
    <t>06dcb209-98b9-4f15-814a-7cd8fd939d16</t>
  </si>
  <si>
    <t>27712825636</t>
  </si>
  <si>
    <t>13561350</t>
  </si>
  <si>
    <t>a6ff2675-629a-4a14-96bb-e1afa7276c5f</t>
  </si>
  <si>
    <t>27608555814</t>
  </si>
  <si>
    <t>13561328</t>
  </si>
  <si>
    <t>2499cfd3-14bc-40e2-a056-8147dc1318de</t>
  </si>
  <si>
    <t>2026-03-04 09:26:15</t>
  </si>
  <si>
    <t>27646719389</t>
  </si>
  <si>
    <t>13556257</t>
  </si>
  <si>
    <t>646d2f6a-cbac-4724-96f1-9d4a2976fd15</t>
  </si>
  <si>
    <t>2026-03-04 09:25:40</t>
  </si>
  <si>
    <t>27722092709</t>
  </si>
  <si>
    <t>13561424</t>
  </si>
  <si>
    <t>c9b3976a-cd09-45cd-9507-cf942322688b</t>
  </si>
  <si>
    <t>2026-03-04 09:25:30</t>
  </si>
  <si>
    <t>27798043510</t>
  </si>
  <si>
    <t>13556326</t>
  </si>
  <si>
    <t>a0b448ac-0e26-490b-b90c-452c354560ff</t>
  </si>
  <si>
    <t>2026-03-04 09:24:43</t>
  </si>
  <si>
    <t>27722718733</t>
  </si>
  <si>
    <t>13562295</t>
  </si>
  <si>
    <t>6106d95a-91a6-4ea0-be7e-907b9cf72700</t>
  </si>
  <si>
    <t>2026-03-04 09:24:17</t>
  </si>
  <si>
    <t>27609493401</t>
  </si>
  <si>
    <t>13562293</t>
  </si>
  <si>
    <t>fa30687f-001f-4404-ae12-a0d2197157ce</t>
  </si>
  <si>
    <t>2026-03-04 09:24:16</t>
  </si>
  <si>
    <t>27795020166</t>
  </si>
  <si>
    <t>13562280</t>
  </si>
  <si>
    <t>f9a3b7f3-5741-430b-bb60-45c516cdeec6</t>
  </si>
  <si>
    <t>2026-03-04 09:24:10</t>
  </si>
  <si>
    <t>27646430329</t>
  </si>
  <si>
    <t>13562271</t>
  </si>
  <si>
    <t>a1a8bef2-08b4-4c76-a527-b0cf98fb161f</t>
  </si>
  <si>
    <t>2026-03-04 09:24:06</t>
  </si>
  <si>
    <t>27674915548</t>
  </si>
  <si>
    <t>13562260</t>
  </si>
  <si>
    <t>ad566dcf-eeec-40bd-a2e3-cc289fb778f8</t>
  </si>
  <si>
    <t>2026-03-04 09:24:04</t>
  </si>
  <si>
    <t>27761008475</t>
  </si>
  <si>
    <t>13562247</t>
  </si>
  <si>
    <t>1d5c41ee-8a12-42cc-82c4-4b2302152cda</t>
  </si>
  <si>
    <t>2026-03-04 09:23:45</t>
  </si>
  <si>
    <t>27815421549</t>
  </si>
  <si>
    <t>13562250</t>
  </si>
  <si>
    <t>15102d3c-4d5f-4980-bfa7-2c5ef7db423c</t>
  </si>
  <si>
    <t>27762379433</t>
  </si>
  <si>
    <t>13555283</t>
  </si>
  <si>
    <t>c267c39f-330b-44f9-b47f-a6b7aa0c75a4</t>
  </si>
  <si>
    <t>2026-03-04 09:23:32</t>
  </si>
  <si>
    <t>27661170027</t>
  </si>
  <si>
    <t>13562324</t>
  </si>
  <si>
    <t>aa635a81-0563-468d-a8b4-fe68d7562d07</t>
  </si>
  <si>
    <t>2026-03-04 09:22:54</t>
  </si>
  <si>
    <t>27637320831</t>
  </si>
  <si>
    <t>13562314</t>
  </si>
  <si>
    <t>ed796c61-cab6-4ea0-a3a4-cef096efe839</t>
  </si>
  <si>
    <t>2026-03-04 09:22:53</t>
  </si>
  <si>
    <t>27721854999</t>
  </si>
  <si>
    <t>13562321</t>
  </si>
  <si>
    <t>d2277d46-d402-47a5-8d4a-41a398778262</t>
  </si>
  <si>
    <t>27799040585</t>
  </si>
  <si>
    <t>13562313</t>
  </si>
  <si>
    <t>84d9d552-7572-4536-9031-81378315d797</t>
  </si>
  <si>
    <t>2026-03-04 09:22:52</t>
  </si>
  <si>
    <t>27721694303</t>
  </si>
  <si>
    <t>13555277</t>
  </si>
  <si>
    <t>ad89302f-23b9-41a1-98f4-9e43f819af60</t>
  </si>
  <si>
    <t>2026-03-04 09:22:46</t>
  </si>
  <si>
    <t>27661073496</t>
  </si>
  <si>
    <t>13561974</t>
  </si>
  <si>
    <t>b1689349-9f1c-4688-a9bf-4d4b5077c6cb</t>
  </si>
  <si>
    <t>2026-03-04 09:21:58</t>
  </si>
  <si>
    <t>27649654444</t>
  </si>
  <si>
    <t>13555304</t>
  </si>
  <si>
    <t>b0593720-161b-4779-8300-e7b557f4c839</t>
  </si>
  <si>
    <t>2026-03-04 09:21:38</t>
  </si>
  <si>
    <t>27661680812</t>
  </si>
  <si>
    <t>13555365</t>
  </si>
  <si>
    <t>7295ab4e-e517-4c7d-858c-23f96017e321</t>
  </si>
  <si>
    <t>2026-03-04 09:20:50</t>
  </si>
  <si>
    <t>27664089343</t>
  </si>
  <si>
    <t>13555360</t>
  </si>
  <si>
    <t>d0776759-854e-45bd-bdb7-67e595716c09</t>
  </si>
  <si>
    <t>2026-03-04 09:20:40</t>
  </si>
  <si>
    <t>27664021612</t>
  </si>
  <si>
    <t>13555390</t>
  </si>
  <si>
    <t>4b34cace-dc6f-4d20-b84c-ffd2fee8073a</t>
  </si>
  <si>
    <t>2026-03-04 09:20:39</t>
  </si>
  <si>
    <t>27664496800</t>
  </si>
  <si>
    <t>13555353</t>
  </si>
  <si>
    <t>2f4b2f4b-27f3-40e7-94e8-adce4f9876a8</t>
  </si>
  <si>
    <t>2026-03-04 09:20:38</t>
  </si>
  <si>
    <t>27663867528</t>
  </si>
  <si>
    <t>13562841</t>
  </si>
  <si>
    <t>a7c1e350-8ad3-4b17-9124-12cf48dfb9e5</t>
  </si>
  <si>
    <t>27765587818</t>
  </si>
  <si>
    <t>13562137</t>
  </si>
  <si>
    <t>9b18de1e-423c-4e5a-a836-4cae6be9097f</t>
  </si>
  <si>
    <t>2026-03-04 09:20:05</t>
  </si>
  <si>
    <t>27712991565</t>
  </si>
  <si>
    <t>13562113</t>
  </si>
  <si>
    <t>272a49db-1195-4bba-961f-a9c61d2d70cd</t>
  </si>
  <si>
    <t>2026-03-04 09:19:54</t>
  </si>
  <si>
    <t>27661957754</t>
  </si>
  <si>
    <t>13555380</t>
  </si>
  <si>
    <t>2d7cacb1-b844-41d9-8c64-a2299bd1bb9b</t>
  </si>
  <si>
    <t>2026-03-04 09:19:49</t>
  </si>
  <si>
    <t>27664274401</t>
  </si>
  <si>
    <t>13563924</t>
  </si>
  <si>
    <t>1813f836-8b2c-47f6-98e6-aa94b5f5d599</t>
  </si>
  <si>
    <t>2026-03-04 09:19:00</t>
  </si>
  <si>
    <t>27711704502</t>
  </si>
  <si>
    <t>13563931</t>
  </si>
  <si>
    <t>43d518be-f74b-46c1-93cb-077114579fb6</t>
  </si>
  <si>
    <t>27727398663</t>
  </si>
  <si>
    <t>13555715</t>
  </si>
  <si>
    <t>69de18fd-f2c7-4bf2-93bf-5424f1e29125</t>
  </si>
  <si>
    <t>2026-03-04 09:18:21</t>
  </si>
  <si>
    <t>27713153239</t>
  </si>
  <si>
    <t>13560806</t>
  </si>
  <si>
    <t>e900cc70-9aa5-40c0-adf1-d89916c6560f</t>
  </si>
  <si>
    <t>2026-03-04 09:17:51</t>
  </si>
  <si>
    <t>27661633001</t>
  </si>
  <si>
    <t>13563951</t>
  </si>
  <si>
    <t>4526e24a-818e-4a40-9c95-0e080a6e3619</t>
  </si>
  <si>
    <t>2026-03-04 09:17:50</t>
  </si>
  <si>
    <t>27674689315</t>
  </si>
  <si>
    <t>13563983</t>
  </si>
  <si>
    <t>16810b68-cb79-4ea3-b964-a595d49a2236</t>
  </si>
  <si>
    <t>2026-03-04 09:17:32</t>
  </si>
  <si>
    <t>27727229280</t>
  </si>
  <si>
    <t>13563984</t>
  </si>
  <si>
    <t>29210fa9-91f7-4832-9eec-3ef187b75f5e</t>
  </si>
  <si>
    <t>27761451215</t>
  </si>
  <si>
    <t>13563976</t>
  </si>
  <si>
    <t>a2bb93e6-29fa-4c59-9f1d-85cf05cb7e30</t>
  </si>
  <si>
    <t>2026-03-04 09:17:31</t>
  </si>
  <si>
    <t>27764633592</t>
  </si>
  <si>
    <t>13563968</t>
  </si>
  <si>
    <t>97df3776-203f-4ae2-9e9f-a8632d0f4796</t>
  </si>
  <si>
    <t>2026-03-04 09:17:03</t>
  </si>
  <si>
    <t>27769974214</t>
  </si>
  <si>
    <t>13555509</t>
  </si>
  <si>
    <t>6368006d-c975-4f36-9f5e-898e088470d7</t>
  </si>
  <si>
    <t>2026-03-04 09:16:48</t>
  </si>
  <si>
    <t>27675841923</t>
  </si>
  <si>
    <t>13555539</t>
  </si>
  <si>
    <t>70cb9871-b803-4702-9060-98de1124d39a</t>
  </si>
  <si>
    <t>2026-03-04 09:16:47</t>
  </si>
  <si>
    <t>27711295229</t>
  </si>
  <si>
    <t>13562476</t>
  </si>
  <si>
    <t>7da59901-0ff6-4298-9207-7b1c79c33992</t>
  </si>
  <si>
    <t>2026-03-04 09:16:16</t>
  </si>
  <si>
    <t>27761594961</t>
  </si>
  <si>
    <t>13562404</t>
  </si>
  <si>
    <t>51e62359-40b2-4272-9504-4c858bd3f2bb</t>
  </si>
  <si>
    <t>2026-03-04 09:15:19</t>
  </si>
  <si>
    <t>27769265346</t>
  </si>
  <si>
    <t>13562614</t>
  </si>
  <si>
    <t>9ea7dc57-d2d8-4972-8192-106545d57d34</t>
  </si>
  <si>
    <t>2026-03-04 09:14:30</t>
  </si>
  <si>
    <t>27714026625</t>
  </si>
  <si>
    <t>13562620</t>
  </si>
  <si>
    <t>5cfb73a8-9c27-47a1-82e0-648668c04cf5</t>
  </si>
  <si>
    <t>2026-03-04 09:14:29</t>
  </si>
  <si>
    <t>27647069373</t>
  </si>
  <si>
    <t>13562521</t>
  </si>
  <si>
    <t>75fa01a7-bc18-4b65-bfa7-76488600fe7e</t>
  </si>
  <si>
    <t>2026-03-04 09:13:50</t>
  </si>
  <si>
    <t>27714320544</t>
  </si>
  <si>
    <t>13562573</t>
  </si>
  <si>
    <t>707262aa-b61f-4ef5-8696-ba877cf6c9ae</t>
  </si>
  <si>
    <t>2026-03-04 09:13:11</t>
  </si>
  <si>
    <t>27762518000</t>
  </si>
  <si>
    <t>13562719</t>
  </si>
  <si>
    <t>bd2c306d-2ba7-41b9-b6dc-95a456929238</t>
  </si>
  <si>
    <t>2026-03-04 09:12:21</t>
  </si>
  <si>
    <t>27721191757</t>
  </si>
  <si>
    <t>13562685</t>
  </si>
  <si>
    <t>f54c68aa-44ee-4b35-b1d0-1a11c294c2e4</t>
  </si>
  <si>
    <t>2026-03-04 09:12:14</t>
  </si>
  <si>
    <t>27728687642</t>
  </si>
  <si>
    <t>13562681</t>
  </si>
  <si>
    <t>ab49a51d-6386-4ac0-acd4-3279898bad01</t>
  </si>
  <si>
    <t>2026-03-04 09:12:13</t>
  </si>
  <si>
    <t>27665955644</t>
  </si>
  <si>
    <t>13562817</t>
  </si>
  <si>
    <t>653853b3-d877-4f8c-b47b-f69eac43f16c</t>
  </si>
  <si>
    <t>2026-03-04 09:11:30</t>
  </si>
  <si>
    <t>27721784109</t>
  </si>
  <si>
    <t>13562787</t>
  </si>
  <si>
    <t>b4fe7ba6-3808-414b-b750-2f08be7e9ee3</t>
  </si>
  <si>
    <t>2026-03-04 09:11:25</t>
  </si>
  <si>
    <t>27673110587</t>
  </si>
  <si>
    <t>13562766</t>
  </si>
  <si>
    <t>b0b6911b-40a5-41f0-98a6-939b8921ae4d</t>
  </si>
  <si>
    <t>2026-03-04 09:11:23</t>
  </si>
  <si>
    <t>27728994170</t>
  </si>
  <si>
    <t>13563527</t>
  </si>
  <si>
    <t>2e8e8039-f27d-4792-abf9-ab5384a51b81</t>
  </si>
  <si>
    <t>27766438479</t>
  </si>
  <si>
    <t>13555564</t>
  </si>
  <si>
    <t>5db45a92-e733-44c8-8540-31a158454e13</t>
  </si>
  <si>
    <t>2026-03-04 09:10:36</t>
  </si>
  <si>
    <t>27711557904</t>
  </si>
  <si>
    <t>13555563</t>
  </si>
  <si>
    <t>320b9434-7a83-48f8-9b6f-145b5f90c7e0</t>
  </si>
  <si>
    <t>2026-03-04 09:10:35</t>
  </si>
  <si>
    <t>27711556600</t>
  </si>
  <si>
    <t>13555553</t>
  </si>
  <si>
    <t>20b95145-7e9b-4be1-b4e5-f0bd8152e928</t>
  </si>
  <si>
    <t>2026-03-04 09:10:34</t>
  </si>
  <si>
    <t>27711443194</t>
  </si>
  <si>
    <t>13562769</t>
  </si>
  <si>
    <t>91b1fd33-5118-445e-b4ba-c4f0bee24638</t>
  </si>
  <si>
    <t>2026-03-04 09:10:31</t>
  </si>
  <si>
    <t>27766668814</t>
  </si>
  <si>
    <t>13555589</t>
  </si>
  <si>
    <t>1c1d12cf-ee5b-4e13-b084-7a33c90bfc8c</t>
  </si>
  <si>
    <t>2026-03-04 09:09:50</t>
  </si>
  <si>
    <t>27711878848</t>
  </si>
  <si>
    <t>13555568</t>
  </si>
  <si>
    <t>e9a2a5f1-8853-4044-97ff-1ad19e6f1569</t>
  </si>
  <si>
    <t>2026-03-04 09:09:46</t>
  </si>
  <si>
    <t>27711575265</t>
  </si>
  <si>
    <t>13555628</t>
  </si>
  <si>
    <t>1a67dafd-d4cf-433b-9b27-28d2d385b274</t>
  </si>
  <si>
    <t>2026-03-04 09:09:44</t>
  </si>
  <si>
    <t>27712283632</t>
  </si>
  <si>
    <t>13555629</t>
  </si>
  <si>
    <t>9ee01af4-ccd0-4e5e-b4f2-bbdeb280a65a</t>
  </si>
  <si>
    <t>27712294336</t>
  </si>
  <si>
    <t>13555655</t>
  </si>
  <si>
    <t>6062a227-3855-437a-94e8-af3e821d525d</t>
  </si>
  <si>
    <t>2026-03-04 09:09:43</t>
  </si>
  <si>
    <t>27712591029</t>
  </si>
  <si>
    <t>13555673</t>
  </si>
  <si>
    <t>94b844b0-a1e9-47bc-bbdf-16a5f5188f8c</t>
  </si>
  <si>
    <t>2026-03-04 09:09:38</t>
  </si>
  <si>
    <t>27712839019</t>
  </si>
  <si>
    <t>13555625</t>
  </si>
  <si>
    <t>bc400f62-f7f8-46a6-9fd6-73766e3c95a9</t>
  </si>
  <si>
    <t>27712274764</t>
  </si>
  <si>
    <t>13555635</t>
  </si>
  <si>
    <t>4b113794-b22b-442a-a4d1-e4aae446f3a8</t>
  </si>
  <si>
    <t>2026-03-04 09:09:36</t>
  </si>
  <si>
    <t>27712372116</t>
  </si>
  <si>
    <t>13555578</t>
  </si>
  <si>
    <t>f8c72c4e-508f-469e-8547-8e20f5873560</t>
  </si>
  <si>
    <t>2026-03-04 09:09:35</t>
  </si>
  <si>
    <t>27711662395</t>
  </si>
  <si>
    <t>13562890</t>
  </si>
  <si>
    <t>25ae54b3-dfaa-423d-84ce-8d119c055f69</t>
  </si>
  <si>
    <t>2026-03-04 09:08:59</t>
  </si>
  <si>
    <t>27662445835</t>
  </si>
  <si>
    <t>13562872</t>
  </si>
  <si>
    <t>9b3aea42-d55d-4cca-bc2a-612c4e51a675</t>
  </si>
  <si>
    <t>2026-03-04 09:08:53</t>
  </si>
  <si>
    <t>27723366752</t>
  </si>
  <si>
    <t>13562854</t>
  </si>
  <si>
    <t>c7ab9a0c-4bd3-4aa1-80f2-8057afd0ec84</t>
  </si>
  <si>
    <t>2026-03-04 09:08:49</t>
  </si>
  <si>
    <t>27713873944</t>
  </si>
  <si>
    <t>13562834</t>
  </si>
  <si>
    <t>dc495dc9-f173-410e-b026-f47b96071f26</t>
  </si>
  <si>
    <t>2026-03-04 09:08:46</t>
  </si>
  <si>
    <t>27727408108</t>
  </si>
  <si>
    <t>13562932</t>
  </si>
  <si>
    <t>cf414559-1bbe-42f1-ba99-1db43d392d1d</t>
  </si>
  <si>
    <t>2026-03-04 09:08:11</t>
  </si>
  <si>
    <t>27762853918</t>
  </si>
  <si>
    <t>13562916</t>
  </si>
  <si>
    <t>fa4a0b3e-88c6-44c0-b72b-449c84670bad</t>
  </si>
  <si>
    <t>2026-03-04 09:08:08</t>
  </si>
  <si>
    <t>27662254206</t>
  </si>
  <si>
    <t>13563126</t>
  </si>
  <si>
    <t>2683de99-bb09-4a12-8ed8-13bd51e9da09</t>
  </si>
  <si>
    <t>2026-03-04 09:07:34</t>
  </si>
  <si>
    <t>27763480099</t>
  </si>
  <si>
    <t>13555736</t>
  </si>
  <si>
    <t>89e8de52-733b-47c1-bfb2-dfe189418c13</t>
  </si>
  <si>
    <t>2026-03-04 09:07:18</t>
  </si>
  <si>
    <t>27713402930</t>
  </si>
  <si>
    <t>13563097</t>
  </si>
  <si>
    <t>0b1e7b73-e3bf-4c50-b1ff-bd71dc60ed1b</t>
  </si>
  <si>
    <t>27765217851</t>
  </si>
  <si>
    <t>13563068</t>
  </si>
  <si>
    <t>0a096b74-abcc-454c-bfa8-9ea0f6e32a51</t>
  </si>
  <si>
    <t>2026-03-04 09:07:16</t>
  </si>
  <si>
    <t>27767967118</t>
  </si>
  <si>
    <t>13563019</t>
  </si>
  <si>
    <t>7dad146e-7cc6-4fe8-8a4e-eac9f9457f9b</t>
  </si>
  <si>
    <t>2026-03-04 09:07:07</t>
  </si>
  <si>
    <t>27721080375</t>
  </si>
  <si>
    <t>13563016</t>
  </si>
  <si>
    <t>65870b11-8654-49ed-8531-0d4ff9448025</t>
  </si>
  <si>
    <t>2026-03-04 09:07:06</t>
  </si>
  <si>
    <t>27760222841</t>
  </si>
  <si>
    <t>13563241</t>
  </si>
  <si>
    <t>703d6d21-8e9e-4828-8746-1c734122be77</t>
  </si>
  <si>
    <t>2026-03-04 09:06:19</t>
  </si>
  <si>
    <t>27715264009</t>
  </si>
  <si>
    <t>13563143</t>
  </si>
  <si>
    <t>9b60fb06-74a5-4244-a26a-5c5ada10ba40</t>
  </si>
  <si>
    <t>2026-03-04 09:06:08</t>
  </si>
  <si>
    <t>27711739620</t>
  </si>
  <si>
    <t>13563212</t>
  </si>
  <si>
    <t>917edebe-48d5-468b-a322-ee07d90c8a6b</t>
  </si>
  <si>
    <t>2026-03-04 09:05:16</t>
  </si>
  <si>
    <t>27765429062</t>
  </si>
  <si>
    <t>13563210</t>
  </si>
  <si>
    <t>939b56b9-c042-4eb4-bca3-13eed396470f</t>
  </si>
  <si>
    <t>2026-03-04 09:05:15</t>
  </si>
  <si>
    <t>27664926058</t>
  </si>
  <si>
    <t>13563201</t>
  </si>
  <si>
    <t>3da43b28-8a1d-4984-87a8-d268de26b6bc</t>
  </si>
  <si>
    <t>2026-03-04 09:05:14</t>
  </si>
  <si>
    <t>27721087403</t>
  </si>
  <si>
    <t>13563333</t>
  </si>
  <si>
    <t>f0339c3b-32b9-4cd6-93bc-cda5e59507a9</t>
  </si>
  <si>
    <t>2026-03-04 09:04:22</t>
  </si>
  <si>
    <t>27769082371</t>
  </si>
  <si>
    <t>13563339</t>
  </si>
  <si>
    <t>ee16ce2d-39f2-4ed6-abf8-428425a4cf2d</t>
  </si>
  <si>
    <t>27649673823</t>
  </si>
  <si>
    <t>13563296</t>
  </si>
  <si>
    <t>4738327c-9971-44b9-a974-338266bb61b6</t>
  </si>
  <si>
    <t>2026-03-04 09:04:15</t>
  </si>
  <si>
    <t>27723629574</t>
  </si>
  <si>
    <t>13563288</t>
  </si>
  <si>
    <t>d69da59a-5731-4ceb-aa13-68742278e02e</t>
  </si>
  <si>
    <t>2026-03-04 09:04:13</t>
  </si>
  <si>
    <t>27762000587</t>
  </si>
  <si>
    <t>13563270</t>
  </si>
  <si>
    <t>cac6f613-28ca-4391-af17-6533f1fb0415</t>
  </si>
  <si>
    <t>2026-03-04 09:04:09</t>
  </si>
  <si>
    <t>27729640620</t>
  </si>
  <si>
    <t>13563285</t>
  </si>
  <si>
    <t>fbfe12f3-5d7f-4ca0-86cb-4fa10c5dec4c</t>
  </si>
  <si>
    <t>27712429217</t>
  </si>
  <si>
    <t>13563490</t>
  </si>
  <si>
    <t>aee69026-8c8a-4edd-a9fb-456a2ac16e6f</t>
  </si>
  <si>
    <t>2026-03-04 09:03:23</t>
  </si>
  <si>
    <t>27766245334</t>
  </si>
  <si>
    <t>13563481</t>
  </si>
  <si>
    <t>dc0019b0-f0e8-4fbb-bcc5-6f1eb07fca8c</t>
  </si>
  <si>
    <t>2026-03-04 09:03:18</t>
  </si>
  <si>
    <t>27764596954</t>
  </si>
  <si>
    <t>13563459</t>
  </si>
  <si>
    <t>455b3dda-4261-4eca-bf84-cd42ca3707fa</t>
  </si>
  <si>
    <t>2026-03-04 09:03:14</t>
  </si>
  <si>
    <t>27728252951</t>
  </si>
  <si>
    <t>13563423</t>
  </si>
  <si>
    <t>806335b8-294a-4896-9252-a7f69bf04ee6</t>
  </si>
  <si>
    <t>2026-03-04 09:03:11</t>
  </si>
  <si>
    <t>27769667305</t>
  </si>
  <si>
    <t>13563432</t>
  </si>
  <si>
    <t>87c52dc5-fddb-4e74-b4d9-64a4883b8cc3</t>
  </si>
  <si>
    <t>27726533235</t>
  </si>
  <si>
    <t>13563402</t>
  </si>
  <si>
    <t>0e92d8e1-c59f-4c7e-a85e-c54f7e30447e</t>
  </si>
  <si>
    <t>2026-03-04 09:03:06</t>
  </si>
  <si>
    <t>27768947913</t>
  </si>
  <si>
    <t>13563572</t>
  </si>
  <si>
    <t>57011ab9-d27c-4ed6-acde-19848ee85c93</t>
  </si>
  <si>
    <t>2026-03-04 09:02:21</t>
  </si>
  <si>
    <t>27721122131</t>
  </si>
  <si>
    <t>13563542</t>
  </si>
  <si>
    <t>cd1b94c6-dd79-4a07-9c0e-24381a9e8c11</t>
  </si>
  <si>
    <t>2026-03-04 09:01:45</t>
  </si>
  <si>
    <t>27729174800</t>
  </si>
  <si>
    <t>13563539</t>
  </si>
  <si>
    <t>896701f4-306a-4f0d-a8b5-107a5981cf1d</t>
  </si>
  <si>
    <t>2026-03-04 09:01:41</t>
  </si>
  <si>
    <t>27714362138</t>
  </si>
  <si>
    <t>13563507</t>
  </si>
  <si>
    <t>cd73ef30-7ac6-47ff-a8da-5b7c983ac88f</t>
  </si>
  <si>
    <t>2026-03-04 09:01:37</t>
  </si>
  <si>
    <t>27606030086</t>
  </si>
  <si>
    <t>13555684</t>
  </si>
  <si>
    <t>724123c0-8d55-48df-884f-7cf360d4581a</t>
  </si>
  <si>
    <t>2026-03-04 09:00:48</t>
  </si>
  <si>
    <t>27712934756</t>
  </si>
  <si>
    <t>13563658</t>
  </si>
  <si>
    <t>a0f7b144-dfdb-4910-b525-a3cb663f11db</t>
  </si>
  <si>
    <t>27725145158</t>
  </si>
  <si>
    <t>13563661</t>
  </si>
  <si>
    <t>5a0961d1-b24f-4aee-b47a-5475778ec463</t>
  </si>
  <si>
    <t>27673978374</t>
  </si>
  <si>
    <t>13563655</t>
  </si>
  <si>
    <t>7662e7e4-53b6-4ef3-a513-8735f1f44106</t>
  </si>
  <si>
    <t>2026-03-04 09:00:47</t>
  </si>
  <si>
    <t>27714553502</t>
  </si>
  <si>
    <t>13563638</t>
  </si>
  <si>
    <t>6d81bb48-cd58-4490-8fc5-b7c67546d613</t>
  </si>
  <si>
    <t>2026-03-04 09:00:43</t>
  </si>
  <si>
    <t>27716935044</t>
  </si>
  <si>
    <t>13563639</t>
  </si>
  <si>
    <t>6e968e5a-9dbd-4f8f-949b-22eebbc81dce</t>
  </si>
  <si>
    <t>27768361412</t>
  </si>
  <si>
    <t>13563631</t>
  </si>
  <si>
    <t>5ba18dba-db53-47ee-b56d-62ed93cab1db</t>
  </si>
  <si>
    <t>2026-03-04 09:00:41</t>
  </si>
  <si>
    <t>27674809202</t>
  </si>
  <si>
    <t>13563633</t>
  </si>
  <si>
    <t>04e6468a-9970-409d-9eab-966f12e744af</t>
  </si>
  <si>
    <t>27713256890</t>
  </si>
  <si>
    <t>13555686</t>
  </si>
  <si>
    <t>f00600d9-9203-4af2-b264-8e089e3c3ba1</t>
  </si>
  <si>
    <t>2026-03-04 09:00:39</t>
  </si>
  <si>
    <t>27712944595</t>
  </si>
  <si>
    <t>13563625</t>
  </si>
  <si>
    <t>26801051-497b-4009-8ff8-fb32f504a47c</t>
  </si>
  <si>
    <t>2026-03-04 09:00:38</t>
  </si>
  <si>
    <t>27736775893</t>
  </si>
  <si>
    <t>13563623</t>
  </si>
  <si>
    <t>d5b9a6bd-8939-408e-8942-711229c4ffae</t>
  </si>
  <si>
    <t>2026-03-04 09:00:37</t>
  </si>
  <si>
    <t>27712671000</t>
  </si>
  <si>
    <t>13563591</t>
  </si>
  <si>
    <t>4df3a702-6928-456f-8007-d25dc15b9ef1</t>
  </si>
  <si>
    <t>2026-03-04 09:00:00</t>
  </si>
  <si>
    <t>27608637261</t>
  </si>
  <si>
    <t>13563592</t>
  </si>
  <si>
    <t>e1bf281a-9ee1-4a89-9f1d-97ac708f91ce</t>
  </si>
  <si>
    <t>27609282143</t>
  </si>
  <si>
    <t>13563732</t>
  </si>
  <si>
    <t>46056567-cf9b-4498-bda4-08eaa7588416</t>
  </si>
  <si>
    <t>2026-03-04 08:59:21</t>
  </si>
  <si>
    <t>27607545524</t>
  </si>
  <si>
    <t>13563699</t>
  </si>
  <si>
    <t>e132cca2-ae9c-4777-aac5-d63acd750918</t>
  </si>
  <si>
    <t>2026-03-04 08:59:19</t>
  </si>
  <si>
    <t>27724196883</t>
  </si>
  <si>
    <t>13563700</t>
  </si>
  <si>
    <t>2e327eeb-5547-4ba0-a75e-fc513ea377b0</t>
  </si>
  <si>
    <t>27609277160</t>
  </si>
  <si>
    <t>13563702</t>
  </si>
  <si>
    <t>16f8c5b0-619f-4d1d-8af7-b590bb76ccc9</t>
  </si>
  <si>
    <t>27674984277</t>
  </si>
  <si>
    <t>13563782</t>
  </si>
  <si>
    <t>3dc40cc7-15a5-491e-bf67-a1ae1a7aba91</t>
  </si>
  <si>
    <t>2026-03-04 08:58:09</t>
  </si>
  <si>
    <t>27782549037</t>
  </si>
  <si>
    <t>13563751</t>
  </si>
  <si>
    <t>2282ee0f-1454-47a7-bd04-0dea1afe2514</t>
  </si>
  <si>
    <t>2026-03-04 08:58:06</t>
  </si>
  <si>
    <t>27713456316</t>
  </si>
  <si>
    <t>13563756</t>
  </si>
  <si>
    <t>fb8f2076-649d-4950-bd84-bd7ea79c936d</t>
  </si>
  <si>
    <t>27769452473</t>
  </si>
  <si>
    <t>13564491</t>
  </si>
  <si>
    <t>79a76fc0-2921-43dc-950d-f03ba28e50e0</t>
  </si>
  <si>
    <t>2026-03-04 08:57:25</t>
  </si>
  <si>
    <t>27637034504</t>
  </si>
  <si>
    <t>13564160</t>
  </si>
  <si>
    <t>aa016574-e663-4eab-baeb-d112a1913302</t>
  </si>
  <si>
    <t>2026-03-04 08:57:23</t>
  </si>
  <si>
    <t>27713669849</t>
  </si>
  <si>
    <t>13564087</t>
  </si>
  <si>
    <t>dc38daa0-1091-4ea0-8b9d-b8f376e297e0</t>
  </si>
  <si>
    <t>2026-03-04 08:57:21</t>
  </si>
  <si>
    <t>27723439638</t>
  </si>
  <si>
    <t>13564085</t>
  </si>
  <si>
    <t>a21e7bbd-cdba-4974-90c2-fec9e5384a05</t>
  </si>
  <si>
    <t>2026-03-04 08:57:20</t>
  </si>
  <si>
    <t>27720637993</t>
  </si>
  <si>
    <t>13564069</t>
  </si>
  <si>
    <t>7e3b4f77-5b79-4adf-8d9c-99b89a425861</t>
  </si>
  <si>
    <t>2026-03-04 08:57:17</t>
  </si>
  <si>
    <t>27663821935</t>
  </si>
  <si>
    <t>13564068</t>
  </si>
  <si>
    <t>21dd678e-acf7-4711-a870-2b4c60229d32</t>
  </si>
  <si>
    <t>2026-03-04 08:57:16</t>
  </si>
  <si>
    <t>27661679992</t>
  </si>
  <si>
    <t>13564141</t>
  </si>
  <si>
    <t>8205ef91-3e95-47bd-8736-7ce5d5fbc1c8</t>
  </si>
  <si>
    <t>2026-03-04 08:56:27</t>
  </si>
  <si>
    <t>27725606578</t>
  </si>
  <si>
    <t>13564143</t>
  </si>
  <si>
    <t>1c8f85d1-7e82-446d-863c-c6b2595c4836</t>
  </si>
  <si>
    <t>27726118561</t>
  </si>
  <si>
    <t>13564119</t>
  </si>
  <si>
    <t>9b5df228-5733-4d75-83be-3e5f1568177e</t>
  </si>
  <si>
    <t>2026-03-04 08:56:21</t>
  </si>
  <si>
    <t>27727994387</t>
  </si>
  <si>
    <t>13564232</t>
  </si>
  <si>
    <t>a8ba06a6-b87b-49a6-8280-4e5a12c71c2e</t>
  </si>
  <si>
    <t>2026-03-04 08:55:10</t>
  </si>
  <si>
    <t>27637047871</t>
  </si>
  <si>
    <t>13564210</t>
  </si>
  <si>
    <t>8b692e3b-1d7e-488d-b375-d89c704f19f9</t>
  </si>
  <si>
    <t>2026-03-04 08:55:05</t>
  </si>
  <si>
    <t>27649776750</t>
  </si>
  <si>
    <t>13564345</t>
  </si>
  <si>
    <t>ac422ddb-dbce-401b-8682-367140079e2b</t>
  </si>
  <si>
    <t>2026-03-04 08:54:20</t>
  </si>
  <si>
    <t>27722554693</t>
  </si>
  <si>
    <t>13564294</t>
  </si>
  <si>
    <t>bb26e114-f290-470f-8a2d-ef9338e80d4d</t>
  </si>
  <si>
    <t>2026-03-04 08:54:15</t>
  </si>
  <si>
    <t>27721955181</t>
  </si>
  <si>
    <t>13564270</t>
  </si>
  <si>
    <t>63ebc487-69c2-41df-8f87-1c17d241cc72</t>
  </si>
  <si>
    <t>2026-03-04 08:54:01</t>
  </si>
  <si>
    <t>27780868786</t>
  </si>
  <si>
    <t>13564340</t>
  </si>
  <si>
    <t>1274ab42-47fa-4c3e-b764-ad2e929949df</t>
  </si>
  <si>
    <t>2026-03-04 08:53:25</t>
  </si>
  <si>
    <t>27715350292</t>
  </si>
  <si>
    <t>13564315</t>
  </si>
  <si>
    <t>c2877268-2667-4524-9f50-06bbc5c68793</t>
  </si>
  <si>
    <t>2026-03-04 08:52:56</t>
  </si>
  <si>
    <t>27721163764</t>
  </si>
  <si>
    <t>13564388</t>
  </si>
  <si>
    <t>6f2756e9-2759-4cf4-a75c-efcb5d6caab7</t>
  </si>
  <si>
    <t>2026-03-04 08:52:01</t>
  </si>
  <si>
    <t>27767845935</t>
  </si>
  <si>
    <t>13564361</t>
  </si>
  <si>
    <t>d452d15a-11bc-49b8-919e-44d38700aeff</t>
  </si>
  <si>
    <t>2026-03-04 08:51:54</t>
  </si>
  <si>
    <t>27647834661</t>
  </si>
  <si>
    <t>13564451</t>
  </si>
  <si>
    <t>8bea6080-082a-4fee-8022-b5f1893388ff</t>
  </si>
  <si>
    <t>2026-03-04 08:51:24</t>
  </si>
  <si>
    <t>27790840367</t>
  </si>
  <si>
    <t>13564456</t>
  </si>
  <si>
    <t>d9e32c82-ab23-4af1-8837-d92847e480bc</t>
  </si>
  <si>
    <t>27763833169</t>
  </si>
  <si>
    <t>13564409</t>
  </si>
  <si>
    <t>f9471731-531a-4619-8017-2d1a54385f65</t>
  </si>
  <si>
    <t>2026-03-04 08:51:13</t>
  </si>
  <si>
    <t>27766628013</t>
  </si>
  <si>
    <t>13564881</t>
  </si>
  <si>
    <t>f507006c-4773-40db-bde3-51e58277dcc0</t>
  </si>
  <si>
    <t>2026-03-04 08:50:26</t>
  </si>
  <si>
    <t>27608978263</t>
  </si>
  <si>
    <t>13564609</t>
  </si>
  <si>
    <t>ffbb74ca-050e-4aa8-a464-d0369d125967</t>
  </si>
  <si>
    <t>2026-03-04 08:50:16</t>
  </si>
  <si>
    <t>27714124285</t>
  </si>
  <si>
    <t>13564546</t>
  </si>
  <si>
    <t>1974604d-2b4e-44b8-b50e-b0914ca4ca1d</t>
  </si>
  <si>
    <t>2026-03-04 08:50:12</t>
  </si>
  <si>
    <t>27725093399</t>
  </si>
  <si>
    <t>13564638</t>
  </si>
  <si>
    <t>3f75a6eb-1893-4791-ae09-1f3b2cd50605</t>
  </si>
  <si>
    <t>2026-03-04 08:49:05</t>
  </si>
  <si>
    <t>27724295360</t>
  </si>
  <si>
    <t>13564583</t>
  </si>
  <si>
    <t>62ad9266-57dd-4801-b909-516b6ec55522</t>
  </si>
  <si>
    <t>27647572979</t>
  </si>
  <si>
    <t>13564567</t>
  </si>
  <si>
    <t>f5392845-d100-4f5b-92c8-2b87df67528d</t>
  </si>
  <si>
    <t>2026-03-04 08:48:57</t>
  </si>
  <si>
    <t>27749623248</t>
  </si>
  <si>
    <t>13564565</t>
  </si>
  <si>
    <t>23b94c17-618e-4613-9f2a-0e8b547a54d7</t>
  </si>
  <si>
    <t>2026-03-04 08:48:56</t>
  </si>
  <si>
    <t>27648110998</t>
  </si>
  <si>
    <t>13564684</t>
  </si>
  <si>
    <t>33ae2e77-74d4-441c-8db0-353635f18459</t>
  </si>
  <si>
    <t>2026-03-04 08:48:01</t>
  </si>
  <si>
    <t>27792347171</t>
  </si>
  <si>
    <t>13564682</t>
  </si>
  <si>
    <t>9fb684de-d07a-4e70-a1bb-8b97d957f3e3</t>
  </si>
  <si>
    <t>2026-03-04 08:48:00</t>
  </si>
  <si>
    <t>27761641750</t>
  </si>
  <si>
    <t>13564640</t>
  </si>
  <si>
    <t>81d4662f-6784-48a9-aa6b-30a6f7ab6dc8</t>
  </si>
  <si>
    <t>2026-03-04 08:47:53</t>
  </si>
  <si>
    <t>27790433300</t>
  </si>
  <si>
    <t>13564645</t>
  </si>
  <si>
    <t>4096033e-5fcb-4e51-99cb-5505217665c7</t>
  </si>
  <si>
    <t>2026-03-04 08:47:52</t>
  </si>
  <si>
    <t>27646389885</t>
  </si>
  <si>
    <t>13564697</t>
  </si>
  <si>
    <t>3ff03ccf-7fcb-4e0f-a131-aa8af4656678</t>
  </si>
  <si>
    <t>2026-03-04 08:47:05</t>
  </si>
  <si>
    <t>27606054458</t>
  </si>
  <si>
    <t>13564691</t>
  </si>
  <si>
    <t>9a91f385-11ed-4085-94ae-eb36a67abd3e</t>
  </si>
  <si>
    <t>2026-03-04 08:47:00</t>
  </si>
  <si>
    <t>27606821713</t>
  </si>
  <si>
    <t>13564690</t>
  </si>
  <si>
    <t>d34b8b0f-98c7-44c0-97c5-d9b13eda65da</t>
  </si>
  <si>
    <t>2026-03-04 08:46:59</t>
  </si>
  <si>
    <t>27606840238</t>
  </si>
  <si>
    <t>13564870</t>
  </si>
  <si>
    <t>56344c41-453a-4aa3-8b3f-0cc09ebacea0</t>
  </si>
  <si>
    <t>2026-03-04 08:46:22</t>
  </si>
  <si>
    <t>27608824348</t>
  </si>
  <si>
    <t>13555703</t>
  </si>
  <si>
    <t>c14ef806-e880-402c-8016-f6e236b0e9da</t>
  </si>
  <si>
    <t>2026-03-04 08:45:35</t>
  </si>
  <si>
    <t>27713078654</t>
  </si>
  <si>
    <t>13564841</t>
  </si>
  <si>
    <t>25bd5fc0-d7bf-4738-a094-0650b0dc76cc</t>
  </si>
  <si>
    <t>2026-03-04 08:45:32</t>
  </si>
  <si>
    <t>27608313152</t>
  </si>
  <si>
    <t>13564828</t>
  </si>
  <si>
    <t>a06fc9ac-d13b-46c0-9e5c-4fcd5ccc8b35</t>
  </si>
  <si>
    <t>2026-03-04 08:45:30</t>
  </si>
  <si>
    <t>27608100386</t>
  </si>
  <si>
    <t>13564829</t>
  </si>
  <si>
    <t>61fc95c3-a427-4e8f-81bf-1b049455b685</t>
  </si>
  <si>
    <t>27608108530</t>
  </si>
  <si>
    <t>13564823</t>
  </si>
  <si>
    <t>2f9617fa-54b6-4062-b3ea-05d8302266ee</t>
  </si>
  <si>
    <t>2026-03-04 08:45:29</t>
  </si>
  <si>
    <t>27607989304</t>
  </si>
  <si>
    <t>13564806</t>
  </si>
  <si>
    <t>78ed561d-bab3-4325-8090-c654bf15349f</t>
  </si>
  <si>
    <t>2026-03-04 08:44:44</t>
  </si>
  <si>
    <t>27607721156</t>
  </si>
  <si>
    <t>13560541</t>
  </si>
  <si>
    <t>d6485f8a-096b-4710-86c5-eef375fabcff</t>
  </si>
  <si>
    <t>2026-03-04 08:44:13</t>
  </si>
  <si>
    <t>27766403279</t>
  </si>
  <si>
    <t>13555185</t>
  </si>
  <si>
    <t>3b80d32a-1bfa-4f17-82fa-de62ee6838db</t>
  </si>
  <si>
    <t>2026-03-04 08:43:33</t>
  </si>
  <si>
    <t>27649462623</t>
  </si>
  <si>
    <t>13555188</t>
  </si>
  <si>
    <t>2ff4cf27-0c59-4aef-beb7-083b408e56c6</t>
  </si>
  <si>
    <t>27649492555</t>
  </si>
  <si>
    <t>13555184</t>
  </si>
  <si>
    <t>43b10e9e-fe48-44c1-a4f7-62b804fc6393</t>
  </si>
  <si>
    <t>2026-03-04 08:43:32</t>
  </si>
  <si>
    <t>27649460633</t>
  </si>
  <si>
    <t>13555150</t>
  </si>
  <si>
    <t>b77cbe1f-7f39-4260-8c0a-34f20bade25c</t>
  </si>
  <si>
    <t>2026-03-04 08:43:29</t>
  </si>
  <si>
    <t>27648753326</t>
  </si>
  <si>
    <t>13555130</t>
  </si>
  <si>
    <t>3a2b1350-a70f-4509-9081-66d0bdfe8bed</t>
  </si>
  <si>
    <t>2026-03-04 08:43:27</t>
  </si>
  <si>
    <t>27648432113</t>
  </si>
  <si>
    <t>13555122</t>
  </si>
  <si>
    <t>33370549-d3cf-4bae-9040-6001cade9fc7</t>
  </si>
  <si>
    <t>2026-03-04 08:43:24</t>
  </si>
  <si>
    <t>27648361588</t>
  </si>
  <si>
    <t>13555097</t>
  </si>
  <si>
    <t>b62c60cd-adb2-445d-bf3d-7b9ade38ceb5</t>
  </si>
  <si>
    <t>2026-03-04 08:42:46</t>
  </si>
  <si>
    <t>27647824645</t>
  </si>
  <si>
    <t>13555093</t>
  </si>
  <si>
    <t>5e6365a9-3a55-4964-9660-86b34c79e209</t>
  </si>
  <si>
    <t>2026-03-04 08:42:45</t>
  </si>
  <si>
    <t>27647676450</t>
  </si>
  <si>
    <t>13555079</t>
  </si>
  <si>
    <t>1f941adf-cadb-44c2-988a-8f20abecc9e7</t>
  </si>
  <si>
    <t>2026-03-04 08:42:44</t>
  </si>
  <si>
    <t>27647049036</t>
  </si>
  <si>
    <t>13555054</t>
  </si>
  <si>
    <t>82919ac9-998f-477b-8bdd-da1a9b6f7da9</t>
  </si>
  <si>
    <t>2026-03-04 08:42:33</t>
  </si>
  <si>
    <t>27646442958</t>
  </si>
  <si>
    <t>13555048</t>
  </si>
  <si>
    <t>c3c66f84-8381-41b3-96ec-f42d7d1717b1</t>
  </si>
  <si>
    <t>2026-03-04 08:42:32</t>
  </si>
  <si>
    <t>27646330929</t>
  </si>
  <si>
    <t>13555049</t>
  </si>
  <si>
    <t>d97bfe30-12d4-46ff-84ab-d9b819f5ae47</t>
  </si>
  <si>
    <t>27646339771</t>
  </si>
  <si>
    <t>13555582</t>
  </si>
  <si>
    <t>edafbe0f-2a63-4289-971a-8be3c1e5a601</t>
  </si>
  <si>
    <t>27711753762</t>
  </si>
  <si>
    <t>13555839</t>
  </si>
  <si>
    <t>f90da579-668e-4437-8db8-c4540fe8a01b</t>
  </si>
  <si>
    <t>27714684045</t>
  </si>
  <si>
    <t>13555920</t>
  </si>
  <si>
    <t>27715512087</t>
  </si>
  <si>
    <t>13556969</t>
  </si>
  <si>
    <t>67c1578e-07ed-47c3-b4eb-d90f8d41794f</t>
  </si>
  <si>
    <t>27729100589</t>
  </si>
  <si>
    <t>13557277</t>
  </si>
  <si>
    <t>27762007926</t>
  </si>
  <si>
    <t>13557330</t>
  </si>
  <si>
    <t>5527b675-d20c-472a-a0f3-317362361006</t>
  </si>
  <si>
    <t>27762584558</t>
  </si>
  <si>
    <t>13557367</t>
  </si>
  <si>
    <t>6fcd541e-2255-4734-9356-bb6c7316cb3d</t>
  </si>
  <si>
    <t>27762941865</t>
  </si>
  <si>
    <t>13557709</t>
  </si>
  <si>
    <t>27766612281</t>
  </si>
  <si>
    <t>13557949</t>
  </si>
  <si>
    <t>27768980565</t>
  </si>
  <si>
    <t>13558548</t>
  </si>
  <si>
    <t>b9dfbf46-f7fa-4524-873a-fd7dd6e981b6</t>
  </si>
  <si>
    <t>27795353350</t>
  </si>
  <si>
    <t>13558241</t>
  </si>
  <si>
    <t>65171d9a-7064-416f-9331-c99253b5c270</t>
  </si>
  <si>
    <t>27791679249</t>
  </si>
  <si>
    <t>13558910</t>
  </si>
  <si>
    <t>27799914034</t>
  </si>
  <si>
    <t>13559135</t>
  </si>
  <si>
    <t>27823451073</t>
  </si>
  <si>
    <t>13559794</t>
  </si>
  <si>
    <t>27713369474</t>
  </si>
  <si>
    <t>13561270</t>
  </si>
  <si>
    <t>6d0c2335-d1be-4131-ab21-5a59eed20579</t>
  </si>
  <si>
    <t>27726442839</t>
  </si>
  <si>
    <t>13560431</t>
  </si>
  <si>
    <t>27660691488</t>
  </si>
  <si>
    <t>13560738</t>
  </si>
  <si>
    <t>27711947490</t>
  </si>
  <si>
    <t>13561069</t>
  </si>
  <si>
    <t>27722375046</t>
  </si>
  <si>
    <t>13561123</t>
  </si>
  <si>
    <t>27720904540</t>
  </si>
  <si>
    <t>13561189</t>
  </si>
  <si>
    <t>7a19b1d2-85a8-4247-ab6e-12c793cffe10</t>
  </si>
  <si>
    <t>27637114862</t>
  </si>
  <si>
    <t>13561721</t>
  </si>
  <si>
    <t>27791270214</t>
  </si>
  <si>
    <t>13561817</t>
  </si>
  <si>
    <t>27799014726</t>
  </si>
  <si>
    <t>13561383</t>
  </si>
  <si>
    <t>27663249602</t>
  </si>
  <si>
    <t>13563104</t>
  </si>
  <si>
    <t>98251478-27cc-413d-94c1-4ee0a2dda84c</t>
  </si>
  <si>
    <t>27715756133</t>
  </si>
  <si>
    <t>13564498</t>
  </si>
  <si>
    <t>210c3b1e-5dc7-470d-8958-a6711ef4313e</t>
  </si>
  <si>
    <t>27723375906</t>
  </si>
  <si>
    <t>13564741</t>
  </si>
  <si>
    <t>e24ec505-82a5-46a3-849d-745158e54d68</t>
  </si>
  <si>
    <t>27606670299</t>
  </si>
  <si>
    <t>13555443</t>
  </si>
  <si>
    <t>27665724307</t>
  </si>
  <si>
    <t>Count</t>
  </si>
  <si>
    <t>Grand Total</t>
  </si>
  <si>
    <t>Clientele Bellringer Leads Campaign Analysis</t>
  </si>
  <si>
    <t>Unsuccessful Contacts</t>
  </si>
  <si>
    <t>Lead Count</t>
  </si>
  <si>
    <t>Interested in Deal?</t>
  </si>
  <si>
    <t>Successful Contacts</t>
  </si>
  <si>
    <t>True Contacts</t>
  </si>
  <si>
    <t>Disconnected Number Auto</t>
  </si>
  <si>
    <t>New</t>
  </si>
  <si>
    <t>Inbound After Hours Drop</t>
  </si>
  <si>
    <t>TPS Registered Number</t>
  </si>
  <si>
    <t>Outbound Pre-Routing Drop</t>
  </si>
  <si>
    <t>CONGESTED</t>
  </si>
  <si>
    <t>Flow Inbound Abandon</t>
  </si>
  <si>
    <t>Missed</t>
  </si>
  <si>
    <t>Answered</t>
  </si>
  <si>
    <t>Customer drop</t>
  </si>
  <si>
    <t>Disconnected Number Temporary</t>
  </si>
  <si>
    <t>Sale Made - Completed Mandate</t>
  </si>
  <si>
    <t>Sale Made - Pending Mandate</t>
  </si>
  <si>
    <t>Tyme Bank Account Sale</t>
  </si>
  <si>
    <t>QA Rework</t>
  </si>
  <si>
    <t>No Smartphones</t>
  </si>
  <si>
    <t>Right Party Not Available</t>
  </si>
  <si>
    <t>Non SA Citizen</t>
  </si>
  <si>
    <t>No Bank Account</t>
  </si>
  <si>
    <t>Client Underage</t>
  </si>
  <si>
    <t>Go To The Branch</t>
  </si>
  <si>
    <t>Completed</t>
  </si>
  <si>
    <t>Cannot Afford Upfront Payment</t>
  </si>
  <si>
    <t>Account Suspended</t>
  </si>
  <si>
    <t>Insured at another company</t>
  </si>
  <si>
    <t>Scheduled Appointment</t>
  </si>
  <si>
    <t>Refund Request</t>
  </si>
  <si>
    <t>Does Not Have a Business</t>
  </si>
  <si>
    <t>Refer To Store - Doesn't want to complete online</t>
  </si>
  <si>
    <t>Does Not Need It Now</t>
  </si>
  <si>
    <t>Technical Issue</t>
  </si>
  <si>
    <t>CallBack</t>
  </si>
  <si>
    <t>Not Interested Upfront</t>
  </si>
  <si>
    <t>Cannot Afford Premium</t>
  </si>
  <si>
    <t>Not interested - Pitched</t>
  </si>
  <si>
    <t>Quoted Client Not Interested</t>
  </si>
  <si>
    <t>Not interested business does not use speed point mac</t>
  </si>
  <si>
    <t>Call Back Technical Error</t>
  </si>
  <si>
    <t>Cannot Afford</t>
  </si>
  <si>
    <t>Not Interested Household Contents</t>
  </si>
  <si>
    <t>Call Back Hold</t>
  </si>
  <si>
    <t>Declined Sale</t>
  </si>
  <si>
    <t>TOTAL LEADS DIALLED</t>
  </si>
  <si>
    <t>CAMPAIGN STATISTICS</t>
  </si>
  <si>
    <t>True Contacts (TC)</t>
  </si>
  <si>
    <t>Unworkable Leads</t>
  </si>
  <si>
    <t>Conversions</t>
  </si>
  <si>
    <t>Conversion Ratio (vs TC)</t>
  </si>
  <si>
    <t>Contact Ratio</t>
  </si>
  <si>
    <t>Top 5 Statuses</t>
  </si>
  <si>
    <t>% Contribution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</si>
</sst>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4" fontId="2" fillId="3" borderId="1" xfId="0" applyNumberFormat="1" applyFont="1" applyFill="1" applyBorder="1"/>
    <xf numFmtId="0" fontId="3" fillId="0" borderId="0" xfId="0" applyFont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000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D2" t="s">
        <v>40</v>
      </c>
      <c r="E2" t="s">
        <v>41</v>
      </c>
      <c r="J2" t="s">
        <v>42</v>
      </c>
      <c r="K2" t="s">
        <v>43</v>
      </c>
      <c r="L2">
        <v>10</v>
      </c>
      <c r="M2" t="s">
        <v>44</v>
      </c>
      <c r="N2" t="s">
        <v>45</v>
      </c>
      <c r="O2" t="s">
        <v>46</v>
      </c>
      <c r="P2" t="s">
        <v>46</v>
      </c>
      <c r="Y2" t="s">
        <v>47</v>
      </c>
    </row>
    <row r="3" spans="1:38">
      <c r="A3" t="s">
        <v>48</v>
      </c>
      <c r="B3" t="s">
        <v>49</v>
      </c>
      <c r="D3" t="s">
        <v>40</v>
      </c>
      <c r="E3" t="s">
        <v>41</v>
      </c>
      <c r="J3" t="s">
        <v>50</v>
      </c>
      <c r="K3" t="s">
        <v>51</v>
      </c>
      <c r="L3">
        <v>12</v>
      </c>
      <c r="M3" t="s">
        <v>52</v>
      </c>
      <c r="N3" t="s">
        <v>53</v>
      </c>
      <c r="O3" t="s">
        <v>46</v>
      </c>
      <c r="P3" t="s">
        <v>46</v>
      </c>
      <c r="Y3" t="s">
        <v>54</v>
      </c>
    </row>
    <row r="4" spans="1:38">
      <c r="A4" t="s">
        <v>55</v>
      </c>
      <c r="B4" t="s">
        <v>56</v>
      </c>
      <c r="D4" t="s">
        <v>40</v>
      </c>
      <c r="E4" t="s">
        <v>41</v>
      </c>
      <c r="J4" t="s">
        <v>42</v>
      </c>
      <c r="K4" t="s">
        <v>43</v>
      </c>
      <c r="L4">
        <v>13</v>
      </c>
      <c r="M4" t="s">
        <v>57</v>
      </c>
      <c r="N4" t="s">
        <v>58</v>
      </c>
      <c r="O4" t="s">
        <v>46</v>
      </c>
      <c r="P4" t="s">
        <v>46</v>
      </c>
      <c r="Y4" t="s">
        <v>59</v>
      </c>
    </row>
    <row r="5" spans="1:38">
      <c r="A5" t="s">
        <v>60</v>
      </c>
      <c r="B5" t="s">
        <v>61</v>
      </c>
      <c r="D5" t="s">
        <v>40</v>
      </c>
      <c r="E5" t="s">
        <v>41</v>
      </c>
      <c r="J5" t="s">
        <v>62</v>
      </c>
      <c r="K5" t="s">
        <v>63</v>
      </c>
      <c r="L5">
        <v>11</v>
      </c>
      <c r="M5" t="s">
        <v>57</v>
      </c>
      <c r="N5" t="s">
        <v>64</v>
      </c>
      <c r="O5" t="s">
        <v>46</v>
      </c>
      <c r="P5" t="s">
        <v>46</v>
      </c>
      <c r="Y5" t="s">
        <v>65</v>
      </c>
    </row>
    <row r="6" spans="1:38">
      <c r="A6" t="s">
        <v>66</v>
      </c>
      <c r="B6" t="s">
        <v>67</v>
      </c>
      <c r="D6" t="s">
        <v>40</v>
      </c>
      <c r="E6" t="s">
        <v>41</v>
      </c>
      <c r="J6" t="s">
        <v>68</v>
      </c>
      <c r="K6" t="s">
        <v>69</v>
      </c>
      <c r="L6">
        <v>11</v>
      </c>
      <c r="M6" t="s">
        <v>57</v>
      </c>
      <c r="N6" t="s">
        <v>64</v>
      </c>
      <c r="O6" t="s">
        <v>46</v>
      </c>
      <c r="P6" t="s">
        <v>46</v>
      </c>
      <c r="Y6" t="s">
        <v>70</v>
      </c>
    </row>
    <row r="7" spans="1:38">
      <c r="A7" t="s">
        <v>71</v>
      </c>
      <c r="B7" t="s">
        <v>72</v>
      </c>
      <c r="D7" t="s">
        <v>40</v>
      </c>
      <c r="E7" t="s">
        <v>41</v>
      </c>
      <c r="J7" t="s">
        <v>68</v>
      </c>
      <c r="K7" t="s">
        <v>69</v>
      </c>
      <c r="L7">
        <v>11</v>
      </c>
      <c r="M7" t="s">
        <v>57</v>
      </c>
      <c r="N7" t="s">
        <v>64</v>
      </c>
      <c r="O7" t="s">
        <v>46</v>
      </c>
      <c r="P7" t="s">
        <v>46</v>
      </c>
      <c r="Y7" t="s">
        <v>73</v>
      </c>
    </row>
    <row r="8" spans="1:38">
      <c r="A8" t="s">
        <v>74</v>
      </c>
      <c r="B8" t="s">
        <v>75</v>
      </c>
      <c r="D8" t="s">
        <v>40</v>
      </c>
      <c r="E8" t="s">
        <v>41</v>
      </c>
      <c r="J8" t="s">
        <v>76</v>
      </c>
      <c r="K8" t="s">
        <v>77</v>
      </c>
      <c r="L8">
        <v>11</v>
      </c>
      <c r="M8" t="s">
        <v>78</v>
      </c>
      <c r="N8" t="s">
        <v>64</v>
      </c>
      <c r="O8" t="s">
        <v>46</v>
      </c>
      <c r="P8" t="s">
        <v>46</v>
      </c>
      <c r="Y8" t="s">
        <v>79</v>
      </c>
    </row>
    <row r="9" spans="1:38">
      <c r="A9" t="s">
        <v>80</v>
      </c>
      <c r="B9" t="s">
        <v>81</v>
      </c>
      <c r="D9" t="s">
        <v>40</v>
      </c>
      <c r="E9" t="s">
        <v>41</v>
      </c>
      <c r="J9" t="s">
        <v>68</v>
      </c>
      <c r="K9" t="s">
        <v>69</v>
      </c>
      <c r="L9">
        <v>11</v>
      </c>
      <c r="M9" t="s">
        <v>78</v>
      </c>
      <c r="N9" t="s">
        <v>64</v>
      </c>
      <c r="O9" t="s">
        <v>46</v>
      </c>
      <c r="P9" t="s">
        <v>46</v>
      </c>
      <c r="Y9" t="s">
        <v>82</v>
      </c>
    </row>
    <row r="10" spans="1:38">
      <c r="A10" t="s">
        <v>83</v>
      </c>
      <c r="B10" t="s">
        <v>84</v>
      </c>
      <c r="D10" t="s">
        <v>40</v>
      </c>
      <c r="E10" t="s">
        <v>41</v>
      </c>
      <c r="J10" t="s">
        <v>76</v>
      </c>
      <c r="K10" t="s">
        <v>77</v>
      </c>
      <c r="L10">
        <v>11</v>
      </c>
      <c r="M10" t="s">
        <v>85</v>
      </c>
      <c r="N10" t="s">
        <v>64</v>
      </c>
      <c r="O10" t="s">
        <v>46</v>
      </c>
      <c r="P10" t="s">
        <v>46</v>
      </c>
      <c r="Y10" t="s">
        <v>86</v>
      </c>
    </row>
    <row r="11" spans="1:38">
      <c r="A11" t="s">
        <v>87</v>
      </c>
      <c r="B11" t="s">
        <v>88</v>
      </c>
      <c r="D11" t="s">
        <v>40</v>
      </c>
      <c r="E11" t="s">
        <v>41</v>
      </c>
      <c r="J11" t="s">
        <v>68</v>
      </c>
      <c r="K11" t="s">
        <v>69</v>
      </c>
      <c r="L11">
        <v>11</v>
      </c>
      <c r="M11" t="s">
        <v>85</v>
      </c>
      <c r="N11" t="s">
        <v>64</v>
      </c>
      <c r="O11" t="s">
        <v>46</v>
      </c>
      <c r="P11" t="s">
        <v>46</v>
      </c>
      <c r="Y11" t="s">
        <v>89</v>
      </c>
    </row>
    <row r="12" spans="1:38">
      <c r="A12" t="s">
        <v>90</v>
      </c>
      <c r="B12" t="s">
        <v>91</v>
      </c>
      <c r="D12" t="s">
        <v>40</v>
      </c>
      <c r="E12" t="s">
        <v>41</v>
      </c>
      <c r="J12" t="s">
        <v>68</v>
      </c>
      <c r="K12" t="s">
        <v>69</v>
      </c>
      <c r="L12">
        <v>11</v>
      </c>
      <c r="M12" t="s">
        <v>85</v>
      </c>
      <c r="N12" t="s">
        <v>64</v>
      </c>
      <c r="O12" t="s">
        <v>46</v>
      </c>
      <c r="P12" t="s">
        <v>46</v>
      </c>
      <c r="Y12" t="s">
        <v>92</v>
      </c>
    </row>
    <row r="13" spans="1:38">
      <c r="A13" t="s">
        <v>93</v>
      </c>
      <c r="B13" t="s">
        <v>94</v>
      </c>
      <c r="D13" t="s">
        <v>40</v>
      </c>
      <c r="E13" t="s">
        <v>41</v>
      </c>
      <c r="J13" t="s">
        <v>68</v>
      </c>
      <c r="K13" t="s">
        <v>69</v>
      </c>
      <c r="L13">
        <v>11</v>
      </c>
      <c r="M13" t="s">
        <v>85</v>
      </c>
      <c r="N13" t="s">
        <v>64</v>
      </c>
      <c r="O13" t="s">
        <v>46</v>
      </c>
      <c r="P13" t="s">
        <v>46</v>
      </c>
      <c r="Y13" t="s">
        <v>95</v>
      </c>
    </row>
    <row r="14" spans="1:38">
      <c r="A14" t="s">
        <v>96</v>
      </c>
      <c r="B14" t="s">
        <v>97</v>
      </c>
      <c r="D14" t="s">
        <v>40</v>
      </c>
      <c r="E14" t="s">
        <v>41</v>
      </c>
      <c r="J14" t="s">
        <v>68</v>
      </c>
      <c r="K14" t="s">
        <v>69</v>
      </c>
      <c r="L14">
        <v>11</v>
      </c>
      <c r="M14" t="s">
        <v>85</v>
      </c>
      <c r="N14" t="s">
        <v>64</v>
      </c>
      <c r="O14" t="s">
        <v>46</v>
      </c>
      <c r="P14" t="s">
        <v>46</v>
      </c>
      <c r="Y14" t="s">
        <v>98</v>
      </c>
    </row>
    <row r="15" spans="1:38">
      <c r="A15" t="s">
        <v>99</v>
      </c>
      <c r="B15" t="s">
        <v>100</v>
      </c>
      <c r="D15" t="s">
        <v>40</v>
      </c>
      <c r="E15" t="s">
        <v>41</v>
      </c>
      <c r="J15" t="s">
        <v>68</v>
      </c>
      <c r="K15" t="s">
        <v>69</v>
      </c>
      <c r="L15">
        <v>11</v>
      </c>
      <c r="M15" t="s">
        <v>85</v>
      </c>
      <c r="N15" t="s">
        <v>64</v>
      </c>
      <c r="O15" t="s">
        <v>46</v>
      </c>
      <c r="P15" t="s">
        <v>46</v>
      </c>
      <c r="Y15" t="s">
        <v>101</v>
      </c>
    </row>
    <row r="16" spans="1:38">
      <c r="A16" t="s">
        <v>102</v>
      </c>
      <c r="B16" t="s">
        <v>103</v>
      </c>
      <c r="D16" t="s">
        <v>40</v>
      </c>
      <c r="E16" t="s">
        <v>41</v>
      </c>
      <c r="J16" t="s">
        <v>68</v>
      </c>
      <c r="K16" t="s">
        <v>69</v>
      </c>
      <c r="L16">
        <v>11</v>
      </c>
      <c r="M16" t="s">
        <v>85</v>
      </c>
      <c r="N16" t="s">
        <v>64</v>
      </c>
      <c r="O16" t="s">
        <v>46</v>
      </c>
      <c r="P16" t="s">
        <v>46</v>
      </c>
      <c r="Y16" t="s">
        <v>104</v>
      </c>
    </row>
    <row r="17" spans="1:25">
      <c r="A17" t="s">
        <v>105</v>
      </c>
      <c r="B17" t="s">
        <v>106</v>
      </c>
      <c r="D17" t="s">
        <v>40</v>
      </c>
      <c r="E17" t="s">
        <v>41</v>
      </c>
      <c r="J17" t="s">
        <v>68</v>
      </c>
      <c r="K17" t="s">
        <v>69</v>
      </c>
      <c r="L17">
        <v>11</v>
      </c>
      <c r="M17" t="s">
        <v>85</v>
      </c>
      <c r="N17" t="s">
        <v>64</v>
      </c>
      <c r="O17" t="s">
        <v>46</v>
      </c>
      <c r="P17" t="s">
        <v>46</v>
      </c>
      <c r="Y17" t="s">
        <v>107</v>
      </c>
    </row>
    <row r="18" spans="1:25">
      <c r="A18" t="s">
        <v>108</v>
      </c>
      <c r="B18" t="s">
        <v>109</v>
      </c>
      <c r="D18" t="s">
        <v>40</v>
      </c>
      <c r="E18" t="s">
        <v>41</v>
      </c>
      <c r="J18" t="s">
        <v>76</v>
      </c>
      <c r="K18" t="s">
        <v>77</v>
      </c>
      <c r="L18">
        <v>11</v>
      </c>
      <c r="M18" t="s">
        <v>110</v>
      </c>
      <c r="N18" t="s">
        <v>64</v>
      </c>
      <c r="O18" t="s">
        <v>46</v>
      </c>
      <c r="P18" t="s">
        <v>46</v>
      </c>
      <c r="Y18" t="s">
        <v>111</v>
      </c>
    </row>
    <row r="19" spans="1:25">
      <c r="A19" t="s">
        <v>112</v>
      </c>
      <c r="B19" t="s">
        <v>113</v>
      </c>
      <c r="D19" t="s">
        <v>40</v>
      </c>
      <c r="E19" t="s">
        <v>41</v>
      </c>
      <c r="J19" t="s">
        <v>68</v>
      </c>
      <c r="K19" t="s">
        <v>69</v>
      </c>
      <c r="L19">
        <v>11</v>
      </c>
      <c r="M19" t="s">
        <v>110</v>
      </c>
      <c r="N19" t="s">
        <v>64</v>
      </c>
      <c r="O19" t="s">
        <v>46</v>
      </c>
      <c r="P19" t="s">
        <v>46</v>
      </c>
      <c r="Y19" t="s">
        <v>114</v>
      </c>
    </row>
    <row r="20" spans="1:25">
      <c r="A20" t="s">
        <v>115</v>
      </c>
      <c r="B20" t="s">
        <v>116</v>
      </c>
      <c r="D20" t="s">
        <v>40</v>
      </c>
      <c r="E20" t="s">
        <v>41</v>
      </c>
      <c r="J20" t="s">
        <v>62</v>
      </c>
      <c r="K20" t="s">
        <v>63</v>
      </c>
      <c r="L20">
        <v>11</v>
      </c>
      <c r="M20" t="s">
        <v>110</v>
      </c>
      <c r="N20" t="s">
        <v>64</v>
      </c>
      <c r="O20" t="s">
        <v>46</v>
      </c>
      <c r="P20" t="s">
        <v>46</v>
      </c>
      <c r="Y20" t="s">
        <v>117</v>
      </c>
    </row>
    <row r="21" spans="1:25">
      <c r="A21" t="s">
        <v>118</v>
      </c>
      <c r="B21" t="s">
        <v>119</v>
      </c>
      <c r="D21" t="s">
        <v>40</v>
      </c>
      <c r="E21" t="s">
        <v>41</v>
      </c>
      <c r="J21" t="s">
        <v>68</v>
      </c>
      <c r="K21" t="s">
        <v>69</v>
      </c>
      <c r="L21">
        <v>11</v>
      </c>
      <c r="M21" t="s">
        <v>110</v>
      </c>
      <c r="N21" t="s">
        <v>64</v>
      </c>
      <c r="O21" t="s">
        <v>46</v>
      </c>
      <c r="P21" t="s">
        <v>46</v>
      </c>
      <c r="Y21" t="s">
        <v>120</v>
      </c>
    </row>
    <row r="22" spans="1:25">
      <c r="A22" t="s">
        <v>121</v>
      </c>
      <c r="B22" t="s">
        <v>122</v>
      </c>
      <c r="D22" t="s">
        <v>40</v>
      </c>
      <c r="E22" t="s">
        <v>41</v>
      </c>
      <c r="J22" t="s">
        <v>68</v>
      </c>
      <c r="K22" t="s">
        <v>69</v>
      </c>
      <c r="L22">
        <v>11</v>
      </c>
      <c r="M22" t="s">
        <v>110</v>
      </c>
      <c r="N22" t="s">
        <v>64</v>
      </c>
      <c r="O22" t="s">
        <v>46</v>
      </c>
      <c r="P22" t="s">
        <v>46</v>
      </c>
      <c r="Y22" t="s">
        <v>123</v>
      </c>
    </row>
    <row r="23" spans="1:25">
      <c r="A23" t="s">
        <v>124</v>
      </c>
      <c r="B23" t="s">
        <v>125</v>
      </c>
      <c r="D23" t="s">
        <v>40</v>
      </c>
      <c r="E23" t="s">
        <v>41</v>
      </c>
      <c r="J23" t="s">
        <v>68</v>
      </c>
      <c r="K23" t="s">
        <v>69</v>
      </c>
      <c r="L23">
        <v>11</v>
      </c>
      <c r="M23" t="s">
        <v>126</v>
      </c>
      <c r="N23" t="s">
        <v>64</v>
      </c>
      <c r="O23" t="s">
        <v>46</v>
      </c>
      <c r="P23" t="s">
        <v>46</v>
      </c>
      <c r="Y23" t="s">
        <v>127</v>
      </c>
    </row>
    <row r="24" spans="1:25">
      <c r="A24" t="s">
        <v>128</v>
      </c>
      <c r="B24" t="s">
        <v>129</v>
      </c>
      <c r="D24" t="s">
        <v>40</v>
      </c>
      <c r="E24" t="s">
        <v>41</v>
      </c>
      <c r="J24" t="s">
        <v>62</v>
      </c>
      <c r="K24" t="s">
        <v>63</v>
      </c>
      <c r="L24">
        <v>11</v>
      </c>
      <c r="M24" t="s">
        <v>126</v>
      </c>
      <c r="N24" t="s">
        <v>64</v>
      </c>
      <c r="O24" t="s">
        <v>46</v>
      </c>
      <c r="P24" t="s">
        <v>46</v>
      </c>
      <c r="Y24" t="s">
        <v>130</v>
      </c>
    </row>
    <row r="25" spans="1:25">
      <c r="A25" t="s">
        <v>131</v>
      </c>
      <c r="B25" t="s">
        <v>132</v>
      </c>
      <c r="D25" t="s">
        <v>40</v>
      </c>
      <c r="E25" t="s">
        <v>41</v>
      </c>
      <c r="J25" t="s">
        <v>68</v>
      </c>
      <c r="K25" t="s">
        <v>69</v>
      </c>
      <c r="L25">
        <v>11</v>
      </c>
      <c r="M25" t="s">
        <v>126</v>
      </c>
      <c r="N25" t="s">
        <v>64</v>
      </c>
      <c r="O25" t="s">
        <v>46</v>
      </c>
      <c r="P25" t="s">
        <v>46</v>
      </c>
      <c r="Y25" t="s">
        <v>133</v>
      </c>
    </row>
    <row r="26" spans="1:25">
      <c r="A26" t="s">
        <v>134</v>
      </c>
      <c r="B26" t="s">
        <v>135</v>
      </c>
      <c r="D26" t="s">
        <v>40</v>
      </c>
      <c r="E26" t="s">
        <v>41</v>
      </c>
      <c r="J26" t="s">
        <v>68</v>
      </c>
      <c r="K26" t="s">
        <v>69</v>
      </c>
      <c r="L26">
        <v>11</v>
      </c>
      <c r="M26" t="s">
        <v>126</v>
      </c>
      <c r="N26" t="s">
        <v>64</v>
      </c>
      <c r="O26" t="s">
        <v>46</v>
      </c>
      <c r="P26" t="s">
        <v>46</v>
      </c>
      <c r="Y26" t="s">
        <v>136</v>
      </c>
    </row>
    <row r="27" spans="1:25">
      <c r="A27" t="s">
        <v>137</v>
      </c>
      <c r="B27" t="s">
        <v>138</v>
      </c>
      <c r="D27" t="s">
        <v>40</v>
      </c>
      <c r="E27" t="s">
        <v>41</v>
      </c>
      <c r="J27" t="s">
        <v>139</v>
      </c>
      <c r="K27" t="s">
        <v>140</v>
      </c>
      <c r="L27">
        <v>11</v>
      </c>
      <c r="M27" t="s">
        <v>141</v>
      </c>
      <c r="N27" t="s">
        <v>142</v>
      </c>
      <c r="O27" t="s">
        <v>46</v>
      </c>
      <c r="P27" t="s">
        <v>46</v>
      </c>
      <c r="Y27" t="s">
        <v>143</v>
      </c>
    </row>
    <row r="28" spans="1:25">
      <c r="A28" t="s">
        <v>144</v>
      </c>
      <c r="B28" t="s">
        <v>145</v>
      </c>
      <c r="D28" t="s">
        <v>40</v>
      </c>
      <c r="E28" t="s">
        <v>41</v>
      </c>
      <c r="J28" t="s">
        <v>68</v>
      </c>
      <c r="K28" t="s">
        <v>69</v>
      </c>
      <c r="L28">
        <v>11</v>
      </c>
      <c r="M28" t="s">
        <v>141</v>
      </c>
      <c r="N28" t="s">
        <v>64</v>
      </c>
      <c r="O28" t="s">
        <v>46</v>
      </c>
      <c r="P28" t="s">
        <v>46</v>
      </c>
      <c r="Y28" t="s">
        <v>146</v>
      </c>
    </row>
    <row r="29" spans="1:25">
      <c r="A29" t="s">
        <v>147</v>
      </c>
      <c r="B29" t="s">
        <v>148</v>
      </c>
      <c r="D29" t="s">
        <v>40</v>
      </c>
      <c r="E29" t="s">
        <v>41</v>
      </c>
      <c r="J29" t="s">
        <v>68</v>
      </c>
      <c r="K29" t="s">
        <v>69</v>
      </c>
      <c r="L29">
        <v>11</v>
      </c>
      <c r="M29" t="s">
        <v>141</v>
      </c>
      <c r="N29" t="s">
        <v>64</v>
      </c>
      <c r="O29" t="s">
        <v>46</v>
      </c>
      <c r="P29" t="s">
        <v>46</v>
      </c>
      <c r="Y29" t="s">
        <v>149</v>
      </c>
    </row>
    <row r="30" spans="1:25">
      <c r="A30" t="s">
        <v>150</v>
      </c>
      <c r="B30" t="s">
        <v>151</v>
      </c>
      <c r="D30" t="s">
        <v>40</v>
      </c>
      <c r="E30" t="s">
        <v>41</v>
      </c>
      <c r="J30" t="s">
        <v>76</v>
      </c>
      <c r="K30" t="s">
        <v>77</v>
      </c>
      <c r="L30">
        <v>11</v>
      </c>
      <c r="M30" t="s">
        <v>141</v>
      </c>
      <c r="N30" t="s">
        <v>64</v>
      </c>
      <c r="O30" t="s">
        <v>46</v>
      </c>
      <c r="P30" t="s">
        <v>46</v>
      </c>
      <c r="Y30" t="s">
        <v>152</v>
      </c>
    </row>
    <row r="31" spans="1:25">
      <c r="A31" t="s">
        <v>153</v>
      </c>
      <c r="B31" t="s">
        <v>154</v>
      </c>
      <c r="D31" t="s">
        <v>40</v>
      </c>
      <c r="E31" t="s">
        <v>41</v>
      </c>
      <c r="J31" t="s">
        <v>68</v>
      </c>
      <c r="K31" t="s">
        <v>69</v>
      </c>
      <c r="L31">
        <v>11</v>
      </c>
      <c r="M31" t="s">
        <v>141</v>
      </c>
      <c r="N31" t="s">
        <v>64</v>
      </c>
      <c r="O31" t="s">
        <v>46</v>
      </c>
      <c r="P31" t="s">
        <v>46</v>
      </c>
      <c r="Y31" t="s">
        <v>155</v>
      </c>
    </row>
    <row r="32" spans="1:25">
      <c r="A32" t="s">
        <v>156</v>
      </c>
      <c r="B32" t="s">
        <v>157</v>
      </c>
      <c r="D32" t="s">
        <v>40</v>
      </c>
      <c r="E32" t="s">
        <v>41</v>
      </c>
      <c r="J32" t="s">
        <v>76</v>
      </c>
      <c r="K32" t="s">
        <v>77</v>
      </c>
      <c r="L32">
        <v>11</v>
      </c>
      <c r="M32" t="s">
        <v>141</v>
      </c>
      <c r="N32" t="s">
        <v>64</v>
      </c>
      <c r="O32" t="s">
        <v>46</v>
      </c>
      <c r="P32" t="s">
        <v>46</v>
      </c>
      <c r="Y32" t="s">
        <v>158</v>
      </c>
    </row>
    <row r="33" spans="1:25">
      <c r="A33" t="s">
        <v>159</v>
      </c>
      <c r="B33" t="s">
        <v>160</v>
      </c>
      <c r="D33" t="s">
        <v>40</v>
      </c>
      <c r="E33" t="s">
        <v>41</v>
      </c>
      <c r="J33" t="s">
        <v>68</v>
      </c>
      <c r="K33" t="s">
        <v>69</v>
      </c>
      <c r="L33">
        <v>11</v>
      </c>
      <c r="M33" t="s">
        <v>141</v>
      </c>
      <c r="N33" t="s">
        <v>64</v>
      </c>
      <c r="O33" t="s">
        <v>46</v>
      </c>
      <c r="P33" t="s">
        <v>46</v>
      </c>
      <c r="Y33" t="s">
        <v>161</v>
      </c>
    </row>
    <row r="34" spans="1:25">
      <c r="A34" t="s">
        <v>162</v>
      </c>
      <c r="B34" t="s">
        <v>163</v>
      </c>
      <c r="D34" t="s">
        <v>40</v>
      </c>
      <c r="E34" t="s">
        <v>41</v>
      </c>
      <c r="J34" t="s">
        <v>139</v>
      </c>
      <c r="K34" t="s">
        <v>140</v>
      </c>
      <c r="L34">
        <v>11</v>
      </c>
      <c r="M34" t="s">
        <v>164</v>
      </c>
      <c r="N34" t="s">
        <v>165</v>
      </c>
      <c r="O34" t="s">
        <v>46</v>
      </c>
      <c r="P34" t="s">
        <v>46</v>
      </c>
      <c r="Y34" t="s">
        <v>166</v>
      </c>
    </row>
    <row r="35" spans="1:25">
      <c r="A35" t="s">
        <v>167</v>
      </c>
      <c r="B35" t="s">
        <v>168</v>
      </c>
      <c r="D35" t="s">
        <v>40</v>
      </c>
      <c r="E35" t="s">
        <v>41</v>
      </c>
      <c r="J35" t="s">
        <v>68</v>
      </c>
      <c r="K35" t="s">
        <v>69</v>
      </c>
      <c r="L35">
        <v>11</v>
      </c>
      <c r="M35" t="s">
        <v>164</v>
      </c>
      <c r="N35" t="s">
        <v>64</v>
      </c>
      <c r="O35" t="s">
        <v>46</v>
      </c>
      <c r="P35" t="s">
        <v>46</v>
      </c>
      <c r="Y35" t="s">
        <v>169</v>
      </c>
    </row>
    <row r="36" spans="1:25">
      <c r="A36" t="s">
        <v>170</v>
      </c>
      <c r="B36" t="s">
        <v>171</v>
      </c>
      <c r="D36" t="s">
        <v>40</v>
      </c>
      <c r="E36" t="s">
        <v>41</v>
      </c>
      <c r="J36" t="s">
        <v>42</v>
      </c>
      <c r="K36" t="s">
        <v>43</v>
      </c>
      <c r="L36">
        <v>5</v>
      </c>
      <c r="M36" t="s">
        <v>172</v>
      </c>
      <c r="N36" t="s">
        <v>173</v>
      </c>
      <c r="O36" t="s">
        <v>46</v>
      </c>
      <c r="P36" t="s">
        <v>46</v>
      </c>
      <c r="Y36" t="s">
        <v>174</v>
      </c>
    </row>
    <row r="37" spans="1:25">
      <c r="A37" t="s">
        <v>175</v>
      </c>
      <c r="B37" t="s">
        <v>176</v>
      </c>
      <c r="D37" t="s">
        <v>40</v>
      </c>
      <c r="E37" t="s">
        <v>41</v>
      </c>
      <c r="J37" t="s">
        <v>42</v>
      </c>
      <c r="K37" t="s">
        <v>43</v>
      </c>
      <c r="L37">
        <v>10</v>
      </c>
      <c r="M37" t="s">
        <v>177</v>
      </c>
      <c r="N37" t="s">
        <v>178</v>
      </c>
      <c r="O37" t="s">
        <v>46</v>
      </c>
      <c r="P37" t="s">
        <v>46</v>
      </c>
      <c r="Y37" t="s">
        <v>179</v>
      </c>
    </row>
    <row r="38" spans="1:25">
      <c r="A38" t="s">
        <v>180</v>
      </c>
      <c r="B38" t="s">
        <v>181</v>
      </c>
      <c r="D38" t="s">
        <v>40</v>
      </c>
      <c r="E38" t="s">
        <v>41</v>
      </c>
      <c r="J38" t="s">
        <v>182</v>
      </c>
      <c r="K38" t="s">
        <v>183</v>
      </c>
      <c r="L38">
        <v>11</v>
      </c>
      <c r="M38" t="s">
        <v>184</v>
      </c>
      <c r="N38" t="s">
        <v>64</v>
      </c>
      <c r="O38" t="s">
        <v>46</v>
      </c>
      <c r="P38" t="s">
        <v>46</v>
      </c>
      <c r="Y38" t="s">
        <v>185</v>
      </c>
    </row>
    <row r="39" spans="1:25">
      <c r="A39" t="s">
        <v>186</v>
      </c>
      <c r="B39" t="s">
        <v>187</v>
      </c>
      <c r="D39" t="s">
        <v>40</v>
      </c>
      <c r="E39" t="s">
        <v>41</v>
      </c>
      <c r="J39" t="s">
        <v>68</v>
      </c>
      <c r="K39" t="s">
        <v>69</v>
      </c>
      <c r="L39">
        <v>11</v>
      </c>
      <c r="M39" t="s">
        <v>184</v>
      </c>
      <c r="N39" t="s">
        <v>64</v>
      </c>
      <c r="O39" t="s">
        <v>46</v>
      </c>
      <c r="P39" t="s">
        <v>46</v>
      </c>
      <c r="Y39" t="s">
        <v>188</v>
      </c>
    </row>
    <row r="40" spans="1:25">
      <c r="A40" t="s">
        <v>189</v>
      </c>
      <c r="B40" t="s">
        <v>190</v>
      </c>
      <c r="D40" t="s">
        <v>40</v>
      </c>
      <c r="E40" t="s">
        <v>41</v>
      </c>
      <c r="J40" t="s">
        <v>68</v>
      </c>
      <c r="K40" t="s">
        <v>69</v>
      </c>
      <c r="L40">
        <v>11</v>
      </c>
      <c r="M40" t="s">
        <v>184</v>
      </c>
      <c r="N40" t="s">
        <v>64</v>
      </c>
      <c r="O40" t="s">
        <v>46</v>
      </c>
      <c r="P40" t="s">
        <v>46</v>
      </c>
      <c r="Y40" t="s">
        <v>191</v>
      </c>
    </row>
    <row r="41" spans="1:25">
      <c r="A41" t="s">
        <v>192</v>
      </c>
      <c r="B41" t="s">
        <v>193</v>
      </c>
      <c r="D41" t="s">
        <v>40</v>
      </c>
      <c r="E41" t="s">
        <v>41</v>
      </c>
      <c r="J41" t="s">
        <v>68</v>
      </c>
      <c r="K41" t="s">
        <v>69</v>
      </c>
      <c r="L41">
        <v>11</v>
      </c>
      <c r="M41" t="s">
        <v>184</v>
      </c>
      <c r="N41" t="s">
        <v>64</v>
      </c>
      <c r="O41" t="s">
        <v>46</v>
      </c>
      <c r="P41" t="s">
        <v>46</v>
      </c>
      <c r="Y41" t="s">
        <v>194</v>
      </c>
    </row>
    <row r="42" spans="1:25">
      <c r="A42" t="s">
        <v>195</v>
      </c>
      <c r="B42" t="s">
        <v>196</v>
      </c>
      <c r="D42" t="s">
        <v>40</v>
      </c>
      <c r="E42" t="s">
        <v>41</v>
      </c>
      <c r="J42" t="s">
        <v>182</v>
      </c>
      <c r="K42" t="s">
        <v>183</v>
      </c>
      <c r="L42">
        <v>11</v>
      </c>
      <c r="M42" t="s">
        <v>197</v>
      </c>
      <c r="N42" t="s">
        <v>64</v>
      </c>
      <c r="O42" t="s">
        <v>46</v>
      </c>
      <c r="P42" t="s">
        <v>46</v>
      </c>
      <c r="Y42" t="s">
        <v>198</v>
      </c>
    </row>
    <row r="43" spans="1:25">
      <c r="A43" t="s">
        <v>199</v>
      </c>
      <c r="B43" t="s">
        <v>200</v>
      </c>
      <c r="D43" t="s">
        <v>40</v>
      </c>
      <c r="E43" t="s">
        <v>41</v>
      </c>
      <c r="J43" t="s">
        <v>68</v>
      </c>
      <c r="K43" t="s">
        <v>69</v>
      </c>
      <c r="L43">
        <v>11</v>
      </c>
      <c r="M43" t="s">
        <v>197</v>
      </c>
      <c r="N43" t="s">
        <v>64</v>
      </c>
      <c r="O43" t="s">
        <v>46</v>
      </c>
      <c r="P43" t="s">
        <v>46</v>
      </c>
      <c r="Y43" t="s">
        <v>201</v>
      </c>
    </row>
    <row r="44" spans="1:25">
      <c r="A44" t="s">
        <v>202</v>
      </c>
      <c r="B44" t="s">
        <v>203</v>
      </c>
      <c r="D44" t="s">
        <v>40</v>
      </c>
      <c r="E44" t="s">
        <v>41</v>
      </c>
      <c r="J44" t="s">
        <v>182</v>
      </c>
      <c r="K44" t="s">
        <v>183</v>
      </c>
      <c r="L44">
        <v>11</v>
      </c>
      <c r="M44" t="s">
        <v>197</v>
      </c>
      <c r="N44" t="s">
        <v>64</v>
      </c>
      <c r="O44" t="s">
        <v>46</v>
      </c>
      <c r="P44" t="s">
        <v>46</v>
      </c>
      <c r="Y44" t="s">
        <v>204</v>
      </c>
    </row>
    <row r="45" spans="1:25">
      <c r="A45" t="s">
        <v>205</v>
      </c>
      <c r="B45" t="s">
        <v>206</v>
      </c>
      <c r="D45" t="s">
        <v>40</v>
      </c>
      <c r="E45" t="s">
        <v>41</v>
      </c>
      <c r="J45" t="s">
        <v>182</v>
      </c>
      <c r="K45" t="s">
        <v>183</v>
      </c>
      <c r="L45">
        <v>11</v>
      </c>
      <c r="M45" t="s">
        <v>197</v>
      </c>
      <c r="N45" t="s">
        <v>64</v>
      </c>
      <c r="O45" t="s">
        <v>46</v>
      </c>
      <c r="P45" t="s">
        <v>46</v>
      </c>
      <c r="Y45" t="s">
        <v>207</v>
      </c>
    </row>
    <row r="46" spans="1:25">
      <c r="A46" t="s">
        <v>208</v>
      </c>
      <c r="B46" t="s">
        <v>209</v>
      </c>
      <c r="D46" t="s">
        <v>40</v>
      </c>
      <c r="E46" t="s">
        <v>41</v>
      </c>
      <c r="J46" t="s">
        <v>42</v>
      </c>
      <c r="K46" t="s">
        <v>43</v>
      </c>
      <c r="L46">
        <v>11</v>
      </c>
      <c r="M46" t="s">
        <v>197</v>
      </c>
      <c r="N46" t="s">
        <v>210</v>
      </c>
      <c r="O46" t="s">
        <v>46</v>
      </c>
      <c r="P46" t="s">
        <v>46</v>
      </c>
      <c r="Y46" t="s">
        <v>211</v>
      </c>
    </row>
    <row r="47" spans="1:25">
      <c r="A47" t="s">
        <v>212</v>
      </c>
      <c r="B47" t="s">
        <v>213</v>
      </c>
      <c r="D47" t="s">
        <v>40</v>
      </c>
      <c r="E47" t="s">
        <v>41</v>
      </c>
      <c r="J47" t="s">
        <v>76</v>
      </c>
      <c r="K47" t="s">
        <v>77</v>
      </c>
      <c r="L47">
        <v>11</v>
      </c>
      <c r="M47" t="s">
        <v>214</v>
      </c>
      <c r="N47" t="s">
        <v>64</v>
      </c>
      <c r="O47" t="s">
        <v>46</v>
      </c>
      <c r="P47" t="s">
        <v>46</v>
      </c>
      <c r="Y47" t="s">
        <v>215</v>
      </c>
    </row>
    <row r="48" spans="1:25">
      <c r="A48" t="s">
        <v>216</v>
      </c>
      <c r="B48" t="s">
        <v>217</v>
      </c>
      <c r="D48" t="s">
        <v>40</v>
      </c>
      <c r="E48" t="s">
        <v>41</v>
      </c>
      <c r="J48" t="s">
        <v>42</v>
      </c>
      <c r="K48" t="s">
        <v>43</v>
      </c>
      <c r="L48">
        <v>11</v>
      </c>
      <c r="M48" t="s">
        <v>214</v>
      </c>
      <c r="N48" t="s">
        <v>218</v>
      </c>
      <c r="O48" t="s">
        <v>46</v>
      </c>
      <c r="P48" t="s">
        <v>46</v>
      </c>
      <c r="Y48" t="s">
        <v>219</v>
      </c>
    </row>
    <row r="49" spans="1:25">
      <c r="A49" t="s">
        <v>220</v>
      </c>
      <c r="B49" t="s">
        <v>221</v>
      </c>
      <c r="D49" t="s">
        <v>40</v>
      </c>
      <c r="E49" t="s">
        <v>41</v>
      </c>
      <c r="J49" t="s">
        <v>76</v>
      </c>
      <c r="K49" t="s">
        <v>77</v>
      </c>
      <c r="L49">
        <v>11</v>
      </c>
      <c r="M49" t="s">
        <v>214</v>
      </c>
      <c r="N49" t="s">
        <v>64</v>
      </c>
      <c r="O49" t="s">
        <v>46</v>
      </c>
      <c r="P49" t="s">
        <v>46</v>
      </c>
      <c r="Y49" t="s">
        <v>222</v>
      </c>
    </row>
    <row r="50" spans="1:25">
      <c r="A50" t="s">
        <v>223</v>
      </c>
      <c r="B50" t="s">
        <v>224</v>
      </c>
      <c r="D50" t="s">
        <v>40</v>
      </c>
      <c r="E50" t="s">
        <v>41</v>
      </c>
      <c r="J50" t="s">
        <v>182</v>
      </c>
      <c r="K50" t="s">
        <v>183</v>
      </c>
      <c r="L50">
        <v>11</v>
      </c>
      <c r="M50" t="s">
        <v>214</v>
      </c>
      <c r="N50" t="s">
        <v>64</v>
      </c>
      <c r="O50" t="s">
        <v>46</v>
      </c>
      <c r="P50" t="s">
        <v>46</v>
      </c>
      <c r="Y50" t="s">
        <v>225</v>
      </c>
    </row>
    <row r="51" spans="1:25">
      <c r="A51" t="s">
        <v>226</v>
      </c>
      <c r="B51" t="s">
        <v>227</v>
      </c>
      <c r="D51" t="s">
        <v>40</v>
      </c>
      <c r="E51" t="s">
        <v>41</v>
      </c>
      <c r="J51" t="s">
        <v>68</v>
      </c>
      <c r="K51" t="s">
        <v>69</v>
      </c>
      <c r="L51">
        <v>11</v>
      </c>
      <c r="M51" t="s">
        <v>228</v>
      </c>
      <c r="N51" t="s">
        <v>64</v>
      </c>
      <c r="O51" t="s">
        <v>46</v>
      </c>
      <c r="P51" t="s">
        <v>46</v>
      </c>
      <c r="Y51" t="s">
        <v>229</v>
      </c>
    </row>
    <row r="52" spans="1:25">
      <c r="A52" t="s">
        <v>230</v>
      </c>
      <c r="B52" t="s">
        <v>231</v>
      </c>
      <c r="D52" t="s">
        <v>40</v>
      </c>
      <c r="E52" t="s">
        <v>41</v>
      </c>
      <c r="J52" t="s">
        <v>68</v>
      </c>
      <c r="K52" t="s">
        <v>69</v>
      </c>
      <c r="L52">
        <v>11</v>
      </c>
      <c r="M52" t="s">
        <v>228</v>
      </c>
      <c r="N52" t="s">
        <v>64</v>
      </c>
      <c r="O52" t="s">
        <v>46</v>
      </c>
      <c r="P52" t="s">
        <v>46</v>
      </c>
      <c r="Y52" t="s">
        <v>232</v>
      </c>
    </row>
    <row r="53" spans="1:25">
      <c r="A53" t="s">
        <v>233</v>
      </c>
      <c r="B53" t="s">
        <v>234</v>
      </c>
      <c r="D53" t="s">
        <v>40</v>
      </c>
      <c r="E53" t="s">
        <v>41</v>
      </c>
      <c r="J53" t="s">
        <v>182</v>
      </c>
      <c r="K53" t="s">
        <v>183</v>
      </c>
      <c r="L53">
        <v>11</v>
      </c>
      <c r="M53" t="s">
        <v>228</v>
      </c>
      <c r="N53" t="s">
        <v>64</v>
      </c>
      <c r="O53" t="s">
        <v>46</v>
      </c>
      <c r="P53" t="s">
        <v>46</v>
      </c>
      <c r="Y53" t="s">
        <v>235</v>
      </c>
    </row>
    <row r="54" spans="1:25">
      <c r="A54" t="s">
        <v>236</v>
      </c>
      <c r="B54" t="s">
        <v>237</v>
      </c>
      <c r="D54" t="s">
        <v>40</v>
      </c>
      <c r="E54" t="s">
        <v>41</v>
      </c>
      <c r="J54" t="s">
        <v>182</v>
      </c>
      <c r="K54" t="s">
        <v>183</v>
      </c>
      <c r="L54">
        <v>11</v>
      </c>
      <c r="M54" t="s">
        <v>228</v>
      </c>
      <c r="N54" t="s">
        <v>64</v>
      </c>
      <c r="O54" t="s">
        <v>46</v>
      </c>
      <c r="P54" t="s">
        <v>46</v>
      </c>
      <c r="Y54" t="s">
        <v>238</v>
      </c>
    </row>
    <row r="55" spans="1:25">
      <c r="A55" t="s">
        <v>239</v>
      </c>
      <c r="B55" t="s">
        <v>240</v>
      </c>
      <c r="D55" t="s">
        <v>40</v>
      </c>
      <c r="E55" t="s">
        <v>41</v>
      </c>
      <c r="J55" t="s">
        <v>68</v>
      </c>
      <c r="K55" t="s">
        <v>69</v>
      </c>
      <c r="L55">
        <v>11</v>
      </c>
      <c r="M55" t="s">
        <v>228</v>
      </c>
      <c r="N55" t="s">
        <v>64</v>
      </c>
      <c r="O55" t="s">
        <v>46</v>
      </c>
      <c r="P55" t="s">
        <v>46</v>
      </c>
      <c r="Y55" t="s">
        <v>241</v>
      </c>
    </row>
    <row r="56" spans="1:25">
      <c r="A56" t="s">
        <v>242</v>
      </c>
      <c r="B56" t="s">
        <v>243</v>
      </c>
      <c r="D56" t="s">
        <v>40</v>
      </c>
      <c r="E56" t="s">
        <v>41</v>
      </c>
      <c r="J56" t="s">
        <v>62</v>
      </c>
      <c r="K56" t="s">
        <v>63</v>
      </c>
      <c r="L56">
        <v>11</v>
      </c>
      <c r="M56" t="s">
        <v>244</v>
      </c>
      <c r="N56" t="s">
        <v>64</v>
      </c>
      <c r="O56" t="s">
        <v>46</v>
      </c>
      <c r="P56" t="s">
        <v>46</v>
      </c>
      <c r="Y56" t="s">
        <v>245</v>
      </c>
    </row>
    <row r="57" spans="1:25">
      <c r="A57" t="s">
        <v>246</v>
      </c>
      <c r="B57" t="s">
        <v>247</v>
      </c>
      <c r="D57" t="s">
        <v>40</v>
      </c>
      <c r="E57" t="s">
        <v>41</v>
      </c>
      <c r="J57" t="s">
        <v>248</v>
      </c>
      <c r="K57" t="s">
        <v>249</v>
      </c>
      <c r="L57">
        <v>11</v>
      </c>
      <c r="M57" t="s">
        <v>244</v>
      </c>
      <c r="N57" t="s">
        <v>53</v>
      </c>
      <c r="O57" t="s">
        <v>46</v>
      </c>
      <c r="P57" t="s">
        <v>46</v>
      </c>
      <c r="Y57" t="s">
        <v>250</v>
      </c>
    </row>
    <row r="58" spans="1:25">
      <c r="A58" t="s">
        <v>251</v>
      </c>
      <c r="B58" t="s">
        <v>252</v>
      </c>
      <c r="D58" t="s">
        <v>40</v>
      </c>
      <c r="E58" t="s">
        <v>41</v>
      </c>
      <c r="J58" t="s">
        <v>76</v>
      </c>
      <c r="K58" t="s">
        <v>77</v>
      </c>
      <c r="L58">
        <v>11</v>
      </c>
      <c r="M58" t="s">
        <v>253</v>
      </c>
      <c r="N58" t="s">
        <v>64</v>
      </c>
      <c r="O58" t="s">
        <v>46</v>
      </c>
      <c r="P58" t="s">
        <v>46</v>
      </c>
      <c r="Y58" t="s">
        <v>254</v>
      </c>
    </row>
    <row r="59" spans="1:25">
      <c r="A59" t="s">
        <v>255</v>
      </c>
      <c r="B59" t="s">
        <v>256</v>
      </c>
      <c r="D59" t="s">
        <v>40</v>
      </c>
      <c r="E59" t="s">
        <v>41</v>
      </c>
      <c r="J59" t="s">
        <v>42</v>
      </c>
      <c r="K59" t="s">
        <v>43</v>
      </c>
      <c r="L59">
        <v>11</v>
      </c>
      <c r="M59" t="s">
        <v>253</v>
      </c>
      <c r="N59" t="s">
        <v>257</v>
      </c>
      <c r="O59" t="s">
        <v>46</v>
      </c>
      <c r="P59" t="s">
        <v>46</v>
      </c>
      <c r="Y59" t="s">
        <v>258</v>
      </c>
    </row>
    <row r="60" spans="1:25">
      <c r="A60" t="s">
        <v>259</v>
      </c>
      <c r="B60" t="s">
        <v>260</v>
      </c>
      <c r="D60" t="s">
        <v>40</v>
      </c>
      <c r="E60" t="s">
        <v>41</v>
      </c>
      <c r="J60" t="s">
        <v>182</v>
      </c>
      <c r="K60" t="s">
        <v>183</v>
      </c>
      <c r="L60">
        <v>11</v>
      </c>
      <c r="M60" t="s">
        <v>253</v>
      </c>
      <c r="N60" t="s">
        <v>64</v>
      </c>
      <c r="O60" t="s">
        <v>46</v>
      </c>
      <c r="P60" t="s">
        <v>46</v>
      </c>
      <c r="Y60" t="s">
        <v>261</v>
      </c>
    </row>
    <row r="61" spans="1:25">
      <c r="A61" t="s">
        <v>262</v>
      </c>
      <c r="B61" t="s">
        <v>263</v>
      </c>
      <c r="D61" t="s">
        <v>40</v>
      </c>
      <c r="E61" t="s">
        <v>41</v>
      </c>
      <c r="J61" t="s">
        <v>264</v>
      </c>
      <c r="K61" t="s">
        <v>265</v>
      </c>
      <c r="L61">
        <v>11</v>
      </c>
      <c r="M61" t="s">
        <v>253</v>
      </c>
      <c r="N61" t="s">
        <v>266</v>
      </c>
      <c r="O61" t="s">
        <v>46</v>
      </c>
      <c r="P61" t="s">
        <v>46</v>
      </c>
      <c r="Y61" t="s">
        <v>267</v>
      </c>
    </row>
    <row r="62" spans="1:25">
      <c r="A62" t="s">
        <v>268</v>
      </c>
      <c r="B62" t="s">
        <v>269</v>
      </c>
      <c r="D62" t="s">
        <v>40</v>
      </c>
      <c r="E62" t="s">
        <v>41</v>
      </c>
      <c r="J62" t="s">
        <v>68</v>
      </c>
      <c r="K62" t="s">
        <v>69</v>
      </c>
      <c r="L62">
        <v>11</v>
      </c>
      <c r="M62" t="s">
        <v>270</v>
      </c>
      <c r="N62" t="s">
        <v>64</v>
      </c>
      <c r="O62" t="s">
        <v>46</v>
      </c>
      <c r="P62" t="s">
        <v>46</v>
      </c>
      <c r="Y62" t="s">
        <v>271</v>
      </c>
    </row>
    <row r="63" spans="1:25">
      <c r="A63" t="s">
        <v>272</v>
      </c>
      <c r="B63" t="s">
        <v>273</v>
      </c>
      <c r="D63" t="s">
        <v>40</v>
      </c>
      <c r="E63" t="s">
        <v>41</v>
      </c>
      <c r="J63" t="s">
        <v>76</v>
      </c>
      <c r="K63" t="s">
        <v>77</v>
      </c>
      <c r="L63">
        <v>11</v>
      </c>
      <c r="M63" t="s">
        <v>270</v>
      </c>
      <c r="N63" t="s">
        <v>64</v>
      </c>
      <c r="O63" t="s">
        <v>46</v>
      </c>
      <c r="P63" t="s">
        <v>46</v>
      </c>
      <c r="Y63" t="s">
        <v>274</v>
      </c>
    </row>
    <row r="64" spans="1:25">
      <c r="A64" t="s">
        <v>275</v>
      </c>
      <c r="B64" t="s">
        <v>276</v>
      </c>
      <c r="D64" t="s">
        <v>40</v>
      </c>
      <c r="E64" t="s">
        <v>41</v>
      </c>
      <c r="J64" t="s">
        <v>182</v>
      </c>
      <c r="K64" t="s">
        <v>183</v>
      </c>
      <c r="L64">
        <v>11</v>
      </c>
      <c r="M64" t="s">
        <v>270</v>
      </c>
      <c r="N64" t="s">
        <v>64</v>
      </c>
      <c r="O64" t="s">
        <v>46</v>
      </c>
      <c r="P64" t="s">
        <v>46</v>
      </c>
      <c r="Y64" t="s">
        <v>277</v>
      </c>
    </row>
    <row r="65" spans="1:25">
      <c r="A65" t="s">
        <v>278</v>
      </c>
      <c r="B65" t="s">
        <v>279</v>
      </c>
      <c r="D65" t="s">
        <v>40</v>
      </c>
      <c r="E65" t="s">
        <v>41</v>
      </c>
      <c r="J65" t="s">
        <v>68</v>
      </c>
      <c r="K65" t="s">
        <v>69</v>
      </c>
      <c r="L65">
        <v>11</v>
      </c>
      <c r="M65" t="s">
        <v>280</v>
      </c>
      <c r="N65" t="s">
        <v>64</v>
      </c>
      <c r="O65" t="s">
        <v>46</v>
      </c>
      <c r="P65" t="s">
        <v>46</v>
      </c>
      <c r="Y65" t="s">
        <v>281</v>
      </c>
    </row>
    <row r="66" spans="1:25">
      <c r="A66" t="s">
        <v>282</v>
      </c>
      <c r="B66" t="s">
        <v>283</v>
      </c>
      <c r="D66" t="s">
        <v>40</v>
      </c>
      <c r="E66" t="s">
        <v>41</v>
      </c>
      <c r="J66" t="s">
        <v>68</v>
      </c>
      <c r="K66" t="s">
        <v>69</v>
      </c>
      <c r="L66">
        <v>11</v>
      </c>
      <c r="M66" t="s">
        <v>284</v>
      </c>
      <c r="N66" t="s">
        <v>64</v>
      </c>
      <c r="O66" t="s">
        <v>46</v>
      </c>
      <c r="P66" t="s">
        <v>46</v>
      </c>
      <c r="Y66" t="s">
        <v>285</v>
      </c>
    </row>
    <row r="67" spans="1:25">
      <c r="A67" t="s">
        <v>286</v>
      </c>
      <c r="B67" t="s">
        <v>287</v>
      </c>
      <c r="D67" t="s">
        <v>40</v>
      </c>
      <c r="E67" t="s">
        <v>41</v>
      </c>
      <c r="J67" t="s">
        <v>288</v>
      </c>
      <c r="K67" t="s">
        <v>289</v>
      </c>
      <c r="L67">
        <v>9</v>
      </c>
      <c r="M67" t="s">
        <v>290</v>
      </c>
      <c r="N67" t="s">
        <v>291</v>
      </c>
      <c r="O67" t="s">
        <v>46</v>
      </c>
      <c r="P67" t="s">
        <v>46</v>
      </c>
      <c r="Y67" t="s">
        <v>292</v>
      </c>
    </row>
    <row r="68" spans="1:25">
      <c r="A68" t="s">
        <v>293</v>
      </c>
      <c r="B68" t="s">
        <v>294</v>
      </c>
      <c r="D68" t="s">
        <v>40</v>
      </c>
      <c r="E68" t="s">
        <v>41</v>
      </c>
      <c r="J68" t="s">
        <v>139</v>
      </c>
      <c r="K68" t="s">
        <v>140</v>
      </c>
      <c r="L68">
        <v>7</v>
      </c>
      <c r="M68" t="s">
        <v>295</v>
      </c>
      <c r="N68" t="s">
        <v>296</v>
      </c>
      <c r="O68" t="s">
        <v>46</v>
      </c>
      <c r="P68" t="s">
        <v>46</v>
      </c>
      <c r="Y68" t="s">
        <v>297</v>
      </c>
    </row>
    <row r="69" spans="1:25">
      <c r="A69" t="s">
        <v>298</v>
      </c>
      <c r="B69" t="s">
        <v>299</v>
      </c>
      <c r="D69" t="s">
        <v>40</v>
      </c>
      <c r="E69" t="s">
        <v>41</v>
      </c>
      <c r="J69" t="s">
        <v>264</v>
      </c>
      <c r="K69" t="s">
        <v>265</v>
      </c>
      <c r="L69">
        <v>11</v>
      </c>
      <c r="M69" t="s">
        <v>300</v>
      </c>
      <c r="N69" t="s">
        <v>178</v>
      </c>
      <c r="O69" t="s">
        <v>46</v>
      </c>
      <c r="P69" t="s">
        <v>46</v>
      </c>
      <c r="Y69" t="s">
        <v>301</v>
      </c>
    </row>
    <row r="70" spans="1:25">
      <c r="A70" t="s">
        <v>302</v>
      </c>
      <c r="B70" t="s">
        <v>303</v>
      </c>
      <c r="D70" t="s">
        <v>40</v>
      </c>
      <c r="E70" t="s">
        <v>41</v>
      </c>
      <c r="J70" t="s">
        <v>50</v>
      </c>
      <c r="K70" t="s">
        <v>51</v>
      </c>
      <c r="L70">
        <v>13</v>
      </c>
      <c r="M70" t="s">
        <v>304</v>
      </c>
      <c r="N70" t="s">
        <v>305</v>
      </c>
      <c r="O70" t="s">
        <v>46</v>
      </c>
      <c r="P70" t="s">
        <v>46</v>
      </c>
      <c r="Y70" t="s">
        <v>306</v>
      </c>
    </row>
    <row r="71" spans="1:25">
      <c r="A71" t="s">
        <v>307</v>
      </c>
      <c r="B71" t="s">
        <v>308</v>
      </c>
      <c r="D71" t="s">
        <v>40</v>
      </c>
      <c r="E71" t="s">
        <v>41</v>
      </c>
      <c r="J71" t="s">
        <v>248</v>
      </c>
      <c r="K71" t="s">
        <v>249</v>
      </c>
      <c r="L71">
        <v>6</v>
      </c>
      <c r="M71" t="s">
        <v>309</v>
      </c>
      <c r="N71" t="s">
        <v>310</v>
      </c>
      <c r="O71" t="s">
        <v>46</v>
      </c>
      <c r="P71" t="s">
        <v>46</v>
      </c>
      <c r="Y71" t="s">
        <v>311</v>
      </c>
    </row>
    <row r="72" spans="1:25">
      <c r="A72" t="s">
        <v>312</v>
      </c>
      <c r="B72" t="s">
        <v>313</v>
      </c>
      <c r="D72" t="s">
        <v>40</v>
      </c>
      <c r="E72" t="s">
        <v>41</v>
      </c>
      <c r="J72" t="s">
        <v>139</v>
      </c>
      <c r="K72" t="s">
        <v>140</v>
      </c>
      <c r="L72">
        <v>6</v>
      </c>
      <c r="M72" t="s">
        <v>314</v>
      </c>
      <c r="N72" t="s">
        <v>315</v>
      </c>
      <c r="O72" t="s">
        <v>46</v>
      </c>
      <c r="P72" t="s">
        <v>46</v>
      </c>
      <c r="Y72" t="s">
        <v>316</v>
      </c>
    </row>
    <row r="73" spans="1:25">
      <c r="A73" t="s">
        <v>317</v>
      </c>
      <c r="B73" t="s">
        <v>318</v>
      </c>
      <c r="D73" t="s">
        <v>40</v>
      </c>
      <c r="E73" t="s">
        <v>41</v>
      </c>
      <c r="J73" t="s">
        <v>182</v>
      </c>
      <c r="K73" t="s">
        <v>183</v>
      </c>
      <c r="L73">
        <v>12</v>
      </c>
      <c r="M73" t="s">
        <v>319</v>
      </c>
      <c r="N73" t="s">
        <v>64</v>
      </c>
      <c r="O73" t="s">
        <v>46</v>
      </c>
      <c r="P73" t="s">
        <v>46</v>
      </c>
      <c r="Y73" t="s">
        <v>320</v>
      </c>
    </row>
    <row r="74" spans="1:25">
      <c r="A74" t="s">
        <v>321</v>
      </c>
      <c r="B74" t="s">
        <v>322</v>
      </c>
      <c r="D74" t="s">
        <v>40</v>
      </c>
      <c r="E74" t="s">
        <v>41</v>
      </c>
      <c r="J74" t="s">
        <v>68</v>
      </c>
      <c r="K74" t="s">
        <v>69</v>
      </c>
      <c r="L74">
        <v>11</v>
      </c>
      <c r="M74" t="s">
        <v>323</v>
      </c>
      <c r="N74" t="s">
        <v>64</v>
      </c>
      <c r="O74" t="s">
        <v>46</v>
      </c>
      <c r="P74" t="s">
        <v>46</v>
      </c>
      <c r="Y74" t="s">
        <v>324</v>
      </c>
    </row>
    <row r="75" spans="1:25">
      <c r="A75" t="s">
        <v>325</v>
      </c>
      <c r="B75" t="s">
        <v>326</v>
      </c>
      <c r="D75" t="s">
        <v>40</v>
      </c>
      <c r="E75" t="s">
        <v>41</v>
      </c>
      <c r="J75" t="s">
        <v>68</v>
      </c>
      <c r="K75" t="s">
        <v>69</v>
      </c>
      <c r="L75">
        <v>11</v>
      </c>
      <c r="M75" t="s">
        <v>323</v>
      </c>
      <c r="N75" t="s">
        <v>64</v>
      </c>
      <c r="O75" t="s">
        <v>46</v>
      </c>
      <c r="P75" t="s">
        <v>46</v>
      </c>
      <c r="Y75" t="s">
        <v>327</v>
      </c>
    </row>
    <row r="76" spans="1:25">
      <c r="A76" t="s">
        <v>328</v>
      </c>
      <c r="B76" t="s">
        <v>329</v>
      </c>
      <c r="D76" t="s">
        <v>40</v>
      </c>
      <c r="E76" t="s">
        <v>41</v>
      </c>
      <c r="J76" t="s">
        <v>68</v>
      </c>
      <c r="K76" t="s">
        <v>69</v>
      </c>
      <c r="L76">
        <v>11</v>
      </c>
      <c r="M76" t="s">
        <v>323</v>
      </c>
      <c r="N76" t="s">
        <v>64</v>
      </c>
      <c r="O76" t="s">
        <v>46</v>
      </c>
      <c r="P76" t="s">
        <v>46</v>
      </c>
      <c r="Y76" t="s">
        <v>330</v>
      </c>
    </row>
    <row r="77" spans="1:25">
      <c r="A77" t="s">
        <v>331</v>
      </c>
      <c r="B77" t="s">
        <v>332</v>
      </c>
      <c r="D77" t="s">
        <v>40</v>
      </c>
      <c r="E77" t="s">
        <v>41</v>
      </c>
      <c r="J77" t="s">
        <v>76</v>
      </c>
      <c r="K77" t="s">
        <v>77</v>
      </c>
      <c r="L77">
        <v>11</v>
      </c>
      <c r="M77" t="s">
        <v>333</v>
      </c>
      <c r="N77" t="s">
        <v>64</v>
      </c>
      <c r="O77" t="s">
        <v>46</v>
      </c>
      <c r="P77" t="s">
        <v>46</v>
      </c>
      <c r="Y77" t="s">
        <v>334</v>
      </c>
    </row>
    <row r="78" spans="1:25">
      <c r="A78" t="s">
        <v>335</v>
      </c>
      <c r="B78" t="s">
        <v>336</v>
      </c>
      <c r="D78" t="s">
        <v>40</v>
      </c>
      <c r="E78" t="s">
        <v>41</v>
      </c>
      <c r="J78" t="s">
        <v>68</v>
      </c>
      <c r="K78" t="s">
        <v>69</v>
      </c>
      <c r="L78">
        <v>11</v>
      </c>
      <c r="M78" t="s">
        <v>333</v>
      </c>
      <c r="N78" t="s">
        <v>64</v>
      </c>
      <c r="O78" t="s">
        <v>46</v>
      </c>
      <c r="P78" t="s">
        <v>46</v>
      </c>
      <c r="Y78" t="s">
        <v>337</v>
      </c>
    </row>
    <row r="79" spans="1:25">
      <c r="A79" t="s">
        <v>338</v>
      </c>
      <c r="B79" t="s">
        <v>339</v>
      </c>
      <c r="D79" t="s">
        <v>40</v>
      </c>
      <c r="E79" t="s">
        <v>41</v>
      </c>
      <c r="J79" t="s">
        <v>182</v>
      </c>
      <c r="K79" t="s">
        <v>183</v>
      </c>
      <c r="L79">
        <v>11</v>
      </c>
      <c r="M79" t="s">
        <v>333</v>
      </c>
      <c r="N79" t="s">
        <v>64</v>
      </c>
      <c r="O79" t="s">
        <v>46</v>
      </c>
      <c r="P79" t="s">
        <v>46</v>
      </c>
      <c r="Y79" t="s">
        <v>340</v>
      </c>
    </row>
    <row r="80" spans="1:25">
      <c r="A80" t="s">
        <v>341</v>
      </c>
      <c r="B80" t="s">
        <v>342</v>
      </c>
      <c r="D80" t="s">
        <v>40</v>
      </c>
      <c r="E80" t="s">
        <v>41</v>
      </c>
      <c r="J80" t="s">
        <v>182</v>
      </c>
      <c r="K80" t="s">
        <v>183</v>
      </c>
      <c r="L80">
        <v>11</v>
      </c>
      <c r="M80" t="s">
        <v>343</v>
      </c>
      <c r="N80" t="s">
        <v>64</v>
      </c>
      <c r="O80" t="s">
        <v>46</v>
      </c>
      <c r="P80" t="s">
        <v>46</v>
      </c>
      <c r="Y80" t="s">
        <v>344</v>
      </c>
    </row>
    <row r="81" spans="1:25">
      <c r="A81" t="s">
        <v>345</v>
      </c>
      <c r="B81" t="s">
        <v>346</v>
      </c>
      <c r="D81" t="s">
        <v>40</v>
      </c>
      <c r="E81" t="s">
        <v>41</v>
      </c>
      <c r="J81" t="s">
        <v>182</v>
      </c>
      <c r="K81" t="s">
        <v>183</v>
      </c>
      <c r="L81">
        <v>11</v>
      </c>
      <c r="M81" t="s">
        <v>343</v>
      </c>
      <c r="N81" t="s">
        <v>64</v>
      </c>
      <c r="O81" t="s">
        <v>46</v>
      </c>
      <c r="P81" t="s">
        <v>46</v>
      </c>
      <c r="Y81" t="s">
        <v>347</v>
      </c>
    </row>
    <row r="82" spans="1:25">
      <c r="A82" t="s">
        <v>348</v>
      </c>
      <c r="B82" t="s">
        <v>349</v>
      </c>
      <c r="D82" t="s">
        <v>40</v>
      </c>
      <c r="E82" t="s">
        <v>41</v>
      </c>
      <c r="J82" t="s">
        <v>248</v>
      </c>
      <c r="K82" t="s">
        <v>249</v>
      </c>
      <c r="L82">
        <v>11</v>
      </c>
      <c r="M82" t="s">
        <v>343</v>
      </c>
      <c r="N82" t="s">
        <v>350</v>
      </c>
      <c r="O82" t="s">
        <v>46</v>
      </c>
      <c r="P82" t="s">
        <v>46</v>
      </c>
      <c r="Y82" t="s">
        <v>351</v>
      </c>
    </row>
    <row r="83" spans="1:25">
      <c r="A83" t="s">
        <v>352</v>
      </c>
      <c r="B83" t="s">
        <v>353</v>
      </c>
      <c r="D83" t="s">
        <v>40</v>
      </c>
      <c r="E83" t="s">
        <v>41</v>
      </c>
      <c r="J83" t="s">
        <v>182</v>
      </c>
      <c r="K83" t="s">
        <v>183</v>
      </c>
      <c r="L83">
        <v>11</v>
      </c>
      <c r="M83" t="s">
        <v>343</v>
      </c>
      <c r="N83" t="s">
        <v>64</v>
      </c>
      <c r="O83" t="s">
        <v>46</v>
      </c>
      <c r="P83" t="s">
        <v>46</v>
      </c>
      <c r="Y83" t="s">
        <v>354</v>
      </c>
    </row>
    <row r="84" spans="1:25">
      <c r="A84" t="s">
        <v>355</v>
      </c>
      <c r="B84" t="s">
        <v>356</v>
      </c>
      <c r="D84" t="s">
        <v>40</v>
      </c>
      <c r="E84" t="s">
        <v>41</v>
      </c>
      <c r="J84" t="s">
        <v>68</v>
      </c>
      <c r="K84" t="s">
        <v>69</v>
      </c>
      <c r="L84">
        <v>11</v>
      </c>
      <c r="M84" t="s">
        <v>343</v>
      </c>
      <c r="N84" t="s">
        <v>64</v>
      </c>
      <c r="O84" t="s">
        <v>46</v>
      </c>
      <c r="P84" t="s">
        <v>46</v>
      </c>
      <c r="Y84" t="s">
        <v>357</v>
      </c>
    </row>
    <row r="85" spans="1:25">
      <c r="A85" t="s">
        <v>358</v>
      </c>
      <c r="B85" t="s">
        <v>359</v>
      </c>
      <c r="D85" t="s">
        <v>40</v>
      </c>
      <c r="E85" t="s">
        <v>41</v>
      </c>
      <c r="J85" t="s">
        <v>68</v>
      </c>
      <c r="K85" t="s">
        <v>69</v>
      </c>
      <c r="L85">
        <v>11</v>
      </c>
      <c r="M85" t="s">
        <v>360</v>
      </c>
      <c r="N85" t="s">
        <v>64</v>
      </c>
      <c r="O85" t="s">
        <v>46</v>
      </c>
      <c r="P85" t="s">
        <v>46</v>
      </c>
      <c r="Y85" t="s">
        <v>361</v>
      </c>
    </row>
    <row r="86" spans="1:25">
      <c r="A86" t="s">
        <v>362</v>
      </c>
      <c r="B86" t="s">
        <v>363</v>
      </c>
      <c r="D86" t="s">
        <v>40</v>
      </c>
      <c r="E86" t="s">
        <v>41</v>
      </c>
      <c r="J86" t="s">
        <v>182</v>
      </c>
      <c r="K86" t="s">
        <v>183</v>
      </c>
      <c r="L86">
        <v>11</v>
      </c>
      <c r="M86" t="s">
        <v>360</v>
      </c>
      <c r="N86" t="s">
        <v>64</v>
      </c>
      <c r="O86" t="s">
        <v>46</v>
      </c>
      <c r="P86" t="s">
        <v>46</v>
      </c>
      <c r="Y86" t="s">
        <v>364</v>
      </c>
    </row>
    <row r="87" spans="1:25">
      <c r="A87" t="s">
        <v>365</v>
      </c>
      <c r="B87" t="s">
        <v>366</v>
      </c>
      <c r="D87" t="s">
        <v>40</v>
      </c>
      <c r="E87" t="s">
        <v>41</v>
      </c>
      <c r="J87" t="s">
        <v>68</v>
      </c>
      <c r="K87" t="s">
        <v>69</v>
      </c>
      <c r="L87">
        <v>11</v>
      </c>
      <c r="M87" t="s">
        <v>360</v>
      </c>
      <c r="N87" t="s">
        <v>64</v>
      </c>
      <c r="O87" t="s">
        <v>46</v>
      </c>
      <c r="P87" t="s">
        <v>46</v>
      </c>
      <c r="Y87" t="s">
        <v>367</v>
      </c>
    </row>
    <row r="88" spans="1:25">
      <c r="A88" t="s">
        <v>368</v>
      </c>
      <c r="B88" t="s">
        <v>369</v>
      </c>
      <c r="D88" t="s">
        <v>40</v>
      </c>
      <c r="E88" t="s">
        <v>41</v>
      </c>
      <c r="J88" t="s">
        <v>182</v>
      </c>
      <c r="K88" t="s">
        <v>183</v>
      </c>
      <c r="L88">
        <v>11</v>
      </c>
      <c r="M88" t="s">
        <v>360</v>
      </c>
      <c r="N88" t="s">
        <v>64</v>
      </c>
      <c r="O88" t="s">
        <v>46</v>
      </c>
      <c r="P88" t="s">
        <v>46</v>
      </c>
      <c r="Y88" t="s">
        <v>370</v>
      </c>
    </row>
    <row r="89" spans="1:25">
      <c r="A89" t="s">
        <v>371</v>
      </c>
      <c r="B89" t="s">
        <v>372</v>
      </c>
      <c r="D89" t="s">
        <v>40</v>
      </c>
      <c r="E89" t="s">
        <v>41</v>
      </c>
      <c r="J89" t="s">
        <v>42</v>
      </c>
      <c r="K89" t="s">
        <v>43</v>
      </c>
      <c r="L89">
        <v>11</v>
      </c>
      <c r="M89" t="s">
        <v>360</v>
      </c>
      <c r="N89" t="s">
        <v>373</v>
      </c>
      <c r="O89" t="s">
        <v>46</v>
      </c>
      <c r="P89" t="s">
        <v>46</v>
      </c>
      <c r="Y89" t="s">
        <v>374</v>
      </c>
    </row>
    <row r="90" spans="1:25">
      <c r="A90" t="s">
        <v>375</v>
      </c>
      <c r="B90" t="s">
        <v>376</v>
      </c>
      <c r="D90" t="s">
        <v>40</v>
      </c>
      <c r="E90" t="s">
        <v>41</v>
      </c>
      <c r="J90" t="s">
        <v>68</v>
      </c>
      <c r="K90" t="s">
        <v>69</v>
      </c>
      <c r="L90">
        <v>11</v>
      </c>
      <c r="M90" t="s">
        <v>377</v>
      </c>
      <c r="N90" t="s">
        <v>64</v>
      </c>
      <c r="O90" t="s">
        <v>46</v>
      </c>
      <c r="P90" t="s">
        <v>46</v>
      </c>
      <c r="Y90" t="s">
        <v>378</v>
      </c>
    </row>
    <row r="91" spans="1:25">
      <c r="A91" t="s">
        <v>379</v>
      </c>
      <c r="B91" t="s">
        <v>380</v>
      </c>
      <c r="D91" t="s">
        <v>40</v>
      </c>
      <c r="E91" t="s">
        <v>41</v>
      </c>
      <c r="J91" t="s">
        <v>76</v>
      </c>
      <c r="K91" t="s">
        <v>77</v>
      </c>
      <c r="L91">
        <v>11</v>
      </c>
      <c r="M91" t="s">
        <v>381</v>
      </c>
      <c r="N91" t="s">
        <v>64</v>
      </c>
      <c r="O91" t="s">
        <v>46</v>
      </c>
      <c r="P91" t="s">
        <v>46</v>
      </c>
      <c r="Y91" t="s">
        <v>382</v>
      </c>
    </row>
    <row r="92" spans="1:25">
      <c r="A92" t="s">
        <v>383</v>
      </c>
      <c r="B92" t="s">
        <v>384</v>
      </c>
      <c r="D92" t="s">
        <v>40</v>
      </c>
      <c r="E92" t="s">
        <v>41</v>
      </c>
      <c r="J92" t="s">
        <v>68</v>
      </c>
      <c r="K92" t="s">
        <v>69</v>
      </c>
      <c r="L92">
        <v>11</v>
      </c>
      <c r="M92" t="s">
        <v>381</v>
      </c>
      <c r="N92" t="s">
        <v>64</v>
      </c>
      <c r="O92" t="s">
        <v>46</v>
      </c>
      <c r="P92" t="s">
        <v>46</v>
      </c>
      <c r="Y92" t="s">
        <v>385</v>
      </c>
    </row>
    <row r="93" spans="1:25">
      <c r="A93" t="s">
        <v>386</v>
      </c>
      <c r="B93" t="s">
        <v>387</v>
      </c>
      <c r="D93" t="s">
        <v>40</v>
      </c>
      <c r="E93" t="s">
        <v>41</v>
      </c>
      <c r="J93" t="s">
        <v>68</v>
      </c>
      <c r="K93" t="s">
        <v>69</v>
      </c>
      <c r="L93">
        <v>11</v>
      </c>
      <c r="M93" t="s">
        <v>388</v>
      </c>
      <c r="N93" t="s">
        <v>64</v>
      </c>
      <c r="O93" t="s">
        <v>46</v>
      </c>
      <c r="P93" t="s">
        <v>46</v>
      </c>
      <c r="Y93" t="s">
        <v>389</v>
      </c>
    </row>
    <row r="94" spans="1:25">
      <c r="A94" t="s">
        <v>390</v>
      </c>
      <c r="B94" t="s">
        <v>391</v>
      </c>
      <c r="D94" t="s">
        <v>40</v>
      </c>
      <c r="E94" t="s">
        <v>41</v>
      </c>
      <c r="J94" t="s">
        <v>62</v>
      </c>
      <c r="K94" t="s">
        <v>63</v>
      </c>
      <c r="L94">
        <v>11</v>
      </c>
      <c r="M94" t="s">
        <v>388</v>
      </c>
      <c r="N94" t="s">
        <v>64</v>
      </c>
      <c r="O94" t="s">
        <v>46</v>
      </c>
      <c r="P94" t="s">
        <v>46</v>
      </c>
      <c r="Y94" t="s">
        <v>392</v>
      </c>
    </row>
    <row r="95" spans="1:25">
      <c r="A95" t="s">
        <v>393</v>
      </c>
      <c r="B95" t="s">
        <v>394</v>
      </c>
      <c r="D95" t="s">
        <v>40</v>
      </c>
      <c r="E95" t="s">
        <v>41</v>
      </c>
      <c r="J95" t="s">
        <v>68</v>
      </c>
      <c r="K95" t="s">
        <v>69</v>
      </c>
      <c r="L95">
        <v>11</v>
      </c>
      <c r="M95" t="s">
        <v>388</v>
      </c>
      <c r="N95" t="s">
        <v>64</v>
      </c>
      <c r="O95" t="s">
        <v>46</v>
      </c>
      <c r="P95" t="s">
        <v>46</v>
      </c>
      <c r="Y95" t="s">
        <v>395</v>
      </c>
    </row>
    <row r="96" spans="1:25">
      <c r="A96" t="s">
        <v>396</v>
      </c>
      <c r="B96" t="s">
        <v>397</v>
      </c>
      <c r="D96" t="s">
        <v>40</v>
      </c>
      <c r="E96" t="s">
        <v>41</v>
      </c>
      <c r="J96" t="s">
        <v>68</v>
      </c>
      <c r="K96" t="s">
        <v>69</v>
      </c>
      <c r="L96">
        <v>11</v>
      </c>
      <c r="M96" t="s">
        <v>398</v>
      </c>
      <c r="N96" t="s">
        <v>64</v>
      </c>
      <c r="O96" t="s">
        <v>46</v>
      </c>
      <c r="P96" t="s">
        <v>46</v>
      </c>
      <c r="Y96" t="s">
        <v>399</v>
      </c>
    </row>
    <row r="97" spans="1:25">
      <c r="A97" t="s">
        <v>400</v>
      </c>
      <c r="B97" t="s">
        <v>401</v>
      </c>
      <c r="D97" t="s">
        <v>40</v>
      </c>
      <c r="E97" t="s">
        <v>41</v>
      </c>
      <c r="J97" t="s">
        <v>68</v>
      </c>
      <c r="K97" t="s">
        <v>69</v>
      </c>
      <c r="L97">
        <v>11</v>
      </c>
      <c r="M97" t="s">
        <v>402</v>
      </c>
      <c r="N97" t="s">
        <v>64</v>
      </c>
      <c r="O97" t="s">
        <v>46</v>
      </c>
      <c r="P97" t="s">
        <v>46</v>
      </c>
      <c r="Y97" t="s">
        <v>403</v>
      </c>
    </row>
    <row r="98" spans="1:25">
      <c r="A98" t="s">
        <v>404</v>
      </c>
      <c r="B98" t="s">
        <v>405</v>
      </c>
      <c r="D98" t="s">
        <v>40</v>
      </c>
      <c r="E98" t="s">
        <v>41</v>
      </c>
      <c r="J98" t="s">
        <v>68</v>
      </c>
      <c r="K98" t="s">
        <v>69</v>
      </c>
      <c r="L98">
        <v>11</v>
      </c>
      <c r="M98" t="s">
        <v>402</v>
      </c>
      <c r="N98" t="s">
        <v>64</v>
      </c>
      <c r="O98" t="s">
        <v>46</v>
      </c>
      <c r="P98" t="s">
        <v>46</v>
      </c>
      <c r="Y98" t="s">
        <v>406</v>
      </c>
    </row>
    <row r="99" spans="1:25">
      <c r="A99" t="s">
        <v>407</v>
      </c>
      <c r="B99" t="s">
        <v>408</v>
      </c>
      <c r="D99" t="s">
        <v>40</v>
      </c>
      <c r="E99" t="s">
        <v>41</v>
      </c>
      <c r="J99" t="s">
        <v>68</v>
      </c>
      <c r="K99" t="s">
        <v>69</v>
      </c>
      <c r="L99">
        <v>11</v>
      </c>
      <c r="M99" t="s">
        <v>402</v>
      </c>
      <c r="N99" t="s">
        <v>64</v>
      </c>
      <c r="O99" t="s">
        <v>46</v>
      </c>
      <c r="P99" t="s">
        <v>46</v>
      </c>
      <c r="Y99" t="s">
        <v>409</v>
      </c>
    </row>
    <row r="100" spans="1:25">
      <c r="A100" t="s">
        <v>410</v>
      </c>
      <c r="B100" t="s">
        <v>411</v>
      </c>
      <c r="D100" t="s">
        <v>40</v>
      </c>
      <c r="E100" t="s">
        <v>41</v>
      </c>
      <c r="J100" t="s">
        <v>182</v>
      </c>
      <c r="K100" t="s">
        <v>183</v>
      </c>
      <c r="L100">
        <v>11</v>
      </c>
      <c r="M100" t="s">
        <v>402</v>
      </c>
      <c r="N100" t="s">
        <v>64</v>
      </c>
      <c r="O100" t="s">
        <v>46</v>
      </c>
      <c r="P100" t="s">
        <v>46</v>
      </c>
      <c r="Y100" t="s">
        <v>412</v>
      </c>
    </row>
    <row r="101" spans="1:25">
      <c r="A101" t="s">
        <v>413</v>
      </c>
      <c r="B101" t="s">
        <v>414</v>
      </c>
      <c r="D101" t="s">
        <v>40</v>
      </c>
      <c r="E101" t="s">
        <v>41</v>
      </c>
      <c r="J101" t="s">
        <v>68</v>
      </c>
      <c r="K101" t="s">
        <v>69</v>
      </c>
      <c r="L101">
        <v>11</v>
      </c>
      <c r="M101" t="s">
        <v>402</v>
      </c>
      <c r="N101" t="s">
        <v>64</v>
      </c>
      <c r="O101" t="s">
        <v>46</v>
      </c>
      <c r="P101" t="s">
        <v>46</v>
      </c>
      <c r="Y101" t="s">
        <v>415</v>
      </c>
    </row>
    <row r="102" spans="1:25">
      <c r="A102" t="s">
        <v>416</v>
      </c>
      <c r="B102" t="s">
        <v>417</v>
      </c>
      <c r="D102" t="s">
        <v>40</v>
      </c>
      <c r="E102" t="s">
        <v>41</v>
      </c>
      <c r="J102" t="s">
        <v>68</v>
      </c>
      <c r="K102" t="s">
        <v>69</v>
      </c>
      <c r="L102">
        <v>11</v>
      </c>
      <c r="M102" t="s">
        <v>402</v>
      </c>
      <c r="N102" t="s">
        <v>64</v>
      </c>
      <c r="O102" t="s">
        <v>46</v>
      </c>
      <c r="P102" t="s">
        <v>46</v>
      </c>
      <c r="Y102" t="s">
        <v>418</v>
      </c>
    </row>
    <row r="103" spans="1:25">
      <c r="A103" t="s">
        <v>419</v>
      </c>
      <c r="B103" t="s">
        <v>420</v>
      </c>
      <c r="D103" t="s">
        <v>40</v>
      </c>
      <c r="E103" t="s">
        <v>41</v>
      </c>
      <c r="J103" t="s">
        <v>68</v>
      </c>
      <c r="K103" t="s">
        <v>69</v>
      </c>
      <c r="L103">
        <v>11</v>
      </c>
      <c r="M103" t="s">
        <v>402</v>
      </c>
      <c r="N103" t="s">
        <v>64</v>
      </c>
      <c r="O103" t="s">
        <v>46</v>
      </c>
      <c r="P103" t="s">
        <v>46</v>
      </c>
      <c r="Y103" t="s">
        <v>421</v>
      </c>
    </row>
    <row r="104" spans="1:25">
      <c r="A104" t="s">
        <v>422</v>
      </c>
      <c r="B104" t="s">
        <v>423</v>
      </c>
      <c r="D104" t="s">
        <v>40</v>
      </c>
      <c r="E104" t="s">
        <v>41</v>
      </c>
      <c r="J104" t="s">
        <v>68</v>
      </c>
      <c r="K104" t="s">
        <v>69</v>
      </c>
      <c r="L104">
        <v>11</v>
      </c>
      <c r="M104" t="s">
        <v>402</v>
      </c>
      <c r="N104" t="s">
        <v>64</v>
      </c>
      <c r="O104" t="s">
        <v>46</v>
      </c>
      <c r="P104" t="s">
        <v>46</v>
      </c>
      <c r="Y104" t="s">
        <v>424</v>
      </c>
    </row>
    <row r="105" spans="1:25">
      <c r="A105" t="s">
        <v>425</v>
      </c>
      <c r="B105" t="s">
        <v>426</v>
      </c>
      <c r="D105" t="s">
        <v>40</v>
      </c>
      <c r="E105" t="s">
        <v>41</v>
      </c>
      <c r="J105" t="s">
        <v>68</v>
      </c>
      <c r="K105" t="s">
        <v>69</v>
      </c>
      <c r="L105">
        <v>11</v>
      </c>
      <c r="M105" t="s">
        <v>427</v>
      </c>
      <c r="N105" t="s">
        <v>64</v>
      </c>
      <c r="O105" t="s">
        <v>46</v>
      </c>
      <c r="P105" t="s">
        <v>46</v>
      </c>
      <c r="Y105" t="s">
        <v>428</v>
      </c>
    </row>
    <row r="106" spans="1:25">
      <c r="A106" t="s">
        <v>429</v>
      </c>
      <c r="B106" t="s">
        <v>430</v>
      </c>
      <c r="D106" t="s">
        <v>40</v>
      </c>
      <c r="E106" t="s">
        <v>41</v>
      </c>
      <c r="J106" t="s">
        <v>68</v>
      </c>
      <c r="K106" t="s">
        <v>69</v>
      </c>
      <c r="L106">
        <v>11</v>
      </c>
      <c r="M106" t="s">
        <v>431</v>
      </c>
      <c r="N106" t="s">
        <v>64</v>
      </c>
      <c r="O106" t="s">
        <v>46</v>
      </c>
      <c r="P106" t="s">
        <v>46</v>
      </c>
      <c r="Y106" t="s">
        <v>432</v>
      </c>
    </row>
    <row r="107" spans="1:25">
      <c r="A107" t="s">
        <v>433</v>
      </c>
      <c r="B107" t="s">
        <v>434</v>
      </c>
      <c r="D107" t="s">
        <v>40</v>
      </c>
      <c r="E107" t="s">
        <v>41</v>
      </c>
      <c r="J107" t="s">
        <v>42</v>
      </c>
      <c r="K107" t="s">
        <v>43</v>
      </c>
      <c r="L107">
        <v>11</v>
      </c>
      <c r="M107" t="s">
        <v>435</v>
      </c>
      <c r="N107" t="s">
        <v>436</v>
      </c>
      <c r="O107" t="s">
        <v>46</v>
      </c>
      <c r="P107" t="s">
        <v>46</v>
      </c>
      <c r="Y107" t="s">
        <v>437</v>
      </c>
    </row>
    <row r="108" spans="1:25">
      <c r="A108" t="s">
        <v>438</v>
      </c>
      <c r="B108" t="s">
        <v>439</v>
      </c>
      <c r="D108" t="s">
        <v>40</v>
      </c>
      <c r="E108" t="s">
        <v>41</v>
      </c>
      <c r="J108" t="s">
        <v>248</v>
      </c>
      <c r="K108" t="s">
        <v>249</v>
      </c>
      <c r="L108">
        <v>11</v>
      </c>
      <c r="M108" t="s">
        <v>435</v>
      </c>
      <c r="N108" t="s">
        <v>440</v>
      </c>
      <c r="O108" t="s">
        <v>46</v>
      </c>
      <c r="P108" t="s">
        <v>46</v>
      </c>
      <c r="Y108" t="s">
        <v>441</v>
      </c>
    </row>
    <row r="109" spans="1:25">
      <c r="A109" t="s">
        <v>442</v>
      </c>
      <c r="B109" t="s">
        <v>443</v>
      </c>
      <c r="D109" t="s">
        <v>40</v>
      </c>
      <c r="E109" t="s">
        <v>41</v>
      </c>
      <c r="J109" t="s">
        <v>182</v>
      </c>
      <c r="K109" t="s">
        <v>183</v>
      </c>
      <c r="L109">
        <v>11</v>
      </c>
      <c r="M109" t="s">
        <v>435</v>
      </c>
      <c r="N109" t="s">
        <v>64</v>
      </c>
      <c r="O109" t="s">
        <v>46</v>
      </c>
      <c r="P109" t="s">
        <v>46</v>
      </c>
      <c r="Y109" t="s">
        <v>444</v>
      </c>
    </row>
    <row r="110" spans="1:25">
      <c r="A110" t="s">
        <v>445</v>
      </c>
      <c r="B110" t="s">
        <v>446</v>
      </c>
      <c r="D110" t="s">
        <v>40</v>
      </c>
      <c r="E110" t="s">
        <v>41</v>
      </c>
      <c r="J110" t="s">
        <v>68</v>
      </c>
      <c r="K110" t="s">
        <v>69</v>
      </c>
      <c r="L110">
        <v>11</v>
      </c>
      <c r="M110" t="s">
        <v>435</v>
      </c>
      <c r="N110" t="s">
        <v>64</v>
      </c>
      <c r="O110" t="s">
        <v>46</v>
      </c>
      <c r="P110" t="s">
        <v>46</v>
      </c>
      <c r="Y110" t="s">
        <v>447</v>
      </c>
    </row>
    <row r="111" spans="1:25">
      <c r="A111" t="s">
        <v>448</v>
      </c>
      <c r="B111" t="s">
        <v>449</v>
      </c>
      <c r="D111" t="s">
        <v>40</v>
      </c>
      <c r="E111" t="s">
        <v>41</v>
      </c>
      <c r="J111" t="s">
        <v>68</v>
      </c>
      <c r="K111" t="s">
        <v>69</v>
      </c>
      <c r="L111">
        <v>11</v>
      </c>
      <c r="M111" t="s">
        <v>435</v>
      </c>
      <c r="N111" t="s">
        <v>64</v>
      </c>
      <c r="O111" t="s">
        <v>46</v>
      </c>
      <c r="P111" t="s">
        <v>46</v>
      </c>
      <c r="Y111" t="s">
        <v>450</v>
      </c>
    </row>
    <row r="112" spans="1:25">
      <c r="A112" t="s">
        <v>451</v>
      </c>
      <c r="B112" t="s">
        <v>452</v>
      </c>
      <c r="D112" t="s">
        <v>40</v>
      </c>
      <c r="E112" t="s">
        <v>41</v>
      </c>
      <c r="J112" t="s">
        <v>68</v>
      </c>
      <c r="K112" t="s">
        <v>69</v>
      </c>
      <c r="L112">
        <v>11</v>
      </c>
      <c r="M112" t="s">
        <v>435</v>
      </c>
      <c r="N112" t="s">
        <v>64</v>
      </c>
      <c r="O112" t="s">
        <v>46</v>
      </c>
      <c r="P112" t="s">
        <v>46</v>
      </c>
      <c r="Y112" t="s">
        <v>453</v>
      </c>
    </row>
    <row r="113" spans="1:25">
      <c r="A113" t="s">
        <v>454</v>
      </c>
      <c r="B113" t="s">
        <v>455</v>
      </c>
      <c r="D113" t="s">
        <v>40</v>
      </c>
      <c r="E113" t="s">
        <v>41</v>
      </c>
      <c r="J113" t="s">
        <v>182</v>
      </c>
      <c r="K113" t="s">
        <v>183</v>
      </c>
      <c r="L113">
        <v>11</v>
      </c>
      <c r="M113" t="s">
        <v>435</v>
      </c>
      <c r="N113" t="s">
        <v>64</v>
      </c>
      <c r="O113" t="s">
        <v>46</v>
      </c>
      <c r="P113" t="s">
        <v>46</v>
      </c>
      <c r="Y113" t="s">
        <v>456</v>
      </c>
    </row>
    <row r="114" spans="1:25">
      <c r="A114" t="s">
        <v>457</v>
      </c>
      <c r="B114" t="s">
        <v>458</v>
      </c>
      <c r="D114" t="s">
        <v>40</v>
      </c>
      <c r="E114" t="s">
        <v>41</v>
      </c>
      <c r="J114" t="s">
        <v>182</v>
      </c>
      <c r="K114" t="s">
        <v>183</v>
      </c>
      <c r="L114">
        <v>11</v>
      </c>
      <c r="M114" t="s">
        <v>459</v>
      </c>
      <c r="N114" t="s">
        <v>64</v>
      </c>
      <c r="O114" t="s">
        <v>46</v>
      </c>
      <c r="P114" t="s">
        <v>46</v>
      </c>
      <c r="Y114" t="s">
        <v>460</v>
      </c>
    </row>
    <row r="115" spans="1:25">
      <c r="A115" t="s">
        <v>461</v>
      </c>
      <c r="B115" t="s">
        <v>462</v>
      </c>
      <c r="D115" t="s">
        <v>40</v>
      </c>
      <c r="E115" t="s">
        <v>41</v>
      </c>
      <c r="J115" t="s">
        <v>68</v>
      </c>
      <c r="K115" t="s">
        <v>69</v>
      </c>
      <c r="L115">
        <v>11</v>
      </c>
      <c r="M115" t="s">
        <v>459</v>
      </c>
      <c r="N115" t="s">
        <v>64</v>
      </c>
      <c r="O115" t="s">
        <v>46</v>
      </c>
      <c r="P115" t="s">
        <v>46</v>
      </c>
      <c r="Y115" t="s">
        <v>463</v>
      </c>
    </row>
    <row r="116" spans="1:25">
      <c r="A116" t="s">
        <v>464</v>
      </c>
      <c r="B116" t="s">
        <v>465</v>
      </c>
      <c r="D116" t="s">
        <v>40</v>
      </c>
      <c r="E116" t="s">
        <v>41</v>
      </c>
      <c r="J116" t="s">
        <v>68</v>
      </c>
      <c r="K116" t="s">
        <v>69</v>
      </c>
      <c r="L116">
        <v>11</v>
      </c>
      <c r="M116" t="s">
        <v>459</v>
      </c>
      <c r="N116" t="s">
        <v>64</v>
      </c>
      <c r="O116" t="s">
        <v>46</v>
      </c>
      <c r="P116" t="s">
        <v>46</v>
      </c>
      <c r="Y116" t="s">
        <v>466</v>
      </c>
    </row>
    <row r="117" spans="1:25">
      <c r="A117" t="s">
        <v>467</v>
      </c>
      <c r="B117" t="s">
        <v>468</v>
      </c>
      <c r="D117" t="s">
        <v>40</v>
      </c>
      <c r="E117" t="s">
        <v>41</v>
      </c>
      <c r="J117" t="s">
        <v>68</v>
      </c>
      <c r="K117" t="s">
        <v>69</v>
      </c>
      <c r="L117">
        <v>11</v>
      </c>
      <c r="M117" t="s">
        <v>459</v>
      </c>
      <c r="N117" t="s">
        <v>64</v>
      </c>
      <c r="O117" t="s">
        <v>46</v>
      </c>
      <c r="P117" t="s">
        <v>46</v>
      </c>
      <c r="Y117" t="s">
        <v>469</v>
      </c>
    </row>
    <row r="118" spans="1:25">
      <c r="A118" t="s">
        <v>470</v>
      </c>
      <c r="B118" t="s">
        <v>471</v>
      </c>
      <c r="D118" t="s">
        <v>40</v>
      </c>
      <c r="E118" t="s">
        <v>41</v>
      </c>
      <c r="J118" t="s">
        <v>182</v>
      </c>
      <c r="K118" t="s">
        <v>183</v>
      </c>
      <c r="L118">
        <v>11</v>
      </c>
      <c r="M118" t="s">
        <v>459</v>
      </c>
      <c r="N118" t="s">
        <v>64</v>
      </c>
      <c r="O118" t="s">
        <v>46</v>
      </c>
      <c r="P118" t="s">
        <v>46</v>
      </c>
      <c r="Y118" t="s">
        <v>472</v>
      </c>
    </row>
    <row r="119" spans="1:25">
      <c r="A119" t="s">
        <v>473</v>
      </c>
      <c r="B119" t="s">
        <v>474</v>
      </c>
      <c r="D119" t="s">
        <v>40</v>
      </c>
      <c r="E119" t="s">
        <v>41</v>
      </c>
      <c r="J119" t="s">
        <v>62</v>
      </c>
      <c r="K119" t="s">
        <v>63</v>
      </c>
      <c r="L119">
        <v>11</v>
      </c>
      <c r="M119" t="s">
        <v>475</v>
      </c>
      <c r="N119" t="s">
        <v>64</v>
      </c>
      <c r="O119" t="s">
        <v>46</v>
      </c>
      <c r="P119" t="s">
        <v>46</v>
      </c>
      <c r="Y119" t="s">
        <v>476</v>
      </c>
    </row>
    <row r="120" spans="1:25">
      <c r="A120" t="s">
        <v>477</v>
      </c>
      <c r="B120" t="s">
        <v>478</v>
      </c>
      <c r="D120" t="s">
        <v>40</v>
      </c>
      <c r="E120" t="s">
        <v>41</v>
      </c>
      <c r="J120" t="s">
        <v>42</v>
      </c>
      <c r="K120" t="s">
        <v>43</v>
      </c>
      <c r="L120">
        <v>11</v>
      </c>
      <c r="M120" t="s">
        <v>475</v>
      </c>
      <c r="N120" t="s">
        <v>315</v>
      </c>
      <c r="O120" t="s">
        <v>46</v>
      </c>
      <c r="P120" t="s">
        <v>46</v>
      </c>
      <c r="Y120" t="s">
        <v>479</v>
      </c>
    </row>
    <row r="121" spans="1:25">
      <c r="A121" t="s">
        <v>480</v>
      </c>
      <c r="B121" t="s">
        <v>481</v>
      </c>
      <c r="D121" t="s">
        <v>40</v>
      </c>
      <c r="E121" t="s">
        <v>41</v>
      </c>
      <c r="J121" t="s">
        <v>68</v>
      </c>
      <c r="K121" t="s">
        <v>69</v>
      </c>
      <c r="L121">
        <v>11</v>
      </c>
      <c r="M121" t="s">
        <v>482</v>
      </c>
      <c r="N121" t="s">
        <v>64</v>
      </c>
      <c r="O121" t="s">
        <v>46</v>
      </c>
      <c r="P121" t="s">
        <v>46</v>
      </c>
      <c r="Y121" t="s">
        <v>483</v>
      </c>
    </row>
    <row r="122" spans="1:25">
      <c r="A122" t="s">
        <v>484</v>
      </c>
      <c r="B122" t="s">
        <v>485</v>
      </c>
      <c r="D122" t="s">
        <v>40</v>
      </c>
      <c r="E122" t="s">
        <v>41</v>
      </c>
      <c r="J122" t="s">
        <v>68</v>
      </c>
      <c r="K122" t="s">
        <v>69</v>
      </c>
      <c r="L122">
        <v>11</v>
      </c>
      <c r="M122" t="s">
        <v>482</v>
      </c>
      <c r="N122" t="s">
        <v>64</v>
      </c>
      <c r="O122" t="s">
        <v>46</v>
      </c>
      <c r="P122" t="s">
        <v>46</v>
      </c>
      <c r="Y122" t="s">
        <v>486</v>
      </c>
    </row>
    <row r="123" spans="1:25">
      <c r="A123" t="s">
        <v>487</v>
      </c>
      <c r="B123" t="s">
        <v>488</v>
      </c>
      <c r="D123" t="s">
        <v>40</v>
      </c>
      <c r="E123" t="s">
        <v>41</v>
      </c>
      <c r="J123" t="s">
        <v>182</v>
      </c>
      <c r="K123" t="s">
        <v>183</v>
      </c>
      <c r="L123">
        <v>11</v>
      </c>
      <c r="M123" t="s">
        <v>482</v>
      </c>
      <c r="N123" t="s">
        <v>64</v>
      </c>
      <c r="O123" t="s">
        <v>46</v>
      </c>
      <c r="P123" t="s">
        <v>46</v>
      </c>
      <c r="Y123" t="s">
        <v>489</v>
      </c>
    </row>
    <row r="124" spans="1:25">
      <c r="A124" t="s">
        <v>490</v>
      </c>
      <c r="B124" t="s">
        <v>491</v>
      </c>
      <c r="D124" t="s">
        <v>40</v>
      </c>
      <c r="E124" t="s">
        <v>41</v>
      </c>
      <c r="J124" t="s">
        <v>182</v>
      </c>
      <c r="K124" t="s">
        <v>183</v>
      </c>
      <c r="L124">
        <v>11</v>
      </c>
      <c r="M124" t="s">
        <v>482</v>
      </c>
      <c r="N124" t="s">
        <v>64</v>
      </c>
      <c r="O124" t="s">
        <v>46</v>
      </c>
      <c r="P124" t="s">
        <v>46</v>
      </c>
      <c r="Y124" t="s">
        <v>492</v>
      </c>
    </row>
    <row r="125" spans="1:25">
      <c r="A125" t="s">
        <v>493</v>
      </c>
      <c r="B125" t="s">
        <v>494</v>
      </c>
      <c r="D125" t="s">
        <v>40</v>
      </c>
      <c r="E125" t="s">
        <v>41</v>
      </c>
      <c r="J125" t="s">
        <v>182</v>
      </c>
      <c r="K125" t="s">
        <v>183</v>
      </c>
      <c r="L125">
        <v>11</v>
      </c>
      <c r="M125" t="s">
        <v>482</v>
      </c>
      <c r="N125" t="s">
        <v>64</v>
      </c>
      <c r="O125" t="s">
        <v>46</v>
      </c>
      <c r="P125" t="s">
        <v>46</v>
      </c>
      <c r="Y125" t="s">
        <v>495</v>
      </c>
    </row>
    <row r="126" spans="1:25">
      <c r="A126" t="s">
        <v>496</v>
      </c>
      <c r="B126" t="s">
        <v>497</v>
      </c>
      <c r="D126" t="s">
        <v>40</v>
      </c>
      <c r="E126" t="s">
        <v>41</v>
      </c>
      <c r="J126" t="s">
        <v>76</v>
      </c>
      <c r="K126" t="s">
        <v>77</v>
      </c>
      <c r="L126">
        <v>8</v>
      </c>
      <c r="M126" t="s">
        <v>482</v>
      </c>
      <c r="N126" t="s">
        <v>64</v>
      </c>
      <c r="O126" t="s">
        <v>46</v>
      </c>
      <c r="P126" t="s">
        <v>46</v>
      </c>
      <c r="Y126" t="s">
        <v>498</v>
      </c>
    </row>
    <row r="127" spans="1:25">
      <c r="A127" t="s">
        <v>499</v>
      </c>
      <c r="B127" t="s">
        <v>500</v>
      </c>
      <c r="D127" t="s">
        <v>40</v>
      </c>
      <c r="E127" t="s">
        <v>41</v>
      </c>
      <c r="J127" t="s">
        <v>182</v>
      </c>
      <c r="K127" t="s">
        <v>183</v>
      </c>
      <c r="L127">
        <v>5</v>
      </c>
      <c r="M127" t="s">
        <v>482</v>
      </c>
      <c r="N127" t="s">
        <v>64</v>
      </c>
      <c r="O127" t="s">
        <v>46</v>
      </c>
      <c r="P127" t="s">
        <v>46</v>
      </c>
      <c r="Y127" t="s">
        <v>501</v>
      </c>
    </row>
    <row r="128" spans="1:25">
      <c r="A128" t="s">
        <v>502</v>
      </c>
      <c r="B128" t="s">
        <v>503</v>
      </c>
      <c r="D128" t="s">
        <v>40</v>
      </c>
      <c r="E128" t="s">
        <v>41</v>
      </c>
      <c r="J128" t="s">
        <v>264</v>
      </c>
      <c r="K128" t="s">
        <v>265</v>
      </c>
      <c r="L128">
        <v>12</v>
      </c>
      <c r="M128" t="s">
        <v>504</v>
      </c>
      <c r="N128" t="s">
        <v>436</v>
      </c>
      <c r="O128" t="s">
        <v>46</v>
      </c>
      <c r="P128" t="s">
        <v>46</v>
      </c>
      <c r="Y128" t="s">
        <v>505</v>
      </c>
    </row>
    <row r="129" spans="1:25">
      <c r="A129" t="s">
        <v>506</v>
      </c>
      <c r="B129" t="s">
        <v>507</v>
      </c>
      <c r="D129" t="s">
        <v>40</v>
      </c>
      <c r="E129" t="s">
        <v>41</v>
      </c>
      <c r="J129" t="s">
        <v>139</v>
      </c>
      <c r="K129" t="s">
        <v>140</v>
      </c>
      <c r="L129">
        <v>7</v>
      </c>
      <c r="M129" t="s">
        <v>508</v>
      </c>
      <c r="N129" t="s">
        <v>509</v>
      </c>
      <c r="O129" t="s">
        <v>46</v>
      </c>
      <c r="P129" t="s">
        <v>46</v>
      </c>
      <c r="Y129" t="s">
        <v>510</v>
      </c>
    </row>
    <row r="130" spans="1:25">
      <c r="A130" t="s">
        <v>511</v>
      </c>
      <c r="B130" t="s">
        <v>512</v>
      </c>
      <c r="D130" t="s">
        <v>40</v>
      </c>
      <c r="E130" t="s">
        <v>41</v>
      </c>
      <c r="J130" t="s">
        <v>68</v>
      </c>
      <c r="K130" t="s">
        <v>69</v>
      </c>
      <c r="L130">
        <v>11</v>
      </c>
      <c r="M130" t="s">
        <v>513</v>
      </c>
      <c r="N130" t="s">
        <v>64</v>
      </c>
      <c r="O130" t="s">
        <v>46</v>
      </c>
      <c r="P130" t="s">
        <v>46</v>
      </c>
      <c r="Y130" t="s">
        <v>514</v>
      </c>
    </row>
    <row r="131" spans="1:25">
      <c r="A131" t="s">
        <v>515</v>
      </c>
      <c r="B131" t="s">
        <v>516</v>
      </c>
      <c r="D131" t="s">
        <v>40</v>
      </c>
      <c r="E131" t="s">
        <v>41</v>
      </c>
      <c r="J131" t="s">
        <v>182</v>
      </c>
      <c r="K131" t="s">
        <v>183</v>
      </c>
      <c r="L131">
        <v>11</v>
      </c>
      <c r="M131" t="s">
        <v>517</v>
      </c>
      <c r="N131" t="s">
        <v>64</v>
      </c>
      <c r="O131" t="s">
        <v>46</v>
      </c>
      <c r="P131" t="s">
        <v>46</v>
      </c>
      <c r="Y131" t="s">
        <v>518</v>
      </c>
    </row>
    <row r="132" spans="1:25">
      <c r="A132" t="s">
        <v>519</v>
      </c>
      <c r="B132" t="s">
        <v>520</v>
      </c>
      <c r="D132" t="s">
        <v>40</v>
      </c>
      <c r="E132" t="s">
        <v>41</v>
      </c>
      <c r="J132" t="s">
        <v>62</v>
      </c>
      <c r="K132" t="s">
        <v>63</v>
      </c>
      <c r="L132">
        <v>11</v>
      </c>
      <c r="M132" t="s">
        <v>521</v>
      </c>
      <c r="N132" t="s">
        <v>64</v>
      </c>
      <c r="O132" t="s">
        <v>46</v>
      </c>
      <c r="P132" t="s">
        <v>46</v>
      </c>
      <c r="Y132" t="s">
        <v>522</v>
      </c>
    </row>
    <row r="133" spans="1:25">
      <c r="A133" t="s">
        <v>523</v>
      </c>
      <c r="B133" t="s">
        <v>524</v>
      </c>
      <c r="D133" t="s">
        <v>40</v>
      </c>
      <c r="E133" t="s">
        <v>41</v>
      </c>
      <c r="J133" t="s">
        <v>42</v>
      </c>
      <c r="K133" t="s">
        <v>43</v>
      </c>
      <c r="L133">
        <v>11</v>
      </c>
      <c r="M133" t="s">
        <v>521</v>
      </c>
      <c r="N133" t="s">
        <v>218</v>
      </c>
      <c r="O133" t="s">
        <v>46</v>
      </c>
      <c r="P133" t="s">
        <v>46</v>
      </c>
      <c r="Y133" t="s">
        <v>525</v>
      </c>
    </row>
    <row r="134" spans="1:25">
      <c r="A134" t="s">
        <v>526</v>
      </c>
      <c r="B134" t="s">
        <v>527</v>
      </c>
      <c r="D134" t="s">
        <v>40</v>
      </c>
      <c r="E134" t="s">
        <v>41</v>
      </c>
      <c r="J134" t="s">
        <v>76</v>
      </c>
      <c r="K134" t="s">
        <v>77</v>
      </c>
      <c r="L134">
        <v>11</v>
      </c>
      <c r="M134" t="s">
        <v>521</v>
      </c>
      <c r="N134" t="s">
        <v>64</v>
      </c>
      <c r="O134" t="s">
        <v>46</v>
      </c>
      <c r="P134" t="s">
        <v>46</v>
      </c>
      <c r="Y134" t="s">
        <v>528</v>
      </c>
    </row>
    <row r="135" spans="1:25">
      <c r="A135" t="s">
        <v>529</v>
      </c>
      <c r="B135" t="s">
        <v>530</v>
      </c>
      <c r="D135" t="s">
        <v>40</v>
      </c>
      <c r="E135" t="s">
        <v>41</v>
      </c>
      <c r="J135" t="s">
        <v>68</v>
      </c>
      <c r="K135" t="s">
        <v>69</v>
      </c>
      <c r="L135">
        <v>11</v>
      </c>
      <c r="M135" t="s">
        <v>531</v>
      </c>
      <c r="N135" t="s">
        <v>64</v>
      </c>
      <c r="O135" t="s">
        <v>46</v>
      </c>
      <c r="P135" t="s">
        <v>46</v>
      </c>
      <c r="Y135" t="s">
        <v>532</v>
      </c>
    </row>
    <row r="136" spans="1:25">
      <c r="A136" t="s">
        <v>533</v>
      </c>
      <c r="B136" t="s">
        <v>534</v>
      </c>
      <c r="D136" t="s">
        <v>40</v>
      </c>
      <c r="E136" t="s">
        <v>41</v>
      </c>
      <c r="J136" t="s">
        <v>68</v>
      </c>
      <c r="K136" t="s">
        <v>69</v>
      </c>
      <c r="L136">
        <v>11</v>
      </c>
      <c r="M136" t="s">
        <v>531</v>
      </c>
      <c r="N136" t="s">
        <v>64</v>
      </c>
      <c r="O136" t="s">
        <v>46</v>
      </c>
      <c r="P136" t="s">
        <v>46</v>
      </c>
      <c r="Y136" t="s">
        <v>535</v>
      </c>
    </row>
    <row r="137" spans="1:25">
      <c r="A137" t="s">
        <v>536</v>
      </c>
      <c r="B137" t="s">
        <v>537</v>
      </c>
      <c r="D137" t="s">
        <v>40</v>
      </c>
      <c r="E137" t="s">
        <v>41</v>
      </c>
      <c r="J137" t="s">
        <v>68</v>
      </c>
      <c r="K137" t="s">
        <v>69</v>
      </c>
      <c r="L137">
        <v>11</v>
      </c>
      <c r="M137" t="s">
        <v>531</v>
      </c>
      <c r="N137" t="s">
        <v>64</v>
      </c>
      <c r="O137" t="s">
        <v>46</v>
      </c>
      <c r="P137" t="s">
        <v>46</v>
      </c>
      <c r="Y137" t="s">
        <v>538</v>
      </c>
    </row>
    <row r="138" spans="1:25">
      <c r="A138" t="s">
        <v>539</v>
      </c>
      <c r="B138" t="s">
        <v>540</v>
      </c>
      <c r="D138" t="s">
        <v>40</v>
      </c>
      <c r="E138" t="s">
        <v>41</v>
      </c>
      <c r="J138" t="s">
        <v>68</v>
      </c>
      <c r="K138" t="s">
        <v>69</v>
      </c>
      <c r="L138">
        <v>11</v>
      </c>
      <c r="M138" t="s">
        <v>531</v>
      </c>
      <c r="N138" t="s">
        <v>64</v>
      </c>
      <c r="O138" t="s">
        <v>46</v>
      </c>
      <c r="P138" t="s">
        <v>46</v>
      </c>
      <c r="Y138" t="s">
        <v>541</v>
      </c>
    </row>
    <row r="139" spans="1:25">
      <c r="A139" t="s">
        <v>542</v>
      </c>
      <c r="B139" t="s">
        <v>543</v>
      </c>
      <c r="D139" t="s">
        <v>40</v>
      </c>
      <c r="E139" t="s">
        <v>41</v>
      </c>
      <c r="J139" t="s">
        <v>182</v>
      </c>
      <c r="K139" t="s">
        <v>183</v>
      </c>
      <c r="L139">
        <v>11</v>
      </c>
      <c r="M139" t="s">
        <v>531</v>
      </c>
      <c r="N139" t="s">
        <v>64</v>
      </c>
      <c r="O139" t="s">
        <v>46</v>
      </c>
      <c r="P139" t="s">
        <v>46</v>
      </c>
      <c r="Y139" t="s">
        <v>544</v>
      </c>
    </row>
    <row r="140" spans="1:25">
      <c r="A140" t="s">
        <v>545</v>
      </c>
      <c r="B140" t="s">
        <v>546</v>
      </c>
      <c r="D140" t="s">
        <v>40</v>
      </c>
      <c r="E140" t="s">
        <v>41</v>
      </c>
      <c r="J140" t="s">
        <v>76</v>
      </c>
      <c r="K140" t="s">
        <v>77</v>
      </c>
      <c r="L140">
        <v>11</v>
      </c>
      <c r="M140" t="s">
        <v>547</v>
      </c>
      <c r="N140" t="s">
        <v>64</v>
      </c>
      <c r="O140" t="s">
        <v>46</v>
      </c>
      <c r="P140" t="s">
        <v>46</v>
      </c>
      <c r="Y140" t="s">
        <v>548</v>
      </c>
    </row>
    <row r="141" spans="1:25">
      <c r="A141" t="s">
        <v>549</v>
      </c>
      <c r="B141" t="s">
        <v>550</v>
      </c>
      <c r="D141" t="s">
        <v>40</v>
      </c>
      <c r="E141" t="s">
        <v>41</v>
      </c>
      <c r="J141" t="s">
        <v>68</v>
      </c>
      <c r="K141" t="s">
        <v>69</v>
      </c>
      <c r="L141">
        <v>11</v>
      </c>
      <c r="M141" t="s">
        <v>551</v>
      </c>
      <c r="N141" t="s">
        <v>64</v>
      </c>
      <c r="O141" t="s">
        <v>46</v>
      </c>
      <c r="P141" t="s">
        <v>46</v>
      </c>
      <c r="Y141" t="s">
        <v>552</v>
      </c>
    </row>
    <row r="142" spans="1:25">
      <c r="A142" t="s">
        <v>553</v>
      </c>
      <c r="B142" t="s">
        <v>554</v>
      </c>
      <c r="D142" t="s">
        <v>40</v>
      </c>
      <c r="E142" t="s">
        <v>41</v>
      </c>
      <c r="J142" t="s">
        <v>68</v>
      </c>
      <c r="K142" t="s">
        <v>69</v>
      </c>
      <c r="L142">
        <v>11</v>
      </c>
      <c r="M142" t="s">
        <v>551</v>
      </c>
      <c r="N142" t="s">
        <v>64</v>
      </c>
      <c r="O142" t="s">
        <v>46</v>
      </c>
      <c r="P142" t="s">
        <v>46</v>
      </c>
      <c r="Y142" t="s">
        <v>555</v>
      </c>
    </row>
    <row r="143" spans="1:25">
      <c r="A143" t="s">
        <v>556</v>
      </c>
      <c r="B143" t="s">
        <v>557</v>
      </c>
      <c r="D143" t="s">
        <v>40</v>
      </c>
      <c r="E143" t="s">
        <v>41</v>
      </c>
      <c r="J143" t="s">
        <v>182</v>
      </c>
      <c r="K143" t="s">
        <v>183</v>
      </c>
      <c r="L143">
        <v>11</v>
      </c>
      <c r="M143" t="s">
        <v>558</v>
      </c>
      <c r="N143" t="s">
        <v>64</v>
      </c>
      <c r="O143" t="s">
        <v>46</v>
      </c>
      <c r="P143" t="s">
        <v>46</v>
      </c>
      <c r="Y143" t="s">
        <v>559</v>
      </c>
    </row>
    <row r="144" spans="1:25">
      <c r="A144" t="s">
        <v>560</v>
      </c>
      <c r="B144" t="s">
        <v>561</v>
      </c>
      <c r="D144" t="s">
        <v>40</v>
      </c>
      <c r="E144" t="s">
        <v>41</v>
      </c>
      <c r="J144" t="s">
        <v>68</v>
      </c>
      <c r="K144" t="s">
        <v>69</v>
      </c>
      <c r="L144">
        <v>11</v>
      </c>
      <c r="M144" t="s">
        <v>558</v>
      </c>
      <c r="N144" t="s">
        <v>64</v>
      </c>
      <c r="O144" t="s">
        <v>46</v>
      </c>
      <c r="P144" t="s">
        <v>46</v>
      </c>
      <c r="Y144" t="s">
        <v>562</v>
      </c>
    </row>
    <row r="145" spans="1:25">
      <c r="A145" t="s">
        <v>563</v>
      </c>
      <c r="B145" t="s">
        <v>564</v>
      </c>
      <c r="D145" t="s">
        <v>40</v>
      </c>
      <c r="E145" t="s">
        <v>41</v>
      </c>
      <c r="J145" t="s">
        <v>68</v>
      </c>
      <c r="K145" t="s">
        <v>69</v>
      </c>
      <c r="L145">
        <v>11</v>
      </c>
      <c r="M145" t="s">
        <v>558</v>
      </c>
      <c r="N145" t="s">
        <v>64</v>
      </c>
      <c r="O145" t="s">
        <v>46</v>
      </c>
      <c r="P145" t="s">
        <v>46</v>
      </c>
      <c r="Y145" t="s">
        <v>565</v>
      </c>
    </row>
    <row r="146" spans="1:25">
      <c r="A146" t="s">
        <v>566</v>
      </c>
      <c r="B146" t="s">
        <v>567</v>
      </c>
      <c r="D146" t="s">
        <v>40</v>
      </c>
      <c r="E146" t="s">
        <v>41</v>
      </c>
      <c r="J146" t="s">
        <v>76</v>
      </c>
      <c r="K146" t="s">
        <v>77</v>
      </c>
      <c r="L146">
        <v>11</v>
      </c>
      <c r="M146" t="s">
        <v>568</v>
      </c>
      <c r="N146" t="s">
        <v>64</v>
      </c>
      <c r="O146" t="s">
        <v>46</v>
      </c>
      <c r="P146" t="s">
        <v>46</v>
      </c>
      <c r="Y146" t="s">
        <v>569</v>
      </c>
    </row>
    <row r="147" spans="1:25">
      <c r="A147" t="s">
        <v>570</v>
      </c>
      <c r="B147" t="s">
        <v>571</v>
      </c>
      <c r="D147" t="s">
        <v>40</v>
      </c>
      <c r="E147" t="s">
        <v>41</v>
      </c>
      <c r="J147" t="s">
        <v>68</v>
      </c>
      <c r="K147" t="s">
        <v>69</v>
      </c>
      <c r="L147">
        <v>11</v>
      </c>
      <c r="M147" t="s">
        <v>568</v>
      </c>
      <c r="N147" t="s">
        <v>64</v>
      </c>
      <c r="O147" t="s">
        <v>46</v>
      </c>
      <c r="P147" t="s">
        <v>46</v>
      </c>
      <c r="Y147" t="s">
        <v>572</v>
      </c>
    </row>
    <row r="148" spans="1:25">
      <c r="A148" t="s">
        <v>573</v>
      </c>
      <c r="B148" t="s">
        <v>574</v>
      </c>
      <c r="D148" t="s">
        <v>40</v>
      </c>
      <c r="E148" t="s">
        <v>41</v>
      </c>
      <c r="J148" t="s">
        <v>68</v>
      </c>
      <c r="K148" t="s">
        <v>69</v>
      </c>
      <c r="L148">
        <v>11</v>
      </c>
      <c r="M148" t="s">
        <v>568</v>
      </c>
      <c r="N148" t="s">
        <v>64</v>
      </c>
      <c r="O148" t="s">
        <v>46</v>
      </c>
      <c r="P148" t="s">
        <v>46</v>
      </c>
      <c r="Y148" t="s">
        <v>575</v>
      </c>
    </row>
    <row r="149" spans="1:25">
      <c r="A149" t="s">
        <v>576</v>
      </c>
      <c r="B149" t="s">
        <v>577</v>
      </c>
      <c r="D149" t="s">
        <v>40</v>
      </c>
      <c r="E149" t="s">
        <v>41</v>
      </c>
      <c r="J149" t="s">
        <v>76</v>
      </c>
      <c r="K149" t="s">
        <v>77</v>
      </c>
      <c r="L149">
        <v>11</v>
      </c>
      <c r="M149" t="s">
        <v>568</v>
      </c>
      <c r="N149" t="s">
        <v>64</v>
      </c>
      <c r="O149" t="s">
        <v>46</v>
      </c>
      <c r="P149" t="s">
        <v>46</v>
      </c>
      <c r="Y149" t="s">
        <v>578</v>
      </c>
    </row>
    <row r="150" spans="1:25">
      <c r="A150" t="s">
        <v>579</v>
      </c>
      <c r="B150" t="s">
        <v>580</v>
      </c>
      <c r="D150" t="s">
        <v>40</v>
      </c>
      <c r="E150" t="s">
        <v>41</v>
      </c>
      <c r="J150" t="s">
        <v>68</v>
      </c>
      <c r="K150" t="s">
        <v>69</v>
      </c>
      <c r="L150">
        <v>11</v>
      </c>
      <c r="M150" t="s">
        <v>581</v>
      </c>
      <c r="N150" t="s">
        <v>64</v>
      </c>
      <c r="O150" t="s">
        <v>46</v>
      </c>
      <c r="P150" t="s">
        <v>46</v>
      </c>
      <c r="Y150" t="s">
        <v>582</v>
      </c>
    </row>
    <row r="151" spans="1:25">
      <c r="A151" t="s">
        <v>583</v>
      </c>
      <c r="B151" t="s">
        <v>584</v>
      </c>
      <c r="D151" t="s">
        <v>40</v>
      </c>
      <c r="E151" t="s">
        <v>41</v>
      </c>
      <c r="J151" t="s">
        <v>68</v>
      </c>
      <c r="K151" t="s">
        <v>69</v>
      </c>
      <c r="L151">
        <v>11</v>
      </c>
      <c r="M151" t="s">
        <v>585</v>
      </c>
      <c r="N151" t="s">
        <v>64</v>
      </c>
      <c r="O151" t="s">
        <v>46</v>
      </c>
      <c r="P151" t="s">
        <v>46</v>
      </c>
      <c r="Y151" t="s">
        <v>586</v>
      </c>
    </row>
    <row r="152" spans="1:25">
      <c r="A152" t="s">
        <v>587</v>
      </c>
      <c r="B152" t="s">
        <v>588</v>
      </c>
      <c r="D152" t="s">
        <v>40</v>
      </c>
      <c r="E152" t="s">
        <v>41</v>
      </c>
      <c r="J152" t="s">
        <v>76</v>
      </c>
      <c r="K152" t="s">
        <v>77</v>
      </c>
      <c r="L152">
        <v>11</v>
      </c>
      <c r="M152" t="s">
        <v>585</v>
      </c>
      <c r="N152" t="s">
        <v>64</v>
      </c>
      <c r="O152" t="s">
        <v>46</v>
      </c>
      <c r="P152" t="s">
        <v>46</v>
      </c>
      <c r="Y152" t="s">
        <v>589</v>
      </c>
    </row>
    <row r="153" spans="1:25">
      <c r="A153" t="s">
        <v>590</v>
      </c>
      <c r="B153" t="s">
        <v>591</v>
      </c>
      <c r="D153" t="s">
        <v>40</v>
      </c>
      <c r="E153" t="s">
        <v>41</v>
      </c>
      <c r="J153" t="s">
        <v>68</v>
      </c>
      <c r="K153" t="s">
        <v>69</v>
      </c>
      <c r="L153">
        <v>11</v>
      </c>
      <c r="M153" t="s">
        <v>585</v>
      </c>
      <c r="N153" t="s">
        <v>64</v>
      </c>
      <c r="O153" t="s">
        <v>46</v>
      </c>
      <c r="P153" t="s">
        <v>46</v>
      </c>
      <c r="Y153" t="s">
        <v>592</v>
      </c>
    </row>
    <row r="154" spans="1:25">
      <c r="A154" t="s">
        <v>593</v>
      </c>
      <c r="B154" t="s">
        <v>594</v>
      </c>
      <c r="D154" t="s">
        <v>40</v>
      </c>
      <c r="E154" t="s">
        <v>41</v>
      </c>
      <c r="J154" t="s">
        <v>68</v>
      </c>
      <c r="K154" t="s">
        <v>69</v>
      </c>
      <c r="L154">
        <v>11</v>
      </c>
      <c r="M154" t="s">
        <v>595</v>
      </c>
      <c r="N154" t="s">
        <v>64</v>
      </c>
      <c r="O154" t="s">
        <v>46</v>
      </c>
      <c r="P154" t="s">
        <v>46</v>
      </c>
      <c r="Y154" t="s">
        <v>596</v>
      </c>
    </row>
    <row r="155" spans="1:25">
      <c r="A155" t="s">
        <v>597</v>
      </c>
      <c r="B155" t="s">
        <v>598</v>
      </c>
      <c r="D155" t="s">
        <v>40</v>
      </c>
      <c r="E155" t="s">
        <v>41</v>
      </c>
      <c r="J155" t="s">
        <v>599</v>
      </c>
      <c r="K155" t="s">
        <v>600</v>
      </c>
      <c r="L155">
        <v>11</v>
      </c>
      <c r="M155" t="s">
        <v>595</v>
      </c>
      <c r="N155" t="s">
        <v>45</v>
      </c>
      <c r="O155" t="s">
        <v>46</v>
      </c>
      <c r="P155" t="s">
        <v>46</v>
      </c>
      <c r="Y155" t="s">
        <v>601</v>
      </c>
    </row>
    <row r="156" spans="1:25">
      <c r="A156" t="s">
        <v>602</v>
      </c>
      <c r="B156" t="s">
        <v>603</v>
      </c>
      <c r="D156" t="s">
        <v>40</v>
      </c>
      <c r="E156" t="s">
        <v>41</v>
      </c>
      <c r="J156" t="s">
        <v>62</v>
      </c>
      <c r="K156" t="s">
        <v>63</v>
      </c>
      <c r="L156">
        <v>11</v>
      </c>
      <c r="M156" t="s">
        <v>595</v>
      </c>
      <c r="N156" t="s">
        <v>64</v>
      </c>
      <c r="O156" t="s">
        <v>46</v>
      </c>
      <c r="P156" t="s">
        <v>46</v>
      </c>
      <c r="Y156" t="s">
        <v>604</v>
      </c>
    </row>
    <row r="157" spans="1:25">
      <c r="A157" t="s">
        <v>605</v>
      </c>
      <c r="B157" t="s">
        <v>606</v>
      </c>
      <c r="D157" t="s">
        <v>40</v>
      </c>
      <c r="E157" t="s">
        <v>41</v>
      </c>
      <c r="J157" t="s">
        <v>68</v>
      </c>
      <c r="K157" t="s">
        <v>69</v>
      </c>
      <c r="L157">
        <v>11</v>
      </c>
      <c r="M157" t="s">
        <v>595</v>
      </c>
      <c r="N157" t="s">
        <v>64</v>
      </c>
      <c r="O157" t="s">
        <v>46</v>
      </c>
      <c r="P157" t="s">
        <v>46</v>
      </c>
      <c r="Y157" t="s">
        <v>607</v>
      </c>
    </row>
    <row r="158" spans="1:25">
      <c r="A158" t="s">
        <v>608</v>
      </c>
      <c r="B158" t="s">
        <v>609</v>
      </c>
      <c r="D158" t="s">
        <v>40</v>
      </c>
      <c r="E158" t="s">
        <v>41</v>
      </c>
      <c r="J158" t="s">
        <v>42</v>
      </c>
      <c r="K158" t="s">
        <v>43</v>
      </c>
      <c r="L158">
        <v>10</v>
      </c>
      <c r="M158" t="s">
        <v>595</v>
      </c>
      <c r="N158" t="s">
        <v>315</v>
      </c>
      <c r="O158" t="s">
        <v>46</v>
      </c>
      <c r="P158" t="s">
        <v>46</v>
      </c>
      <c r="Y158" t="s">
        <v>610</v>
      </c>
    </row>
    <row r="159" spans="1:25">
      <c r="A159" t="s">
        <v>611</v>
      </c>
      <c r="B159" t="s">
        <v>612</v>
      </c>
      <c r="D159" t="s">
        <v>40</v>
      </c>
      <c r="E159" t="s">
        <v>41</v>
      </c>
      <c r="J159" t="s">
        <v>68</v>
      </c>
      <c r="K159" t="s">
        <v>69</v>
      </c>
      <c r="L159">
        <v>11</v>
      </c>
      <c r="M159" t="s">
        <v>613</v>
      </c>
      <c r="N159" t="s">
        <v>64</v>
      </c>
      <c r="O159" t="s">
        <v>46</v>
      </c>
      <c r="P159" t="s">
        <v>46</v>
      </c>
      <c r="Y159" t="s">
        <v>614</v>
      </c>
    </row>
    <row r="160" spans="1:25">
      <c r="A160" t="s">
        <v>615</v>
      </c>
      <c r="B160" t="s">
        <v>616</v>
      </c>
      <c r="D160" t="s">
        <v>40</v>
      </c>
      <c r="E160" t="s">
        <v>41</v>
      </c>
      <c r="J160" t="s">
        <v>50</v>
      </c>
      <c r="K160" t="s">
        <v>51</v>
      </c>
      <c r="L160">
        <v>11</v>
      </c>
      <c r="M160" t="s">
        <v>613</v>
      </c>
      <c r="N160" t="s">
        <v>617</v>
      </c>
      <c r="O160" t="s">
        <v>46</v>
      </c>
      <c r="P160" t="s">
        <v>46</v>
      </c>
      <c r="Y160" t="s">
        <v>618</v>
      </c>
    </row>
    <row r="161" spans="1:25">
      <c r="A161" t="s">
        <v>619</v>
      </c>
      <c r="B161" t="s">
        <v>620</v>
      </c>
      <c r="D161" t="s">
        <v>40</v>
      </c>
      <c r="E161" t="s">
        <v>41</v>
      </c>
      <c r="J161" t="s">
        <v>68</v>
      </c>
      <c r="K161" t="s">
        <v>69</v>
      </c>
      <c r="L161">
        <v>11</v>
      </c>
      <c r="M161" t="s">
        <v>613</v>
      </c>
      <c r="N161" t="s">
        <v>64</v>
      </c>
      <c r="O161" t="s">
        <v>46</v>
      </c>
      <c r="P161" t="s">
        <v>46</v>
      </c>
      <c r="Y161" t="s">
        <v>621</v>
      </c>
    </row>
    <row r="162" spans="1:25">
      <c r="A162" t="s">
        <v>622</v>
      </c>
      <c r="B162" t="s">
        <v>623</v>
      </c>
      <c r="D162" t="s">
        <v>40</v>
      </c>
      <c r="E162" t="s">
        <v>41</v>
      </c>
      <c r="J162" t="s">
        <v>76</v>
      </c>
      <c r="K162" t="s">
        <v>77</v>
      </c>
      <c r="L162">
        <v>11</v>
      </c>
      <c r="M162" t="s">
        <v>624</v>
      </c>
      <c r="N162" t="s">
        <v>64</v>
      </c>
      <c r="O162" t="s">
        <v>46</v>
      </c>
      <c r="P162" t="s">
        <v>46</v>
      </c>
      <c r="Y162" t="s">
        <v>625</v>
      </c>
    </row>
    <row r="163" spans="1:25">
      <c r="A163" t="s">
        <v>626</v>
      </c>
      <c r="B163" t="s">
        <v>627</v>
      </c>
      <c r="D163" t="s">
        <v>40</v>
      </c>
      <c r="E163" t="s">
        <v>41</v>
      </c>
      <c r="J163" t="s">
        <v>182</v>
      </c>
      <c r="K163" t="s">
        <v>183</v>
      </c>
      <c r="L163">
        <v>11</v>
      </c>
      <c r="M163" t="s">
        <v>624</v>
      </c>
      <c r="N163" t="s">
        <v>64</v>
      </c>
      <c r="O163" t="s">
        <v>46</v>
      </c>
      <c r="P163" t="s">
        <v>46</v>
      </c>
      <c r="Y163" t="s">
        <v>628</v>
      </c>
    </row>
    <row r="164" spans="1:25">
      <c r="A164" t="s">
        <v>629</v>
      </c>
      <c r="B164" t="s">
        <v>630</v>
      </c>
      <c r="D164" t="s">
        <v>40</v>
      </c>
      <c r="E164" t="s">
        <v>41</v>
      </c>
      <c r="J164" t="s">
        <v>68</v>
      </c>
      <c r="K164" t="s">
        <v>69</v>
      </c>
      <c r="L164">
        <v>11</v>
      </c>
      <c r="M164" t="s">
        <v>631</v>
      </c>
      <c r="N164" t="s">
        <v>64</v>
      </c>
      <c r="O164" t="s">
        <v>46</v>
      </c>
      <c r="P164" t="s">
        <v>46</v>
      </c>
      <c r="Y164" t="s">
        <v>632</v>
      </c>
    </row>
    <row r="165" spans="1:25">
      <c r="A165" t="s">
        <v>633</v>
      </c>
      <c r="B165" t="s">
        <v>634</v>
      </c>
      <c r="D165" t="s">
        <v>40</v>
      </c>
      <c r="E165" t="s">
        <v>41</v>
      </c>
      <c r="J165" t="s">
        <v>76</v>
      </c>
      <c r="K165" t="s">
        <v>77</v>
      </c>
      <c r="L165">
        <v>11</v>
      </c>
      <c r="M165" t="s">
        <v>631</v>
      </c>
      <c r="N165" t="s">
        <v>64</v>
      </c>
      <c r="O165" t="s">
        <v>46</v>
      </c>
      <c r="P165" t="s">
        <v>46</v>
      </c>
      <c r="Y165" t="s">
        <v>635</v>
      </c>
    </row>
    <row r="166" spans="1:25">
      <c r="A166" t="s">
        <v>636</v>
      </c>
      <c r="B166" t="s">
        <v>637</v>
      </c>
      <c r="D166" t="s">
        <v>40</v>
      </c>
      <c r="E166" t="s">
        <v>41</v>
      </c>
      <c r="J166" t="s">
        <v>76</v>
      </c>
      <c r="K166" t="s">
        <v>77</v>
      </c>
      <c r="L166">
        <v>11</v>
      </c>
      <c r="M166" t="s">
        <v>638</v>
      </c>
      <c r="N166" t="s">
        <v>64</v>
      </c>
      <c r="O166" t="s">
        <v>46</v>
      </c>
      <c r="P166" t="s">
        <v>46</v>
      </c>
      <c r="Y166" t="s">
        <v>639</v>
      </c>
    </row>
    <row r="167" spans="1:25">
      <c r="A167" t="s">
        <v>640</v>
      </c>
      <c r="B167" t="s">
        <v>641</v>
      </c>
      <c r="D167" t="s">
        <v>40</v>
      </c>
      <c r="E167" t="s">
        <v>41</v>
      </c>
      <c r="J167" t="s">
        <v>68</v>
      </c>
      <c r="K167" t="s">
        <v>69</v>
      </c>
      <c r="L167">
        <v>11</v>
      </c>
      <c r="M167" t="s">
        <v>638</v>
      </c>
      <c r="N167" t="s">
        <v>64</v>
      </c>
      <c r="O167" t="s">
        <v>46</v>
      </c>
      <c r="P167" t="s">
        <v>46</v>
      </c>
      <c r="Y167" t="s">
        <v>642</v>
      </c>
    </row>
    <row r="168" spans="1:25">
      <c r="A168" t="s">
        <v>643</v>
      </c>
      <c r="B168" t="s">
        <v>644</v>
      </c>
      <c r="D168" t="s">
        <v>40</v>
      </c>
      <c r="E168" t="s">
        <v>41</v>
      </c>
      <c r="J168" t="s">
        <v>645</v>
      </c>
      <c r="K168" t="s">
        <v>646</v>
      </c>
      <c r="L168">
        <v>11</v>
      </c>
      <c r="M168" t="s">
        <v>638</v>
      </c>
      <c r="N168" t="s">
        <v>64</v>
      </c>
      <c r="O168" t="s">
        <v>46</v>
      </c>
      <c r="P168" t="s">
        <v>46</v>
      </c>
      <c r="Y168" t="s">
        <v>647</v>
      </c>
    </row>
    <row r="169" spans="1:25">
      <c r="A169" t="s">
        <v>648</v>
      </c>
      <c r="B169" t="s">
        <v>649</v>
      </c>
      <c r="D169" t="s">
        <v>40</v>
      </c>
      <c r="E169" t="s">
        <v>41</v>
      </c>
      <c r="J169" t="s">
        <v>68</v>
      </c>
      <c r="K169" t="s">
        <v>69</v>
      </c>
      <c r="L169">
        <v>11</v>
      </c>
      <c r="M169" t="s">
        <v>638</v>
      </c>
      <c r="N169" t="s">
        <v>64</v>
      </c>
      <c r="O169" t="s">
        <v>46</v>
      </c>
      <c r="P169" t="s">
        <v>46</v>
      </c>
      <c r="Y169" t="s">
        <v>650</v>
      </c>
    </row>
    <row r="170" spans="1:25">
      <c r="A170" t="s">
        <v>651</v>
      </c>
      <c r="B170" t="s">
        <v>652</v>
      </c>
      <c r="D170" t="s">
        <v>40</v>
      </c>
      <c r="E170" t="s">
        <v>41</v>
      </c>
      <c r="J170" t="s">
        <v>68</v>
      </c>
      <c r="K170" t="s">
        <v>69</v>
      </c>
      <c r="L170">
        <v>11</v>
      </c>
      <c r="M170" t="s">
        <v>653</v>
      </c>
      <c r="N170" t="s">
        <v>64</v>
      </c>
      <c r="O170" t="s">
        <v>46</v>
      </c>
      <c r="P170" t="s">
        <v>46</v>
      </c>
      <c r="Y170" t="s">
        <v>654</v>
      </c>
    </row>
    <row r="171" spans="1:25">
      <c r="A171" t="s">
        <v>655</v>
      </c>
      <c r="B171" t="s">
        <v>656</v>
      </c>
      <c r="D171" t="s">
        <v>40</v>
      </c>
      <c r="E171" t="s">
        <v>41</v>
      </c>
      <c r="J171" t="s">
        <v>62</v>
      </c>
      <c r="K171" t="s">
        <v>63</v>
      </c>
      <c r="L171">
        <v>11</v>
      </c>
      <c r="M171" t="s">
        <v>653</v>
      </c>
      <c r="N171" t="s">
        <v>64</v>
      </c>
      <c r="O171" t="s">
        <v>46</v>
      </c>
      <c r="P171" t="s">
        <v>46</v>
      </c>
      <c r="Y171" t="s">
        <v>657</v>
      </c>
    </row>
    <row r="172" spans="1:25">
      <c r="A172" t="s">
        <v>658</v>
      </c>
      <c r="B172" t="s">
        <v>659</v>
      </c>
      <c r="D172" t="s">
        <v>40</v>
      </c>
      <c r="E172" t="s">
        <v>41</v>
      </c>
      <c r="J172" t="s">
        <v>68</v>
      </c>
      <c r="K172" t="s">
        <v>69</v>
      </c>
      <c r="L172">
        <v>11</v>
      </c>
      <c r="M172" t="s">
        <v>653</v>
      </c>
      <c r="N172" t="s">
        <v>64</v>
      </c>
      <c r="O172" t="s">
        <v>46</v>
      </c>
      <c r="P172" t="s">
        <v>46</v>
      </c>
      <c r="Y172" t="s">
        <v>660</v>
      </c>
    </row>
    <row r="173" spans="1:25">
      <c r="A173" t="s">
        <v>661</v>
      </c>
      <c r="B173" t="s">
        <v>662</v>
      </c>
      <c r="D173" t="s">
        <v>40</v>
      </c>
      <c r="E173" t="s">
        <v>41</v>
      </c>
      <c r="J173" t="s">
        <v>182</v>
      </c>
      <c r="K173" t="s">
        <v>183</v>
      </c>
      <c r="L173">
        <v>11</v>
      </c>
      <c r="M173" t="s">
        <v>663</v>
      </c>
      <c r="N173" t="s">
        <v>64</v>
      </c>
      <c r="O173" t="s">
        <v>46</v>
      </c>
      <c r="P173" t="s">
        <v>46</v>
      </c>
      <c r="Y173" t="s">
        <v>664</v>
      </c>
    </row>
    <row r="174" spans="1:25">
      <c r="A174" t="s">
        <v>665</v>
      </c>
      <c r="B174" t="s">
        <v>666</v>
      </c>
      <c r="D174" t="s">
        <v>40</v>
      </c>
      <c r="E174" t="s">
        <v>41</v>
      </c>
      <c r="J174" t="s">
        <v>68</v>
      </c>
      <c r="K174" t="s">
        <v>69</v>
      </c>
      <c r="L174">
        <v>11</v>
      </c>
      <c r="M174" t="s">
        <v>663</v>
      </c>
      <c r="N174" t="s">
        <v>64</v>
      </c>
      <c r="O174" t="s">
        <v>46</v>
      </c>
      <c r="P174" t="s">
        <v>46</v>
      </c>
      <c r="Y174" t="s">
        <v>667</v>
      </c>
    </row>
    <row r="175" spans="1:25">
      <c r="A175" t="s">
        <v>668</v>
      </c>
      <c r="B175" t="s">
        <v>669</v>
      </c>
      <c r="D175" t="s">
        <v>40</v>
      </c>
      <c r="E175" t="s">
        <v>41</v>
      </c>
      <c r="J175" t="s">
        <v>68</v>
      </c>
      <c r="K175" t="s">
        <v>69</v>
      </c>
      <c r="L175">
        <v>11</v>
      </c>
      <c r="M175" t="s">
        <v>663</v>
      </c>
      <c r="N175" t="s">
        <v>64</v>
      </c>
      <c r="O175" t="s">
        <v>46</v>
      </c>
      <c r="P175" t="s">
        <v>46</v>
      </c>
      <c r="Y175" t="s">
        <v>670</v>
      </c>
    </row>
    <row r="176" spans="1:25">
      <c r="A176" t="s">
        <v>671</v>
      </c>
      <c r="B176" t="s">
        <v>672</v>
      </c>
      <c r="D176" t="s">
        <v>40</v>
      </c>
      <c r="E176" t="s">
        <v>41</v>
      </c>
      <c r="J176" t="s">
        <v>68</v>
      </c>
      <c r="K176" t="s">
        <v>69</v>
      </c>
      <c r="L176">
        <v>11</v>
      </c>
      <c r="M176" t="s">
        <v>663</v>
      </c>
      <c r="N176" t="s">
        <v>64</v>
      </c>
      <c r="O176" t="s">
        <v>46</v>
      </c>
      <c r="P176" t="s">
        <v>46</v>
      </c>
      <c r="Y176" t="s">
        <v>673</v>
      </c>
    </row>
    <row r="177" spans="1:25">
      <c r="A177" t="s">
        <v>674</v>
      </c>
      <c r="B177" t="s">
        <v>675</v>
      </c>
      <c r="D177" t="s">
        <v>40</v>
      </c>
      <c r="E177" t="s">
        <v>41</v>
      </c>
      <c r="J177" t="s">
        <v>68</v>
      </c>
      <c r="K177" t="s">
        <v>69</v>
      </c>
      <c r="L177">
        <v>11</v>
      </c>
      <c r="M177" t="s">
        <v>663</v>
      </c>
      <c r="N177" t="s">
        <v>64</v>
      </c>
      <c r="O177" t="s">
        <v>46</v>
      </c>
      <c r="P177" t="s">
        <v>46</v>
      </c>
      <c r="Y177" t="s">
        <v>676</v>
      </c>
    </row>
    <row r="178" spans="1:25">
      <c r="A178" t="s">
        <v>677</v>
      </c>
      <c r="B178" t="s">
        <v>678</v>
      </c>
      <c r="D178" t="s">
        <v>40</v>
      </c>
      <c r="E178" t="s">
        <v>41</v>
      </c>
      <c r="J178" t="s">
        <v>68</v>
      </c>
      <c r="K178" t="s">
        <v>69</v>
      </c>
      <c r="L178">
        <v>11</v>
      </c>
      <c r="M178" t="s">
        <v>663</v>
      </c>
      <c r="N178" t="s">
        <v>64</v>
      </c>
      <c r="O178" t="s">
        <v>46</v>
      </c>
      <c r="P178" t="s">
        <v>46</v>
      </c>
      <c r="Y178" t="s">
        <v>679</v>
      </c>
    </row>
    <row r="179" spans="1:25">
      <c r="A179" t="s">
        <v>680</v>
      </c>
      <c r="B179" t="s">
        <v>681</v>
      </c>
      <c r="D179" t="s">
        <v>40</v>
      </c>
      <c r="E179" t="s">
        <v>41</v>
      </c>
      <c r="J179" t="s">
        <v>182</v>
      </c>
      <c r="K179" t="s">
        <v>183</v>
      </c>
      <c r="L179">
        <v>11</v>
      </c>
      <c r="M179" t="s">
        <v>663</v>
      </c>
      <c r="N179" t="s">
        <v>64</v>
      </c>
      <c r="O179" t="s">
        <v>46</v>
      </c>
      <c r="P179" t="s">
        <v>46</v>
      </c>
      <c r="Y179" t="s">
        <v>682</v>
      </c>
    </row>
    <row r="180" spans="1:25">
      <c r="A180" t="s">
        <v>683</v>
      </c>
      <c r="B180" t="s">
        <v>684</v>
      </c>
      <c r="D180" t="s">
        <v>40</v>
      </c>
      <c r="E180" t="s">
        <v>41</v>
      </c>
      <c r="J180" t="s">
        <v>182</v>
      </c>
      <c r="K180" t="s">
        <v>183</v>
      </c>
      <c r="L180">
        <v>10</v>
      </c>
      <c r="M180" t="s">
        <v>685</v>
      </c>
      <c r="N180" t="s">
        <v>64</v>
      </c>
      <c r="O180" t="s">
        <v>46</v>
      </c>
      <c r="P180" t="s">
        <v>46</v>
      </c>
      <c r="Y180" t="s">
        <v>686</v>
      </c>
    </row>
    <row r="181" spans="1:25">
      <c r="A181" t="s">
        <v>687</v>
      </c>
      <c r="B181" t="s">
        <v>688</v>
      </c>
      <c r="D181" t="s">
        <v>40</v>
      </c>
      <c r="E181" t="s">
        <v>41</v>
      </c>
      <c r="J181" t="s">
        <v>182</v>
      </c>
      <c r="K181" t="s">
        <v>183</v>
      </c>
      <c r="L181">
        <v>10</v>
      </c>
      <c r="M181" t="s">
        <v>685</v>
      </c>
      <c r="N181" t="s">
        <v>64</v>
      </c>
      <c r="O181" t="s">
        <v>46</v>
      </c>
      <c r="P181" t="s">
        <v>46</v>
      </c>
      <c r="Y181" t="s">
        <v>689</v>
      </c>
    </row>
    <row r="182" spans="1:25">
      <c r="A182" t="s">
        <v>690</v>
      </c>
      <c r="B182" t="s">
        <v>691</v>
      </c>
      <c r="D182" t="s">
        <v>40</v>
      </c>
      <c r="E182" t="s">
        <v>41</v>
      </c>
      <c r="J182" t="s">
        <v>68</v>
      </c>
      <c r="K182" t="s">
        <v>69</v>
      </c>
      <c r="L182">
        <v>10</v>
      </c>
      <c r="M182" t="s">
        <v>685</v>
      </c>
      <c r="N182" t="s">
        <v>64</v>
      </c>
      <c r="O182" t="s">
        <v>46</v>
      </c>
      <c r="P182" t="s">
        <v>46</v>
      </c>
      <c r="Y182" t="s">
        <v>692</v>
      </c>
    </row>
    <row r="183" spans="1:25">
      <c r="A183" t="s">
        <v>693</v>
      </c>
      <c r="B183" t="s">
        <v>694</v>
      </c>
      <c r="D183" t="s">
        <v>40</v>
      </c>
      <c r="E183" t="s">
        <v>41</v>
      </c>
      <c r="J183" t="s">
        <v>68</v>
      </c>
      <c r="K183" t="s">
        <v>69</v>
      </c>
      <c r="L183">
        <v>10</v>
      </c>
      <c r="M183" t="s">
        <v>685</v>
      </c>
      <c r="N183" t="s">
        <v>64</v>
      </c>
      <c r="O183" t="s">
        <v>46</v>
      </c>
      <c r="P183" t="s">
        <v>46</v>
      </c>
      <c r="Y183" t="s">
        <v>695</v>
      </c>
    </row>
    <row r="184" spans="1:25">
      <c r="A184" t="s">
        <v>696</v>
      </c>
      <c r="B184" t="s">
        <v>697</v>
      </c>
      <c r="D184" t="s">
        <v>40</v>
      </c>
      <c r="E184" t="s">
        <v>41</v>
      </c>
      <c r="J184" t="s">
        <v>68</v>
      </c>
      <c r="K184" t="s">
        <v>69</v>
      </c>
      <c r="L184">
        <v>10</v>
      </c>
      <c r="M184" t="s">
        <v>685</v>
      </c>
      <c r="N184" t="s">
        <v>64</v>
      </c>
      <c r="O184" t="s">
        <v>46</v>
      </c>
      <c r="P184" t="s">
        <v>46</v>
      </c>
      <c r="Y184" t="s">
        <v>698</v>
      </c>
    </row>
    <row r="185" spans="1:25">
      <c r="A185" t="s">
        <v>699</v>
      </c>
      <c r="B185" t="s">
        <v>700</v>
      </c>
      <c r="D185" t="s">
        <v>40</v>
      </c>
      <c r="E185" t="s">
        <v>41</v>
      </c>
      <c r="J185" t="s">
        <v>68</v>
      </c>
      <c r="K185" t="s">
        <v>69</v>
      </c>
      <c r="L185">
        <v>10</v>
      </c>
      <c r="M185" t="s">
        <v>685</v>
      </c>
      <c r="N185" t="s">
        <v>64</v>
      </c>
      <c r="O185" t="s">
        <v>46</v>
      </c>
      <c r="P185" t="s">
        <v>46</v>
      </c>
      <c r="Y185" t="s">
        <v>701</v>
      </c>
    </row>
    <row r="186" spans="1:25">
      <c r="A186" t="s">
        <v>702</v>
      </c>
      <c r="B186" t="s">
        <v>703</v>
      </c>
      <c r="D186" t="s">
        <v>40</v>
      </c>
      <c r="E186" t="s">
        <v>41</v>
      </c>
      <c r="J186" t="s">
        <v>68</v>
      </c>
      <c r="K186" t="s">
        <v>69</v>
      </c>
      <c r="L186">
        <v>10</v>
      </c>
      <c r="M186" t="s">
        <v>685</v>
      </c>
      <c r="N186" t="s">
        <v>64</v>
      </c>
      <c r="O186" t="s">
        <v>46</v>
      </c>
      <c r="P186" t="s">
        <v>46</v>
      </c>
      <c r="Y186" t="s">
        <v>704</v>
      </c>
    </row>
    <row r="187" spans="1:25">
      <c r="A187" t="s">
        <v>705</v>
      </c>
      <c r="B187" t="s">
        <v>706</v>
      </c>
      <c r="D187" t="s">
        <v>40</v>
      </c>
      <c r="E187" t="s">
        <v>41</v>
      </c>
      <c r="J187" t="s">
        <v>182</v>
      </c>
      <c r="K187" t="s">
        <v>183</v>
      </c>
      <c r="L187">
        <v>11</v>
      </c>
      <c r="M187" t="s">
        <v>685</v>
      </c>
      <c r="N187" t="s">
        <v>64</v>
      </c>
      <c r="O187" t="s">
        <v>46</v>
      </c>
      <c r="P187" t="s">
        <v>46</v>
      </c>
      <c r="Y187" t="s">
        <v>707</v>
      </c>
    </row>
    <row r="188" spans="1:25">
      <c r="A188" t="s">
        <v>708</v>
      </c>
      <c r="B188" t="s">
        <v>709</v>
      </c>
      <c r="D188" t="s">
        <v>40</v>
      </c>
      <c r="E188" t="s">
        <v>41</v>
      </c>
      <c r="J188" t="s">
        <v>182</v>
      </c>
      <c r="K188" t="s">
        <v>183</v>
      </c>
      <c r="L188">
        <v>11</v>
      </c>
      <c r="M188" t="s">
        <v>685</v>
      </c>
      <c r="N188" t="s">
        <v>64</v>
      </c>
      <c r="O188" t="s">
        <v>46</v>
      </c>
      <c r="P188" t="s">
        <v>46</v>
      </c>
      <c r="Y188" t="s">
        <v>710</v>
      </c>
    </row>
    <row r="189" spans="1:25">
      <c r="A189" t="s">
        <v>711</v>
      </c>
      <c r="B189" t="s">
        <v>712</v>
      </c>
      <c r="D189" t="s">
        <v>40</v>
      </c>
      <c r="E189" t="s">
        <v>41</v>
      </c>
      <c r="J189" t="s">
        <v>42</v>
      </c>
      <c r="K189" t="s">
        <v>43</v>
      </c>
      <c r="L189">
        <v>11</v>
      </c>
      <c r="M189" t="s">
        <v>685</v>
      </c>
      <c r="N189" t="s">
        <v>173</v>
      </c>
      <c r="O189" t="s">
        <v>46</v>
      </c>
      <c r="P189" t="s">
        <v>46</v>
      </c>
      <c r="Y189" t="s">
        <v>713</v>
      </c>
    </row>
    <row r="190" spans="1:25">
      <c r="A190" t="s">
        <v>714</v>
      </c>
      <c r="B190" t="s">
        <v>715</v>
      </c>
      <c r="D190" t="s">
        <v>40</v>
      </c>
      <c r="E190" t="s">
        <v>41</v>
      </c>
      <c r="J190" t="s">
        <v>68</v>
      </c>
      <c r="K190" t="s">
        <v>69</v>
      </c>
      <c r="L190">
        <v>11</v>
      </c>
      <c r="M190" t="s">
        <v>685</v>
      </c>
      <c r="N190" t="s">
        <v>64</v>
      </c>
      <c r="O190" t="s">
        <v>46</v>
      </c>
      <c r="P190" t="s">
        <v>46</v>
      </c>
      <c r="Y190" t="s">
        <v>716</v>
      </c>
    </row>
    <row r="191" spans="1:25">
      <c r="A191" t="s">
        <v>717</v>
      </c>
      <c r="B191" t="s">
        <v>718</v>
      </c>
      <c r="D191" t="s">
        <v>40</v>
      </c>
      <c r="E191" t="s">
        <v>41</v>
      </c>
      <c r="J191" t="s">
        <v>68</v>
      </c>
      <c r="K191" t="s">
        <v>69</v>
      </c>
      <c r="L191">
        <v>10</v>
      </c>
      <c r="M191" t="s">
        <v>719</v>
      </c>
      <c r="N191" t="s">
        <v>64</v>
      </c>
      <c r="O191" t="s">
        <v>46</v>
      </c>
      <c r="P191" t="s">
        <v>46</v>
      </c>
      <c r="Y191" t="s">
        <v>720</v>
      </c>
    </row>
    <row r="192" spans="1:25">
      <c r="A192" t="s">
        <v>721</v>
      </c>
      <c r="B192" t="s">
        <v>722</v>
      </c>
      <c r="D192" t="s">
        <v>40</v>
      </c>
      <c r="E192" t="s">
        <v>41</v>
      </c>
      <c r="J192" t="s">
        <v>68</v>
      </c>
      <c r="K192" t="s">
        <v>69</v>
      </c>
      <c r="L192">
        <v>10</v>
      </c>
      <c r="M192" t="s">
        <v>719</v>
      </c>
      <c r="N192" t="s">
        <v>64</v>
      </c>
      <c r="O192" t="s">
        <v>46</v>
      </c>
      <c r="P192" t="s">
        <v>46</v>
      </c>
      <c r="Y192" t="s">
        <v>723</v>
      </c>
    </row>
    <row r="193" spans="1:25">
      <c r="A193" t="s">
        <v>724</v>
      </c>
      <c r="B193" t="s">
        <v>725</v>
      </c>
      <c r="D193" t="s">
        <v>40</v>
      </c>
      <c r="E193" t="s">
        <v>41</v>
      </c>
      <c r="J193" t="s">
        <v>68</v>
      </c>
      <c r="K193" t="s">
        <v>69</v>
      </c>
      <c r="L193">
        <v>10</v>
      </c>
      <c r="M193" t="s">
        <v>726</v>
      </c>
      <c r="N193" t="s">
        <v>64</v>
      </c>
      <c r="O193" t="s">
        <v>46</v>
      </c>
      <c r="P193" t="s">
        <v>46</v>
      </c>
      <c r="Y193" t="s">
        <v>727</v>
      </c>
    </row>
    <row r="194" spans="1:25">
      <c r="A194" t="s">
        <v>728</v>
      </c>
      <c r="B194" t="s">
        <v>729</v>
      </c>
      <c r="D194" t="s">
        <v>40</v>
      </c>
      <c r="E194" t="s">
        <v>41</v>
      </c>
      <c r="J194" t="s">
        <v>68</v>
      </c>
      <c r="K194" t="s">
        <v>69</v>
      </c>
      <c r="L194">
        <v>10</v>
      </c>
      <c r="M194" t="s">
        <v>726</v>
      </c>
      <c r="N194" t="s">
        <v>64</v>
      </c>
      <c r="O194" t="s">
        <v>46</v>
      </c>
      <c r="P194" t="s">
        <v>46</v>
      </c>
      <c r="Y194" t="s">
        <v>730</v>
      </c>
    </row>
    <row r="195" spans="1:25">
      <c r="A195" t="s">
        <v>731</v>
      </c>
      <c r="B195" t="s">
        <v>732</v>
      </c>
      <c r="D195" t="s">
        <v>40</v>
      </c>
      <c r="E195" t="s">
        <v>41</v>
      </c>
      <c r="J195" t="s">
        <v>139</v>
      </c>
      <c r="K195" t="s">
        <v>140</v>
      </c>
      <c r="L195">
        <v>6</v>
      </c>
      <c r="M195" t="s">
        <v>733</v>
      </c>
      <c r="N195" t="s">
        <v>142</v>
      </c>
      <c r="O195" t="s">
        <v>46</v>
      </c>
      <c r="P195" t="s">
        <v>46</v>
      </c>
      <c r="Y195" t="s">
        <v>734</v>
      </c>
    </row>
    <row r="196" spans="1:25">
      <c r="A196" t="s">
        <v>735</v>
      </c>
      <c r="B196" t="s">
        <v>736</v>
      </c>
      <c r="D196" t="s">
        <v>40</v>
      </c>
      <c r="E196" t="s">
        <v>41</v>
      </c>
      <c r="J196" t="s">
        <v>182</v>
      </c>
      <c r="K196" t="s">
        <v>183</v>
      </c>
      <c r="L196">
        <v>11</v>
      </c>
      <c r="M196" t="s">
        <v>737</v>
      </c>
      <c r="N196" t="s">
        <v>64</v>
      </c>
      <c r="O196" t="s">
        <v>46</v>
      </c>
      <c r="P196" t="s">
        <v>46</v>
      </c>
      <c r="Y196" t="s">
        <v>738</v>
      </c>
    </row>
    <row r="197" spans="1:25">
      <c r="A197" t="s">
        <v>739</v>
      </c>
      <c r="B197" t="s">
        <v>740</v>
      </c>
      <c r="D197" t="s">
        <v>40</v>
      </c>
      <c r="E197" t="s">
        <v>41</v>
      </c>
      <c r="J197" t="s">
        <v>264</v>
      </c>
      <c r="K197" t="s">
        <v>265</v>
      </c>
      <c r="L197">
        <v>11</v>
      </c>
      <c r="M197" t="s">
        <v>737</v>
      </c>
      <c r="N197" t="s">
        <v>741</v>
      </c>
      <c r="O197" t="s">
        <v>46</v>
      </c>
      <c r="P197" t="s">
        <v>46</v>
      </c>
      <c r="Y197" t="s">
        <v>742</v>
      </c>
    </row>
    <row r="198" spans="1:25">
      <c r="A198" t="s">
        <v>743</v>
      </c>
      <c r="B198" t="s">
        <v>744</v>
      </c>
      <c r="D198" t="s">
        <v>40</v>
      </c>
      <c r="E198" t="s">
        <v>41</v>
      </c>
      <c r="J198" t="s">
        <v>76</v>
      </c>
      <c r="K198" t="s">
        <v>77</v>
      </c>
      <c r="L198">
        <v>11</v>
      </c>
      <c r="M198" t="s">
        <v>737</v>
      </c>
      <c r="N198" t="s">
        <v>64</v>
      </c>
      <c r="O198" t="s">
        <v>46</v>
      </c>
      <c r="P198" t="s">
        <v>46</v>
      </c>
      <c r="Y198" t="s">
        <v>745</v>
      </c>
    </row>
    <row r="199" spans="1:25">
      <c r="A199" t="s">
        <v>746</v>
      </c>
      <c r="B199" t="s">
        <v>747</v>
      </c>
      <c r="D199" t="s">
        <v>40</v>
      </c>
      <c r="E199" t="s">
        <v>41</v>
      </c>
      <c r="J199" t="s">
        <v>139</v>
      </c>
      <c r="K199" t="s">
        <v>140</v>
      </c>
      <c r="L199">
        <v>12</v>
      </c>
      <c r="M199" t="s">
        <v>737</v>
      </c>
      <c r="N199" t="s">
        <v>436</v>
      </c>
      <c r="O199" t="s">
        <v>46</v>
      </c>
      <c r="P199" t="s">
        <v>46</v>
      </c>
      <c r="Y199" t="s">
        <v>748</v>
      </c>
    </row>
    <row r="200" spans="1:25">
      <c r="A200" t="s">
        <v>749</v>
      </c>
      <c r="B200" t="s">
        <v>750</v>
      </c>
      <c r="D200" t="s">
        <v>40</v>
      </c>
      <c r="E200" t="s">
        <v>41</v>
      </c>
      <c r="J200" t="s">
        <v>42</v>
      </c>
      <c r="K200" t="s">
        <v>43</v>
      </c>
      <c r="L200">
        <v>10</v>
      </c>
      <c r="M200" t="s">
        <v>751</v>
      </c>
      <c r="N200" t="s">
        <v>752</v>
      </c>
      <c r="O200" t="s">
        <v>46</v>
      </c>
      <c r="P200" t="s">
        <v>46</v>
      </c>
      <c r="Y200" t="s">
        <v>753</v>
      </c>
    </row>
    <row r="201" spans="1:25">
      <c r="A201" t="s">
        <v>754</v>
      </c>
      <c r="B201" t="s">
        <v>755</v>
      </c>
      <c r="D201" t="s">
        <v>40</v>
      </c>
      <c r="E201" t="s">
        <v>41</v>
      </c>
      <c r="J201" t="s">
        <v>42</v>
      </c>
      <c r="K201" t="s">
        <v>43</v>
      </c>
      <c r="L201">
        <v>10</v>
      </c>
      <c r="M201" t="s">
        <v>751</v>
      </c>
      <c r="N201" t="s">
        <v>756</v>
      </c>
      <c r="O201" t="s">
        <v>46</v>
      </c>
      <c r="P201" t="s">
        <v>46</v>
      </c>
      <c r="Y201" t="s">
        <v>757</v>
      </c>
    </row>
    <row r="202" spans="1:25">
      <c r="A202" t="s">
        <v>758</v>
      </c>
      <c r="B202" t="s">
        <v>759</v>
      </c>
      <c r="D202" t="s">
        <v>40</v>
      </c>
      <c r="E202" t="s">
        <v>41</v>
      </c>
      <c r="J202" t="s">
        <v>76</v>
      </c>
      <c r="K202" t="s">
        <v>77</v>
      </c>
      <c r="L202">
        <v>10</v>
      </c>
      <c r="M202" t="s">
        <v>751</v>
      </c>
      <c r="N202" t="s">
        <v>64</v>
      </c>
      <c r="O202" t="s">
        <v>46</v>
      </c>
      <c r="P202" t="s">
        <v>46</v>
      </c>
      <c r="Y202" t="s">
        <v>760</v>
      </c>
    </row>
    <row r="203" spans="1:25">
      <c r="A203" t="s">
        <v>761</v>
      </c>
      <c r="B203" t="s">
        <v>762</v>
      </c>
      <c r="D203" t="s">
        <v>40</v>
      </c>
      <c r="E203" t="s">
        <v>41</v>
      </c>
      <c r="J203" t="s">
        <v>76</v>
      </c>
      <c r="K203" t="s">
        <v>77</v>
      </c>
      <c r="L203">
        <v>10</v>
      </c>
      <c r="M203" t="s">
        <v>751</v>
      </c>
      <c r="N203" t="s">
        <v>64</v>
      </c>
      <c r="O203" t="s">
        <v>46</v>
      </c>
      <c r="P203" t="s">
        <v>46</v>
      </c>
      <c r="Y203" t="s">
        <v>763</v>
      </c>
    </row>
    <row r="204" spans="1:25">
      <c r="A204" t="s">
        <v>764</v>
      </c>
      <c r="B204" t="s">
        <v>765</v>
      </c>
      <c r="D204" t="s">
        <v>40</v>
      </c>
      <c r="E204" t="s">
        <v>41</v>
      </c>
      <c r="J204" t="s">
        <v>62</v>
      </c>
      <c r="K204" t="s">
        <v>63</v>
      </c>
      <c r="L204">
        <v>10</v>
      </c>
      <c r="M204" t="s">
        <v>751</v>
      </c>
      <c r="N204" t="s">
        <v>64</v>
      </c>
      <c r="O204" t="s">
        <v>46</v>
      </c>
      <c r="P204" t="s">
        <v>46</v>
      </c>
      <c r="Y204" t="s">
        <v>766</v>
      </c>
    </row>
    <row r="205" spans="1:25">
      <c r="A205" t="s">
        <v>767</v>
      </c>
      <c r="B205" t="s">
        <v>768</v>
      </c>
      <c r="D205" t="s">
        <v>40</v>
      </c>
      <c r="E205" t="s">
        <v>41</v>
      </c>
      <c r="J205" t="s">
        <v>76</v>
      </c>
      <c r="K205" t="s">
        <v>77</v>
      </c>
      <c r="L205">
        <v>10</v>
      </c>
      <c r="M205" t="s">
        <v>769</v>
      </c>
      <c r="N205" t="s">
        <v>64</v>
      </c>
      <c r="O205" t="s">
        <v>46</v>
      </c>
      <c r="P205" t="s">
        <v>46</v>
      </c>
      <c r="Y205" t="s">
        <v>770</v>
      </c>
    </row>
    <row r="206" spans="1:25">
      <c r="A206" t="s">
        <v>771</v>
      </c>
      <c r="B206" t="s">
        <v>772</v>
      </c>
      <c r="D206" t="s">
        <v>40</v>
      </c>
      <c r="E206" t="s">
        <v>41</v>
      </c>
      <c r="J206" t="s">
        <v>139</v>
      </c>
      <c r="K206" t="s">
        <v>140</v>
      </c>
      <c r="L206">
        <v>7</v>
      </c>
      <c r="M206" t="s">
        <v>769</v>
      </c>
      <c r="N206" t="s">
        <v>617</v>
      </c>
      <c r="O206" t="s">
        <v>46</v>
      </c>
      <c r="P206" t="s">
        <v>46</v>
      </c>
      <c r="Y206" t="s">
        <v>773</v>
      </c>
    </row>
    <row r="207" spans="1:25">
      <c r="A207" t="s">
        <v>774</v>
      </c>
      <c r="B207" t="s">
        <v>775</v>
      </c>
      <c r="D207" t="s">
        <v>40</v>
      </c>
      <c r="E207" t="s">
        <v>41</v>
      </c>
      <c r="J207" t="s">
        <v>182</v>
      </c>
      <c r="K207" t="s">
        <v>183</v>
      </c>
      <c r="L207">
        <v>11</v>
      </c>
      <c r="M207" t="s">
        <v>776</v>
      </c>
      <c r="N207" t="s">
        <v>64</v>
      </c>
      <c r="O207" t="s">
        <v>46</v>
      </c>
      <c r="P207" t="s">
        <v>46</v>
      </c>
      <c r="Y207" t="s">
        <v>777</v>
      </c>
    </row>
    <row r="208" spans="1:25">
      <c r="A208" t="s">
        <v>778</v>
      </c>
      <c r="B208" t="s">
        <v>779</v>
      </c>
      <c r="D208" t="s">
        <v>40</v>
      </c>
      <c r="E208" t="s">
        <v>41</v>
      </c>
      <c r="J208" t="s">
        <v>68</v>
      </c>
      <c r="K208" t="s">
        <v>69</v>
      </c>
      <c r="L208">
        <v>11</v>
      </c>
      <c r="M208" t="s">
        <v>776</v>
      </c>
      <c r="N208" t="s">
        <v>64</v>
      </c>
      <c r="O208" t="s">
        <v>46</v>
      </c>
      <c r="P208" t="s">
        <v>46</v>
      </c>
      <c r="Y208" t="s">
        <v>780</v>
      </c>
    </row>
    <row r="209" spans="1:25">
      <c r="A209" t="s">
        <v>781</v>
      </c>
      <c r="B209" t="s">
        <v>782</v>
      </c>
      <c r="D209" t="s">
        <v>40</v>
      </c>
      <c r="E209" t="s">
        <v>41</v>
      </c>
      <c r="J209" t="s">
        <v>68</v>
      </c>
      <c r="K209" t="s">
        <v>69</v>
      </c>
      <c r="L209">
        <v>11</v>
      </c>
      <c r="M209" t="s">
        <v>776</v>
      </c>
      <c r="N209" t="s">
        <v>64</v>
      </c>
      <c r="O209" t="s">
        <v>46</v>
      </c>
      <c r="P209" t="s">
        <v>46</v>
      </c>
      <c r="Y209" t="s">
        <v>783</v>
      </c>
    </row>
    <row r="210" spans="1:25">
      <c r="A210" t="s">
        <v>784</v>
      </c>
      <c r="B210" t="s">
        <v>785</v>
      </c>
      <c r="D210" t="s">
        <v>40</v>
      </c>
      <c r="E210" t="s">
        <v>41</v>
      </c>
      <c r="J210" t="s">
        <v>76</v>
      </c>
      <c r="K210" t="s">
        <v>77</v>
      </c>
      <c r="L210">
        <v>11</v>
      </c>
      <c r="M210" t="s">
        <v>776</v>
      </c>
      <c r="N210" t="s">
        <v>64</v>
      </c>
      <c r="O210" t="s">
        <v>46</v>
      </c>
      <c r="P210" t="s">
        <v>46</v>
      </c>
      <c r="Y210" t="s">
        <v>786</v>
      </c>
    </row>
    <row r="211" spans="1:25">
      <c r="A211" t="s">
        <v>787</v>
      </c>
      <c r="B211" t="s">
        <v>788</v>
      </c>
      <c r="D211" t="s">
        <v>40</v>
      </c>
      <c r="E211" t="s">
        <v>41</v>
      </c>
      <c r="J211" t="s">
        <v>68</v>
      </c>
      <c r="K211" t="s">
        <v>69</v>
      </c>
      <c r="L211">
        <v>11</v>
      </c>
      <c r="M211" t="s">
        <v>776</v>
      </c>
      <c r="N211" t="s">
        <v>64</v>
      </c>
      <c r="O211" t="s">
        <v>46</v>
      </c>
      <c r="P211" t="s">
        <v>46</v>
      </c>
      <c r="Y211" t="s">
        <v>789</v>
      </c>
    </row>
    <row r="212" spans="1:25">
      <c r="A212" t="s">
        <v>790</v>
      </c>
      <c r="B212" t="s">
        <v>791</v>
      </c>
      <c r="D212" t="s">
        <v>40</v>
      </c>
      <c r="E212" t="s">
        <v>41</v>
      </c>
      <c r="J212" t="s">
        <v>68</v>
      </c>
      <c r="K212" t="s">
        <v>69</v>
      </c>
      <c r="L212">
        <v>11</v>
      </c>
      <c r="M212" t="s">
        <v>776</v>
      </c>
      <c r="N212" t="s">
        <v>64</v>
      </c>
      <c r="O212" t="s">
        <v>46</v>
      </c>
      <c r="P212" t="s">
        <v>46</v>
      </c>
      <c r="Y212" t="s">
        <v>792</v>
      </c>
    </row>
    <row r="213" spans="1:25">
      <c r="A213" t="s">
        <v>793</v>
      </c>
      <c r="B213" t="s">
        <v>794</v>
      </c>
      <c r="D213" t="s">
        <v>40</v>
      </c>
      <c r="E213" t="s">
        <v>41</v>
      </c>
      <c r="J213" t="s">
        <v>68</v>
      </c>
      <c r="K213" t="s">
        <v>69</v>
      </c>
      <c r="L213">
        <v>11</v>
      </c>
      <c r="M213" t="s">
        <v>795</v>
      </c>
      <c r="N213" t="s">
        <v>64</v>
      </c>
      <c r="O213" t="s">
        <v>46</v>
      </c>
      <c r="P213" t="s">
        <v>46</v>
      </c>
      <c r="Y213" t="s">
        <v>796</v>
      </c>
    </row>
    <row r="214" spans="1:25">
      <c r="A214" t="s">
        <v>797</v>
      </c>
      <c r="B214" t="s">
        <v>798</v>
      </c>
      <c r="D214" t="s">
        <v>40</v>
      </c>
      <c r="E214" t="s">
        <v>41</v>
      </c>
      <c r="J214" t="s">
        <v>68</v>
      </c>
      <c r="K214" t="s">
        <v>69</v>
      </c>
      <c r="L214">
        <v>10</v>
      </c>
      <c r="M214" t="s">
        <v>795</v>
      </c>
      <c r="N214" t="s">
        <v>64</v>
      </c>
      <c r="O214" t="s">
        <v>46</v>
      </c>
      <c r="P214" t="s">
        <v>46</v>
      </c>
      <c r="Y214" t="s">
        <v>799</v>
      </c>
    </row>
    <row r="215" spans="1:25">
      <c r="A215" t="s">
        <v>800</v>
      </c>
      <c r="B215" t="s">
        <v>801</v>
      </c>
      <c r="D215" t="s">
        <v>40</v>
      </c>
      <c r="E215" t="s">
        <v>41</v>
      </c>
      <c r="J215" t="s">
        <v>68</v>
      </c>
      <c r="K215" t="s">
        <v>69</v>
      </c>
      <c r="L215">
        <v>10</v>
      </c>
      <c r="M215" t="s">
        <v>795</v>
      </c>
      <c r="N215" t="s">
        <v>64</v>
      </c>
      <c r="O215" t="s">
        <v>46</v>
      </c>
      <c r="P215" t="s">
        <v>46</v>
      </c>
      <c r="Y215" t="s">
        <v>802</v>
      </c>
    </row>
    <row r="216" spans="1:25">
      <c r="A216" t="s">
        <v>803</v>
      </c>
      <c r="B216" t="s">
        <v>804</v>
      </c>
      <c r="D216" t="s">
        <v>40</v>
      </c>
      <c r="E216" t="s">
        <v>41</v>
      </c>
      <c r="J216" t="s">
        <v>68</v>
      </c>
      <c r="K216" t="s">
        <v>69</v>
      </c>
      <c r="L216">
        <v>10</v>
      </c>
      <c r="M216" t="s">
        <v>805</v>
      </c>
      <c r="N216" t="s">
        <v>64</v>
      </c>
      <c r="O216" t="s">
        <v>46</v>
      </c>
      <c r="P216" t="s">
        <v>46</v>
      </c>
      <c r="Y216" t="s">
        <v>806</v>
      </c>
    </row>
    <row r="217" spans="1:25">
      <c r="A217" t="s">
        <v>807</v>
      </c>
      <c r="B217" t="s">
        <v>808</v>
      </c>
      <c r="D217" t="s">
        <v>40</v>
      </c>
      <c r="E217" t="s">
        <v>41</v>
      </c>
      <c r="J217" t="s">
        <v>182</v>
      </c>
      <c r="K217" t="s">
        <v>183</v>
      </c>
      <c r="L217">
        <v>10</v>
      </c>
      <c r="M217" t="s">
        <v>809</v>
      </c>
      <c r="N217" t="s">
        <v>64</v>
      </c>
      <c r="O217" t="s">
        <v>46</v>
      </c>
      <c r="P217" t="s">
        <v>46</v>
      </c>
      <c r="Y217" t="s">
        <v>810</v>
      </c>
    </row>
    <row r="218" spans="1:25">
      <c r="A218" t="s">
        <v>811</v>
      </c>
      <c r="B218" t="s">
        <v>812</v>
      </c>
      <c r="D218" t="s">
        <v>40</v>
      </c>
      <c r="E218" t="s">
        <v>41</v>
      </c>
      <c r="J218" t="s">
        <v>62</v>
      </c>
      <c r="K218" t="s">
        <v>63</v>
      </c>
      <c r="L218">
        <v>10</v>
      </c>
      <c r="M218" t="s">
        <v>813</v>
      </c>
      <c r="N218" t="s">
        <v>64</v>
      </c>
      <c r="O218" t="s">
        <v>46</v>
      </c>
      <c r="P218" t="s">
        <v>46</v>
      </c>
      <c r="Y218" t="s">
        <v>814</v>
      </c>
    </row>
    <row r="219" spans="1:25">
      <c r="A219" t="s">
        <v>815</v>
      </c>
      <c r="B219" t="s">
        <v>816</v>
      </c>
      <c r="D219" t="s">
        <v>40</v>
      </c>
      <c r="E219" t="s">
        <v>41</v>
      </c>
      <c r="J219" t="s">
        <v>42</v>
      </c>
      <c r="K219" t="s">
        <v>43</v>
      </c>
      <c r="L219">
        <v>10</v>
      </c>
      <c r="M219" t="s">
        <v>813</v>
      </c>
      <c r="N219" t="s">
        <v>305</v>
      </c>
      <c r="O219" t="s">
        <v>46</v>
      </c>
      <c r="P219" t="s">
        <v>46</v>
      </c>
      <c r="Y219" t="s">
        <v>817</v>
      </c>
    </row>
    <row r="220" spans="1:25">
      <c r="A220" t="s">
        <v>818</v>
      </c>
      <c r="B220" t="s">
        <v>819</v>
      </c>
      <c r="D220" t="s">
        <v>40</v>
      </c>
      <c r="E220" t="s">
        <v>41</v>
      </c>
      <c r="J220" t="s">
        <v>42</v>
      </c>
      <c r="K220" t="s">
        <v>43</v>
      </c>
      <c r="L220">
        <v>10</v>
      </c>
      <c r="M220" t="s">
        <v>813</v>
      </c>
      <c r="N220" t="s">
        <v>436</v>
      </c>
      <c r="O220" t="s">
        <v>46</v>
      </c>
      <c r="P220" t="s">
        <v>46</v>
      </c>
      <c r="Y220" t="s">
        <v>820</v>
      </c>
    </row>
    <row r="221" spans="1:25">
      <c r="A221" t="s">
        <v>821</v>
      </c>
      <c r="B221" t="s">
        <v>822</v>
      </c>
      <c r="D221" t="s">
        <v>40</v>
      </c>
      <c r="E221" t="s">
        <v>41</v>
      </c>
      <c r="J221" t="s">
        <v>68</v>
      </c>
      <c r="K221" t="s">
        <v>69</v>
      </c>
      <c r="L221">
        <v>10</v>
      </c>
      <c r="M221" t="s">
        <v>813</v>
      </c>
      <c r="N221" t="s">
        <v>64</v>
      </c>
      <c r="O221" t="s">
        <v>46</v>
      </c>
      <c r="P221" t="s">
        <v>46</v>
      </c>
      <c r="Y221" t="s">
        <v>823</v>
      </c>
    </row>
    <row r="222" spans="1:25">
      <c r="A222" t="s">
        <v>824</v>
      </c>
      <c r="B222" t="s">
        <v>825</v>
      </c>
      <c r="D222" t="s">
        <v>40</v>
      </c>
      <c r="E222" t="s">
        <v>41</v>
      </c>
      <c r="J222" t="s">
        <v>182</v>
      </c>
      <c r="K222" t="s">
        <v>183</v>
      </c>
      <c r="L222">
        <v>10</v>
      </c>
      <c r="M222" t="s">
        <v>813</v>
      </c>
      <c r="N222" t="s">
        <v>64</v>
      </c>
      <c r="O222" t="s">
        <v>46</v>
      </c>
      <c r="P222" t="s">
        <v>46</v>
      </c>
      <c r="Y222" t="s">
        <v>826</v>
      </c>
    </row>
    <row r="223" spans="1:25">
      <c r="A223" t="s">
        <v>827</v>
      </c>
      <c r="B223" t="s">
        <v>828</v>
      </c>
      <c r="D223" t="s">
        <v>40</v>
      </c>
      <c r="E223" t="s">
        <v>41</v>
      </c>
      <c r="J223" t="s">
        <v>76</v>
      </c>
      <c r="K223" t="s">
        <v>77</v>
      </c>
      <c r="L223">
        <v>4</v>
      </c>
      <c r="M223" t="s">
        <v>829</v>
      </c>
      <c r="N223" t="s">
        <v>64</v>
      </c>
      <c r="O223" t="s">
        <v>46</v>
      </c>
      <c r="P223" t="s">
        <v>46</v>
      </c>
      <c r="Y223" t="s">
        <v>830</v>
      </c>
    </row>
    <row r="224" spans="1:25">
      <c r="A224" t="s">
        <v>831</v>
      </c>
      <c r="B224" t="s">
        <v>832</v>
      </c>
      <c r="D224" t="s">
        <v>40</v>
      </c>
      <c r="E224" t="s">
        <v>41</v>
      </c>
      <c r="J224" t="s">
        <v>68</v>
      </c>
      <c r="K224" t="s">
        <v>69</v>
      </c>
      <c r="L224">
        <v>11</v>
      </c>
      <c r="M224" t="s">
        <v>833</v>
      </c>
      <c r="N224" t="s">
        <v>64</v>
      </c>
      <c r="O224" t="s">
        <v>46</v>
      </c>
      <c r="P224" t="s">
        <v>46</v>
      </c>
      <c r="Y224" t="s">
        <v>834</v>
      </c>
    </row>
    <row r="225" spans="1:25">
      <c r="A225" t="s">
        <v>835</v>
      </c>
      <c r="B225" t="s">
        <v>836</v>
      </c>
      <c r="D225" t="s">
        <v>40</v>
      </c>
      <c r="E225" t="s">
        <v>41</v>
      </c>
      <c r="J225" t="s">
        <v>182</v>
      </c>
      <c r="K225" t="s">
        <v>183</v>
      </c>
      <c r="L225">
        <v>11</v>
      </c>
      <c r="M225" t="s">
        <v>833</v>
      </c>
      <c r="N225" t="s">
        <v>64</v>
      </c>
      <c r="O225" t="s">
        <v>46</v>
      </c>
      <c r="P225" t="s">
        <v>46</v>
      </c>
      <c r="Y225" t="s">
        <v>837</v>
      </c>
    </row>
    <row r="226" spans="1:25">
      <c r="A226" t="s">
        <v>838</v>
      </c>
      <c r="B226" t="s">
        <v>839</v>
      </c>
      <c r="D226" t="s">
        <v>40</v>
      </c>
      <c r="E226" t="s">
        <v>41</v>
      </c>
      <c r="J226" t="s">
        <v>182</v>
      </c>
      <c r="K226" t="s">
        <v>183</v>
      </c>
      <c r="L226">
        <v>12</v>
      </c>
      <c r="M226" t="s">
        <v>833</v>
      </c>
      <c r="N226" t="s">
        <v>64</v>
      </c>
      <c r="O226" t="s">
        <v>46</v>
      </c>
      <c r="P226" t="s">
        <v>46</v>
      </c>
      <c r="Y226" t="s">
        <v>840</v>
      </c>
    </row>
    <row r="227" spans="1:25">
      <c r="A227" t="s">
        <v>841</v>
      </c>
      <c r="B227" t="s">
        <v>842</v>
      </c>
      <c r="D227" t="s">
        <v>40</v>
      </c>
      <c r="E227" t="s">
        <v>41</v>
      </c>
      <c r="J227" t="s">
        <v>76</v>
      </c>
      <c r="K227" t="s">
        <v>77</v>
      </c>
      <c r="L227">
        <v>11</v>
      </c>
      <c r="M227" t="s">
        <v>833</v>
      </c>
      <c r="N227" t="s">
        <v>64</v>
      </c>
      <c r="O227" t="s">
        <v>46</v>
      </c>
      <c r="P227" t="s">
        <v>46</v>
      </c>
      <c r="Y227" t="s">
        <v>843</v>
      </c>
    </row>
    <row r="228" spans="1:25">
      <c r="A228" t="s">
        <v>844</v>
      </c>
      <c r="B228" t="s">
        <v>845</v>
      </c>
      <c r="D228" t="s">
        <v>40</v>
      </c>
      <c r="E228" t="s">
        <v>41</v>
      </c>
      <c r="J228" t="s">
        <v>182</v>
      </c>
      <c r="K228" t="s">
        <v>183</v>
      </c>
      <c r="L228">
        <v>11</v>
      </c>
      <c r="M228" t="s">
        <v>833</v>
      </c>
      <c r="N228" t="s">
        <v>64</v>
      </c>
      <c r="O228" t="s">
        <v>46</v>
      </c>
      <c r="P228" t="s">
        <v>46</v>
      </c>
      <c r="Y228" t="s">
        <v>846</v>
      </c>
    </row>
    <row r="229" spans="1:25">
      <c r="A229" t="s">
        <v>847</v>
      </c>
      <c r="B229" t="s">
        <v>848</v>
      </c>
      <c r="D229" t="s">
        <v>40</v>
      </c>
      <c r="E229" t="s">
        <v>41</v>
      </c>
      <c r="J229" t="s">
        <v>68</v>
      </c>
      <c r="K229" t="s">
        <v>69</v>
      </c>
      <c r="L229">
        <v>11</v>
      </c>
      <c r="M229" t="s">
        <v>849</v>
      </c>
      <c r="N229" t="s">
        <v>64</v>
      </c>
      <c r="O229" t="s">
        <v>46</v>
      </c>
      <c r="P229" t="s">
        <v>46</v>
      </c>
      <c r="Y229" t="s">
        <v>850</v>
      </c>
    </row>
    <row r="230" spans="1:25">
      <c r="A230" t="s">
        <v>851</v>
      </c>
      <c r="B230" t="s">
        <v>852</v>
      </c>
      <c r="D230" t="s">
        <v>40</v>
      </c>
      <c r="E230" t="s">
        <v>41</v>
      </c>
      <c r="J230" t="s">
        <v>76</v>
      </c>
      <c r="K230" t="s">
        <v>77</v>
      </c>
      <c r="L230">
        <v>11</v>
      </c>
      <c r="M230" t="s">
        <v>849</v>
      </c>
      <c r="N230" t="s">
        <v>64</v>
      </c>
      <c r="O230" t="s">
        <v>46</v>
      </c>
      <c r="P230" t="s">
        <v>46</v>
      </c>
      <c r="Y230" t="s">
        <v>853</v>
      </c>
    </row>
    <row r="231" spans="1:25">
      <c r="A231" t="s">
        <v>854</v>
      </c>
      <c r="B231" t="s">
        <v>855</v>
      </c>
      <c r="D231" t="s">
        <v>40</v>
      </c>
      <c r="E231" t="s">
        <v>41</v>
      </c>
      <c r="J231" t="s">
        <v>182</v>
      </c>
      <c r="K231" t="s">
        <v>183</v>
      </c>
      <c r="L231">
        <v>11</v>
      </c>
      <c r="M231" t="s">
        <v>849</v>
      </c>
      <c r="N231" t="s">
        <v>64</v>
      </c>
      <c r="O231" t="s">
        <v>46</v>
      </c>
      <c r="P231" t="s">
        <v>46</v>
      </c>
      <c r="Y231" t="s">
        <v>856</v>
      </c>
    </row>
    <row r="232" spans="1:25">
      <c r="A232" t="s">
        <v>857</v>
      </c>
      <c r="B232" t="s">
        <v>858</v>
      </c>
      <c r="D232" t="s">
        <v>40</v>
      </c>
      <c r="E232" t="s">
        <v>41</v>
      </c>
      <c r="J232" t="s">
        <v>76</v>
      </c>
      <c r="K232" t="s">
        <v>77</v>
      </c>
      <c r="L232">
        <v>11</v>
      </c>
      <c r="M232" t="s">
        <v>849</v>
      </c>
      <c r="N232" t="s">
        <v>64</v>
      </c>
      <c r="O232" t="s">
        <v>46</v>
      </c>
      <c r="P232" t="s">
        <v>46</v>
      </c>
      <c r="Y232" t="s">
        <v>859</v>
      </c>
    </row>
    <row r="233" spans="1:25">
      <c r="A233" t="s">
        <v>860</v>
      </c>
      <c r="B233" t="s">
        <v>861</v>
      </c>
      <c r="D233" t="s">
        <v>40</v>
      </c>
      <c r="E233" t="s">
        <v>41</v>
      </c>
      <c r="J233" t="s">
        <v>68</v>
      </c>
      <c r="K233" t="s">
        <v>69</v>
      </c>
      <c r="L233">
        <v>10</v>
      </c>
      <c r="M233" t="s">
        <v>849</v>
      </c>
      <c r="N233" t="s">
        <v>64</v>
      </c>
      <c r="O233" t="s">
        <v>46</v>
      </c>
      <c r="P233" t="s">
        <v>46</v>
      </c>
      <c r="Y233" t="s">
        <v>862</v>
      </c>
    </row>
    <row r="234" spans="1:25">
      <c r="A234" t="s">
        <v>863</v>
      </c>
      <c r="B234" t="s">
        <v>864</v>
      </c>
      <c r="D234" t="s">
        <v>40</v>
      </c>
      <c r="E234" t="s">
        <v>41</v>
      </c>
      <c r="J234" t="s">
        <v>68</v>
      </c>
      <c r="K234" t="s">
        <v>69</v>
      </c>
      <c r="L234">
        <v>10</v>
      </c>
      <c r="M234" t="s">
        <v>865</v>
      </c>
      <c r="N234" t="s">
        <v>64</v>
      </c>
      <c r="O234" t="s">
        <v>46</v>
      </c>
      <c r="P234" t="s">
        <v>46</v>
      </c>
      <c r="Y234" t="s">
        <v>866</v>
      </c>
    </row>
    <row r="235" spans="1:25">
      <c r="A235" t="s">
        <v>867</v>
      </c>
      <c r="B235" t="s">
        <v>868</v>
      </c>
      <c r="D235" t="s">
        <v>40</v>
      </c>
      <c r="E235" t="s">
        <v>41</v>
      </c>
      <c r="J235" t="s">
        <v>139</v>
      </c>
      <c r="K235" t="s">
        <v>140</v>
      </c>
      <c r="L235">
        <v>10</v>
      </c>
      <c r="M235" t="s">
        <v>869</v>
      </c>
      <c r="N235" t="s">
        <v>310</v>
      </c>
      <c r="O235" t="s">
        <v>46</v>
      </c>
      <c r="P235" t="s">
        <v>46</v>
      </c>
      <c r="Y235" t="s">
        <v>870</v>
      </c>
    </row>
    <row r="236" spans="1:25">
      <c r="A236" t="s">
        <v>871</v>
      </c>
      <c r="B236" t="s">
        <v>872</v>
      </c>
      <c r="D236" t="s">
        <v>40</v>
      </c>
      <c r="E236" t="s">
        <v>41</v>
      </c>
      <c r="J236" t="s">
        <v>68</v>
      </c>
      <c r="K236" t="s">
        <v>69</v>
      </c>
      <c r="L236">
        <v>10</v>
      </c>
      <c r="M236" t="s">
        <v>869</v>
      </c>
      <c r="N236" t="s">
        <v>64</v>
      </c>
      <c r="O236" t="s">
        <v>46</v>
      </c>
      <c r="P236" t="s">
        <v>46</v>
      </c>
      <c r="Y236" t="s">
        <v>873</v>
      </c>
    </row>
    <row r="237" spans="1:25">
      <c r="A237" t="s">
        <v>874</v>
      </c>
      <c r="B237" t="s">
        <v>875</v>
      </c>
      <c r="D237" t="s">
        <v>40</v>
      </c>
      <c r="E237" t="s">
        <v>41</v>
      </c>
      <c r="J237" t="s">
        <v>76</v>
      </c>
      <c r="K237" t="s">
        <v>77</v>
      </c>
      <c r="L237">
        <v>10</v>
      </c>
      <c r="M237" t="s">
        <v>869</v>
      </c>
      <c r="N237" t="s">
        <v>64</v>
      </c>
      <c r="O237" t="s">
        <v>46</v>
      </c>
      <c r="P237" t="s">
        <v>46</v>
      </c>
      <c r="Y237" t="s">
        <v>876</v>
      </c>
    </row>
    <row r="238" spans="1:25">
      <c r="A238" t="s">
        <v>877</v>
      </c>
      <c r="B238" t="s">
        <v>878</v>
      </c>
      <c r="D238" t="s">
        <v>40</v>
      </c>
      <c r="E238" t="s">
        <v>41</v>
      </c>
      <c r="J238" t="s">
        <v>182</v>
      </c>
      <c r="K238" t="s">
        <v>183</v>
      </c>
      <c r="L238">
        <v>10</v>
      </c>
      <c r="M238" t="s">
        <v>879</v>
      </c>
      <c r="N238" t="s">
        <v>64</v>
      </c>
      <c r="O238" t="s">
        <v>46</v>
      </c>
      <c r="P238" t="s">
        <v>46</v>
      </c>
      <c r="Y238" t="s">
        <v>880</v>
      </c>
    </row>
    <row r="239" spans="1:25">
      <c r="A239" t="s">
        <v>881</v>
      </c>
      <c r="B239" t="s">
        <v>882</v>
      </c>
      <c r="D239" t="s">
        <v>40</v>
      </c>
      <c r="E239" t="s">
        <v>41</v>
      </c>
      <c r="J239" t="s">
        <v>182</v>
      </c>
      <c r="K239" t="s">
        <v>183</v>
      </c>
      <c r="L239">
        <v>10</v>
      </c>
      <c r="M239" t="s">
        <v>879</v>
      </c>
      <c r="N239" t="s">
        <v>64</v>
      </c>
      <c r="O239" t="s">
        <v>46</v>
      </c>
      <c r="P239" t="s">
        <v>46</v>
      </c>
      <c r="Y239" t="s">
        <v>883</v>
      </c>
    </row>
    <row r="240" spans="1:25">
      <c r="A240" t="s">
        <v>884</v>
      </c>
      <c r="B240" t="s">
        <v>885</v>
      </c>
      <c r="D240" t="s">
        <v>40</v>
      </c>
      <c r="E240" t="s">
        <v>41</v>
      </c>
      <c r="J240" t="s">
        <v>68</v>
      </c>
      <c r="K240" t="s">
        <v>69</v>
      </c>
      <c r="L240">
        <v>10</v>
      </c>
      <c r="M240" t="s">
        <v>879</v>
      </c>
      <c r="N240" t="s">
        <v>64</v>
      </c>
      <c r="O240" t="s">
        <v>46</v>
      </c>
      <c r="P240" t="s">
        <v>46</v>
      </c>
      <c r="Y240" t="s">
        <v>886</v>
      </c>
    </row>
    <row r="241" spans="1:25">
      <c r="A241" t="s">
        <v>887</v>
      </c>
      <c r="B241" t="s">
        <v>888</v>
      </c>
      <c r="D241" t="s">
        <v>40</v>
      </c>
      <c r="E241" t="s">
        <v>41</v>
      </c>
      <c r="J241" t="s">
        <v>182</v>
      </c>
      <c r="K241" t="s">
        <v>183</v>
      </c>
      <c r="L241">
        <v>10</v>
      </c>
      <c r="M241" t="s">
        <v>879</v>
      </c>
      <c r="N241" t="s">
        <v>64</v>
      </c>
      <c r="O241" t="s">
        <v>46</v>
      </c>
      <c r="P241" t="s">
        <v>46</v>
      </c>
      <c r="Y241" t="s">
        <v>889</v>
      </c>
    </row>
    <row r="242" spans="1:25">
      <c r="A242" t="s">
        <v>890</v>
      </c>
      <c r="B242" t="s">
        <v>891</v>
      </c>
      <c r="D242" t="s">
        <v>40</v>
      </c>
      <c r="E242" t="s">
        <v>41</v>
      </c>
      <c r="J242" t="s">
        <v>892</v>
      </c>
      <c r="K242" t="s">
        <v>893</v>
      </c>
      <c r="L242">
        <v>10</v>
      </c>
      <c r="M242" t="s">
        <v>879</v>
      </c>
      <c r="N242" t="s">
        <v>53</v>
      </c>
      <c r="O242" t="s">
        <v>46</v>
      </c>
      <c r="P242" t="s">
        <v>46</v>
      </c>
      <c r="Y242" t="s">
        <v>894</v>
      </c>
    </row>
    <row r="243" spans="1:25">
      <c r="A243" t="s">
        <v>895</v>
      </c>
      <c r="B243" t="s">
        <v>896</v>
      </c>
      <c r="D243" t="s">
        <v>40</v>
      </c>
      <c r="E243" t="s">
        <v>41</v>
      </c>
      <c r="J243" t="s">
        <v>62</v>
      </c>
      <c r="K243" t="s">
        <v>63</v>
      </c>
      <c r="L243">
        <v>10</v>
      </c>
      <c r="M243" t="s">
        <v>897</v>
      </c>
      <c r="N243" t="s">
        <v>64</v>
      </c>
      <c r="O243" t="s">
        <v>46</v>
      </c>
      <c r="P243" t="s">
        <v>46</v>
      </c>
      <c r="Y243" t="s">
        <v>898</v>
      </c>
    </row>
    <row r="244" spans="1:25">
      <c r="A244" t="s">
        <v>899</v>
      </c>
      <c r="B244" t="s">
        <v>900</v>
      </c>
      <c r="D244" t="s">
        <v>40</v>
      </c>
      <c r="E244" t="s">
        <v>41</v>
      </c>
      <c r="J244" t="s">
        <v>76</v>
      </c>
      <c r="K244" t="s">
        <v>77</v>
      </c>
      <c r="L244">
        <v>10</v>
      </c>
      <c r="M244" t="s">
        <v>897</v>
      </c>
      <c r="N244" t="s">
        <v>64</v>
      </c>
      <c r="O244" t="s">
        <v>46</v>
      </c>
      <c r="P244" t="s">
        <v>46</v>
      </c>
      <c r="Y244" t="s">
        <v>901</v>
      </c>
    </row>
    <row r="245" spans="1:25">
      <c r="A245" t="s">
        <v>902</v>
      </c>
      <c r="B245" t="s">
        <v>903</v>
      </c>
      <c r="D245" t="s">
        <v>40</v>
      </c>
      <c r="E245" t="s">
        <v>41</v>
      </c>
      <c r="J245" t="s">
        <v>76</v>
      </c>
      <c r="K245" t="s">
        <v>77</v>
      </c>
      <c r="L245">
        <v>10</v>
      </c>
      <c r="M245" t="s">
        <v>904</v>
      </c>
      <c r="N245" t="s">
        <v>64</v>
      </c>
      <c r="O245" t="s">
        <v>46</v>
      </c>
      <c r="P245" t="s">
        <v>46</v>
      </c>
      <c r="Y245" t="s">
        <v>905</v>
      </c>
    </row>
    <row r="246" spans="1:25">
      <c r="A246" t="s">
        <v>906</v>
      </c>
      <c r="B246" t="s">
        <v>907</v>
      </c>
      <c r="D246" t="s">
        <v>40</v>
      </c>
      <c r="E246" t="s">
        <v>41</v>
      </c>
      <c r="J246" t="s">
        <v>182</v>
      </c>
      <c r="K246" t="s">
        <v>183</v>
      </c>
      <c r="L246">
        <v>10</v>
      </c>
      <c r="M246" t="s">
        <v>904</v>
      </c>
      <c r="N246" t="s">
        <v>64</v>
      </c>
      <c r="O246" t="s">
        <v>46</v>
      </c>
      <c r="P246" t="s">
        <v>46</v>
      </c>
      <c r="Y246" t="s">
        <v>908</v>
      </c>
    </row>
    <row r="247" spans="1:25">
      <c r="A247" t="s">
        <v>909</v>
      </c>
      <c r="B247" t="s">
        <v>910</v>
      </c>
      <c r="D247" t="s">
        <v>40</v>
      </c>
      <c r="E247" t="s">
        <v>41</v>
      </c>
      <c r="J247" t="s">
        <v>911</v>
      </c>
      <c r="K247" t="s">
        <v>912</v>
      </c>
      <c r="L247">
        <v>10</v>
      </c>
      <c r="M247" t="s">
        <v>913</v>
      </c>
      <c r="N247" t="s">
        <v>440</v>
      </c>
      <c r="O247" t="s">
        <v>46</v>
      </c>
      <c r="P247" t="s">
        <v>46</v>
      </c>
      <c r="Y247" t="s">
        <v>914</v>
      </c>
    </row>
    <row r="248" spans="1:25">
      <c r="A248" t="s">
        <v>915</v>
      </c>
      <c r="B248" t="s">
        <v>916</v>
      </c>
      <c r="D248" t="s">
        <v>40</v>
      </c>
      <c r="E248" t="s">
        <v>41</v>
      </c>
      <c r="J248" t="s">
        <v>50</v>
      </c>
      <c r="K248" t="s">
        <v>51</v>
      </c>
      <c r="L248">
        <v>10</v>
      </c>
      <c r="M248" t="s">
        <v>917</v>
      </c>
      <c r="N248" t="s">
        <v>53</v>
      </c>
      <c r="O248" t="s">
        <v>46</v>
      </c>
      <c r="P248" t="s">
        <v>46</v>
      </c>
      <c r="Y248" t="s">
        <v>918</v>
      </c>
    </row>
    <row r="249" spans="1:25">
      <c r="A249" t="s">
        <v>919</v>
      </c>
      <c r="B249" t="s">
        <v>920</v>
      </c>
      <c r="D249" t="s">
        <v>40</v>
      </c>
      <c r="E249" t="s">
        <v>41</v>
      </c>
      <c r="J249" t="s">
        <v>921</v>
      </c>
      <c r="K249" t="s">
        <v>922</v>
      </c>
      <c r="L249">
        <v>20</v>
      </c>
      <c r="M249" t="s">
        <v>923</v>
      </c>
      <c r="N249" t="s">
        <v>924</v>
      </c>
      <c r="O249" t="s">
        <v>46</v>
      </c>
      <c r="P249" t="s">
        <v>46</v>
      </c>
      <c r="Y249" t="s">
        <v>925</v>
      </c>
    </row>
    <row r="250" spans="1:25">
      <c r="A250" t="s">
        <v>926</v>
      </c>
      <c r="B250" t="s">
        <v>927</v>
      </c>
      <c r="D250" t="s">
        <v>40</v>
      </c>
      <c r="E250" t="s">
        <v>41</v>
      </c>
      <c r="J250" t="s">
        <v>182</v>
      </c>
      <c r="K250" t="s">
        <v>183</v>
      </c>
      <c r="L250">
        <v>11</v>
      </c>
      <c r="M250" t="s">
        <v>928</v>
      </c>
      <c r="N250" t="s">
        <v>64</v>
      </c>
      <c r="O250" t="s">
        <v>46</v>
      </c>
      <c r="P250" t="s">
        <v>46</v>
      </c>
      <c r="Y250" t="s">
        <v>929</v>
      </c>
    </row>
    <row r="251" spans="1:25">
      <c r="A251" t="s">
        <v>930</v>
      </c>
      <c r="B251" t="s">
        <v>931</v>
      </c>
      <c r="D251" t="s">
        <v>40</v>
      </c>
      <c r="E251" t="s">
        <v>41</v>
      </c>
      <c r="J251" t="s">
        <v>42</v>
      </c>
      <c r="K251" t="s">
        <v>43</v>
      </c>
      <c r="L251">
        <v>11</v>
      </c>
      <c r="M251" t="s">
        <v>932</v>
      </c>
      <c r="N251" t="s">
        <v>350</v>
      </c>
      <c r="O251" t="s">
        <v>46</v>
      </c>
      <c r="P251" t="s">
        <v>46</v>
      </c>
      <c r="Y251" t="s">
        <v>933</v>
      </c>
    </row>
    <row r="252" spans="1:25">
      <c r="A252" t="s">
        <v>934</v>
      </c>
      <c r="B252" t="s">
        <v>935</v>
      </c>
      <c r="D252" t="s">
        <v>40</v>
      </c>
      <c r="E252" t="s">
        <v>41</v>
      </c>
      <c r="J252" t="s">
        <v>68</v>
      </c>
      <c r="K252" t="s">
        <v>69</v>
      </c>
      <c r="L252">
        <v>11</v>
      </c>
      <c r="M252" t="s">
        <v>936</v>
      </c>
      <c r="N252" t="s">
        <v>64</v>
      </c>
      <c r="O252" t="s">
        <v>46</v>
      </c>
      <c r="P252" t="s">
        <v>46</v>
      </c>
      <c r="Y252" t="s">
        <v>937</v>
      </c>
    </row>
    <row r="253" spans="1:25">
      <c r="A253" t="s">
        <v>938</v>
      </c>
      <c r="B253" t="s">
        <v>939</v>
      </c>
      <c r="D253" t="s">
        <v>40</v>
      </c>
      <c r="E253" t="s">
        <v>41</v>
      </c>
      <c r="J253" t="s">
        <v>68</v>
      </c>
      <c r="K253" t="s">
        <v>69</v>
      </c>
      <c r="L253">
        <v>11</v>
      </c>
      <c r="M253" t="s">
        <v>936</v>
      </c>
      <c r="N253" t="s">
        <v>64</v>
      </c>
      <c r="O253" t="s">
        <v>46</v>
      </c>
      <c r="P253" t="s">
        <v>46</v>
      </c>
      <c r="Y253" t="s">
        <v>940</v>
      </c>
    </row>
    <row r="254" spans="1:25">
      <c r="A254" t="s">
        <v>941</v>
      </c>
      <c r="B254" t="s">
        <v>942</v>
      </c>
      <c r="D254" t="s">
        <v>40</v>
      </c>
      <c r="E254" t="s">
        <v>41</v>
      </c>
      <c r="J254" t="s">
        <v>182</v>
      </c>
      <c r="K254" t="s">
        <v>183</v>
      </c>
      <c r="L254">
        <v>11</v>
      </c>
      <c r="M254" t="s">
        <v>936</v>
      </c>
      <c r="N254" t="s">
        <v>64</v>
      </c>
      <c r="O254" t="s">
        <v>46</v>
      </c>
      <c r="P254" t="s">
        <v>46</v>
      </c>
      <c r="Y254" t="s">
        <v>943</v>
      </c>
    </row>
    <row r="255" spans="1:25">
      <c r="A255" t="s">
        <v>944</v>
      </c>
      <c r="B255" t="s">
        <v>945</v>
      </c>
      <c r="D255" t="s">
        <v>40</v>
      </c>
      <c r="E255" t="s">
        <v>41</v>
      </c>
      <c r="J255" t="s">
        <v>76</v>
      </c>
      <c r="K255" t="s">
        <v>77</v>
      </c>
      <c r="L255">
        <v>11</v>
      </c>
      <c r="M255" t="s">
        <v>936</v>
      </c>
      <c r="N255" t="s">
        <v>64</v>
      </c>
      <c r="O255" t="s">
        <v>46</v>
      </c>
      <c r="P255" t="s">
        <v>46</v>
      </c>
      <c r="Y255" t="s">
        <v>946</v>
      </c>
    </row>
    <row r="256" spans="1:25">
      <c r="A256" t="s">
        <v>947</v>
      </c>
      <c r="B256" t="s">
        <v>948</v>
      </c>
      <c r="D256" t="s">
        <v>40</v>
      </c>
      <c r="E256" t="s">
        <v>41</v>
      </c>
      <c r="J256" t="s">
        <v>42</v>
      </c>
      <c r="K256" t="s">
        <v>43</v>
      </c>
      <c r="L256">
        <v>10</v>
      </c>
      <c r="M256" t="s">
        <v>949</v>
      </c>
      <c r="N256" t="s">
        <v>950</v>
      </c>
      <c r="O256" t="s">
        <v>46</v>
      </c>
      <c r="P256" t="s">
        <v>46</v>
      </c>
      <c r="Y256" t="s">
        <v>951</v>
      </c>
    </row>
    <row r="257" spans="1:25">
      <c r="A257" t="s">
        <v>952</v>
      </c>
      <c r="B257" t="s">
        <v>953</v>
      </c>
      <c r="D257" t="s">
        <v>40</v>
      </c>
      <c r="E257" t="s">
        <v>41</v>
      </c>
      <c r="J257" t="s">
        <v>50</v>
      </c>
      <c r="K257" t="s">
        <v>51</v>
      </c>
      <c r="L257">
        <v>10</v>
      </c>
      <c r="M257" t="s">
        <v>949</v>
      </c>
      <c r="N257" t="s">
        <v>617</v>
      </c>
      <c r="O257" t="s">
        <v>46</v>
      </c>
      <c r="P257" t="s">
        <v>46</v>
      </c>
      <c r="Y257" t="s">
        <v>954</v>
      </c>
    </row>
    <row r="258" spans="1:25">
      <c r="A258" t="s">
        <v>955</v>
      </c>
      <c r="B258" t="s">
        <v>956</v>
      </c>
      <c r="D258" t="s">
        <v>40</v>
      </c>
      <c r="E258" t="s">
        <v>41</v>
      </c>
      <c r="J258" t="s">
        <v>182</v>
      </c>
      <c r="K258" t="s">
        <v>183</v>
      </c>
      <c r="L258">
        <v>10</v>
      </c>
      <c r="M258" t="s">
        <v>949</v>
      </c>
      <c r="N258" t="s">
        <v>64</v>
      </c>
      <c r="O258" t="s">
        <v>46</v>
      </c>
      <c r="P258" t="s">
        <v>46</v>
      </c>
      <c r="Y258" t="s">
        <v>957</v>
      </c>
    </row>
    <row r="259" spans="1:25">
      <c r="A259" t="s">
        <v>958</v>
      </c>
      <c r="B259" t="s">
        <v>959</v>
      </c>
      <c r="D259" t="s">
        <v>40</v>
      </c>
      <c r="E259" t="s">
        <v>41</v>
      </c>
      <c r="J259" t="s">
        <v>182</v>
      </c>
      <c r="K259" t="s">
        <v>183</v>
      </c>
      <c r="L259">
        <v>10</v>
      </c>
      <c r="M259" t="s">
        <v>949</v>
      </c>
      <c r="N259" t="s">
        <v>64</v>
      </c>
      <c r="O259" t="s">
        <v>46</v>
      </c>
      <c r="P259" t="s">
        <v>46</v>
      </c>
      <c r="Y259" t="s">
        <v>960</v>
      </c>
    </row>
    <row r="260" spans="1:25">
      <c r="A260" t="s">
        <v>961</v>
      </c>
      <c r="B260" t="s">
        <v>962</v>
      </c>
      <c r="D260" t="s">
        <v>40</v>
      </c>
      <c r="E260" t="s">
        <v>41</v>
      </c>
      <c r="J260" t="s">
        <v>182</v>
      </c>
      <c r="K260" t="s">
        <v>183</v>
      </c>
      <c r="L260">
        <v>10</v>
      </c>
      <c r="M260" t="s">
        <v>963</v>
      </c>
      <c r="N260" t="s">
        <v>64</v>
      </c>
      <c r="O260" t="s">
        <v>46</v>
      </c>
      <c r="P260" t="s">
        <v>46</v>
      </c>
      <c r="Y260" t="s">
        <v>964</v>
      </c>
    </row>
    <row r="261" spans="1:25">
      <c r="A261" t="s">
        <v>965</v>
      </c>
      <c r="B261" t="s">
        <v>966</v>
      </c>
      <c r="D261" t="s">
        <v>40</v>
      </c>
      <c r="E261" t="s">
        <v>41</v>
      </c>
      <c r="J261" t="s">
        <v>76</v>
      </c>
      <c r="K261" t="s">
        <v>77</v>
      </c>
      <c r="L261">
        <v>5</v>
      </c>
      <c r="M261" t="s">
        <v>967</v>
      </c>
      <c r="N261" t="s">
        <v>64</v>
      </c>
      <c r="O261" t="s">
        <v>46</v>
      </c>
      <c r="P261" t="s">
        <v>46</v>
      </c>
      <c r="Y261" t="s">
        <v>968</v>
      </c>
    </row>
    <row r="262" spans="1:25">
      <c r="A262" t="s">
        <v>969</v>
      </c>
      <c r="B262" t="s">
        <v>970</v>
      </c>
      <c r="D262" t="s">
        <v>40</v>
      </c>
      <c r="E262" t="s">
        <v>41</v>
      </c>
      <c r="J262" t="s">
        <v>76</v>
      </c>
      <c r="K262" t="s">
        <v>77</v>
      </c>
      <c r="L262">
        <v>10</v>
      </c>
      <c r="M262" t="s">
        <v>967</v>
      </c>
      <c r="N262" t="s">
        <v>64</v>
      </c>
      <c r="O262" t="s">
        <v>46</v>
      </c>
      <c r="P262" t="s">
        <v>46</v>
      </c>
      <c r="Y262" t="s">
        <v>971</v>
      </c>
    </row>
    <row r="263" spans="1:25">
      <c r="A263" t="s">
        <v>972</v>
      </c>
      <c r="B263" t="s">
        <v>973</v>
      </c>
      <c r="D263" t="s">
        <v>40</v>
      </c>
      <c r="E263" t="s">
        <v>41</v>
      </c>
      <c r="J263" t="s">
        <v>68</v>
      </c>
      <c r="K263" t="s">
        <v>69</v>
      </c>
      <c r="L263">
        <v>10</v>
      </c>
      <c r="M263" t="s">
        <v>967</v>
      </c>
      <c r="N263" t="s">
        <v>64</v>
      </c>
      <c r="O263" t="s">
        <v>46</v>
      </c>
      <c r="P263" t="s">
        <v>46</v>
      </c>
      <c r="Y263" t="s">
        <v>974</v>
      </c>
    </row>
    <row r="264" spans="1:25">
      <c r="A264" t="s">
        <v>975</v>
      </c>
      <c r="B264" t="s">
        <v>976</v>
      </c>
      <c r="D264" t="s">
        <v>40</v>
      </c>
      <c r="E264" t="s">
        <v>41</v>
      </c>
      <c r="J264" t="s">
        <v>68</v>
      </c>
      <c r="K264" t="s">
        <v>69</v>
      </c>
      <c r="L264">
        <v>10</v>
      </c>
      <c r="M264" t="s">
        <v>967</v>
      </c>
      <c r="N264" t="s">
        <v>64</v>
      </c>
      <c r="O264" t="s">
        <v>46</v>
      </c>
      <c r="P264" t="s">
        <v>46</v>
      </c>
      <c r="Y264" t="s">
        <v>977</v>
      </c>
    </row>
    <row r="265" spans="1:25">
      <c r="A265" t="s">
        <v>978</v>
      </c>
      <c r="B265" t="s">
        <v>979</v>
      </c>
      <c r="D265" t="s">
        <v>40</v>
      </c>
      <c r="E265" t="s">
        <v>41</v>
      </c>
      <c r="J265" t="s">
        <v>182</v>
      </c>
      <c r="K265" t="s">
        <v>183</v>
      </c>
      <c r="L265">
        <v>11</v>
      </c>
      <c r="M265" t="s">
        <v>980</v>
      </c>
      <c r="N265" t="s">
        <v>64</v>
      </c>
      <c r="O265" t="s">
        <v>46</v>
      </c>
      <c r="P265" t="s">
        <v>46</v>
      </c>
      <c r="Y265" t="s">
        <v>981</v>
      </c>
    </row>
    <row r="266" spans="1:25">
      <c r="A266" t="s">
        <v>982</v>
      </c>
      <c r="B266" t="s">
        <v>983</v>
      </c>
      <c r="D266" t="s">
        <v>40</v>
      </c>
      <c r="E266" t="s">
        <v>41</v>
      </c>
      <c r="J266" t="s">
        <v>68</v>
      </c>
      <c r="K266" t="s">
        <v>69</v>
      </c>
      <c r="L266">
        <v>11</v>
      </c>
      <c r="M266" t="s">
        <v>980</v>
      </c>
      <c r="N266" t="s">
        <v>64</v>
      </c>
      <c r="O266" t="s">
        <v>46</v>
      </c>
      <c r="P266" t="s">
        <v>46</v>
      </c>
      <c r="Y266" t="s">
        <v>984</v>
      </c>
    </row>
    <row r="267" spans="1:25">
      <c r="A267" t="s">
        <v>985</v>
      </c>
      <c r="B267" t="s">
        <v>986</v>
      </c>
      <c r="D267" t="s">
        <v>40</v>
      </c>
      <c r="E267" t="s">
        <v>41</v>
      </c>
      <c r="J267" t="s">
        <v>182</v>
      </c>
      <c r="K267" t="s">
        <v>183</v>
      </c>
      <c r="L267">
        <v>10</v>
      </c>
      <c r="M267" t="s">
        <v>987</v>
      </c>
      <c r="N267" t="s">
        <v>64</v>
      </c>
      <c r="O267" t="s">
        <v>46</v>
      </c>
      <c r="P267" t="s">
        <v>46</v>
      </c>
      <c r="Y267" t="s">
        <v>988</v>
      </c>
    </row>
    <row r="268" spans="1:25">
      <c r="A268" t="s">
        <v>989</v>
      </c>
      <c r="B268" t="s">
        <v>990</v>
      </c>
      <c r="D268" t="s">
        <v>40</v>
      </c>
      <c r="E268" t="s">
        <v>41</v>
      </c>
      <c r="J268" t="s">
        <v>76</v>
      </c>
      <c r="K268" t="s">
        <v>77</v>
      </c>
      <c r="L268">
        <v>10</v>
      </c>
      <c r="M268" t="s">
        <v>987</v>
      </c>
      <c r="N268" t="s">
        <v>64</v>
      </c>
      <c r="O268" t="s">
        <v>46</v>
      </c>
      <c r="P268" t="s">
        <v>46</v>
      </c>
      <c r="Y268" t="s">
        <v>991</v>
      </c>
    </row>
    <row r="269" spans="1:25">
      <c r="A269" t="s">
        <v>992</v>
      </c>
      <c r="B269" t="s">
        <v>993</v>
      </c>
      <c r="D269" t="s">
        <v>40</v>
      </c>
      <c r="E269" t="s">
        <v>41</v>
      </c>
      <c r="J269" t="s">
        <v>68</v>
      </c>
      <c r="K269" t="s">
        <v>69</v>
      </c>
      <c r="L269">
        <v>10</v>
      </c>
      <c r="M269" t="s">
        <v>987</v>
      </c>
      <c r="N269" t="s">
        <v>64</v>
      </c>
      <c r="O269" t="s">
        <v>46</v>
      </c>
      <c r="P269" t="s">
        <v>46</v>
      </c>
      <c r="Y269" t="s">
        <v>994</v>
      </c>
    </row>
    <row r="270" spans="1:25">
      <c r="A270" t="s">
        <v>995</v>
      </c>
      <c r="B270" t="s">
        <v>996</v>
      </c>
      <c r="D270" t="s">
        <v>40</v>
      </c>
      <c r="E270" t="s">
        <v>41</v>
      </c>
      <c r="J270" t="s">
        <v>68</v>
      </c>
      <c r="K270" t="s">
        <v>69</v>
      </c>
      <c r="L270">
        <v>10</v>
      </c>
      <c r="M270" t="s">
        <v>987</v>
      </c>
      <c r="N270" t="s">
        <v>64</v>
      </c>
      <c r="O270" t="s">
        <v>46</v>
      </c>
      <c r="P270" t="s">
        <v>46</v>
      </c>
      <c r="Y270" t="s">
        <v>997</v>
      </c>
    </row>
    <row r="271" spans="1:25">
      <c r="A271" t="s">
        <v>998</v>
      </c>
      <c r="B271" t="s">
        <v>999</v>
      </c>
      <c r="D271" t="s">
        <v>40</v>
      </c>
      <c r="E271" t="s">
        <v>41</v>
      </c>
      <c r="J271" t="s">
        <v>68</v>
      </c>
      <c r="K271" t="s">
        <v>69</v>
      </c>
      <c r="L271">
        <v>11</v>
      </c>
      <c r="M271" t="s">
        <v>987</v>
      </c>
      <c r="N271" t="s">
        <v>64</v>
      </c>
      <c r="O271" t="s">
        <v>46</v>
      </c>
      <c r="P271" t="s">
        <v>46</v>
      </c>
      <c r="Y271" t="s">
        <v>1000</v>
      </c>
    </row>
    <row r="272" spans="1:25">
      <c r="A272" t="s">
        <v>1001</v>
      </c>
      <c r="B272" t="s">
        <v>1002</v>
      </c>
      <c r="D272" t="s">
        <v>40</v>
      </c>
      <c r="E272" t="s">
        <v>41</v>
      </c>
      <c r="J272" t="s">
        <v>76</v>
      </c>
      <c r="K272" t="s">
        <v>77</v>
      </c>
      <c r="L272">
        <v>10</v>
      </c>
      <c r="M272" t="s">
        <v>1003</v>
      </c>
      <c r="N272" t="s">
        <v>64</v>
      </c>
      <c r="O272" t="s">
        <v>46</v>
      </c>
      <c r="P272" t="s">
        <v>46</v>
      </c>
      <c r="Y272" t="s">
        <v>1004</v>
      </c>
    </row>
    <row r="273" spans="1:25">
      <c r="A273" t="s">
        <v>1005</v>
      </c>
      <c r="B273" t="s">
        <v>1006</v>
      </c>
      <c r="D273" t="s">
        <v>40</v>
      </c>
      <c r="E273" t="s">
        <v>41</v>
      </c>
      <c r="J273" t="s">
        <v>68</v>
      </c>
      <c r="K273" t="s">
        <v>69</v>
      </c>
      <c r="L273">
        <v>10</v>
      </c>
      <c r="M273" t="s">
        <v>1003</v>
      </c>
      <c r="N273" t="s">
        <v>64</v>
      </c>
      <c r="O273" t="s">
        <v>46</v>
      </c>
      <c r="P273" t="s">
        <v>46</v>
      </c>
      <c r="Y273" t="s">
        <v>1007</v>
      </c>
    </row>
    <row r="274" spans="1:25">
      <c r="A274" t="s">
        <v>1008</v>
      </c>
      <c r="B274" t="s">
        <v>1009</v>
      </c>
      <c r="D274" t="s">
        <v>40</v>
      </c>
      <c r="E274" t="s">
        <v>41</v>
      </c>
      <c r="J274" t="s">
        <v>139</v>
      </c>
      <c r="K274" t="s">
        <v>140</v>
      </c>
      <c r="L274">
        <v>14</v>
      </c>
      <c r="M274" t="s">
        <v>1010</v>
      </c>
      <c r="N274" t="s">
        <v>315</v>
      </c>
      <c r="O274" t="s">
        <v>46</v>
      </c>
      <c r="P274" t="s">
        <v>46</v>
      </c>
      <c r="Y274" t="s">
        <v>1011</v>
      </c>
    </row>
    <row r="275" spans="1:25">
      <c r="A275" t="s">
        <v>1012</v>
      </c>
      <c r="B275" t="s">
        <v>1013</v>
      </c>
      <c r="D275" t="s">
        <v>40</v>
      </c>
      <c r="E275" t="s">
        <v>41</v>
      </c>
      <c r="J275" t="s">
        <v>182</v>
      </c>
      <c r="K275" t="s">
        <v>183</v>
      </c>
      <c r="L275">
        <v>12</v>
      </c>
      <c r="M275" t="s">
        <v>1014</v>
      </c>
      <c r="N275" t="s">
        <v>64</v>
      </c>
      <c r="O275" t="s">
        <v>46</v>
      </c>
      <c r="P275" t="s">
        <v>46</v>
      </c>
      <c r="Y275" t="s">
        <v>1015</v>
      </c>
    </row>
    <row r="276" spans="1:25">
      <c r="A276" t="s">
        <v>1016</v>
      </c>
      <c r="B276" t="s">
        <v>1017</v>
      </c>
      <c r="D276" t="s">
        <v>40</v>
      </c>
      <c r="E276" t="s">
        <v>41</v>
      </c>
      <c r="J276" t="s">
        <v>68</v>
      </c>
      <c r="K276" t="s">
        <v>69</v>
      </c>
      <c r="L276">
        <v>11</v>
      </c>
      <c r="M276" t="s">
        <v>1014</v>
      </c>
      <c r="N276" t="s">
        <v>64</v>
      </c>
      <c r="O276" t="s">
        <v>46</v>
      </c>
      <c r="P276" t="s">
        <v>46</v>
      </c>
      <c r="Y276" t="s">
        <v>1018</v>
      </c>
    </row>
    <row r="277" spans="1:25">
      <c r="A277" t="s">
        <v>1019</v>
      </c>
      <c r="B277" t="s">
        <v>1020</v>
      </c>
      <c r="D277" t="s">
        <v>40</v>
      </c>
      <c r="E277" t="s">
        <v>41</v>
      </c>
      <c r="J277" t="s">
        <v>182</v>
      </c>
      <c r="K277" t="s">
        <v>183</v>
      </c>
      <c r="L277">
        <v>11</v>
      </c>
      <c r="M277" t="s">
        <v>1014</v>
      </c>
      <c r="N277" t="s">
        <v>64</v>
      </c>
      <c r="O277" t="s">
        <v>46</v>
      </c>
      <c r="P277" t="s">
        <v>46</v>
      </c>
      <c r="Y277" t="s">
        <v>1021</v>
      </c>
    </row>
    <row r="278" spans="1:25">
      <c r="A278" t="s">
        <v>1022</v>
      </c>
      <c r="B278" t="s">
        <v>1023</v>
      </c>
      <c r="D278" t="s">
        <v>40</v>
      </c>
      <c r="E278" t="s">
        <v>41</v>
      </c>
      <c r="J278" t="s">
        <v>42</v>
      </c>
      <c r="K278" t="s">
        <v>43</v>
      </c>
      <c r="L278">
        <v>11</v>
      </c>
      <c r="M278" t="s">
        <v>1014</v>
      </c>
      <c r="N278" t="s">
        <v>1024</v>
      </c>
      <c r="O278" t="s">
        <v>46</v>
      </c>
      <c r="P278" t="s">
        <v>46</v>
      </c>
      <c r="Y278" t="s">
        <v>1025</v>
      </c>
    </row>
    <row r="279" spans="1:25">
      <c r="A279" t="s">
        <v>1026</v>
      </c>
      <c r="B279" t="s">
        <v>1027</v>
      </c>
      <c r="D279" t="s">
        <v>40</v>
      </c>
      <c r="E279" t="s">
        <v>41</v>
      </c>
      <c r="J279" t="s">
        <v>62</v>
      </c>
      <c r="K279" t="s">
        <v>63</v>
      </c>
      <c r="L279">
        <v>10</v>
      </c>
      <c r="M279" t="s">
        <v>1028</v>
      </c>
      <c r="N279" t="s">
        <v>64</v>
      </c>
      <c r="O279" t="s">
        <v>46</v>
      </c>
      <c r="P279" t="s">
        <v>46</v>
      </c>
      <c r="Y279" t="s">
        <v>1029</v>
      </c>
    </row>
    <row r="280" spans="1:25">
      <c r="A280" t="s">
        <v>1030</v>
      </c>
      <c r="B280" t="s">
        <v>1031</v>
      </c>
      <c r="D280" t="s">
        <v>40</v>
      </c>
      <c r="E280" t="s">
        <v>41</v>
      </c>
      <c r="J280" t="s">
        <v>182</v>
      </c>
      <c r="K280" t="s">
        <v>183</v>
      </c>
      <c r="L280">
        <v>10</v>
      </c>
      <c r="M280" t="s">
        <v>1028</v>
      </c>
      <c r="N280" t="s">
        <v>64</v>
      </c>
      <c r="O280" t="s">
        <v>46</v>
      </c>
      <c r="P280" t="s">
        <v>46</v>
      </c>
      <c r="Y280" t="s">
        <v>1032</v>
      </c>
    </row>
    <row r="281" spans="1:25">
      <c r="A281" t="s">
        <v>1033</v>
      </c>
      <c r="B281" t="s">
        <v>1034</v>
      </c>
      <c r="D281" t="s">
        <v>40</v>
      </c>
      <c r="E281" t="s">
        <v>41</v>
      </c>
      <c r="J281" t="s">
        <v>76</v>
      </c>
      <c r="K281" t="s">
        <v>77</v>
      </c>
      <c r="L281">
        <v>10</v>
      </c>
      <c r="M281" t="s">
        <v>1028</v>
      </c>
      <c r="N281" t="s">
        <v>64</v>
      </c>
      <c r="O281" t="s">
        <v>46</v>
      </c>
      <c r="P281" t="s">
        <v>46</v>
      </c>
      <c r="Y281" t="s">
        <v>1035</v>
      </c>
    </row>
    <row r="282" spans="1:25">
      <c r="A282" t="s">
        <v>1036</v>
      </c>
      <c r="B282" t="s">
        <v>1037</v>
      </c>
      <c r="D282" t="s">
        <v>40</v>
      </c>
      <c r="E282" t="s">
        <v>41</v>
      </c>
      <c r="J282" t="s">
        <v>182</v>
      </c>
      <c r="K282" t="s">
        <v>183</v>
      </c>
      <c r="L282">
        <v>10</v>
      </c>
      <c r="M282" t="s">
        <v>1028</v>
      </c>
      <c r="N282" t="s">
        <v>64</v>
      </c>
      <c r="O282" t="s">
        <v>46</v>
      </c>
      <c r="P282" t="s">
        <v>46</v>
      </c>
      <c r="Y282" t="s">
        <v>1038</v>
      </c>
    </row>
    <row r="283" spans="1:25">
      <c r="A283" t="s">
        <v>1039</v>
      </c>
      <c r="B283" t="s">
        <v>1040</v>
      </c>
      <c r="D283" t="s">
        <v>40</v>
      </c>
      <c r="E283" t="s">
        <v>41</v>
      </c>
      <c r="J283" t="s">
        <v>68</v>
      </c>
      <c r="K283" t="s">
        <v>69</v>
      </c>
      <c r="L283">
        <v>10</v>
      </c>
      <c r="M283" t="s">
        <v>1028</v>
      </c>
      <c r="N283" t="s">
        <v>64</v>
      </c>
      <c r="O283" t="s">
        <v>46</v>
      </c>
      <c r="P283" t="s">
        <v>46</v>
      </c>
      <c r="Y283" t="s">
        <v>1041</v>
      </c>
    </row>
    <row r="284" spans="1:25">
      <c r="A284" t="s">
        <v>1042</v>
      </c>
      <c r="B284" t="s">
        <v>1043</v>
      </c>
      <c r="D284" t="s">
        <v>40</v>
      </c>
      <c r="E284" t="s">
        <v>41</v>
      </c>
      <c r="J284" t="s">
        <v>68</v>
      </c>
      <c r="K284" t="s">
        <v>69</v>
      </c>
      <c r="L284">
        <v>10</v>
      </c>
      <c r="M284" t="s">
        <v>1028</v>
      </c>
      <c r="N284" t="s">
        <v>64</v>
      </c>
      <c r="O284" t="s">
        <v>46</v>
      </c>
      <c r="P284" t="s">
        <v>46</v>
      </c>
      <c r="Y284" t="s">
        <v>1044</v>
      </c>
    </row>
    <row r="285" spans="1:25">
      <c r="A285" t="s">
        <v>1045</v>
      </c>
      <c r="B285" t="s">
        <v>1046</v>
      </c>
      <c r="D285" t="s">
        <v>40</v>
      </c>
      <c r="E285" t="s">
        <v>41</v>
      </c>
      <c r="J285" t="s">
        <v>42</v>
      </c>
      <c r="K285" t="s">
        <v>43</v>
      </c>
      <c r="L285">
        <v>10</v>
      </c>
      <c r="M285" t="s">
        <v>1028</v>
      </c>
      <c r="N285" t="s">
        <v>1047</v>
      </c>
      <c r="O285" t="s">
        <v>46</v>
      </c>
      <c r="P285" t="s">
        <v>46</v>
      </c>
      <c r="Y285" t="s">
        <v>1048</v>
      </c>
    </row>
    <row r="286" spans="1:25">
      <c r="A286" t="s">
        <v>1049</v>
      </c>
      <c r="B286" t="s">
        <v>1050</v>
      </c>
      <c r="D286" t="s">
        <v>40</v>
      </c>
      <c r="E286" t="s">
        <v>41</v>
      </c>
      <c r="J286" t="s">
        <v>68</v>
      </c>
      <c r="K286" t="s">
        <v>69</v>
      </c>
      <c r="L286">
        <v>10</v>
      </c>
      <c r="M286" t="s">
        <v>1028</v>
      </c>
      <c r="N286" t="s">
        <v>64</v>
      </c>
      <c r="O286" t="s">
        <v>46</v>
      </c>
      <c r="P286" t="s">
        <v>46</v>
      </c>
      <c r="Y286" t="s">
        <v>1051</v>
      </c>
    </row>
    <row r="287" spans="1:25">
      <c r="A287" t="s">
        <v>1052</v>
      </c>
      <c r="B287" t="s">
        <v>1053</v>
      </c>
      <c r="D287" t="s">
        <v>40</v>
      </c>
      <c r="E287" t="s">
        <v>41</v>
      </c>
      <c r="J287" t="s">
        <v>62</v>
      </c>
      <c r="K287" t="s">
        <v>63</v>
      </c>
      <c r="L287">
        <v>11</v>
      </c>
      <c r="M287" t="s">
        <v>1028</v>
      </c>
      <c r="N287" t="s">
        <v>64</v>
      </c>
      <c r="O287" t="s">
        <v>46</v>
      </c>
      <c r="P287" t="s">
        <v>46</v>
      </c>
      <c r="Y287" t="s">
        <v>1054</v>
      </c>
    </row>
    <row r="288" spans="1:25">
      <c r="A288" t="s">
        <v>1055</v>
      </c>
      <c r="B288" t="s">
        <v>1056</v>
      </c>
      <c r="D288" t="s">
        <v>40</v>
      </c>
      <c r="E288" t="s">
        <v>41</v>
      </c>
      <c r="J288" t="s">
        <v>62</v>
      </c>
      <c r="K288" t="s">
        <v>63</v>
      </c>
      <c r="L288">
        <v>10</v>
      </c>
      <c r="M288" t="s">
        <v>1057</v>
      </c>
      <c r="N288" t="s">
        <v>64</v>
      </c>
      <c r="O288" t="s">
        <v>46</v>
      </c>
      <c r="P288" t="s">
        <v>46</v>
      </c>
      <c r="Y288" t="s">
        <v>1058</v>
      </c>
    </row>
    <row r="289" spans="1:25">
      <c r="A289" t="s">
        <v>1059</v>
      </c>
      <c r="B289" t="s">
        <v>1060</v>
      </c>
      <c r="D289" t="s">
        <v>40</v>
      </c>
      <c r="E289" t="s">
        <v>41</v>
      </c>
      <c r="J289" t="s">
        <v>68</v>
      </c>
      <c r="K289" t="s">
        <v>69</v>
      </c>
      <c r="L289">
        <v>10</v>
      </c>
      <c r="M289" t="s">
        <v>1057</v>
      </c>
      <c r="N289" t="s">
        <v>64</v>
      </c>
      <c r="O289" t="s">
        <v>46</v>
      </c>
      <c r="P289" t="s">
        <v>46</v>
      </c>
      <c r="Y289" t="s">
        <v>1061</v>
      </c>
    </row>
    <row r="290" spans="1:25">
      <c r="A290" t="s">
        <v>1062</v>
      </c>
      <c r="B290" t="s">
        <v>1063</v>
      </c>
      <c r="D290" t="s">
        <v>40</v>
      </c>
      <c r="E290" t="s">
        <v>41</v>
      </c>
      <c r="J290" t="s">
        <v>76</v>
      </c>
      <c r="K290" t="s">
        <v>77</v>
      </c>
      <c r="L290">
        <v>10</v>
      </c>
      <c r="M290" t="s">
        <v>1057</v>
      </c>
      <c r="N290" t="s">
        <v>64</v>
      </c>
      <c r="O290" t="s">
        <v>46</v>
      </c>
      <c r="P290" t="s">
        <v>46</v>
      </c>
      <c r="Y290" t="s">
        <v>1064</v>
      </c>
    </row>
    <row r="291" spans="1:25">
      <c r="A291" t="s">
        <v>1065</v>
      </c>
      <c r="B291" t="s">
        <v>1066</v>
      </c>
      <c r="D291" t="s">
        <v>40</v>
      </c>
      <c r="E291" t="s">
        <v>41</v>
      </c>
      <c r="J291" t="s">
        <v>68</v>
      </c>
      <c r="K291" t="s">
        <v>69</v>
      </c>
      <c r="L291">
        <v>10</v>
      </c>
      <c r="M291" t="s">
        <v>1057</v>
      </c>
      <c r="N291" t="s">
        <v>64</v>
      </c>
      <c r="O291" t="s">
        <v>46</v>
      </c>
      <c r="P291" t="s">
        <v>46</v>
      </c>
      <c r="Y291" t="s">
        <v>1067</v>
      </c>
    </row>
    <row r="292" spans="1:25">
      <c r="A292" t="s">
        <v>1068</v>
      </c>
      <c r="B292" t="s">
        <v>1069</v>
      </c>
      <c r="D292" t="s">
        <v>40</v>
      </c>
      <c r="E292" t="s">
        <v>41</v>
      </c>
      <c r="J292" t="s">
        <v>182</v>
      </c>
      <c r="K292" t="s">
        <v>183</v>
      </c>
      <c r="L292">
        <v>10</v>
      </c>
      <c r="M292" t="s">
        <v>1057</v>
      </c>
      <c r="N292" t="s">
        <v>64</v>
      </c>
      <c r="O292" t="s">
        <v>46</v>
      </c>
      <c r="P292" t="s">
        <v>46</v>
      </c>
      <c r="Y292" t="s">
        <v>1070</v>
      </c>
    </row>
    <row r="293" spans="1:25">
      <c r="A293" t="s">
        <v>1071</v>
      </c>
      <c r="B293" t="s">
        <v>1072</v>
      </c>
      <c r="D293" t="s">
        <v>40</v>
      </c>
      <c r="E293" t="s">
        <v>41</v>
      </c>
      <c r="J293" t="s">
        <v>62</v>
      </c>
      <c r="K293" t="s">
        <v>63</v>
      </c>
      <c r="L293">
        <v>11</v>
      </c>
      <c r="M293" t="s">
        <v>1073</v>
      </c>
      <c r="N293" t="s">
        <v>64</v>
      </c>
      <c r="O293" t="s">
        <v>46</v>
      </c>
      <c r="P293" t="s">
        <v>46</v>
      </c>
      <c r="Y293" t="s">
        <v>1074</v>
      </c>
    </row>
    <row r="294" spans="1:25">
      <c r="A294" t="s">
        <v>1075</v>
      </c>
      <c r="B294" t="s">
        <v>1076</v>
      </c>
      <c r="D294" t="s">
        <v>40</v>
      </c>
      <c r="E294" t="s">
        <v>41</v>
      </c>
      <c r="J294" t="s">
        <v>182</v>
      </c>
      <c r="K294" t="s">
        <v>183</v>
      </c>
      <c r="L294">
        <v>10</v>
      </c>
      <c r="M294" t="s">
        <v>1073</v>
      </c>
      <c r="N294" t="s">
        <v>64</v>
      </c>
      <c r="O294" t="s">
        <v>46</v>
      </c>
      <c r="P294" t="s">
        <v>46</v>
      </c>
      <c r="Y294" t="s">
        <v>1077</v>
      </c>
    </row>
    <row r="295" spans="1:25">
      <c r="A295" t="s">
        <v>1078</v>
      </c>
      <c r="B295" t="s">
        <v>1079</v>
      </c>
      <c r="D295" t="s">
        <v>40</v>
      </c>
      <c r="E295" t="s">
        <v>41</v>
      </c>
      <c r="J295" t="s">
        <v>62</v>
      </c>
      <c r="K295" t="s">
        <v>63</v>
      </c>
      <c r="L295">
        <v>11</v>
      </c>
      <c r="M295" t="s">
        <v>1073</v>
      </c>
      <c r="N295" t="s">
        <v>64</v>
      </c>
      <c r="O295" t="s">
        <v>46</v>
      </c>
      <c r="P295" t="s">
        <v>46</v>
      </c>
      <c r="Y295" t="s">
        <v>1080</v>
      </c>
    </row>
    <row r="296" spans="1:25">
      <c r="A296" t="s">
        <v>1081</v>
      </c>
      <c r="B296" t="s">
        <v>1082</v>
      </c>
      <c r="D296" t="s">
        <v>40</v>
      </c>
      <c r="E296" t="s">
        <v>41</v>
      </c>
      <c r="J296" t="s">
        <v>182</v>
      </c>
      <c r="K296" t="s">
        <v>183</v>
      </c>
      <c r="L296">
        <v>10</v>
      </c>
      <c r="M296" t="s">
        <v>1083</v>
      </c>
      <c r="N296" t="s">
        <v>64</v>
      </c>
      <c r="O296" t="s">
        <v>46</v>
      </c>
      <c r="P296" t="s">
        <v>46</v>
      </c>
      <c r="Y296" t="s">
        <v>1084</v>
      </c>
    </row>
    <row r="297" spans="1:25">
      <c r="A297" t="s">
        <v>1085</v>
      </c>
      <c r="B297" t="s">
        <v>1086</v>
      </c>
      <c r="D297" t="s">
        <v>40</v>
      </c>
      <c r="E297" t="s">
        <v>41</v>
      </c>
      <c r="J297" t="s">
        <v>68</v>
      </c>
      <c r="K297" t="s">
        <v>69</v>
      </c>
      <c r="L297">
        <v>5</v>
      </c>
      <c r="M297" t="s">
        <v>1087</v>
      </c>
      <c r="N297" t="s">
        <v>64</v>
      </c>
      <c r="O297" t="s">
        <v>46</v>
      </c>
      <c r="P297" t="s">
        <v>46</v>
      </c>
      <c r="Y297" t="s">
        <v>1088</v>
      </c>
    </row>
    <row r="298" spans="1:25">
      <c r="A298" t="s">
        <v>1089</v>
      </c>
      <c r="B298" t="s">
        <v>1090</v>
      </c>
      <c r="D298" t="s">
        <v>40</v>
      </c>
      <c r="E298" t="s">
        <v>41</v>
      </c>
      <c r="J298" t="s">
        <v>62</v>
      </c>
      <c r="K298" t="s">
        <v>63</v>
      </c>
      <c r="L298">
        <v>10</v>
      </c>
      <c r="M298" t="s">
        <v>1087</v>
      </c>
      <c r="N298" t="s">
        <v>64</v>
      </c>
      <c r="O298" t="s">
        <v>46</v>
      </c>
      <c r="P298" t="s">
        <v>46</v>
      </c>
      <c r="Y298" t="s">
        <v>1091</v>
      </c>
    </row>
    <row r="299" spans="1:25">
      <c r="A299" t="s">
        <v>1092</v>
      </c>
      <c r="B299" t="s">
        <v>1093</v>
      </c>
      <c r="D299" t="s">
        <v>40</v>
      </c>
      <c r="E299" t="s">
        <v>41</v>
      </c>
      <c r="J299" t="s">
        <v>68</v>
      </c>
      <c r="K299" t="s">
        <v>69</v>
      </c>
      <c r="L299">
        <v>10</v>
      </c>
      <c r="M299" t="s">
        <v>1087</v>
      </c>
      <c r="N299" t="s">
        <v>64</v>
      </c>
      <c r="O299" t="s">
        <v>46</v>
      </c>
      <c r="P299" t="s">
        <v>46</v>
      </c>
      <c r="Y299" t="s">
        <v>1094</v>
      </c>
    </row>
    <row r="300" spans="1:25">
      <c r="A300" t="s">
        <v>1095</v>
      </c>
      <c r="B300" t="s">
        <v>1096</v>
      </c>
      <c r="D300" t="s">
        <v>40</v>
      </c>
      <c r="E300" t="s">
        <v>41</v>
      </c>
      <c r="J300" t="s">
        <v>139</v>
      </c>
      <c r="K300" t="s">
        <v>140</v>
      </c>
      <c r="L300">
        <v>15</v>
      </c>
      <c r="M300" t="s">
        <v>1087</v>
      </c>
      <c r="N300" t="s">
        <v>218</v>
      </c>
      <c r="O300" t="s">
        <v>46</v>
      </c>
      <c r="P300" t="s">
        <v>46</v>
      </c>
      <c r="Y300" t="s">
        <v>1097</v>
      </c>
    </row>
    <row r="301" spans="1:25">
      <c r="A301" t="s">
        <v>1098</v>
      </c>
      <c r="B301" t="s">
        <v>1099</v>
      </c>
      <c r="D301" t="s">
        <v>40</v>
      </c>
      <c r="E301" t="s">
        <v>41</v>
      </c>
      <c r="J301" t="s">
        <v>42</v>
      </c>
      <c r="K301" t="s">
        <v>43</v>
      </c>
      <c r="L301">
        <v>6</v>
      </c>
      <c r="M301" t="s">
        <v>1100</v>
      </c>
      <c r="N301" t="s">
        <v>509</v>
      </c>
      <c r="O301" t="s">
        <v>46</v>
      </c>
      <c r="P301" t="s">
        <v>46</v>
      </c>
      <c r="Y301" t="s">
        <v>1101</v>
      </c>
    </row>
    <row r="302" spans="1:25">
      <c r="A302" t="s">
        <v>1102</v>
      </c>
      <c r="B302" t="s">
        <v>1103</v>
      </c>
      <c r="D302" t="s">
        <v>40</v>
      </c>
      <c r="E302" t="s">
        <v>41</v>
      </c>
      <c r="J302" t="s">
        <v>76</v>
      </c>
      <c r="K302" t="s">
        <v>77</v>
      </c>
      <c r="L302">
        <v>10</v>
      </c>
      <c r="M302" t="s">
        <v>1104</v>
      </c>
      <c r="N302" t="s">
        <v>64</v>
      </c>
      <c r="O302" t="s">
        <v>46</v>
      </c>
      <c r="P302" t="s">
        <v>46</v>
      </c>
      <c r="Y302" t="s">
        <v>1105</v>
      </c>
    </row>
    <row r="303" spans="1:25">
      <c r="A303" t="s">
        <v>1106</v>
      </c>
      <c r="B303" t="s">
        <v>1107</v>
      </c>
      <c r="D303" t="s">
        <v>40</v>
      </c>
      <c r="E303" t="s">
        <v>41</v>
      </c>
      <c r="J303" t="s">
        <v>68</v>
      </c>
      <c r="K303" t="s">
        <v>69</v>
      </c>
      <c r="L303">
        <v>10</v>
      </c>
      <c r="M303" t="s">
        <v>1104</v>
      </c>
      <c r="N303" t="s">
        <v>64</v>
      </c>
      <c r="O303" t="s">
        <v>46</v>
      </c>
      <c r="P303" t="s">
        <v>46</v>
      </c>
      <c r="Y303" t="s">
        <v>1108</v>
      </c>
    </row>
    <row r="304" spans="1:25">
      <c r="A304" t="s">
        <v>1109</v>
      </c>
      <c r="B304" t="s">
        <v>1110</v>
      </c>
      <c r="D304" t="s">
        <v>40</v>
      </c>
      <c r="E304" t="s">
        <v>41</v>
      </c>
      <c r="J304" t="s">
        <v>182</v>
      </c>
      <c r="K304" t="s">
        <v>183</v>
      </c>
      <c r="L304">
        <v>10</v>
      </c>
      <c r="M304" t="s">
        <v>1104</v>
      </c>
      <c r="N304" t="s">
        <v>64</v>
      </c>
      <c r="O304" t="s">
        <v>46</v>
      </c>
      <c r="P304" t="s">
        <v>46</v>
      </c>
      <c r="Y304" t="s">
        <v>1111</v>
      </c>
    </row>
    <row r="305" spans="1:25">
      <c r="A305" t="s">
        <v>1112</v>
      </c>
      <c r="B305" t="s">
        <v>1113</v>
      </c>
      <c r="D305" t="s">
        <v>40</v>
      </c>
      <c r="E305" t="s">
        <v>41</v>
      </c>
      <c r="J305" t="s">
        <v>1114</v>
      </c>
      <c r="K305" t="s">
        <v>1115</v>
      </c>
      <c r="L305">
        <v>8</v>
      </c>
      <c r="M305" t="s">
        <v>1116</v>
      </c>
      <c r="N305" t="s">
        <v>315</v>
      </c>
      <c r="O305" t="s">
        <v>46</v>
      </c>
      <c r="P305" t="s">
        <v>46</v>
      </c>
      <c r="Y305" t="s">
        <v>1117</v>
      </c>
    </row>
    <row r="306" spans="1:25">
      <c r="A306" t="s">
        <v>1118</v>
      </c>
      <c r="B306" t="s">
        <v>1119</v>
      </c>
      <c r="D306" t="s">
        <v>40</v>
      </c>
      <c r="E306" t="s">
        <v>41</v>
      </c>
      <c r="J306" t="s">
        <v>68</v>
      </c>
      <c r="K306" t="s">
        <v>69</v>
      </c>
      <c r="L306">
        <v>11</v>
      </c>
      <c r="M306" t="s">
        <v>1120</v>
      </c>
      <c r="N306" t="s">
        <v>64</v>
      </c>
      <c r="O306" t="s">
        <v>46</v>
      </c>
      <c r="P306" t="s">
        <v>46</v>
      </c>
      <c r="Y306" t="s">
        <v>1121</v>
      </c>
    </row>
    <row r="307" spans="1:25">
      <c r="A307" t="s">
        <v>1122</v>
      </c>
      <c r="B307" t="s">
        <v>1123</v>
      </c>
      <c r="D307" t="s">
        <v>40</v>
      </c>
      <c r="E307" t="s">
        <v>41</v>
      </c>
      <c r="J307" t="s">
        <v>76</v>
      </c>
      <c r="K307" t="s">
        <v>77</v>
      </c>
      <c r="L307">
        <v>10</v>
      </c>
      <c r="M307" t="s">
        <v>1120</v>
      </c>
      <c r="N307" t="s">
        <v>64</v>
      </c>
      <c r="O307" t="s">
        <v>46</v>
      </c>
      <c r="P307" t="s">
        <v>46</v>
      </c>
      <c r="Y307" t="s">
        <v>1124</v>
      </c>
    </row>
    <row r="308" spans="1:25">
      <c r="A308" t="s">
        <v>1125</v>
      </c>
      <c r="B308" t="s">
        <v>1126</v>
      </c>
      <c r="D308" t="s">
        <v>40</v>
      </c>
      <c r="E308" t="s">
        <v>41</v>
      </c>
      <c r="J308" t="s">
        <v>68</v>
      </c>
      <c r="K308" t="s">
        <v>69</v>
      </c>
      <c r="L308">
        <v>10</v>
      </c>
      <c r="M308" t="s">
        <v>1127</v>
      </c>
      <c r="N308" t="s">
        <v>64</v>
      </c>
      <c r="O308" t="s">
        <v>46</v>
      </c>
      <c r="P308" t="s">
        <v>46</v>
      </c>
      <c r="Y308" t="s">
        <v>1128</v>
      </c>
    </row>
    <row r="309" spans="1:25">
      <c r="A309" t="s">
        <v>1129</v>
      </c>
      <c r="B309" t="s">
        <v>1130</v>
      </c>
      <c r="D309" t="s">
        <v>40</v>
      </c>
      <c r="E309" t="s">
        <v>41</v>
      </c>
      <c r="J309" t="s">
        <v>68</v>
      </c>
      <c r="K309" t="s">
        <v>69</v>
      </c>
      <c r="L309">
        <v>10</v>
      </c>
      <c r="M309" t="s">
        <v>1127</v>
      </c>
      <c r="N309" t="s">
        <v>64</v>
      </c>
      <c r="O309" t="s">
        <v>46</v>
      </c>
      <c r="P309" t="s">
        <v>46</v>
      </c>
      <c r="Y309" t="s">
        <v>1131</v>
      </c>
    </row>
    <row r="310" spans="1:25">
      <c r="A310" t="s">
        <v>1132</v>
      </c>
      <c r="B310" t="s">
        <v>1133</v>
      </c>
      <c r="D310" t="s">
        <v>40</v>
      </c>
      <c r="E310" t="s">
        <v>41</v>
      </c>
      <c r="J310" t="s">
        <v>68</v>
      </c>
      <c r="K310" t="s">
        <v>69</v>
      </c>
      <c r="L310">
        <v>10</v>
      </c>
      <c r="M310" t="s">
        <v>1127</v>
      </c>
      <c r="N310" t="s">
        <v>64</v>
      </c>
      <c r="O310" t="s">
        <v>46</v>
      </c>
      <c r="P310" t="s">
        <v>46</v>
      </c>
      <c r="Y310" t="s">
        <v>1134</v>
      </c>
    </row>
    <row r="311" spans="1:25">
      <c r="A311" t="s">
        <v>1135</v>
      </c>
      <c r="B311" t="s">
        <v>1136</v>
      </c>
      <c r="D311" t="s">
        <v>40</v>
      </c>
      <c r="E311" t="s">
        <v>41</v>
      </c>
      <c r="J311" t="s">
        <v>50</v>
      </c>
      <c r="K311" t="s">
        <v>51</v>
      </c>
      <c r="L311">
        <v>8</v>
      </c>
      <c r="M311" t="s">
        <v>1137</v>
      </c>
      <c r="N311" t="s">
        <v>1138</v>
      </c>
      <c r="O311" t="s">
        <v>46</v>
      </c>
      <c r="P311" t="s">
        <v>46</v>
      </c>
      <c r="Y311" t="s">
        <v>1139</v>
      </c>
    </row>
    <row r="312" spans="1:25">
      <c r="A312" t="s">
        <v>1140</v>
      </c>
      <c r="B312" t="s">
        <v>1141</v>
      </c>
      <c r="D312" t="s">
        <v>40</v>
      </c>
      <c r="E312" t="s">
        <v>41</v>
      </c>
      <c r="J312" t="s">
        <v>1142</v>
      </c>
      <c r="K312" t="s">
        <v>1143</v>
      </c>
      <c r="L312">
        <v>10</v>
      </c>
      <c r="M312" t="s">
        <v>1144</v>
      </c>
      <c r="N312" t="s">
        <v>305</v>
      </c>
      <c r="O312" t="s">
        <v>46</v>
      </c>
      <c r="P312" t="s">
        <v>46</v>
      </c>
      <c r="Y312" t="s">
        <v>1145</v>
      </c>
    </row>
    <row r="313" spans="1:25">
      <c r="A313" t="s">
        <v>1146</v>
      </c>
      <c r="B313" t="s">
        <v>1147</v>
      </c>
      <c r="D313" t="s">
        <v>40</v>
      </c>
      <c r="E313" t="s">
        <v>41</v>
      </c>
      <c r="J313" t="s">
        <v>68</v>
      </c>
      <c r="K313" t="s">
        <v>69</v>
      </c>
      <c r="L313">
        <v>11</v>
      </c>
      <c r="M313" t="s">
        <v>1148</v>
      </c>
      <c r="N313" t="s">
        <v>64</v>
      </c>
      <c r="O313" t="s">
        <v>46</v>
      </c>
      <c r="P313" t="s">
        <v>46</v>
      </c>
      <c r="Y313" t="s">
        <v>1149</v>
      </c>
    </row>
    <row r="314" spans="1:25">
      <c r="A314" t="s">
        <v>1150</v>
      </c>
      <c r="B314" t="s">
        <v>1151</v>
      </c>
      <c r="D314" t="s">
        <v>40</v>
      </c>
      <c r="E314" t="s">
        <v>41</v>
      </c>
      <c r="J314" t="s">
        <v>68</v>
      </c>
      <c r="K314" t="s">
        <v>69</v>
      </c>
      <c r="L314">
        <v>10</v>
      </c>
      <c r="M314" t="s">
        <v>1148</v>
      </c>
      <c r="N314" t="s">
        <v>64</v>
      </c>
      <c r="O314" t="s">
        <v>46</v>
      </c>
      <c r="P314" t="s">
        <v>46</v>
      </c>
      <c r="Y314" t="s">
        <v>1152</v>
      </c>
    </row>
    <row r="315" spans="1:25">
      <c r="A315" t="s">
        <v>1153</v>
      </c>
      <c r="B315" t="s">
        <v>1154</v>
      </c>
      <c r="D315" t="s">
        <v>40</v>
      </c>
      <c r="E315" t="s">
        <v>41</v>
      </c>
      <c r="J315" t="s">
        <v>76</v>
      </c>
      <c r="K315" t="s">
        <v>77</v>
      </c>
      <c r="L315">
        <v>10</v>
      </c>
      <c r="M315" t="s">
        <v>1148</v>
      </c>
      <c r="N315" t="s">
        <v>64</v>
      </c>
      <c r="O315" t="s">
        <v>46</v>
      </c>
      <c r="P315" t="s">
        <v>46</v>
      </c>
      <c r="Y315" t="s">
        <v>1155</v>
      </c>
    </row>
    <row r="316" spans="1:25">
      <c r="A316" t="s">
        <v>1156</v>
      </c>
      <c r="B316" t="s">
        <v>1157</v>
      </c>
      <c r="D316" t="s">
        <v>40</v>
      </c>
      <c r="E316" t="s">
        <v>41</v>
      </c>
      <c r="J316" t="s">
        <v>182</v>
      </c>
      <c r="K316" t="s">
        <v>183</v>
      </c>
      <c r="L316">
        <v>10</v>
      </c>
      <c r="M316" t="s">
        <v>1158</v>
      </c>
      <c r="N316" t="s">
        <v>64</v>
      </c>
      <c r="O316" t="s">
        <v>46</v>
      </c>
      <c r="P316" t="s">
        <v>46</v>
      </c>
      <c r="Y316" t="s">
        <v>1159</v>
      </c>
    </row>
    <row r="317" spans="1:25">
      <c r="A317" t="s">
        <v>1160</v>
      </c>
      <c r="B317" t="s">
        <v>1161</v>
      </c>
      <c r="D317" t="s">
        <v>40</v>
      </c>
      <c r="E317" t="s">
        <v>41</v>
      </c>
      <c r="J317" t="s">
        <v>1114</v>
      </c>
      <c r="K317" t="s">
        <v>1115</v>
      </c>
      <c r="L317">
        <v>10</v>
      </c>
      <c r="M317" t="s">
        <v>1158</v>
      </c>
      <c r="N317" t="s">
        <v>296</v>
      </c>
      <c r="O317" t="s">
        <v>46</v>
      </c>
      <c r="P317" t="s">
        <v>46</v>
      </c>
      <c r="Y317" t="s">
        <v>1162</v>
      </c>
    </row>
    <row r="318" spans="1:25">
      <c r="A318" t="s">
        <v>1163</v>
      </c>
      <c r="B318" t="s">
        <v>1164</v>
      </c>
      <c r="D318" t="s">
        <v>40</v>
      </c>
      <c r="E318" t="s">
        <v>41</v>
      </c>
      <c r="J318" t="s">
        <v>76</v>
      </c>
      <c r="K318" t="s">
        <v>77</v>
      </c>
      <c r="L318">
        <v>4</v>
      </c>
      <c r="M318" t="s">
        <v>1165</v>
      </c>
      <c r="N318" t="s">
        <v>64</v>
      </c>
      <c r="O318" t="s">
        <v>46</v>
      </c>
      <c r="P318" t="s">
        <v>46</v>
      </c>
      <c r="Y318" t="s">
        <v>1166</v>
      </c>
    </row>
    <row r="319" spans="1:25">
      <c r="A319" t="s">
        <v>1167</v>
      </c>
      <c r="B319" t="s">
        <v>1168</v>
      </c>
      <c r="D319" t="s">
        <v>40</v>
      </c>
      <c r="E319" t="s">
        <v>41</v>
      </c>
      <c r="J319" t="s">
        <v>182</v>
      </c>
      <c r="K319" t="s">
        <v>183</v>
      </c>
      <c r="L319">
        <v>10</v>
      </c>
      <c r="M319" t="s">
        <v>1165</v>
      </c>
      <c r="N319" t="s">
        <v>64</v>
      </c>
      <c r="O319" t="s">
        <v>46</v>
      </c>
      <c r="P319" t="s">
        <v>46</v>
      </c>
      <c r="Y319" t="s">
        <v>1169</v>
      </c>
    </row>
    <row r="320" spans="1:25">
      <c r="A320" t="s">
        <v>1170</v>
      </c>
      <c r="B320" t="s">
        <v>1171</v>
      </c>
      <c r="D320" t="s">
        <v>40</v>
      </c>
      <c r="E320" t="s">
        <v>41</v>
      </c>
      <c r="J320" t="s">
        <v>62</v>
      </c>
      <c r="K320" t="s">
        <v>63</v>
      </c>
      <c r="L320">
        <v>11</v>
      </c>
      <c r="M320" t="s">
        <v>1172</v>
      </c>
      <c r="N320" t="s">
        <v>64</v>
      </c>
      <c r="O320" t="s">
        <v>46</v>
      </c>
      <c r="P320" t="s">
        <v>46</v>
      </c>
      <c r="Y320" t="s">
        <v>1173</v>
      </c>
    </row>
    <row r="321" spans="1:25">
      <c r="A321" t="s">
        <v>1174</v>
      </c>
      <c r="B321" t="s">
        <v>1175</v>
      </c>
      <c r="D321" t="s">
        <v>40</v>
      </c>
      <c r="E321" t="s">
        <v>41</v>
      </c>
      <c r="J321" t="s">
        <v>62</v>
      </c>
      <c r="K321" t="s">
        <v>63</v>
      </c>
      <c r="L321">
        <v>11</v>
      </c>
      <c r="M321" t="s">
        <v>1172</v>
      </c>
      <c r="N321" t="s">
        <v>64</v>
      </c>
      <c r="O321" t="s">
        <v>46</v>
      </c>
      <c r="P321" t="s">
        <v>46</v>
      </c>
      <c r="Y321" t="s">
        <v>1176</v>
      </c>
    </row>
    <row r="322" spans="1:25">
      <c r="A322" t="s">
        <v>1177</v>
      </c>
      <c r="B322" t="s">
        <v>1178</v>
      </c>
      <c r="D322" t="s">
        <v>40</v>
      </c>
      <c r="E322" t="s">
        <v>41</v>
      </c>
      <c r="J322" t="s">
        <v>62</v>
      </c>
      <c r="K322" t="s">
        <v>63</v>
      </c>
      <c r="L322">
        <v>11</v>
      </c>
      <c r="M322" t="s">
        <v>1172</v>
      </c>
      <c r="N322" t="s">
        <v>64</v>
      </c>
      <c r="O322" t="s">
        <v>46</v>
      </c>
      <c r="P322" t="s">
        <v>46</v>
      </c>
      <c r="Y322" t="s">
        <v>1179</v>
      </c>
    </row>
    <row r="323" spans="1:25">
      <c r="A323" t="s">
        <v>1180</v>
      </c>
      <c r="B323" t="s">
        <v>1181</v>
      </c>
      <c r="D323" t="s">
        <v>40</v>
      </c>
      <c r="E323" t="s">
        <v>41</v>
      </c>
      <c r="J323" t="s">
        <v>76</v>
      </c>
      <c r="K323" t="s">
        <v>77</v>
      </c>
      <c r="L323">
        <v>10</v>
      </c>
      <c r="M323" t="s">
        <v>1172</v>
      </c>
      <c r="N323" t="s">
        <v>64</v>
      </c>
      <c r="O323" t="s">
        <v>46</v>
      </c>
      <c r="P323" t="s">
        <v>46</v>
      </c>
      <c r="Y323" t="s">
        <v>1182</v>
      </c>
    </row>
    <row r="324" spans="1:25">
      <c r="A324" t="s">
        <v>1183</v>
      </c>
      <c r="B324" t="s">
        <v>1184</v>
      </c>
      <c r="D324" t="s">
        <v>40</v>
      </c>
      <c r="E324" t="s">
        <v>41</v>
      </c>
      <c r="J324" t="s">
        <v>62</v>
      </c>
      <c r="K324" t="s">
        <v>63</v>
      </c>
      <c r="L324">
        <v>11</v>
      </c>
      <c r="M324" t="s">
        <v>1172</v>
      </c>
      <c r="N324" t="s">
        <v>64</v>
      </c>
      <c r="O324" t="s">
        <v>46</v>
      </c>
      <c r="P324" t="s">
        <v>46</v>
      </c>
      <c r="Y324" t="s">
        <v>1185</v>
      </c>
    </row>
    <row r="325" spans="1:25">
      <c r="A325" t="s">
        <v>1186</v>
      </c>
      <c r="B325" t="s">
        <v>1187</v>
      </c>
      <c r="D325" t="s">
        <v>40</v>
      </c>
      <c r="E325" t="s">
        <v>41</v>
      </c>
      <c r="J325" t="s">
        <v>42</v>
      </c>
      <c r="K325" t="s">
        <v>43</v>
      </c>
      <c r="L325">
        <v>6</v>
      </c>
      <c r="M325" t="s">
        <v>1188</v>
      </c>
      <c r="N325" t="s">
        <v>1189</v>
      </c>
      <c r="O325" t="s">
        <v>46</v>
      </c>
      <c r="P325" t="s">
        <v>46</v>
      </c>
      <c r="Y325" t="s">
        <v>1190</v>
      </c>
    </row>
    <row r="326" spans="1:25">
      <c r="A326" t="s">
        <v>1191</v>
      </c>
      <c r="B326" t="s">
        <v>1192</v>
      </c>
      <c r="D326" t="s">
        <v>40</v>
      </c>
      <c r="E326" t="s">
        <v>41</v>
      </c>
      <c r="J326" t="s">
        <v>68</v>
      </c>
      <c r="K326" t="s">
        <v>69</v>
      </c>
      <c r="L326">
        <v>10</v>
      </c>
      <c r="M326" t="s">
        <v>1188</v>
      </c>
      <c r="N326" t="s">
        <v>64</v>
      </c>
      <c r="O326" t="s">
        <v>46</v>
      </c>
      <c r="P326" t="s">
        <v>46</v>
      </c>
      <c r="Y326" t="s">
        <v>1193</v>
      </c>
    </row>
    <row r="327" spans="1:25">
      <c r="A327" t="s">
        <v>1194</v>
      </c>
      <c r="B327" t="s">
        <v>1195</v>
      </c>
      <c r="D327" t="s">
        <v>40</v>
      </c>
      <c r="E327" t="s">
        <v>41</v>
      </c>
      <c r="J327" t="s">
        <v>76</v>
      </c>
      <c r="K327" t="s">
        <v>77</v>
      </c>
      <c r="L327">
        <v>10</v>
      </c>
      <c r="M327" t="s">
        <v>1188</v>
      </c>
      <c r="N327" t="s">
        <v>64</v>
      </c>
      <c r="O327" t="s">
        <v>46</v>
      </c>
      <c r="P327" t="s">
        <v>46</v>
      </c>
      <c r="Y327" t="s">
        <v>1196</v>
      </c>
    </row>
    <row r="328" spans="1:25">
      <c r="A328" t="s">
        <v>1197</v>
      </c>
      <c r="B328" t="s">
        <v>1198</v>
      </c>
      <c r="D328" t="s">
        <v>40</v>
      </c>
      <c r="E328" t="s">
        <v>41</v>
      </c>
      <c r="J328" t="s">
        <v>76</v>
      </c>
      <c r="K328" t="s">
        <v>77</v>
      </c>
      <c r="L328">
        <v>10</v>
      </c>
      <c r="M328" t="s">
        <v>1188</v>
      </c>
      <c r="N328" t="s">
        <v>64</v>
      </c>
      <c r="O328" t="s">
        <v>46</v>
      </c>
      <c r="P328" t="s">
        <v>46</v>
      </c>
      <c r="Y328" t="s">
        <v>1199</v>
      </c>
    </row>
    <row r="329" spans="1:25">
      <c r="A329" t="s">
        <v>1200</v>
      </c>
      <c r="B329" t="s">
        <v>1201</v>
      </c>
      <c r="D329" t="s">
        <v>40</v>
      </c>
      <c r="E329" t="s">
        <v>41</v>
      </c>
      <c r="J329" t="s">
        <v>68</v>
      </c>
      <c r="K329" t="s">
        <v>69</v>
      </c>
      <c r="L329">
        <v>10</v>
      </c>
      <c r="M329" t="s">
        <v>1188</v>
      </c>
      <c r="N329" t="s">
        <v>64</v>
      </c>
      <c r="O329" t="s">
        <v>46</v>
      </c>
      <c r="P329" t="s">
        <v>46</v>
      </c>
      <c r="Y329" t="s">
        <v>1202</v>
      </c>
    </row>
    <row r="330" spans="1:25">
      <c r="A330" t="s">
        <v>1203</v>
      </c>
      <c r="B330" t="s">
        <v>1204</v>
      </c>
      <c r="D330" t="s">
        <v>40</v>
      </c>
      <c r="E330" t="s">
        <v>41</v>
      </c>
      <c r="J330" t="s">
        <v>68</v>
      </c>
      <c r="K330" t="s">
        <v>69</v>
      </c>
      <c r="L330">
        <v>10</v>
      </c>
      <c r="M330" t="s">
        <v>1188</v>
      </c>
      <c r="N330" t="s">
        <v>64</v>
      </c>
      <c r="O330" t="s">
        <v>46</v>
      </c>
      <c r="P330" t="s">
        <v>46</v>
      </c>
      <c r="Y330" t="s">
        <v>1205</v>
      </c>
    </row>
    <row r="331" spans="1:25">
      <c r="A331" t="s">
        <v>1206</v>
      </c>
      <c r="B331" t="s">
        <v>1207</v>
      </c>
      <c r="D331" t="s">
        <v>40</v>
      </c>
      <c r="E331" t="s">
        <v>41</v>
      </c>
      <c r="J331" t="s">
        <v>182</v>
      </c>
      <c r="K331" t="s">
        <v>183</v>
      </c>
      <c r="L331">
        <v>10</v>
      </c>
      <c r="M331" t="s">
        <v>1188</v>
      </c>
      <c r="N331" t="s">
        <v>64</v>
      </c>
      <c r="O331" t="s">
        <v>46</v>
      </c>
      <c r="P331" t="s">
        <v>46</v>
      </c>
      <c r="Y331" t="s">
        <v>1208</v>
      </c>
    </row>
    <row r="332" spans="1:25">
      <c r="A332" t="s">
        <v>1209</v>
      </c>
      <c r="B332" t="s">
        <v>1210</v>
      </c>
      <c r="D332" t="s">
        <v>40</v>
      </c>
      <c r="E332" t="s">
        <v>41</v>
      </c>
      <c r="J332" t="s">
        <v>42</v>
      </c>
      <c r="K332" t="s">
        <v>43</v>
      </c>
      <c r="L332">
        <v>10</v>
      </c>
      <c r="M332" t="s">
        <v>1188</v>
      </c>
      <c r="N332" t="s">
        <v>950</v>
      </c>
      <c r="O332" t="s">
        <v>46</v>
      </c>
      <c r="P332" t="s">
        <v>46</v>
      </c>
      <c r="Y332" t="s">
        <v>1211</v>
      </c>
    </row>
    <row r="333" spans="1:25">
      <c r="A333" t="s">
        <v>1212</v>
      </c>
      <c r="B333" t="s">
        <v>1213</v>
      </c>
      <c r="D333" t="s">
        <v>40</v>
      </c>
      <c r="E333" t="s">
        <v>41</v>
      </c>
      <c r="J333" t="s">
        <v>1214</v>
      </c>
      <c r="K333" t="s">
        <v>1215</v>
      </c>
      <c r="L333">
        <v>10</v>
      </c>
      <c r="M333" t="s">
        <v>1216</v>
      </c>
      <c r="N333" t="s">
        <v>1189</v>
      </c>
      <c r="O333" t="s">
        <v>46</v>
      </c>
      <c r="P333" t="s">
        <v>46</v>
      </c>
      <c r="Y333" t="s">
        <v>1217</v>
      </c>
    </row>
    <row r="334" spans="1:25">
      <c r="A334" t="s">
        <v>1218</v>
      </c>
      <c r="B334" t="s">
        <v>1219</v>
      </c>
      <c r="D334" t="s">
        <v>40</v>
      </c>
      <c r="E334" t="s">
        <v>41</v>
      </c>
      <c r="J334" t="s">
        <v>264</v>
      </c>
      <c r="K334" t="s">
        <v>265</v>
      </c>
      <c r="L334">
        <v>8</v>
      </c>
      <c r="M334" t="s">
        <v>1220</v>
      </c>
      <c r="N334" t="s">
        <v>53</v>
      </c>
      <c r="O334" t="s">
        <v>46</v>
      </c>
      <c r="P334" t="s">
        <v>46</v>
      </c>
      <c r="Y334" t="s">
        <v>1221</v>
      </c>
    </row>
    <row r="335" spans="1:25">
      <c r="A335" t="s">
        <v>1222</v>
      </c>
      <c r="B335" t="s">
        <v>1223</v>
      </c>
      <c r="D335" t="s">
        <v>40</v>
      </c>
      <c r="E335" t="s">
        <v>41</v>
      </c>
      <c r="J335" t="s">
        <v>248</v>
      </c>
      <c r="K335" t="s">
        <v>249</v>
      </c>
      <c r="L335">
        <v>12</v>
      </c>
      <c r="M335" t="s">
        <v>1224</v>
      </c>
      <c r="N335" t="s">
        <v>509</v>
      </c>
      <c r="O335" t="s">
        <v>46</v>
      </c>
      <c r="P335" t="s">
        <v>46</v>
      </c>
      <c r="Y335" t="s">
        <v>1225</v>
      </c>
    </row>
    <row r="336" spans="1:25">
      <c r="A336" t="s">
        <v>1226</v>
      </c>
      <c r="B336" t="s">
        <v>1227</v>
      </c>
      <c r="D336" t="s">
        <v>40</v>
      </c>
      <c r="E336" t="s">
        <v>41</v>
      </c>
      <c r="J336" t="s">
        <v>139</v>
      </c>
      <c r="K336" t="s">
        <v>140</v>
      </c>
      <c r="L336">
        <v>11</v>
      </c>
      <c r="M336" t="s">
        <v>1228</v>
      </c>
      <c r="N336" t="s">
        <v>1229</v>
      </c>
      <c r="O336" t="s">
        <v>46</v>
      </c>
      <c r="P336" t="s">
        <v>46</v>
      </c>
      <c r="Y336" t="s">
        <v>1230</v>
      </c>
    </row>
    <row r="337" spans="1:25">
      <c r="A337" t="s">
        <v>1231</v>
      </c>
      <c r="B337" t="s">
        <v>1232</v>
      </c>
      <c r="D337" t="s">
        <v>40</v>
      </c>
      <c r="E337" t="s">
        <v>41</v>
      </c>
      <c r="J337" t="s">
        <v>68</v>
      </c>
      <c r="K337" t="s">
        <v>69</v>
      </c>
      <c r="L337">
        <v>10</v>
      </c>
      <c r="M337" t="s">
        <v>1233</v>
      </c>
      <c r="N337" t="s">
        <v>64</v>
      </c>
      <c r="O337" t="s">
        <v>46</v>
      </c>
      <c r="P337" t="s">
        <v>46</v>
      </c>
      <c r="Y337" t="s">
        <v>1234</v>
      </c>
    </row>
    <row r="338" spans="1:25">
      <c r="A338" t="s">
        <v>1235</v>
      </c>
      <c r="B338" t="s">
        <v>1236</v>
      </c>
      <c r="D338" t="s">
        <v>40</v>
      </c>
      <c r="E338" t="s">
        <v>41</v>
      </c>
      <c r="J338" t="s">
        <v>62</v>
      </c>
      <c r="K338" t="s">
        <v>63</v>
      </c>
      <c r="L338">
        <v>11</v>
      </c>
      <c r="M338" t="s">
        <v>1233</v>
      </c>
      <c r="N338" t="s">
        <v>64</v>
      </c>
      <c r="O338" t="s">
        <v>46</v>
      </c>
      <c r="P338" t="s">
        <v>46</v>
      </c>
      <c r="Y338" t="s">
        <v>1237</v>
      </c>
    </row>
    <row r="339" spans="1:25">
      <c r="A339" t="s">
        <v>1238</v>
      </c>
      <c r="B339" t="s">
        <v>1239</v>
      </c>
      <c r="D339" t="s">
        <v>40</v>
      </c>
      <c r="E339" t="s">
        <v>41</v>
      </c>
      <c r="J339" t="s">
        <v>62</v>
      </c>
      <c r="K339" t="s">
        <v>63</v>
      </c>
      <c r="L339">
        <v>10</v>
      </c>
      <c r="M339" t="s">
        <v>1233</v>
      </c>
      <c r="N339" t="s">
        <v>64</v>
      </c>
      <c r="O339" t="s">
        <v>46</v>
      </c>
      <c r="P339" t="s">
        <v>46</v>
      </c>
      <c r="Y339" t="s">
        <v>1240</v>
      </c>
    </row>
    <row r="340" spans="1:25">
      <c r="A340" t="s">
        <v>1241</v>
      </c>
      <c r="B340" t="s">
        <v>1242</v>
      </c>
      <c r="D340" t="s">
        <v>40</v>
      </c>
      <c r="E340" t="s">
        <v>41</v>
      </c>
      <c r="J340" t="s">
        <v>76</v>
      </c>
      <c r="K340" t="s">
        <v>77</v>
      </c>
      <c r="L340">
        <v>10</v>
      </c>
      <c r="M340" t="s">
        <v>1233</v>
      </c>
      <c r="N340" t="s">
        <v>64</v>
      </c>
      <c r="O340" t="s">
        <v>46</v>
      </c>
      <c r="P340" t="s">
        <v>46</v>
      </c>
      <c r="Y340" t="s">
        <v>1243</v>
      </c>
    </row>
    <row r="341" spans="1:25">
      <c r="A341" t="s">
        <v>1244</v>
      </c>
      <c r="B341" t="s">
        <v>1245</v>
      </c>
      <c r="D341" t="s">
        <v>40</v>
      </c>
      <c r="E341" t="s">
        <v>41</v>
      </c>
      <c r="J341" t="s">
        <v>182</v>
      </c>
      <c r="K341" t="s">
        <v>183</v>
      </c>
      <c r="L341">
        <v>10</v>
      </c>
      <c r="M341" t="s">
        <v>1246</v>
      </c>
      <c r="N341" t="s">
        <v>64</v>
      </c>
      <c r="O341" t="s">
        <v>46</v>
      </c>
      <c r="P341" t="s">
        <v>46</v>
      </c>
      <c r="Y341" t="s">
        <v>1247</v>
      </c>
    </row>
    <row r="342" spans="1:25">
      <c r="A342" t="s">
        <v>1248</v>
      </c>
      <c r="B342" t="s">
        <v>1249</v>
      </c>
      <c r="D342" t="s">
        <v>40</v>
      </c>
      <c r="E342" t="s">
        <v>41</v>
      </c>
      <c r="J342" t="s">
        <v>50</v>
      </c>
      <c r="K342" t="s">
        <v>51</v>
      </c>
      <c r="L342">
        <v>10</v>
      </c>
      <c r="M342" t="s">
        <v>1250</v>
      </c>
      <c r="N342" t="s">
        <v>53</v>
      </c>
      <c r="O342" t="s">
        <v>46</v>
      </c>
      <c r="P342" t="s">
        <v>46</v>
      </c>
      <c r="Y342" t="s">
        <v>1251</v>
      </c>
    </row>
    <row r="343" spans="1:25">
      <c r="A343" t="s">
        <v>1252</v>
      </c>
      <c r="B343" t="s">
        <v>1253</v>
      </c>
      <c r="D343" t="s">
        <v>40</v>
      </c>
      <c r="E343" t="s">
        <v>41</v>
      </c>
      <c r="J343" t="s">
        <v>264</v>
      </c>
      <c r="K343" t="s">
        <v>265</v>
      </c>
      <c r="L343">
        <v>11</v>
      </c>
      <c r="M343" t="s">
        <v>1254</v>
      </c>
      <c r="N343" t="s">
        <v>756</v>
      </c>
      <c r="O343" t="s">
        <v>46</v>
      </c>
      <c r="P343" t="s">
        <v>46</v>
      </c>
      <c r="Y343" t="s">
        <v>1255</v>
      </c>
    </row>
    <row r="344" spans="1:25">
      <c r="A344" t="s">
        <v>1256</v>
      </c>
      <c r="B344" t="s">
        <v>1257</v>
      </c>
      <c r="D344" t="s">
        <v>40</v>
      </c>
      <c r="E344" t="s">
        <v>41</v>
      </c>
      <c r="J344" t="s">
        <v>139</v>
      </c>
      <c r="K344" t="s">
        <v>140</v>
      </c>
      <c r="L344">
        <v>10</v>
      </c>
      <c r="M344" t="s">
        <v>1254</v>
      </c>
      <c r="N344" t="s">
        <v>1258</v>
      </c>
      <c r="O344" t="s">
        <v>46</v>
      </c>
      <c r="P344" t="s">
        <v>46</v>
      </c>
      <c r="Y344" t="s">
        <v>1259</v>
      </c>
    </row>
    <row r="345" spans="1:25">
      <c r="A345" t="s">
        <v>1260</v>
      </c>
      <c r="B345" t="s">
        <v>1261</v>
      </c>
      <c r="D345" t="s">
        <v>40</v>
      </c>
      <c r="E345" t="s">
        <v>41</v>
      </c>
      <c r="J345" t="s">
        <v>68</v>
      </c>
      <c r="K345" t="s">
        <v>69</v>
      </c>
      <c r="L345">
        <v>10</v>
      </c>
      <c r="M345" t="s">
        <v>1262</v>
      </c>
      <c r="N345" t="s">
        <v>64</v>
      </c>
      <c r="O345" t="s">
        <v>46</v>
      </c>
      <c r="P345" t="s">
        <v>46</v>
      </c>
      <c r="Y345" t="s">
        <v>1263</v>
      </c>
    </row>
    <row r="346" spans="1:25">
      <c r="A346" t="s">
        <v>1264</v>
      </c>
      <c r="B346" t="s">
        <v>1265</v>
      </c>
      <c r="D346" t="s">
        <v>40</v>
      </c>
      <c r="E346" t="s">
        <v>41</v>
      </c>
      <c r="J346" t="s">
        <v>68</v>
      </c>
      <c r="K346" t="s">
        <v>69</v>
      </c>
      <c r="L346">
        <v>6</v>
      </c>
      <c r="M346" t="s">
        <v>1262</v>
      </c>
      <c r="N346" t="s">
        <v>64</v>
      </c>
      <c r="O346" t="s">
        <v>46</v>
      </c>
      <c r="P346" t="s">
        <v>46</v>
      </c>
      <c r="Y346" t="s">
        <v>1266</v>
      </c>
    </row>
    <row r="347" spans="1:25">
      <c r="A347" t="s">
        <v>1267</v>
      </c>
      <c r="B347" t="s">
        <v>1268</v>
      </c>
      <c r="D347" t="s">
        <v>40</v>
      </c>
      <c r="E347" t="s">
        <v>41</v>
      </c>
      <c r="J347" t="s">
        <v>68</v>
      </c>
      <c r="K347" t="s">
        <v>69</v>
      </c>
      <c r="L347">
        <v>10</v>
      </c>
      <c r="M347" t="s">
        <v>1262</v>
      </c>
      <c r="N347" t="s">
        <v>64</v>
      </c>
      <c r="O347" t="s">
        <v>46</v>
      </c>
      <c r="P347" t="s">
        <v>46</v>
      </c>
      <c r="Y347" t="s">
        <v>1269</v>
      </c>
    </row>
    <row r="348" spans="1:25">
      <c r="A348" t="s">
        <v>1270</v>
      </c>
      <c r="B348" t="s">
        <v>1271</v>
      </c>
      <c r="D348" t="s">
        <v>40</v>
      </c>
      <c r="E348" t="s">
        <v>41</v>
      </c>
      <c r="J348" t="s">
        <v>182</v>
      </c>
      <c r="K348" t="s">
        <v>183</v>
      </c>
      <c r="L348">
        <v>10</v>
      </c>
      <c r="M348" t="s">
        <v>1262</v>
      </c>
      <c r="N348" t="s">
        <v>64</v>
      </c>
      <c r="O348" t="s">
        <v>46</v>
      </c>
      <c r="P348" t="s">
        <v>46</v>
      </c>
      <c r="Y348" t="s">
        <v>1272</v>
      </c>
    </row>
    <row r="349" spans="1:25">
      <c r="A349" t="s">
        <v>1273</v>
      </c>
      <c r="B349" t="s">
        <v>1274</v>
      </c>
      <c r="D349" t="s">
        <v>40</v>
      </c>
      <c r="E349" t="s">
        <v>41</v>
      </c>
      <c r="J349" t="s">
        <v>139</v>
      </c>
      <c r="K349" t="s">
        <v>140</v>
      </c>
      <c r="L349">
        <v>14</v>
      </c>
      <c r="M349" t="s">
        <v>1275</v>
      </c>
      <c r="N349" t="s">
        <v>1276</v>
      </c>
      <c r="O349" t="s">
        <v>46</v>
      </c>
      <c r="P349" t="s">
        <v>46</v>
      </c>
      <c r="Y349" t="s">
        <v>1277</v>
      </c>
    </row>
    <row r="350" spans="1:25">
      <c r="A350" t="s">
        <v>1278</v>
      </c>
      <c r="B350" t="s">
        <v>1279</v>
      </c>
      <c r="D350" t="s">
        <v>40</v>
      </c>
      <c r="E350" t="s">
        <v>41</v>
      </c>
      <c r="J350" t="s">
        <v>50</v>
      </c>
      <c r="K350" t="s">
        <v>51</v>
      </c>
      <c r="L350">
        <v>11</v>
      </c>
      <c r="M350" t="s">
        <v>1280</v>
      </c>
      <c r="N350" t="s">
        <v>509</v>
      </c>
      <c r="O350" t="s">
        <v>46</v>
      </c>
      <c r="P350" t="s">
        <v>46</v>
      </c>
      <c r="Y350" t="s">
        <v>1281</v>
      </c>
    </row>
    <row r="351" spans="1:25">
      <c r="A351" t="s">
        <v>1282</v>
      </c>
      <c r="B351" t="s">
        <v>1283</v>
      </c>
      <c r="D351" t="s">
        <v>40</v>
      </c>
      <c r="E351" t="s">
        <v>41</v>
      </c>
      <c r="J351" t="s">
        <v>68</v>
      </c>
      <c r="K351" t="s">
        <v>69</v>
      </c>
      <c r="L351">
        <v>10</v>
      </c>
      <c r="M351" t="s">
        <v>1284</v>
      </c>
      <c r="N351" t="s">
        <v>64</v>
      </c>
      <c r="O351" t="s">
        <v>46</v>
      </c>
      <c r="P351" t="s">
        <v>46</v>
      </c>
      <c r="Y351" t="s">
        <v>1285</v>
      </c>
    </row>
    <row r="352" spans="1:25">
      <c r="A352" t="s">
        <v>1286</v>
      </c>
      <c r="B352" t="s">
        <v>1287</v>
      </c>
      <c r="D352" t="s">
        <v>40</v>
      </c>
      <c r="E352" t="s">
        <v>41</v>
      </c>
      <c r="J352" t="s">
        <v>182</v>
      </c>
      <c r="K352" t="s">
        <v>183</v>
      </c>
      <c r="L352">
        <v>10</v>
      </c>
      <c r="M352" t="s">
        <v>1284</v>
      </c>
      <c r="N352" t="s">
        <v>64</v>
      </c>
      <c r="O352" t="s">
        <v>46</v>
      </c>
      <c r="P352" t="s">
        <v>46</v>
      </c>
      <c r="Y352" t="s">
        <v>1288</v>
      </c>
    </row>
    <row r="353" spans="1:25">
      <c r="A353" t="s">
        <v>1289</v>
      </c>
      <c r="B353" t="s">
        <v>1290</v>
      </c>
      <c r="D353" t="s">
        <v>40</v>
      </c>
      <c r="E353" t="s">
        <v>41</v>
      </c>
      <c r="J353" t="s">
        <v>68</v>
      </c>
      <c r="K353" t="s">
        <v>69</v>
      </c>
      <c r="L353">
        <v>10</v>
      </c>
      <c r="M353" t="s">
        <v>1291</v>
      </c>
      <c r="N353" t="s">
        <v>64</v>
      </c>
      <c r="O353" t="s">
        <v>46</v>
      </c>
      <c r="P353" t="s">
        <v>46</v>
      </c>
      <c r="Y353" t="s">
        <v>1292</v>
      </c>
    </row>
    <row r="354" spans="1:25">
      <c r="A354" t="s">
        <v>1293</v>
      </c>
      <c r="B354" t="s">
        <v>1294</v>
      </c>
      <c r="D354" t="s">
        <v>40</v>
      </c>
      <c r="E354" t="s">
        <v>41</v>
      </c>
      <c r="J354" t="s">
        <v>68</v>
      </c>
      <c r="K354" t="s">
        <v>69</v>
      </c>
      <c r="L354">
        <v>10</v>
      </c>
      <c r="M354" t="s">
        <v>1291</v>
      </c>
      <c r="N354" t="s">
        <v>64</v>
      </c>
      <c r="O354" t="s">
        <v>46</v>
      </c>
      <c r="P354" t="s">
        <v>46</v>
      </c>
      <c r="Y354" t="s">
        <v>1295</v>
      </c>
    </row>
    <row r="355" spans="1:25">
      <c r="A355" t="s">
        <v>1296</v>
      </c>
      <c r="B355" t="s">
        <v>1297</v>
      </c>
      <c r="D355" t="s">
        <v>40</v>
      </c>
      <c r="E355" t="s">
        <v>41</v>
      </c>
      <c r="J355" t="s">
        <v>182</v>
      </c>
      <c r="K355" t="s">
        <v>183</v>
      </c>
      <c r="L355">
        <v>10</v>
      </c>
      <c r="M355" t="s">
        <v>1291</v>
      </c>
      <c r="N355" t="s">
        <v>64</v>
      </c>
      <c r="O355" t="s">
        <v>46</v>
      </c>
      <c r="P355" t="s">
        <v>46</v>
      </c>
      <c r="Y355" t="s">
        <v>1298</v>
      </c>
    </row>
    <row r="356" spans="1:25">
      <c r="A356" t="s">
        <v>1299</v>
      </c>
      <c r="B356" t="s">
        <v>1300</v>
      </c>
      <c r="D356" t="s">
        <v>40</v>
      </c>
      <c r="E356" t="s">
        <v>41</v>
      </c>
      <c r="J356" t="s">
        <v>76</v>
      </c>
      <c r="K356" t="s">
        <v>77</v>
      </c>
      <c r="L356">
        <v>10</v>
      </c>
      <c r="M356" t="s">
        <v>1301</v>
      </c>
      <c r="N356" t="s">
        <v>64</v>
      </c>
      <c r="O356" t="s">
        <v>46</v>
      </c>
      <c r="P356" t="s">
        <v>46</v>
      </c>
      <c r="Y356" t="s">
        <v>1302</v>
      </c>
    </row>
    <row r="357" spans="1:25">
      <c r="A357" t="s">
        <v>1303</v>
      </c>
      <c r="B357" t="s">
        <v>1304</v>
      </c>
      <c r="D357" t="s">
        <v>40</v>
      </c>
      <c r="E357" t="s">
        <v>41</v>
      </c>
      <c r="J357" t="s">
        <v>42</v>
      </c>
      <c r="K357" t="s">
        <v>43</v>
      </c>
      <c r="L357">
        <v>10</v>
      </c>
      <c r="M357" t="s">
        <v>1301</v>
      </c>
      <c r="N357" t="s">
        <v>509</v>
      </c>
      <c r="O357" t="s">
        <v>46</v>
      </c>
      <c r="P357" t="s">
        <v>46</v>
      </c>
      <c r="Y357" t="s">
        <v>1305</v>
      </c>
    </row>
    <row r="358" spans="1:25">
      <c r="A358" t="s">
        <v>1306</v>
      </c>
      <c r="B358" t="s">
        <v>1307</v>
      </c>
      <c r="D358" t="s">
        <v>40</v>
      </c>
      <c r="E358" t="s">
        <v>41</v>
      </c>
      <c r="J358" t="s">
        <v>42</v>
      </c>
      <c r="K358" t="s">
        <v>43</v>
      </c>
      <c r="L358">
        <v>10</v>
      </c>
      <c r="M358" t="s">
        <v>1301</v>
      </c>
      <c r="N358" t="s">
        <v>440</v>
      </c>
      <c r="O358" t="s">
        <v>46</v>
      </c>
      <c r="P358" t="s">
        <v>46</v>
      </c>
      <c r="Y358" t="s">
        <v>1308</v>
      </c>
    </row>
    <row r="359" spans="1:25">
      <c r="A359" t="s">
        <v>1309</v>
      </c>
      <c r="B359" t="s">
        <v>1310</v>
      </c>
      <c r="D359" t="s">
        <v>40</v>
      </c>
      <c r="E359" t="s">
        <v>41</v>
      </c>
      <c r="J359" t="s">
        <v>139</v>
      </c>
      <c r="K359" t="s">
        <v>140</v>
      </c>
      <c r="L359">
        <v>9</v>
      </c>
      <c r="M359" t="s">
        <v>1311</v>
      </c>
      <c r="N359" t="s">
        <v>165</v>
      </c>
      <c r="O359" t="s">
        <v>46</v>
      </c>
      <c r="P359" t="s">
        <v>46</v>
      </c>
      <c r="Y359" t="s">
        <v>1312</v>
      </c>
    </row>
    <row r="360" spans="1:25">
      <c r="A360" t="s">
        <v>1313</v>
      </c>
      <c r="B360" t="s">
        <v>1314</v>
      </c>
      <c r="D360" t="s">
        <v>40</v>
      </c>
      <c r="E360" t="s">
        <v>41</v>
      </c>
      <c r="J360" t="s">
        <v>68</v>
      </c>
      <c r="K360" t="s">
        <v>69</v>
      </c>
      <c r="L360">
        <v>10</v>
      </c>
      <c r="M360" t="s">
        <v>1315</v>
      </c>
      <c r="N360" t="s">
        <v>64</v>
      </c>
      <c r="O360" t="s">
        <v>46</v>
      </c>
      <c r="P360" t="s">
        <v>46</v>
      </c>
      <c r="Y360" t="s">
        <v>1316</v>
      </c>
    </row>
    <row r="361" spans="1:25">
      <c r="A361" t="s">
        <v>1317</v>
      </c>
      <c r="B361" t="s">
        <v>1318</v>
      </c>
      <c r="D361" t="s">
        <v>40</v>
      </c>
      <c r="E361" t="s">
        <v>41</v>
      </c>
      <c r="J361" t="s">
        <v>68</v>
      </c>
      <c r="K361" t="s">
        <v>69</v>
      </c>
      <c r="L361">
        <v>10</v>
      </c>
      <c r="M361" t="s">
        <v>1315</v>
      </c>
      <c r="N361" t="s">
        <v>64</v>
      </c>
      <c r="O361" t="s">
        <v>46</v>
      </c>
      <c r="P361" t="s">
        <v>46</v>
      </c>
      <c r="Y361" t="s">
        <v>1319</v>
      </c>
    </row>
    <row r="362" spans="1:25">
      <c r="A362" t="s">
        <v>1320</v>
      </c>
      <c r="B362" t="s">
        <v>1321</v>
      </c>
      <c r="D362" t="s">
        <v>40</v>
      </c>
      <c r="E362" t="s">
        <v>41</v>
      </c>
      <c r="J362" t="s">
        <v>42</v>
      </c>
      <c r="K362" t="s">
        <v>43</v>
      </c>
      <c r="L362">
        <v>5</v>
      </c>
      <c r="M362" t="s">
        <v>1322</v>
      </c>
      <c r="N362" t="s">
        <v>509</v>
      </c>
      <c r="O362" t="s">
        <v>46</v>
      </c>
      <c r="P362" t="s">
        <v>46</v>
      </c>
      <c r="Y362" t="s">
        <v>1323</v>
      </c>
    </row>
    <row r="363" spans="1:25">
      <c r="A363" t="s">
        <v>1324</v>
      </c>
      <c r="B363" t="s">
        <v>1325</v>
      </c>
      <c r="D363" t="s">
        <v>40</v>
      </c>
      <c r="E363" t="s">
        <v>41</v>
      </c>
      <c r="J363" t="s">
        <v>264</v>
      </c>
      <c r="K363" t="s">
        <v>265</v>
      </c>
      <c r="L363">
        <v>3</v>
      </c>
      <c r="M363" t="s">
        <v>1326</v>
      </c>
      <c r="N363" t="s">
        <v>950</v>
      </c>
      <c r="O363" t="s">
        <v>46</v>
      </c>
      <c r="P363" t="s">
        <v>46</v>
      </c>
      <c r="Y363" t="s">
        <v>1327</v>
      </c>
    </row>
    <row r="364" spans="1:25">
      <c r="A364" t="s">
        <v>1328</v>
      </c>
      <c r="B364" t="s">
        <v>1329</v>
      </c>
      <c r="D364" t="s">
        <v>40</v>
      </c>
      <c r="E364" t="s">
        <v>41</v>
      </c>
      <c r="J364" t="s">
        <v>76</v>
      </c>
      <c r="K364" t="s">
        <v>77</v>
      </c>
      <c r="L364">
        <v>10</v>
      </c>
      <c r="M364" t="s">
        <v>1330</v>
      </c>
      <c r="N364" t="s">
        <v>64</v>
      </c>
      <c r="O364" t="s">
        <v>46</v>
      </c>
      <c r="P364" t="s">
        <v>46</v>
      </c>
      <c r="Y364" t="s">
        <v>1331</v>
      </c>
    </row>
    <row r="365" spans="1:25">
      <c r="A365" t="s">
        <v>1332</v>
      </c>
      <c r="B365" t="s">
        <v>1333</v>
      </c>
      <c r="D365" t="s">
        <v>40</v>
      </c>
      <c r="E365" t="s">
        <v>41</v>
      </c>
      <c r="J365" t="s">
        <v>42</v>
      </c>
      <c r="K365" t="s">
        <v>43</v>
      </c>
      <c r="L365">
        <v>11</v>
      </c>
      <c r="M365" t="s">
        <v>1330</v>
      </c>
      <c r="N365" t="s">
        <v>1334</v>
      </c>
      <c r="O365" t="s">
        <v>46</v>
      </c>
      <c r="P365" t="s">
        <v>46</v>
      </c>
      <c r="Y365" t="s">
        <v>1335</v>
      </c>
    </row>
    <row r="366" spans="1:25">
      <c r="A366" t="s">
        <v>1336</v>
      </c>
      <c r="B366" t="s">
        <v>1337</v>
      </c>
      <c r="D366" t="s">
        <v>40</v>
      </c>
      <c r="E366" t="s">
        <v>41</v>
      </c>
      <c r="J366" t="s">
        <v>1338</v>
      </c>
      <c r="K366" t="s">
        <v>1339</v>
      </c>
      <c r="L366">
        <v>10</v>
      </c>
      <c r="M366" t="s">
        <v>1330</v>
      </c>
      <c r="N366" t="s">
        <v>142</v>
      </c>
      <c r="O366" t="s">
        <v>46</v>
      </c>
      <c r="P366" t="s">
        <v>46</v>
      </c>
      <c r="Y366" t="s">
        <v>1340</v>
      </c>
    </row>
    <row r="367" spans="1:25">
      <c r="A367" t="s">
        <v>1341</v>
      </c>
      <c r="B367" t="s">
        <v>1342</v>
      </c>
      <c r="D367" t="s">
        <v>40</v>
      </c>
      <c r="E367" t="s">
        <v>41</v>
      </c>
      <c r="J367" t="s">
        <v>139</v>
      </c>
      <c r="K367" t="s">
        <v>140</v>
      </c>
      <c r="L367">
        <v>16</v>
      </c>
      <c r="M367" t="s">
        <v>1343</v>
      </c>
      <c r="N367" t="s">
        <v>1344</v>
      </c>
      <c r="O367" t="s">
        <v>46</v>
      </c>
      <c r="P367" t="s">
        <v>46</v>
      </c>
      <c r="Y367" t="s">
        <v>1345</v>
      </c>
    </row>
    <row r="368" spans="1:25">
      <c r="A368" t="s">
        <v>1346</v>
      </c>
      <c r="B368" t="s">
        <v>1347</v>
      </c>
      <c r="D368" t="s">
        <v>40</v>
      </c>
      <c r="E368" t="s">
        <v>41</v>
      </c>
      <c r="J368" t="s">
        <v>182</v>
      </c>
      <c r="K368" t="s">
        <v>183</v>
      </c>
      <c r="L368">
        <v>6</v>
      </c>
      <c r="M368" t="s">
        <v>1348</v>
      </c>
      <c r="N368" t="s">
        <v>64</v>
      </c>
      <c r="O368" t="s">
        <v>46</v>
      </c>
      <c r="P368" t="s">
        <v>46</v>
      </c>
      <c r="Y368" t="s">
        <v>1349</v>
      </c>
    </row>
    <row r="369" spans="1:25">
      <c r="A369" t="s">
        <v>1350</v>
      </c>
      <c r="B369" t="s">
        <v>1351</v>
      </c>
      <c r="D369" t="s">
        <v>40</v>
      </c>
      <c r="E369" t="s">
        <v>41</v>
      </c>
      <c r="J369" t="s">
        <v>42</v>
      </c>
      <c r="K369" t="s">
        <v>43</v>
      </c>
      <c r="L369">
        <v>10</v>
      </c>
      <c r="M369" t="s">
        <v>1348</v>
      </c>
      <c r="N369" t="s">
        <v>173</v>
      </c>
      <c r="O369" t="s">
        <v>46</v>
      </c>
      <c r="P369" t="s">
        <v>46</v>
      </c>
      <c r="Y369" t="s">
        <v>1352</v>
      </c>
    </row>
    <row r="370" spans="1:25">
      <c r="A370" t="s">
        <v>1353</v>
      </c>
      <c r="B370" t="s">
        <v>1354</v>
      </c>
      <c r="D370" t="s">
        <v>40</v>
      </c>
      <c r="E370" t="s">
        <v>41</v>
      </c>
      <c r="J370" t="s">
        <v>182</v>
      </c>
      <c r="K370" t="s">
        <v>183</v>
      </c>
      <c r="L370">
        <v>8</v>
      </c>
      <c r="M370" t="s">
        <v>1348</v>
      </c>
      <c r="N370" t="s">
        <v>64</v>
      </c>
      <c r="O370" t="s">
        <v>46</v>
      </c>
      <c r="P370" t="s">
        <v>46</v>
      </c>
      <c r="Y370" t="s">
        <v>1355</v>
      </c>
    </row>
    <row r="371" spans="1:25">
      <c r="A371" t="s">
        <v>1356</v>
      </c>
      <c r="B371" t="s">
        <v>1357</v>
      </c>
      <c r="D371" t="s">
        <v>40</v>
      </c>
      <c r="E371" t="s">
        <v>41</v>
      </c>
      <c r="J371" t="s">
        <v>42</v>
      </c>
      <c r="K371" t="s">
        <v>43</v>
      </c>
      <c r="L371">
        <v>10</v>
      </c>
      <c r="M371" t="s">
        <v>1358</v>
      </c>
      <c r="N371" t="s">
        <v>350</v>
      </c>
      <c r="O371" t="s">
        <v>46</v>
      </c>
      <c r="P371" t="s">
        <v>46</v>
      </c>
      <c r="Y371" t="s">
        <v>1359</v>
      </c>
    </row>
    <row r="372" spans="1:25">
      <c r="A372" t="s">
        <v>1360</v>
      </c>
      <c r="B372" t="s">
        <v>1361</v>
      </c>
      <c r="D372" t="s">
        <v>40</v>
      </c>
      <c r="E372" t="s">
        <v>41</v>
      </c>
      <c r="J372" t="s">
        <v>182</v>
      </c>
      <c r="K372" t="s">
        <v>183</v>
      </c>
      <c r="L372">
        <v>10</v>
      </c>
      <c r="M372" t="s">
        <v>1362</v>
      </c>
      <c r="N372" t="s">
        <v>64</v>
      </c>
      <c r="O372" t="s">
        <v>46</v>
      </c>
      <c r="P372" t="s">
        <v>46</v>
      </c>
      <c r="Y372" t="s">
        <v>1363</v>
      </c>
    </row>
    <row r="373" spans="1:25">
      <c r="A373" t="s">
        <v>1364</v>
      </c>
      <c r="B373" t="s">
        <v>1365</v>
      </c>
      <c r="D373" t="s">
        <v>40</v>
      </c>
      <c r="E373" t="s">
        <v>41</v>
      </c>
      <c r="J373" t="s">
        <v>76</v>
      </c>
      <c r="K373" t="s">
        <v>77</v>
      </c>
      <c r="L373">
        <v>11</v>
      </c>
      <c r="M373" t="s">
        <v>1362</v>
      </c>
      <c r="N373" t="s">
        <v>64</v>
      </c>
      <c r="O373" t="s">
        <v>46</v>
      </c>
      <c r="P373" t="s">
        <v>46</v>
      </c>
      <c r="Y373" t="s">
        <v>1366</v>
      </c>
    </row>
    <row r="374" spans="1:25">
      <c r="A374" t="s">
        <v>1367</v>
      </c>
      <c r="B374" t="s">
        <v>1368</v>
      </c>
      <c r="D374" t="s">
        <v>40</v>
      </c>
      <c r="E374" t="s">
        <v>41</v>
      </c>
      <c r="J374" t="s">
        <v>42</v>
      </c>
      <c r="K374" t="s">
        <v>43</v>
      </c>
      <c r="L374">
        <v>11</v>
      </c>
      <c r="M374" t="s">
        <v>1362</v>
      </c>
      <c r="N374" t="s">
        <v>1369</v>
      </c>
      <c r="O374" t="s">
        <v>46</v>
      </c>
      <c r="P374" t="s">
        <v>46</v>
      </c>
      <c r="Y374" t="s">
        <v>1370</v>
      </c>
    </row>
    <row r="375" spans="1:25">
      <c r="A375" t="s">
        <v>1371</v>
      </c>
      <c r="B375" t="s">
        <v>1372</v>
      </c>
      <c r="D375" t="s">
        <v>40</v>
      </c>
      <c r="E375" t="s">
        <v>41</v>
      </c>
      <c r="J375" t="s">
        <v>68</v>
      </c>
      <c r="K375" t="s">
        <v>69</v>
      </c>
      <c r="L375">
        <v>11</v>
      </c>
      <c r="M375" t="s">
        <v>1362</v>
      </c>
      <c r="N375" t="s">
        <v>64</v>
      </c>
      <c r="O375" t="s">
        <v>46</v>
      </c>
      <c r="P375" t="s">
        <v>46</v>
      </c>
      <c r="Y375" t="s">
        <v>1373</v>
      </c>
    </row>
    <row r="376" spans="1:25">
      <c r="A376" t="s">
        <v>1374</v>
      </c>
      <c r="B376" t="s">
        <v>1375</v>
      </c>
      <c r="D376" t="s">
        <v>40</v>
      </c>
      <c r="E376" t="s">
        <v>41</v>
      </c>
      <c r="J376" t="s">
        <v>62</v>
      </c>
      <c r="K376" t="s">
        <v>63</v>
      </c>
      <c r="L376">
        <v>11</v>
      </c>
      <c r="M376" t="s">
        <v>1362</v>
      </c>
      <c r="N376" t="s">
        <v>64</v>
      </c>
      <c r="O376" t="s">
        <v>46</v>
      </c>
      <c r="P376" t="s">
        <v>46</v>
      </c>
      <c r="Y376" t="s">
        <v>1376</v>
      </c>
    </row>
    <row r="377" spans="1:25">
      <c r="A377" t="s">
        <v>1377</v>
      </c>
      <c r="B377" t="s">
        <v>1378</v>
      </c>
      <c r="D377" t="s">
        <v>40</v>
      </c>
      <c r="E377" t="s">
        <v>41</v>
      </c>
      <c r="J377" t="s">
        <v>42</v>
      </c>
      <c r="K377" t="s">
        <v>43</v>
      </c>
      <c r="L377">
        <v>10</v>
      </c>
      <c r="M377" t="s">
        <v>1379</v>
      </c>
      <c r="N377" t="s">
        <v>1380</v>
      </c>
      <c r="O377" t="s">
        <v>46</v>
      </c>
      <c r="P377" t="s">
        <v>46</v>
      </c>
      <c r="Y377" t="s">
        <v>1381</v>
      </c>
    </row>
    <row r="378" spans="1:25">
      <c r="A378" t="s">
        <v>1382</v>
      </c>
      <c r="B378" t="s">
        <v>1383</v>
      </c>
      <c r="D378" t="s">
        <v>40</v>
      </c>
      <c r="E378" t="s">
        <v>41</v>
      </c>
      <c r="J378" t="s">
        <v>62</v>
      </c>
      <c r="K378" t="s">
        <v>63</v>
      </c>
      <c r="L378">
        <v>10</v>
      </c>
      <c r="M378" t="s">
        <v>1379</v>
      </c>
      <c r="N378" t="s">
        <v>64</v>
      </c>
      <c r="O378" t="s">
        <v>46</v>
      </c>
      <c r="P378" t="s">
        <v>46</v>
      </c>
      <c r="Y378" t="s">
        <v>1384</v>
      </c>
    </row>
    <row r="379" spans="1:25">
      <c r="A379" t="s">
        <v>1385</v>
      </c>
      <c r="B379" t="s">
        <v>1386</v>
      </c>
      <c r="D379" t="s">
        <v>40</v>
      </c>
      <c r="E379" t="s">
        <v>41</v>
      </c>
      <c r="J379" t="s">
        <v>139</v>
      </c>
      <c r="K379" t="s">
        <v>140</v>
      </c>
      <c r="L379">
        <v>13</v>
      </c>
      <c r="M379" t="s">
        <v>1387</v>
      </c>
      <c r="N379" t="s">
        <v>1024</v>
      </c>
      <c r="O379" t="s">
        <v>46</v>
      </c>
      <c r="P379" t="s">
        <v>46</v>
      </c>
      <c r="Y379" t="s">
        <v>1388</v>
      </c>
    </row>
    <row r="380" spans="1:25">
      <c r="A380" t="s">
        <v>1389</v>
      </c>
      <c r="B380" t="s">
        <v>1390</v>
      </c>
      <c r="D380" t="s">
        <v>40</v>
      </c>
      <c r="E380" t="s">
        <v>41</v>
      </c>
      <c r="J380" t="s">
        <v>1214</v>
      </c>
      <c r="K380" t="s">
        <v>1215</v>
      </c>
      <c r="L380">
        <v>10</v>
      </c>
      <c r="M380" t="s">
        <v>1391</v>
      </c>
      <c r="N380" t="s">
        <v>1392</v>
      </c>
      <c r="O380" t="s">
        <v>46</v>
      </c>
      <c r="P380" t="s">
        <v>46</v>
      </c>
      <c r="Y380" t="s">
        <v>1393</v>
      </c>
    </row>
    <row r="381" spans="1:25">
      <c r="A381" t="s">
        <v>1394</v>
      </c>
      <c r="B381" t="s">
        <v>1395</v>
      </c>
      <c r="D381" t="s">
        <v>40</v>
      </c>
      <c r="E381" t="s">
        <v>41</v>
      </c>
      <c r="J381" t="s">
        <v>42</v>
      </c>
      <c r="K381" t="s">
        <v>43</v>
      </c>
      <c r="L381">
        <v>12</v>
      </c>
      <c r="M381" t="s">
        <v>1396</v>
      </c>
      <c r="N381" t="s">
        <v>1397</v>
      </c>
      <c r="O381" t="s">
        <v>46</v>
      </c>
      <c r="P381" t="s">
        <v>46</v>
      </c>
      <c r="Y381" t="s">
        <v>1398</v>
      </c>
    </row>
    <row r="382" spans="1:25">
      <c r="A382" t="s">
        <v>1399</v>
      </c>
      <c r="B382" t="s">
        <v>1400</v>
      </c>
      <c r="D382" t="s">
        <v>40</v>
      </c>
      <c r="E382" t="s">
        <v>41</v>
      </c>
      <c r="J382" t="s">
        <v>182</v>
      </c>
      <c r="K382" t="s">
        <v>183</v>
      </c>
      <c r="L382">
        <v>9</v>
      </c>
      <c r="M382" t="s">
        <v>1401</v>
      </c>
      <c r="N382" t="s">
        <v>64</v>
      </c>
      <c r="O382" t="s">
        <v>46</v>
      </c>
      <c r="P382" t="s">
        <v>46</v>
      </c>
      <c r="Y382" t="s">
        <v>1402</v>
      </c>
    </row>
    <row r="383" spans="1:25">
      <c r="A383" t="s">
        <v>1403</v>
      </c>
      <c r="B383" t="s">
        <v>1404</v>
      </c>
      <c r="D383" t="s">
        <v>40</v>
      </c>
      <c r="E383" t="s">
        <v>41</v>
      </c>
      <c r="J383" t="s">
        <v>42</v>
      </c>
      <c r="K383" t="s">
        <v>43</v>
      </c>
      <c r="L383">
        <v>12</v>
      </c>
      <c r="M383" t="s">
        <v>1405</v>
      </c>
      <c r="N383" t="s">
        <v>257</v>
      </c>
      <c r="O383" t="s">
        <v>46</v>
      </c>
      <c r="P383" t="s">
        <v>46</v>
      </c>
      <c r="Y383" t="s">
        <v>1406</v>
      </c>
    </row>
    <row r="384" spans="1:25">
      <c r="A384" t="s">
        <v>1407</v>
      </c>
      <c r="B384" t="s">
        <v>1408</v>
      </c>
      <c r="D384" t="s">
        <v>40</v>
      </c>
      <c r="E384" t="s">
        <v>41</v>
      </c>
      <c r="J384" t="s">
        <v>182</v>
      </c>
      <c r="K384" t="s">
        <v>183</v>
      </c>
      <c r="L384">
        <v>10</v>
      </c>
      <c r="M384" t="s">
        <v>1409</v>
      </c>
      <c r="N384" t="s">
        <v>64</v>
      </c>
      <c r="O384" t="s">
        <v>46</v>
      </c>
      <c r="P384" t="s">
        <v>46</v>
      </c>
      <c r="Y384" t="s">
        <v>1410</v>
      </c>
    </row>
    <row r="385" spans="1:25">
      <c r="A385" t="s">
        <v>1411</v>
      </c>
      <c r="B385" t="s">
        <v>1412</v>
      </c>
      <c r="D385" t="s">
        <v>40</v>
      </c>
      <c r="E385" t="s">
        <v>41</v>
      </c>
      <c r="J385" t="s">
        <v>62</v>
      </c>
      <c r="K385" t="s">
        <v>63</v>
      </c>
      <c r="L385">
        <v>10</v>
      </c>
      <c r="M385" t="s">
        <v>1409</v>
      </c>
      <c r="N385" t="s">
        <v>64</v>
      </c>
      <c r="O385" t="s">
        <v>46</v>
      </c>
      <c r="P385" t="s">
        <v>46</v>
      </c>
      <c r="Y385" t="s">
        <v>1413</v>
      </c>
    </row>
    <row r="386" spans="1:25">
      <c r="A386" t="s">
        <v>1414</v>
      </c>
      <c r="B386" t="s">
        <v>1415</v>
      </c>
      <c r="D386" t="s">
        <v>40</v>
      </c>
      <c r="E386" t="s">
        <v>41</v>
      </c>
      <c r="J386" t="s">
        <v>599</v>
      </c>
      <c r="K386" t="s">
        <v>600</v>
      </c>
      <c r="L386">
        <v>11</v>
      </c>
      <c r="M386" t="s">
        <v>1409</v>
      </c>
      <c r="N386" t="s">
        <v>752</v>
      </c>
      <c r="O386" t="s">
        <v>46</v>
      </c>
      <c r="P386" t="s">
        <v>46</v>
      </c>
      <c r="Y386" t="s">
        <v>1416</v>
      </c>
    </row>
    <row r="387" spans="1:25">
      <c r="A387" t="s">
        <v>1417</v>
      </c>
      <c r="B387" t="s">
        <v>1418</v>
      </c>
      <c r="D387" t="s">
        <v>40</v>
      </c>
      <c r="E387" t="s">
        <v>41</v>
      </c>
      <c r="J387" t="s">
        <v>68</v>
      </c>
      <c r="K387" t="s">
        <v>69</v>
      </c>
      <c r="L387">
        <v>10</v>
      </c>
      <c r="M387" t="s">
        <v>1419</v>
      </c>
      <c r="N387" t="s">
        <v>64</v>
      </c>
      <c r="O387" t="s">
        <v>46</v>
      </c>
      <c r="P387" t="s">
        <v>46</v>
      </c>
      <c r="Y387" t="s">
        <v>1420</v>
      </c>
    </row>
    <row r="388" spans="1:25">
      <c r="A388" t="s">
        <v>1421</v>
      </c>
      <c r="B388" t="s">
        <v>1422</v>
      </c>
      <c r="D388" t="s">
        <v>40</v>
      </c>
      <c r="E388" t="s">
        <v>41</v>
      </c>
      <c r="J388" t="s">
        <v>182</v>
      </c>
      <c r="K388" t="s">
        <v>183</v>
      </c>
      <c r="L388">
        <v>9</v>
      </c>
      <c r="M388" t="s">
        <v>1419</v>
      </c>
      <c r="N388" t="s">
        <v>64</v>
      </c>
      <c r="O388" t="s">
        <v>46</v>
      </c>
      <c r="P388" t="s">
        <v>46</v>
      </c>
      <c r="Y388" t="s">
        <v>1423</v>
      </c>
    </row>
    <row r="389" spans="1:25">
      <c r="A389" t="s">
        <v>1424</v>
      </c>
      <c r="B389" t="s">
        <v>1425</v>
      </c>
      <c r="D389" t="s">
        <v>40</v>
      </c>
      <c r="E389" t="s">
        <v>41</v>
      </c>
      <c r="J389" t="s">
        <v>68</v>
      </c>
      <c r="K389" t="s">
        <v>69</v>
      </c>
      <c r="L389">
        <v>10</v>
      </c>
      <c r="M389" t="s">
        <v>1419</v>
      </c>
      <c r="N389" t="s">
        <v>64</v>
      </c>
      <c r="O389" t="s">
        <v>46</v>
      </c>
      <c r="P389" t="s">
        <v>46</v>
      </c>
      <c r="Y389" t="s">
        <v>1426</v>
      </c>
    </row>
    <row r="390" spans="1:25">
      <c r="A390" t="s">
        <v>1427</v>
      </c>
      <c r="B390" t="s">
        <v>1428</v>
      </c>
      <c r="D390" t="s">
        <v>40</v>
      </c>
      <c r="E390" t="s">
        <v>41</v>
      </c>
      <c r="J390" t="s">
        <v>76</v>
      </c>
      <c r="K390" t="s">
        <v>77</v>
      </c>
      <c r="L390">
        <v>9</v>
      </c>
      <c r="M390" t="s">
        <v>1429</v>
      </c>
      <c r="N390" t="s">
        <v>64</v>
      </c>
      <c r="O390" t="s">
        <v>46</v>
      </c>
      <c r="P390" t="s">
        <v>46</v>
      </c>
      <c r="Y390" t="s">
        <v>1430</v>
      </c>
    </row>
    <row r="391" spans="1:25">
      <c r="A391" t="s">
        <v>1431</v>
      </c>
      <c r="B391" t="s">
        <v>1432</v>
      </c>
      <c r="D391" t="s">
        <v>40</v>
      </c>
      <c r="E391" t="s">
        <v>41</v>
      </c>
      <c r="J391" t="s">
        <v>139</v>
      </c>
      <c r="K391" t="s">
        <v>140</v>
      </c>
      <c r="L391">
        <v>4</v>
      </c>
      <c r="M391" t="s">
        <v>1433</v>
      </c>
      <c r="N391" t="s">
        <v>296</v>
      </c>
      <c r="O391" t="s">
        <v>46</v>
      </c>
      <c r="P391" t="s">
        <v>46</v>
      </c>
      <c r="Y391" t="s">
        <v>1434</v>
      </c>
    </row>
    <row r="392" spans="1:25">
      <c r="A392" t="s">
        <v>1435</v>
      </c>
      <c r="B392" t="s">
        <v>1436</v>
      </c>
      <c r="D392" t="s">
        <v>40</v>
      </c>
      <c r="E392" t="s">
        <v>41</v>
      </c>
      <c r="J392" t="s">
        <v>1214</v>
      </c>
      <c r="K392" t="s">
        <v>1215</v>
      </c>
      <c r="L392">
        <v>12</v>
      </c>
      <c r="M392" t="s">
        <v>1437</v>
      </c>
      <c r="N392" t="s">
        <v>1258</v>
      </c>
      <c r="O392" t="s">
        <v>46</v>
      </c>
      <c r="P392" t="s">
        <v>46</v>
      </c>
      <c r="Y392" t="s">
        <v>1438</v>
      </c>
    </row>
    <row r="393" spans="1:25">
      <c r="A393" t="s">
        <v>1439</v>
      </c>
      <c r="B393" t="s">
        <v>1440</v>
      </c>
      <c r="D393" t="s">
        <v>40</v>
      </c>
      <c r="E393" t="s">
        <v>41</v>
      </c>
      <c r="J393" t="s">
        <v>264</v>
      </c>
      <c r="K393" t="s">
        <v>265</v>
      </c>
      <c r="L393">
        <v>11</v>
      </c>
      <c r="M393" t="s">
        <v>1441</v>
      </c>
      <c r="N393" t="s">
        <v>1024</v>
      </c>
      <c r="O393" t="s">
        <v>46</v>
      </c>
      <c r="P393" t="s">
        <v>46</v>
      </c>
      <c r="Y393" t="s">
        <v>1442</v>
      </c>
    </row>
    <row r="394" spans="1:25">
      <c r="A394" t="s">
        <v>1443</v>
      </c>
      <c r="B394" t="s">
        <v>1444</v>
      </c>
      <c r="D394" t="s">
        <v>40</v>
      </c>
      <c r="E394" t="s">
        <v>41</v>
      </c>
      <c r="J394" t="s">
        <v>264</v>
      </c>
      <c r="K394" t="s">
        <v>265</v>
      </c>
      <c r="L394">
        <v>11</v>
      </c>
      <c r="M394" t="s">
        <v>1445</v>
      </c>
      <c r="N394" t="s">
        <v>1446</v>
      </c>
      <c r="O394" t="s">
        <v>46</v>
      </c>
      <c r="P394" t="s">
        <v>46</v>
      </c>
      <c r="Y394" t="s">
        <v>1447</v>
      </c>
    </row>
    <row r="395" spans="1:25">
      <c r="A395" t="s">
        <v>1448</v>
      </c>
      <c r="B395" t="s">
        <v>1449</v>
      </c>
      <c r="D395" t="s">
        <v>40</v>
      </c>
      <c r="E395" t="s">
        <v>41</v>
      </c>
      <c r="J395" t="s">
        <v>42</v>
      </c>
      <c r="K395" t="s">
        <v>43</v>
      </c>
      <c r="L395">
        <v>9</v>
      </c>
      <c r="M395" t="s">
        <v>1450</v>
      </c>
      <c r="N395" t="s">
        <v>45</v>
      </c>
      <c r="O395" t="s">
        <v>46</v>
      </c>
      <c r="P395" t="s">
        <v>46</v>
      </c>
      <c r="Y395" t="s">
        <v>1451</v>
      </c>
    </row>
    <row r="396" spans="1:25">
      <c r="A396" t="s">
        <v>1452</v>
      </c>
      <c r="B396" t="s">
        <v>1453</v>
      </c>
      <c r="D396" t="s">
        <v>40</v>
      </c>
      <c r="E396" t="s">
        <v>41</v>
      </c>
      <c r="J396" t="s">
        <v>76</v>
      </c>
      <c r="K396" t="s">
        <v>77</v>
      </c>
      <c r="L396">
        <v>10</v>
      </c>
      <c r="M396" t="s">
        <v>1454</v>
      </c>
      <c r="N396" t="s">
        <v>64</v>
      </c>
      <c r="O396" t="s">
        <v>46</v>
      </c>
      <c r="P396" t="s">
        <v>46</v>
      </c>
      <c r="Y396" t="s">
        <v>1455</v>
      </c>
    </row>
    <row r="397" spans="1:25">
      <c r="A397" t="s">
        <v>1456</v>
      </c>
      <c r="B397" t="s">
        <v>1457</v>
      </c>
      <c r="D397" t="s">
        <v>40</v>
      </c>
      <c r="E397" t="s">
        <v>41</v>
      </c>
      <c r="J397" t="s">
        <v>42</v>
      </c>
      <c r="K397" t="s">
        <v>43</v>
      </c>
      <c r="L397">
        <v>7</v>
      </c>
      <c r="M397" t="s">
        <v>1454</v>
      </c>
      <c r="N397" t="s">
        <v>741</v>
      </c>
      <c r="O397" t="s">
        <v>46</v>
      </c>
      <c r="P397" t="s">
        <v>46</v>
      </c>
      <c r="Y397" t="s">
        <v>1458</v>
      </c>
    </row>
    <row r="398" spans="1:25">
      <c r="A398" t="s">
        <v>1459</v>
      </c>
      <c r="B398" t="s">
        <v>1460</v>
      </c>
      <c r="D398" t="s">
        <v>40</v>
      </c>
      <c r="E398" t="s">
        <v>41</v>
      </c>
      <c r="J398" t="s">
        <v>139</v>
      </c>
      <c r="K398" t="s">
        <v>140</v>
      </c>
      <c r="L398">
        <v>13</v>
      </c>
      <c r="M398" t="s">
        <v>1461</v>
      </c>
      <c r="N398" t="s">
        <v>350</v>
      </c>
      <c r="O398" t="s">
        <v>46</v>
      </c>
      <c r="P398" t="s">
        <v>46</v>
      </c>
      <c r="Y398" t="s">
        <v>1462</v>
      </c>
    </row>
    <row r="399" spans="1:25">
      <c r="A399" t="s">
        <v>1463</v>
      </c>
      <c r="B399" t="s">
        <v>1464</v>
      </c>
      <c r="D399" t="s">
        <v>40</v>
      </c>
      <c r="E399" t="s">
        <v>41</v>
      </c>
      <c r="J399" t="s">
        <v>139</v>
      </c>
      <c r="K399" t="s">
        <v>140</v>
      </c>
      <c r="L399">
        <v>13</v>
      </c>
      <c r="M399" t="s">
        <v>1465</v>
      </c>
      <c r="N399" t="s">
        <v>373</v>
      </c>
      <c r="O399" t="s">
        <v>46</v>
      </c>
      <c r="P399" t="s">
        <v>46</v>
      </c>
      <c r="Y399" t="s">
        <v>1466</v>
      </c>
    </row>
    <row r="400" spans="1:25">
      <c r="A400" t="s">
        <v>1467</v>
      </c>
      <c r="B400" t="s">
        <v>1468</v>
      </c>
      <c r="D400" t="s">
        <v>40</v>
      </c>
      <c r="E400" t="s">
        <v>41</v>
      </c>
      <c r="J400" t="s">
        <v>139</v>
      </c>
      <c r="K400" t="s">
        <v>140</v>
      </c>
      <c r="L400">
        <v>10</v>
      </c>
      <c r="M400" t="s">
        <v>1469</v>
      </c>
      <c r="N400" t="s">
        <v>291</v>
      </c>
      <c r="O400" t="s">
        <v>46</v>
      </c>
      <c r="P400" t="s">
        <v>46</v>
      </c>
      <c r="Y400" t="s">
        <v>1470</v>
      </c>
    </row>
    <row r="401" spans="1:25">
      <c r="A401" t="s">
        <v>1471</v>
      </c>
      <c r="B401" t="s">
        <v>1472</v>
      </c>
      <c r="D401" t="s">
        <v>40</v>
      </c>
      <c r="E401" t="s">
        <v>41</v>
      </c>
      <c r="J401" t="s">
        <v>50</v>
      </c>
      <c r="K401" t="s">
        <v>51</v>
      </c>
      <c r="L401">
        <v>11</v>
      </c>
      <c r="M401" t="s">
        <v>1473</v>
      </c>
      <c r="N401" t="s">
        <v>350</v>
      </c>
      <c r="O401" t="s">
        <v>46</v>
      </c>
      <c r="P401" t="s">
        <v>46</v>
      </c>
      <c r="Y401" t="s">
        <v>1474</v>
      </c>
    </row>
    <row r="402" spans="1:25">
      <c r="A402" t="s">
        <v>1475</v>
      </c>
      <c r="B402" t="s">
        <v>1476</v>
      </c>
      <c r="D402" t="s">
        <v>40</v>
      </c>
      <c r="E402" t="s">
        <v>41</v>
      </c>
      <c r="J402" t="s">
        <v>921</v>
      </c>
      <c r="K402" t="s">
        <v>922</v>
      </c>
      <c r="L402">
        <v>14</v>
      </c>
      <c r="M402" t="s">
        <v>1477</v>
      </c>
      <c r="N402" t="s">
        <v>1478</v>
      </c>
      <c r="O402" t="s">
        <v>46</v>
      </c>
      <c r="P402" t="s">
        <v>46</v>
      </c>
      <c r="Y402" t="s">
        <v>1479</v>
      </c>
    </row>
    <row r="403" spans="1:25">
      <c r="A403" t="s">
        <v>1480</v>
      </c>
      <c r="B403" t="s">
        <v>1481</v>
      </c>
      <c r="D403" t="s">
        <v>40</v>
      </c>
      <c r="E403" t="s">
        <v>41</v>
      </c>
      <c r="J403" t="s">
        <v>62</v>
      </c>
      <c r="K403" t="s">
        <v>63</v>
      </c>
      <c r="L403">
        <v>14</v>
      </c>
      <c r="M403" t="s">
        <v>1477</v>
      </c>
      <c r="N403" t="s">
        <v>64</v>
      </c>
      <c r="O403" t="s">
        <v>46</v>
      </c>
      <c r="P403" t="s">
        <v>46</v>
      </c>
      <c r="Y403" t="s">
        <v>1482</v>
      </c>
    </row>
    <row r="404" spans="1:25">
      <c r="A404" t="s">
        <v>1483</v>
      </c>
      <c r="B404" t="s">
        <v>1484</v>
      </c>
      <c r="D404" t="s">
        <v>40</v>
      </c>
      <c r="E404" t="s">
        <v>41</v>
      </c>
      <c r="J404" t="s">
        <v>1214</v>
      </c>
      <c r="K404" t="s">
        <v>1215</v>
      </c>
      <c r="L404">
        <v>7</v>
      </c>
      <c r="M404" t="s">
        <v>1485</v>
      </c>
      <c r="N404" t="s">
        <v>142</v>
      </c>
      <c r="O404" t="s">
        <v>46</v>
      </c>
      <c r="P404" t="s">
        <v>46</v>
      </c>
      <c r="Y404" t="s">
        <v>1486</v>
      </c>
    </row>
    <row r="405" spans="1:25">
      <c r="A405" t="s">
        <v>1487</v>
      </c>
      <c r="B405" t="s">
        <v>1488</v>
      </c>
      <c r="D405" t="s">
        <v>40</v>
      </c>
      <c r="E405" t="s">
        <v>41</v>
      </c>
      <c r="J405" t="s">
        <v>182</v>
      </c>
      <c r="K405" t="s">
        <v>183</v>
      </c>
      <c r="L405">
        <v>3</v>
      </c>
      <c r="M405" t="s">
        <v>1485</v>
      </c>
      <c r="N405" t="s">
        <v>64</v>
      </c>
      <c r="O405" t="s">
        <v>46</v>
      </c>
      <c r="P405" t="s">
        <v>46</v>
      </c>
      <c r="Y405" t="s">
        <v>1489</v>
      </c>
    </row>
    <row r="406" spans="1:25">
      <c r="A406" t="s">
        <v>1490</v>
      </c>
      <c r="B406" t="s">
        <v>1491</v>
      </c>
      <c r="D406" t="s">
        <v>40</v>
      </c>
      <c r="E406" t="s">
        <v>41</v>
      </c>
      <c r="J406" t="s">
        <v>139</v>
      </c>
      <c r="K406" t="s">
        <v>140</v>
      </c>
      <c r="L406">
        <v>8</v>
      </c>
      <c r="M406" t="s">
        <v>1492</v>
      </c>
      <c r="N406" t="s">
        <v>257</v>
      </c>
      <c r="O406" t="s">
        <v>46</v>
      </c>
      <c r="P406" t="s">
        <v>46</v>
      </c>
      <c r="Y406" t="s">
        <v>1493</v>
      </c>
    </row>
    <row r="407" spans="1:25">
      <c r="A407" t="s">
        <v>1494</v>
      </c>
      <c r="B407" t="s">
        <v>1495</v>
      </c>
      <c r="D407" t="s">
        <v>40</v>
      </c>
      <c r="E407" t="s">
        <v>41</v>
      </c>
      <c r="J407" t="s">
        <v>62</v>
      </c>
      <c r="K407" t="s">
        <v>63</v>
      </c>
      <c r="L407">
        <v>14</v>
      </c>
      <c r="M407" t="s">
        <v>1496</v>
      </c>
      <c r="N407" t="s">
        <v>64</v>
      </c>
      <c r="O407" t="s">
        <v>46</v>
      </c>
      <c r="P407" t="s">
        <v>46</v>
      </c>
      <c r="Y407" t="s">
        <v>1497</v>
      </c>
    </row>
    <row r="408" spans="1:25">
      <c r="A408" t="s">
        <v>1498</v>
      </c>
      <c r="B408" t="s">
        <v>1499</v>
      </c>
      <c r="D408" t="s">
        <v>40</v>
      </c>
      <c r="E408" t="s">
        <v>41</v>
      </c>
      <c r="J408" t="s">
        <v>182</v>
      </c>
      <c r="K408" t="s">
        <v>183</v>
      </c>
      <c r="L408">
        <v>12</v>
      </c>
      <c r="M408" t="s">
        <v>1500</v>
      </c>
      <c r="N408" t="s">
        <v>64</v>
      </c>
      <c r="O408" t="s">
        <v>46</v>
      </c>
      <c r="P408" t="s">
        <v>46</v>
      </c>
      <c r="Y408" t="s">
        <v>1501</v>
      </c>
    </row>
    <row r="409" spans="1:25">
      <c r="A409" t="s">
        <v>1502</v>
      </c>
      <c r="B409" t="s">
        <v>1503</v>
      </c>
      <c r="D409" t="s">
        <v>40</v>
      </c>
      <c r="E409" t="s">
        <v>41</v>
      </c>
      <c r="J409" t="s">
        <v>68</v>
      </c>
      <c r="K409" t="s">
        <v>69</v>
      </c>
      <c r="L409">
        <v>13</v>
      </c>
      <c r="M409" t="s">
        <v>1500</v>
      </c>
      <c r="N409" t="s">
        <v>64</v>
      </c>
      <c r="O409" t="s">
        <v>46</v>
      </c>
      <c r="P409" t="s">
        <v>46</v>
      </c>
      <c r="Y409" t="s">
        <v>1504</v>
      </c>
    </row>
    <row r="410" spans="1:25">
      <c r="A410" t="s">
        <v>1505</v>
      </c>
      <c r="B410" t="s">
        <v>1506</v>
      </c>
      <c r="D410" t="s">
        <v>40</v>
      </c>
      <c r="E410" t="s">
        <v>41</v>
      </c>
      <c r="J410" t="s">
        <v>76</v>
      </c>
      <c r="K410" t="s">
        <v>77</v>
      </c>
      <c r="L410">
        <v>13</v>
      </c>
      <c r="M410" t="s">
        <v>1500</v>
      </c>
      <c r="N410" t="s">
        <v>64</v>
      </c>
      <c r="O410" t="s">
        <v>46</v>
      </c>
      <c r="P410" t="s">
        <v>46</v>
      </c>
      <c r="Y410" t="s">
        <v>1507</v>
      </c>
    </row>
    <row r="411" spans="1:25">
      <c r="A411" t="s">
        <v>1508</v>
      </c>
      <c r="B411" t="s">
        <v>1509</v>
      </c>
      <c r="D411" t="s">
        <v>40</v>
      </c>
      <c r="E411" t="s">
        <v>41</v>
      </c>
      <c r="J411" t="s">
        <v>182</v>
      </c>
      <c r="K411" t="s">
        <v>183</v>
      </c>
      <c r="L411">
        <v>13</v>
      </c>
      <c r="M411" t="s">
        <v>1500</v>
      </c>
      <c r="N411" t="s">
        <v>64</v>
      </c>
      <c r="O411" t="s">
        <v>46</v>
      </c>
      <c r="P411" t="s">
        <v>46</v>
      </c>
      <c r="Y411" t="s">
        <v>1510</v>
      </c>
    </row>
    <row r="412" spans="1:25">
      <c r="A412" t="s">
        <v>1511</v>
      </c>
      <c r="B412" t="s">
        <v>1512</v>
      </c>
      <c r="D412" t="s">
        <v>40</v>
      </c>
      <c r="E412" t="s">
        <v>41</v>
      </c>
      <c r="J412" t="s">
        <v>264</v>
      </c>
      <c r="K412" t="s">
        <v>265</v>
      </c>
      <c r="L412">
        <v>13</v>
      </c>
      <c r="M412" t="s">
        <v>1500</v>
      </c>
      <c r="N412" t="s">
        <v>1276</v>
      </c>
      <c r="O412" t="s">
        <v>46</v>
      </c>
      <c r="P412" t="s">
        <v>46</v>
      </c>
      <c r="Y412" t="s">
        <v>1513</v>
      </c>
    </row>
    <row r="413" spans="1:25">
      <c r="A413" t="s">
        <v>1514</v>
      </c>
      <c r="B413" t="s">
        <v>1515</v>
      </c>
      <c r="D413" t="s">
        <v>40</v>
      </c>
      <c r="E413" t="s">
        <v>41</v>
      </c>
      <c r="J413" t="s">
        <v>68</v>
      </c>
      <c r="K413" t="s">
        <v>69</v>
      </c>
      <c r="L413">
        <v>8</v>
      </c>
      <c r="M413" t="s">
        <v>1516</v>
      </c>
      <c r="N413" t="s">
        <v>64</v>
      </c>
      <c r="O413" t="s">
        <v>46</v>
      </c>
      <c r="P413" t="s">
        <v>46</v>
      </c>
      <c r="Y413" t="s">
        <v>1517</v>
      </c>
    </row>
    <row r="414" spans="1:25">
      <c r="A414" t="s">
        <v>1518</v>
      </c>
      <c r="B414" t="s">
        <v>1519</v>
      </c>
      <c r="D414" t="s">
        <v>40</v>
      </c>
      <c r="E414" t="s">
        <v>41</v>
      </c>
      <c r="J414" t="s">
        <v>50</v>
      </c>
      <c r="K414" t="s">
        <v>51</v>
      </c>
      <c r="L414">
        <v>10</v>
      </c>
      <c r="M414" t="s">
        <v>1520</v>
      </c>
      <c r="N414" t="s">
        <v>210</v>
      </c>
      <c r="O414" t="s">
        <v>46</v>
      </c>
      <c r="P414" t="s">
        <v>46</v>
      </c>
      <c r="Y414" t="s">
        <v>1521</v>
      </c>
    </row>
    <row r="415" spans="1:25">
      <c r="A415" t="s">
        <v>1522</v>
      </c>
      <c r="B415" t="s">
        <v>1523</v>
      </c>
      <c r="D415" t="s">
        <v>40</v>
      </c>
      <c r="E415" t="s">
        <v>41</v>
      </c>
      <c r="J415" t="s">
        <v>182</v>
      </c>
      <c r="K415" t="s">
        <v>183</v>
      </c>
      <c r="L415">
        <v>13</v>
      </c>
      <c r="M415" t="s">
        <v>1524</v>
      </c>
      <c r="N415" t="s">
        <v>64</v>
      </c>
      <c r="O415" t="s">
        <v>46</v>
      </c>
      <c r="P415" t="s">
        <v>46</v>
      </c>
      <c r="Y415" t="s">
        <v>1525</v>
      </c>
    </row>
    <row r="416" spans="1:25">
      <c r="A416" t="s">
        <v>1526</v>
      </c>
      <c r="B416" t="s">
        <v>1527</v>
      </c>
      <c r="D416" t="s">
        <v>40</v>
      </c>
      <c r="E416" t="s">
        <v>41</v>
      </c>
      <c r="J416" t="s">
        <v>248</v>
      </c>
      <c r="K416" t="s">
        <v>249</v>
      </c>
      <c r="L416">
        <v>12</v>
      </c>
      <c r="M416" t="s">
        <v>1528</v>
      </c>
      <c r="N416" t="s">
        <v>1138</v>
      </c>
      <c r="O416" t="s">
        <v>46</v>
      </c>
      <c r="P416" t="s">
        <v>46</v>
      </c>
      <c r="Y416" t="s">
        <v>1529</v>
      </c>
    </row>
    <row r="417" spans="1:25">
      <c r="A417" t="s">
        <v>1530</v>
      </c>
      <c r="B417" t="s">
        <v>1531</v>
      </c>
      <c r="D417" t="s">
        <v>40</v>
      </c>
      <c r="E417" t="s">
        <v>41</v>
      </c>
      <c r="J417" t="s">
        <v>62</v>
      </c>
      <c r="K417" t="s">
        <v>63</v>
      </c>
      <c r="L417">
        <v>13</v>
      </c>
      <c r="M417" t="s">
        <v>1532</v>
      </c>
      <c r="N417" t="s">
        <v>64</v>
      </c>
      <c r="O417" t="s">
        <v>46</v>
      </c>
      <c r="P417" t="s">
        <v>46</v>
      </c>
      <c r="Y417" t="s">
        <v>1533</v>
      </c>
    </row>
    <row r="418" spans="1:25">
      <c r="A418" t="s">
        <v>1534</v>
      </c>
      <c r="B418" t="s">
        <v>1535</v>
      </c>
      <c r="D418" t="s">
        <v>40</v>
      </c>
      <c r="E418" t="s">
        <v>41</v>
      </c>
      <c r="J418" t="s">
        <v>68</v>
      </c>
      <c r="K418" t="s">
        <v>69</v>
      </c>
      <c r="L418">
        <v>13</v>
      </c>
      <c r="M418" t="s">
        <v>1532</v>
      </c>
      <c r="N418" t="s">
        <v>64</v>
      </c>
      <c r="O418" t="s">
        <v>46</v>
      </c>
      <c r="P418" t="s">
        <v>46</v>
      </c>
      <c r="Y418" t="s">
        <v>1536</v>
      </c>
    </row>
    <row r="419" spans="1:25">
      <c r="A419" t="s">
        <v>1537</v>
      </c>
      <c r="B419" t="s">
        <v>1538</v>
      </c>
      <c r="D419" t="s">
        <v>40</v>
      </c>
      <c r="E419" t="s">
        <v>41</v>
      </c>
      <c r="J419" t="s">
        <v>62</v>
      </c>
      <c r="K419" t="s">
        <v>63</v>
      </c>
      <c r="L419">
        <v>12</v>
      </c>
      <c r="M419" t="s">
        <v>1539</v>
      </c>
      <c r="N419" t="s">
        <v>64</v>
      </c>
      <c r="O419" t="s">
        <v>46</v>
      </c>
      <c r="P419" t="s">
        <v>46</v>
      </c>
      <c r="Y419" t="s">
        <v>1540</v>
      </c>
    </row>
    <row r="420" spans="1:25">
      <c r="A420" t="s">
        <v>1541</v>
      </c>
      <c r="B420" t="s">
        <v>1542</v>
      </c>
      <c r="D420" t="s">
        <v>40</v>
      </c>
      <c r="E420" t="s">
        <v>41</v>
      </c>
      <c r="J420" t="s">
        <v>76</v>
      </c>
      <c r="K420" t="s">
        <v>77</v>
      </c>
      <c r="L420">
        <v>12</v>
      </c>
      <c r="M420" t="s">
        <v>1539</v>
      </c>
      <c r="N420" t="s">
        <v>64</v>
      </c>
      <c r="O420" t="s">
        <v>46</v>
      </c>
      <c r="P420" t="s">
        <v>46</v>
      </c>
      <c r="Y420" t="s">
        <v>1543</v>
      </c>
    </row>
    <row r="421" spans="1:25">
      <c r="A421" t="s">
        <v>1544</v>
      </c>
      <c r="B421" t="s">
        <v>1545</v>
      </c>
      <c r="D421" t="s">
        <v>40</v>
      </c>
      <c r="E421" t="s">
        <v>41</v>
      </c>
      <c r="J421" t="s">
        <v>68</v>
      </c>
      <c r="K421" t="s">
        <v>69</v>
      </c>
      <c r="L421">
        <v>12</v>
      </c>
      <c r="M421" t="s">
        <v>1539</v>
      </c>
      <c r="N421" t="s">
        <v>64</v>
      </c>
      <c r="O421" t="s">
        <v>46</v>
      </c>
      <c r="P421" t="s">
        <v>46</v>
      </c>
      <c r="Y421" t="s">
        <v>1546</v>
      </c>
    </row>
    <row r="422" spans="1:25">
      <c r="A422" t="s">
        <v>1547</v>
      </c>
      <c r="B422" t="s">
        <v>1548</v>
      </c>
      <c r="D422" t="s">
        <v>40</v>
      </c>
      <c r="E422" t="s">
        <v>41</v>
      </c>
      <c r="J422" t="s">
        <v>42</v>
      </c>
      <c r="K422" t="s">
        <v>43</v>
      </c>
      <c r="L422">
        <v>12</v>
      </c>
      <c r="M422" t="s">
        <v>1549</v>
      </c>
      <c r="N422" t="s">
        <v>1550</v>
      </c>
      <c r="O422" t="s">
        <v>46</v>
      </c>
      <c r="P422" t="s">
        <v>46</v>
      </c>
      <c r="Y422" t="s">
        <v>1551</v>
      </c>
    </row>
    <row r="423" spans="1:25">
      <c r="A423" t="s">
        <v>1552</v>
      </c>
      <c r="B423" t="s">
        <v>1553</v>
      </c>
      <c r="D423" t="s">
        <v>40</v>
      </c>
      <c r="E423" t="s">
        <v>41</v>
      </c>
      <c r="J423" t="s">
        <v>1554</v>
      </c>
      <c r="K423" t="s">
        <v>1555</v>
      </c>
      <c r="L423">
        <v>10</v>
      </c>
      <c r="M423" t="s">
        <v>1549</v>
      </c>
      <c r="N423" t="s">
        <v>1344</v>
      </c>
      <c r="O423" t="s">
        <v>46</v>
      </c>
      <c r="P423" t="s">
        <v>46</v>
      </c>
      <c r="Y423" t="s">
        <v>1556</v>
      </c>
    </row>
    <row r="424" spans="1:25">
      <c r="A424" t="s">
        <v>1557</v>
      </c>
      <c r="B424" t="s">
        <v>1558</v>
      </c>
      <c r="D424" t="s">
        <v>40</v>
      </c>
      <c r="E424" t="s">
        <v>41</v>
      </c>
      <c r="J424" t="s">
        <v>42</v>
      </c>
      <c r="K424" t="s">
        <v>43</v>
      </c>
      <c r="L424">
        <v>9</v>
      </c>
      <c r="M424" t="s">
        <v>1549</v>
      </c>
      <c r="N424" t="s">
        <v>617</v>
      </c>
      <c r="O424" t="s">
        <v>46</v>
      </c>
      <c r="P424" t="s">
        <v>46</v>
      </c>
      <c r="Y424" t="s">
        <v>1559</v>
      </c>
    </row>
    <row r="425" spans="1:25">
      <c r="A425" t="s">
        <v>1560</v>
      </c>
      <c r="B425" t="s">
        <v>1561</v>
      </c>
      <c r="D425" t="s">
        <v>40</v>
      </c>
      <c r="E425" t="s">
        <v>41</v>
      </c>
      <c r="J425" t="s">
        <v>68</v>
      </c>
      <c r="K425" t="s">
        <v>69</v>
      </c>
      <c r="L425">
        <v>12</v>
      </c>
      <c r="M425" t="s">
        <v>1549</v>
      </c>
      <c r="N425" t="s">
        <v>64</v>
      </c>
      <c r="O425" t="s">
        <v>46</v>
      </c>
      <c r="P425" t="s">
        <v>46</v>
      </c>
      <c r="Y425" t="s">
        <v>1562</v>
      </c>
    </row>
    <row r="426" spans="1:25">
      <c r="A426" t="s">
        <v>1563</v>
      </c>
      <c r="B426" t="s">
        <v>1564</v>
      </c>
      <c r="D426" t="s">
        <v>40</v>
      </c>
      <c r="E426" t="s">
        <v>41</v>
      </c>
      <c r="J426" t="s">
        <v>248</v>
      </c>
      <c r="K426" t="s">
        <v>249</v>
      </c>
      <c r="L426">
        <v>9</v>
      </c>
      <c r="M426" t="s">
        <v>1565</v>
      </c>
      <c r="N426" t="s">
        <v>440</v>
      </c>
      <c r="O426" t="s">
        <v>46</v>
      </c>
      <c r="P426" t="s">
        <v>46</v>
      </c>
      <c r="Y426" t="s">
        <v>1566</v>
      </c>
    </row>
    <row r="427" spans="1:25">
      <c r="A427" t="s">
        <v>1567</v>
      </c>
      <c r="B427" t="s">
        <v>1568</v>
      </c>
      <c r="D427" t="s">
        <v>40</v>
      </c>
      <c r="E427" t="s">
        <v>41</v>
      </c>
      <c r="J427" t="s">
        <v>42</v>
      </c>
      <c r="K427" t="s">
        <v>43</v>
      </c>
      <c r="L427">
        <v>6</v>
      </c>
      <c r="M427" t="s">
        <v>1565</v>
      </c>
      <c r="N427" t="s">
        <v>1380</v>
      </c>
      <c r="O427" t="s">
        <v>46</v>
      </c>
      <c r="P427" t="s">
        <v>46</v>
      </c>
      <c r="Y427" t="s">
        <v>1569</v>
      </c>
    </row>
    <row r="428" spans="1:25">
      <c r="A428" t="s">
        <v>1570</v>
      </c>
      <c r="B428" t="s">
        <v>1571</v>
      </c>
      <c r="D428" t="s">
        <v>40</v>
      </c>
      <c r="E428" t="s">
        <v>41</v>
      </c>
      <c r="J428" t="s">
        <v>1572</v>
      </c>
      <c r="K428" t="s">
        <v>1573</v>
      </c>
      <c r="L428">
        <v>12</v>
      </c>
      <c r="M428" t="s">
        <v>1574</v>
      </c>
      <c r="N428" t="s">
        <v>64</v>
      </c>
      <c r="O428" t="s">
        <v>46</v>
      </c>
      <c r="P428" t="s">
        <v>46</v>
      </c>
      <c r="Y428" t="s">
        <v>1575</v>
      </c>
    </row>
    <row r="429" spans="1:25">
      <c r="A429" t="s">
        <v>1576</v>
      </c>
      <c r="B429" t="s">
        <v>1577</v>
      </c>
      <c r="D429" t="s">
        <v>40</v>
      </c>
      <c r="E429" t="s">
        <v>41</v>
      </c>
      <c r="J429" t="s">
        <v>62</v>
      </c>
      <c r="K429" t="s">
        <v>63</v>
      </c>
      <c r="L429">
        <v>12</v>
      </c>
      <c r="M429" t="s">
        <v>1574</v>
      </c>
      <c r="N429" t="s">
        <v>64</v>
      </c>
      <c r="O429" t="s">
        <v>46</v>
      </c>
      <c r="P429" t="s">
        <v>46</v>
      </c>
      <c r="Y429" t="s">
        <v>1578</v>
      </c>
    </row>
    <row r="430" spans="1:25">
      <c r="A430" t="s">
        <v>1579</v>
      </c>
      <c r="B430" t="s">
        <v>1580</v>
      </c>
      <c r="D430" t="s">
        <v>40</v>
      </c>
      <c r="E430" t="s">
        <v>41</v>
      </c>
      <c r="J430" t="s">
        <v>182</v>
      </c>
      <c r="K430" t="s">
        <v>183</v>
      </c>
      <c r="L430">
        <v>11</v>
      </c>
      <c r="M430" t="s">
        <v>1574</v>
      </c>
      <c r="N430" t="s">
        <v>64</v>
      </c>
      <c r="O430" t="s">
        <v>46</v>
      </c>
      <c r="P430" t="s">
        <v>46</v>
      </c>
      <c r="Y430" t="s">
        <v>1581</v>
      </c>
    </row>
    <row r="431" spans="1:25">
      <c r="A431" t="s">
        <v>1582</v>
      </c>
      <c r="B431" t="s">
        <v>1583</v>
      </c>
      <c r="D431" t="s">
        <v>40</v>
      </c>
      <c r="E431" t="s">
        <v>41</v>
      </c>
      <c r="J431" t="s">
        <v>42</v>
      </c>
      <c r="K431" t="s">
        <v>43</v>
      </c>
      <c r="L431">
        <v>12</v>
      </c>
      <c r="M431" t="s">
        <v>1574</v>
      </c>
      <c r="N431" t="s">
        <v>950</v>
      </c>
      <c r="O431" t="s">
        <v>46</v>
      </c>
      <c r="P431" t="s">
        <v>46</v>
      </c>
      <c r="Y431" t="s">
        <v>1584</v>
      </c>
    </row>
    <row r="432" spans="1:25">
      <c r="A432" t="s">
        <v>1585</v>
      </c>
      <c r="B432" t="s">
        <v>1586</v>
      </c>
      <c r="D432" t="s">
        <v>40</v>
      </c>
      <c r="E432" t="s">
        <v>41</v>
      </c>
      <c r="J432" t="s">
        <v>50</v>
      </c>
      <c r="K432" t="s">
        <v>51</v>
      </c>
      <c r="L432">
        <v>11</v>
      </c>
      <c r="M432" t="s">
        <v>1587</v>
      </c>
      <c r="N432" t="s">
        <v>1229</v>
      </c>
      <c r="O432" t="s">
        <v>46</v>
      </c>
      <c r="P432" t="s">
        <v>46</v>
      </c>
      <c r="Y432" t="s">
        <v>1588</v>
      </c>
    </row>
    <row r="433" spans="1:25">
      <c r="A433" t="s">
        <v>1589</v>
      </c>
      <c r="B433" t="s">
        <v>1590</v>
      </c>
      <c r="D433" t="s">
        <v>40</v>
      </c>
      <c r="E433" t="s">
        <v>41</v>
      </c>
      <c r="J433" t="s">
        <v>42</v>
      </c>
      <c r="K433" t="s">
        <v>43</v>
      </c>
      <c r="L433">
        <v>11</v>
      </c>
      <c r="M433" t="s">
        <v>1591</v>
      </c>
      <c r="N433" t="s">
        <v>440</v>
      </c>
      <c r="O433" t="s">
        <v>46</v>
      </c>
      <c r="P433" t="s">
        <v>46</v>
      </c>
      <c r="Y433" t="s">
        <v>1592</v>
      </c>
    </row>
    <row r="434" spans="1:25">
      <c r="A434" t="s">
        <v>1593</v>
      </c>
      <c r="B434" t="s">
        <v>1594</v>
      </c>
      <c r="D434" t="s">
        <v>40</v>
      </c>
      <c r="E434" t="s">
        <v>41</v>
      </c>
      <c r="J434" t="s">
        <v>182</v>
      </c>
      <c r="K434" t="s">
        <v>183</v>
      </c>
      <c r="L434">
        <v>12</v>
      </c>
      <c r="M434" t="s">
        <v>1591</v>
      </c>
      <c r="N434" t="s">
        <v>64</v>
      </c>
      <c r="O434" t="s">
        <v>46</v>
      </c>
      <c r="P434" t="s">
        <v>46</v>
      </c>
      <c r="Y434" t="s">
        <v>1595</v>
      </c>
    </row>
    <row r="435" spans="1:25">
      <c r="A435" t="s">
        <v>1596</v>
      </c>
      <c r="B435" t="s">
        <v>1597</v>
      </c>
      <c r="D435" t="s">
        <v>40</v>
      </c>
      <c r="E435" t="s">
        <v>41</v>
      </c>
      <c r="J435" t="s">
        <v>68</v>
      </c>
      <c r="K435" t="s">
        <v>69</v>
      </c>
      <c r="L435">
        <v>12</v>
      </c>
      <c r="M435" t="s">
        <v>1598</v>
      </c>
      <c r="N435" t="s">
        <v>64</v>
      </c>
      <c r="O435" t="s">
        <v>46</v>
      </c>
      <c r="P435" t="s">
        <v>46</v>
      </c>
      <c r="Y435" t="s">
        <v>1599</v>
      </c>
    </row>
    <row r="436" spans="1:25">
      <c r="A436" t="s">
        <v>1600</v>
      </c>
      <c r="B436" t="s">
        <v>1601</v>
      </c>
      <c r="D436" t="s">
        <v>40</v>
      </c>
      <c r="E436" t="s">
        <v>41</v>
      </c>
      <c r="J436" t="s">
        <v>599</v>
      </c>
      <c r="K436" t="s">
        <v>600</v>
      </c>
      <c r="L436">
        <v>4</v>
      </c>
      <c r="M436" t="s">
        <v>1598</v>
      </c>
      <c r="N436" t="s">
        <v>1047</v>
      </c>
      <c r="O436" t="s">
        <v>46</v>
      </c>
      <c r="P436" t="s">
        <v>46</v>
      </c>
      <c r="Y436" t="s">
        <v>1602</v>
      </c>
    </row>
    <row r="437" spans="1:25">
      <c r="A437" t="s">
        <v>1603</v>
      </c>
      <c r="B437" t="s">
        <v>1604</v>
      </c>
      <c r="D437" t="s">
        <v>40</v>
      </c>
      <c r="E437" t="s">
        <v>41</v>
      </c>
      <c r="J437" t="s">
        <v>68</v>
      </c>
      <c r="K437" t="s">
        <v>69</v>
      </c>
      <c r="L437">
        <v>12</v>
      </c>
      <c r="M437" t="s">
        <v>1598</v>
      </c>
      <c r="N437" t="s">
        <v>64</v>
      </c>
      <c r="O437" t="s">
        <v>46</v>
      </c>
      <c r="P437" t="s">
        <v>46</v>
      </c>
      <c r="Y437" t="s">
        <v>1605</v>
      </c>
    </row>
    <row r="438" spans="1:25">
      <c r="A438" t="s">
        <v>1606</v>
      </c>
      <c r="B438" t="s">
        <v>1607</v>
      </c>
      <c r="D438" t="s">
        <v>40</v>
      </c>
      <c r="E438" t="s">
        <v>41</v>
      </c>
      <c r="J438" t="s">
        <v>42</v>
      </c>
      <c r="K438" t="s">
        <v>43</v>
      </c>
      <c r="L438">
        <v>5</v>
      </c>
      <c r="M438" t="s">
        <v>1608</v>
      </c>
      <c r="N438" t="s">
        <v>509</v>
      </c>
      <c r="O438" t="s">
        <v>46</v>
      </c>
      <c r="P438" t="s">
        <v>46</v>
      </c>
      <c r="Y438" t="s">
        <v>1609</v>
      </c>
    </row>
    <row r="439" spans="1:25">
      <c r="A439" t="s">
        <v>1610</v>
      </c>
      <c r="B439" t="s">
        <v>1611</v>
      </c>
      <c r="D439" t="s">
        <v>40</v>
      </c>
      <c r="E439" t="s">
        <v>41</v>
      </c>
      <c r="J439" t="s">
        <v>76</v>
      </c>
      <c r="K439" t="s">
        <v>77</v>
      </c>
      <c r="L439">
        <v>12</v>
      </c>
      <c r="M439" t="s">
        <v>1612</v>
      </c>
      <c r="N439" t="s">
        <v>64</v>
      </c>
      <c r="O439" t="s">
        <v>46</v>
      </c>
      <c r="P439" t="s">
        <v>46</v>
      </c>
      <c r="Y439" t="s">
        <v>1613</v>
      </c>
    </row>
    <row r="440" spans="1:25">
      <c r="A440" t="s">
        <v>1614</v>
      </c>
      <c r="B440" t="s">
        <v>1615</v>
      </c>
      <c r="D440" t="s">
        <v>40</v>
      </c>
      <c r="E440" t="s">
        <v>41</v>
      </c>
      <c r="J440" t="s">
        <v>182</v>
      </c>
      <c r="K440" t="s">
        <v>183</v>
      </c>
      <c r="L440">
        <v>11</v>
      </c>
      <c r="M440" t="s">
        <v>1612</v>
      </c>
      <c r="N440" t="s">
        <v>64</v>
      </c>
      <c r="O440" t="s">
        <v>46</v>
      </c>
      <c r="P440" t="s">
        <v>46</v>
      </c>
      <c r="Y440" t="s">
        <v>1616</v>
      </c>
    </row>
    <row r="441" spans="1:25">
      <c r="A441" t="s">
        <v>1617</v>
      </c>
      <c r="B441" t="s">
        <v>1618</v>
      </c>
      <c r="D441" t="s">
        <v>40</v>
      </c>
      <c r="E441" t="s">
        <v>41</v>
      </c>
      <c r="J441" t="s">
        <v>42</v>
      </c>
      <c r="K441" t="s">
        <v>43</v>
      </c>
      <c r="L441">
        <v>11</v>
      </c>
      <c r="M441" t="s">
        <v>1619</v>
      </c>
      <c r="N441" t="s">
        <v>1344</v>
      </c>
      <c r="O441" t="s">
        <v>46</v>
      </c>
      <c r="P441" t="s">
        <v>46</v>
      </c>
      <c r="Y441" t="s">
        <v>1620</v>
      </c>
    </row>
    <row r="442" spans="1:25">
      <c r="A442" t="s">
        <v>1621</v>
      </c>
      <c r="B442" t="s">
        <v>1622</v>
      </c>
      <c r="D442" t="s">
        <v>40</v>
      </c>
      <c r="E442" t="s">
        <v>41</v>
      </c>
      <c r="J442" t="s">
        <v>68</v>
      </c>
      <c r="K442" t="s">
        <v>69</v>
      </c>
      <c r="L442">
        <v>5</v>
      </c>
      <c r="M442" t="s">
        <v>1623</v>
      </c>
      <c r="N442" t="s">
        <v>64</v>
      </c>
      <c r="O442" t="s">
        <v>46</v>
      </c>
      <c r="P442" t="s">
        <v>46</v>
      </c>
      <c r="Y442" t="s">
        <v>1624</v>
      </c>
    </row>
    <row r="443" spans="1:25">
      <c r="A443" t="s">
        <v>1625</v>
      </c>
      <c r="B443" t="s">
        <v>1626</v>
      </c>
      <c r="D443" t="s">
        <v>40</v>
      </c>
      <c r="E443" t="s">
        <v>41</v>
      </c>
      <c r="J443" t="s">
        <v>68</v>
      </c>
      <c r="K443" t="s">
        <v>69</v>
      </c>
      <c r="L443">
        <v>12</v>
      </c>
      <c r="M443" t="s">
        <v>1627</v>
      </c>
      <c r="N443" t="s">
        <v>64</v>
      </c>
      <c r="O443" t="s">
        <v>46</v>
      </c>
      <c r="P443" t="s">
        <v>46</v>
      </c>
      <c r="Y443" t="s">
        <v>1628</v>
      </c>
    </row>
    <row r="444" spans="1:25">
      <c r="A444" t="s">
        <v>1629</v>
      </c>
      <c r="B444" t="s">
        <v>1630</v>
      </c>
      <c r="D444" t="s">
        <v>40</v>
      </c>
      <c r="E444" t="s">
        <v>41</v>
      </c>
      <c r="J444" t="s">
        <v>68</v>
      </c>
      <c r="K444" t="s">
        <v>69</v>
      </c>
      <c r="L444">
        <v>12</v>
      </c>
      <c r="M444" t="s">
        <v>1631</v>
      </c>
      <c r="N444" t="s">
        <v>64</v>
      </c>
      <c r="O444" t="s">
        <v>46</v>
      </c>
      <c r="P444" t="s">
        <v>46</v>
      </c>
      <c r="Y444" t="s">
        <v>1632</v>
      </c>
    </row>
    <row r="445" spans="1:25">
      <c r="A445" t="s">
        <v>1633</v>
      </c>
      <c r="B445" t="s">
        <v>1634</v>
      </c>
      <c r="D445" t="s">
        <v>40</v>
      </c>
      <c r="E445" t="s">
        <v>41</v>
      </c>
      <c r="J445" t="s">
        <v>1338</v>
      </c>
      <c r="K445" t="s">
        <v>1339</v>
      </c>
      <c r="L445">
        <v>12</v>
      </c>
      <c r="M445" t="s">
        <v>1635</v>
      </c>
      <c r="N445" t="s">
        <v>1369</v>
      </c>
      <c r="O445" t="s">
        <v>46</v>
      </c>
      <c r="P445" t="s">
        <v>46</v>
      </c>
      <c r="Y445" t="s">
        <v>1636</v>
      </c>
    </row>
    <row r="446" spans="1:25">
      <c r="A446" t="s">
        <v>1637</v>
      </c>
      <c r="B446" t="s">
        <v>1638</v>
      </c>
      <c r="D446" t="s">
        <v>40</v>
      </c>
      <c r="E446" t="s">
        <v>41</v>
      </c>
      <c r="J446" t="s">
        <v>76</v>
      </c>
      <c r="K446" t="s">
        <v>77</v>
      </c>
      <c r="L446">
        <v>12</v>
      </c>
      <c r="M446" t="s">
        <v>1635</v>
      </c>
      <c r="N446" t="s">
        <v>64</v>
      </c>
      <c r="O446" t="s">
        <v>46</v>
      </c>
      <c r="P446" t="s">
        <v>46</v>
      </c>
      <c r="Y446" t="s">
        <v>1639</v>
      </c>
    </row>
    <row r="447" spans="1:25">
      <c r="A447" t="s">
        <v>1640</v>
      </c>
      <c r="B447" t="s">
        <v>1641</v>
      </c>
      <c r="D447" t="s">
        <v>40</v>
      </c>
      <c r="E447" t="s">
        <v>41</v>
      </c>
      <c r="J447" t="s">
        <v>76</v>
      </c>
      <c r="K447" t="s">
        <v>77</v>
      </c>
      <c r="L447">
        <v>5</v>
      </c>
      <c r="M447" t="s">
        <v>1642</v>
      </c>
      <c r="N447" t="s">
        <v>64</v>
      </c>
      <c r="O447" t="s">
        <v>46</v>
      </c>
      <c r="P447" t="s">
        <v>46</v>
      </c>
      <c r="Y447" t="s">
        <v>1643</v>
      </c>
    </row>
    <row r="448" spans="1:25">
      <c r="A448" t="s">
        <v>1644</v>
      </c>
      <c r="B448" t="s">
        <v>1645</v>
      </c>
      <c r="D448" t="s">
        <v>40</v>
      </c>
      <c r="E448" t="s">
        <v>41</v>
      </c>
      <c r="J448" t="s">
        <v>911</v>
      </c>
      <c r="K448" t="s">
        <v>912</v>
      </c>
      <c r="L448">
        <v>12</v>
      </c>
      <c r="M448" t="s">
        <v>1646</v>
      </c>
      <c r="N448" t="s">
        <v>257</v>
      </c>
      <c r="O448" t="s">
        <v>46</v>
      </c>
      <c r="P448" t="s">
        <v>46</v>
      </c>
      <c r="Y448" t="s">
        <v>1647</v>
      </c>
    </row>
    <row r="449" spans="1:25">
      <c r="A449" t="s">
        <v>1648</v>
      </c>
      <c r="B449" t="s">
        <v>1649</v>
      </c>
      <c r="D449" t="s">
        <v>40</v>
      </c>
      <c r="E449" t="s">
        <v>41</v>
      </c>
      <c r="J449" t="s">
        <v>76</v>
      </c>
      <c r="K449" t="s">
        <v>77</v>
      </c>
      <c r="L449">
        <v>7</v>
      </c>
      <c r="M449" t="s">
        <v>1650</v>
      </c>
      <c r="N449" t="s">
        <v>64</v>
      </c>
      <c r="O449" t="s">
        <v>46</v>
      </c>
      <c r="P449" t="s">
        <v>46</v>
      </c>
      <c r="Y449" t="s">
        <v>1651</v>
      </c>
    </row>
    <row r="450" spans="1:25">
      <c r="A450" t="s">
        <v>1652</v>
      </c>
      <c r="B450" t="s">
        <v>1653</v>
      </c>
      <c r="D450" t="s">
        <v>40</v>
      </c>
      <c r="E450" t="s">
        <v>41</v>
      </c>
      <c r="J450" t="s">
        <v>139</v>
      </c>
      <c r="K450" t="s">
        <v>140</v>
      </c>
      <c r="L450">
        <v>2</v>
      </c>
      <c r="M450" t="s">
        <v>1654</v>
      </c>
      <c r="N450" t="s">
        <v>509</v>
      </c>
      <c r="O450" t="s">
        <v>46</v>
      </c>
      <c r="P450" t="s">
        <v>46</v>
      </c>
      <c r="Y450" t="s">
        <v>1655</v>
      </c>
    </row>
    <row r="451" spans="1:25">
      <c r="A451" t="s">
        <v>1656</v>
      </c>
      <c r="B451" t="s">
        <v>1657</v>
      </c>
      <c r="D451" t="s">
        <v>40</v>
      </c>
      <c r="E451" t="s">
        <v>41</v>
      </c>
      <c r="J451" t="s">
        <v>139</v>
      </c>
      <c r="K451" t="s">
        <v>140</v>
      </c>
      <c r="L451">
        <v>11</v>
      </c>
      <c r="M451" t="s">
        <v>1658</v>
      </c>
      <c r="N451" t="s">
        <v>1047</v>
      </c>
      <c r="O451" t="s">
        <v>46</v>
      </c>
      <c r="P451" t="s">
        <v>46</v>
      </c>
      <c r="Y451" t="s">
        <v>1659</v>
      </c>
    </row>
    <row r="452" spans="1:25">
      <c r="A452" t="s">
        <v>1660</v>
      </c>
      <c r="B452" t="s">
        <v>1661</v>
      </c>
      <c r="D452" t="s">
        <v>40</v>
      </c>
      <c r="E452" t="s">
        <v>41</v>
      </c>
      <c r="J452" t="s">
        <v>139</v>
      </c>
      <c r="K452" t="s">
        <v>140</v>
      </c>
      <c r="L452">
        <v>9</v>
      </c>
      <c r="M452" t="s">
        <v>1662</v>
      </c>
      <c r="N452" t="s">
        <v>165</v>
      </c>
      <c r="O452" t="s">
        <v>46</v>
      </c>
      <c r="P452" t="s">
        <v>46</v>
      </c>
      <c r="Y452" t="s">
        <v>1663</v>
      </c>
    </row>
    <row r="453" spans="1:25">
      <c r="A453" t="s">
        <v>1664</v>
      </c>
      <c r="B453" t="s">
        <v>1665</v>
      </c>
      <c r="D453" t="s">
        <v>40</v>
      </c>
      <c r="E453" t="s">
        <v>41</v>
      </c>
      <c r="J453" t="s">
        <v>76</v>
      </c>
      <c r="K453" t="s">
        <v>77</v>
      </c>
      <c r="L453">
        <v>12</v>
      </c>
      <c r="M453" t="s">
        <v>1666</v>
      </c>
      <c r="N453" t="s">
        <v>64</v>
      </c>
      <c r="O453" t="s">
        <v>46</v>
      </c>
      <c r="P453" t="s">
        <v>46</v>
      </c>
      <c r="Y453" t="s">
        <v>1667</v>
      </c>
    </row>
    <row r="454" spans="1:25">
      <c r="A454" t="s">
        <v>1668</v>
      </c>
      <c r="B454" t="s">
        <v>1669</v>
      </c>
      <c r="D454" t="s">
        <v>40</v>
      </c>
      <c r="E454" t="s">
        <v>41</v>
      </c>
      <c r="J454" t="s">
        <v>182</v>
      </c>
      <c r="K454" t="s">
        <v>183</v>
      </c>
      <c r="L454">
        <v>11</v>
      </c>
      <c r="M454" t="s">
        <v>1666</v>
      </c>
      <c r="N454" t="s">
        <v>64</v>
      </c>
      <c r="O454" t="s">
        <v>46</v>
      </c>
      <c r="P454" t="s">
        <v>46</v>
      </c>
      <c r="Y454" t="s">
        <v>1670</v>
      </c>
    </row>
    <row r="455" spans="1:25">
      <c r="A455" t="s">
        <v>1671</v>
      </c>
      <c r="B455" t="s">
        <v>1672</v>
      </c>
      <c r="D455" t="s">
        <v>40</v>
      </c>
      <c r="E455" t="s">
        <v>41</v>
      </c>
      <c r="J455" t="s">
        <v>1114</v>
      </c>
      <c r="K455" t="s">
        <v>1115</v>
      </c>
      <c r="L455">
        <v>13</v>
      </c>
      <c r="M455" t="s">
        <v>1673</v>
      </c>
      <c r="N455" t="s">
        <v>291</v>
      </c>
      <c r="O455" t="s">
        <v>46</v>
      </c>
      <c r="P455" t="s">
        <v>46</v>
      </c>
      <c r="Y455" t="s">
        <v>1674</v>
      </c>
    </row>
    <row r="456" spans="1:25">
      <c r="A456" t="s">
        <v>1675</v>
      </c>
      <c r="B456" t="s">
        <v>1676</v>
      </c>
      <c r="D456" t="s">
        <v>40</v>
      </c>
      <c r="E456" t="s">
        <v>41</v>
      </c>
      <c r="J456" t="s">
        <v>182</v>
      </c>
      <c r="K456" t="s">
        <v>183</v>
      </c>
      <c r="L456">
        <v>19</v>
      </c>
      <c r="M456" t="s">
        <v>1677</v>
      </c>
      <c r="N456" t="s">
        <v>64</v>
      </c>
      <c r="O456" t="s">
        <v>46</v>
      </c>
      <c r="P456" t="s">
        <v>46</v>
      </c>
      <c r="Y456" t="s">
        <v>1678</v>
      </c>
    </row>
    <row r="457" spans="1:25">
      <c r="A457" t="s">
        <v>1679</v>
      </c>
      <c r="B457" t="s">
        <v>1680</v>
      </c>
      <c r="D457" t="s">
        <v>40</v>
      </c>
      <c r="E457" t="s">
        <v>41</v>
      </c>
      <c r="J457" t="s">
        <v>1214</v>
      </c>
      <c r="K457" t="s">
        <v>1215</v>
      </c>
      <c r="L457">
        <v>17</v>
      </c>
      <c r="M457" t="s">
        <v>1681</v>
      </c>
      <c r="N457" t="s">
        <v>1276</v>
      </c>
      <c r="O457" t="s">
        <v>46</v>
      </c>
      <c r="P457" t="s">
        <v>46</v>
      </c>
      <c r="Y457" t="s">
        <v>1682</v>
      </c>
    </row>
    <row r="458" spans="1:25">
      <c r="A458" t="s">
        <v>1683</v>
      </c>
      <c r="B458" t="s">
        <v>1684</v>
      </c>
      <c r="D458" t="s">
        <v>40</v>
      </c>
      <c r="E458" t="s">
        <v>41</v>
      </c>
      <c r="J458" t="s">
        <v>76</v>
      </c>
      <c r="K458" t="s">
        <v>77</v>
      </c>
      <c r="L458">
        <v>16</v>
      </c>
      <c r="M458" t="s">
        <v>1685</v>
      </c>
      <c r="N458" t="s">
        <v>64</v>
      </c>
      <c r="O458" t="s">
        <v>46</v>
      </c>
      <c r="P458" t="s">
        <v>46</v>
      </c>
      <c r="Y458" t="s">
        <v>1686</v>
      </c>
    </row>
    <row r="459" spans="1:25">
      <c r="A459" t="s">
        <v>1687</v>
      </c>
      <c r="B459" t="s">
        <v>1688</v>
      </c>
      <c r="D459" t="s">
        <v>40</v>
      </c>
      <c r="E459" t="s">
        <v>41</v>
      </c>
      <c r="J459" t="s">
        <v>62</v>
      </c>
      <c r="K459" t="s">
        <v>63</v>
      </c>
      <c r="L459">
        <v>15</v>
      </c>
      <c r="M459" t="s">
        <v>1689</v>
      </c>
      <c r="N459" t="s">
        <v>64</v>
      </c>
      <c r="O459" t="s">
        <v>46</v>
      </c>
      <c r="P459" t="s">
        <v>46</v>
      </c>
      <c r="Y459" t="s">
        <v>1690</v>
      </c>
    </row>
    <row r="460" spans="1:25">
      <c r="A460" t="s">
        <v>1691</v>
      </c>
      <c r="B460" t="s">
        <v>1692</v>
      </c>
      <c r="D460" t="s">
        <v>40</v>
      </c>
      <c r="E460" t="s">
        <v>41</v>
      </c>
      <c r="J460" t="s">
        <v>62</v>
      </c>
      <c r="K460" t="s">
        <v>63</v>
      </c>
      <c r="L460">
        <v>15</v>
      </c>
      <c r="M460" t="s">
        <v>1689</v>
      </c>
      <c r="N460" t="s">
        <v>64</v>
      </c>
      <c r="O460" t="s">
        <v>46</v>
      </c>
      <c r="P460" t="s">
        <v>46</v>
      </c>
      <c r="Y460" t="s">
        <v>1693</v>
      </c>
    </row>
    <row r="461" spans="1:25">
      <c r="A461" t="s">
        <v>1694</v>
      </c>
      <c r="B461" t="s">
        <v>1695</v>
      </c>
      <c r="D461" t="s">
        <v>40</v>
      </c>
      <c r="E461" t="s">
        <v>41</v>
      </c>
      <c r="J461" t="s">
        <v>62</v>
      </c>
      <c r="K461" t="s">
        <v>63</v>
      </c>
      <c r="L461">
        <v>15</v>
      </c>
      <c r="M461" t="s">
        <v>1689</v>
      </c>
      <c r="N461" t="s">
        <v>64</v>
      </c>
      <c r="O461" t="s">
        <v>46</v>
      </c>
      <c r="P461" t="s">
        <v>46</v>
      </c>
      <c r="Y461" t="s">
        <v>1696</v>
      </c>
    </row>
    <row r="462" spans="1:25">
      <c r="A462" t="s">
        <v>1697</v>
      </c>
      <c r="B462" t="s">
        <v>1698</v>
      </c>
      <c r="D462" t="s">
        <v>40</v>
      </c>
      <c r="E462" t="s">
        <v>41</v>
      </c>
      <c r="J462" t="s">
        <v>62</v>
      </c>
      <c r="K462" t="s">
        <v>63</v>
      </c>
      <c r="L462">
        <v>15</v>
      </c>
      <c r="M462" t="s">
        <v>1689</v>
      </c>
      <c r="N462" t="s">
        <v>64</v>
      </c>
      <c r="O462" t="s">
        <v>46</v>
      </c>
      <c r="P462" t="s">
        <v>46</v>
      </c>
      <c r="Y462" t="s">
        <v>1699</v>
      </c>
    </row>
    <row r="463" spans="1:25">
      <c r="A463" t="s">
        <v>1700</v>
      </c>
      <c r="B463" t="s">
        <v>1701</v>
      </c>
      <c r="D463" t="s">
        <v>40</v>
      </c>
      <c r="E463" t="s">
        <v>41</v>
      </c>
      <c r="J463" t="s">
        <v>62</v>
      </c>
      <c r="K463" t="s">
        <v>63</v>
      </c>
      <c r="L463">
        <v>15</v>
      </c>
      <c r="M463" t="s">
        <v>1702</v>
      </c>
      <c r="N463" t="s">
        <v>64</v>
      </c>
      <c r="O463" t="s">
        <v>46</v>
      </c>
      <c r="P463" t="s">
        <v>46</v>
      </c>
      <c r="Y463" t="s">
        <v>1703</v>
      </c>
    </row>
    <row r="464" spans="1:25">
      <c r="A464" t="s">
        <v>1704</v>
      </c>
      <c r="B464" t="s">
        <v>1705</v>
      </c>
      <c r="D464" t="s">
        <v>40</v>
      </c>
      <c r="E464" t="s">
        <v>41</v>
      </c>
      <c r="J464" t="s">
        <v>62</v>
      </c>
      <c r="K464" t="s">
        <v>63</v>
      </c>
      <c r="L464">
        <v>15</v>
      </c>
      <c r="M464" t="s">
        <v>1702</v>
      </c>
      <c r="N464" t="s">
        <v>64</v>
      </c>
      <c r="O464" t="s">
        <v>46</v>
      </c>
      <c r="P464" t="s">
        <v>46</v>
      </c>
      <c r="Y464" t="s">
        <v>1706</v>
      </c>
    </row>
    <row r="465" spans="1:25">
      <c r="A465" t="s">
        <v>1707</v>
      </c>
      <c r="B465" t="s">
        <v>1708</v>
      </c>
      <c r="D465" t="s">
        <v>40</v>
      </c>
      <c r="E465" t="s">
        <v>41</v>
      </c>
      <c r="J465" t="s">
        <v>68</v>
      </c>
      <c r="K465" t="s">
        <v>69</v>
      </c>
      <c r="L465">
        <v>15</v>
      </c>
      <c r="M465" t="s">
        <v>1702</v>
      </c>
      <c r="N465" t="s">
        <v>64</v>
      </c>
      <c r="O465" t="s">
        <v>46</v>
      </c>
      <c r="P465" t="s">
        <v>46</v>
      </c>
      <c r="Y465" t="s">
        <v>1709</v>
      </c>
    </row>
    <row r="466" spans="1:25">
      <c r="A466" t="s">
        <v>1710</v>
      </c>
      <c r="B466" t="s">
        <v>1711</v>
      </c>
      <c r="D466" t="s">
        <v>40</v>
      </c>
      <c r="E466" t="s">
        <v>41</v>
      </c>
      <c r="J466" t="s">
        <v>62</v>
      </c>
      <c r="K466" t="s">
        <v>63</v>
      </c>
      <c r="L466">
        <v>15</v>
      </c>
      <c r="M466" t="s">
        <v>1702</v>
      </c>
      <c r="N466" t="s">
        <v>64</v>
      </c>
      <c r="O466" t="s">
        <v>46</v>
      </c>
      <c r="P466" t="s">
        <v>46</v>
      </c>
      <c r="Y466" t="s">
        <v>1712</v>
      </c>
    </row>
    <row r="467" spans="1:25">
      <c r="A467" t="s">
        <v>1713</v>
      </c>
      <c r="B467" t="s">
        <v>1714</v>
      </c>
      <c r="D467" t="s">
        <v>40</v>
      </c>
      <c r="E467" t="s">
        <v>41</v>
      </c>
      <c r="J467" t="s">
        <v>62</v>
      </c>
      <c r="K467" t="s">
        <v>63</v>
      </c>
      <c r="L467">
        <v>15</v>
      </c>
      <c r="M467" t="s">
        <v>1702</v>
      </c>
      <c r="N467" t="s">
        <v>64</v>
      </c>
      <c r="O467" t="s">
        <v>46</v>
      </c>
      <c r="P467" t="s">
        <v>46</v>
      </c>
      <c r="Y467" t="s">
        <v>1715</v>
      </c>
    </row>
    <row r="468" spans="1:25">
      <c r="A468" t="s">
        <v>1716</v>
      </c>
      <c r="B468" t="s">
        <v>1717</v>
      </c>
      <c r="D468" t="s">
        <v>40</v>
      </c>
      <c r="E468" t="s">
        <v>41</v>
      </c>
      <c r="J468" t="s">
        <v>62</v>
      </c>
      <c r="K468" t="s">
        <v>63</v>
      </c>
      <c r="L468">
        <v>15</v>
      </c>
      <c r="M468" t="s">
        <v>1702</v>
      </c>
      <c r="N468" t="s">
        <v>64</v>
      </c>
      <c r="O468" t="s">
        <v>46</v>
      </c>
      <c r="P468" t="s">
        <v>46</v>
      </c>
      <c r="Y468" t="s">
        <v>1718</v>
      </c>
    </row>
    <row r="469" spans="1:25">
      <c r="A469" t="s">
        <v>1719</v>
      </c>
      <c r="B469" t="s">
        <v>1720</v>
      </c>
      <c r="D469" t="s">
        <v>40</v>
      </c>
      <c r="E469" t="s">
        <v>41</v>
      </c>
      <c r="J469" t="s">
        <v>62</v>
      </c>
      <c r="K469" t="s">
        <v>63</v>
      </c>
      <c r="L469">
        <v>15</v>
      </c>
      <c r="M469" t="s">
        <v>1721</v>
      </c>
      <c r="N469" t="s">
        <v>64</v>
      </c>
      <c r="O469" t="s">
        <v>46</v>
      </c>
      <c r="P469" t="s">
        <v>46</v>
      </c>
      <c r="Y469" t="s">
        <v>1722</v>
      </c>
    </row>
    <row r="470" spans="1:25">
      <c r="A470" t="s">
        <v>1723</v>
      </c>
      <c r="B470" t="s">
        <v>1724</v>
      </c>
      <c r="D470" t="s">
        <v>40</v>
      </c>
      <c r="E470" t="s">
        <v>41</v>
      </c>
      <c r="J470" t="s">
        <v>62</v>
      </c>
      <c r="K470" t="s">
        <v>63</v>
      </c>
      <c r="L470">
        <v>15</v>
      </c>
      <c r="M470" t="s">
        <v>1721</v>
      </c>
      <c r="N470" t="s">
        <v>64</v>
      </c>
      <c r="O470" t="s">
        <v>46</v>
      </c>
      <c r="P470" t="s">
        <v>46</v>
      </c>
      <c r="Y470" t="s">
        <v>1725</v>
      </c>
    </row>
    <row r="471" spans="1:25">
      <c r="A471" t="s">
        <v>1726</v>
      </c>
      <c r="B471" t="s">
        <v>1727</v>
      </c>
      <c r="D471" t="s">
        <v>40</v>
      </c>
      <c r="E471" t="s">
        <v>41</v>
      </c>
      <c r="J471" t="s">
        <v>62</v>
      </c>
      <c r="K471" t="s">
        <v>63</v>
      </c>
      <c r="L471">
        <v>15</v>
      </c>
      <c r="M471" t="s">
        <v>1721</v>
      </c>
      <c r="N471" t="s">
        <v>64</v>
      </c>
      <c r="O471" t="s">
        <v>46</v>
      </c>
      <c r="P471" t="s">
        <v>46</v>
      </c>
      <c r="Y471" t="s">
        <v>1728</v>
      </c>
    </row>
    <row r="472" spans="1:25">
      <c r="A472" t="s">
        <v>1729</v>
      </c>
      <c r="B472" t="s">
        <v>1730</v>
      </c>
      <c r="D472" t="s">
        <v>40</v>
      </c>
      <c r="E472" t="s">
        <v>41</v>
      </c>
      <c r="J472" t="s">
        <v>62</v>
      </c>
      <c r="K472" t="s">
        <v>63</v>
      </c>
      <c r="L472">
        <v>15</v>
      </c>
      <c r="M472" t="s">
        <v>1721</v>
      </c>
      <c r="N472" t="s">
        <v>64</v>
      </c>
      <c r="O472" t="s">
        <v>46</v>
      </c>
      <c r="P472" t="s">
        <v>46</v>
      </c>
      <c r="Y472" t="s">
        <v>1731</v>
      </c>
    </row>
    <row r="473" spans="1:25">
      <c r="A473" t="s">
        <v>1732</v>
      </c>
      <c r="B473" t="s">
        <v>1733</v>
      </c>
      <c r="D473" t="s">
        <v>40</v>
      </c>
      <c r="E473" t="s">
        <v>41</v>
      </c>
      <c r="J473" t="s">
        <v>62</v>
      </c>
      <c r="K473" t="s">
        <v>63</v>
      </c>
      <c r="L473">
        <v>15</v>
      </c>
      <c r="M473" t="s">
        <v>1734</v>
      </c>
      <c r="N473" t="s">
        <v>64</v>
      </c>
      <c r="O473" t="s">
        <v>46</v>
      </c>
      <c r="P473" t="s">
        <v>46</v>
      </c>
      <c r="Y473" t="s">
        <v>1735</v>
      </c>
    </row>
    <row r="474" spans="1:25">
      <c r="A474" t="s">
        <v>1736</v>
      </c>
      <c r="B474" t="s">
        <v>1737</v>
      </c>
      <c r="D474" t="s">
        <v>40</v>
      </c>
      <c r="E474" t="s">
        <v>41</v>
      </c>
      <c r="J474" t="s">
        <v>62</v>
      </c>
      <c r="K474" t="s">
        <v>63</v>
      </c>
      <c r="L474">
        <v>15</v>
      </c>
      <c r="M474" t="s">
        <v>1734</v>
      </c>
      <c r="N474" t="s">
        <v>64</v>
      </c>
      <c r="O474" t="s">
        <v>46</v>
      </c>
      <c r="P474" t="s">
        <v>46</v>
      </c>
      <c r="Y474" t="s">
        <v>1738</v>
      </c>
    </row>
    <row r="475" spans="1:25">
      <c r="A475" t="s">
        <v>1739</v>
      </c>
      <c r="B475" t="s">
        <v>1740</v>
      </c>
      <c r="D475" t="s">
        <v>40</v>
      </c>
      <c r="E475" t="s">
        <v>41</v>
      </c>
      <c r="J475" t="s">
        <v>62</v>
      </c>
      <c r="K475" t="s">
        <v>63</v>
      </c>
      <c r="L475">
        <v>15</v>
      </c>
      <c r="M475" t="s">
        <v>1734</v>
      </c>
      <c r="N475" t="s">
        <v>64</v>
      </c>
      <c r="O475" t="s">
        <v>46</v>
      </c>
      <c r="P475" t="s">
        <v>46</v>
      </c>
      <c r="Y475" t="s">
        <v>1741</v>
      </c>
    </row>
    <row r="476" spans="1:25">
      <c r="A476" t="s">
        <v>1742</v>
      </c>
      <c r="B476" t="s">
        <v>1743</v>
      </c>
      <c r="D476" t="s">
        <v>40</v>
      </c>
      <c r="E476" t="s">
        <v>41</v>
      </c>
      <c r="J476" t="s">
        <v>62</v>
      </c>
      <c r="K476" t="s">
        <v>63</v>
      </c>
      <c r="L476">
        <v>15</v>
      </c>
      <c r="M476" t="s">
        <v>1734</v>
      </c>
      <c r="N476" t="s">
        <v>64</v>
      </c>
      <c r="O476" t="s">
        <v>46</v>
      </c>
      <c r="P476" t="s">
        <v>46</v>
      </c>
      <c r="Y476" t="s">
        <v>1744</v>
      </c>
    </row>
    <row r="477" spans="1:25">
      <c r="A477" t="s">
        <v>1745</v>
      </c>
      <c r="B477" t="s">
        <v>1746</v>
      </c>
      <c r="D477" t="s">
        <v>40</v>
      </c>
      <c r="E477" t="s">
        <v>41</v>
      </c>
      <c r="J477" t="s">
        <v>62</v>
      </c>
      <c r="K477" t="s">
        <v>63</v>
      </c>
      <c r="L477">
        <v>15</v>
      </c>
      <c r="M477" t="s">
        <v>1747</v>
      </c>
      <c r="N477" t="s">
        <v>64</v>
      </c>
      <c r="O477" t="s">
        <v>46</v>
      </c>
      <c r="P477" t="s">
        <v>46</v>
      </c>
      <c r="Y477" t="s">
        <v>1748</v>
      </c>
    </row>
    <row r="478" spans="1:25">
      <c r="A478" t="s">
        <v>1749</v>
      </c>
      <c r="B478" t="s">
        <v>1750</v>
      </c>
      <c r="D478" t="s">
        <v>40</v>
      </c>
      <c r="E478" t="s">
        <v>41</v>
      </c>
      <c r="J478" t="s">
        <v>645</v>
      </c>
      <c r="K478" t="s">
        <v>646</v>
      </c>
      <c r="L478">
        <v>15</v>
      </c>
      <c r="M478" t="s">
        <v>1747</v>
      </c>
      <c r="N478" t="s">
        <v>64</v>
      </c>
      <c r="O478" t="s">
        <v>46</v>
      </c>
      <c r="P478" t="s">
        <v>46</v>
      </c>
      <c r="Y478" t="s">
        <v>1751</v>
      </c>
    </row>
    <row r="479" spans="1:25">
      <c r="A479" t="s">
        <v>1752</v>
      </c>
      <c r="B479" t="s">
        <v>1753</v>
      </c>
      <c r="D479" t="s">
        <v>40</v>
      </c>
      <c r="E479" t="s">
        <v>41</v>
      </c>
      <c r="J479" t="s">
        <v>62</v>
      </c>
      <c r="K479" t="s">
        <v>63</v>
      </c>
      <c r="L479">
        <v>15</v>
      </c>
      <c r="M479" t="s">
        <v>1747</v>
      </c>
      <c r="N479" t="s">
        <v>64</v>
      </c>
      <c r="O479" t="s">
        <v>46</v>
      </c>
      <c r="P479" t="s">
        <v>46</v>
      </c>
      <c r="Y479" t="s">
        <v>1754</v>
      </c>
    </row>
    <row r="480" spans="1:25">
      <c r="A480" t="s">
        <v>1755</v>
      </c>
      <c r="B480" t="s">
        <v>1756</v>
      </c>
      <c r="D480" t="s">
        <v>40</v>
      </c>
      <c r="E480" t="s">
        <v>41</v>
      </c>
      <c r="J480" t="s">
        <v>62</v>
      </c>
      <c r="K480" t="s">
        <v>63</v>
      </c>
      <c r="L480">
        <v>15</v>
      </c>
      <c r="M480" t="s">
        <v>1747</v>
      </c>
      <c r="N480" t="s">
        <v>64</v>
      </c>
      <c r="O480" t="s">
        <v>46</v>
      </c>
      <c r="P480" t="s">
        <v>46</v>
      </c>
      <c r="Y480" t="s">
        <v>1757</v>
      </c>
    </row>
    <row r="481" spans="1:25">
      <c r="A481" t="s">
        <v>1758</v>
      </c>
      <c r="B481" t="s">
        <v>1759</v>
      </c>
      <c r="D481" t="s">
        <v>40</v>
      </c>
      <c r="E481" t="s">
        <v>41</v>
      </c>
      <c r="J481" t="s">
        <v>62</v>
      </c>
      <c r="K481" t="s">
        <v>63</v>
      </c>
      <c r="L481">
        <v>15</v>
      </c>
      <c r="M481" t="s">
        <v>1760</v>
      </c>
      <c r="N481" t="s">
        <v>64</v>
      </c>
      <c r="O481" t="s">
        <v>46</v>
      </c>
      <c r="P481" t="s">
        <v>46</v>
      </c>
      <c r="Y481" t="s">
        <v>1761</v>
      </c>
    </row>
    <row r="482" spans="1:25">
      <c r="A482" t="s">
        <v>1762</v>
      </c>
      <c r="B482" t="s">
        <v>1763</v>
      </c>
      <c r="D482" t="s">
        <v>40</v>
      </c>
      <c r="E482" t="s">
        <v>41</v>
      </c>
      <c r="J482" t="s">
        <v>62</v>
      </c>
      <c r="K482" t="s">
        <v>63</v>
      </c>
      <c r="L482">
        <v>15</v>
      </c>
      <c r="M482" t="s">
        <v>1760</v>
      </c>
      <c r="N482" t="s">
        <v>64</v>
      </c>
      <c r="O482" t="s">
        <v>46</v>
      </c>
      <c r="P482" t="s">
        <v>46</v>
      </c>
      <c r="Y482" t="s">
        <v>1764</v>
      </c>
    </row>
    <row r="483" spans="1:25">
      <c r="A483" t="s">
        <v>1765</v>
      </c>
      <c r="B483" t="s">
        <v>1766</v>
      </c>
      <c r="D483" t="s">
        <v>40</v>
      </c>
      <c r="E483" t="s">
        <v>41</v>
      </c>
      <c r="J483" t="s">
        <v>62</v>
      </c>
      <c r="K483" t="s">
        <v>63</v>
      </c>
      <c r="L483">
        <v>15</v>
      </c>
      <c r="M483" t="s">
        <v>1760</v>
      </c>
      <c r="N483" t="s">
        <v>64</v>
      </c>
      <c r="O483" t="s">
        <v>46</v>
      </c>
      <c r="P483" t="s">
        <v>46</v>
      </c>
      <c r="Y483" t="s">
        <v>1767</v>
      </c>
    </row>
    <row r="484" spans="1:25">
      <c r="A484" t="s">
        <v>1768</v>
      </c>
      <c r="B484" t="s">
        <v>1769</v>
      </c>
      <c r="D484" t="s">
        <v>40</v>
      </c>
      <c r="E484" t="s">
        <v>41</v>
      </c>
      <c r="J484" t="s">
        <v>62</v>
      </c>
      <c r="K484" t="s">
        <v>63</v>
      </c>
      <c r="L484">
        <v>15</v>
      </c>
      <c r="M484" t="s">
        <v>1760</v>
      </c>
      <c r="N484" t="s">
        <v>64</v>
      </c>
      <c r="O484" t="s">
        <v>46</v>
      </c>
      <c r="P484" t="s">
        <v>46</v>
      </c>
      <c r="Y484" t="s">
        <v>1770</v>
      </c>
    </row>
    <row r="485" spans="1:25">
      <c r="A485" t="s">
        <v>1771</v>
      </c>
      <c r="B485" t="s">
        <v>1772</v>
      </c>
      <c r="D485" t="s">
        <v>40</v>
      </c>
      <c r="E485" t="s">
        <v>41</v>
      </c>
      <c r="J485" t="s">
        <v>62</v>
      </c>
      <c r="K485" t="s">
        <v>63</v>
      </c>
      <c r="L485">
        <v>15</v>
      </c>
      <c r="M485" t="s">
        <v>1760</v>
      </c>
      <c r="N485" t="s">
        <v>64</v>
      </c>
      <c r="O485" t="s">
        <v>46</v>
      </c>
      <c r="P485" t="s">
        <v>46</v>
      </c>
      <c r="Y485" t="s">
        <v>1773</v>
      </c>
    </row>
    <row r="486" spans="1:25">
      <c r="A486" t="s">
        <v>1774</v>
      </c>
      <c r="B486" t="s">
        <v>1775</v>
      </c>
      <c r="D486" t="s">
        <v>40</v>
      </c>
      <c r="E486" t="s">
        <v>41</v>
      </c>
      <c r="J486" t="s">
        <v>62</v>
      </c>
      <c r="K486" t="s">
        <v>63</v>
      </c>
      <c r="L486">
        <v>14</v>
      </c>
      <c r="M486" t="s">
        <v>1776</v>
      </c>
      <c r="N486" t="s">
        <v>64</v>
      </c>
      <c r="O486" t="s">
        <v>46</v>
      </c>
      <c r="P486" t="s">
        <v>46</v>
      </c>
      <c r="Y486" t="s">
        <v>1777</v>
      </c>
    </row>
    <row r="487" spans="1:25">
      <c r="A487" t="s">
        <v>1778</v>
      </c>
      <c r="B487" t="s">
        <v>1779</v>
      </c>
      <c r="D487" t="s">
        <v>40</v>
      </c>
      <c r="E487" t="s">
        <v>41</v>
      </c>
      <c r="J487" t="s">
        <v>62</v>
      </c>
      <c r="K487" t="s">
        <v>63</v>
      </c>
      <c r="L487">
        <v>14</v>
      </c>
      <c r="M487" t="s">
        <v>1776</v>
      </c>
      <c r="N487" t="s">
        <v>64</v>
      </c>
      <c r="O487" t="s">
        <v>46</v>
      </c>
      <c r="P487" t="s">
        <v>46</v>
      </c>
      <c r="Y487" t="s">
        <v>1780</v>
      </c>
    </row>
    <row r="488" spans="1:25">
      <c r="A488" t="s">
        <v>1781</v>
      </c>
      <c r="B488" t="s">
        <v>1782</v>
      </c>
      <c r="D488" t="s">
        <v>40</v>
      </c>
      <c r="E488" t="s">
        <v>41</v>
      </c>
      <c r="J488" t="s">
        <v>62</v>
      </c>
      <c r="K488" t="s">
        <v>63</v>
      </c>
      <c r="L488">
        <v>15</v>
      </c>
      <c r="M488" t="s">
        <v>1776</v>
      </c>
      <c r="N488" t="s">
        <v>64</v>
      </c>
      <c r="O488" t="s">
        <v>46</v>
      </c>
      <c r="P488" t="s">
        <v>46</v>
      </c>
      <c r="Y488" t="s">
        <v>1783</v>
      </c>
    </row>
    <row r="489" spans="1:25">
      <c r="A489" t="s">
        <v>1784</v>
      </c>
      <c r="B489" t="s">
        <v>1785</v>
      </c>
      <c r="D489" t="s">
        <v>40</v>
      </c>
      <c r="E489" t="s">
        <v>41</v>
      </c>
      <c r="J489" t="s">
        <v>62</v>
      </c>
      <c r="K489" t="s">
        <v>63</v>
      </c>
      <c r="L489">
        <v>15</v>
      </c>
      <c r="M489" t="s">
        <v>1776</v>
      </c>
      <c r="N489" t="s">
        <v>64</v>
      </c>
      <c r="O489" t="s">
        <v>46</v>
      </c>
      <c r="P489" t="s">
        <v>46</v>
      </c>
      <c r="Y489" t="s">
        <v>1786</v>
      </c>
    </row>
    <row r="490" spans="1:25">
      <c r="A490" t="s">
        <v>1787</v>
      </c>
      <c r="B490" t="s">
        <v>1788</v>
      </c>
      <c r="D490" t="s">
        <v>40</v>
      </c>
      <c r="E490" t="s">
        <v>41</v>
      </c>
      <c r="J490" t="s">
        <v>62</v>
      </c>
      <c r="K490" t="s">
        <v>63</v>
      </c>
      <c r="L490">
        <v>15</v>
      </c>
      <c r="M490" t="s">
        <v>1776</v>
      </c>
      <c r="N490" t="s">
        <v>64</v>
      </c>
      <c r="O490" t="s">
        <v>46</v>
      </c>
      <c r="P490" t="s">
        <v>46</v>
      </c>
      <c r="Y490" t="s">
        <v>1789</v>
      </c>
    </row>
    <row r="491" spans="1:25">
      <c r="A491" t="s">
        <v>1790</v>
      </c>
      <c r="B491" t="s">
        <v>1791</v>
      </c>
      <c r="D491" t="s">
        <v>40</v>
      </c>
      <c r="E491" t="s">
        <v>41</v>
      </c>
      <c r="J491" t="s">
        <v>62</v>
      </c>
      <c r="K491" t="s">
        <v>63</v>
      </c>
      <c r="L491">
        <v>15</v>
      </c>
      <c r="M491" t="s">
        <v>1776</v>
      </c>
      <c r="N491" t="s">
        <v>64</v>
      </c>
      <c r="O491" t="s">
        <v>46</v>
      </c>
      <c r="P491" t="s">
        <v>46</v>
      </c>
      <c r="Y491" t="s">
        <v>1792</v>
      </c>
    </row>
    <row r="492" spans="1:25">
      <c r="A492" t="s">
        <v>1793</v>
      </c>
      <c r="B492" t="s">
        <v>1794</v>
      </c>
      <c r="D492" t="s">
        <v>40</v>
      </c>
      <c r="E492" t="s">
        <v>41</v>
      </c>
      <c r="J492" t="s">
        <v>62</v>
      </c>
      <c r="K492" t="s">
        <v>63</v>
      </c>
      <c r="L492">
        <v>15</v>
      </c>
      <c r="M492" t="s">
        <v>1776</v>
      </c>
      <c r="N492" t="s">
        <v>64</v>
      </c>
      <c r="O492" t="s">
        <v>46</v>
      </c>
      <c r="P492" t="s">
        <v>46</v>
      </c>
      <c r="Y492" t="s">
        <v>1795</v>
      </c>
    </row>
    <row r="493" spans="1:25">
      <c r="A493" t="s">
        <v>1796</v>
      </c>
      <c r="B493" t="s">
        <v>1797</v>
      </c>
      <c r="D493" t="s">
        <v>40</v>
      </c>
      <c r="E493" t="s">
        <v>41</v>
      </c>
      <c r="J493" t="s">
        <v>76</v>
      </c>
      <c r="K493" t="s">
        <v>77</v>
      </c>
      <c r="L493">
        <v>14</v>
      </c>
      <c r="M493" t="s">
        <v>1776</v>
      </c>
      <c r="N493" t="s">
        <v>64</v>
      </c>
      <c r="O493" t="s">
        <v>46</v>
      </c>
      <c r="P493" t="s">
        <v>46</v>
      </c>
      <c r="Y493" t="s">
        <v>1798</v>
      </c>
    </row>
    <row r="494" spans="1:25">
      <c r="A494" t="s">
        <v>1799</v>
      </c>
      <c r="B494" t="s">
        <v>1800</v>
      </c>
      <c r="D494" t="s">
        <v>40</v>
      </c>
      <c r="E494" t="s">
        <v>41</v>
      </c>
      <c r="J494" t="s">
        <v>62</v>
      </c>
      <c r="K494" t="s">
        <v>63</v>
      </c>
      <c r="L494">
        <v>15</v>
      </c>
      <c r="M494" t="s">
        <v>1801</v>
      </c>
      <c r="N494" t="s">
        <v>64</v>
      </c>
      <c r="O494" t="s">
        <v>46</v>
      </c>
      <c r="P494" t="s">
        <v>46</v>
      </c>
      <c r="Y494" t="s">
        <v>1802</v>
      </c>
    </row>
    <row r="495" spans="1:25">
      <c r="A495" t="s">
        <v>1803</v>
      </c>
      <c r="B495" t="s">
        <v>1804</v>
      </c>
      <c r="D495" t="s">
        <v>40</v>
      </c>
      <c r="E495" t="s">
        <v>41</v>
      </c>
      <c r="J495" t="s">
        <v>62</v>
      </c>
      <c r="K495" t="s">
        <v>63</v>
      </c>
      <c r="L495">
        <v>14</v>
      </c>
      <c r="M495" t="s">
        <v>1801</v>
      </c>
      <c r="N495" t="s">
        <v>64</v>
      </c>
      <c r="O495" t="s">
        <v>46</v>
      </c>
      <c r="P495" t="s">
        <v>46</v>
      </c>
      <c r="Y495" t="s">
        <v>1805</v>
      </c>
    </row>
    <row r="496" spans="1:25">
      <c r="A496" t="s">
        <v>1806</v>
      </c>
      <c r="B496" t="s">
        <v>1807</v>
      </c>
      <c r="D496" t="s">
        <v>40</v>
      </c>
      <c r="E496" t="s">
        <v>41</v>
      </c>
      <c r="J496" t="s">
        <v>62</v>
      </c>
      <c r="K496" t="s">
        <v>63</v>
      </c>
      <c r="L496">
        <v>14</v>
      </c>
      <c r="M496" t="s">
        <v>1801</v>
      </c>
      <c r="N496" t="s">
        <v>64</v>
      </c>
      <c r="O496" t="s">
        <v>46</v>
      </c>
      <c r="P496" t="s">
        <v>46</v>
      </c>
      <c r="Y496" t="s">
        <v>1808</v>
      </c>
    </row>
    <row r="497" spans="1:25">
      <c r="A497" t="s">
        <v>1809</v>
      </c>
      <c r="B497" t="s">
        <v>1810</v>
      </c>
      <c r="D497" t="s">
        <v>40</v>
      </c>
      <c r="E497" t="s">
        <v>41</v>
      </c>
      <c r="J497" t="s">
        <v>62</v>
      </c>
      <c r="K497" t="s">
        <v>63</v>
      </c>
      <c r="L497">
        <v>14</v>
      </c>
      <c r="M497" t="s">
        <v>1801</v>
      </c>
      <c r="N497" t="s">
        <v>64</v>
      </c>
      <c r="O497" t="s">
        <v>46</v>
      </c>
      <c r="P497" t="s">
        <v>46</v>
      </c>
      <c r="Y497" t="s">
        <v>1811</v>
      </c>
    </row>
    <row r="498" spans="1:25">
      <c r="A498" t="s">
        <v>1812</v>
      </c>
      <c r="B498" t="s">
        <v>1813</v>
      </c>
      <c r="D498" t="s">
        <v>40</v>
      </c>
      <c r="E498" t="s">
        <v>41</v>
      </c>
      <c r="J498" t="s">
        <v>139</v>
      </c>
      <c r="K498" t="s">
        <v>140</v>
      </c>
      <c r="L498">
        <v>14</v>
      </c>
      <c r="M498" t="s">
        <v>1801</v>
      </c>
      <c r="N498" t="s">
        <v>1814</v>
      </c>
      <c r="O498" t="s">
        <v>46</v>
      </c>
      <c r="P498" t="s">
        <v>46</v>
      </c>
      <c r="Y498" t="s">
        <v>1815</v>
      </c>
    </row>
    <row r="499" spans="1:25">
      <c r="A499" t="s">
        <v>1816</v>
      </c>
      <c r="B499" t="s">
        <v>1817</v>
      </c>
      <c r="D499" t="s">
        <v>40</v>
      </c>
      <c r="E499" t="s">
        <v>41</v>
      </c>
      <c r="J499" t="s">
        <v>1554</v>
      </c>
      <c r="K499" t="s">
        <v>1555</v>
      </c>
      <c r="L499">
        <v>10</v>
      </c>
      <c r="M499" t="s">
        <v>1801</v>
      </c>
      <c r="N499" t="s">
        <v>315</v>
      </c>
      <c r="O499" t="s">
        <v>46</v>
      </c>
      <c r="P499" t="s">
        <v>46</v>
      </c>
      <c r="Y499" t="s">
        <v>1818</v>
      </c>
    </row>
    <row r="500" spans="1:25">
      <c r="A500" t="s">
        <v>1819</v>
      </c>
      <c r="B500" t="s">
        <v>1820</v>
      </c>
      <c r="D500" t="s">
        <v>40</v>
      </c>
      <c r="E500" t="s">
        <v>41</v>
      </c>
      <c r="J500" t="s">
        <v>62</v>
      </c>
      <c r="K500" t="s">
        <v>63</v>
      </c>
      <c r="L500">
        <v>15</v>
      </c>
      <c r="M500" t="s">
        <v>1801</v>
      </c>
      <c r="N500" t="s">
        <v>64</v>
      </c>
      <c r="O500" t="s">
        <v>46</v>
      </c>
      <c r="P500" t="s">
        <v>46</v>
      </c>
      <c r="Y500" t="s">
        <v>1821</v>
      </c>
    </row>
    <row r="501" spans="1:25">
      <c r="A501" t="s">
        <v>1822</v>
      </c>
      <c r="B501" t="s">
        <v>1823</v>
      </c>
      <c r="D501" t="s">
        <v>40</v>
      </c>
      <c r="E501" t="s">
        <v>41</v>
      </c>
      <c r="J501" t="s">
        <v>62</v>
      </c>
      <c r="K501" t="s">
        <v>63</v>
      </c>
      <c r="L501">
        <v>14</v>
      </c>
      <c r="M501" t="s">
        <v>1824</v>
      </c>
      <c r="N501" t="s">
        <v>64</v>
      </c>
      <c r="O501" t="s">
        <v>46</v>
      </c>
      <c r="P501" t="s">
        <v>46</v>
      </c>
      <c r="Y501" t="s">
        <v>1825</v>
      </c>
    </row>
    <row r="502" spans="1:25">
      <c r="A502" t="s">
        <v>1826</v>
      </c>
      <c r="B502" t="s">
        <v>1827</v>
      </c>
      <c r="D502" t="s">
        <v>40</v>
      </c>
      <c r="E502" t="s">
        <v>41</v>
      </c>
      <c r="J502" t="s">
        <v>62</v>
      </c>
      <c r="K502" t="s">
        <v>63</v>
      </c>
      <c r="L502">
        <v>14</v>
      </c>
      <c r="M502" t="s">
        <v>1824</v>
      </c>
      <c r="N502" t="s">
        <v>64</v>
      </c>
      <c r="O502" t="s">
        <v>46</v>
      </c>
      <c r="P502" t="s">
        <v>46</v>
      </c>
      <c r="Y502" t="s">
        <v>1828</v>
      </c>
    </row>
    <row r="503" spans="1:25">
      <c r="A503" t="s">
        <v>1829</v>
      </c>
      <c r="B503" t="s">
        <v>1830</v>
      </c>
      <c r="D503" t="s">
        <v>40</v>
      </c>
      <c r="E503" t="s">
        <v>41</v>
      </c>
      <c r="J503" t="s">
        <v>139</v>
      </c>
      <c r="K503" t="s">
        <v>140</v>
      </c>
      <c r="L503">
        <v>14</v>
      </c>
      <c r="M503" t="s">
        <v>1824</v>
      </c>
      <c r="N503" t="s">
        <v>436</v>
      </c>
      <c r="O503" t="s">
        <v>46</v>
      </c>
      <c r="P503" t="s">
        <v>46</v>
      </c>
      <c r="Y503" t="s">
        <v>1831</v>
      </c>
    </row>
    <row r="504" spans="1:25">
      <c r="A504" t="s">
        <v>1832</v>
      </c>
      <c r="B504" t="s">
        <v>1833</v>
      </c>
      <c r="D504" t="s">
        <v>40</v>
      </c>
      <c r="E504" t="s">
        <v>41</v>
      </c>
      <c r="J504" t="s">
        <v>76</v>
      </c>
      <c r="K504" t="s">
        <v>77</v>
      </c>
      <c r="L504">
        <v>14</v>
      </c>
      <c r="M504" t="s">
        <v>1824</v>
      </c>
      <c r="N504" t="s">
        <v>64</v>
      </c>
      <c r="O504" t="s">
        <v>46</v>
      </c>
      <c r="P504" t="s">
        <v>46</v>
      </c>
      <c r="Y504" t="s">
        <v>1834</v>
      </c>
    </row>
    <row r="505" spans="1:25">
      <c r="A505" t="s">
        <v>1835</v>
      </c>
      <c r="B505" t="s">
        <v>1836</v>
      </c>
      <c r="D505" t="s">
        <v>40</v>
      </c>
      <c r="E505" t="s">
        <v>41</v>
      </c>
      <c r="J505" t="s">
        <v>42</v>
      </c>
      <c r="K505" t="s">
        <v>43</v>
      </c>
      <c r="L505">
        <v>14</v>
      </c>
      <c r="M505" t="s">
        <v>1837</v>
      </c>
      <c r="N505" t="s">
        <v>178</v>
      </c>
      <c r="O505" t="s">
        <v>46</v>
      </c>
      <c r="P505" t="s">
        <v>46</v>
      </c>
      <c r="Y505" t="s">
        <v>1838</v>
      </c>
    </row>
    <row r="506" spans="1:25">
      <c r="A506" t="s">
        <v>1839</v>
      </c>
      <c r="B506" t="s">
        <v>1840</v>
      </c>
      <c r="D506" t="s">
        <v>40</v>
      </c>
      <c r="E506" t="s">
        <v>41</v>
      </c>
      <c r="J506" t="s">
        <v>62</v>
      </c>
      <c r="K506" t="s">
        <v>63</v>
      </c>
      <c r="L506">
        <v>14</v>
      </c>
      <c r="M506" t="s">
        <v>1837</v>
      </c>
      <c r="N506" t="s">
        <v>64</v>
      </c>
      <c r="O506" t="s">
        <v>46</v>
      </c>
      <c r="P506" t="s">
        <v>46</v>
      </c>
      <c r="Y506" t="s">
        <v>1841</v>
      </c>
    </row>
    <row r="507" spans="1:25">
      <c r="A507" t="s">
        <v>1842</v>
      </c>
      <c r="B507" t="s">
        <v>1843</v>
      </c>
      <c r="D507" t="s">
        <v>40</v>
      </c>
      <c r="E507" t="s">
        <v>41</v>
      </c>
      <c r="J507" t="s">
        <v>62</v>
      </c>
      <c r="K507" t="s">
        <v>63</v>
      </c>
      <c r="L507">
        <v>14</v>
      </c>
      <c r="M507" t="s">
        <v>1837</v>
      </c>
      <c r="N507" t="s">
        <v>64</v>
      </c>
      <c r="O507" t="s">
        <v>46</v>
      </c>
      <c r="P507" t="s">
        <v>46</v>
      </c>
      <c r="Y507" t="s">
        <v>1844</v>
      </c>
    </row>
    <row r="508" spans="1:25">
      <c r="A508" t="s">
        <v>1845</v>
      </c>
      <c r="B508" t="s">
        <v>1846</v>
      </c>
      <c r="D508" t="s">
        <v>40</v>
      </c>
      <c r="E508" t="s">
        <v>41</v>
      </c>
      <c r="J508" t="s">
        <v>76</v>
      </c>
      <c r="K508" t="s">
        <v>77</v>
      </c>
      <c r="L508">
        <v>14</v>
      </c>
      <c r="M508" t="s">
        <v>1837</v>
      </c>
      <c r="N508" t="s">
        <v>64</v>
      </c>
      <c r="O508" t="s">
        <v>46</v>
      </c>
      <c r="P508" t="s">
        <v>46</v>
      </c>
      <c r="Y508" t="s">
        <v>1847</v>
      </c>
    </row>
    <row r="509" spans="1:25">
      <c r="A509" t="s">
        <v>1848</v>
      </c>
      <c r="B509" t="s">
        <v>1849</v>
      </c>
      <c r="D509" t="s">
        <v>40</v>
      </c>
      <c r="E509" t="s">
        <v>41</v>
      </c>
      <c r="J509" t="s">
        <v>62</v>
      </c>
      <c r="K509" t="s">
        <v>63</v>
      </c>
      <c r="L509">
        <v>14</v>
      </c>
      <c r="M509" t="s">
        <v>1837</v>
      </c>
      <c r="N509" t="s">
        <v>64</v>
      </c>
      <c r="O509" t="s">
        <v>46</v>
      </c>
      <c r="P509" t="s">
        <v>46</v>
      </c>
      <c r="Y509" t="s">
        <v>1850</v>
      </c>
    </row>
    <row r="510" spans="1:25">
      <c r="A510" t="s">
        <v>1851</v>
      </c>
      <c r="B510" t="s">
        <v>1852</v>
      </c>
      <c r="D510" t="s">
        <v>40</v>
      </c>
      <c r="E510" t="s">
        <v>41</v>
      </c>
      <c r="J510" t="s">
        <v>62</v>
      </c>
      <c r="K510" t="s">
        <v>63</v>
      </c>
      <c r="L510">
        <v>14</v>
      </c>
      <c r="M510" t="s">
        <v>1837</v>
      </c>
      <c r="N510" t="s">
        <v>64</v>
      </c>
      <c r="O510" t="s">
        <v>46</v>
      </c>
      <c r="P510" t="s">
        <v>46</v>
      </c>
      <c r="Y510" t="s">
        <v>1853</v>
      </c>
    </row>
    <row r="511" spans="1:25">
      <c r="A511" t="s">
        <v>1854</v>
      </c>
      <c r="B511" t="s">
        <v>1855</v>
      </c>
      <c r="D511" t="s">
        <v>40</v>
      </c>
      <c r="E511" t="s">
        <v>41</v>
      </c>
      <c r="J511" t="s">
        <v>62</v>
      </c>
      <c r="K511" t="s">
        <v>63</v>
      </c>
      <c r="L511">
        <v>14</v>
      </c>
      <c r="M511" t="s">
        <v>1837</v>
      </c>
      <c r="N511" t="s">
        <v>64</v>
      </c>
      <c r="O511" t="s">
        <v>46</v>
      </c>
      <c r="P511" t="s">
        <v>46</v>
      </c>
      <c r="Y511" t="s">
        <v>1856</v>
      </c>
    </row>
    <row r="512" spans="1:25">
      <c r="A512" t="s">
        <v>1857</v>
      </c>
      <c r="B512" t="s">
        <v>1858</v>
      </c>
      <c r="D512" t="s">
        <v>40</v>
      </c>
      <c r="E512" t="s">
        <v>41</v>
      </c>
      <c r="J512" t="s">
        <v>62</v>
      </c>
      <c r="K512" t="s">
        <v>63</v>
      </c>
      <c r="L512">
        <v>14</v>
      </c>
      <c r="M512" t="s">
        <v>1859</v>
      </c>
      <c r="N512" t="s">
        <v>64</v>
      </c>
      <c r="O512" t="s">
        <v>46</v>
      </c>
      <c r="P512" t="s">
        <v>46</v>
      </c>
      <c r="Y512" t="s">
        <v>1860</v>
      </c>
    </row>
    <row r="513" spans="1:25">
      <c r="A513" t="s">
        <v>1861</v>
      </c>
      <c r="B513" t="s">
        <v>1862</v>
      </c>
      <c r="D513" t="s">
        <v>40</v>
      </c>
      <c r="E513" t="s">
        <v>41</v>
      </c>
      <c r="J513" t="s">
        <v>62</v>
      </c>
      <c r="K513" t="s">
        <v>63</v>
      </c>
      <c r="L513">
        <v>14</v>
      </c>
      <c r="M513" t="s">
        <v>1863</v>
      </c>
      <c r="N513" t="s">
        <v>64</v>
      </c>
      <c r="O513" t="s">
        <v>46</v>
      </c>
      <c r="P513" t="s">
        <v>46</v>
      </c>
      <c r="Y513" t="s">
        <v>1864</v>
      </c>
    </row>
    <row r="514" spans="1:25">
      <c r="A514" t="s">
        <v>1865</v>
      </c>
      <c r="B514" t="s">
        <v>1866</v>
      </c>
      <c r="D514" t="s">
        <v>40</v>
      </c>
      <c r="E514" t="s">
        <v>41</v>
      </c>
      <c r="J514" t="s">
        <v>62</v>
      </c>
      <c r="K514" t="s">
        <v>63</v>
      </c>
      <c r="L514">
        <v>14</v>
      </c>
      <c r="M514" t="s">
        <v>1867</v>
      </c>
      <c r="N514" t="s">
        <v>64</v>
      </c>
      <c r="O514" t="s">
        <v>46</v>
      </c>
      <c r="P514" t="s">
        <v>46</v>
      </c>
      <c r="Y514" t="s">
        <v>1868</v>
      </c>
    </row>
    <row r="515" spans="1:25">
      <c r="A515" t="s">
        <v>1869</v>
      </c>
      <c r="B515" t="s">
        <v>1870</v>
      </c>
      <c r="D515" t="s">
        <v>40</v>
      </c>
      <c r="E515" t="s">
        <v>41</v>
      </c>
      <c r="J515" t="s">
        <v>62</v>
      </c>
      <c r="K515" t="s">
        <v>63</v>
      </c>
      <c r="L515">
        <v>14</v>
      </c>
      <c r="M515" t="s">
        <v>1867</v>
      </c>
      <c r="N515" t="s">
        <v>64</v>
      </c>
      <c r="O515" t="s">
        <v>46</v>
      </c>
      <c r="P515" t="s">
        <v>46</v>
      </c>
      <c r="Y515" t="s">
        <v>1871</v>
      </c>
    </row>
    <row r="516" spans="1:25">
      <c r="A516" t="s">
        <v>1872</v>
      </c>
      <c r="B516" t="s">
        <v>1873</v>
      </c>
      <c r="D516" t="s">
        <v>40</v>
      </c>
      <c r="E516" t="s">
        <v>41</v>
      </c>
      <c r="J516" t="s">
        <v>76</v>
      </c>
      <c r="K516" t="s">
        <v>77</v>
      </c>
      <c r="L516">
        <v>14</v>
      </c>
      <c r="M516" t="s">
        <v>1867</v>
      </c>
      <c r="N516" t="s">
        <v>64</v>
      </c>
      <c r="O516" t="s">
        <v>46</v>
      </c>
      <c r="P516" t="s">
        <v>46</v>
      </c>
      <c r="Y516" t="s">
        <v>1874</v>
      </c>
    </row>
    <row r="517" spans="1:25">
      <c r="A517" t="s">
        <v>1875</v>
      </c>
      <c r="B517" t="s">
        <v>1876</v>
      </c>
      <c r="D517" t="s">
        <v>40</v>
      </c>
      <c r="E517" t="s">
        <v>41</v>
      </c>
      <c r="J517" t="s">
        <v>182</v>
      </c>
      <c r="K517" t="s">
        <v>183</v>
      </c>
      <c r="L517">
        <v>14</v>
      </c>
      <c r="M517" t="s">
        <v>1867</v>
      </c>
      <c r="N517" t="s">
        <v>64</v>
      </c>
      <c r="O517" t="s">
        <v>46</v>
      </c>
      <c r="P517" t="s">
        <v>46</v>
      </c>
      <c r="Y517" t="s">
        <v>1877</v>
      </c>
    </row>
    <row r="518" spans="1:25">
      <c r="A518" t="s">
        <v>1878</v>
      </c>
      <c r="B518" t="s">
        <v>1879</v>
      </c>
      <c r="D518" t="s">
        <v>40</v>
      </c>
      <c r="E518" t="s">
        <v>41</v>
      </c>
      <c r="J518" t="s">
        <v>62</v>
      </c>
      <c r="K518" t="s">
        <v>63</v>
      </c>
      <c r="L518">
        <v>14</v>
      </c>
      <c r="M518" t="s">
        <v>1867</v>
      </c>
      <c r="N518" t="s">
        <v>64</v>
      </c>
      <c r="O518" t="s">
        <v>46</v>
      </c>
      <c r="P518" t="s">
        <v>46</v>
      </c>
      <c r="Y518" t="s">
        <v>1880</v>
      </c>
    </row>
    <row r="519" spans="1:25">
      <c r="A519" t="s">
        <v>1881</v>
      </c>
      <c r="B519" t="s">
        <v>1882</v>
      </c>
      <c r="D519" t="s">
        <v>40</v>
      </c>
      <c r="E519" t="s">
        <v>41</v>
      </c>
      <c r="J519" t="s">
        <v>62</v>
      </c>
      <c r="K519" t="s">
        <v>63</v>
      </c>
      <c r="L519">
        <v>14</v>
      </c>
      <c r="M519" t="s">
        <v>1867</v>
      </c>
      <c r="N519" t="s">
        <v>64</v>
      </c>
      <c r="O519" t="s">
        <v>46</v>
      </c>
      <c r="P519" t="s">
        <v>46</v>
      </c>
      <c r="Y519" t="s">
        <v>1883</v>
      </c>
    </row>
    <row r="520" spans="1:25">
      <c r="A520" t="s">
        <v>1884</v>
      </c>
      <c r="B520" t="s">
        <v>1885</v>
      </c>
      <c r="D520" t="s">
        <v>40</v>
      </c>
      <c r="E520" t="s">
        <v>41</v>
      </c>
      <c r="J520" t="s">
        <v>62</v>
      </c>
      <c r="K520" t="s">
        <v>63</v>
      </c>
      <c r="L520">
        <v>14</v>
      </c>
      <c r="M520" t="s">
        <v>1867</v>
      </c>
      <c r="N520" t="s">
        <v>64</v>
      </c>
      <c r="O520" t="s">
        <v>46</v>
      </c>
      <c r="P520" t="s">
        <v>46</v>
      </c>
      <c r="Y520" t="s">
        <v>1886</v>
      </c>
    </row>
    <row r="521" spans="1:25">
      <c r="A521" t="s">
        <v>1887</v>
      </c>
      <c r="B521" t="s">
        <v>1888</v>
      </c>
      <c r="D521" t="s">
        <v>40</v>
      </c>
      <c r="E521" t="s">
        <v>41</v>
      </c>
      <c r="J521" t="s">
        <v>62</v>
      </c>
      <c r="K521" t="s">
        <v>63</v>
      </c>
      <c r="L521">
        <v>14</v>
      </c>
      <c r="M521" t="s">
        <v>1867</v>
      </c>
      <c r="N521" t="s">
        <v>64</v>
      </c>
      <c r="O521" t="s">
        <v>46</v>
      </c>
      <c r="P521" t="s">
        <v>46</v>
      </c>
      <c r="Y521" t="s">
        <v>1889</v>
      </c>
    </row>
    <row r="522" spans="1:25">
      <c r="A522" t="s">
        <v>1890</v>
      </c>
      <c r="B522" t="s">
        <v>1891</v>
      </c>
      <c r="D522" t="s">
        <v>40</v>
      </c>
      <c r="E522" t="s">
        <v>41</v>
      </c>
      <c r="J522" t="s">
        <v>62</v>
      </c>
      <c r="K522" t="s">
        <v>63</v>
      </c>
      <c r="L522">
        <v>14</v>
      </c>
      <c r="M522" t="s">
        <v>1867</v>
      </c>
      <c r="N522" t="s">
        <v>64</v>
      </c>
      <c r="O522" t="s">
        <v>46</v>
      </c>
      <c r="P522" t="s">
        <v>46</v>
      </c>
      <c r="Y522" t="s">
        <v>1892</v>
      </c>
    </row>
    <row r="523" spans="1:25">
      <c r="A523" t="s">
        <v>1893</v>
      </c>
      <c r="B523" t="s">
        <v>1894</v>
      </c>
      <c r="D523" t="s">
        <v>40</v>
      </c>
      <c r="E523" t="s">
        <v>41</v>
      </c>
      <c r="J523" t="s">
        <v>62</v>
      </c>
      <c r="K523" t="s">
        <v>63</v>
      </c>
      <c r="L523">
        <v>14</v>
      </c>
      <c r="M523" t="s">
        <v>1895</v>
      </c>
      <c r="N523" t="s">
        <v>64</v>
      </c>
      <c r="O523" t="s">
        <v>46</v>
      </c>
      <c r="P523" t="s">
        <v>46</v>
      </c>
      <c r="Y523" t="s">
        <v>1896</v>
      </c>
    </row>
    <row r="524" spans="1:25">
      <c r="A524" t="s">
        <v>1897</v>
      </c>
      <c r="B524" t="s">
        <v>1898</v>
      </c>
      <c r="D524" t="s">
        <v>40</v>
      </c>
      <c r="E524" t="s">
        <v>41</v>
      </c>
      <c r="J524" t="s">
        <v>62</v>
      </c>
      <c r="K524" t="s">
        <v>63</v>
      </c>
      <c r="L524">
        <v>14</v>
      </c>
      <c r="M524" t="s">
        <v>1899</v>
      </c>
      <c r="N524" t="s">
        <v>64</v>
      </c>
      <c r="O524" t="s">
        <v>46</v>
      </c>
      <c r="P524" t="s">
        <v>46</v>
      </c>
      <c r="Y524" t="s">
        <v>1900</v>
      </c>
    </row>
    <row r="525" spans="1:25">
      <c r="A525" t="s">
        <v>1901</v>
      </c>
      <c r="B525" t="s">
        <v>1902</v>
      </c>
      <c r="D525" t="s">
        <v>40</v>
      </c>
      <c r="E525" t="s">
        <v>41</v>
      </c>
      <c r="J525" t="s">
        <v>62</v>
      </c>
      <c r="K525" t="s">
        <v>63</v>
      </c>
      <c r="L525">
        <v>14</v>
      </c>
      <c r="M525" t="s">
        <v>1899</v>
      </c>
      <c r="N525" t="s">
        <v>64</v>
      </c>
      <c r="O525" t="s">
        <v>46</v>
      </c>
      <c r="P525" t="s">
        <v>46</v>
      </c>
      <c r="Y525" t="s">
        <v>1903</v>
      </c>
    </row>
    <row r="526" spans="1:25">
      <c r="A526" t="s">
        <v>1904</v>
      </c>
      <c r="B526" t="s">
        <v>1905</v>
      </c>
      <c r="D526" t="s">
        <v>40</v>
      </c>
      <c r="E526" t="s">
        <v>41</v>
      </c>
      <c r="J526" t="s">
        <v>62</v>
      </c>
      <c r="K526" t="s">
        <v>63</v>
      </c>
      <c r="L526">
        <v>14</v>
      </c>
      <c r="M526" t="s">
        <v>1899</v>
      </c>
      <c r="N526" t="s">
        <v>64</v>
      </c>
      <c r="O526" t="s">
        <v>46</v>
      </c>
      <c r="P526" t="s">
        <v>46</v>
      </c>
      <c r="Y526" t="s">
        <v>1906</v>
      </c>
    </row>
    <row r="527" spans="1:25">
      <c r="A527" t="s">
        <v>1907</v>
      </c>
      <c r="B527" t="s">
        <v>1908</v>
      </c>
      <c r="D527" t="s">
        <v>40</v>
      </c>
      <c r="E527" t="s">
        <v>41</v>
      </c>
      <c r="J527" t="s">
        <v>62</v>
      </c>
      <c r="K527" t="s">
        <v>63</v>
      </c>
      <c r="L527">
        <v>14</v>
      </c>
      <c r="M527" t="s">
        <v>1899</v>
      </c>
      <c r="N527" t="s">
        <v>64</v>
      </c>
      <c r="O527" t="s">
        <v>46</v>
      </c>
      <c r="P527" t="s">
        <v>46</v>
      </c>
      <c r="Y527" t="s">
        <v>1909</v>
      </c>
    </row>
    <row r="528" spans="1:25">
      <c r="A528" t="s">
        <v>1910</v>
      </c>
      <c r="B528" t="s">
        <v>1911</v>
      </c>
      <c r="D528" t="s">
        <v>40</v>
      </c>
      <c r="E528" t="s">
        <v>41</v>
      </c>
      <c r="J528" t="s">
        <v>62</v>
      </c>
      <c r="K528" t="s">
        <v>63</v>
      </c>
      <c r="L528">
        <v>14</v>
      </c>
      <c r="M528" t="s">
        <v>1899</v>
      </c>
      <c r="N528" t="s">
        <v>64</v>
      </c>
      <c r="O528" t="s">
        <v>46</v>
      </c>
      <c r="P528" t="s">
        <v>46</v>
      </c>
      <c r="Y528" t="s">
        <v>1912</v>
      </c>
    </row>
    <row r="529" spans="1:25">
      <c r="A529" t="s">
        <v>1913</v>
      </c>
      <c r="B529" t="s">
        <v>1914</v>
      </c>
      <c r="D529" t="s">
        <v>40</v>
      </c>
      <c r="E529" t="s">
        <v>41</v>
      </c>
      <c r="J529" t="s">
        <v>76</v>
      </c>
      <c r="K529" t="s">
        <v>77</v>
      </c>
      <c r="L529">
        <v>14</v>
      </c>
      <c r="M529" t="s">
        <v>1915</v>
      </c>
      <c r="N529" t="s">
        <v>64</v>
      </c>
      <c r="O529" t="s">
        <v>46</v>
      </c>
      <c r="P529" t="s">
        <v>46</v>
      </c>
      <c r="Y529" t="s">
        <v>1916</v>
      </c>
    </row>
    <row r="530" spans="1:25">
      <c r="A530" t="s">
        <v>1917</v>
      </c>
      <c r="B530" t="s">
        <v>1918</v>
      </c>
      <c r="D530" t="s">
        <v>40</v>
      </c>
      <c r="E530" t="s">
        <v>41</v>
      </c>
      <c r="J530" t="s">
        <v>1142</v>
      </c>
      <c r="K530" t="s">
        <v>1143</v>
      </c>
      <c r="L530">
        <v>14</v>
      </c>
      <c r="M530" t="s">
        <v>1915</v>
      </c>
      <c r="N530" t="s">
        <v>142</v>
      </c>
      <c r="O530" t="s">
        <v>46</v>
      </c>
      <c r="P530" t="s">
        <v>46</v>
      </c>
      <c r="Y530" t="s">
        <v>1919</v>
      </c>
    </row>
    <row r="531" spans="1:25">
      <c r="A531" t="s">
        <v>1920</v>
      </c>
      <c r="B531" t="s">
        <v>1921</v>
      </c>
      <c r="D531" t="s">
        <v>40</v>
      </c>
      <c r="E531" t="s">
        <v>41</v>
      </c>
      <c r="J531" t="s">
        <v>62</v>
      </c>
      <c r="K531" t="s">
        <v>63</v>
      </c>
      <c r="L531">
        <v>14</v>
      </c>
      <c r="M531" t="s">
        <v>1915</v>
      </c>
      <c r="N531" t="s">
        <v>64</v>
      </c>
      <c r="O531" t="s">
        <v>46</v>
      </c>
      <c r="P531" t="s">
        <v>46</v>
      </c>
      <c r="Y531" t="s">
        <v>1922</v>
      </c>
    </row>
    <row r="532" spans="1:25">
      <c r="A532" t="s">
        <v>1923</v>
      </c>
      <c r="B532" t="s">
        <v>1924</v>
      </c>
      <c r="D532" t="s">
        <v>40</v>
      </c>
      <c r="E532" t="s">
        <v>41</v>
      </c>
      <c r="J532" t="s">
        <v>62</v>
      </c>
      <c r="K532" t="s">
        <v>63</v>
      </c>
      <c r="L532">
        <v>14</v>
      </c>
      <c r="M532" t="s">
        <v>1925</v>
      </c>
      <c r="N532" t="s">
        <v>64</v>
      </c>
      <c r="O532" t="s">
        <v>46</v>
      </c>
      <c r="P532" t="s">
        <v>46</v>
      </c>
      <c r="Y532" t="s">
        <v>1926</v>
      </c>
    </row>
    <row r="533" spans="1:25">
      <c r="A533" t="s">
        <v>1927</v>
      </c>
      <c r="B533" t="s">
        <v>1928</v>
      </c>
      <c r="D533" t="s">
        <v>40</v>
      </c>
      <c r="E533" t="s">
        <v>41</v>
      </c>
      <c r="J533" t="s">
        <v>76</v>
      </c>
      <c r="K533" t="s">
        <v>77</v>
      </c>
      <c r="L533">
        <v>14</v>
      </c>
      <c r="M533" t="s">
        <v>1925</v>
      </c>
      <c r="N533" t="s">
        <v>64</v>
      </c>
      <c r="O533" t="s">
        <v>46</v>
      </c>
      <c r="P533" t="s">
        <v>46</v>
      </c>
      <c r="Y533" t="s">
        <v>1929</v>
      </c>
    </row>
    <row r="534" spans="1:25">
      <c r="A534" t="s">
        <v>1930</v>
      </c>
      <c r="B534" t="s">
        <v>1931</v>
      </c>
      <c r="D534" t="s">
        <v>40</v>
      </c>
      <c r="E534" t="s">
        <v>41</v>
      </c>
      <c r="J534" t="s">
        <v>62</v>
      </c>
      <c r="K534" t="s">
        <v>63</v>
      </c>
      <c r="L534">
        <v>14</v>
      </c>
      <c r="M534" t="s">
        <v>1932</v>
      </c>
      <c r="N534" t="s">
        <v>64</v>
      </c>
      <c r="O534" t="s">
        <v>46</v>
      </c>
      <c r="P534" t="s">
        <v>46</v>
      </c>
      <c r="Y534" t="s">
        <v>1933</v>
      </c>
    </row>
    <row r="535" spans="1:25">
      <c r="A535" t="s">
        <v>1934</v>
      </c>
      <c r="B535" t="s">
        <v>1935</v>
      </c>
      <c r="D535" t="s">
        <v>40</v>
      </c>
      <c r="E535" t="s">
        <v>41</v>
      </c>
      <c r="J535" t="s">
        <v>182</v>
      </c>
      <c r="K535" t="s">
        <v>183</v>
      </c>
      <c r="L535">
        <v>14</v>
      </c>
      <c r="M535" t="s">
        <v>1932</v>
      </c>
      <c r="N535" t="s">
        <v>64</v>
      </c>
      <c r="O535" t="s">
        <v>46</v>
      </c>
      <c r="P535" t="s">
        <v>46</v>
      </c>
      <c r="Y535" t="s">
        <v>1936</v>
      </c>
    </row>
    <row r="536" spans="1:25">
      <c r="A536" t="s">
        <v>1937</v>
      </c>
      <c r="B536" t="s">
        <v>1938</v>
      </c>
      <c r="D536" t="s">
        <v>40</v>
      </c>
      <c r="E536" t="s">
        <v>41</v>
      </c>
      <c r="J536" t="s">
        <v>76</v>
      </c>
      <c r="K536" t="s">
        <v>77</v>
      </c>
      <c r="L536">
        <v>14</v>
      </c>
      <c r="M536" t="s">
        <v>1932</v>
      </c>
      <c r="N536" t="s">
        <v>64</v>
      </c>
      <c r="O536" t="s">
        <v>46</v>
      </c>
      <c r="P536" t="s">
        <v>46</v>
      </c>
      <c r="Y536" t="s">
        <v>1939</v>
      </c>
    </row>
    <row r="537" spans="1:25">
      <c r="A537" t="s">
        <v>1940</v>
      </c>
      <c r="B537" t="s">
        <v>1941</v>
      </c>
      <c r="D537" t="s">
        <v>40</v>
      </c>
      <c r="E537" t="s">
        <v>41</v>
      </c>
      <c r="J537" t="s">
        <v>62</v>
      </c>
      <c r="K537" t="s">
        <v>63</v>
      </c>
      <c r="L537">
        <v>14</v>
      </c>
      <c r="M537" t="s">
        <v>1932</v>
      </c>
      <c r="N537" t="s">
        <v>64</v>
      </c>
      <c r="O537" t="s">
        <v>46</v>
      </c>
      <c r="P537" t="s">
        <v>46</v>
      </c>
      <c r="Y537" t="s">
        <v>1942</v>
      </c>
    </row>
    <row r="538" spans="1:25">
      <c r="A538" t="s">
        <v>1943</v>
      </c>
      <c r="B538" t="s">
        <v>1944</v>
      </c>
      <c r="D538" t="s">
        <v>40</v>
      </c>
      <c r="E538" t="s">
        <v>41</v>
      </c>
      <c r="J538" t="s">
        <v>62</v>
      </c>
      <c r="K538" t="s">
        <v>63</v>
      </c>
      <c r="L538">
        <v>14</v>
      </c>
      <c r="M538" t="s">
        <v>1932</v>
      </c>
      <c r="N538" t="s">
        <v>64</v>
      </c>
      <c r="O538" t="s">
        <v>46</v>
      </c>
      <c r="P538" t="s">
        <v>46</v>
      </c>
      <c r="Y538" t="s">
        <v>1945</v>
      </c>
    </row>
    <row r="539" spans="1:25">
      <c r="A539" t="s">
        <v>1946</v>
      </c>
      <c r="B539" t="s">
        <v>1947</v>
      </c>
      <c r="D539" t="s">
        <v>40</v>
      </c>
      <c r="E539" t="s">
        <v>41</v>
      </c>
      <c r="J539" t="s">
        <v>62</v>
      </c>
      <c r="K539" t="s">
        <v>63</v>
      </c>
      <c r="L539">
        <v>14</v>
      </c>
      <c r="M539" t="s">
        <v>1932</v>
      </c>
      <c r="N539" t="s">
        <v>64</v>
      </c>
      <c r="O539" t="s">
        <v>46</v>
      </c>
      <c r="P539" t="s">
        <v>46</v>
      </c>
      <c r="Y539" t="s">
        <v>1948</v>
      </c>
    </row>
    <row r="540" spans="1:25">
      <c r="A540" t="s">
        <v>1949</v>
      </c>
      <c r="B540" t="s">
        <v>1950</v>
      </c>
      <c r="D540" t="s">
        <v>40</v>
      </c>
      <c r="E540" t="s">
        <v>41</v>
      </c>
      <c r="J540" t="s">
        <v>62</v>
      </c>
      <c r="K540" t="s">
        <v>63</v>
      </c>
      <c r="L540">
        <v>14</v>
      </c>
      <c r="M540" t="s">
        <v>1951</v>
      </c>
      <c r="N540" t="s">
        <v>64</v>
      </c>
      <c r="O540" t="s">
        <v>46</v>
      </c>
      <c r="P540" t="s">
        <v>46</v>
      </c>
      <c r="Y540" t="s">
        <v>1952</v>
      </c>
    </row>
    <row r="541" spans="1:25">
      <c r="A541" t="s">
        <v>1953</v>
      </c>
      <c r="B541" t="s">
        <v>1954</v>
      </c>
      <c r="D541" t="s">
        <v>40</v>
      </c>
      <c r="E541" t="s">
        <v>41</v>
      </c>
      <c r="J541" t="s">
        <v>76</v>
      </c>
      <c r="K541" t="s">
        <v>77</v>
      </c>
      <c r="L541">
        <v>11</v>
      </c>
      <c r="M541" t="s">
        <v>1955</v>
      </c>
      <c r="N541" t="s">
        <v>64</v>
      </c>
      <c r="O541" t="s">
        <v>46</v>
      </c>
      <c r="P541" t="s">
        <v>46</v>
      </c>
      <c r="Y541" t="s">
        <v>1956</v>
      </c>
    </row>
    <row r="542" spans="1:25">
      <c r="A542" t="s">
        <v>1957</v>
      </c>
      <c r="B542" t="s">
        <v>1958</v>
      </c>
      <c r="D542" t="s">
        <v>40</v>
      </c>
      <c r="E542" t="s">
        <v>41</v>
      </c>
      <c r="J542" t="s">
        <v>62</v>
      </c>
      <c r="K542" t="s">
        <v>63</v>
      </c>
      <c r="L542">
        <v>11</v>
      </c>
      <c r="M542" t="s">
        <v>1959</v>
      </c>
      <c r="N542" t="s">
        <v>64</v>
      </c>
      <c r="O542" t="s">
        <v>46</v>
      </c>
      <c r="P542" t="s">
        <v>46</v>
      </c>
      <c r="Y542" t="s">
        <v>1960</v>
      </c>
    </row>
    <row r="543" spans="1:25">
      <c r="A543" t="s">
        <v>1961</v>
      </c>
      <c r="B543" t="s">
        <v>1962</v>
      </c>
      <c r="D543" t="s">
        <v>40</v>
      </c>
      <c r="E543" t="s">
        <v>41</v>
      </c>
      <c r="J543" t="s">
        <v>264</v>
      </c>
      <c r="K543" t="s">
        <v>265</v>
      </c>
      <c r="L543">
        <v>11</v>
      </c>
      <c r="M543" t="s">
        <v>1959</v>
      </c>
      <c r="N543" t="s">
        <v>1369</v>
      </c>
      <c r="O543" t="s">
        <v>46</v>
      </c>
      <c r="P543" t="s">
        <v>46</v>
      </c>
      <c r="Y543" t="s">
        <v>1963</v>
      </c>
    </row>
    <row r="544" spans="1:25">
      <c r="A544" t="s">
        <v>1964</v>
      </c>
      <c r="B544" t="s">
        <v>1965</v>
      </c>
      <c r="D544" t="s">
        <v>40</v>
      </c>
      <c r="E544" t="s">
        <v>41</v>
      </c>
      <c r="J544" t="s">
        <v>42</v>
      </c>
      <c r="K544" t="s">
        <v>43</v>
      </c>
      <c r="L544">
        <v>11</v>
      </c>
      <c r="M544" t="s">
        <v>1966</v>
      </c>
      <c r="N544" t="s">
        <v>1550</v>
      </c>
      <c r="O544" t="s">
        <v>46</v>
      </c>
      <c r="P544" t="s">
        <v>46</v>
      </c>
      <c r="Y544" t="s">
        <v>1967</v>
      </c>
    </row>
    <row r="545" spans="1:25">
      <c r="A545" t="s">
        <v>1968</v>
      </c>
      <c r="B545" t="s">
        <v>1969</v>
      </c>
      <c r="D545" t="s">
        <v>40</v>
      </c>
      <c r="E545" t="s">
        <v>41</v>
      </c>
      <c r="J545" t="s">
        <v>68</v>
      </c>
      <c r="K545" t="s">
        <v>69</v>
      </c>
      <c r="L545">
        <v>11</v>
      </c>
      <c r="M545" t="s">
        <v>1966</v>
      </c>
      <c r="N545" t="s">
        <v>64</v>
      </c>
      <c r="O545" t="s">
        <v>46</v>
      </c>
      <c r="P545" t="s">
        <v>46</v>
      </c>
      <c r="Y545" t="s">
        <v>1970</v>
      </c>
    </row>
    <row r="546" spans="1:25">
      <c r="A546" t="s">
        <v>1971</v>
      </c>
      <c r="B546" t="s">
        <v>1972</v>
      </c>
      <c r="D546" t="s">
        <v>40</v>
      </c>
      <c r="E546" t="s">
        <v>41</v>
      </c>
      <c r="J546" t="s">
        <v>76</v>
      </c>
      <c r="K546" t="s">
        <v>77</v>
      </c>
      <c r="L546">
        <v>11</v>
      </c>
      <c r="M546" t="s">
        <v>1966</v>
      </c>
      <c r="N546" t="s">
        <v>64</v>
      </c>
      <c r="O546" t="s">
        <v>46</v>
      </c>
      <c r="P546" t="s">
        <v>46</v>
      </c>
      <c r="Y546" t="s">
        <v>1973</v>
      </c>
    </row>
    <row r="547" spans="1:25">
      <c r="A547" t="s">
        <v>1974</v>
      </c>
      <c r="B547" t="s">
        <v>1975</v>
      </c>
      <c r="D547" t="s">
        <v>40</v>
      </c>
      <c r="E547" t="s">
        <v>41</v>
      </c>
      <c r="J547" t="s">
        <v>264</v>
      </c>
      <c r="K547" t="s">
        <v>265</v>
      </c>
      <c r="L547">
        <v>13</v>
      </c>
      <c r="M547" t="s">
        <v>1976</v>
      </c>
      <c r="N547" t="s">
        <v>1024</v>
      </c>
      <c r="O547" t="s">
        <v>46</v>
      </c>
      <c r="P547" t="s">
        <v>46</v>
      </c>
      <c r="Y547" t="s">
        <v>1977</v>
      </c>
    </row>
    <row r="548" spans="1:25">
      <c r="A548" t="s">
        <v>1978</v>
      </c>
      <c r="B548" t="s">
        <v>1979</v>
      </c>
      <c r="D548" t="s">
        <v>40</v>
      </c>
      <c r="E548" t="s">
        <v>41</v>
      </c>
      <c r="J548" t="s">
        <v>62</v>
      </c>
      <c r="K548" t="s">
        <v>63</v>
      </c>
      <c r="L548">
        <v>13</v>
      </c>
      <c r="M548" t="s">
        <v>1980</v>
      </c>
      <c r="N548" t="s">
        <v>64</v>
      </c>
      <c r="O548" t="s">
        <v>46</v>
      </c>
      <c r="P548" t="s">
        <v>46</v>
      </c>
      <c r="Y548" t="s">
        <v>1981</v>
      </c>
    </row>
    <row r="549" spans="1:25">
      <c r="A549" t="s">
        <v>1982</v>
      </c>
      <c r="B549" t="s">
        <v>1983</v>
      </c>
      <c r="D549" t="s">
        <v>40</v>
      </c>
      <c r="E549" t="s">
        <v>41</v>
      </c>
      <c r="J549" t="s">
        <v>62</v>
      </c>
      <c r="K549" t="s">
        <v>63</v>
      </c>
      <c r="L549">
        <v>13</v>
      </c>
      <c r="M549" t="s">
        <v>1980</v>
      </c>
      <c r="N549" t="s">
        <v>64</v>
      </c>
      <c r="O549" t="s">
        <v>46</v>
      </c>
      <c r="P549" t="s">
        <v>46</v>
      </c>
      <c r="Y549" t="s">
        <v>1984</v>
      </c>
    </row>
    <row r="550" spans="1:25">
      <c r="A550" t="s">
        <v>1985</v>
      </c>
      <c r="B550" t="s">
        <v>1986</v>
      </c>
      <c r="D550" t="s">
        <v>40</v>
      </c>
      <c r="E550" t="s">
        <v>41</v>
      </c>
      <c r="J550" t="s">
        <v>62</v>
      </c>
      <c r="K550" t="s">
        <v>63</v>
      </c>
      <c r="L550">
        <v>13</v>
      </c>
      <c r="M550" t="s">
        <v>1980</v>
      </c>
      <c r="N550" t="s">
        <v>64</v>
      </c>
      <c r="O550" t="s">
        <v>46</v>
      </c>
      <c r="P550" t="s">
        <v>46</v>
      </c>
      <c r="Y550" t="s">
        <v>1987</v>
      </c>
    </row>
    <row r="551" spans="1:25">
      <c r="A551" t="s">
        <v>1988</v>
      </c>
      <c r="B551" t="s">
        <v>1989</v>
      </c>
      <c r="D551" t="s">
        <v>40</v>
      </c>
      <c r="E551" t="s">
        <v>41</v>
      </c>
      <c r="J551" t="s">
        <v>182</v>
      </c>
      <c r="K551" t="s">
        <v>183</v>
      </c>
      <c r="L551">
        <v>13</v>
      </c>
      <c r="M551" t="s">
        <v>1990</v>
      </c>
      <c r="N551" t="s">
        <v>64</v>
      </c>
      <c r="O551" t="s">
        <v>46</v>
      </c>
      <c r="P551" t="s">
        <v>46</v>
      </c>
      <c r="Y551" t="s">
        <v>1991</v>
      </c>
    </row>
    <row r="552" spans="1:25">
      <c r="A552" t="s">
        <v>1992</v>
      </c>
      <c r="B552" t="s">
        <v>1993</v>
      </c>
      <c r="D552" t="s">
        <v>40</v>
      </c>
      <c r="E552" t="s">
        <v>41</v>
      </c>
      <c r="J552" t="s">
        <v>62</v>
      </c>
      <c r="K552" t="s">
        <v>63</v>
      </c>
      <c r="L552">
        <v>13</v>
      </c>
      <c r="M552" t="s">
        <v>1990</v>
      </c>
      <c r="N552" t="s">
        <v>64</v>
      </c>
      <c r="O552" t="s">
        <v>46</v>
      </c>
      <c r="P552" t="s">
        <v>46</v>
      </c>
      <c r="Y552" t="s">
        <v>1994</v>
      </c>
    </row>
    <row r="553" spans="1:25">
      <c r="A553" t="s">
        <v>1995</v>
      </c>
      <c r="B553" t="s">
        <v>1996</v>
      </c>
      <c r="D553" t="s">
        <v>40</v>
      </c>
      <c r="E553" t="s">
        <v>41</v>
      </c>
      <c r="J553" t="s">
        <v>1997</v>
      </c>
      <c r="K553" t="s">
        <v>1998</v>
      </c>
      <c r="L553">
        <v>13</v>
      </c>
      <c r="M553" t="s">
        <v>1990</v>
      </c>
      <c r="N553" t="s">
        <v>1229</v>
      </c>
      <c r="O553" t="s">
        <v>46</v>
      </c>
      <c r="P553" t="s">
        <v>46</v>
      </c>
      <c r="Y553" t="s">
        <v>1999</v>
      </c>
    </row>
    <row r="554" spans="1:25">
      <c r="A554" t="s">
        <v>2000</v>
      </c>
      <c r="B554" t="s">
        <v>2001</v>
      </c>
      <c r="D554" t="s">
        <v>40</v>
      </c>
      <c r="E554" t="s">
        <v>41</v>
      </c>
      <c r="J554" t="s">
        <v>182</v>
      </c>
      <c r="K554" t="s">
        <v>183</v>
      </c>
      <c r="L554">
        <v>13</v>
      </c>
      <c r="M554" t="s">
        <v>1990</v>
      </c>
      <c r="N554" t="s">
        <v>64</v>
      </c>
      <c r="O554" t="s">
        <v>46</v>
      </c>
      <c r="P554" t="s">
        <v>46</v>
      </c>
      <c r="Y554" t="s">
        <v>2002</v>
      </c>
    </row>
    <row r="555" spans="1:25">
      <c r="A555" t="s">
        <v>2003</v>
      </c>
      <c r="B555" t="s">
        <v>2004</v>
      </c>
      <c r="D555" t="s">
        <v>40</v>
      </c>
      <c r="E555" t="s">
        <v>41</v>
      </c>
      <c r="J555" t="s">
        <v>182</v>
      </c>
      <c r="K555" t="s">
        <v>183</v>
      </c>
      <c r="L555">
        <v>13</v>
      </c>
      <c r="M555" t="s">
        <v>2005</v>
      </c>
      <c r="N555" t="s">
        <v>64</v>
      </c>
      <c r="O555" t="s">
        <v>46</v>
      </c>
      <c r="P555" t="s">
        <v>46</v>
      </c>
      <c r="Y555" t="s">
        <v>2006</v>
      </c>
    </row>
    <row r="556" spans="1:25">
      <c r="A556" t="s">
        <v>2007</v>
      </c>
      <c r="B556" t="s">
        <v>2008</v>
      </c>
      <c r="D556" t="s">
        <v>40</v>
      </c>
      <c r="E556" t="s">
        <v>41</v>
      </c>
      <c r="J556" t="s">
        <v>182</v>
      </c>
      <c r="K556" t="s">
        <v>183</v>
      </c>
      <c r="L556">
        <v>13</v>
      </c>
      <c r="M556" t="s">
        <v>2005</v>
      </c>
      <c r="N556" t="s">
        <v>64</v>
      </c>
      <c r="O556" t="s">
        <v>46</v>
      </c>
      <c r="P556" t="s">
        <v>46</v>
      </c>
      <c r="Y556" t="s">
        <v>2009</v>
      </c>
    </row>
    <row r="557" spans="1:25">
      <c r="A557" t="s">
        <v>2010</v>
      </c>
      <c r="B557" t="s">
        <v>2011</v>
      </c>
      <c r="D557" t="s">
        <v>40</v>
      </c>
      <c r="E557" t="s">
        <v>41</v>
      </c>
      <c r="J557" t="s">
        <v>62</v>
      </c>
      <c r="K557" t="s">
        <v>63</v>
      </c>
      <c r="L557">
        <v>13</v>
      </c>
      <c r="M557" t="s">
        <v>2005</v>
      </c>
      <c r="N557" t="s">
        <v>64</v>
      </c>
      <c r="O557" t="s">
        <v>46</v>
      </c>
      <c r="P557" t="s">
        <v>46</v>
      </c>
      <c r="Y557" t="s">
        <v>2012</v>
      </c>
    </row>
    <row r="558" spans="1:25">
      <c r="A558" t="s">
        <v>2013</v>
      </c>
      <c r="B558" t="s">
        <v>2014</v>
      </c>
      <c r="D558" t="s">
        <v>40</v>
      </c>
      <c r="E558" t="s">
        <v>41</v>
      </c>
      <c r="J558" t="s">
        <v>62</v>
      </c>
      <c r="K558" t="s">
        <v>63</v>
      </c>
      <c r="L558">
        <v>13</v>
      </c>
      <c r="M558" t="s">
        <v>2005</v>
      </c>
      <c r="N558" t="s">
        <v>64</v>
      </c>
      <c r="O558" t="s">
        <v>46</v>
      </c>
      <c r="P558" t="s">
        <v>46</v>
      </c>
      <c r="Y558" t="s">
        <v>2015</v>
      </c>
    </row>
    <row r="559" spans="1:25">
      <c r="A559" t="s">
        <v>2016</v>
      </c>
      <c r="B559" t="s">
        <v>2017</v>
      </c>
      <c r="D559" t="s">
        <v>40</v>
      </c>
      <c r="E559" t="s">
        <v>41</v>
      </c>
      <c r="J559" t="s">
        <v>42</v>
      </c>
      <c r="K559" t="s">
        <v>43</v>
      </c>
      <c r="L559">
        <v>13</v>
      </c>
      <c r="M559" t="s">
        <v>2018</v>
      </c>
      <c r="N559" t="s">
        <v>950</v>
      </c>
      <c r="O559" t="s">
        <v>46</v>
      </c>
      <c r="P559" t="s">
        <v>46</v>
      </c>
      <c r="Y559" t="s">
        <v>2019</v>
      </c>
    </row>
    <row r="560" spans="1:25">
      <c r="A560" t="s">
        <v>2020</v>
      </c>
      <c r="B560" t="s">
        <v>2021</v>
      </c>
      <c r="D560" t="s">
        <v>40</v>
      </c>
      <c r="E560" t="s">
        <v>41</v>
      </c>
      <c r="J560" t="s">
        <v>76</v>
      </c>
      <c r="K560" t="s">
        <v>77</v>
      </c>
      <c r="L560">
        <v>13</v>
      </c>
      <c r="M560" t="s">
        <v>2018</v>
      </c>
      <c r="N560" t="s">
        <v>64</v>
      </c>
      <c r="O560" t="s">
        <v>46</v>
      </c>
      <c r="P560" t="s">
        <v>46</v>
      </c>
      <c r="Y560" t="s">
        <v>2022</v>
      </c>
    </row>
    <row r="561" spans="1:25">
      <c r="A561" t="s">
        <v>2023</v>
      </c>
      <c r="B561" t="s">
        <v>2024</v>
      </c>
      <c r="D561" t="s">
        <v>40</v>
      </c>
      <c r="E561" t="s">
        <v>41</v>
      </c>
      <c r="J561" t="s">
        <v>68</v>
      </c>
      <c r="K561" t="s">
        <v>69</v>
      </c>
      <c r="L561">
        <v>13</v>
      </c>
      <c r="M561" t="s">
        <v>2018</v>
      </c>
      <c r="N561" t="s">
        <v>64</v>
      </c>
      <c r="O561" t="s">
        <v>46</v>
      </c>
      <c r="P561" t="s">
        <v>46</v>
      </c>
      <c r="Y561" t="s">
        <v>2025</v>
      </c>
    </row>
    <row r="562" spans="1:25">
      <c r="A562" t="s">
        <v>2026</v>
      </c>
      <c r="B562" t="s">
        <v>2027</v>
      </c>
      <c r="D562" t="s">
        <v>40</v>
      </c>
      <c r="E562" t="s">
        <v>41</v>
      </c>
      <c r="J562" t="s">
        <v>42</v>
      </c>
      <c r="K562" t="s">
        <v>43</v>
      </c>
      <c r="L562">
        <v>13</v>
      </c>
      <c r="M562" t="s">
        <v>2018</v>
      </c>
      <c r="N562" t="s">
        <v>165</v>
      </c>
      <c r="O562" t="s">
        <v>46</v>
      </c>
      <c r="P562" t="s">
        <v>46</v>
      </c>
      <c r="Y562" t="s">
        <v>2028</v>
      </c>
    </row>
    <row r="563" spans="1:25">
      <c r="A563" t="s">
        <v>2029</v>
      </c>
      <c r="B563" t="s">
        <v>2030</v>
      </c>
      <c r="D563" t="s">
        <v>40</v>
      </c>
      <c r="E563" t="s">
        <v>41</v>
      </c>
      <c r="J563" t="s">
        <v>42</v>
      </c>
      <c r="K563" t="s">
        <v>43</v>
      </c>
      <c r="L563">
        <v>13</v>
      </c>
      <c r="M563" t="s">
        <v>2018</v>
      </c>
      <c r="N563" t="s">
        <v>756</v>
      </c>
      <c r="O563" t="s">
        <v>46</v>
      </c>
      <c r="P563" t="s">
        <v>46</v>
      </c>
      <c r="Y563" t="s">
        <v>2031</v>
      </c>
    </row>
    <row r="564" spans="1:25">
      <c r="A564" t="s">
        <v>2032</v>
      </c>
      <c r="B564" t="s">
        <v>2033</v>
      </c>
      <c r="D564" t="s">
        <v>40</v>
      </c>
      <c r="E564" t="s">
        <v>41</v>
      </c>
      <c r="J564" t="s">
        <v>76</v>
      </c>
      <c r="K564" t="s">
        <v>77</v>
      </c>
      <c r="L564">
        <v>13</v>
      </c>
      <c r="M564" t="s">
        <v>2018</v>
      </c>
      <c r="N564" t="s">
        <v>64</v>
      </c>
      <c r="O564" t="s">
        <v>46</v>
      </c>
      <c r="P564" t="s">
        <v>46</v>
      </c>
      <c r="Y564" t="s">
        <v>2034</v>
      </c>
    </row>
    <row r="565" spans="1:25">
      <c r="A565" t="s">
        <v>2035</v>
      </c>
      <c r="B565" t="s">
        <v>2036</v>
      </c>
      <c r="D565" t="s">
        <v>40</v>
      </c>
      <c r="E565" t="s">
        <v>41</v>
      </c>
      <c r="J565" t="s">
        <v>139</v>
      </c>
      <c r="K565" t="s">
        <v>140</v>
      </c>
      <c r="L565">
        <v>13</v>
      </c>
      <c r="M565" t="s">
        <v>2018</v>
      </c>
      <c r="N565" t="s">
        <v>1446</v>
      </c>
      <c r="O565" t="s">
        <v>46</v>
      </c>
      <c r="P565" t="s">
        <v>46</v>
      </c>
      <c r="Y565" t="s">
        <v>2037</v>
      </c>
    </row>
    <row r="566" spans="1:25">
      <c r="A566" t="s">
        <v>2038</v>
      </c>
      <c r="B566" t="s">
        <v>2039</v>
      </c>
      <c r="D566" t="s">
        <v>40</v>
      </c>
      <c r="E566" t="s">
        <v>41</v>
      </c>
      <c r="J566" t="s">
        <v>62</v>
      </c>
      <c r="K566" t="s">
        <v>63</v>
      </c>
      <c r="L566">
        <v>13</v>
      </c>
      <c r="M566" t="s">
        <v>2018</v>
      </c>
      <c r="N566" t="s">
        <v>64</v>
      </c>
      <c r="O566" t="s">
        <v>46</v>
      </c>
      <c r="P566" t="s">
        <v>46</v>
      </c>
      <c r="Y566" t="s">
        <v>2040</v>
      </c>
    </row>
    <row r="567" spans="1:25">
      <c r="A567" t="s">
        <v>2041</v>
      </c>
      <c r="B567" t="s">
        <v>2042</v>
      </c>
      <c r="D567" t="s">
        <v>40</v>
      </c>
      <c r="E567" t="s">
        <v>41</v>
      </c>
      <c r="J567" t="s">
        <v>62</v>
      </c>
      <c r="K567" t="s">
        <v>63</v>
      </c>
      <c r="L567">
        <v>13</v>
      </c>
      <c r="M567" t="s">
        <v>2018</v>
      </c>
      <c r="N567" t="s">
        <v>64</v>
      </c>
      <c r="O567" t="s">
        <v>46</v>
      </c>
      <c r="P567" t="s">
        <v>46</v>
      </c>
      <c r="Y567" t="s">
        <v>2043</v>
      </c>
    </row>
    <row r="568" spans="1:25">
      <c r="A568" t="s">
        <v>2044</v>
      </c>
      <c r="B568" t="s">
        <v>2045</v>
      </c>
      <c r="D568" t="s">
        <v>40</v>
      </c>
      <c r="E568" t="s">
        <v>41</v>
      </c>
      <c r="J568" t="s">
        <v>62</v>
      </c>
      <c r="K568" t="s">
        <v>63</v>
      </c>
      <c r="L568">
        <v>13</v>
      </c>
      <c r="M568" t="s">
        <v>2018</v>
      </c>
      <c r="N568" t="s">
        <v>64</v>
      </c>
      <c r="O568" t="s">
        <v>46</v>
      </c>
      <c r="P568" t="s">
        <v>46</v>
      </c>
      <c r="Y568" t="s">
        <v>2046</v>
      </c>
    </row>
    <row r="569" spans="1:25">
      <c r="A569" t="s">
        <v>2047</v>
      </c>
      <c r="B569" t="s">
        <v>2048</v>
      </c>
      <c r="D569" t="s">
        <v>40</v>
      </c>
      <c r="E569" t="s">
        <v>41</v>
      </c>
      <c r="J569" t="s">
        <v>62</v>
      </c>
      <c r="K569" t="s">
        <v>63</v>
      </c>
      <c r="L569">
        <v>13</v>
      </c>
      <c r="M569" t="s">
        <v>2049</v>
      </c>
      <c r="N569" t="s">
        <v>64</v>
      </c>
      <c r="O569" t="s">
        <v>46</v>
      </c>
      <c r="P569" t="s">
        <v>46</v>
      </c>
      <c r="Y569" t="s">
        <v>2050</v>
      </c>
    </row>
    <row r="570" spans="1:25">
      <c r="A570" t="s">
        <v>2051</v>
      </c>
      <c r="B570" t="s">
        <v>2052</v>
      </c>
      <c r="D570" t="s">
        <v>40</v>
      </c>
      <c r="E570" t="s">
        <v>41</v>
      </c>
      <c r="J570" t="s">
        <v>68</v>
      </c>
      <c r="K570" t="s">
        <v>69</v>
      </c>
      <c r="L570">
        <v>13</v>
      </c>
      <c r="M570" t="s">
        <v>2049</v>
      </c>
      <c r="N570" t="s">
        <v>64</v>
      </c>
      <c r="O570" t="s">
        <v>46</v>
      </c>
      <c r="P570" t="s">
        <v>46</v>
      </c>
      <c r="Y570" t="s">
        <v>2053</v>
      </c>
    </row>
    <row r="571" spans="1:25">
      <c r="A571" t="s">
        <v>2054</v>
      </c>
      <c r="B571" t="s">
        <v>2055</v>
      </c>
      <c r="D571" t="s">
        <v>40</v>
      </c>
      <c r="E571" t="s">
        <v>41</v>
      </c>
      <c r="J571" t="s">
        <v>182</v>
      </c>
      <c r="K571" t="s">
        <v>183</v>
      </c>
      <c r="L571">
        <v>13</v>
      </c>
      <c r="M571" t="s">
        <v>2056</v>
      </c>
      <c r="N571" t="s">
        <v>64</v>
      </c>
      <c r="O571" t="s">
        <v>46</v>
      </c>
      <c r="P571" t="s">
        <v>46</v>
      </c>
      <c r="Y571" t="s">
        <v>2057</v>
      </c>
    </row>
    <row r="572" spans="1:25">
      <c r="A572" t="s">
        <v>2058</v>
      </c>
      <c r="B572" t="s">
        <v>2059</v>
      </c>
      <c r="D572" t="s">
        <v>40</v>
      </c>
      <c r="E572" t="s">
        <v>41</v>
      </c>
      <c r="J572" t="s">
        <v>62</v>
      </c>
      <c r="K572" t="s">
        <v>63</v>
      </c>
      <c r="L572">
        <v>13</v>
      </c>
      <c r="M572" t="s">
        <v>2056</v>
      </c>
      <c r="N572" t="s">
        <v>64</v>
      </c>
      <c r="O572" t="s">
        <v>46</v>
      </c>
      <c r="P572" t="s">
        <v>46</v>
      </c>
      <c r="Y572" t="s">
        <v>2060</v>
      </c>
    </row>
    <row r="573" spans="1:25">
      <c r="A573" t="s">
        <v>2061</v>
      </c>
      <c r="B573" t="s">
        <v>2062</v>
      </c>
      <c r="D573" t="s">
        <v>40</v>
      </c>
      <c r="E573" t="s">
        <v>41</v>
      </c>
      <c r="J573" t="s">
        <v>76</v>
      </c>
      <c r="K573" t="s">
        <v>77</v>
      </c>
      <c r="L573">
        <v>13</v>
      </c>
      <c r="M573" t="s">
        <v>2063</v>
      </c>
      <c r="N573" t="s">
        <v>64</v>
      </c>
      <c r="O573" t="s">
        <v>46</v>
      </c>
      <c r="P573" t="s">
        <v>46</v>
      </c>
      <c r="Y573" t="s">
        <v>2064</v>
      </c>
    </row>
    <row r="574" spans="1:25">
      <c r="A574" t="s">
        <v>2065</v>
      </c>
      <c r="B574" t="s">
        <v>2066</v>
      </c>
      <c r="D574" t="s">
        <v>40</v>
      </c>
      <c r="E574" t="s">
        <v>41</v>
      </c>
      <c r="J574" t="s">
        <v>182</v>
      </c>
      <c r="K574" t="s">
        <v>183</v>
      </c>
      <c r="L574">
        <v>13</v>
      </c>
      <c r="M574" t="s">
        <v>2063</v>
      </c>
      <c r="N574" t="s">
        <v>64</v>
      </c>
      <c r="O574" t="s">
        <v>46</v>
      </c>
      <c r="P574" t="s">
        <v>46</v>
      </c>
      <c r="Y574" t="s">
        <v>2067</v>
      </c>
    </row>
    <row r="575" spans="1:25">
      <c r="A575" t="s">
        <v>2068</v>
      </c>
      <c r="B575" t="s">
        <v>2069</v>
      </c>
      <c r="D575" t="s">
        <v>40</v>
      </c>
      <c r="E575" t="s">
        <v>41</v>
      </c>
      <c r="J575" t="s">
        <v>182</v>
      </c>
      <c r="K575" t="s">
        <v>183</v>
      </c>
      <c r="L575">
        <v>13</v>
      </c>
      <c r="M575" t="s">
        <v>2070</v>
      </c>
      <c r="N575" t="s">
        <v>64</v>
      </c>
      <c r="O575" t="s">
        <v>46</v>
      </c>
      <c r="P575" t="s">
        <v>46</v>
      </c>
      <c r="Y575" t="s">
        <v>2071</v>
      </c>
    </row>
    <row r="576" spans="1:25">
      <c r="A576" t="s">
        <v>2072</v>
      </c>
      <c r="B576" t="s">
        <v>2073</v>
      </c>
      <c r="D576" t="s">
        <v>40</v>
      </c>
      <c r="E576" t="s">
        <v>41</v>
      </c>
      <c r="J576" t="s">
        <v>76</v>
      </c>
      <c r="K576" t="s">
        <v>77</v>
      </c>
      <c r="L576">
        <v>13</v>
      </c>
      <c r="M576" t="s">
        <v>2070</v>
      </c>
      <c r="N576" t="s">
        <v>64</v>
      </c>
      <c r="O576" t="s">
        <v>46</v>
      </c>
      <c r="P576" t="s">
        <v>46</v>
      </c>
      <c r="Y576" t="s">
        <v>2074</v>
      </c>
    </row>
    <row r="577" spans="1:25">
      <c r="A577" t="s">
        <v>2075</v>
      </c>
      <c r="B577" t="s">
        <v>2076</v>
      </c>
      <c r="D577" t="s">
        <v>40</v>
      </c>
      <c r="E577" t="s">
        <v>41</v>
      </c>
      <c r="J577" t="s">
        <v>62</v>
      </c>
      <c r="K577" t="s">
        <v>63</v>
      </c>
      <c r="L577">
        <v>13</v>
      </c>
      <c r="M577" t="s">
        <v>2077</v>
      </c>
      <c r="N577" t="s">
        <v>64</v>
      </c>
      <c r="O577" t="s">
        <v>46</v>
      </c>
      <c r="P577" t="s">
        <v>46</v>
      </c>
      <c r="Y577" t="s">
        <v>2078</v>
      </c>
    </row>
    <row r="578" spans="1:25">
      <c r="A578" t="s">
        <v>2079</v>
      </c>
      <c r="B578" t="s">
        <v>2080</v>
      </c>
      <c r="D578" t="s">
        <v>40</v>
      </c>
      <c r="E578" t="s">
        <v>41</v>
      </c>
      <c r="J578" t="s">
        <v>62</v>
      </c>
      <c r="K578" t="s">
        <v>63</v>
      </c>
      <c r="L578">
        <v>13</v>
      </c>
      <c r="M578" t="s">
        <v>2077</v>
      </c>
      <c r="N578" t="s">
        <v>64</v>
      </c>
      <c r="O578" t="s">
        <v>46</v>
      </c>
      <c r="P578" t="s">
        <v>46</v>
      </c>
      <c r="Y578" t="s">
        <v>2081</v>
      </c>
    </row>
    <row r="579" spans="1:25">
      <c r="A579" t="s">
        <v>2082</v>
      </c>
      <c r="B579" t="s">
        <v>2083</v>
      </c>
      <c r="D579" t="s">
        <v>40</v>
      </c>
      <c r="E579" t="s">
        <v>41</v>
      </c>
      <c r="J579" t="s">
        <v>62</v>
      </c>
      <c r="K579" t="s">
        <v>63</v>
      </c>
      <c r="L579">
        <v>13</v>
      </c>
      <c r="M579" t="s">
        <v>2084</v>
      </c>
      <c r="N579" t="s">
        <v>64</v>
      </c>
      <c r="O579" t="s">
        <v>46</v>
      </c>
      <c r="P579" t="s">
        <v>46</v>
      </c>
      <c r="Y579" t="s">
        <v>2085</v>
      </c>
    </row>
    <row r="580" spans="1:25">
      <c r="A580" t="s">
        <v>2086</v>
      </c>
      <c r="B580" t="s">
        <v>2087</v>
      </c>
      <c r="D580" t="s">
        <v>40</v>
      </c>
      <c r="E580" t="s">
        <v>41</v>
      </c>
      <c r="J580" t="s">
        <v>62</v>
      </c>
      <c r="K580" t="s">
        <v>63</v>
      </c>
      <c r="L580">
        <v>13</v>
      </c>
      <c r="M580" t="s">
        <v>2084</v>
      </c>
      <c r="N580" t="s">
        <v>64</v>
      </c>
      <c r="O580" t="s">
        <v>46</v>
      </c>
      <c r="P580" t="s">
        <v>46</v>
      </c>
      <c r="Y580" t="s">
        <v>2088</v>
      </c>
    </row>
    <row r="581" spans="1:25">
      <c r="A581" t="s">
        <v>2089</v>
      </c>
      <c r="B581" t="s">
        <v>2090</v>
      </c>
      <c r="D581" t="s">
        <v>40</v>
      </c>
      <c r="E581" t="s">
        <v>41</v>
      </c>
      <c r="J581" t="s">
        <v>76</v>
      </c>
      <c r="K581" t="s">
        <v>77</v>
      </c>
      <c r="L581">
        <v>13</v>
      </c>
      <c r="M581" t="s">
        <v>2084</v>
      </c>
      <c r="N581" t="s">
        <v>64</v>
      </c>
      <c r="O581" t="s">
        <v>46</v>
      </c>
      <c r="P581" t="s">
        <v>46</v>
      </c>
      <c r="Y581" t="s">
        <v>2091</v>
      </c>
    </row>
    <row r="582" spans="1:25">
      <c r="A582" t="s">
        <v>2092</v>
      </c>
      <c r="B582" t="s">
        <v>2093</v>
      </c>
      <c r="D582" t="s">
        <v>40</v>
      </c>
      <c r="E582" t="s">
        <v>41</v>
      </c>
      <c r="J582" t="s">
        <v>62</v>
      </c>
      <c r="K582" t="s">
        <v>63</v>
      </c>
      <c r="L582">
        <v>13</v>
      </c>
      <c r="M582" t="s">
        <v>2084</v>
      </c>
      <c r="N582" t="s">
        <v>64</v>
      </c>
      <c r="O582" t="s">
        <v>46</v>
      </c>
      <c r="P582" t="s">
        <v>46</v>
      </c>
      <c r="Y582" t="s">
        <v>2094</v>
      </c>
    </row>
    <row r="583" spans="1:25">
      <c r="A583" t="s">
        <v>2095</v>
      </c>
      <c r="B583" t="s">
        <v>2096</v>
      </c>
      <c r="D583" t="s">
        <v>40</v>
      </c>
      <c r="E583" t="s">
        <v>41</v>
      </c>
      <c r="J583" t="s">
        <v>182</v>
      </c>
      <c r="K583" t="s">
        <v>183</v>
      </c>
      <c r="L583">
        <v>13</v>
      </c>
      <c r="M583" t="s">
        <v>2084</v>
      </c>
      <c r="N583" t="s">
        <v>64</v>
      </c>
      <c r="O583" t="s">
        <v>46</v>
      </c>
      <c r="P583" t="s">
        <v>46</v>
      </c>
      <c r="Y583" t="s">
        <v>2097</v>
      </c>
    </row>
    <row r="584" spans="1:25">
      <c r="A584" t="s">
        <v>2098</v>
      </c>
      <c r="B584" t="s">
        <v>2099</v>
      </c>
      <c r="D584" t="s">
        <v>40</v>
      </c>
      <c r="E584" t="s">
        <v>41</v>
      </c>
      <c r="J584" t="s">
        <v>182</v>
      </c>
      <c r="K584" t="s">
        <v>183</v>
      </c>
      <c r="L584">
        <v>13</v>
      </c>
      <c r="M584" t="s">
        <v>2084</v>
      </c>
      <c r="N584" t="s">
        <v>64</v>
      </c>
      <c r="O584" t="s">
        <v>46</v>
      </c>
      <c r="P584" t="s">
        <v>46</v>
      </c>
      <c r="Y584" t="s">
        <v>2100</v>
      </c>
    </row>
    <row r="585" spans="1:25">
      <c r="A585" t="s">
        <v>2101</v>
      </c>
      <c r="B585" t="s">
        <v>2102</v>
      </c>
      <c r="D585" t="s">
        <v>40</v>
      </c>
      <c r="E585" t="s">
        <v>41</v>
      </c>
      <c r="J585" t="s">
        <v>182</v>
      </c>
      <c r="K585" t="s">
        <v>183</v>
      </c>
      <c r="L585">
        <v>13</v>
      </c>
      <c r="M585" t="s">
        <v>2084</v>
      </c>
      <c r="N585" t="s">
        <v>64</v>
      </c>
      <c r="O585" t="s">
        <v>46</v>
      </c>
      <c r="P585" t="s">
        <v>46</v>
      </c>
      <c r="Y585" t="s">
        <v>2103</v>
      </c>
    </row>
    <row r="586" spans="1:25">
      <c r="A586" t="s">
        <v>2104</v>
      </c>
      <c r="B586" t="s">
        <v>2105</v>
      </c>
      <c r="D586" t="s">
        <v>40</v>
      </c>
      <c r="E586" t="s">
        <v>41</v>
      </c>
      <c r="J586" t="s">
        <v>62</v>
      </c>
      <c r="K586" t="s">
        <v>63</v>
      </c>
      <c r="L586">
        <v>13</v>
      </c>
      <c r="M586" t="s">
        <v>2084</v>
      </c>
      <c r="N586" t="s">
        <v>64</v>
      </c>
      <c r="O586" t="s">
        <v>46</v>
      </c>
      <c r="P586" t="s">
        <v>46</v>
      </c>
      <c r="Y586" t="s">
        <v>2106</v>
      </c>
    </row>
    <row r="587" spans="1:25">
      <c r="A587" t="s">
        <v>2107</v>
      </c>
      <c r="B587" t="s">
        <v>2108</v>
      </c>
      <c r="D587" t="s">
        <v>40</v>
      </c>
      <c r="E587" t="s">
        <v>41</v>
      </c>
      <c r="J587" t="s">
        <v>62</v>
      </c>
      <c r="K587" t="s">
        <v>63</v>
      </c>
      <c r="L587">
        <v>13</v>
      </c>
      <c r="M587" t="s">
        <v>2109</v>
      </c>
      <c r="N587" t="s">
        <v>64</v>
      </c>
      <c r="O587" t="s">
        <v>46</v>
      </c>
      <c r="P587" t="s">
        <v>46</v>
      </c>
      <c r="Y587" t="s">
        <v>2110</v>
      </c>
    </row>
    <row r="588" spans="1:25">
      <c r="A588" t="s">
        <v>2111</v>
      </c>
      <c r="B588" t="s">
        <v>2112</v>
      </c>
      <c r="D588" t="s">
        <v>40</v>
      </c>
      <c r="E588" t="s">
        <v>41</v>
      </c>
      <c r="J588" t="s">
        <v>62</v>
      </c>
      <c r="K588" t="s">
        <v>63</v>
      </c>
      <c r="L588">
        <v>13</v>
      </c>
      <c r="M588" t="s">
        <v>2109</v>
      </c>
      <c r="N588" t="s">
        <v>64</v>
      </c>
      <c r="O588" t="s">
        <v>46</v>
      </c>
      <c r="P588" t="s">
        <v>46</v>
      </c>
      <c r="Y588" t="s">
        <v>2113</v>
      </c>
    </row>
    <row r="589" spans="1:25">
      <c r="A589" t="s">
        <v>2114</v>
      </c>
      <c r="B589" t="s">
        <v>2115</v>
      </c>
      <c r="D589" t="s">
        <v>40</v>
      </c>
      <c r="E589" t="s">
        <v>41</v>
      </c>
      <c r="J589" t="s">
        <v>182</v>
      </c>
      <c r="K589" t="s">
        <v>183</v>
      </c>
      <c r="L589">
        <v>13</v>
      </c>
      <c r="M589" t="s">
        <v>2116</v>
      </c>
      <c r="N589" t="s">
        <v>64</v>
      </c>
      <c r="O589" t="s">
        <v>46</v>
      </c>
      <c r="P589" t="s">
        <v>46</v>
      </c>
      <c r="Y589" t="s">
        <v>2117</v>
      </c>
    </row>
    <row r="590" spans="1:25">
      <c r="A590" t="s">
        <v>2118</v>
      </c>
      <c r="B590" t="s">
        <v>2119</v>
      </c>
      <c r="D590" t="s">
        <v>40</v>
      </c>
      <c r="E590" t="s">
        <v>41</v>
      </c>
      <c r="J590" t="s">
        <v>62</v>
      </c>
      <c r="K590" t="s">
        <v>63</v>
      </c>
      <c r="L590">
        <v>13</v>
      </c>
      <c r="M590" t="s">
        <v>2116</v>
      </c>
      <c r="N590" t="s">
        <v>64</v>
      </c>
      <c r="O590" t="s">
        <v>46</v>
      </c>
      <c r="P590" t="s">
        <v>46</v>
      </c>
      <c r="Y590" t="s">
        <v>2120</v>
      </c>
    </row>
    <row r="591" spans="1:25">
      <c r="A591" t="s">
        <v>2121</v>
      </c>
      <c r="B591" t="s">
        <v>2122</v>
      </c>
      <c r="D591" t="s">
        <v>40</v>
      </c>
      <c r="E591" t="s">
        <v>41</v>
      </c>
      <c r="J591" t="s">
        <v>62</v>
      </c>
      <c r="K591" t="s">
        <v>63</v>
      </c>
      <c r="L591">
        <v>13</v>
      </c>
      <c r="M591" t="s">
        <v>2116</v>
      </c>
      <c r="N591" t="s">
        <v>64</v>
      </c>
      <c r="O591" t="s">
        <v>46</v>
      </c>
      <c r="P591" t="s">
        <v>46</v>
      </c>
      <c r="Y591" t="s">
        <v>2123</v>
      </c>
    </row>
    <row r="592" spans="1:25">
      <c r="A592" t="s">
        <v>2124</v>
      </c>
      <c r="B592" t="s">
        <v>2125</v>
      </c>
      <c r="D592" t="s">
        <v>40</v>
      </c>
      <c r="E592" t="s">
        <v>41</v>
      </c>
      <c r="J592" t="s">
        <v>68</v>
      </c>
      <c r="K592" t="s">
        <v>69</v>
      </c>
      <c r="L592">
        <v>13</v>
      </c>
      <c r="M592" t="s">
        <v>2126</v>
      </c>
      <c r="N592" t="s">
        <v>64</v>
      </c>
      <c r="O592" t="s">
        <v>46</v>
      </c>
      <c r="P592" t="s">
        <v>46</v>
      </c>
      <c r="Y592" t="s">
        <v>2127</v>
      </c>
    </row>
    <row r="593" spans="1:25">
      <c r="A593" t="s">
        <v>2128</v>
      </c>
      <c r="B593" t="s">
        <v>2129</v>
      </c>
      <c r="D593" t="s">
        <v>40</v>
      </c>
      <c r="E593" t="s">
        <v>41</v>
      </c>
      <c r="J593" t="s">
        <v>50</v>
      </c>
      <c r="K593" t="s">
        <v>51</v>
      </c>
      <c r="L593">
        <v>13</v>
      </c>
      <c r="M593" t="s">
        <v>2130</v>
      </c>
      <c r="N593" t="s">
        <v>617</v>
      </c>
      <c r="O593" t="s">
        <v>46</v>
      </c>
      <c r="P593" t="s">
        <v>46</v>
      </c>
      <c r="Y593" t="s">
        <v>2131</v>
      </c>
    </row>
    <row r="594" spans="1:25">
      <c r="A594" t="s">
        <v>2132</v>
      </c>
      <c r="B594" t="s">
        <v>2133</v>
      </c>
      <c r="D594" t="s">
        <v>40</v>
      </c>
      <c r="E594" t="s">
        <v>41</v>
      </c>
      <c r="J594" t="s">
        <v>76</v>
      </c>
      <c r="K594" t="s">
        <v>77</v>
      </c>
      <c r="L594">
        <v>13</v>
      </c>
      <c r="M594" t="s">
        <v>2130</v>
      </c>
      <c r="N594" t="s">
        <v>64</v>
      </c>
      <c r="O594" t="s">
        <v>46</v>
      </c>
      <c r="P594" t="s">
        <v>46</v>
      </c>
      <c r="Y594" t="s">
        <v>2134</v>
      </c>
    </row>
    <row r="595" spans="1:25">
      <c r="A595" t="s">
        <v>2135</v>
      </c>
      <c r="B595" t="s">
        <v>2136</v>
      </c>
      <c r="D595" t="s">
        <v>40</v>
      </c>
      <c r="E595" t="s">
        <v>41</v>
      </c>
      <c r="J595" t="s">
        <v>1214</v>
      </c>
      <c r="K595" t="s">
        <v>1215</v>
      </c>
      <c r="L595">
        <v>13</v>
      </c>
      <c r="M595" t="s">
        <v>2130</v>
      </c>
      <c r="N595" t="s">
        <v>1397</v>
      </c>
      <c r="O595" t="s">
        <v>46</v>
      </c>
      <c r="P595" t="s">
        <v>46</v>
      </c>
      <c r="Y595" t="s">
        <v>2137</v>
      </c>
    </row>
    <row r="596" spans="1:25">
      <c r="A596" t="s">
        <v>2138</v>
      </c>
      <c r="B596" t="s">
        <v>2139</v>
      </c>
      <c r="D596" t="s">
        <v>40</v>
      </c>
      <c r="E596" t="s">
        <v>41</v>
      </c>
      <c r="J596" t="s">
        <v>62</v>
      </c>
      <c r="K596" t="s">
        <v>63</v>
      </c>
      <c r="L596">
        <v>13</v>
      </c>
      <c r="M596" t="s">
        <v>2130</v>
      </c>
      <c r="N596" t="s">
        <v>64</v>
      </c>
      <c r="O596" t="s">
        <v>46</v>
      </c>
      <c r="P596" t="s">
        <v>46</v>
      </c>
      <c r="Y596" t="s">
        <v>2140</v>
      </c>
    </row>
    <row r="597" spans="1:25">
      <c r="A597" t="s">
        <v>2141</v>
      </c>
      <c r="B597" t="s">
        <v>2142</v>
      </c>
      <c r="D597" t="s">
        <v>40</v>
      </c>
      <c r="E597" t="s">
        <v>41</v>
      </c>
      <c r="J597" t="s">
        <v>182</v>
      </c>
      <c r="K597" t="s">
        <v>183</v>
      </c>
      <c r="L597">
        <v>13</v>
      </c>
      <c r="M597" t="s">
        <v>2130</v>
      </c>
      <c r="N597" t="s">
        <v>64</v>
      </c>
      <c r="O597" t="s">
        <v>46</v>
      </c>
      <c r="P597" t="s">
        <v>46</v>
      </c>
      <c r="Y597" t="s">
        <v>2143</v>
      </c>
    </row>
    <row r="598" spans="1:25">
      <c r="A598" t="s">
        <v>2144</v>
      </c>
      <c r="B598" t="s">
        <v>2145</v>
      </c>
      <c r="D598" t="s">
        <v>40</v>
      </c>
      <c r="E598" t="s">
        <v>41</v>
      </c>
      <c r="J598" t="s">
        <v>42</v>
      </c>
      <c r="K598" t="s">
        <v>43</v>
      </c>
      <c r="L598">
        <v>13</v>
      </c>
      <c r="M598" t="s">
        <v>2146</v>
      </c>
      <c r="N598" t="s">
        <v>296</v>
      </c>
      <c r="O598" t="s">
        <v>46</v>
      </c>
      <c r="P598" t="s">
        <v>46</v>
      </c>
      <c r="Y598" t="s">
        <v>2147</v>
      </c>
    </row>
    <row r="599" spans="1:25">
      <c r="A599" t="s">
        <v>2148</v>
      </c>
      <c r="B599" t="s">
        <v>2149</v>
      </c>
      <c r="D599" t="s">
        <v>40</v>
      </c>
      <c r="E599" t="s">
        <v>41</v>
      </c>
      <c r="J599" t="s">
        <v>62</v>
      </c>
      <c r="K599" t="s">
        <v>63</v>
      </c>
      <c r="L599">
        <v>13</v>
      </c>
      <c r="M599" t="s">
        <v>2150</v>
      </c>
      <c r="N599" t="s">
        <v>64</v>
      </c>
      <c r="O599" t="s">
        <v>46</v>
      </c>
      <c r="P599" t="s">
        <v>46</v>
      </c>
      <c r="Y599" t="s">
        <v>2151</v>
      </c>
    </row>
    <row r="600" spans="1:25">
      <c r="A600" t="s">
        <v>2152</v>
      </c>
      <c r="B600" t="s">
        <v>2153</v>
      </c>
      <c r="D600" t="s">
        <v>40</v>
      </c>
      <c r="E600" t="s">
        <v>41</v>
      </c>
      <c r="J600" t="s">
        <v>288</v>
      </c>
      <c r="K600" t="s">
        <v>289</v>
      </c>
      <c r="L600">
        <v>13</v>
      </c>
      <c r="M600" t="s">
        <v>2150</v>
      </c>
      <c r="N600" t="s">
        <v>2154</v>
      </c>
      <c r="O600" t="s">
        <v>46</v>
      </c>
      <c r="P600" t="s">
        <v>46</v>
      </c>
      <c r="Y600" t="s">
        <v>2155</v>
      </c>
    </row>
    <row r="601" spans="1:25">
      <c r="A601" t="s">
        <v>2156</v>
      </c>
      <c r="B601" t="s">
        <v>2157</v>
      </c>
      <c r="D601" t="s">
        <v>40</v>
      </c>
      <c r="E601" t="s">
        <v>41</v>
      </c>
      <c r="J601" t="s">
        <v>1214</v>
      </c>
      <c r="K601" t="s">
        <v>1215</v>
      </c>
      <c r="L601">
        <v>12</v>
      </c>
      <c r="M601" t="s">
        <v>2150</v>
      </c>
      <c r="N601" t="s">
        <v>142</v>
      </c>
      <c r="O601" t="s">
        <v>46</v>
      </c>
      <c r="P601" t="s">
        <v>46</v>
      </c>
      <c r="Y601" t="s">
        <v>2158</v>
      </c>
    </row>
    <row r="602" spans="1:25">
      <c r="A602" t="s">
        <v>2159</v>
      </c>
      <c r="B602" t="s">
        <v>2160</v>
      </c>
      <c r="D602" t="s">
        <v>40</v>
      </c>
      <c r="E602" t="s">
        <v>41</v>
      </c>
      <c r="J602" t="s">
        <v>62</v>
      </c>
      <c r="K602" t="s">
        <v>63</v>
      </c>
      <c r="L602">
        <v>13</v>
      </c>
      <c r="M602" t="s">
        <v>2150</v>
      </c>
      <c r="N602" t="s">
        <v>64</v>
      </c>
      <c r="O602" t="s">
        <v>46</v>
      </c>
      <c r="P602" t="s">
        <v>46</v>
      </c>
      <c r="Y602" t="s">
        <v>2161</v>
      </c>
    </row>
    <row r="603" spans="1:25">
      <c r="A603" t="s">
        <v>2162</v>
      </c>
      <c r="B603" t="s">
        <v>2163</v>
      </c>
      <c r="D603" t="s">
        <v>40</v>
      </c>
      <c r="E603" t="s">
        <v>41</v>
      </c>
      <c r="J603" t="s">
        <v>42</v>
      </c>
      <c r="K603" t="s">
        <v>43</v>
      </c>
      <c r="L603">
        <v>13</v>
      </c>
      <c r="M603" t="s">
        <v>2150</v>
      </c>
      <c r="N603" t="s">
        <v>1380</v>
      </c>
      <c r="O603" t="s">
        <v>46</v>
      </c>
      <c r="P603" t="s">
        <v>46</v>
      </c>
      <c r="Y603" t="s">
        <v>2164</v>
      </c>
    </row>
    <row r="604" spans="1:25">
      <c r="A604" t="s">
        <v>2165</v>
      </c>
      <c r="B604" t="s">
        <v>2166</v>
      </c>
      <c r="D604" t="s">
        <v>40</v>
      </c>
      <c r="E604" t="s">
        <v>41</v>
      </c>
      <c r="J604" t="s">
        <v>62</v>
      </c>
      <c r="K604" t="s">
        <v>63</v>
      </c>
      <c r="L604">
        <v>13</v>
      </c>
      <c r="M604" t="s">
        <v>2150</v>
      </c>
      <c r="N604" t="s">
        <v>64</v>
      </c>
      <c r="O604" t="s">
        <v>46</v>
      </c>
      <c r="P604" t="s">
        <v>46</v>
      </c>
      <c r="Y604" t="s">
        <v>2167</v>
      </c>
    </row>
    <row r="605" spans="1:25">
      <c r="A605" t="s">
        <v>2168</v>
      </c>
      <c r="B605" t="s">
        <v>2169</v>
      </c>
      <c r="D605" t="s">
        <v>40</v>
      </c>
      <c r="E605" t="s">
        <v>41</v>
      </c>
      <c r="J605" t="s">
        <v>76</v>
      </c>
      <c r="K605" t="s">
        <v>77</v>
      </c>
      <c r="L605">
        <v>11</v>
      </c>
      <c r="M605" t="s">
        <v>2170</v>
      </c>
      <c r="N605" t="s">
        <v>64</v>
      </c>
      <c r="O605" t="s">
        <v>46</v>
      </c>
      <c r="P605" t="s">
        <v>46</v>
      </c>
      <c r="Y605" t="s">
        <v>2171</v>
      </c>
    </row>
    <row r="606" spans="1:25">
      <c r="A606" t="s">
        <v>2172</v>
      </c>
      <c r="B606" t="s">
        <v>2173</v>
      </c>
      <c r="D606" t="s">
        <v>40</v>
      </c>
      <c r="E606" t="s">
        <v>41</v>
      </c>
      <c r="J606" t="s">
        <v>1554</v>
      </c>
      <c r="K606" t="s">
        <v>1555</v>
      </c>
      <c r="L606">
        <v>11</v>
      </c>
      <c r="M606" t="s">
        <v>2170</v>
      </c>
      <c r="N606" t="s">
        <v>210</v>
      </c>
      <c r="O606" t="s">
        <v>46</v>
      </c>
      <c r="P606" t="s">
        <v>46</v>
      </c>
      <c r="Y606" t="s">
        <v>2174</v>
      </c>
    </row>
    <row r="607" spans="1:25">
      <c r="A607" t="s">
        <v>2175</v>
      </c>
      <c r="B607" t="s">
        <v>2176</v>
      </c>
      <c r="D607" t="s">
        <v>40</v>
      </c>
      <c r="E607" t="s">
        <v>41</v>
      </c>
      <c r="J607" t="s">
        <v>182</v>
      </c>
      <c r="K607" t="s">
        <v>183</v>
      </c>
      <c r="L607">
        <v>13</v>
      </c>
      <c r="M607" t="s">
        <v>2177</v>
      </c>
      <c r="N607" t="s">
        <v>64</v>
      </c>
      <c r="O607" t="s">
        <v>46</v>
      </c>
      <c r="P607" t="s">
        <v>46</v>
      </c>
      <c r="Y607" t="s">
        <v>2178</v>
      </c>
    </row>
    <row r="608" spans="1:25">
      <c r="A608" t="s">
        <v>2179</v>
      </c>
      <c r="B608" t="s">
        <v>2180</v>
      </c>
      <c r="D608" t="s">
        <v>40</v>
      </c>
      <c r="E608" t="s">
        <v>41</v>
      </c>
      <c r="J608" t="s">
        <v>76</v>
      </c>
      <c r="K608" t="s">
        <v>77</v>
      </c>
      <c r="L608">
        <v>13</v>
      </c>
      <c r="M608" t="s">
        <v>2181</v>
      </c>
      <c r="N608" t="s">
        <v>64</v>
      </c>
      <c r="O608" t="s">
        <v>46</v>
      </c>
      <c r="P608" t="s">
        <v>46</v>
      </c>
      <c r="Y608" t="s">
        <v>2182</v>
      </c>
    </row>
    <row r="609" spans="1:25">
      <c r="A609" t="s">
        <v>2183</v>
      </c>
      <c r="B609" t="s">
        <v>2184</v>
      </c>
      <c r="D609" t="s">
        <v>40</v>
      </c>
      <c r="E609" t="s">
        <v>41</v>
      </c>
      <c r="J609" t="s">
        <v>62</v>
      </c>
      <c r="K609" t="s">
        <v>63</v>
      </c>
      <c r="L609">
        <v>13</v>
      </c>
      <c r="M609" t="s">
        <v>2181</v>
      </c>
      <c r="N609" t="s">
        <v>64</v>
      </c>
      <c r="O609" t="s">
        <v>46</v>
      </c>
      <c r="P609" t="s">
        <v>46</v>
      </c>
      <c r="Y609" t="s">
        <v>2185</v>
      </c>
    </row>
    <row r="610" spans="1:25">
      <c r="A610" t="s">
        <v>2186</v>
      </c>
      <c r="B610" t="s">
        <v>2187</v>
      </c>
      <c r="D610" t="s">
        <v>40</v>
      </c>
      <c r="E610" t="s">
        <v>41</v>
      </c>
      <c r="J610" t="s">
        <v>68</v>
      </c>
      <c r="K610" t="s">
        <v>69</v>
      </c>
      <c r="L610">
        <v>13</v>
      </c>
      <c r="M610" t="s">
        <v>2181</v>
      </c>
      <c r="N610" t="s">
        <v>64</v>
      </c>
      <c r="O610" t="s">
        <v>46</v>
      </c>
      <c r="P610" t="s">
        <v>46</v>
      </c>
      <c r="Y610" t="s">
        <v>2188</v>
      </c>
    </row>
    <row r="611" spans="1:25">
      <c r="A611" t="s">
        <v>2189</v>
      </c>
      <c r="B611" t="s">
        <v>2190</v>
      </c>
      <c r="D611" t="s">
        <v>40</v>
      </c>
      <c r="E611" t="s">
        <v>41</v>
      </c>
      <c r="J611" t="s">
        <v>182</v>
      </c>
      <c r="K611" t="s">
        <v>183</v>
      </c>
      <c r="L611">
        <v>13</v>
      </c>
      <c r="M611" t="s">
        <v>2181</v>
      </c>
      <c r="N611" t="s">
        <v>64</v>
      </c>
      <c r="O611" t="s">
        <v>46</v>
      </c>
      <c r="P611" t="s">
        <v>46</v>
      </c>
      <c r="Y611" t="s">
        <v>2191</v>
      </c>
    </row>
    <row r="612" spans="1:25">
      <c r="A612" t="s">
        <v>2192</v>
      </c>
      <c r="B612" t="s">
        <v>2193</v>
      </c>
      <c r="D612" t="s">
        <v>40</v>
      </c>
      <c r="E612" t="s">
        <v>41</v>
      </c>
      <c r="J612" t="s">
        <v>62</v>
      </c>
      <c r="K612" t="s">
        <v>63</v>
      </c>
      <c r="L612">
        <v>13</v>
      </c>
      <c r="M612" t="s">
        <v>2181</v>
      </c>
      <c r="N612" t="s">
        <v>64</v>
      </c>
      <c r="O612" t="s">
        <v>46</v>
      </c>
      <c r="P612" t="s">
        <v>46</v>
      </c>
      <c r="Y612" t="s">
        <v>2194</v>
      </c>
    </row>
    <row r="613" spans="1:25">
      <c r="A613" t="s">
        <v>2195</v>
      </c>
      <c r="B613" t="s">
        <v>2196</v>
      </c>
      <c r="D613" t="s">
        <v>40</v>
      </c>
      <c r="E613" t="s">
        <v>41</v>
      </c>
      <c r="J613" t="s">
        <v>62</v>
      </c>
      <c r="K613" t="s">
        <v>63</v>
      </c>
      <c r="L613">
        <v>13</v>
      </c>
      <c r="M613" t="s">
        <v>2197</v>
      </c>
      <c r="N613" t="s">
        <v>64</v>
      </c>
      <c r="O613" t="s">
        <v>46</v>
      </c>
      <c r="P613" t="s">
        <v>46</v>
      </c>
      <c r="Y613" t="s">
        <v>2198</v>
      </c>
    </row>
    <row r="614" spans="1:25">
      <c r="A614" t="s">
        <v>2199</v>
      </c>
      <c r="B614" t="s">
        <v>2200</v>
      </c>
      <c r="D614" t="s">
        <v>40</v>
      </c>
      <c r="E614" t="s">
        <v>41</v>
      </c>
      <c r="J614" t="s">
        <v>62</v>
      </c>
      <c r="K614" t="s">
        <v>63</v>
      </c>
      <c r="L614">
        <v>13</v>
      </c>
      <c r="M614" t="s">
        <v>2197</v>
      </c>
      <c r="N614" t="s">
        <v>64</v>
      </c>
      <c r="O614" t="s">
        <v>46</v>
      </c>
      <c r="P614" t="s">
        <v>46</v>
      </c>
      <c r="Y614" t="s">
        <v>2201</v>
      </c>
    </row>
    <row r="615" spans="1:25">
      <c r="A615" t="s">
        <v>2202</v>
      </c>
      <c r="B615" t="s">
        <v>2203</v>
      </c>
      <c r="D615" t="s">
        <v>40</v>
      </c>
      <c r="E615" t="s">
        <v>41</v>
      </c>
      <c r="J615" t="s">
        <v>62</v>
      </c>
      <c r="K615" t="s">
        <v>63</v>
      </c>
      <c r="L615">
        <v>13</v>
      </c>
      <c r="M615" t="s">
        <v>2204</v>
      </c>
      <c r="N615" t="s">
        <v>64</v>
      </c>
      <c r="O615" t="s">
        <v>46</v>
      </c>
      <c r="P615" t="s">
        <v>46</v>
      </c>
      <c r="Y615" t="s">
        <v>2205</v>
      </c>
    </row>
    <row r="616" spans="1:25">
      <c r="A616" t="s">
        <v>2206</v>
      </c>
      <c r="B616" t="s">
        <v>2207</v>
      </c>
      <c r="D616" t="s">
        <v>40</v>
      </c>
      <c r="E616" t="s">
        <v>41</v>
      </c>
      <c r="J616" t="s">
        <v>182</v>
      </c>
      <c r="K616" t="s">
        <v>183</v>
      </c>
      <c r="L616">
        <v>13</v>
      </c>
      <c r="M616" t="s">
        <v>2204</v>
      </c>
      <c r="N616" t="s">
        <v>64</v>
      </c>
      <c r="O616" t="s">
        <v>46</v>
      </c>
      <c r="P616" t="s">
        <v>46</v>
      </c>
      <c r="Y616" t="s">
        <v>2208</v>
      </c>
    </row>
    <row r="617" spans="1:25">
      <c r="A617" t="s">
        <v>2209</v>
      </c>
      <c r="B617" t="s">
        <v>2210</v>
      </c>
      <c r="D617" t="s">
        <v>40</v>
      </c>
      <c r="E617" t="s">
        <v>41</v>
      </c>
      <c r="J617" t="s">
        <v>76</v>
      </c>
      <c r="K617" t="s">
        <v>77</v>
      </c>
      <c r="L617">
        <v>13</v>
      </c>
      <c r="M617" t="s">
        <v>2211</v>
      </c>
      <c r="N617" t="s">
        <v>64</v>
      </c>
      <c r="O617" t="s">
        <v>46</v>
      </c>
      <c r="P617" t="s">
        <v>46</v>
      </c>
      <c r="Y617" t="s">
        <v>2212</v>
      </c>
    </row>
    <row r="618" spans="1:25">
      <c r="A618" t="s">
        <v>2213</v>
      </c>
      <c r="B618" t="s">
        <v>2214</v>
      </c>
      <c r="D618" t="s">
        <v>40</v>
      </c>
      <c r="E618" t="s">
        <v>41</v>
      </c>
      <c r="J618" t="s">
        <v>62</v>
      </c>
      <c r="K618" t="s">
        <v>63</v>
      </c>
      <c r="L618">
        <v>13</v>
      </c>
      <c r="M618" t="s">
        <v>2211</v>
      </c>
      <c r="N618" t="s">
        <v>64</v>
      </c>
      <c r="O618" t="s">
        <v>46</v>
      </c>
      <c r="P618" t="s">
        <v>46</v>
      </c>
      <c r="Y618" t="s">
        <v>2215</v>
      </c>
    </row>
    <row r="619" spans="1:25">
      <c r="A619" t="s">
        <v>2216</v>
      </c>
      <c r="B619" t="s">
        <v>2217</v>
      </c>
      <c r="D619" t="s">
        <v>40</v>
      </c>
      <c r="E619" t="s">
        <v>41</v>
      </c>
      <c r="J619" t="s">
        <v>62</v>
      </c>
      <c r="K619" t="s">
        <v>63</v>
      </c>
      <c r="L619">
        <v>13</v>
      </c>
      <c r="M619" t="s">
        <v>2211</v>
      </c>
      <c r="N619" t="s">
        <v>64</v>
      </c>
      <c r="O619" t="s">
        <v>46</v>
      </c>
      <c r="P619" t="s">
        <v>46</v>
      </c>
      <c r="Y619" t="s">
        <v>2218</v>
      </c>
    </row>
    <row r="620" spans="1:25">
      <c r="A620" t="s">
        <v>2219</v>
      </c>
      <c r="B620" t="s">
        <v>2220</v>
      </c>
      <c r="D620" t="s">
        <v>40</v>
      </c>
      <c r="E620" t="s">
        <v>41</v>
      </c>
      <c r="J620" t="s">
        <v>68</v>
      </c>
      <c r="K620" t="s">
        <v>69</v>
      </c>
      <c r="L620">
        <v>13</v>
      </c>
      <c r="M620" t="s">
        <v>2211</v>
      </c>
      <c r="N620" t="s">
        <v>64</v>
      </c>
      <c r="O620" t="s">
        <v>46</v>
      </c>
      <c r="P620" t="s">
        <v>46</v>
      </c>
      <c r="Y620" t="s">
        <v>2221</v>
      </c>
    </row>
    <row r="621" spans="1:25">
      <c r="A621" t="s">
        <v>2222</v>
      </c>
      <c r="B621" t="s">
        <v>2223</v>
      </c>
      <c r="D621" t="s">
        <v>40</v>
      </c>
      <c r="E621" t="s">
        <v>41</v>
      </c>
      <c r="J621" t="s">
        <v>62</v>
      </c>
      <c r="K621" t="s">
        <v>63</v>
      </c>
      <c r="L621">
        <v>12</v>
      </c>
      <c r="M621" t="s">
        <v>2224</v>
      </c>
      <c r="N621" t="s">
        <v>64</v>
      </c>
      <c r="O621" t="s">
        <v>46</v>
      </c>
      <c r="P621" t="s">
        <v>46</v>
      </c>
      <c r="Y621" t="s">
        <v>2225</v>
      </c>
    </row>
    <row r="622" spans="1:25">
      <c r="A622" t="s">
        <v>2226</v>
      </c>
      <c r="B622" t="s">
        <v>2227</v>
      </c>
      <c r="D622" t="s">
        <v>40</v>
      </c>
      <c r="E622" t="s">
        <v>41</v>
      </c>
      <c r="J622" t="s">
        <v>68</v>
      </c>
      <c r="K622" t="s">
        <v>69</v>
      </c>
      <c r="L622">
        <v>12</v>
      </c>
      <c r="M622" t="s">
        <v>2228</v>
      </c>
      <c r="N622" t="s">
        <v>64</v>
      </c>
      <c r="O622" t="s">
        <v>46</v>
      </c>
      <c r="P622" t="s">
        <v>46</v>
      </c>
      <c r="Y622" t="s">
        <v>2229</v>
      </c>
    </row>
    <row r="623" spans="1:25">
      <c r="A623" t="s">
        <v>2230</v>
      </c>
      <c r="B623" t="s">
        <v>2231</v>
      </c>
      <c r="D623" t="s">
        <v>40</v>
      </c>
      <c r="E623" t="s">
        <v>41</v>
      </c>
      <c r="J623" t="s">
        <v>76</v>
      </c>
      <c r="K623" t="s">
        <v>77</v>
      </c>
      <c r="L623">
        <v>12</v>
      </c>
      <c r="M623" t="s">
        <v>2228</v>
      </c>
      <c r="N623" t="s">
        <v>64</v>
      </c>
      <c r="O623" t="s">
        <v>46</v>
      </c>
      <c r="P623" t="s">
        <v>46</v>
      </c>
      <c r="Y623" t="s">
        <v>2232</v>
      </c>
    </row>
    <row r="624" spans="1:25">
      <c r="A624" t="s">
        <v>2233</v>
      </c>
      <c r="B624" t="s">
        <v>2234</v>
      </c>
      <c r="D624" t="s">
        <v>40</v>
      </c>
      <c r="E624" t="s">
        <v>41</v>
      </c>
      <c r="J624" t="s">
        <v>62</v>
      </c>
      <c r="K624" t="s">
        <v>63</v>
      </c>
      <c r="L624">
        <v>12</v>
      </c>
      <c r="M624" t="s">
        <v>2228</v>
      </c>
      <c r="N624" t="s">
        <v>64</v>
      </c>
      <c r="O624" t="s">
        <v>46</v>
      </c>
      <c r="P624" t="s">
        <v>46</v>
      </c>
      <c r="Y624" t="s">
        <v>2235</v>
      </c>
    </row>
    <row r="625" spans="1:25">
      <c r="A625" t="s">
        <v>2236</v>
      </c>
      <c r="B625" t="s">
        <v>2237</v>
      </c>
      <c r="D625" t="s">
        <v>40</v>
      </c>
      <c r="E625" t="s">
        <v>41</v>
      </c>
      <c r="J625" t="s">
        <v>182</v>
      </c>
      <c r="K625" t="s">
        <v>183</v>
      </c>
      <c r="L625">
        <v>12</v>
      </c>
      <c r="M625" t="s">
        <v>2228</v>
      </c>
      <c r="N625" t="s">
        <v>64</v>
      </c>
      <c r="O625" t="s">
        <v>46</v>
      </c>
      <c r="P625" t="s">
        <v>46</v>
      </c>
      <c r="Y625" t="s">
        <v>2238</v>
      </c>
    </row>
    <row r="626" spans="1:25">
      <c r="A626" t="s">
        <v>2239</v>
      </c>
      <c r="B626" t="s">
        <v>2240</v>
      </c>
      <c r="D626" t="s">
        <v>40</v>
      </c>
      <c r="E626" t="s">
        <v>41</v>
      </c>
      <c r="J626" t="s">
        <v>76</v>
      </c>
      <c r="K626" t="s">
        <v>77</v>
      </c>
      <c r="L626">
        <v>12</v>
      </c>
      <c r="M626" t="s">
        <v>2228</v>
      </c>
      <c r="N626" t="s">
        <v>64</v>
      </c>
      <c r="O626" t="s">
        <v>46</v>
      </c>
      <c r="P626" t="s">
        <v>46</v>
      </c>
      <c r="Y626" t="s">
        <v>2241</v>
      </c>
    </row>
    <row r="627" spans="1:25">
      <c r="A627" t="s">
        <v>2242</v>
      </c>
      <c r="B627" t="s">
        <v>2243</v>
      </c>
      <c r="D627" t="s">
        <v>40</v>
      </c>
      <c r="E627" t="s">
        <v>41</v>
      </c>
      <c r="J627" t="s">
        <v>182</v>
      </c>
      <c r="K627" t="s">
        <v>183</v>
      </c>
      <c r="L627">
        <v>12</v>
      </c>
      <c r="M627" t="s">
        <v>2244</v>
      </c>
      <c r="N627" t="s">
        <v>64</v>
      </c>
      <c r="O627" t="s">
        <v>46</v>
      </c>
      <c r="P627" t="s">
        <v>46</v>
      </c>
      <c r="Y627" t="s">
        <v>2245</v>
      </c>
    </row>
    <row r="628" spans="1:25">
      <c r="A628" t="s">
        <v>2246</v>
      </c>
      <c r="B628" t="s">
        <v>2247</v>
      </c>
      <c r="D628" t="s">
        <v>40</v>
      </c>
      <c r="E628" t="s">
        <v>41</v>
      </c>
      <c r="J628" t="s">
        <v>76</v>
      </c>
      <c r="K628" t="s">
        <v>77</v>
      </c>
      <c r="L628">
        <v>12</v>
      </c>
      <c r="M628" t="s">
        <v>2244</v>
      </c>
      <c r="N628" t="s">
        <v>64</v>
      </c>
      <c r="O628" t="s">
        <v>46</v>
      </c>
      <c r="P628" t="s">
        <v>46</v>
      </c>
      <c r="Y628" t="s">
        <v>2248</v>
      </c>
    </row>
    <row r="629" spans="1:25">
      <c r="A629" t="s">
        <v>2249</v>
      </c>
      <c r="B629" t="s">
        <v>2250</v>
      </c>
      <c r="D629" t="s">
        <v>40</v>
      </c>
      <c r="E629" t="s">
        <v>41</v>
      </c>
      <c r="J629" t="s">
        <v>62</v>
      </c>
      <c r="K629" t="s">
        <v>63</v>
      </c>
      <c r="L629">
        <v>12</v>
      </c>
      <c r="M629" t="s">
        <v>2251</v>
      </c>
      <c r="N629" t="s">
        <v>64</v>
      </c>
      <c r="O629" t="s">
        <v>46</v>
      </c>
      <c r="P629" t="s">
        <v>46</v>
      </c>
      <c r="Y629" t="s">
        <v>2252</v>
      </c>
    </row>
    <row r="630" spans="1:25">
      <c r="A630" t="s">
        <v>2253</v>
      </c>
      <c r="B630" t="s">
        <v>2254</v>
      </c>
      <c r="D630" t="s">
        <v>40</v>
      </c>
      <c r="E630" t="s">
        <v>41</v>
      </c>
      <c r="J630" t="s">
        <v>62</v>
      </c>
      <c r="K630" t="s">
        <v>63</v>
      </c>
      <c r="L630">
        <v>12</v>
      </c>
      <c r="M630" t="s">
        <v>2251</v>
      </c>
      <c r="N630" t="s">
        <v>64</v>
      </c>
      <c r="O630" t="s">
        <v>46</v>
      </c>
      <c r="P630" t="s">
        <v>46</v>
      </c>
      <c r="Y630" t="s">
        <v>2255</v>
      </c>
    </row>
    <row r="631" spans="1:25">
      <c r="A631" t="s">
        <v>2256</v>
      </c>
      <c r="B631" t="s">
        <v>2257</v>
      </c>
      <c r="D631" t="s">
        <v>40</v>
      </c>
      <c r="E631" t="s">
        <v>41</v>
      </c>
      <c r="J631" t="s">
        <v>62</v>
      </c>
      <c r="K631" t="s">
        <v>63</v>
      </c>
      <c r="L631">
        <v>12</v>
      </c>
      <c r="M631" t="s">
        <v>2251</v>
      </c>
      <c r="N631" t="s">
        <v>64</v>
      </c>
      <c r="O631" t="s">
        <v>46</v>
      </c>
      <c r="P631" t="s">
        <v>46</v>
      </c>
      <c r="Y631" t="s">
        <v>2258</v>
      </c>
    </row>
    <row r="632" spans="1:25">
      <c r="A632" t="s">
        <v>2259</v>
      </c>
      <c r="B632" t="s">
        <v>2260</v>
      </c>
      <c r="D632" t="s">
        <v>40</v>
      </c>
      <c r="E632" t="s">
        <v>41</v>
      </c>
      <c r="J632" t="s">
        <v>645</v>
      </c>
      <c r="K632" t="s">
        <v>646</v>
      </c>
      <c r="L632">
        <v>12</v>
      </c>
      <c r="M632" t="s">
        <v>2251</v>
      </c>
      <c r="N632" t="s">
        <v>64</v>
      </c>
      <c r="O632" t="s">
        <v>46</v>
      </c>
      <c r="P632" t="s">
        <v>46</v>
      </c>
      <c r="Y632" t="s">
        <v>2261</v>
      </c>
    </row>
    <row r="633" spans="1:25">
      <c r="A633" t="s">
        <v>2262</v>
      </c>
      <c r="B633" t="s">
        <v>2263</v>
      </c>
      <c r="D633" t="s">
        <v>40</v>
      </c>
      <c r="E633" t="s">
        <v>41</v>
      </c>
      <c r="J633" t="s">
        <v>182</v>
      </c>
      <c r="K633" t="s">
        <v>183</v>
      </c>
      <c r="L633">
        <v>12</v>
      </c>
      <c r="M633" t="s">
        <v>2264</v>
      </c>
      <c r="N633" t="s">
        <v>64</v>
      </c>
      <c r="O633" t="s">
        <v>46</v>
      </c>
      <c r="P633" t="s">
        <v>46</v>
      </c>
      <c r="Y633" t="s">
        <v>2265</v>
      </c>
    </row>
    <row r="634" spans="1:25">
      <c r="A634" t="s">
        <v>2266</v>
      </c>
      <c r="B634" t="s">
        <v>2267</v>
      </c>
      <c r="D634" t="s">
        <v>40</v>
      </c>
      <c r="E634" t="s">
        <v>41</v>
      </c>
      <c r="J634" t="s">
        <v>182</v>
      </c>
      <c r="K634" t="s">
        <v>183</v>
      </c>
      <c r="L634">
        <v>12</v>
      </c>
      <c r="M634" t="s">
        <v>2264</v>
      </c>
      <c r="N634" t="s">
        <v>64</v>
      </c>
      <c r="O634" t="s">
        <v>46</v>
      </c>
      <c r="P634" t="s">
        <v>46</v>
      </c>
      <c r="Y634" t="s">
        <v>2268</v>
      </c>
    </row>
    <row r="635" spans="1:25">
      <c r="A635" t="s">
        <v>2269</v>
      </c>
      <c r="B635" t="s">
        <v>2270</v>
      </c>
      <c r="D635" t="s">
        <v>40</v>
      </c>
      <c r="E635" t="s">
        <v>41</v>
      </c>
      <c r="J635" t="s">
        <v>68</v>
      </c>
      <c r="K635" t="s">
        <v>69</v>
      </c>
      <c r="L635">
        <v>12</v>
      </c>
      <c r="M635" t="s">
        <v>2264</v>
      </c>
      <c r="N635" t="s">
        <v>64</v>
      </c>
      <c r="O635" t="s">
        <v>46</v>
      </c>
      <c r="P635" t="s">
        <v>46</v>
      </c>
      <c r="Y635" t="s">
        <v>2271</v>
      </c>
    </row>
    <row r="636" spans="1:25">
      <c r="A636" t="s">
        <v>2272</v>
      </c>
      <c r="B636" t="s">
        <v>2273</v>
      </c>
      <c r="D636" t="s">
        <v>40</v>
      </c>
      <c r="E636" t="s">
        <v>41</v>
      </c>
      <c r="J636" t="s">
        <v>182</v>
      </c>
      <c r="K636" t="s">
        <v>183</v>
      </c>
      <c r="L636">
        <v>12</v>
      </c>
      <c r="M636" t="s">
        <v>2264</v>
      </c>
      <c r="N636" t="s">
        <v>64</v>
      </c>
      <c r="O636" t="s">
        <v>46</v>
      </c>
      <c r="P636" t="s">
        <v>46</v>
      </c>
      <c r="Y636" t="s">
        <v>2274</v>
      </c>
    </row>
    <row r="637" spans="1:25">
      <c r="A637" t="s">
        <v>2275</v>
      </c>
      <c r="B637" t="s">
        <v>2276</v>
      </c>
      <c r="D637" t="s">
        <v>40</v>
      </c>
      <c r="E637" t="s">
        <v>41</v>
      </c>
      <c r="J637" t="s">
        <v>76</v>
      </c>
      <c r="K637" t="s">
        <v>77</v>
      </c>
      <c r="L637">
        <v>12</v>
      </c>
      <c r="M637" t="s">
        <v>2264</v>
      </c>
      <c r="N637" t="s">
        <v>64</v>
      </c>
      <c r="O637" t="s">
        <v>46</v>
      </c>
      <c r="P637" t="s">
        <v>46</v>
      </c>
      <c r="Y637" t="s">
        <v>2277</v>
      </c>
    </row>
    <row r="638" spans="1:25">
      <c r="A638" t="s">
        <v>2278</v>
      </c>
      <c r="B638" t="s">
        <v>2279</v>
      </c>
      <c r="D638" t="s">
        <v>40</v>
      </c>
      <c r="E638" t="s">
        <v>41</v>
      </c>
      <c r="J638" t="s">
        <v>42</v>
      </c>
      <c r="K638" t="s">
        <v>43</v>
      </c>
      <c r="L638">
        <v>12</v>
      </c>
      <c r="M638" t="s">
        <v>2264</v>
      </c>
      <c r="N638" t="s">
        <v>1024</v>
      </c>
      <c r="O638" t="s">
        <v>46</v>
      </c>
      <c r="P638" t="s">
        <v>46</v>
      </c>
      <c r="Y638" t="s">
        <v>2280</v>
      </c>
    </row>
    <row r="639" spans="1:25">
      <c r="A639" t="s">
        <v>2281</v>
      </c>
      <c r="B639" t="s">
        <v>2282</v>
      </c>
      <c r="D639" t="s">
        <v>40</v>
      </c>
      <c r="E639" t="s">
        <v>41</v>
      </c>
      <c r="J639" t="s">
        <v>182</v>
      </c>
      <c r="K639" t="s">
        <v>183</v>
      </c>
      <c r="L639">
        <v>12</v>
      </c>
      <c r="M639" t="s">
        <v>2264</v>
      </c>
      <c r="N639" t="s">
        <v>64</v>
      </c>
      <c r="O639" t="s">
        <v>46</v>
      </c>
      <c r="P639" t="s">
        <v>46</v>
      </c>
      <c r="Y639" t="s">
        <v>2283</v>
      </c>
    </row>
    <row r="640" spans="1:25">
      <c r="A640" t="s">
        <v>2284</v>
      </c>
      <c r="B640" t="s">
        <v>2285</v>
      </c>
      <c r="D640" t="s">
        <v>40</v>
      </c>
      <c r="E640" t="s">
        <v>41</v>
      </c>
      <c r="J640" t="s">
        <v>139</v>
      </c>
      <c r="K640" t="s">
        <v>140</v>
      </c>
      <c r="L640">
        <v>4</v>
      </c>
      <c r="M640" t="s">
        <v>2286</v>
      </c>
      <c r="N640" t="s">
        <v>315</v>
      </c>
      <c r="O640" t="s">
        <v>46</v>
      </c>
      <c r="P640" t="s">
        <v>46</v>
      </c>
      <c r="Y640" t="s">
        <v>2287</v>
      </c>
    </row>
    <row r="641" spans="1:25">
      <c r="A641" t="s">
        <v>2288</v>
      </c>
      <c r="B641" t="s">
        <v>2289</v>
      </c>
      <c r="D641" t="s">
        <v>40</v>
      </c>
      <c r="E641" t="s">
        <v>41</v>
      </c>
      <c r="J641" t="s">
        <v>62</v>
      </c>
      <c r="K641" t="s">
        <v>63</v>
      </c>
      <c r="L641">
        <v>12</v>
      </c>
      <c r="M641" t="s">
        <v>2286</v>
      </c>
      <c r="N641" t="s">
        <v>64</v>
      </c>
      <c r="O641" t="s">
        <v>46</v>
      </c>
      <c r="P641" t="s">
        <v>46</v>
      </c>
      <c r="Y641" t="s">
        <v>2290</v>
      </c>
    </row>
    <row r="642" spans="1:25">
      <c r="A642" t="s">
        <v>2291</v>
      </c>
      <c r="B642" t="s">
        <v>2292</v>
      </c>
      <c r="D642" t="s">
        <v>40</v>
      </c>
      <c r="E642" t="s">
        <v>41</v>
      </c>
      <c r="J642" t="s">
        <v>264</v>
      </c>
      <c r="K642" t="s">
        <v>265</v>
      </c>
      <c r="L642">
        <v>12</v>
      </c>
      <c r="M642" t="s">
        <v>2286</v>
      </c>
      <c r="N642" t="s">
        <v>1478</v>
      </c>
      <c r="O642" t="s">
        <v>46</v>
      </c>
      <c r="P642" t="s">
        <v>46</v>
      </c>
      <c r="Y642" t="s">
        <v>2293</v>
      </c>
    </row>
    <row r="643" spans="1:25">
      <c r="A643" t="s">
        <v>2294</v>
      </c>
      <c r="B643" t="s">
        <v>2295</v>
      </c>
      <c r="D643" t="s">
        <v>40</v>
      </c>
      <c r="E643" t="s">
        <v>41</v>
      </c>
      <c r="J643" t="s">
        <v>182</v>
      </c>
      <c r="K643" t="s">
        <v>183</v>
      </c>
      <c r="L643">
        <v>12</v>
      </c>
      <c r="M643" t="s">
        <v>2286</v>
      </c>
      <c r="N643" t="s">
        <v>64</v>
      </c>
      <c r="O643" t="s">
        <v>46</v>
      </c>
      <c r="P643" t="s">
        <v>46</v>
      </c>
      <c r="Y643" t="s">
        <v>2296</v>
      </c>
    </row>
    <row r="644" spans="1:25">
      <c r="A644" t="s">
        <v>2297</v>
      </c>
      <c r="B644" t="s">
        <v>2298</v>
      </c>
      <c r="D644" t="s">
        <v>40</v>
      </c>
      <c r="E644" t="s">
        <v>41</v>
      </c>
      <c r="J644" t="s">
        <v>62</v>
      </c>
      <c r="K644" t="s">
        <v>63</v>
      </c>
      <c r="L644">
        <v>12</v>
      </c>
      <c r="M644" t="s">
        <v>2286</v>
      </c>
      <c r="N644" t="s">
        <v>64</v>
      </c>
      <c r="O644" t="s">
        <v>46</v>
      </c>
      <c r="P644" t="s">
        <v>46</v>
      </c>
      <c r="Y644" t="s">
        <v>2299</v>
      </c>
    </row>
    <row r="645" spans="1:25">
      <c r="A645" t="s">
        <v>2300</v>
      </c>
      <c r="B645" t="s">
        <v>2301</v>
      </c>
      <c r="D645" t="s">
        <v>40</v>
      </c>
      <c r="E645" t="s">
        <v>41</v>
      </c>
      <c r="J645" t="s">
        <v>182</v>
      </c>
      <c r="K645" t="s">
        <v>183</v>
      </c>
      <c r="L645">
        <v>12</v>
      </c>
      <c r="M645" t="s">
        <v>2286</v>
      </c>
      <c r="N645" t="s">
        <v>64</v>
      </c>
      <c r="O645" t="s">
        <v>46</v>
      </c>
      <c r="P645" t="s">
        <v>46</v>
      </c>
      <c r="Y645" t="s">
        <v>2302</v>
      </c>
    </row>
    <row r="646" spans="1:25">
      <c r="A646" t="s">
        <v>2303</v>
      </c>
      <c r="B646" t="s">
        <v>2304</v>
      </c>
      <c r="D646" t="s">
        <v>40</v>
      </c>
      <c r="E646" t="s">
        <v>41</v>
      </c>
      <c r="J646" t="s">
        <v>182</v>
      </c>
      <c r="K646" t="s">
        <v>183</v>
      </c>
      <c r="L646">
        <v>12</v>
      </c>
      <c r="M646" t="s">
        <v>2286</v>
      </c>
      <c r="N646" t="s">
        <v>64</v>
      </c>
      <c r="O646" t="s">
        <v>46</v>
      </c>
      <c r="P646" t="s">
        <v>46</v>
      </c>
      <c r="Y646" t="s">
        <v>2305</v>
      </c>
    </row>
    <row r="647" spans="1:25">
      <c r="A647" t="s">
        <v>2306</v>
      </c>
      <c r="B647" t="s">
        <v>2307</v>
      </c>
      <c r="D647" t="s">
        <v>40</v>
      </c>
      <c r="E647" t="s">
        <v>41</v>
      </c>
      <c r="J647" t="s">
        <v>182</v>
      </c>
      <c r="K647" t="s">
        <v>183</v>
      </c>
      <c r="L647">
        <v>12</v>
      </c>
      <c r="M647" t="s">
        <v>2286</v>
      </c>
      <c r="N647" t="s">
        <v>64</v>
      </c>
      <c r="O647" t="s">
        <v>46</v>
      </c>
      <c r="P647" t="s">
        <v>46</v>
      </c>
      <c r="Y647" t="s">
        <v>2308</v>
      </c>
    </row>
    <row r="648" spans="1:25">
      <c r="A648" t="s">
        <v>2309</v>
      </c>
      <c r="B648" t="s">
        <v>2310</v>
      </c>
      <c r="D648" t="s">
        <v>40</v>
      </c>
      <c r="E648" t="s">
        <v>41</v>
      </c>
      <c r="J648" t="s">
        <v>42</v>
      </c>
      <c r="K648" t="s">
        <v>43</v>
      </c>
      <c r="L648">
        <v>12</v>
      </c>
      <c r="M648" t="s">
        <v>2286</v>
      </c>
      <c r="N648" t="s">
        <v>741</v>
      </c>
      <c r="O648" t="s">
        <v>46</v>
      </c>
      <c r="P648" t="s">
        <v>46</v>
      </c>
      <c r="Y648" t="s">
        <v>2311</v>
      </c>
    </row>
    <row r="649" spans="1:25">
      <c r="A649" t="s">
        <v>2312</v>
      </c>
      <c r="B649" t="s">
        <v>2313</v>
      </c>
      <c r="D649" t="s">
        <v>40</v>
      </c>
      <c r="E649" t="s">
        <v>41</v>
      </c>
      <c r="J649" t="s">
        <v>139</v>
      </c>
      <c r="K649" t="s">
        <v>140</v>
      </c>
      <c r="L649">
        <v>12</v>
      </c>
      <c r="M649" t="s">
        <v>2314</v>
      </c>
      <c r="N649" t="s">
        <v>741</v>
      </c>
      <c r="O649" t="s">
        <v>46</v>
      </c>
      <c r="P649" t="s">
        <v>46</v>
      </c>
      <c r="Y649" t="s">
        <v>2315</v>
      </c>
    </row>
    <row r="650" spans="1:25">
      <c r="A650" t="s">
        <v>2316</v>
      </c>
      <c r="B650" t="s">
        <v>2317</v>
      </c>
      <c r="D650" t="s">
        <v>40</v>
      </c>
      <c r="E650" t="s">
        <v>41</v>
      </c>
      <c r="J650" t="s">
        <v>182</v>
      </c>
      <c r="K650" t="s">
        <v>183</v>
      </c>
      <c r="L650">
        <v>12</v>
      </c>
      <c r="M650" t="s">
        <v>2314</v>
      </c>
      <c r="N650" t="s">
        <v>64</v>
      </c>
      <c r="O650" t="s">
        <v>46</v>
      </c>
      <c r="P650" t="s">
        <v>46</v>
      </c>
      <c r="Y650" t="s">
        <v>2318</v>
      </c>
    </row>
    <row r="651" spans="1:25">
      <c r="A651" t="s">
        <v>2319</v>
      </c>
      <c r="B651" t="s">
        <v>2320</v>
      </c>
      <c r="D651" t="s">
        <v>40</v>
      </c>
      <c r="E651" t="s">
        <v>41</v>
      </c>
      <c r="J651" t="s">
        <v>76</v>
      </c>
      <c r="K651" t="s">
        <v>77</v>
      </c>
      <c r="L651">
        <v>12</v>
      </c>
      <c r="M651" t="s">
        <v>2321</v>
      </c>
      <c r="N651" t="s">
        <v>64</v>
      </c>
      <c r="O651" t="s">
        <v>46</v>
      </c>
      <c r="P651" t="s">
        <v>46</v>
      </c>
      <c r="Y651" t="s">
        <v>2322</v>
      </c>
    </row>
    <row r="652" spans="1:25">
      <c r="A652" t="s">
        <v>2323</v>
      </c>
      <c r="B652" t="s">
        <v>2324</v>
      </c>
      <c r="D652" t="s">
        <v>40</v>
      </c>
      <c r="E652" t="s">
        <v>41</v>
      </c>
      <c r="J652" t="s">
        <v>182</v>
      </c>
      <c r="K652" t="s">
        <v>183</v>
      </c>
      <c r="L652">
        <v>12</v>
      </c>
      <c r="M652" t="s">
        <v>2321</v>
      </c>
      <c r="N652" t="s">
        <v>64</v>
      </c>
      <c r="O652" t="s">
        <v>46</v>
      </c>
      <c r="P652" t="s">
        <v>46</v>
      </c>
      <c r="Y652" t="s">
        <v>2325</v>
      </c>
    </row>
    <row r="653" spans="1:25">
      <c r="A653" t="s">
        <v>2326</v>
      </c>
      <c r="B653" t="s">
        <v>2327</v>
      </c>
      <c r="D653" t="s">
        <v>40</v>
      </c>
      <c r="E653" t="s">
        <v>41</v>
      </c>
      <c r="J653" t="s">
        <v>248</v>
      </c>
      <c r="K653" t="s">
        <v>249</v>
      </c>
      <c r="L653">
        <v>12</v>
      </c>
      <c r="M653" t="s">
        <v>2321</v>
      </c>
      <c r="N653" t="s">
        <v>752</v>
      </c>
      <c r="O653" t="s">
        <v>46</v>
      </c>
      <c r="P653" t="s">
        <v>46</v>
      </c>
      <c r="Y653" t="s">
        <v>2328</v>
      </c>
    </row>
    <row r="654" spans="1:25">
      <c r="A654" t="s">
        <v>2329</v>
      </c>
      <c r="B654" t="s">
        <v>2330</v>
      </c>
      <c r="D654" t="s">
        <v>40</v>
      </c>
      <c r="E654" t="s">
        <v>41</v>
      </c>
      <c r="J654" t="s">
        <v>68</v>
      </c>
      <c r="K654" t="s">
        <v>69</v>
      </c>
      <c r="L654">
        <v>12</v>
      </c>
      <c r="M654" t="s">
        <v>2321</v>
      </c>
      <c r="N654" t="s">
        <v>64</v>
      </c>
      <c r="O654" t="s">
        <v>46</v>
      </c>
      <c r="P654" t="s">
        <v>46</v>
      </c>
      <c r="Y654" t="s">
        <v>2331</v>
      </c>
    </row>
    <row r="655" spans="1:25">
      <c r="A655" t="s">
        <v>2332</v>
      </c>
      <c r="B655" t="s">
        <v>2333</v>
      </c>
      <c r="D655" t="s">
        <v>40</v>
      </c>
      <c r="E655" t="s">
        <v>41</v>
      </c>
      <c r="J655" t="s">
        <v>76</v>
      </c>
      <c r="K655" t="s">
        <v>77</v>
      </c>
      <c r="L655">
        <v>12</v>
      </c>
      <c r="M655" t="s">
        <v>2321</v>
      </c>
      <c r="N655" t="s">
        <v>64</v>
      </c>
      <c r="O655" t="s">
        <v>46</v>
      </c>
      <c r="P655" t="s">
        <v>46</v>
      </c>
      <c r="Y655" t="s">
        <v>2334</v>
      </c>
    </row>
    <row r="656" spans="1:25">
      <c r="A656" t="s">
        <v>2335</v>
      </c>
      <c r="B656" t="s">
        <v>2336</v>
      </c>
      <c r="D656" t="s">
        <v>40</v>
      </c>
      <c r="E656" t="s">
        <v>41</v>
      </c>
      <c r="J656" t="s">
        <v>182</v>
      </c>
      <c r="K656" t="s">
        <v>183</v>
      </c>
      <c r="L656">
        <v>12</v>
      </c>
      <c r="M656" t="s">
        <v>2321</v>
      </c>
      <c r="N656" t="s">
        <v>64</v>
      </c>
      <c r="O656" t="s">
        <v>46</v>
      </c>
      <c r="P656" t="s">
        <v>46</v>
      </c>
      <c r="Y656" t="s">
        <v>2337</v>
      </c>
    </row>
    <row r="657" spans="1:25">
      <c r="A657" t="s">
        <v>2338</v>
      </c>
      <c r="B657" t="s">
        <v>2339</v>
      </c>
      <c r="D657" t="s">
        <v>40</v>
      </c>
      <c r="E657" t="s">
        <v>41</v>
      </c>
      <c r="J657" t="s">
        <v>76</v>
      </c>
      <c r="K657" t="s">
        <v>77</v>
      </c>
      <c r="L657">
        <v>12</v>
      </c>
      <c r="M657" t="s">
        <v>2321</v>
      </c>
      <c r="N657" t="s">
        <v>64</v>
      </c>
      <c r="O657" t="s">
        <v>46</v>
      </c>
      <c r="P657" t="s">
        <v>46</v>
      </c>
      <c r="Y657" t="s">
        <v>2340</v>
      </c>
    </row>
    <row r="658" spans="1:25">
      <c r="A658" t="s">
        <v>2341</v>
      </c>
      <c r="B658" t="s">
        <v>2342</v>
      </c>
      <c r="D658" t="s">
        <v>40</v>
      </c>
      <c r="E658" t="s">
        <v>41</v>
      </c>
      <c r="J658" t="s">
        <v>62</v>
      </c>
      <c r="K658" t="s">
        <v>63</v>
      </c>
      <c r="L658">
        <v>12</v>
      </c>
      <c r="M658" t="s">
        <v>2321</v>
      </c>
      <c r="N658" t="s">
        <v>64</v>
      </c>
      <c r="O658" t="s">
        <v>46</v>
      </c>
      <c r="P658" t="s">
        <v>46</v>
      </c>
      <c r="Y658" t="s">
        <v>2343</v>
      </c>
    </row>
    <row r="659" spans="1:25">
      <c r="A659" t="s">
        <v>2344</v>
      </c>
      <c r="B659" t="s">
        <v>2345</v>
      </c>
      <c r="D659" t="s">
        <v>40</v>
      </c>
      <c r="E659" t="s">
        <v>41</v>
      </c>
      <c r="J659" t="s">
        <v>1214</v>
      </c>
      <c r="K659" t="s">
        <v>1215</v>
      </c>
      <c r="L659">
        <v>12</v>
      </c>
      <c r="M659" t="s">
        <v>2321</v>
      </c>
      <c r="N659" t="s">
        <v>2346</v>
      </c>
      <c r="O659" t="s">
        <v>46</v>
      </c>
      <c r="P659" t="s">
        <v>46</v>
      </c>
      <c r="Y659" t="s">
        <v>2347</v>
      </c>
    </row>
    <row r="660" spans="1:25">
      <c r="A660" t="s">
        <v>2348</v>
      </c>
      <c r="B660" t="s">
        <v>2349</v>
      </c>
      <c r="D660" t="s">
        <v>40</v>
      </c>
      <c r="E660" t="s">
        <v>41</v>
      </c>
      <c r="J660" t="s">
        <v>76</v>
      </c>
      <c r="K660" t="s">
        <v>77</v>
      </c>
      <c r="L660">
        <v>12</v>
      </c>
      <c r="M660" t="s">
        <v>2350</v>
      </c>
      <c r="N660" t="s">
        <v>64</v>
      </c>
      <c r="O660" t="s">
        <v>46</v>
      </c>
      <c r="P660" t="s">
        <v>46</v>
      </c>
      <c r="Y660" t="s">
        <v>2351</v>
      </c>
    </row>
    <row r="661" spans="1:25">
      <c r="A661" t="s">
        <v>2352</v>
      </c>
      <c r="B661" t="s">
        <v>2353</v>
      </c>
      <c r="D661" t="s">
        <v>40</v>
      </c>
      <c r="E661" t="s">
        <v>41</v>
      </c>
      <c r="J661" t="s">
        <v>68</v>
      </c>
      <c r="K661" t="s">
        <v>69</v>
      </c>
      <c r="L661">
        <v>12</v>
      </c>
      <c r="M661" t="s">
        <v>2350</v>
      </c>
      <c r="N661" t="s">
        <v>64</v>
      </c>
      <c r="O661" t="s">
        <v>46</v>
      </c>
      <c r="P661" t="s">
        <v>46</v>
      </c>
      <c r="Y661" t="s">
        <v>2354</v>
      </c>
    </row>
    <row r="662" spans="1:25">
      <c r="A662" t="s">
        <v>2355</v>
      </c>
      <c r="B662" t="s">
        <v>2356</v>
      </c>
      <c r="D662" t="s">
        <v>40</v>
      </c>
      <c r="E662" t="s">
        <v>41</v>
      </c>
      <c r="J662" t="s">
        <v>76</v>
      </c>
      <c r="K662" t="s">
        <v>77</v>
      </c>
      <c r="L662">
        <v>12</v>
      </c>
      <c r="M662" t="s">
        <v>2350</v>
      </c>
      <c r="N662" t="s">
        <v>64</v>
      </c>
      <c r="O662" t="s">
        <v>46</v>
      </c>
      <c r="P662" t="s">
        <v>46</v>
      </c>
      <c r="Y662" t="s">
        <v>2357</v>
      </c>
    </row>
    <row r="663" spans="1:25">
      <c r="A663" t="s">
        <v>2358</v>
      </c>
      <c r="B663" t="s">
        <v>2359</v>
      </c>
      <c r="D663" t="s">
        <v>40</v>
      </c>
      <c r="E663" t="s">
        <v>41</v>
      </c>
      <c r="J663" t="s">
        <v>1214</v>
      </c>
      <c r="K663" t="s">
        <v>1215</v>
      </c>
      <c r="L663">
        <v>12</v>
      </c>
      <c r="M663" t="s">
        <v>2360</v>
      </c>
      <c r="N663" t="s">
        <v>950</v>
      </c>
      <c r="O663" t="s">
        <v>46</v>
      </c>
      <c r="P663" t="s">
        <v>46</v>
      </c>
      <c r="Y663" t="s">
        <v>2361</v>
      </c>
    </row>
    <row r="664" spans="1:25">
      <c r="A664" t="s">
        <v>2362</v>
      </c>
      <c r="B664" t="s">
        <v>2363</v>
      </c>
      <c r="D664" t="s">
        <v>40</v>
      </c>
      <c r="E664" t="s">
        <v>41</v>
      </c>
      <c r="J664" t="s">
        <v>182</v>
      </c>
      <c r="K664" t="s">
        <v>183</v>
      </c>
      <c r="L664">
        <v>12</v>
      </c>
      <c r="M664" t="s">
        <v>2360</v>
      </c>
      <c r="N664" t="s">
        <v>64</v>
      </c>
      <c r="O664" t="s">
        <v>46</v>
      </c>
      <c r="P664" t="s">
        <v>46</v>
      </c>
      <c r="Y664" t="s">
        <v>2364</v>
      </c>
    </row>
    <row r="665" spans="1:25">
      <c r="A665" t="s">
        <v>2365</v>
      </c>
      <c r="B665" t="s">
        <v>2366</v>
      </c>
      <c r="D665" t="s">
        <v>40</v>
      </c>
      <c r="E665" t="s">
        <v>41</v>
      </c>
      <c r="J665" t="s">
        <v>62</v>
      </c>
      <c r="K665" t="s">
        <v>63</v>
      </c>
      <c r="L665">
        <v>12</v>
      </c>
      <c r="M665" t="s">
        <v>2360</v>
      </c>
      <c r="N665" t="s">
        <v>64</v>
      </c>
      <c r="O665" t="s">
        <v>46</v>
      </c>
      <c r="P665" t="s">
        <v>46</v>
      </c>
      <c r="Y665" t="s">
        <v>2367</v>
      </c>
    </row>
    <row r="666" spans="1:25">
      <c r="A666" t="s">
        <v>2368</v>
      </c>
      <c r="B666" t="s">
        <v>2369</v>
      </c>
      <c r="D666" t="s">
        <v>40</v>
      </c>
      <c r="E666" t="s">
        <v>41</v>
      </c>
      <c r="J666" t="s">
        <v>62</v>
      </c>
      <c r="K666" t="s">
        <v>63</v>
      </c>
      <c r="L666">
        <v>12</v>
      </c>
      <c r="M666" t="s">
        <v>2360</v>
      </c>
      <c r="N666" t="s">
        <v>64</v>
      </c>
      <c r="O666" t="s">
        <v>46</v>
      </c>
      <c r="P666" t="s">
        <v>46</v>
      </c>
      <c r="Y666" t="s">
        <v>2370</v>
      </c>
    </row>
    <row r="667" spans="1:25">
      <c r="A667" t="s">
        <v>2371</v>
      </c>
      <c r="B667" t="s">
        <v>2372</v>
      </c>
      <c r="D667" t="s">
        <v>40</v>
      </c>
      <c r="E667" t="s">
        <v>41</v>
      </c>
      <c r="J667" t="s">
        <v>62</v>
      </c>
      <c r="K667" t="s">
        <v>63</v>
      </c>
      <c r="L667">
        <v>12</v>
      </c>
      <c r="M667" t="s">
        <v>2360</v>
      </c>
      <c r="N667" t="s">
        <v>64</v>
      </c>
      <c r="O667" t="s">
        <v>46</v>
      </c>
      <c r="P667" t="s">
        <v>46</v>
      </c>
      <c r="Y667" t="s">
        <v>2373</v>
      </c>
    </row>
    <row r="668" spans="1:25">
      <c r="A668" t="s">
        <v>2374</v>
      </c>
      <c r="B668" t="s">
        <v>2375</v>
      </c>
      <c r="D668" t="s">
        <v>40</v>
      </c>
      <c r="E668" t="s">
        <v>41</v>
      </c>
      <c r="J668" t="s">
        <v>182</v>
      </c>
      <c r="K668" t="s">
        <v>183</v>
      </c>
      <c r="L668">
        <v>12</v>
      </c>
      <c r="M668" t="s">
        <v>2376</v>
      </c>
      <c r="N668" t="s">
        <v>64</v>
      </c>
      <c r="O668" t="s">
        <v>46</v>
      </c>
      <c r="P668" t="s">
        <v>46</v>
      </c>
      <c r="Y668" t="s">
        <v>2377</v>
      </c>
    </row>
    <row r="669" spans="1:25">
      <c r="A669" t="s">
        <v>2378</v>
      </c>
      <c r="B669" t="s">
        <v>2379</v>
      </c>
      <c r="D669" t="s">
        <v>40</v>
      </c>
      <c r="E669" t="s">
        <v>41</v>
      </c>
      <c r="J669" t="s">
        <v>62</v>
      </c>
      <c r="K669" t="s">
        <v>63</v>
      </c>
      <c r="L669">
        <v>12</v>
      </c>
      <c r="M669" t="s">
        <v>2376</v>
      </c>
      <c r="N669" t="s">
        <v>64</v>
      </c>
      <c r="O669" t="s">
        <v>46</v>
      </c>
      <c r="P669" t="s">
        <v>46</v>
      </c>
      <c r="Y669" t="s">
        <v>2380</v>
      </c>
    </row>
    <row r="670" spans="1:25">
      <c r="A670" t="s">
        <v>2381</v>
      </c>
      <c r="B670" t="s">
        <v>2382</v>
      </c>
      <c r="D670" t="s">
        <v>40</v>
      </c>
      <c r="E670" t="s">
        <v>41</v>
      </c>
      <c r="J670" t="s">
        <v>182</v>
      </c>
      <c r="K670" t="s">
        <v>183</v>
      </c>
      <c r="L670">
        <v>12</v>
      </c>
      <c r="M670" t="s">
        <v>2376</v>
      </c>
      <c r="N670" t="s">
        <v>64</v>
      </c>
      <c r="O670" t="s">
        <v>46</v>
      </c>
      <c r="P670" t="s">
        <v>46</v>
      </c>
      <c r="Y670" t="s">
        <v>2383</v>
      </c>
    </row>
    <row r="671" spans="1:25">
      <c r="A671" t="s">
        <v>2384</v>
      </c>
      <c r="B671" t="s">
        <v>2385</v>
      </c>
      <c r="D671" t="s">
        <v>40</v>
      </c>
      <c r="E671" t="s">
        <v>41</v>
      </c>
      <c r="J671" t="s">
        <v>62</v>
      </c>
      <c r="K671" t="s">
        <v>63</v>
      </c>
      <c r="L671">
        <v>12</v>
      </c>
      <c r="M671" t="s">
        <v>2376</v>
      </c>
      <c r="N671" t="s">
        <v>64</v>
      </c>
      <c r="O671" t="s">
        <v>46</v>
      </c>
      <c r="P671" t="s">
        <v>46</v>
      </c>
      <c r="Y671" t="s">
        <v>2386</v>
      </c>
    </row>
    <row r="672" spans="1:25">
      <c r="A672" t="s">
        <v>2387</v>
      </c>
      <c r="B672" t="s">
        <v>2388</v>
      </c>
      <c r="D672" t="s">
        <v>40</v>
      </c>
      <c r="E672" t="s">
        <v>41</v>
      </c>
      <c r="J672" t="s">
        <v>62</v>
      </c>
      <c r="K672" t="s">
        <v>63</v>
      </c>
      <c r="L672">
        <v>12</v>
      </c>
      <c r="M672" t="s">
        <v>2376</v>
      </c>
      <c r="N672" t="s">
        <v>64</v>
      </c>
      <c r="O672" t="s">
        <v>46</v>
      </c>
      <c r="P672" t="s">
        <v>46</v>
      </c>
      <c r="Y672" t="s">
        <v>2389</v>
      </c>
    </row>
    <row r="673" spans="1:25">
      <c r="A673" t="s">
        <v>2390</v>
      </c>
      <c r="B673" t="s">
        <v>2391</v>
      </c>
      <c r="D673" t="s">
        <v>40</v>
      </c>
      <c r="E673" t="s">
        <v>41</v>
      </c>
      <c r="J673" t="s">
        <v>62</v>
      </c>
      <c r="K673" t="s">
        <v>63</v>
      </c>
      <c r="L673">
        <v>12</v>
      </c>
      <c r="M673" t="s">
        <v>2376</v>
      </c>
      <c r="N673" t="s">
        <v>64</v>
      </c>
      <c r="O673" t="s">
        <v>46</v>
      </c>
      <c r="P673" t="s">
        <v>46</v>
      </c>
      <c r="Y673" t="s">
        <v>2392</v>
      </c>
    </row>
    <row r="674" spans="1:25">
      <c r="A674" t="s">
        <v>2393</v>
      </c>
      <c r="B674" t="s">
        <v>2394</v>
      </c>
      <c r="D674" t="s">
        <v>40</v>
      </c>
      <c r="E674" t="s">
        <v>41</v>
      </c>
      <c r="J674" t="s">
        <v>62</v>
      </c>
      <c r="K674" t="s">
        <v>63</v>
      </c>
      <c r="L674">
        <v>12</v>
      </c>
      <c r="M674" t="s">
        <v>2376</v>
      </c>
      <c r="N674" t="s">
        <v>64</v>
      </c>
      <c r="O674" t="s">
        <v>46</v>
      </c>
      <c r="P674" t="s">
        <v>46</v>
      </c>
      <c r="Y674" t="s">
        <v>2395</v>
      </c>
    </row>
    <row r="675" spans="1:25">
      <c r="A675" t="s">
        <v>2396</v>
      </c>
      <c r="B675" t="s">
        <v>2397</v>
      </c>
      <c r="D675" t="s">
        <v>40</v>
      </c>
      <c r="E675" t="s">
        <v>41</v>
      </c>
      <c r="J675" t="s">
        <v>68</v>
      </c>
      <c r="K675" t="s">
        <v>69</v>
      </c>
      <c r="L675">
        <v>12</v>
      </c>
      <c r="M675" t="s">
        <v>2376</v>
      </c>
      <c r="N675" t="s">
        <v>64</v>
      </c>
      <c r="O675" t="s">
        <v>46</v>
      </c>
      <c r="P675" t="s">
        <v>46</v>
      </c>
      <c r="Y675" t="s">
        <v>2398</v>
      </c>
    </row>
    <row r="676" spans="1:25">
      <c r="A676" t="s">
        <v>2399</v>
      </c>
      <c r="B676" t="s">
        <v>2400</v>
      </c>
      <c r="D676" t="s">
        <v>40</v>
      </c>
      <c r="E676" t="s">
        <v>41</v>
      </c>
      <c r="J676" t="s">
        <v>76</v>
      </c>
      <c r="K676" t="s">
        <v>77</v>
      </c>
      <c r="L676">
        <v>12</v>
      </c>
      <c r="M676" t="s">
        <v>2376</v>
      </c>
      <c r="N676" t="s">
        <v>64</v>
      </c>
      <c r="O676" t="s">
        <v>46</v>
      </c>
      <c r="P676" t="s">
        <v>46</v>
      </c>
      <c r="Y676" t="s">
        <v>2401</v>
      </c>
    </row>
    <row r="677" spans="1:25">
      <c r="A677" t="s">
        <v>2402</v>
      </c>
      <c r="B677" t="s">
        <v>2403</v>
      </c>
      <c r="D677" t="s">
        <v>40</v>
      </c>
      <c r="E677" t="s">
        <v>41</v>
      </c>
      <c r="J677" t="s">
        <v>68</v>
      </c>
      <c r="K677" t="s">
        <v>69</v>
      </c>
      <c r="L677">
        <v>12</v>
      </c>
      <c r="M677" t="s">
        <v>2376</v>
      </c>
      <c r="N677" t="s">
        <v>64</v>
      </c>
      <c r="O677" t="s">
        <v>46</v>
      </c>
      <c r="P677" t="s">
        <v>46</v>
      </c>
      <c r="Y677" t="s">
        <v>2404</v>
      </c>
    </row>
    <row r="678" spans="1:25">
      <c r="A678" t="s">
        <v>2405</v>
      </c>
      <c r="B678" t="s">
        <v>2406</v>
      </c>
      <c r="D678" t="s">
        <v>40</v>
      </c>
      <c r="E678" t="s">
        <v>41</v>
      </c>
      <c r="J678" t="s">
        <v>76</v>
      </c>
      <c r="K678" t="s">
        <v>77</v>
      </c>
      <c r="L678">
        <v>12</v>
      </c>
      <c r="M678" t="s">
        <v>2407</v>
      </c>
      <c r="N678" t="s">
        <v>64</v>
      </c>
      <c r="O678" t="s">
        <v>46</v>
      </c>
      <c r="P678" t="s">
        <v>46</v>
      </c>
      <c r="Y678" t="s">
        <v>2408</v>
      </c>
    </row>
    <row r="679" spans="1:25">
      <c r="A679" t="s">
        <v>2409</v>
      </c>
      <c r="B679" t="s">
        <v>2410</v>
      </c>
      <c r="D679" t="s">
        <v>40</v>
      </c>
      <c r="E679" t="s">
        <v>41</v>
      </c>
      <c r="J679" t="s">
        <v>62</v>
      </c>
      <c r="K679" t="s">
        <v>63</v>
      </c>
      <c r="L679">
        <v>12</v>
      </c>
      <c r="M679" t="s">
        <v>2407</v>
      </c>
      <c r="N679" t="s">
        <v>64</v>
      </c>
      <c r="O679" t="s">
        <v>46</v>
      </c>
      <c r="P679" t="s">
        <v>46</v>
      </c>
      <c r="Y679" t="s">
        <v>2411</v>
      </c>
    </row>
    <row r="680" spans="1:25">
      <c r="A680" t="s">
        <v>2412</v>
      </c>
      <c r="B680" t="s">
        <v>2413</v>
      </c>
      <c r="D680" t="s">
        <v>40</v>
      </c>
      <c r="E680" t="s">
        <v>41</v>
      </c>
      <c r="J680" t="s">
        <v>62</v>
      </c>
      <c r="K680" t="s">
        <v>63</v>
      </c>
      <c r="L680">
        <v>12</v>
      </c>
      <c r="M680" t="s">
        <v>2407</v>
      </c>
      <c r="N680" t="s">
        <v>64</v>
      </c>
      <c r="O680" t="s">
        <v>46</v>
      </c>
      <c r="P680" t="s">
        <v>46</v>
      </c>
      <c r="Y680" t="s">
        <v>2414</v>
      </c>
    </row>
    <row r="681" spans="1:25">
      <c r="A681" t="s">
        <v>2415</v>
      </c>
      <c r="B681" t="s">
        <v>2416</v>
      </c>
      <c r="D681" t="s">
        <v>40</v>
      </c>
      <c r="E681" t="s">
        <v>41</v>
      </c>
      <c r="J681" t="s">
        <v>62</v>
      </c>
      <c r="K681" t="s">
        <v>63</v>
      </c>
      <c r="L681">
        <v>12</v>
      </c>
      <c r="M681" t="s">
        <v>2407</v>
      </c>
      <c r="N681" t="s">
        <v>64</v>
      </c>
      <c r="O681" t="s">
        <v>46</v>
      </c>
      <c r="P681" t="s">
        <v>46</v>
      </c>
      <c r="Y681" t="s">
        <v>2417</v>
      </c>
    </row>
    <row r="682" spans="1:25">
      <c r="A682" t="s">
        <v>2418</v>
      </c>
      <c r="B682" t="s">
        <v>2419</v>
      </c>
      <c r="D682" t="s">
        <v>40</v>
      </c>
      <c r="E682" t="s">
        <v>41</v>
      </c>
      <c r="J682" t="s">
        <v>76</v>
      </c>
      <c r="K682" t="s">
        <v>77</v>
      </c>
      <c r="L682">
        <v>12</v>
      </c>
      <c r="M682" t="s">
        <v>2407</v>
      </c>
      <c r="N682" t="s">
        <v>64</v>
      </c>
      <c r="O682" t="s">
        <v>46</v>
      </c>
      <c r="P682" t="s">
        <v>46</v>
      </c>
      <c r="Y682" t="s">
        <v>2420</v>
      </c>
    </row>
    <row r="683" spans="1:25">
      <c r="A683" t="s">
        <v>2421</v>
      </c>
      <c r="B683" t="s">
        <v>2422</v>
      </c>
      <c r="D683" t="s">
        <v>40</v>
      </c>
      <c r="E683" t="s">
        <v>41</v>
      </c>
      <c r="J683" t="s">
        <v>76</v>
      </c>
      <c r="K683" t="s">
        <v>77</v>
      </c>
      <c r="L683">
        <v>12</v>
      </c>
      <c r="M683" t="s">
        <v>2423</v>
      </c>
      <c r="N683" t="s">
        <v>64</v>
      </c>
      <c r="O683" t="s">
        <v>46</v>
      </c>
      <c r="P683" t="s">
        <v>46</v>
      </c>
      <c r="Y683" t="s">
        <v>2424</v>
      </c>
    </row>
    <row r="684" spans="1:25">
      <c r="A684" t="s">
        <v>2425</v>
      </c>
      <c r="B684" t="s">
        <v>2426</v>
      </c>
      <c r="D684" t="s">
        <v>40</v>
      </c>
      <c r="E684" t="s">
        <v>41</v>
      </c>
      <c r="J684" t="s">
        <v>182</v>
      </c>
      <c r="K684" t="s">
        <v>183</v>
      </c>
      <c r="L684">
        <v>12</v>
      </c>
      <c r="M684" t="s">
        <v>2427</v>
      </c>
      <c r="N684" t="s">
        <v>64</v>
      </c>
      <c r="O684" t="s">
        <v>46</v>
      </c>
      <c r="P684" t="s">
        <v>46</v>
      </c>
      <c r="Y684" t="s">
        <v>2428</v>
      </c>
    </row>
    <row r="685" spans="1:25">
      <c r="A685" t="s">
        <v>2429</v>
      </c>
      <c r="B685" t="s">
        <v>2430</v>
      </c>
      <c r="D685" t="s">
        <v>40</v>
      </c>
      <c r="E685" t="s">
        <v>41</v>
      </c>
      <c r="J685" t="s">
        <v>62</v>
      </c>
      <c r="K685" t="s">
        <v>63</v>
      </c>
      <c r="L685">
        <v>12</v>
      </c>
      <c r="M685" t="s">
        <v>2427</v>
      </c>
      <c r="N685" t="s">
        <v>64</v>
      </c>
      <c r="O685" t="s">
        <v>46</v>
      </c>
      <c r="P685" t="s">
        <v>46</v>
      </c>
      <c r="Y685" t="s">
        <v>2431</v>
      </c>
    </row>
    <row r="686" spans="1:25">
      <c r="A686" t="s">
        <v>2432</v>
      </c>
      <c r="B686" t="s">
        <v>2433</v>
      </c>
      <c r="D686" t="s">
        <v>40</v>
      </c>
      <c r="E686" t="s">
        <v>41</v>
      </c>
      <c r="J686" t="s">
        <v>62</v>
      </c>
      <c r="K686" t="s">
        <v>63</v>
      </c>
      <c r="L686">
        <v>12</v>
      </c>
      <c r="M686" t="s">
        <v>2427</v>
      </c>
      <c r="N686" t="s">
        <v>64</v>
      </c>
      <c r="O686" t="s">
        <v>46</v>
      </c>
      <c r="P686" t="s">
        <v>46</v>
      </c>
      <c r="Y686" t="s">
        <v>2434</v>
      </c>
    </row>
    <row r="687" spans="1:25">
      <c r="A687" t="s">
        <v>2435</v>
      </c>
      <c r="B687" t="s">
        <v>2436</v>
      </c>
      <c r="D687" t="s">
        <v>40</v>
      </c>
      <c r="E687" t="s">
        <v>41</v>
      </c>
      <c r="J687" t="s">
        <v>62</v>
      </c>
      <c r="K687" t="s">
        <v>63</v>
      </c>
      <c r="L687">
        <v>12</v>
      </c>
      <c r="M687" t="s">
        <v>2427</v>
      </c>
      <c r="N687" t="s">
        <v>64</v>
      </c>
      <c r="O687" t="s">
        <v>46</v>
      </c>
      <c r="P687" t="s">
        <v>46</v>
      </c>
      <c r="Y687" t="s">
        <v>2437</v>
      </c>
    </row>
    <row r="688" spans="1:25">
      <c r="A688" t="s">
        <v>2438</v>
      </c>
      <c r="B688" t="s">
        <v>2439</v>
      </c>
      <c r="D688" t="s">
        <v>40</v>
      </c>
      <c r="E688" t="s">
        <v>41</v>
      </c>
      <c r="J688" t="s">
        <v>76</v>
      </c>
      <c r="K688" t="s">
        <v>77</v>
      </c>
      <c r="L688">
        <v>12</v>
      </c>
      <c r="M688" t="s">
        <v>2427</v>
      </c>
      <c r="N688" t="s">
        <v>64</v>
      </c>
      <c r="O688" t="s">
        <v>46</v>
      </c>
      <c r="P688" t="s">
        <v>46</v>
      </c>
      <c r="Y688" t="s">
        <v>2440</v>
      </c>
    </row>
    <row r="689" spans="1:25">
      <c r="A689" t="s">
        <v>2441</v>
      </c>
      <c r="B689" t="s">
        <v>2442</v>
      </c>
      <c r="D689" t="s">
        <v>40</v>
      </c>
      <c r="E689" t="s">
        <v>41</v>
      </c>
      <c r="J689" t="s">
        <v>42</v>
      </c>
      <c r="K689" t="s">
        <v>43</v>
      </c>
      <c r="L689">
        <v>12</v>
      </c>
      <c r="M689" t="s">
        <v>2427</v>
      </c>
      <c r="N689" t="s">
        <v>1446</v>
      </c>
      <c r="O689" t="s">
        <v>46</v>
      </c>
      <c r="P689" t="s">
        <v>46</v>
      </c>
      <c r="Y689" t="s">
        <v>2443</v>
      </c>
    </row>
    <row r="690" spans="1:25">
      <c r="A690" t="s">
        <v>2444</v>
      </c>
      <c r="B690" t="s">
        <v>2445</v>
      </c>
      <c r="D690" t="s">
        <v>40</v>
      </c>
      <c r="E690" t="s">
        <v>41</v>
      </c>
      <c r="J690" t="s">
        <v>76</v>
      </c>
      <c r="K690" t="s">
        <v>77</v>
      </c>
      <c r="L690">
        <v>12</v>
      </c>
      <c r="M690" t="s">
        <v>2446</v>
      </c>
      <c r="N690" t="s">
        <v>64</v>
      </c>
      <c r="O690" t="s">
        <v>46</v>
      </c>
      <c r="P690" t="s">
        <v>46</v>
      </c>
      <c r="Y690" t="s">
        <v>2447</v>
      </c>
    </row>
    <row r="691" spans="1:25">
      <c r="A691" t="s">
        <v>2448</v>
      </c>
      <c r="B691" t="s">
        <v>2449</v>
      </c>
      <c r="D691" t="s">
        <v>40</v>
      </c>
      <c r="E691" t="s">
        <v>41</v>
      </c>
      <c r="J691" t="s">
        <v>182</v>
      </c>
      <c r="K691" t="s">
        <v>183</v>
      </c>
      <c r="L691">
        <v>12</v>
      </c>
      <c r="M691" t="s">
        <v>2446</v>
      </c>
      <c r="N691" t="s">
        <v>64</v>
      </c>
      <c r="O691" t="s">
        <v>46</v>
      </c>
      <c r="P691" t="s">
        <v>46</v>
      </c>
      <c r="Y691" t="s">
        <v>2450</v>
      </c>
    </row>
    <row r="692" spans="1:25">
      <c r="A692" t="s">
        <v>2451</v>
      </c>
      <c r="B692" t="s">
        <v>2452</v>
      </c>
      <c r="D692" t="s">
        <v>40</v>
      </c>
      <c r="E692" t="s">
        <v>41</v>
      </c>
      <c r="J692" t="s">
        <v>182</v>
      </c>
      <c r="K692" t="s">
        <v>183</v>
      </c>
      <c r="L692">
        <v>12</v>
      </c>
      <c r="M692" t="s">
        <v>2446</v>
      </c>
      <c r="N692" t="s">
        <v>64</v>
      </c>
      <c r="O692" t="s">
        <v>46</v>
      </c>
      <c r="P692" t="s">
        <v>46</v>
      </c>
      <c r="Y692" t="s">
        <v>2453</v>
      </c>
    </row>
    <row r="693" spans="1:25">
      <c r="A693" t="s">
        <v>2454</v>
      </c>
      <c r="B693" t="s">
        <v>2455</v>
      </c>
      <c r="D693" t="s">
        <v>40</v>
      </c>
      <c r="E693" t="s">
        <v>41</v>
      </c>
      <c r="J693" t="s">
        <v>76</v>
      </c>
      <c r="K693" t="s">
        <v>77</v>
      </c>
      <c r="L693">
        <v>12</v>
      </c>
      <c r="M693" t="s">
        <v>2446</v>
      </c>
      <c r="N693" t="s">
        <v>64</v>
      </c>
      <c r="O693" t="s">
        <v>46</v>
      </c>
      <c r="P693" t="s">
        <v>46</v>
      </c>
      <c r="Y693" t="s">
        <v>2456</v>
      </c>
    </row>
    <row r="694" spans="1:25">
      <c r="A694" t="s">
        <v>2457</v>
      </c>
      <c r="B694" t="s">
        <v>2458</v>
      </c>
      <c r="D694" t="s">
        <v>40</v>
      </c>
      <c r="E694" t="s">
        <v>41</v>
      </c>
      <c r="J694" t="s">
        <v>182</v>
      </c>
      <c r="K694" t="s">
        <v>183</v>
      </c>
      <c r="L694">
        <v>12</v>
      </c>
      <c r="M694" t="s">
        <v>2446</v>
      </c>
      <c r="N694" t="s">
        <v>64</v>
      </c>
      <c r="O694" t="s">
        <v>46</v>
      </c>
      <c r="P694" t="s">
        <v>46</v>
      </c>
      <c r="Y694" t="s">
        <v>2459</v>
      </c>
    </row>
    <row r="695" spans="1:25">
      <c r="A695" t="s">
        <v>2460</v>
      </c>
      <c r="B695" t="s">
        <v>2461</v>
      </c>
      <c r="D695" t="s">
        <v>40</v>
      </c>
      <c r="E695" t="s">
        <v>41</v>
      </c>
      <c r="J695" t="s">
        <v>182</v>
      </c>
      <c r="K695" t="s">
        <v>183</v>
      </c>
      <c r="L695">
        <v>12</v>
      </c>
      <c r="M695" t="s">
        <v>2462</v>
      </c>
      <c r="N695" t="s">
        <v>64</v>
      </c>
      <c r="O695" t="s">
        <v>46</v>
      </c>
      <c r="P695" t="s">
        <v>46</v>
      </c>
      <c r="Y695" t="s">
        <v>2463</v>
      </c>
    </row>
    <row r="696" spans="1:25">
      <c r="A696" t="s">
        <v>2464</v>
      </c>
      <c r="B696" t="s">
        <v>2465</v>
      </c>
      <c r="D696" t="s">
        <v>40</v>
      </c>
      <c r="E696" t="s">
        <v>41</v>
      </c>
      <c r="J696" t="s">
        <v>182</v>
      </c>
      <c r="K696" t="s">
        <v>183</v>
      </c>
      <c r="L696">
        <v>12</v>
      </c>
      <c r="M696" t="s">
        <v>2462</v>
      </c>
      <c r="N696" t="s">
        <v>64</v>
      </c>
      <c r="O696" t="s">
        <v>46</v>
      </c>
      <c r="P696" t="s">
        <v>46</v>
      </c>
      <c r="Y696" t="s">
        <v>2466</v>
      </c>
    </row>
    <row r="697" spans="1:25">
      <c r="A697" t="s">
        <v>2467</v>
      </c>
      <c r="B697" t="s">
        <v>2468</v>
      </c>
      <c r="D697" t="s">
        <v>40</v>
      </c>
      <c r="E697" t="s">
        <v>41</v>
      </c>
      <c r="J697" t="s">
        <v>62</v>
      </c>
      <c r="K697" t="s">
        <v>63</v>
      </c>
      <c r="L697">
        <v>12</v>
      </c>
      <c r="M697" t="s">
        <v>2462</v>
      </c>
      <c r="N697" t="s">
        <v>64</v>
      </c>
      <c r="O697" t="s">
        <v>46</v>
      </c>
      <c r="P697" t="s">
        <v>46</v>
      </c>
      <c r="Y697" t="s">
        <v>2469</v>
      </c>
    </row>
    <row r="698" spans="1:25">
      <c r="A698" t="s">
        <v>2470</v>
      </c>
      <c r="B698" t="s">
        <v>2471</v>
      </c>
      <c r="D698" t="s">
        <v>40</v>
      </c>
      <c r="E698" t="s">
        <v>41</v>
      </c>
      <c r="J698" t="s">
        <v>182</v>
      </c>
      <c r="K698" t="s">
        <v>183</v>
      </c>
      <c r="L698">
        <v>12</v>
      </c>
      <c r="M698" t="s">
        <v>2462</v>
      </c>
      <c r="N698" t="s">
        <v>64</v>
      </c>
      <c r="O698" t="s">
        <v>46</v>
      </c>
      <c r="P698" t="s">
        <v>46</v>
      </c>
      <c r="Y698" t="s">
        <v>2472</v>
      </c>
    </row>
    <row r="699" spans="1:25">
      <c r="A699" t="s">
        <v>2473</v>
      </c>
      <c r="B699" t="s">
        <v>2474</v>
      </c>
      <c r="D699" t="s">
        <v>40</v>
      </c>
      <c r="E699" t="s">
        <v>41</v>
      </c>
      <c r="J699" t="s">
        <v>62</v>
      </c>
      <c r="K699" t="s">
        <v>63</v>
      </c>
      <c r="L699">
        <v>12</v>
      </c>
      <c r="M699" t="s">
        <v>2475</v>
      </c>
      <c r="N699" t="s">
        <v>64</v>
      </c>
      <c r="O699" t="s">
        <v>46</v>
      </c>
      <c r="P699" t="s">
        <v>46</v>
      </c>
      <c r="Y699" t="s">
        <v>2476</v>
      </c>
    </row>
    <row r="700" spans="1:25">
      <c r="A700" t="s">
        <v>2477</v>
      </c>
      <c r="B700" t="s">
        <v>2478</v>
      </c>
      <c r="D700" t="s">
        <v>40</v>
      </c>
      <c r="E700" t="s">
        <v>41</v>
      </c>
      <c r="J700" t="s">
        <v>42</v>
      </c>
      <c r="K700" t="s">
        <v>43</v>
      </c>
      <c r="L700">
        <v>12</v>
      </c>
      <c r="M700" t="s">
        <v>2475</v>
      </c>
      <c r="N700" t="s">
        <v>165</v>
      </c>
      <c r="O700" t="s">
        <v>46</v>
      </c>
      <c r="P700" t="s">
        <v>46</v>
      </c>
      <c r="Y700" t="s">
        <v>2479</v>
      </c>
    </row>
    <row r="701" spans="1:25">
      <c r="A701" t="s">
        <v>2480</v>
      </c>
      <c r="B701" t="s">
        <v>2481</v>
      </c>
      <c r="D701" t="s">
        <v>40</v>
      </c>
      <c r="E701" t="s">
        <v>41</v>
      </c>
      <c r="J701" t="s">
        <v>62</v>
      </c>
      <c r="K701" t="s">
        <v>63</v>
      </c>
      <c r="L701">
        <v>12</v>
      </c>
      <c r="M701" t="s">
        <v>2475</v>
      </c>
      <c r="N701" t="s">
        <v>64</v>
      </c>
      <c r="O701" t="s">
        <v>46</v>
      </c>
      <c r="P701" t="s">
        <v>46</v>
      </c>
      <c r="Y701" t="s">
        <v>2482</v>
      </c>
    </row>
    <row r="702" spans="1:25">
      <c r="A702" t="s">
        <v>2483</v>
      </c>
      <c r="B702" t="s">
        <v>2484</v>
      </c>
      <c r="D702" t="s">
        <v>40</v>
      </c>
      <c r="E702" t="s">
        <v>41</v>
      </c>
      <c r="J702" t="s">
        <v>62</v>
      </c>
      <c r="K702" t="s">
        <v>63</v>
      </c>
      <c r="L702">
        <v>12</v>
      </c>
      <c r="M702" t="s">
        <v>2475</v>
      </c>
      <c r="N702" t="s">
        <v>64</v>
      </c>
      <c r="O702" t="s">
        <v>46</v>
      </c>
      <c r="P702" t="s">
        <v>46</v>
      </c>
      <c r="Y702" t="s">
        <v>2485</v>
      </c>
    </row>
    <row r="703" spans="1:25">
      <c r="A703" t="s">
        <v>2486</v>
      </c>
      <c r="B703" t="s">
        <v>2487</v>
      </c>
      <c r="D703" t="s">
        <v>40</v>
      </c>
      <c r="E703" t="s">
        <v>41</v>
      </c>
      <c r="J703" t="s">
        <v>62</v>
      </c>
      <c r="K703" t="s">
        <v>63</v>
      </c>
      <c r="L703">
        <v>12</v>
      </c>
      <c r="M703" t="s">
        <v>2475</v>
      </c>
      <c r="N703" t="s">
        <v>64</v>
      </c>
      <c r="O703" t="s">
        <v>46</v>
      </c>
      <c r="P703" t="s">
        <v>46</v>
      </c>
      <c r="Y703" t="s">
        <v>2488</v>
      </c>
    </row>
    <row r="704" spans="1:25">
      <c r="A704" t="s">
        <v>2489</v>
      </c>
      <c r="B704" t="s">
        <v>2490</v>
      </c>
      <c r="D704" t="s">
        <v>40</v>
      </c>
      <c r="E704" t="s">
        <v>41</v>
      </c>
      <c r="J704" t="s">
        <v>264</v>
      </c>
      <c r="K704" t="s">
        <v>265</v>
      </c>
      <c r="L704">
        <v>7</v>
      </c>
      <c r="M704" t="s">
        <v>2491</v>
      </c>
      <c r="N704" t="s">
        <v>257</v>
      </c>
      <c r="O704" t="s">
        <v>46</v>
      </c>
      <c r="P704" t="s">
        <v>46</v>
      </c>
      <c r="Y704" t="s">
        <v>2492</v>
      </c>
    </row>
    <row r="705" spans="1:25">
      <c r="A705" t="s">
        <v>2493</v>
      </c>
      <c r="B705" t="s">
        <v>2494</v>
      </c>
      <c r="D705" t="s">
        <v>40</v>
      </c>
      <c r="E705" t="s">
        <v>41</v>
      </c>
      <c r="J705" t="s">
        <v>42</v>
      </c>
      <c r="K705" t="s">
        <v>43</v>
      </c>
      <c r="L705">
        <v>11</v>
      </c>
      <c r="M705" t="s">
        <v>2495</v>
      </c>
      <c r="N705" t="s">
        <v>142</v>
      </c>
      <c r="O705" t="s">
        <v>46</v>
      </c>
      <c r="P705" t="s">
        <v>46</v>
      </c>
      <c r="Y705" t="s">
        <v>2496</v>
      </c>
    </row>
    <row r="706" spans="1:25">
      <c r="A706" t="s">
        <v>2497</v>
      </c>
      <c r="B706" t="s">
        <v>2498</v>
      </c>
      <c r="D706" t="s">
        <v>40</v>
      </c>
      <c r="E706" t="s">
        <v>41</v>
      </c>
      <c r="J706" t="s">
        <v>182</v>
      </c>
      <c r="K706" t="s">
        <v>183</v>
      </c>
      <c r="L706">
        <v>12</v>
      </c>
      <c r="M706" t="s">
        <v>2499</v>
      </c>
      <c r="N706" t="s">
        <v>64</v>
      </c>
      <c r="O706" t="s">
        <v>46</v>
      </c>
      <c r="P706" t="s">
        <v>46</v>
      </c>
      <c r="Y706" t="s">
        <v>2500</v>
      </c>
    </row>
    <row r="707" spans="1:25">
      <c r="A707" t="s">
        <v>2501</v>
      </c>
      <c r="B707" t="s">
        <v>2502</v>
      </c>
      <c r="D707" t="s">
        <v>40</v>
      </c>
      <c r="E707" t="s">
        <v>41</v>
      </c>
      <c r="J707" t="s">
        <v>62</v>
      </c>
      <c r="K707" t="s">
        <v>63</v>
      </c>
      <c r="L707">
        <v>12</v>
      </c>
      <c r="M707" t="s">
        <v>2499</v>
      </c>
      <c r="N707" t="s">
        <v>64</v>
      </c>
      <c r="O707" t="s">
        <v>46</v>
      </c>
      <c r="P707" t="s">
        <v>46</v>
      </c>
      <c r="Y707" t="s">
        <v>2503</v>
      </c>
    </row>
    <row r="708" spans="1:25">
      <c r="A708" t="s">
        <v>2504</v>
      </c>
      <c r="B708" t="s">
        <v>2505</v>
      </c>
      <c r="D708" t="s">
        <v>40</v>
      </c>
      <c r="E708" t="s">
        <v>41</v>
      </c>
      <c r="J708" t="s">
        <v>42</v>
      </c>
      <c r="K708" t="s">
        <v>43</v>
      </c>
      <c r="L708">
        <v>12</v>
      </c>
      <c r="M708" t="s">
        <v>2499</v>
      </c>
      <c r="N708" t="s">
        <v>1397</v>
      </c>
      <c r="O708" t="s">
        <v>46</v>
      </c>
      <c r="P708" t="s">
        <v>46</v>
      </c>
      <c r="Y708" t="s">
        <v>2506</v>
      </c>
    </row>
    <row r="709" spans="1:25">
      <c r="A709" t="s">
        <v>2507</v>
      </c>
      <c r="B709" t="s">
        <v>2508</v>
      </c>
      <c r="D709" t="s">
        <v>40</v>
      </c>
      <c r="E709" t="s">
        <v>41</v>
      </c>
      <c r="J709" t="s">
        <v>76</v>
      </c>
      <c r="K709" t="s">
        <v>77</v>
      </c>
      <c r="L709">
        <v>12</v>
      </c>
      <c r="M709" t="s">
        <v>2499</v>
      </c>
      <c r="N709" t="s">
        <v>64</v>
      </c>
      <c r="O709" t="s">
        <v>46</v>
      </c>
      <c r="P709" t="s">
        <v>46</v>
      </c>
      <c r="Y709" t="s">
        <v>2509</v>
      </c>
    </row>
    <row r="710" spans="1:25">
      <c r="A710" t="s">
        <v>2510</v>
      </c>
      <c r="B710" t="s">
        <v>2511</v>
      </c>
      <c r="D710" t="s">
        <v>40</v>
      </c>
      <c r="E710" t="s">
        <v>41</v>
      </c>
      <c r="J710" t="s">
        <v>182</v>
      </c>
      <c r="K710" t="s">
        <v>183</v>
      </c>
      <c r="L710">
        <v>12</v>
      </c>
      <c r="M710" t="s">
        <v>2499</v>
      </c>
      <c r="N710" t="s">
        <v>64</v>
      </c>
      <c r="O710" t="s">
        <v>46</v>
      </c>
      <c r="P710" t="s">
        <v>46</v>
      </c>
      <c r="Y710" t="s">
        <v>2512</v>
      </c>
    </row>
    <row r="711" spans="1:25">
      <c r="A711" t="s">
        <v>2513</v>
      </c>
      <c r="B711" t="s">
        <v>2514</v>
      </c>
      <c r="D711" t="s">
        <v>40</v>
      </c>
      <c r="E711" t="s">
        <v>41</v>
      </c>
      <c r="J711" t="s">
        <v>62</v>
      </c>
      <c r="K711" t="s">
        <v>63</v>
      </c>
      <c r="L711">
        <v>12</v>
      </c>
      <c r="M711" t="s">
        <v>2499</v>
      </c>
      <c r="N711" t="s">
        <v>64</v>
      </c>
      <c r="O711" t="s">
        <v>46</v>
      </c>
      <c r="P711" t="s">
        <v>46</v>
      </c>
      <c r="Y711" t="s">
        <v>2515</v>
      </c>
    </row>
    <row r="712" spans="1:25">
      <c r="A712" t="s">
        <v>2516</v>
      </c>
      <c r="B712" t="s">
        <v>2517</v>
      </c>
      <c r="D712" t="s">
        <v>40</v>
      </c>
      <c r="E712" t="s">
        <v>41</v>
      </c>
      <c r="J712" t="s">
        <v>68</v>
      </c>
      <c r="K712" t="s">
        <v>69</v>
      </c>
      <c r="L712">
        <v>12</v>
      </c>
      <c r="M712" t="s">
        <v>2499</v>
      </c>
      <c r="N712" t="s">
        <v>64</v>
      </c>
      <c r="O712" t="s">
        <v>46</v>
      </c>
      <c r="P712" t="s">
        <v>46</v>
      </c>
      <c r="Y712" t="s">
        <v>2518</v>
      </c>
    </row>
    <row r="713" spans="1:25">
      <c r="A713" t="s">
        <v>2519</v>
      </c>
      <c r="B713" t="s">
        <v>2520</v>
      </c>
      <c r="D713" t="s">
        <v>40</v>
      </c>
      <c r="E713" t="s">
        <v>41</v>
      </c>
      <c r="J713" t="s">
        <v>42</v>
      </c>
      <c r="K713" t="s">
        <v>43</v>
      </c>
      <c r="L713">
        <v>12</v>
      </c>
      <c r="M713" t="s">
        <v>2521</v>
      </c>
      <c r="N713" t="s">
        <v>924</v>
      </c>
      <c r="O713" t="s">
        <v>46</v>
      </c>
      <c r="P713" t="s">
        <v>46</v>
      </c>
      <c r="Y713" t="s">
        <v>2522</v>
      </c>
    </row>
    <row r="714" spans="1:25">
      <c r="A714" t="s">
        <v>2523</v>
      </c>
      <c r="B714" t="s">
        <v>2524</v>
      </c>
      <c r="D714" t="s">
        <v>40</v>
      </c>
      <c r="E714" t="s">
        <v>41</v>
      </c>
      <c r="J714" t="s">
        <v>182</v>
      </c>
      <c r="K714" t="s">
        <v>183</v>
      </c>
      <c r="L714">
        <v>12</v>
      </c>
      <c r="M714" t="s">
        <v>2521</v>
      </c>
      <c r="N714" t="s">
        <v>64</v>
      </c>
      <c r="O714" t="s">
        <v>46</v>
      </c>
      <c r="P714" t="s">
        <v>46</v>
      </c>
      <c r="Y714" t="s">
        <v>2525</v>
      </c>
    </row>
    <row r="715" spans="1:25">
      <c r="A715" t="s">
        <v>2526</v>
      </c>
      <c r="B715" t="s">
        <v>2527</v>
      </c>
      <c r="D715" t="s">
        <v>40</v>
      </c>
      <c r="E715" t="s">
        <v>41</v>
      </c>
      <c r="J715" t="s">
        <v>68</v>
      </c>
      <c r="K715" t="s">
        <v>69</v>
      </c>
      <c r="L715">
        <v>12</v>
      </c>
      <c r="M715" t="s">
        <v>2521</v>
      </c>
      <c r="N715" t="s">
        <v>64</v>
      </c>
      <c r="O715" t="s">
        <v>46</v>
      </c>
      <c r="P715" t="s">
        <v>46</v>
      </c>
      <c r="Y715" t="s">
        <v>2528</v>
      </c>
    </row>
    <row r="716" spans="1:25">
      <c r="A716" t="s">
        <v>2529</v>
      </c>
      <c r="B716" t="s">
        <v>2530</v>
      </c>
      <c r="D716" t="s">
        <v>40</v>
      </c>
      <c r="E716" t="s">
        <v>41</v>
      </c>
      <c r="J716" t="s">
        <v>62</v>
      </c>
      <c r="K716" t="s">
        <v>63</v>
      </c>
      <c r="L716">
        <v>12</v>
      </c>
      <c r="M716" t="s">
        <v>2531</v>
      </c>
      <c r="N716" t="s">
        <v>64</v>
      </c>
      <c r="O716" t="s">
        <v>46</v>
      </c>
      <c r="P716" t="s">
        <v>46</v>
      </c>
      <c r="Y716" t="s">
        <v>2532</v>
      </c>
    </row>
    <row r="717" spans="1:25">
      <c r="A717" t="s">
        <v>2533</v>
      </c>
      <c r="B717" t="s">
        <v>2534</v>
      </c>
      <c r="D717" t="s">
        <v>40</v>
      </c>
      <c r="E717" t="s">
        <v>41</v>
      </c>
      <c r="J717" t="s">
        <v>182</v>
      </c>
      <c r="K717" t="s">
        <v>183</v>
      </c>
      <c r="L717">
        <v>11</v>
      </c>
      <c r="M717" t="s">
        <v>2531</v>
      </c>
      <c r="N717" t="s">
        <v>64</v>
      </c>
      <c r="O717" t="s">
        <v>46</v>
      </c>
      <c r="P717" t="s">
        <v>46</v>
      </c>
      <c r="Y717" t="s">
        <v>2535</v>
      </c>
    </row>
    <row r="718" spans="1:25">
      <c r="A718" t="s">
        <v>2536</v>
      </c>
      <c r="B718" t="s">
        <v>2537</v>
      </c>
      <c r="D718" t="s">
        <v>40</v>
      </c>
      <c r="E718" t="s">
        <v>41</v>
      </c>
      <c r="J718" t="s">
        <v>264</v>
      </c>
      <c r="K718" t="s">
        <v>265</v>
      </c>
      <c r="L718">
        <v>12</v>
      </c>
      <c r="M718" t="s">
        <v>2538</v>
      </c>
      <c r="N718" t="s">
        <v>2346</v>
      </c>
      <c r="O718" t="s">
        <v>46</v>
      </c>
      <c r="P718" t="s">
        <v>46</v>
      </c>
      <c r="Y718" t="s">
        <v>2539</v>
      </c>
    </row>
    <row r="719" spans="1:25">
      <c r="A719" t="s">
        <v>2540</v>
      </c>
      <c r="B719" t="s">
        <v>2541</v>
      </c>
      <c r="D719" t="s">
        <v>40</v>
      </c>
      <c r="E719" t="s">
        <v>41</v>
      </c>
      <c r="J719" t="s">
        <v>182</v>
      </c>
      <c r="K719" t="s">
        <v>183</v>
      </c>
      <c r="L719">
        <v>12</v>
      </c>
      <c r="M719" t="s">
        <v>2538</v>
      </c>
      <c r="N719" t="s">
        <v>64</v>
      </c>
      <c r="O719" t="s">
        <v>46</v>
      </c>
      <c r="P719" t="s">
        <v>46</v>
      </c>
      <c r="Y719" t="s">
        <v>2542</v>
      </c>
    </row>
    <row r="720" spans="1:25">
      <c r="A720" t="s">
        <v>2543</v>
      </c>
      <c r="B720" t="s">
        <v>2544</v>
      </c>
      <c r="D720" t="s">
        <v>40</v>
      </c>
      <c r="E720" t="s">
        <v>41</v>
      </c>
      <c r="J720" t="s">
        <v>182</v>
      </c>
      <c r="K720" t="s">
        <v>183</v>
      </c>
      <c r="L720">
        <v>12</v>
      </c>
      <c r="M720" t="s">
        <v>2538</v>
      </c>
      <c r="N720" t="s">
        <v>64</v>
      </c>
      <c r="O720" t="s">
        <v>46</v>
      </c>
      <c r="P720" t="s">
        <v>46</v>
      </c>
      <c r="Y720" t="s">
        <v>2545</v>
      </c>
    </row>
    <row r="721" spans="1:25">
      <c r="A721" t="s">
        <v>2546</v>
      </c>
      <c r="B721" t="s">
        <v>2547</v>
      </c>
      <c r="D721" t="s">
        <v>40</v>
      </c>
      <c r="E721" t="s">
        <v>41</v>
      </c>
      <c r="J721" t="s">
        <v>42</v>
      </c>
      <c r="K721" t="s">
        <v>43</v>
      </c>
      <c r="L721">
        <v>12</v>
      </c>
      <c r="M721" t="s">
        <v>2538</v>
      </c>
      <c r="N721" t="s">
        <v>1380</v>
      </c>
      <c r="O721" t="s">
        <v>46</v>
      </c>
      <c r="P721" t="s">
        <v>46</v>
      </c>
      <c r="Y721" t="s">
        <v>2548</v>
      </c>
    </row>
    <row r="722" spans="1:25">
      <c r="A722" t="s">
        <v>2549</v>
      </c>
      <c r="B722" t="s">
        <v>2550</v>
      </c>
      <c r="D722" t="s">
        <v>40</v>
      </c>
      <c r="E722" t="s">
        <v>41</v>
      </c>
      <c r="J722" t="s">
        <v>62</v>
      </c>
      <c r="K722" t="s">
        <v>63</v>
      </c>
      <c r="L722">
        <v>12</v>
      </c>
      <c r="M722" t="s">
        <v>2551</v>
      </c>
      <c r="N722" t="s">
        <v>64</v>
      </c>
      <c r="O722" t="s">
        <v>46</v>
      </c>
      <c r="P722" t="s">
        <v>46</v>
      </c>
      <c r="Y722" t="s">
        <v>2552</v>
      </c>
    </row>
    <row r="723" spans="1:25">
      <c r="A723" t="s">
        <v>2553</v>
      </c>
      <c r="B723" t="s">
        <v>2554</v>
      </c>
      <c r="D723" t="s">
        <v>40</v>
      </c>
      <c r="E723" t="s">
        <v>41</v>
      </c>
      <c r="J723" t="s">
        <v>76</v>
      </c>
      <c r="K723" t="s">
        <v>77</v>
      </c>
      <c r="L723">
        <v>12</v>
      </c>
      <c r="M723" t="s">
        <v>2551</v>
      </c>
      <c r="N723" t="s">
        <v>64</v>
      </c>
      <c r="O723" t="s">
        <v>46</v>
      </c>
      <c r="P723" t="s">
        <v>46</v>
      </c>
      <c r="Y723" t="s">
        <v>2555</v>
      </c>
    </row>
    <row r="724" spans="1:25">
      <c r="A724" t="s">
        <v>2556</v>
      </c>
      <c r="B724" t="s">
        <v>2557</v>
      </c>
      <c r="D724" t="s">
        <v>40</v>
      </c>
      <c r="E724" t="s">
        <v>41</v>
      </c>
      <c r="J724" t="s">
        <v>76</v>
      </c>
      <c r="K724" t="s">
        <v>77</v>
      </c>
      <c r="L724">
        <v>12</v>
      </c>
      <c r="M724" t="s">
        <v>2558</v>
      </c>
      <c r="N724" t="s">
        <v>64</v>
      </c>
      <c r="O724" t="s">
        <v>46</v>
      </c>
      <c r="P724" t="s">
        <v>46</v>
      </c>
      <c r="Y724" t="s">
        <v>2559</v>
      </c>
    </row>
    <row r="725" spans="1:25">
      <c r="A725" t="s">
        <v>2560</v>
      </c>
      <c r="B725" t="s">
        <v>2561</v>
      </c>
      <c r="D725" t="s">
        <v>40</v>
      </c>
      <c r="E725" t="s">
        <v>41</v>
      </c>
      <c r="J725" t="s">
        <v>76</v>
      </c>
      <c r="K725" t="s">
        <v>77</v>
      </c>
      <c r="L725">
        <v>12</v>
      </c>
      <c r="M725" t="s">
        <v>2558</v>
      </c>
      <c r="N725" t="s">
        <v>64</v>
      </c>
      <c r="O725" t="s">
        <v>46</v>
      </c>
      <c r="P725" t="s">
        <v>46</v>
      </c>
      <c r="Y725" t="s">
        <v>2562</v>
      </c>
    </row>
    <row r="726" spans="1:25">
      <c r="A726" t="s">
        <v>2563</v>
      </c>
      <c r="B726" t="s">
        <v>2564</v>
      </c>
      <c r="D726" t="s">
        <v>40</v>
      </c>
      <c r="E726" t="s">
        <v>41</v>
      </c>
      <c r="J726" t="s">
        <v>62</v>
      </c>
      <c r="K726" t="s">
        <v>63</v>
      </c>
      <c r="L726">
        <v>12</v>
      </c>
      <c r="M726" t="s">
        <v>2558</v>
      </c>
      <c r="N726" t="s">
        <v>64</v>
      </c>
      <c r="O726" t="s">
        <v>46</v>
      </c>
      <c r="P726" t="s">
        <v>46</v>
      </c>
      <c r="Y726" t="s">
        <v>2565</v>
      </c>
    </row>
    <row r="727" spans="1:25">
      <c r="A727" t="s">
        <v>2566</v>
      </c>
      <c r="B727" t="s">
        <v>2567</v>
      </c>
      <c r="D727" t="s">
        <v>40</v>
      </c>
      <c r="E727" t="s">
        <v>41</v>
      </c>
      <c r="J727" t="s">
        <v>264</v>
      </c>
      <c r="K727" t="s">
        <v>265</v>
      </c>
      <c r="L727">
        <v>12</v>
      </c>
      <c r="M727" t="s">
        <v>2568</v>
      </c>
      <c r="N727" t="s">
        <v>1478</v>
      </c>
      <c r="O727" t="s">
        <v>46</v>
      </c>
      <c r="P727" t="s">
        <v>46</v>
      </c>
      <c r="Y727" t="s">
        <v>2569</v>
      </c>
    </row>
    <row r="728" spans="1:25">
      <c r="A728" t="s">
        <v>2570</v>
      </c>
      <c r="B728" t="s">
        <v>2571</v>
      </c>
      <c r="D728" t="s">
        <v>40</v>
      </c>
      <c r="E728" t="s">
        <v>41</v>
      </c>
      <c r="J728" t="s">
        <v>42</v>
      </c>
      <c r="K728" t="s">
        <v>43</v>
      </c>
      <c r="L728">
        <v>12</v>
      </c>
      <c r="M728" t="s">
        <v>2568</v>
      </c>
      <c r="N728" t="s">
        <v>509</v>
      </c>
      <c r="O728" t="s">
        <v>46</v>
      </c>
      <c r="P728" t="s">
        <v>46</v>
      </c>
      <c r="Y728" t="s">
        <v>2572</v>
      </c>
    </row>
    <row r="729" spans="1:25">
      <c r="A729" t="s">
        <v>2573</v>
      </c>
      <c r="B729" t="s">
        <v>2574</v>
      </c>
      <c r="D729" t="s">
        <v>40</v>
      </c>
      <c r="E729" t="s">
        <v>41</v>
      </c>
      <c r="J729" t="s">
        <v>76</v>
      </c>
      <c r="K729" t="s">
        <v>77</v>
      </c>
      <c r="L729">
        <v>12</v>
      </c>
      <c r="M729" t="s">
        <v>2568</v>
      </c>
      <c r="N729" t="s">
        <v>64</v>
      </c>
      <c r="O729" t="s">
        <v>46</v>
      </c>
      <c r="P729" t="s">
        <v>46</v>
      </c>
      <c r="Y729" t="s">
        <v>2575</v>
      </c>
    </row>
    <row r="730" spans="1:25">
      <c r="A730" t="s">
        <v>2576</v>
      </c>
      <c r="B730" t="s">
        <v>2577</v>
      </c>
      <c r="D730" t="s">
        <v>40</v>
      </c>
      <c r="E730" t="s">
        <v>41</v>
      </c>
      <c r="J730" t="s">
        <v>62</v>
      </c>
      <c r="K730" t="s">
        <v>63</v>
      </c>
      <c r="L730">
        <v>12</v>
      </c>
      <c r="M730" t="s">
        <v>2568</v>
      </c>
      <c r="N730" t="s">
        <v>64</v>
      </c>
      <c r="O730" t="s">
        <v>46</v>
      </c>
      <c r="P730" t="s">
        <v>46</v>
      </c>
      <c r="Y730" t="s">
        <v>2578</v>
      </c>
    </row>
    <row r="731" spans="1:25">
      <c r="A731" t="s">
        <v>2579</v>
      </c>
      <c r="B731" t="s">
        <v>2580</v>
      </c>
      <c r="D731" t="s">
        <v>40</v>
      </c>
      <c r="E731" t="s">
        <v>41</v>
      </c>
      <c r="J731" t="s">
        <v>182</v>
      </c>
      <c r="K731" t="s">
        <v>183</v>
      </c>
      <c r="L731">
        <v>12</v>
      </c>
      <c r="M731" t="s">
        <v>2568</v>
      </c>
      <c r="N731" t="s">
        <v>64</v>
      </c>
      <c r="O731" t="s">
        <v>46</v>
      </c>
      <c r="P731" t="s">
        <v>46</v>
      </c>
      <c r="Y731" t="s">
        <v>2581</v>
      </c>
    </row>
    <row r="732" spans="1:25">
      <c r="A732" t="s">
        <v>2582</v>
      </c>
      <c r="B732" t="s">
        <v>2583</v>
      </c>
      <c r="D732" t="s">
        <v>40</v>
      </c>
      <c r="E732" t="s">
        <v>41</v>
      </c>
      <c r="J732" t="s">
        <v>76</v>
      </c>
      <c r="K732" t="s">
        <v>77</v>
      </c>
      <c r="L732">
        <v>12</v>
      </c>
      <c r="M732" t="s">
        <v>2584</v>
      </c>
      <c r="N732" t="s">
        <v>64</v>
      </c>
      <c r="O732" t="s">
        <v>46</v>
      </c>
      <c r="P732" t="s">
        <v>46</v>
      </c>
      <c r="Y732" t="s">
        <v>2585</v>
      </c>
    </row>
    <row r="733" spans="1:25">
      <c r="A733" t="s">
        <v>2586</v>
      </c>
      <c r="B733" t="s">
        <v>2587</v>
      </c>
      <c r="D733" t="s">
        <v>40</v>
      </c>
      <c r="E733" t="s">
        <v>41</v>
      </c>
      <c r="J733" t="s">
        <v>62</v>
      </c>
      <c r="K733" t="s">
        <v>63</v>
      </c>
      <c r="L733">
        <v>12</v>
      </c>
      <c r="M733" t="s">
        <v>2584</v>
      </c>
      <c r="N733" t="s">
        <v>64</v>
      </c>
      <c r="O733" t="s">
        <v>46</v>
      </c>
      <c r="P733" t="s">
        <v>46</v>
      </c>
      <c r="Y733" t="s">
        <v>2588</v>
      </c>
    </row>
    <row r="734" spans="1:25">
      <c r="A734" t="s">
        <v>2589</v>
      </c>
      <c r="B734" t="s">
        <v>2590</v>
      </c>
      <c r="D734" t="s">
        <v>40</v>
      </c>
      <c r="E734" t="s">
        <v>41</v>
      </c>
      <c r="J734" t="s">
        <v>62</v>
      </c>
      <c r="K734" t="s">
        <v>63</v>
      </c>
      <c r="L734">
        <v>12</v>
      </c>
      <c r="M734" t="s">
        <v>2591</v>
      </c>
      <c r="N734" t="s">
        <v>64</v>
      </c>
      <c r="O734" t="s">
        <v>46</v>
      </c>
      <c r="P734" t="s">
        <v>46</v>
      </c>
      <c r="Y734" t="s">
        <v>2592</v>
      </c>
    </row>
    <row r="735" spans="1:25">
      <c r="A735" t="s">
        <v>2593</v>
      </c>
      <c r="B735" t="s">
        <v>2594</v>
      </c>
      <c r="D735" t="s">
        <v>40</v>
      </c>
      <c r="E735" t="s">
        <v>41</v>
      </c>
      <c r="J735" t="s">
        <v>62</v>
      </c>
      <c r="K735" t="s">
        <v>63</v>
      </c>
      <c r="L735">
        <v>12</v>
      </c>
      <c r="M735" t="s">
        <v>2595</v>
      </c>
      <c r="N735" t="s">
        <v>64</v>
      </c>
      <c r="O735" t="s">
        <v>46</v>
      </c>
      <c r="P735" t="s">
        <v>46</v>
      </c>
      <c r="Y735" t="s">
        <v>2596</v>
      </c>
    </row>
    <row r="736" spans="1:25">
      <c r="A736" t="s">
        <v>2597</v>
      </c>
      <c r="B736" t="s">
        <v>2598</v>
      </c>
      <c r="D736" t="s">
        <v>40</v>
      </c>
      <c r="E736" t="s">
        <v>41</v>
      </c>
      <c r="J736" t="s">
        <v>182</v>
      </c>
      <c r="K736" t="s">
        <v>183</v>
      </c>
      <c r="L736">
        <v>12</v>
      </c>
      <c r="M736" t="s">
        <v>2595</v>
      </c>
      <c r="N736" t="s">
        <v>64</v>
      </c>
      <c r="O736" t="s">
        <v>46</v>
      </c>
      <c r="P736" t="s">
        <v>46</v>
      </c>
      <c r="Y736" t="s">
        <v>2599</v>
      </c>
    </row>
    <row r="737" spans="1:25">
      <c r="A737" t="s">
        <v>2600</v>
      </c>
      <c r="B737" t="s">
        <v>2601</v>
      </c>
      <c r="D737" t="s">
        <v>40</v>
      </c>
      <c r="E737" t="s">
        <v>41</v>
      </c>
      <c r="J737" t="s">
        <v>182</v>
      </c>
      <c r="K737" t="s">
        <v>183</v>
      </c>
      <c r="L737">
        <v>12</v>
      </c>
      <c r="M737" t="s">
        <v>2602</v>
      </c>
      <c r="N737" t="s">
        <v>64</v>
      </c>
      <c r="O737" t="s">
        <v>46</v>
      </c>
      <c r="P737" t="s">
        <v>46</v>
      </c>
      <c r="Y737" t="s">
        <v>2603</v>
      </c>
    </row>
    <row r="738" spans="1:25">
      <c r="A738" t="s">
        <v>2604</v>
      </c>
      <c r="B738" t="s">
        <v>2605</v>
      </c>
      <c r="D738" t="s">
        <v>40</v>
      </c>
      <c r="E738" t="s">
        <v>41</v>
      </c>
      <c r="J738" t="s">
        <v>62</v>
      </c>
      <c r="K738" t="s">
        <v>63</v>
      </c>
      <c r="L738">
        <v>12</v>
      </c>
      <c r="M738" t="s">
        <v>2602</v>
      </c>
      <c r="N738" t="s">
        <v>64</v>
      </c>
      <c r="O738" t="s">
        <v>46</v>
      </c>
      <c r="P738" t="s">
        <v>46</v>
      </c>
      <c r="Y738" t="s">
        <v>2606</v>
      </c>
    </row>
    <row r="739" spans="1:25">
      <c r="A739" t="s">
        <v>2607</v>
      </c>
      <c r="B739" t="s">
        <v>2608</v>
      </c>
      <c r="D739" t="s">
        <v>40</v>
      </c>
      <c r="E739" t="s">
        <v>41</v>
      </c>
      <c r="J739" t="s">
        <v>62</v>
      </c>
      <c r="K739" t="s">
        <v>63</v>
      </c>
      <c r="L739">
        <v>12</v>
      </c>
      <c r="M739" t="s">
        <v>2602</v>
      </c>
      <c r="N739" t="s">
        <v>64</v>
      </c>
      <c r="O739" t="s">
        <v>46</v>
      </c>
      <c r="P739" t="s">
        <v>46</v>
      </c>
      <c r="Y739" t="s">
        <v>2609</v>
      </c>
    </row>
    <row r="740" spans="1:25">
      <c r="A740" t="s">
        <v>2610</v>
      </c>
      <c r="B740" t="s">
        <v>2611</v>
      </c>
      <c r="D740" t="s">
        <v>40</v>
      </c>
      <c r="E740" t="s">
        <v>41</v>
      </c>
      <c r="J740" t="s">
        <v>62</v>
      </c>
      <c r="K740" t="s">
        <v>63</v>
      </c>
      <c r="L740">
        <v>12</v>
      </c>
      <c r="M740" t="s">
        <v>2612</v>
      </c>
      <c r="N740" t="s">
        <v>64</v>
      </c>
      <c r="O740" t="s">
        <v>46</v>
      </c>
      <c r="P740" t="s">
        <v>46</v>
      </c>
      <c r="Y740" t="s">
        <v>2613</v>
      </c>
    </row>
    <row r="741" spans="1:25">
      <c r="A741" t="s">
        <v>2614</v>
      </c>
      <c r="B741" t="s">
        <v>2615</v>
      </c>
      <c r="D741" t="s">
        <v>40</v>
      </c>
      <c r="E741" t="s">
        <v>41</v>
      </c>
      <c r="J741" t="s">
        <v>62</v>
      </c>
      <c r="K741" t="s">
        <v>63</v>
      </c>
      <c r="L741">
        <v>12</v>
      </c>
      <c r="M741" t="s">
        <v>2612</v>
      </c>
      <c r="N741" t="s">
        <v>64</v>
      </c>
      <c r="O741" t="s">
        <v>46</v>
      </c>
      <c r="P741" t="s">
        <v>46</v>
      </c>
      <c r="Y741" t="s">
        <v>2616</v>
      </c>
    </row>
    <row r="742" spans="1:25">
      <c r="A742" t="s">
        <v>2617</v>
      </c>
      <c r="B742" t="s">
        <v>2618</v>
      </c>
      <c r="D742" t="s">
        <v>40</v>
      </c>
      <c r="E742" t="s">
        <v>41</v>
      </c>
      <c r="J742" t="s">
        <v>2619</v>
      </c>
      <c r="K742" t="s">
        <v>140</v>
      </c>
      <c r="L742">
        <v>12</v>
      </c>
      <c r="M742" t="s">
        <v>2620</v>
      </c>
      <c r="N742" t="s">
        <v>2621</v>
      </c>
      <c r="O742" t="s">
        <v>46</v>
      </c>
      <c r="P742" t="s">
        <v>46</v>
      </c>
      <c r="Y742" t="s">
        <v>2622</v>
      </c>
    </row>
    <row r="743" spans="1:25">
      <c r="A743" t="s">
        <v>2623</v>
      </c>
      <c r="B743" t="s">
        <v>2624</v>
      </c>
      <c r="D743" t="s">
        <v>40</v>
      </c>
      <c r="E743" t="s">
        <v>41</v>
      </c>
      <c r="J743" t="s">
        <v>42</v>
      </c>
      <c r="K743" t="s">
        <v>43</v>
      </c>
      <c r="L743">
        <v>12</v>
      </c>
      <c r="M743" t="s">
        <v>2620</v>
      </c>
      <c r="N743" t="s">
        <v>173</v>
      </c>
      <c r="O743" t="s">
        <v>46</v>
      </c>
      <c r="P743" t="s">
        <v>46</v>
      </c>
      <c r="Y743" t="s">
        <v>2625</v>
      </c>
    </row>
    <row r="744" spans="1:25">
      <c r="A744" t="s">
        <v>2626</v>
      </c>
      <c r="B744" t="s">
        <v>2627</v>
      </c>
      <c r="D744" t="s">
        <v>40</v>
      </c>
      <c r="E744" t="s">
        <v>41</v>
      </c>
      <c r="J744" t="s">
        <v>62</v>
      </c>
      <c r="K744" t="s">
        <v>63</v>
      </c>
      <c r="L744">
        <v>12</v>
      </c>
      <c r="M744" t="s">
        <v>2620</v>
      </c>
      <c r="N744" t="s">
        <v>64</v>
      </c>
      <c r="O744" t="s">
        <v>46</v>
      </c>
      <c r="P744" t="s">
        <v>46</v>
      </c>
      <c r="Y744" t="s">
        <v>2628</v>
      </c>
    </row>
    <row r="745" spans="1:25">
      <c r="A745" t="s">
        <v>2629</v>
      </c>
      <c r="B745" t="s">
        <v>2630</v>
      </c>
      <c r="D745" t="s">
        <v>40</v>
      </c>
      <c r="E745" t="s">
        <v>41</v>
      </c>
      <c r="J745" t="s">
        <v>62</v>
      </c>
      <c r="K745" t="s">
        <v>63</v>
      </c>
      <c r="L745">
        <v>12</v>
      </c>
      <c r="M745" t="s">
        <v>2631</v>
      </c>
      <c r="N745" t="s">
        <v>64</v>
      </c>
      <c r="O745" t="s">
        <v>46</v>
      </c>
      <c r="P745" t="s">
        <v>46</v>
      </c>
      <c r="Y745" t="s">
        <v>2632</v>
      </c>
    </row>
    <row r="746" spans="1:25">
      <c r="A746" t="s">
        <v>2633</v>
      </c>
      <c r="B746" t="s">
        <v>2634</v>
      </c>
      <c r="D746" t="s">
        <v>40</v>
      </c>
      <c r="E746" t="s">
        <v>41</v>
      </c>
      <c r="J746" t="s">
        <v>76</v>
      </c>
      <c r="K746" t="s">
        <v>77</v>
      </c>
      <c r="L746">
        <v>12</v>
      </c>
      <c r="M746" t="s">
        <v>2631</v>
      </c>
      <c r="N746" t="s">
        <v>64</v>
      </c>
      <c r="O746" t="s">
        <v>46</v>
      </c>
      <c r="P746" t="s">
        <v>46</v>
      </c>
      <c r="Y746" t="s">
        <v>2635</v>
      </c>
    </row>
    <row r="747" spans="1:25">
      <c r="A747" t="s">
        <v>2636</v>
      </c>
      <c r="B747" t="s">
        <v>2637</v>
      </c>
      <c r="D747" t="s">
        <v>40</v>
      </c>
      <c r="E747" t="s">
        <v>41</v>
      </c>
      <c r="J747" t="s">
        <v>248</v>
      </c>
      <c r="K747" t="s">
        <v>249</v>
      </c>
      <c r="L747">
        <v>12</v>
      </c>
      <c r="M747" t="s">
        <v>2631</v>
      </c>
      <c r="N747" t="s">
        <v>45</v>
      </c>
      <c r="O747" t="s">
        <v>46</v>
      </c>
      <c r="P747" t="s">
        <v>46</v>
      </c>
      <c r="Y747" t="s">
        <v>2638</v>
      </c>
    </row>
    <row r="748" spans="1:25">
      <c r="A748" t="s">
        <v>2639</v>
      </c>
      <c r="B748" t="s">
        <v>2640</v>
      </c>
      <c r="D748" t="s">
        <v>40</v>
      </c>
      <c r="E748" t="s">
        <v>41</v>
      </c>
      <c r="J748" t="s">
        <v>62</v>
      </c>
      <c r="K748" t="s">
        <v>63</v>
      </c>
      <c r="L748">
        <v>12</v>
      </c>
      <c r="M748" t="s">
        <v>2631</v>
      </c>
      <c r="N748" t="s">
        <v>64</v>
      </c>
      <c r="O748" t="s">
        <v>46</v>
      </c>
      <c r="P748" t="s">
        <v>46</v>
      </c>
      <c r="Y748" t="s">
        <v>2641</v>
      </c>
    </row>
    <row r="749" spans="1:25">
      <c r="A749" t="s">
        <v>2642</v>
      </c>
      <c r="B749" t="s">
        <v>2643</v>
      </c>
      <c r="D749" t="s">
        <v>40</v>
      </c>
      <c r="E749" t="s">
        <v>41</v>
      </c>
      <c r="J749" t="s">
        <v>182</v>
      </c>
      <c r="K749" t="s">
        <v>183</v>
      </c>
      <c r="L749">
        <v>12</v>
      </c>
      <c r="M749" t="s">
        <v>2631</v>
      </c>
      <c r="N749" t="s">
        <v>64</v>
      </c>
      <c r="O749" t="s">
        <v>46</v>
      </c>
      <c r="P749" t="s">
        <v>46</v>
      </c>
      <c r="Y749" t="s">
        <v>2644</v>
      </c>
    </row>
    <row r="750" spans="1:25">
      <c r="A750" t="s">
        <v>2645</v>
      </c>
      <c r="B750" t="s">
        <v>2646</v>
      </c>
      <c r="D750" t="s">
        <v>40</v>
      </c>
      <c r="E750" t="s">
        <v>41</v>
      </c>
      <c r="J750" t="s">
        <v>42</v>
      </c>
      <c r="K750" t="s">
        <v>43</v>
      </c>
      <c r="L750">
        <v>12</v>
      </c>
      <c r="M750" t="s">
        <v>2647</v>
      </c>
      <c r="N750" t="s">
        <v>924</v>
      </c>
      <c r="O750" t="s">
        <v>46</v>
      </c>
      <c r="P750" t="s">
        <v>46</v>
      </c>
      <c r="Y750" t="s">
        <v>2648</v>
      </c>
    </row>
    <row r="751" spans="1:25">
      <c r="A751" t="s">
        <v>2649</v>
      </c>
      <c r="B751" t="s">
        <v>2650</v>
      </c>
      <c r="D751" t="s">
        <v>40</v>
      </c>
      <c r="E751" t="s">
        <v>41</v>
      </c>
      <c r="J751" t="s">
        <v>42</v>
      </c>
      <c r="K751" t="s">
        <v>43</v>
      </c>
      <c r="L751">
        <v>12</v>
      </c>
      <c r="M751" t="s">
        <v>2647</v>
      </c>
      <c r="N751" t="s">
        <v>1047</v>
      </c>
      <c r="O751" t="s">
        <v>46</v>
      </c>
      <c r="P751" t="s">
        <v>46</v>
      </c>
      <c r="Y751" t="s">
        <v>2651</v>
      </c>
    </row>
    <row r="752" spans="1:25">
      <c r="A752" t="s">
        <v>2652</v>
      </c>
      <c r="B752" t="s">
        <v>2653</v>
      </c>
      <c r="D752" t="s">
        <v>40</v>
      </c>
      <c r="E752" t="s">
        <v>41</v>
      </c>
      <c r="J752" t="s">
        <v>76</v>
      </c>
      <c r="K752" t="s">
        <v>77</v>
      </c>
      <c r="L752">
        <v>12</v>
      </c>
      <c r="M752" t="s">
        <v>2647</v>
      </c>
      <c r="N752" t="s">
        <v>64</v>
      </c>
      <c r="O752" t="s">
        <v>46</v>
      </c>
      <c r="P752" t="s">
        <v>46</v>
      </c>
      <c r="Y752" t="s">
        <v>2654</v>
      </c>
    </row>
    <row r="753" spans="1:25">
      <c r="A753" t="s">
        <v>2655</v>
      </c>
      <c r="B753" t="s">
        <v>2656</v>
      </c>
      <c r="D753" t="s">
        <v>40</v>
      </c>
      <c r="E753" t="s">
        <v>41</v>
      </c>
      <c r="J753" t="s">
        <v>182</v>
      </c>
      <c r="K753" t="s">
        <v>183</v>
      </c>
      <c r="L753">
        <v>12</v>
      </c>
      <c r="M753" t="s">
        <v>2647</v>
      </c>
      <c r="N753" t="s">
        <v>64</v>
      </c>
      <c r="O753" t="s">
        <v>46</v>
      </c>
      <c r="P753" t="s">
        <v>46</v>
      </c>
      <c r="Y753" t="s">
        <v>2657</v>
      </c>
    </row>
    <row r="754" spans="1:25">
      <c r="A754" t="s">
        <v>2658</v>
      </c>
      <c r="B754" t="s">
        <v>2659</v>
      </c>
      <c r="D754" t="s">
        <v>40</v>
      </c>
      <c r="E754" t="s">
        <v>41</v>
      </c>
      <c r="J754" t="s">
        <v>42</v>
      </c>
      <c r="K754" t="s">
        <v>43</v>
      </c>
      <c r="L754">
        <v>12</v>
      </c>
      <c r="M754" t="s">
        <v>2660</v>
      </c>
      <c r="N754" t="s">
        <v>436</v>
      </c>
      <c r="O754" t="s">
        <v>46</v>
      </c>
      <c r="P754" t="s">
        <v>46</v>
      </c>
      <c r="Y754" t="s">
        <v>2661</v>
      </c>
    </row>
    <row r="755" spans="1:25">
      <c r="A755" t="s">
        <v>2662</v>
      </c>
      <c r="B755" t="s">
        <v>2663</v>
      </c>
      <c r="D755" t="s">
        <v>40</v>
      </c>
      <c r="E755" t="s">
        <v>41</v>
      </c>
      <c r="J755" t="s">
        <v>62</v>
      </c>
      <c r="K755" t="s">
        <v>63</v>
      </c>
      <c r="L755">
        <v>12</v>
      </c>
      <c r="M755" t="s">
        <v>2660</v>
      </c>
      <c r="N755" t="s">
        <v>64</v>
      </c>
      <c r="O755" t="s">
        <v>46</v>
      </c>
      <c r="P755" t="s">
        <v>46</v>
      </c>
      <c r="Y755" t="s">
        <v>2664</v>
      </c>
    </row>
    <row r="756" spans="1:25">
      <c r="A756" t="s">
        <v>2665</v>
      </c>
      <c r="B756" t="s">
        <v>2666</v>
      </c>
      <c r="D756" t="s">
        <v>40</v>
      </c>
      <c r="E756" t="s">
        <v>41</v>
      </c>
      <c r="J756" t="s">
        <v>42</v>
      </c>
      <c r="K756" t="s">
        <v>43</v>
      </c>
      <c r="L756">
        <v>12</v>
      </c>
      <c r="M756" t="s">
        <v>2660</v>
      </c>
      <c r="N756" t="s">
        <v>1397</v>
      </c>
      <c r="O756" t="s">
        <v>46</v>
      </c>
      <c r="P756" t="s">
        <v>46</v>
      </c>
      <c r="Y756" t="s">
        <v>2667</v>
      </c>
    </row>
    <row r="757" spans="1:25">
      <c r="A757" t="s">
        <v>2668</v>
      </c>
      <c r="B757" t="s">
        <v>2669</v>
      </c>
      <c r="D757" t="s">
        <v>40</v>
      </c>
      <c r="E757" t="s">
        <v>41</v>
      </c>
      <c r="J757" t="s">
        <v>139</v>
      </c>
      <c r="K757" t="s">
        <v>140</v>
      </c>
      <c r="L757">
        <v>12</v>
      </c>
      <c r="M757" t="s">
        <v>2660</v>
      </c>
      <c r="N757" t="s">
        <v>53</v>
      </c>
      <c r="O757" t="s">
        <v>46</v>
      </c>
      <c r="P757" t="s">
        <v>46</v>
      </c>
      <c r="Y757" t="s">
        <v>2670</v>
      </c>
    </row>
    <row r="758" spans="1:25">
      <c r="A758" t="s">
        <v>2671</v>
      </c>
      <c r="B758" t="s">
        <v>2672</v>
      </c>
      <c r="D758" t="s">
        <v>40</v>
      </c>
      <c r="E758" t="s">
        <v>41</v>
      </c>
      <c r="J758" t="s">
        <v>182</v>
      </c>
      <c r="K758" t="s">
        <v>183</v>
      </c>
      <c r="L758">
        <v>12</v>
      </c>
      <c r="M758" t="s">
        <v>2660</v>
      </c>
      <c r="N758" t="s">
        <v>64</v>
      </c>
      <c r="O758" t="s">
        <v>46</v>
      </c>
      <c r="P758" t="s">
        <v>46</v>
      </c>
      <c r="Y758" t="s">
        <v>2673</v>
      </c>
    </row>
    <row r="759" spans="1:25">
      <c r="A759" t="s">
        <v>2674</v>
      </c>
      <c r="B759" t="s">
        <v>2675</v>
      </c>
      <c r="D759" t="s">
        <v>40</v>
      </c>
      <c r="E759" t="s">
        <v>41</v>
      </c>
      <c r="J759" t="s">
        <v>264</v>
      </c>
      <c r="K759" t="s">
        <v>265</v>
      </c>
      <c r="L759">
        <v>11</v>
      </c>
      <c r="M759" t="s">
        <v>2676</v>
      </c>
      <c r="N759" t="s">
        <v>373</v>
      </c>
      <c r="O759" t="s">
        <v>46</v>
      </c>
      <c r="P759" t="s">
        <v>46</v>
      </c>
      <c r="Y759" t="s">
        <v>2677</v>
      </c>
    </row>
    <row r="760" spans="1:25">
      <c r="A760" t="s">
        <v>2678</v>
      </c>
      <c r="B760" t="s">
        <v>2679</v>
      </c>
      <c r="D760" t="s">
        <v>40</v>
      </c>
      <c r="E760" t="s">
        <v>41</v>
      </c>
      <c r="J760" t="s">
        <v>76</v>
      </c>
      <c r="K760" t="s">
        <v>77</v>
      </c>
      <c r="L760">
        <v>12</v>
      </c>
      <c r="M760" t="s">
        <v>2676</v>
      </c>
      <c r="N760" t="s">
        <v>64</v>
      </c>
      <c r="O760" t="s">
        <v>46</v>
      </c>
      <c r="P760" t="s">
        <v>46</v>
      </c>
      <c r="Y760" t="s">
        <v>2680</v>
      </c>
    </row>
    <row r="761" spans="1:25">
      <c r="A761" t="s">
        <v>2681</v>
      </c>
      <c r="B761" t="s">
        <v>2682</v>
      </c>
      <c r="D761" t="s">
        <v>40</v>
      </c>
      <c r="E761" t="s">
        <v>41</v>
      </c>
      <c r="J761" t="s">
        <v>68</v>
      </c>
      <c r="K761" t="s">
        <v>69</v>
      </c>
      <c r="L761">
        <v>12</v>
      </c>
      <c r="M761" t="s">
        <v>2683</v>
      </c>
      <c r="N761" t="s">
        <v>64</v>
      </c>
      <c r="O761" t="s">
        <v>46</v>
      </c>
      <c r="P761" t="s">
        <v>46</v>
      </c>
      <c r="Y761" t="s">
        <v>2684</v>
      </c>
    </row>
    <row r="762" spans="1:25">
      <c r="A762" t="s">
        <v>2685</v>
      </c>
      <c r="B762" t="s">
        <v>2686</v>
      </c>
      <c r="D762" t="s">
        <v>40</v>
      </c>
      <c r="E762" t="s">
        <v>41</v>
      </c>
      <c r="J762" t="s">
        <v>76</v>
      </c>
      <c r="K762" t="s">
        <v>77</v>
      </c>
      <c r="L762">
        <v>12</v>
      </c>
      <c r="M762" t="s">
        <v>2683</v>
      </c>
      <c r="N762" t="s">
        <v>64</v>
      </c>
      <c r="O762" t="s">
        <v>46</v>
      </c>
      <c r="P762" t="s">
        <v>46</v>
      </c>
      <c r="Y762" t="s">
        <v>2687</v>
      </c>
    </row>
    <row r="763" spans="1:25">
      <c r="A763" t="s">
        <v>2688</v>
      </c>
      <c r="B763" t="s">
        <v>2689</v>
      </c>
      <c r="D763" t="s">
        <v>40</v>
      </c>
      <c r="E763" t="s">
        <v>41</v>
      </c>
      <c r="J763" t="s">
        <v>42</v>
      </c>
      <c r="K763" t="s">
        <v>43</v>
      </c>
      <c r="L763">
        <v>12</v>
      </c>
      <c r="M763" t="s">
        <v>2683</v>
      </c>
      <c r="N763" t="s">
        <v>178</v>
      </c>
      <c r="O763" t="s">
        <v>46</v>
      </c>
      <c r="P763" t="s">
        <v>46</v>
      </c>
      <c r="Y763" t="s">
        <v>2690</v>
      </c>
    </row>
    <row r="764" spans="1:25">
      <c r="A764" t="s">
        <v>2691</v>
      </c>
      <c r="B764" t="s">
        <v>2692</v>
      </c>
      <c r="D764" t="s">
        <v>40</v>
      </c>
      <c r="E764" t="s">
        <v>41</v>
      </c>
      <c r="J764" t="s">
        <v>182</v>
      </c>
      <c r="K764" t="s">
        <v>183</v>
      </c>
      <c r="L764">
        <v>12</v>
      </c>
      <c r="M764" t="s">
        <v>2693</v>
      </c>
      <c r="N764" t="s">
        <v>64</v>
      </c>
      <c r="O764" t="s">
        <v>46</v>
      </c>
      <c r="P764" t="s">
        <v>46</v>
      </c>
      <c r="Y764" t="s">
        <v>2694</v>
      </c>
    </row>
    <row r="765" spans="1:25">
      <c r="A765" t="s">
        <v>2695</v>
      </c>
      <c r="B765" t="s">
        <v>2696</v>
      </c>
      <c r="D765" t="s">
        <v>40</v>
      </c>
      <c r="E765" t="s">
        <v>41</v>
      </c>
      <c r="J765" t="s">
        <v>264</v>
      </c>
      <c r="K765" t="s">
        <v>265</v>
      </c>
      <c r="L765">
        <v>12</v>
      </c>
      <c r="M765" t="s">
        <v>2693</v>
      </c>
      <c r="N765" t="s">
        <v>1478</v>
      </c>
      <c r="O765" t="s">
        <v>46</v>
      </c>
      <c r="P765" t="s">
        <v>46</v>
      </c>
      <c r="Y765" t="s">
        <v>2697</v>
      </c>
    </row>
    <row r="766" spans="1:25">
      <c r="A766" t="s">
        <v>2698</v>
      </c>
      <c r="B766" t="s">
        <v>2699</v>
      </c>
      <c r="D766" t="s">
        <v>40</v>
      </c>
      <c r="E766" t="s">
        <v>41</v>
      </c>
      <c r="J766" t="s">
        <v>42</v>
      </c>
      <c r="K766" t="s">
        <v>43</v>
      </c>
      <c r="L766">
        <v>12</v>
      </c>
      <c r="M766" t="s">
        <v>2700</v>
      </c>
      <c r="N766" t="s">
        <v>509</v>
      </c>
      <c r="O766" t="s">
        <v>46</v>
      </c>
      <c r="P766" t="s">
        <v>46</v>
      </c>
      <c r="Y766" t="s">
        <v>2701</v>
      </c>
    </row>
    <row r="767" spans="1:25">
      <c r="A767" t="s">
        <v>2702</v>
      </c>
      <c r="B767" t="s">
        <v>2703</v>
      </c>
      <c r="D767" t="s">
        <v>40</v>
      </c>
      <c r="E767" t="s">
        <v>41</v>
      </c>
      <c r="J767" t="s">
        <v>182</v>
      </c>
      <c r="K767" t="s">
        <v>183</v>
      </c>
      <c r="L767">
        <v>12</v>
      </c>
      <c r="M767" t="s">
        <v>2700</v>
      </c>
      <c r="N767" t="s">
        <v>64</v>
      </c>
      <c r="O767" t="s">
        <v>46</v>
      </c>
      <c r="P767" t="s">
        <v>46</v>
      </c>
      <c r="Y767" t="s">
        <v>2704</v>
      </c>
    </row>
    <row r="768" spans="1:25">
      <c r="A768" t="s">
        <v>2705</v>
      </c>
      <c r="B768" t="s">
        <v>2706</v>
      </c>
      <c r="D768" t="s">
        <v>40</v>
      </c>
      <c r="E768" t="s">
        <v>41</v>
      </c>
      <c r="J768" t="s">
        <v>68</v>
      </c>
      <c r="K768" t="s">
        <v>69</v>
      </c>
      <c r="L768">
        <v>12</v>
      </c>
      <c r="M768" t="s">
        <v>2700</v>
      </c>
      <c r="N768" t="s">
        <v>64</v>
      </c>
      <c r="O768" t="s">
        <v>46</v>
      </c>
      <c r="P768" t="s">
        <v>46</v>
      </c>
      <c r="Y768" t="s">
        <v>2707</v>
      </c>
    </row>
    <row r="769" spans="1:25">
      <c r="A769" t="s">
        <v>2708</v>
      </c>
      <c r="B769" t="s">
        <v>2709</v>
      </c>
      <c r="D769" t="s">
        <v>40</v>
      </c>
      <c r="E769" t="s">
        <v>41</v>
      </c>
      <c r="J769" t="s">
        <v>62</v>
      </c>
      <c r="K769" t="s">
        <v>63</v>
      </c>
      <c r="L769">
        <v>12</v>
      </c>
      <c r="M769" t="s">
        <v>2700</v>
      </c>
      <c r="N769" t="s">
        <v>64</v>
      </c>
      <c r="O769" t="s">
        <v>46</v>
      </c>
      <c r="P769" t="s">
        <v>46</v>
      </c>
      <c r="Y769" t="s">
        <v>2710</v>
      </c>
    </row>
    <row r="770" spans="1:25">
      <c r="A770" t="s">
        <v>2711</v>
      </c>
      <c r="B770" t="s">
        <v>2712</v>
      </c>
      <c r="D770" t="s">
        <v>40</v>
      </c>
      <c r="E770" t="s">
        <v>41</v>
      </c>
      <c r="J770" t="s">
        <v>76</v>
      </c>
      <c r="K770" t="s">
        <v>77</v>
      </c>
      <c r="L770">
        <v>11</v>
      </c>
      <c r="M770" t="s">
        <v>2700</v>
      </c>
      <c r="N770" t="s">
        <v>64</v>
      </c>
      <c r="O770" t="s">
        <v>46</v>
      </c>
      <c r="P770" t="s">
        <v>46</v>
      </c>
      <c r="Y770" t="s">
        <v>2713</v>
      </c>
    </row>
    <row r="771" spans="1:25">
      <c r="A771" t="s">
        <v>2714</v>
      </c>
      <c r="B771" t="s">
        <v>2715</v>
      </c>
      <c r="D771" t="s">
        <v>40</v>
      </c>
      <c r="E771" t="s">
        <v>41</v>
      </c>
      <c r="J771" t="s">
        <v>1214</v>
      </c>
      <c r="K771" t="s">
        <v>1215</v>
      </c>
      <c r="L771">
        <v>11</v>
      </c>
      <c r="M771" t="s">
        <v>2700</v>
      </c>
      <c r="N771" t="s">
        <v>1550</v>
      </c>
      <c r="O771" t="s">
        <v>46</v>
      </c>
      <c r="P771" t="s">
        <v>46</v>
      </c>
      <c r="Y771" t="s">
        <v>2716</v>
      </c>
    </row>
    <row r="772" spans="1:25">
      <c r="A772" t="s">
        <v>2717</v>
      </c>
      <c r="B772" t="s">
        <v>2718</v>
      </c>
      <c r="D772" t="s">
        <v>40</v>
      </c>
      <c r="E772" t="s">
        <v>41</v>
      </c>
      <c r="J772" t="s">
        <v>264</v>
      </c>
      <c r="K772" t="s">
        <v>265</v>
      </c>
      <c r="L772">
        <v>7</v>
      </c>
      <c r="M772" t="s">
        <v>2719</v>
      </c>
      <c r="N772" t="s">
        <v>1397</v>
      </c>
      <c r="O772" t="s">
        <v>46</v>
      </c>
      <c r="P772" t="s">
        <v>46</v>
      </c>
      <c r="Y772" t="s">
        <v>2720</v>
      </c>
    </row>
    <row r="773" spans="1:25">
      <c r="A773" t="s">
        <v>2721</v>
      </c>
      <c r="B773" t="s">
        <v>2722</v>
      </c>
      <c r="D773" t="s">
        <v>40</v>
      </c>
      <c r="E773" t="s">
        <v>41</v>
      </c>
      <c r="J773" t="s">
        <v>68</v>
      </c>
      <c r="K773" t="s">
        <v>69</v>
      </c>
      <c r="L773">
        <v>12</v>
      </c>
      <c r="M773" t="s">
        <v>2723</v>
      </c>
      <c r="N773" t="s">
        <v>64</v>
      </c>
      <c r="O773" t="s">
        <v>46</v>
      </c>
      <c r="P773" t="s">
        <v>46</v>
      </c>
      <c r="Y773" t="s">
        <v>2724</v>
      </c>
    </row>
    <row r="774" spans="1:25">
      <c r="A774" t="s">
        <v>2725</v>
      </c>
      <c r="B774" t="s">
        <v>2726</v>
      </c>
      <c r="D774" t="s">
        <v>40</v>
      </c>
      <c r="E774" t="s">
        <v>41</v>
      </c>
      <c r="J774" t="s">
        <v>76</v>
      </c>
      <c r="K774" t="s">
        <v>77</v>
      </c>
      <c r="L774">
        <v>12</v>
      </c>
      <c r="M774" t="s">
        <v>2723</v>
      </c>
      <c r="N774" t="s">
        <v>64</v>
      </c>
      <c r="O774" t="s">
        <v>46</v>
      </c>
      <c r="P774" t="s">
        <v>46</v>
      </c>
      <c r="Y774" t="s">
        <v>2727</v>
      </c>
    </row>
    <row r="775" spans="1:25">
      <c r="A775" t="s">
        <v>2728</v>
      </c>
      <c r="B775" t="s">
        <v>2729</v>
      </c>
      <c r="D775" t="s">
        <v>40</v>
      </c>
      <c r="E775" t="s">
        <v>41</v>
      </c>
      <c r="J775" t="s">
        <v>62</v>
      </c>
      <c r="K775" t="s">
        <v>63</v>
      </c>
      <c r="L775">
        <v>12</v>
      </c>
      <c r="M775" t="s">
        <v>2730</v>
      </c>
      <c r="N775" t="s">
        <v>64</v>
      </c>
      <c r="O775" t="s">
        <v>46</v>
      </c>
      <c r="P775" t="s">
        <v>46</v>
      </c>
      <c r="Y775" t="s">
        <v>2731</v>
      </c>
    </row>
    <row r="776" spans="1:25">
      <c r="A776" t="s">
        <v>2732</v>
      </c>
      <c r="B776" t="s">
        <v>2733</v>
      </c>
      <c r="D776" t="s">
        <v>40</v>
      </c>
      <c r="E776" t="s">
        <v>41</v>
      </c>
      <c r="J776" t="s">
        <v>62</v>
      </c>
      <c r="K776" t="s">
        <v>63</v>
      </c>
      <c r="L776">
        <v>12</v>
      </c>
      <c r="M776" t="s">
        <v>2730</v>
      </c>
      <c r="N776" t="s">
        <v>64</v>
      </c>
      <c r="O776" t="s">
        <v>46</v>
      </c>
      <c r="P776" t="s">
        <v>46</v>
      </c>
      <c r="Y776" t="s">
        <v>2734</v>
      </c>
    </row>
    <row r="777" spans="1:25">
      <c r="A777" t="s">
        <v>2735</v>
      </c>
      <c r="B777" t="s">
        <v>2736</v>
      </c>
      <c r="D777" t="s">
        <v>40</v>
      </c>
      <c r="E777" t="s">
        <v>41</v>
      </c>
      <c r="J777" t="s">
        <v>62</v>
      </c>
      <c r="K777" t="s">
        <v>63</v>
      </c>
      <c r="L777">
        <v>12</v>
      </c>
      <c r="M777" t="s">
        <v>2730</v>
      </c>
      <c r="N777" t="s">
        <v>64</v>
      </c>
      <c r="O777" t="s">
        <v>46</v>
      </c>
      <c r="P777" t="s">
        <v>46</v>
      </c>
      <c r="Y777" t="s">
        <v>2737</v>
      </c>
    </row>
    <row r="778" spans="1:25">
      <c r="A778" t="s">
        <v>2738</v>
      </c>
      <c r="B778" t="s">
        <v>2739</v>
      </c>
      <c r="D778" t="s">
        <v>40</v>
      </c>
      <c r="E778" t="s">
        <v>41</v>
      </c>
      <c r="J778" t="s">
        <v>76</v>
      </c>
      <c r="K778" t="s">
        <v>77</v>
      </c>
      <c r="L778">
        <v>12</v>
      </c>
      <c r="M778" t="s">
        <v>2730</v>
      </c>
      <c r="N778" t="s">
        <v>64</v>
      </c>
      <c r="O778" t="s">
        <v>46</v>
      </c>
      <c r="P778" t="s">
        <v>46</v>
      </c>
      <c r="Y778" t="s">
        <v>2740</v>
      </c>
    </row>
    <row r="779" spans="1:25">
      <c r="A779" t="s">
        <v>2741</v>
      </c>
      <c r="B779" t="s">
        <v>2742</v>
      </c>
      <c r="D779" t="s">
        <v>40</v>
      </c>
      <c r="E779" t="s">
        <v>41</v>
      </c>
      <c r="J779" t="s">
        <v>62</v>
      </c>
      <c r="K779" t="s">
        <v>63</v>
      </c>
      <c r="L779">
        <v>12</v>
      </c>
      <c r="M779" t="s">
        <v>2730</v>
      </c>
      <c r="N779" t="s">
        <v>64</v>
      </c>
      <c r="O779" t="s">
        <v>46</v>
      </c>
      <c r="P779" t="s">
        <v>46</v>
      </c>
      <c r="Y779" t="s">
        <v>2743</v>
      </c>
    </row>
    <row r="780" spans="1:25">
      <c r="A780" t="s">
        <v>2744</v>
      </c>
      <c r="B780" t="s">
        <v>2745</v>
      </c>
      <c r="D780" t="s">
        <v>40</v>
      </c>
      <c r="E780" t="s">
        <v>41</v>
      </c>
      <c r="J780" t="s">
        <v>62</v>
      </c>
      <c r="K780" t="s">
        <v>63</v>
      </c>
      <c r="L780">
        <v>12</v>
      </c>
      <c r="M780" t="s">
        <v>2746</v>
      </c>
      <c r="N780" t="s">
        <v>64</v>
      </c>
      <c r="O780" t="s">
        <v>46</v>
      </c>
      <c r="P780" t="s">
        <v>46</v>
      </c>
      <c r="Y780" t="s">
        <v>2747</v>
      </c>
    </row>
    <row r="781" spans="1:25">
      <c r="A781" t="s">
        <v>2748</v>
      </c>
      <c r="B781" t="s">
        <v>2749</v>
      </c>
      <c r="D781" t="s">
        <v>40</v>
      </c>
      <c r="E781" t="s">
        <v>41</v>
      </c>
      <c r="J781" t="s">
        <v>182</v>
      </c>
      <c r="K781" t="s">
        <v>183</v>
      </c>
      <c r="L781">
        <v>12</v>
      </c>
      <c r="M781" t="s">
        <v>2746</v>
      </c>
      <c r="N781" t="s">
        <v>64</v>
      </c>
      <c r="O781" t="s">
        <v>46</v>
      </c>
      <c r="P781" t="s">
        <v>46</v>
      </c>
      <c r="Y781" t="s">
        <v>2750</v>
      </c>
    </row>
    <row r="782" spans="1:25">
      <c r="A782" t="s">
        <v>2751</v>
      </c>
      <c r="B782" t="s">
        <v>2752</v>
      </c>
      <c r="D782" t="s">
        <v>40</v>
      </c>
      <c r="E782" t="s">
        <v>41</v>
      </c>
      <c r="J782" t="s">
        <v>182</v>
      </c>
      <c r="K782" t="s">
        <v>183</v>
      </c>
      <c r="L782">
        <v>12</v>
      </c>
      <c r="M782" t="s">
        <v>2753</v>
      </c>
      <c r="N782" t="s">
        <v>64</v>
      </c>
      <c r="O782" t="s">
        <v>46</v>
      </c>
      <c r="P782" t="s">
        <v>46</v>
      </c>
      <c r="Y782" t="s">
        <v>2754</v>
      </c>
    </row>
    <row r="783" spans="1:25">
      <c r="A783" t="s">
        <v>2755</v>
      </c>
      <c r="B783" t="s">
        <v>2756</v>
      </c>
      <c r="D783" t="s">
        <v>40</v>
      </c>
      <c r="E783" t="s">
        <v>41</v>
      </c>
      <c r="J783" t="s">
        <v>68</v>
      </c>
      <c r="K783" t="s">
        <v>69</v>
      </c>
      <c r="L783">
        <v>12</v>
      </c>
      <c r="M783" t="s">
        <v>2753</v>
      </c>
      <c r="N783" t="s">
        <v>64</v>
      </c>
      <c r="O783" t="s">
        <v>46</v>
      </c>
      <c r="P783" t="s">
        <v>46</v>
      </c>
      <c r="Y783" t="s">
        <v>2757</v>
      </c>
    </row>
    <row r="784" spans="1:25">
      <c r="A784" t="s">
        <v>2758</v>
      </c>
      <c r="B784" t="s">
        <v>2759</v>
      </c>
      <c r="D784" t="s">
        <v>40</v>
      </c>
      <c r="E784" t="s">
        <v>41</v>
      </c>
      <c r="J784" t="s">
        <v>68</v>
      </c>
      <c r="K784" t="s">
        <v>69</v>
      </c>
      <c r="L784">
        <v>11</v>
      </c>
      <c r="M784" t="s">
        <v>2760</v>
      </c>
      <c r="N784" t="s">
        <v>64</v>
      </c>
      <c r="O784" t="s">
        <v>46</v>
      </c>
      <c r="P784" t="s">
        <v>46</v>
      </c>
      <c r="Y784" t="s">
        <v>2761</v>
      </c>
    </row>
    <row r="785" spans="1:25">
      <c r="A785" t="s">
        <v>2762</v>
      </c>
      <c r="B785" t="s">
        <v>2763</v>
      </c>
      <c r="D785" t="s">
        <v>40</v>
      </c>
      <c r="E785" t="s">
        <v>41</v>
      </c>
      <c r="J785" t="s">
        <v>182</v>
      </c>
      <c r="K785" t="s">
        <v>183</v>
      </c>
      <c r="L785">
        <v>11</v>
      </c>
      <c r="M785" t="s">
        <v>2760</v>
      </c>
      <c r="N785" t="s">
        <v>64</v>
      </c>
      <c r="O785" t="s">
        <v>46</v>
      </c>
      <c r="P785" t="s">
        <v>46</v>
      </c>
      <c r="Y785" t="s">
        <v>2764</v>
      </c>
    </row>
    <row r="786" spans="1:25">
      <c r="A786" t="s">
        <v>2765</v>
      </c>
      <c r="B786" t="s">
        <v>2766</v>
      </c>
      <c r="D786" t="s">
        <v>40</v>
      </c>
      <c r="E786" t="s">
        <v>41</v>
      </c>
      <c r="J786" t="s">
        <v>182</v>
      </c>
      <c r="K786" t="s">
        <v>183</v>
      </c>
      <c r="L786">
        <v>11</v>
      </c>
      <c r="M786" t="s">
        <v>2760</v>
      </c>
      <c r="N786" t="s">
        <v>64</v>
      </c>
      <c r="O786" t="s">
        <v>46</v>
      </c>
      <c r="P786" t="s">
        <v>46</v>
      </c>
      <c r="Y786" t="s">
        <v>2767</v>
      </c>
    </row>
    <row r="787" spans="1:25">
      <c r="A787" t="s">
        <v>2768</v>
      </c>
      <c r="B787" t="s">
        <v>2769</v>
      </c>
      <c r="D787" t="s">
        <v>40</v>
      </c>
      <c r="E787" t="s">
        <v>41</v>
      </c>
      <c r="J787" t="s">
        <v>42</v>
      </c>
      <c r="K787" t="s">
        <v>43</v>
      </c>
      <c r="L787">
        <v>11</v>
      </c>
      <c r="M787" t="s">
        <v>2770</v>
      </c>
      <c r="N787" t="s">
        <v>165</v>
      </c>
      <c r="O787" t="s">
        <v>46</v>
      </c>
      <c r="P787" t="s">
        <v>46</v>
      </c>
      <c r="Y787" t="s">
        <v>2771</v>
      </c>
    </row>
    <row r="788" spans="1:25">
      <c r="A788" t="s">
        <v>2772</v>
      </c>
      <c r="B788" t="s">
        <v>2773</v>
      </c>
      <c r="D788" t="s">
        <v>40</v>
      </c>
      <c r="E788" t="s">
        <v>41</v>
      </c>
      <c r="J788" t="s">
        <v>182</v>
      </c>
      <c r="K788" t="s">
        <v>183</v>
      </c>
      <c r="L788">
        <v>11</v>
      </c>
      <c r="M788" t="s">
        <v>2770</v>
      </c>
      <c r="N788" t="s">
        <v>64</v>
      </c>
      <c r="O788" t="s">
        <v>46</v>
      </c>
      <c r="P788" t="s">
        <v>46</v>
      </c>
      <c r="Y788" t="s">
        <v>2774</v>
      </c>
    </row>
    <row r="789" spans="1:25">
      <c r="A789" t="s">
        <v>2775</v>
      </c>
      <c r="B789" t="s">
        <v>2776</v>
      </c>
      <c r="D789" t="s">
        <v>40</v>
      </c>
      <c r="E789" t="s">
        <v>41</v>
      </c>
      <c r="J789" t="s">
        <v>182</v>
      </c>
      <c r="K789" t="s">
        <v>183</v>
      </c>
      <c r="L789">
        <v>11</v>
      </c>
      <c r="M789" t="s">
        <v>2770</v>
      </c>
      <c r="N789" t="s">
        <v>64</v>
      </c>
      <c r="O789" t="s">
        <v>46</v>
      </c>
      <c r="P789" t="s">
        <v>46</v>
      </c>
      <c r="Y789" t="s">
        <v>2777</v>
      </c>
    </row>
    <row r="790" spans="1:25">
      <c r="A790" t="s">
        <v>2778</v>
      </c>
      <c r="B790" t="s">
        <v>2779</v>
      </c>
      <c r="D790" t="s">
        <v>40</v>
      </c>
      <c r="E790" t="s">
        <v>41</v>
      </c>
      <c r="J790" t="s">
        <v>182</v>
      </c>
      <c r="K790" t="s">
        <v>183</v>
      </c>
      <c r="L790">
        <v>11</v>
      </c>
      <c r="M790" t="s">
        <v>2770</v>
      </c>
      <c r="N790" t="s">
        <v>64</v>
      </c>
      <c r="O790" t="s">
        <v>46</v>
      </c>
      <c r="P790" t="s">
        <v>46</v>
      </c>
      <c r="Y790" t="s">
        <v>2780</v>
      </c>
    </row>
    <row r="791" spans="1:25">
      <c r="A791" t="s">
        <v>2781</v>
      </c>
      <c r="B791" t="s">
        <v>2782</v>
      </c>
      <c r="D791" t="s">
        <v>40</v>
      </c>
      <c r="E791" t="s">
        <v>41</v>
      </c>
      <c r="J791" t="s">
        <v>42</v>
      </c>
      <c r="K791" t="s">
        <v>43</v>
      </c>
      <c r="L791">
        <v>11</v>
      </c>
      <c r="M791" t="s">
        <v>2770</v>
      </c>
      <c r="N791" t="s">
        <v>257</v>
      </c>
      <c r="O791" t="s">
        <v>46</v>
      </c>
      <c r="P791" t="s">
        <v>46</v>
      </c>
      <c r="Y791" t="s">
        <v>2783</v>
      </c>
    </row>
    <row r="792" spans="1:25">
      <c r="A792" t="s">
        <v>2784</v>
      </c>
      <c r="B792" t="s">
        <v>2785</v>
      </c>
      <c r="D792" t="s">
        <v>40</v>
      </c>
      <c r="E792" t="s">
        <v>41</v>
      </c>
      <c r="J792" t="s">
        <v>182</v>
      </c>
      <c r="K792" t="s">
        <v>183</v>
      </c>
      <c r="L792">
        <v>11</v>
      </c>
      <c r="M792" t="s">
        <v>2786</v>
      </c>
      <c r="N792" t="s">
        <v>64</v>
      </c>
      <c r="O792" t="s">
        <v>46</v>
      </c>
      <c r="P792" t="s">
        <v>46</v>
      </c>
      <c r="Y792" t="s">
        <v>2787</v>
      </c>
    </row>
    <row r="793" spans="1:25">
      <c r="A793" t="s">
        <v>2788</v>
      </c>
      <c r="B793" t="s">
        <v>2789</v>
      </c>
      <c r="D793" t="s">
        <v>40</v>
      </c>
      <c r="E793" t="s">
        <v>41</v>
      </c>
      <c r="J793" t="s">
        <v>68</v>
      </c>
      <c r="K793" t="s">
        <v>69</v>
      </c>
      <c r="L793">
        <v>11</v>
      </c>
      <c r="M793" t="s">
        <v>2786</v>
      </c>
      <c r="N793" t="s">
        <v>64</v>
      </c>
      <c r="O793" t="s">
        <v>46</v>
      </c>
      <c r="P793" t="s">
        <v>46</v>
      </c>
      <c r="Y793" t="s">
        <v>2790</v>
      </c>
    </row>
    <row r="794" spans="1:25">
      <c r="A794" t="s">
        <v>2791</v>
      </c>
      <c r="B794" t="s">
        <v>2792</v>
      </c>
      <c r="D794" t="s">
        <v>40</v>
      </c>
      <c r="E794" t="s">
        <v>41</v>
      </c>
      <c r="J794" t="s">
        <v>68</v>
      </c>
      <c r="K794" t="s">
        <v>69</v>
      </c>
      <c r="L794">
        <v>11</v>
      </c>
      <c r="M794" t="s">
        <v>2786</v>
      </c>
      <c r="N794" t="s">
        <v>64</v>
      </c>
      <c r="O794" t="s">
        <v>46</v>
      </c>
      <c r="P794" t="s">
        <v>46</v>
      </c>
      <c r="Y794" t="s">
        <v>2793</v>
      </c>
    </row>
    <row r="795" spans="1:25">
      <c r="A795" t="s">
        <v>2794</v>
      </c>
      <c r="B795" t="s">
        <v>2795</v>
      </c>
      <c r="D795" t="s">
        <v>40</v>
      </c>
      <c r="E795" t="s">
        <v>41</v>
      </c>
      <c r="J795" t="s">
        <v>68</v>
      </c>
      <c r="K795" t="s">
        <v>69</v>
      </c>
      <c r="L795">
        <v>11</v>
      </c>
      <c r="M795" t="s">
        <v>2786</v>
      </c>
      <c r="N795" t="s">
        <v>64</v>
      </c>
      <c r="O795" t="s">
        <v>46</v>
      </c>
      <c r="P795" t="s">
        <v>46</v>
      </c>
      <c r="Y795" t="s">
        <v>2796</v>
      </c>
    </row>
    <row r="796" spans="1:25">
      <c r="A796" t="s">
        <v>2797</v>
      </c>
      <c r="B796" t="s">
        <v>2798</v>
      </c>
      <c r="D796" t="s">
        <v>40</v>
      </c>
      <c r="E796" t="s">
        <v>41</v>
      </c>
      <c r="J796" t="s">
        <v>68</v>
      </c>
      <c r="K796" t="s">
        <v>69</v>
      </c>
      <c r="L796">
        <v>11</v>
      </c>
      <c r="M796" t="s">
        <v>2786</v>
      </c>
      <c r="N796" t="s">
        <v>64</v>
      </c>
      <c r="O796" t="s">
        <v>46</v>
      </c>
      <c r="P796" t="s">
        <v>46</v>
      </c>
      <c r="Y796" t="s">
        <v>2799</v>
      </c>
    </row>
    <row r="797" spans="1:25">
      <c r="A797" t="s">
        <v>2800</v>
      </c>
      <c r="B797" t="s">
        <v>2801</v>
      </c>
      <c r="D797" t="s">
        <v>40</v>
      </c>
      <c r="E797" t="s">
        <v>41</v>
      </c>
      <c r="J797" t="s">
        <v>182</v>
      </c>
      <c r="K797" t="s">
        <v>183</v>
      </c>
      <c r="L797">
        <v>11</v>
      </c>
      <c r="M797" t="s">
        <v>2802</v>
      </c>
      <c r="N797" t="s">
        <v>64</v>
      </c>
      <c r="O797" t="s">
        <v>46</v>
      </c>
      <c r="P797" t="s">
        <v>46</v>
      </c>
      <c r="Y797" t="s">
        <v>2803</v>
      </c>
    </row>
    <row r="798" spans="1:25">
      <c r="A798" t="s">
        <v>2804</v>
      </c>
      <c r="B798" t="s">
        <v>2805</v>
      </c>
      <c r="D798" t="s">
        <v>40</v>
      </c>
      <c r="E798" t="s">
        <v>41</v>
      </c>
      <c r="J798" t="s">
        <v>182</v>
      </c>
      <c r="K798" t="s">
        <v>183</v>
      </c>
      <c r="L798">
        <v>11</v>
      </c>
      <c r="M798" t="s">
        <v>2802</v>
      </c>
      <c r="N798" t="s">
        <v>64</v>
      </c>
      <c r="O798" t="s">
        <v>46</v>
      </c>
      <c r="P798" t="s">
        <v>46</v>
      </c>
      <c r="Y798" t="s">
        <v>2806</v>
      </c>
    </row>
    <row r="799" spans="1:25">
      <c r="A799" t="s">
        <v>2807</v>
      </c>
      <c r="B799" t="s">
        <v>2808</v>
      </c>
      <c r="D799" t="s">
        <v>40</v>
      </c>
      <c r="E799" t="s">
        <v>41</v>
      </c>
      <c r="J799" t="s">
        <v>182</v>
      </c>
      <c r="K799" t="s">
        <v>183</v>
      </c>
      <c r="L799">
        <v>11</v>
      </c>
      <c r="M799" t="s">
        <v>2802</v>
      </c>
      <c r="N799" t="s">
        <v>64</v>
      </c>
      <c r="O799" t="s">
        <v>46</v>
      </c>
      <c r="P799" t="s">
        <v>46</v>
      </c>
      <c r="Y799" t="s">
        <v>2809</v>
      </c>
    </row>
    <row r="800" spans="1:25">
      <c r="A800" t="s">
        <v>2810</v>
      </c>
      <c r="B800" t="s">
        <v>2811</v>
      </c>
      <c r="D800" t="s">
        <v>40</v>
      </c>
      <c r="E800" t="s">
        <v>41</v>
      </c>
      <c r="J800" t="s">
        <v>182</v>
      </c>
      <c r="K800" t="s">
        <v>183</v>
      </c>
      <c r="L800">
        <v>11</v>
      </c>
      <c r="M800" t="s">
        <v>2802</v>
      </c>
      <c r="N800" t="s">
        <v>64</v>
      </c>
      <c r="O800" t="s">
        <v>46</v>
      </c>
      <c r="P800" t="s">
        <v>46</v>
      </c>
      <c r="Y800" t="s">
        <v>2812</v>
      </c>
    </row>
    <row r="801" spans="1:25">
      <c r="A801" t="s">
        <v>2813</v>
      </c>
      <c r="B801" t="s">
        <v>2814</v>
      </c>
      <c r="D801" t="s">
        <v>40</v>
      </c>
      <c r="E801" t="s">
        <v>41</v>
      </c>
      <c r="J801" t="s">
        <v>182</v>
      </c>
      <c r="K801" t="s">
        <v>183</v>
      </c>
      <c r="L801">
        <v>11</v>
      </c>
      <c r="M801" t="s">
        <v>2802</v>
      </c>
      <c r="N801" t="s">
        <v>64</v>
      </c>
      <c r="O801" t="s">
        <v>46</v>
      </c>
      <c r="P801" t="s">
        <v>46</v>
      </c>
      <c r="Y801" t="s">
        <v>2815</v>
      </c>
    </row>
    <row r="802" spans="1:25">
      <c r="A802" t="s">
        <v>2816</v>
      </c>
      <c r="B802" t="s">
        <v>2817</v>
      </c>
      <c r="D802" t="s">
        <v>40</v>
      </c>
      <c r="E802" t="s">
        <v>41</v>
      </c>
      <c r="J802" t="s">
        <v>182</v>
      </c>
      <c r="K802" t="s">
        <v>183</v>
      </c>
      <c r="L802">
        <v>11</v>
      </c>
      <c r="M802" t="s">
        <v>2802</v>
      </c>
      <c r="N802" t="s">
        <v>64</v>
      </c>
      <c r="O802" t="s">
        <v>46</v>
      </c>
      <c r="P802" t="s">
        <v>46</v>
      </c>
      <c r="Y802" t="s">
        <v>2818</v>
      </c>
    </row>
    <row r="803" spans="1:25">
      <c r="A803" t="s">
        <v>2819</v>
      </c>
      <c r="B803" t="s">
        <v>2820</v>
      </c>
      <c r="D803" t="s">
        <v>40</v>
      </c>
      <c r="E803" t="s">
        <v>41</v>
      </c>
      <c r="J803" t="s">
        <v>68</v>
      </c>
      <c r="K803" t="s">
        <v>69</v>
      </c>
      <c r="L803">
        <v>11</v>
      </c>
      <c r="M803" t="s">
        <v>2802</v>
      </c>
      <c r="N803" t="s">
        <v>64</v>
      </c>
      <c r="O803" t="s">
        <v>46</v>
      </c>
      <c r="P803" t="s">
        <v>46</v>
      </c>
      <c r="Y803" t="s">
        <v>2821</v>
      </c>
    </row>
    <row r="804" spans="1:25">
      <c r="A804" t="s">
        <v>2822</v>
      </c>
      <c r="B804" t="s">
        <v>2823</v>
      </c>
      <c r="D804" t="s">
        <v>40</v>
      </c>
      <c r="E804" t="s">
        <v>41</v>
      </c>
      <c r="J804" t="s">
        <v>42</v>
      </c>
      <c r="K804" t="s">
        <v>43</v>
      </c>
      <c r="L804">
        <v>11</v>
      </c>
      <c r="M804" t="s">
        <v>2824</v>
      </c>
      <c r="N804" t="s">
        <v>436</v>
      </c>
      <c r="O804" t="s">
        <v>46</v>
      </c>
      <c r="P804" t="s">
        <v>46</v>
      </c>
      <c r="Y804" t="s">
        <v>2825</v>
      </c>
    </row>
    <row r="805" spans="1:25">
      <c r="A805" t="s">
        <v>2826</v>
      </c>
      <c r="B805" t="s">
        <v>2827</v>
      </c>
      <c r="D805" t="s">
        <v>40</v>
      </c>
      <c r="E805" t="s">
        <v>41</v>
      </c>
      <c r="J805" t="s">
        <v>182</v>
      </c>
      <c r="K805" t="s">
        <v>183</v>
      </c>
      <c r="L805">
        <v>11</v>
      </c>
      <c r="M805" t="s">
        <v>2824</v>
      </c>
      <c r="N805" t="s">
        <v>64</v>
      </c>
      <c r="O805" t="s">
        <v>46</v>
      </c>
      <c r="P805" t="s">
        <v>46</v>
      </c>
      <c r="Y805" t="s">
        <v>2828</v>
      </c>
    </row>
    <row r="806" spans="1:25">
      <c r="A806" t="s">
        <v>2829</v>
      </c>
      <c r="B806" t="s">
        <v>2830</v>
      </c>
      <c r="D806" t="s">
        <v>40</v>
      </c>
      <c r="E806" t="s">
        <v>41</v>
      </c>
      <c r="J806" t="s">
        <v>76</v>
      </c>
      <c r="K806" t="s">
        <v>77</v>
      </c>
      <c r="L806">
        <v>11</v>
      </c>
      <c r="M806" t="s">
        <v>2824</v>
      </c>
      <c r="N806" t="s">
        <v>64</v>
      </c>
      <c r="O806" t="s">
        <v>46</v>
      </c>
      <c r="P806" t="s">
        <v>46</v>
      </c>
      <c r="Y806" t="s">
        <v>2831</v>
      </c>
    </row>
    <row r="807" spans="1:25">
      <c r="A807" t="s">
        <v>2832</v>
      </c>
      <c r="B807" t="s">
        <v>2833</v>
      </c>
      <c r="D807" t="s">
        <v>40</v>
      </c>
      <c r="E807" t="s">
        <v>41</v>
      </c>
      <c r="J807" t="s">
        <v>182</v>
      </c>
      <c r="K807" t="s">
        <v>183</v>
      </c>
      <c r="L807">
        <v>11</v>
      </c>
      <c r="M807" t="s">
        <v>2824</v>
      </c>
      <c r="N807" t="s">
        <v>64</v>
      </c>
      <c r="O807" t="s">
        <v>46</v>
      </c>
      <c r="P807" t="s">
        <v>46</v>
      </c>
      <c r="Y807" t="s">
        <v>2834</v>
      </c>
    </row>
    <row r="808" spans="1:25">
      <c r="A808" t="s">
        <v>2835</v>
      </c>
      <c r="B808" t="s">
        <v>2836</v>
      </c>
      <c r="D808" t="s">
        <v>40</v>
      </c>
      <c r="E808" t="s">
        <v>41</v>
      </c>
      <c r="J808" t="s">
        <v>182</v>
      </c>
      <c r="K808" t="s">
        <v>183</v>
      </c>
      <c r="L808">
        <v>11</v>
      </c>
      <c r="M808" t="s">
        <v>2824</v>
      </c>
      <c r="N808" t="s">
        <v>64</v>
      </c>
      <c r="O808" t="s">
        <v>46</v>
      </c>
      <c r="P808" t="s">
        <v>46</v>
      </c>
      <c r="Y808" t="s">
        <v>2837</v>
      </c>
    </row>
    <row r="809" spans="1:25">
      <c r="A809" t="s">
        <v>2838</v>
      </c>
      <c r="B809" t="s">
        <v>2839</v>
      </c>
      <c r="D809" t="s">
        <v>40</v>
      </c>
      <c r="E809" t="s">
        <v>41</v>
      </c>
      <c r="J809" t="s">
        <v>182</v>
      </c>
      <c r="K809" t="s">
        <v>183</v>
      </c>
      <c r="L809">
        <v>11</v>
      </c>
      <c r="M809" t="s">
        <v>2840</v>
      </c>
      <c r="N809" t="s">
        <v>64</v>
      </c>
      <c r="O809" t="s">
        <v>46</v>
      </c>
      <c r="P809" t="s">
        <v>46</v>
      </c>
      <c r="Y809" t="s">
        <v>2841</v>
      </c>
    </row>
    <row r="810" spans="1:25">
      <c r="A810" t="s">
        <v>2842</v>
      </c>
      <c r="B810" t="s">
        <v>2843</v>
      </c>
      <c r="D810" t="s">
        <v>40</v>
      </c>
      <c r="E810" t="s">
        <v>41</v>
      </c>
      <c r="J810" t="s">
        <v>42</v>
      </c>
      <c r="K810" t="s">
        <v>43</v>
      </c>
      <c r="L810">
        <v>11</v>
      </c>
      <c r="M810" t="s">
        <v>2840</v>
      </c>
      <c r="N810" t="s">
        <v>752</v>
      </c>
      <c r="O810" t="s">
        <v>46</v>
      </c>
      <c r="P810" t="s">
        <v>46</v>
      </c>
      <c r="Y810" t="s">
        <v>2844</v>
      </c>
    </row>
    <row r="811" spans="1:25">
      <c r="A811" t="s">
        <v>2845</v>
      </c>
      <c r="B811" t="s">
        <v>2846</v>
      </c>
      <c r="D811" t="s">
        <v>40</v>
      </c>
      <c r="E811" t="s">
        <v>41</v>
      </c>
      <c r="J811" t="s">
        <v>182</v>
      </c>
      <c r="K811" t="s">
        <v>183</v>
      </c>
      <c r="L811">
        <v>11</v>
      </c>
      <c r="M811" t="s">
        <v>2847</v>
      </c>
      <c r="N811" t="s">
        <v>64</v>
      </c>
      <c r="O811" t="s">
        <v>46</v>
      </c>
      <c r="P811" t="s">
        <v>46</v>
      </c>
      <c r="Y811" t="s">
        <v>2848</v>
      </c>
    </row>
    <row r="812" spans="1:25">
      <c r="A812" t="s">
        <v>2849</v>
      </c>
      <c r="B812" t="s">
        <v>2850</v>
      </c>
      <c r="D812" t="s">
        <v>40</v>
      </c>
      <c r="E812" t="s">
        <v>41</v>
      </c>
      <c r="J812" t="s">
        <v>182</v>
      </c>
      <c r="K812" t="s">
        <v>183</v>
      </c>
      <c r="L812">
        <v>11</v>
      </c>
      <c r="M812" t="s">
        <v>2847</v>
      </c>
      <c r="N812" t="s">
        <v>64</v>
      </c>
      <c r="O812" t="s">
        <v>46</v>
      </c>
      <c r="P812" t="s">
        <v>46</v>
      </c>
      <c r="Y812" t="s">
        <v>2851</v>
      </c>
    </row>
    <row r="813" spans="1:25">
      <c r="A813" t="s">
        <v>2852</v>
      </c>
      <c r="B813" t="s">
        <v>2853</v>
      </c>
      <c r="D813" t="s">
        <v>40</v>
      </c>
      <c r="E813" t="s">
        <v>41</v>
      </c>
      <c r="J813" t="s">
        <v>182</v>
      </c>
      <c r="K813" t="s">
        <v>183</v>
      </c>
      <c r="L813">
        <v>11</v>
      </c>
      <c r="M813" t="s">
        <v>2847</v>
      </c>
      <c r="N813" t="s">
        <v>64</v>
      </c>
      <c r="O813" t="s">
        <v>46</v>
      </c>
      <c r="P813" t="s">
        <v>46</v>
      </c>
      <c r="Y813" t="s">
        <v>2854</v>
      </c>
    </row>
    <row r="814" spans="1:25">
      <c r="A814" t="s">
        <v>2855</v>
      </c>
      <c r="B814" t="s">
        <v>2856</v>
      </c>
      <c r="D814" t="s">
        <v>40</v>
      </c>
      <c r="E814" t="s">
        <v>41</v>
      </c>
      <c r="J814" t="s">
        <v>182</v>
      </c>
      <c r="K814" t="s">
        <v>183</v>
      </c>
      <c r="L814">
        <v>11</v>
      </c>
      <c r="M814" t="s">
        <v>2847</v>
      </c>
      <c r="N814" t="s">
        <v>64</v>
      </c>
      <c r="O814" t="s">
        <v>46</v>
      </c>
      <c r="P814" t="s">
        <v>46</v>
      </c>
      <c r="Y814" t="s">
        <v>2857</v>
      </c>
    </row>
    <row r="815" spans="1:25">
      <c r="A815" t="s">
        <v>2858</v>
      </c>
      <c r="B815" t="s">
        <v>2859</v>
      </c>
      <c r="D815" t="s">
        <v>40</v>
      </c>
      <c r="E815" t="s">
        <v>41</v>
      </c>
      <c r="J815" t="s">
        <v>182</v>
      </c>
      <c r="K815" t="s">
        <v>183</v>
      </c>
      <c r="L815">
        <v>11</v>
      </c>
      <c r="M815" t="s">
        <v>2847</v>
      </c>
      <c r="N815" t="s">
        <v>64</v>
      </c>
      <c r="O815" t="s">
        <v>46</v>
      </c>
      <c r="P815" t="s">
        <v>46</v>
      </c>
      <c r="Y815" t="s">
        <v>2860</v>
      </c>
    </row>
    <row r="816" spans="1:25">
      <c r="A816" t="s">
        <v>2861</v>
      </c>
      <c r="B816" t="s">
        <v>2862</v>
      </c>
      <c r="D816" t="s">
        <v>40</v>
      </c>
      <c r="E816" t="s">
        <v>41</v>
      </c>
      <c r="J816" t="s">
        <v>76</v>
      </c>
      <c r="K816" t="s">
        <v>77</v>
      </c>
      <c r="L816">
        <v>11</v>
      </c>
      <c r="M816" t="s">
        <v>2863</v>
      </c>
      <c r="N816" t="s">
        <v>64</v>
      </c>
      <c r="O816" t="s">
        <v>46</v>
      </c>
      <c r="P816" t="s">
        <v>46</v>
      </c>
      <c r="Y816" t="s">
        <v>2864</v>
      </c>
    </row>
    <row r="817" spans="1:25">
      <c r="A817" t="s">
        <v>2865</v>
      </c>
      <c r="B817" t="s">
        <v>2866</v>
      </c>
      <c r="D817" t="s">
        <v>40</v>
      </c>
      <c r="E817" t="s">
        <v>41</v>
      </c>
      <c r="J817" t="s">
        <v>182</v>
      </c>
      <c r="K817" t="s">
        <v>183</v>
      </c>
      <c r="L817">
        <v>11</v>
      </c>
      <c r="M817" t="s">
        <v>2863</v>
      </c>
      <c r="N817" t="s">
        <v>64</v>
      </c>
      <c r="O817" t="s">
        <v>46</v>
      </c>
      <c r="P817" t="s">
        <v>46</v>
      </c>
      <c r="Y817" t="s">
        <v>2867</v>
      </c>
    </row>
    <row r="818" spans="1:25">
      <c r="A818" t="s">
        <v>2868</v>
      </c>
      <c r="B818" t="s">
        <v>2869</v>
      </c>
      <c r="D818" t="s">
        <v>40</v>
      </c>
      <c r="E818" t="s">
        <v>41</v>
      </c>
      <c r="J818" t="s">
        <v>139</v>
      </c>
      <c r="K818" t="s">
        <v>140</v>
      </c>
      <c r="L818">
        <v>11</v>
      </c>
      <c r="M818" t="s">
        <v>2863</v>
      </c>
      <c r="N818" t="s">
        <v>2346</v>
      </c>
      <c r="O818" t="s">
        <v>46</v>
      </c>
      <c r="P818" t="s">
        <v>46</v>
      </c>
      <c r="Y818" t="s">
        <v>2870</v>
      </c>
    </row>
    <row r="819" spans="1:25">
      <c r="A819" t="s">
        <v>2871</v>
      </c>
      <c r="B819" t="s">
        <v>2872</v>
      </c>
      <c r="D819" t="s">
        <v>40</v>
      </c>
      <c r="E819" t="s">
        <v>41</v>
      </c>
      <c r="J819" t="s">
        <v>76</v>
      </c>
      <c r="K819" t="s">
        <v>77</v>
      </c>
      <c r="L819">
        <v>11</v>
      </c>
      <c r="M819" t="s">
        <v>2863</v>
      </c>
      <c r="N819" t="s">
        <v>64</v>
      </c>
      <c r="O819" t="s">
        <v>46</v>
      </c>
      <c r="P819" t="s">
        <v>46</v>
      </c>
      <c r="Y819" t="s">
        <v>2873</v>
      </c>
    </row>
    <row r="820" spans="1:25">
      <c r="A820" t="s">
        <v>2874</v>
      </c>
      <c r="B820" t="s">
        <v>2875</v>
      </c>
      <c r="D820" t="s">
        <v>40</v>
      </c>
      <c r="E820" t="s">
        <v>41</v>
      </c>
      <c r="J820" t="s">
        <v>68</v>
      </c>
      <c r="K820" t="s">
        <v>69</v>
      </c>
      <c r="L820">
        <v>11</v>
      </c>
      <c r="M820" t="s">
        <v>2863</v>
      </c>
      <c r="N820" t="s">
        <v>64</v>
      </c>
      <c r="O820" t="s">
        <v>46</v>
      </c>
      <c r="P820" t="s">
        <v>46</v>
      </c>
      <c r="Y820" t="s">
        <v>2876</v>
      </c>
    </row>
    <row r="821" spans="1:25">
      <c r="A821" t="s">
        <v>2877</v>
      </c>
      <c r="B821" t="s">
        <v>2878</v>
      </c>
      <c r="D821" t="s">
        <v>40</v>
      </c>
      <c r="E821" t="s">
        <v>41</v>
      </c>
      <c r="J821" t="s">
        <v>182</v>
      </c>
      <c r="K821" t="s">
        <v>183</v>
      </c>
      <c r="L821">
        <v>11</v>
      </c>
      <c r="M821" t="s">
        <v>2863</v>
      </c>
      <c r="N821" t="s">
        <v>64</v>
      </c>
      <c r="O821" t="s">
        <v>46</v>
      </c>
      <c r="P821" t="s">
        <v>46</v>
      </c>
      <c r="Y821" t="s">
        <v>2879</v>
      </c>
    </row>
    <row r="822" spans="1:25">
      <c r="A822" t="s">
        <v>2880</v>
      </c>
      <c r="B822" t="s">
        <v>2881</v>
      </c>
      <c r="D822" t="s">
        <v>40</v>
      </c>
      <c r="E822" t="s">
        <v>41</v>
      </c>
      <c r="J822" t="s">
        <v>42</v>
      </c>
      <c r="K822" t="s">
        <v>43</v>
      </c>
      <c r="L822">
        <v>11</v>
      </c>
      <c r="M822" t="s">
        <v>2882</v>
      </c>
      <c r="N822" t="s">
        <v>1047</v>
      </c>
      <c r="O822" t="s">
        <v>46</v>
      </c>
      <c r="P822" t="s">
        <v>46</v>
      </c>
      <c r="Y822" t="s">
        <v>2883</v>
      </c>
    </row>
    <row r="823" spans="1:25">
      <c r="A823" t="s">
        <v>2884</v>
      </c>
      <c r="B823" t="s">
        <v>2885</v>
      </c>
      <c r="D823" t="s">
        <v>40</v>
      </c>
      <c r="E823" t="s">
        <v>41</v>
      </c>
      <c r="J823" t="s">
        <v>182</v>
      </c>
      <c r="K823" t="s">
        <v>183</v>
      </c>
      <c r="L823">
        <v>11</v>
      </c>
      <c r="M823" t="s">
        <v>2882</v>
      </c>
      <c r="N823" t="s">
        <v>64</v>
      </c>
      <c r="O823" t="s">
        <v>46</v>
      </c>
      <c r="P823" t="s">
        <v>46</v>
      </c>
      <c r="Y823" t="s">
        <v>2886</v>
      </c>
    </row>
    <row r="824" spans="1:25">
      <c r="A824" t="s">
        <v>2887</v>
      </c>
      <c r="B824" t="s">
        <v>2888</v>
      </c>
      <c r="D824" t="s">
        <v>40</v>
      </c>
      <c r="E824" t="s">
        <v>41</v>
      </c>
      <c r="J824" t="s">
        <v>288</v>
      </c>
      <c r="K824" t="s">
        <v>289</v>
      </c>
      <c r="L824">
        <v>11</v>
      </c>
      <c r="M824" t="s">
        <v>2882</v>
      </c>
      <c r="N824" t="s">
        <v>617</v>
      </c>
      <c r="O824" t="s">
        <v>46</v>
      </c>
      <c r="P824" t="s">
        <v>46</v>
      </c>
      <c r="Y824" t="s">
        <v>2889</v>
      </c>
    </row>
    <row r="825" spans="1:25">
      <c r="A825" t="s">
        <v>2890</v>
      </c>
      <c r="B825" t="s">
        <v>2891</v>
      </c>
      <c r="D825" t="s">
        <v>40</v>
      </c>
      <c r="E825" t="s">
        <v>41</v>
      </c>
      <c r="J825" t="s">
        <v>76</v>
      </c>
      <c r="K825" t="s">
        <v>77</v>
      </c>
      <c r="L825">
        <v>11</v>
      </c>
      <c r="M825" t="s">
        <v>2882</v>
      </c>
      <c r="N825" t="s">
        <v>64</v>
      </c>
      <c r="O825" t="s">
        <v>46</v>
      </c>
      <c r="P825" t="s">
        <v>46</v>
      </c>
      <c r="Y825" t="s">
        <v>2892</v>
      </c>
    </row>
    <row r="826" spans="1:25">
      <c r="A826" t="s">
        <v>2893</v>
      </c>
      <c r="B826" t="s">
        <v>2894</v>
      </c>
      <c r="D826" t="s">
        <v>40</v>
      </c>
      <c r="E826" t="s">
        <v>41</v>
      </c>
      <c r="J826" t="s">
        <v>182</v>
      </c>
      <c r="K826" t="s">
        <v>183</v>
      </c>
      <c r="L826">
        <v>11</v>
      </c>
      <c r="M826" t="s">
        <v>2882</v>
      </c>
      <c r="N826" t="s">
        <v>64</v>
      </c>
      <c r="O826" t="s">
        <v>46</v>
      </c>
      <c r="P826" t="s">
        <v>46</v>
      </c>
      <c r="Y826" t="s">
        <v>2895</v>
      </c>
    </row>
    <row r="827" spans="1:25">
      <c r="A827" t="s">
        <v>2896</v>
      </c>
      <c r="B827" t="s">
        <v>2897</v>
      </c>
      <c r="D827" t="s">
        <v>40</v>
      </c>
      <c r="E827" t="s">
        <v>41</v>
      </c>
      <c r="J827" t="s">
        <v>182</v>
      </c>
      <c r="K827" t="s">
        <v>183</v>
      </c>
      <c r="L827">
        <v>11</v>
      </c>
      <c r="M827" t="s">
        <v>2882</v>
      </c>
      <c r="N827" t="s">
        <v>64</v>
      </c>
      <c r="O827" t="s">
        <v>46</v>
      </c>
      <c r="P827" t="s">
        <v>46</v>
      </c>
      <c r="Y827" t="s">
        <v>2898</v>
      </c>
    </row>
    <row r="828" spans="1:25">
      <c r="A828" t="s">
        <v>2899</v>
      </c>
      <c r="B828" t="s">
        <v>2900</v>
      </c>
      <c r="D828" t="s">
        <v>40</v>
      </c>
      <c r="E828" t="s">
        <v>41</v>
      </c>
      <c r="J828" t="s">
        <v>182</v>
      </c>
      <c r="K828" t="s">
        <v>183</v>
      </c>
      <c r="L828">
        <v>11</v>
      </c>
      <c r="M828" t="s">
        <v>2882</v>
      </c>
      <c r="N828" t="s">
        <v>64</v>
      </c>
      <c r="O828" t="s">
        <v>46</v>
      </c>
      <c r="P828" t="s">
        <v>46</v>
      </c>
      <c r="Y828" t="s">
        <v>2901</v>
      </c>
    </row>
    <row r="829" spans="1:25">
      <c r="A829" t="s">
        <v>2902</v>
      </c>
      <c r="B829" t="s">
        <v>2903</v>
      </c>
      <c r="D829" t="s">
        <v>40</v>
      </c>
      <c r="E829" t="s">
        <v>41</v>
      </c>
      <c r="J829" t="s">
        <v>182</v>
      </c>
      <c r="K829" t="s">
        <v>183</v>
      </c>
      <c r="L829">
        <v>11</v>
      </c>
      <c r="M829" t="s">
        <v>2882</v>
      </c>
      <c r="N829" t="s">
        <v>64</v>
      </c>
      <c r="O829" t="s">
        <v>46</v>
      </c>
      <c r="P829" t="s">
        <v>46</v>
      </c>
      <c r="Y829" t="s">
        <v>2904</v>
      </c>
    </row>
    <row r="830" spans="1:25">
      <c r="A830" t="s">
        <v>2905</v>
      </c>
      <c r="B830" t="s">
        <v>2906</v>
      </c>
      <c r="D830" t="s">
        <v>40</v>
      </c>
      <c r="E830" t="s">
        <v>41</v>
      </c>
      <c r="J830" t="s">
        <v>182</v>
      </c>
      <c r="K830" t="s">
        <v>183</v>
      </c>
      <c r="L830">
        <v>11</v>
      </c>
      <c r="M830" t="s">
        <v>2882</v>
      </c>
      <c r="N830" t="s">
        <v>64</v>
      </c>
      <c r="O830" t="s">
        <v>46</v>
      </c>
      <c r="P830" t="s">
        <v>46</v>
      </c>
      <c r="Y830" t="s">
        <v>2907</v>
      </c>
    </row>
    <row r="831" spans="1:25">
      <c r="A831" t="s">
        <v>2908</v>
      </c>
      <c r="B831" t="s">
        <v>2909</v>
      </c>
      <c r="D831" t="s">
        <v>40</v>
      </c>
      <c r="E831" t="s">
        <v>41</v>
      </c>
      <c r="J831" t="s">
        <v>182</v>
      </c>
      <c r="K831" t="s">
        <v>183</v>
      </c>
      <c r="L831">
        <v>11</v>
      </c>
      <c r="M831" t="s">
        <v>2882</v>
      </c>
      <c r="N831" t="s">
        <v>64</v>
      </c>
      <c r="O831" t="s">
        <v>46</v>
      </c>
      <c r="P831" t="s">
        <v>46</v>
      </c>
      <c r="Y831" t="s">
        <v>2910</v>
      </c>
    </row>
    <row r="832" spans="1:25">
      <c r="A832" t="s">
        <v>2911</v>
      </c>
      <c r="B832" t="s">
        <v>2912</v>
      </c>
      <c r="D832" t="s">
        <v>40</v>
      </c>
      <c r="E832" t="s">
        <v>41</v>
      </c>
      <c r="J832" t="s">
        <v>182</v>
      </c>
      <c r="K832" t="s">
        <v>183</v>
      </c>
      <c r="L832">
        <v>11</v>
      </c>
      <c r="M832" t="s">
        <v>2913</v>
      </c>
      <c r="N832" t="s">
        <v>64</v>
      </c>
      <c r="O832" t="s">
        <v>46</v>
      </c>
      <c r="P832" t="s">
        <v>46</v>
      </c>
      <c r="Y832" t="s">
        <v>2914</v>
      </c>
    </row>
    <row r="833" spans="1:25">
      <c r="A833" t="s">
        <v>2915</v>
      </c>
      <c r="B833" t="s">
        <v>2916</v>
      </c>
      <c r="D833" t="s">
        <v>40</v>
      </c>
      <c r="E833" t="s">
        <v>41</v>
      </c>
      <c r="J833" t="s">
        <v>42</v>
      </c>
      <c r="K833" t="s">
        <v>43</v>
      </c>
      <c r="L833">
        <v>11</v>
      </c>
      <c r="M833" t="s">
        <v>2913</v>
      </c>
      <c r="N833" t="s">
        <v>173</v>
      </c>
      <c r="O833" t="s">
        <v>46</v>
      </c>
      <c r="P833" t="s">
        <v>46</v>
      </c>
      <c r="Y833" t="s">
        <v>2917</v>
      </c>
    </row>
    <row r="834" spans="1:25">
      <c r="A834" t="s">
        <v>2918</v>
      </c>
      <c r="B834" t="s">
        <v>2919</v>
      </c>
      <c r="D834" t="s">
        <v>40</v>
      </c>
      <c r="E834" t="s">
        <v>41</v>
      </c>
      <c r="J834" t="s">
        <v>68</v>
      </c>
      <c r="K834" t="s">
        <v>69</v>
      </c>
      <c r="L834">
        <v>11</v>
      </c>
      <c r="M834" t="s">
        <v>2913</v>
      </c>
      <c r="N834" t="s">
        <v>64</v>
      </c>
      <c r="O834" t="s">
        <v>46</v>
      </c>
      <c r="P834" t="s">
        <v>46</v>
      </c>
      <c r="Y834" t="s">
        <v>2920</v>
      </c>
    </row>
    <row r="835" spans="1:25">
      <c r="A835" t="s">
        <v>2921</v>
      </c>
      <c r="B835" t="s">
        <v>2922</v>
      </c>
      <c r="D835" t="s">
        <v>40</v>
      </c>
      <c r="E835" t="s">
        <v>41</v>
      </c>
      <c r="J835" t="s">
        <v>182</v>
      </c>
      <c r="K835" t="s">
        <v>183</v>
      </c>
      <c r="L835">
        <v>11</v>
      </c>
      <c r="M835" t="s">
        <v>2913</v>
      </c>
      <c r="N835" t="s">
        <v>64</v>
      </c>
      <c r="O835" t="s">
        <v>46</v>
      </c>
      <c r="P835" t="s">
        <v>46</v>
      </c>
      <c r="Y835" t="s">
        <v>2923</v>
      </c>
    </row>
    <row r="836" spans="1:25">
      <c r="A836" t="s">
        <v>2924</v>
      </c>
      <c r="B836" t="s">
        <v>2925</v>
      </c>
      <c r="D836" t="s">
        <v>40</v>
      </c>
      <c r="E836" t="s">
        <v>41</v>
      </c>
      <c r="J836" t="s">
        <v>68</v>
      </c>
      <c r="K836" t="s">
        <v>69</v>
      </c>
      <c r="L836">
        <v>11</v>
      </c>
      <c r="M836" t="s">
        <v>2926</v>
      </c>
      <c r="N836" t="s">
        <v>64</v>
      </c>
      <c r="O836" t="s">
        <v>46</v>
      </c>
      <c r="P836" t="s">
        <v>46</v>
      </c>
      <c r="Y836" t="s">
        <v>2927</v>
      </c>
    </row>
    <row r="837" spans="1:25">
      <c r="A837" t="s">
        <v>2928</v>
      </c>
      <c r="B837" t="s">
        <v>2929</v>
      </c>
      <c r="D837" t="s">
        <v>40</v>
      </c>
      <c r="E837" t="s">
        <v>41</v>
      </c>
      <c r="J837" t="s">
        <v>182</v>
      </c>
      <c r="K837" t="s">
        <v>183</v>
      </c>
      <c r="L837">
        <v>11</v>
      </c>
      <c r="M837" t="s">
        <v>2926</v>
      </c>
      <c r="N837" t="s">
        <v>64</v>
      </c>
      <c r="O837" t="s">
        <v>46</v>
      </c>
      <c r="P837" t="s">
        <v>46</v>
      </c>
      <c r="Y837" t="s">
        <v>2930</v>
      </c>
    </row>
    <row r="838" spans="1:25">
      <c r="A838" t="s">
        <v>2931</v>
      </c>
      <c r="B838" t="s">
        <v>2932</v>
      </c>
      <c r="D838" t="s">
        <v>40</v>
      </c>
      <c r="E838" t="s">
        <v>41</v>
      </c>
      <c r="J838" t="s">
        <v>42</v>
      </c>
      <c r="K838" t="s">
        <v>43</v>
      </c>
      <c r="L838">
        <v>11</v>
      </c>
      <c r="M838" t="s">
        <v>2926</v>
      </c>
      <c r="N838" t="s">
        <v>1380</v>
      </c>
      <c r="O838" t="s">
        <v>46</v>
      </c>
      <c r="P838" t="s">
        <v>46</v>
      </c>
      <c r="Y838" t="s">
        <v>2933</v>
      </c>
    </row>
    <row r="839" spans="1:25">
      <c r="A839" t="s">
        <v>2934</v>
      </c>
      <c r="B839" t="s">
        <v>2935</v>
      </c>
      <c r="D839" t="s">
        <v>40</v>
      </c>
      <c r="E839" t="s">
        <v>41</v>
      </c>
      <c r="J839" t="s">
        <v>182</v>
      </c>
      <c r="K839" t="s">
        <v>183</v>
      </c>
      <c r="L839">
        <v>11</v>
      </c>
      <c r="M839" t="s">
        <v>2926</v>
      </c>
      <c r="N839" t="s">
        <v>64</v>
      </c>
      <c r="O839" t="s">
        <v>46</v>
      </c>
      <c r="P839" t="s">
        <v>46</v>
      </c>
      <c r="Y839" t="s">
        <v>2936</v>
      </c>
    </row>
    <row r="840" spans="1:25">
      <c r="A840" t="s">
        <v>2937</v>
      </c>
      <c r="B840" t="s">
        <v>2938</v>
      </c>
      <c r="D840" t="s">
        <v>40</v>
      </c>
      <c r="E840" t="s">
        <v>41</v>
      </c>
      <c r="J840" t="s">
        <v>42</v>
      </c>
      <c r="K840" t="s">
        <v>43</v>
      </c>
      <c r="L840">
        <v>11</v>
      </c>
      <c r="M840" t="s">
        <v>2926</v>
      </c>
      <c r="N840" t="s">
        <v>950</v>
      </c>
      <c r="O840" t="s">
        <v>46</v>
      </c>
      <c r="P840" t="s">
        <v>46</v>
      </c>
      <c r="Y840" t="s">
        <v>2939</v>
      </c>
    </row>
    <row r="841" spans="1:25">
      <c r="A841" t="s">
        <v>2940</v>
      </c>
      <c r="B841" t="s">
        <v>2941</v>
      </c>
      <c r="D841" t="s">
        <v>40</v>
      </c>
      <c r="E841" t="s">
        <v>41</v>
      </c>
      <c r="J841" t="s">
        <v>76</v>
      </c>
      <c r="K841" t="s">
        <v>77</v>
      </c>
      <c r="L841">
        <v>11</v>
      </c>
      <c r="M841" t="s">
        <v>2926</v>
      </c>
      <c r="N841" t="s">
        <v>64</v>
      </c>
      <c r="O841" t="s">
        <v>46</v>
      </c>
      <c r="P841" t="s">
        <v>46</v>
      </c>
      <c r="Y841" t="s">
        <v>2942</v>
      </c>
    </row>
    <row r="842" spans="1:25">
      <c r="A842" t="s">
        <v>2943</v>
      </c>
      <c r="B842" t="s">
        <v>2944</v>
      </c>
      <c r="D842" t="s">
        <v>40</v>
      </c>
      <c r="E842" t="s">
        <v>41</v>
      </c>
      <c r="J842" t="s">
        <v>182</v>
      </c>
      <c r="K842" t="s">
        <v>183</v>
      </c>
      <c r="L842">
        <v>11</v>
      </c>
      <c r="M842" t="s">
        <v>2926</v>
      </c>
      <c r="N842" t="s">
        <v>64</v>
      </c>
      <c r="O842" t="s">
        <v>46</v>
      </c>
      <c r="P842" t="s">
        <v>46</v>
      </c>
      <c r="Y842" t="s">
        <v>2945</v>
      </c>
    </row>
    <row r="843" spans="1:25">
      <c r="A843" t="s">
        <v>2946</v>
      </c>
      <c r="B843" t="s">
        <v>2947</v>
      </c>
      <c r="D843" t="s">
        <v>40</v>
      </c>
      <c r="E843" t="s">
        <v>41</v>
      </c>
      <c r="J843" t="s">
        <v>68</v>
      </c>
      <c r="K843" t="s">
        <v>69</v>
      </c>
      <c r="L843">
        <v>11</v>
      </c>
      <c r="M843" t="s">
        <v>2948</v>
      </c>
      <c r="N843" t="s">
        <v>64</v>
      </c>
      <c r="O843" t="s">
        <v>46</v>
      </c>
      <c r="P843" t="s">
        <v>46</v>
      </c>
      <c r="Y843" t="s">
        <v>2949</v>
      </c>
    </row>
    <row r="844" spans="1:25">
      <c r="A844" t="s">
        <v>2950</v>
      </c>
      <c r="B844" t="s">
        <v>2951</v>
      </c>
      <c r="D844" t="s">
        <v>40</v>
      </c>
      <c r="E844" t="s">
        <v>41</v>
      </c>
      <c r="J844" t="s">
        <v>76</v>
      </c>
      <c r="K844" t="s">
        <v>77</v>
      </c>
      <c r="L844">
        <v>11</v>
      </c>
      <c r="M844" t="s">
        <v>2948</v>
      </c>
      <c r="N844" t="s">
        <v>64</v>
      </c>
      <c r="O844" t="s">
        <v>46</v>
      </c>
      <c r="P844" t="s">
        <v>46</v>
      </c>
      <c r="Y844" t="s">
        <v>2952</v>
      </c>
    </row>
    <row r="845" spans="1:25">
      <c r="A845" t="s">
        <v>2953</v>
      </c>
      <c r="B845" t="s">
        <v>2954</v>
      </c>
      <c r="D845" t="s">
        <v>40</v>
      </c>
      <c r="E845" t="s">
        <v>41</v>
      </c>
      <c r="J845" t="s">
        <v>76</v>
      </c>
      <c r="K845" t="s">
        <v>77</v>
      </c>
      <c r="L845">
        <v>11</v>
      </c>
      <c r="M845" t="s">
        <v>2948</v>
      </c>
      <c r="N845" t="s">
        <v>64</v>
      </c>
      <c r="O845" t="s">
        <v>46</v>
      </c>
      <c r="P845" t="s">
        <v>46</v>
      </c>
      <c r="Y845" t="s">
        <v>2955</v>
      </c>
    </row>
    <row r="846" spans="1:25">
      <c r="A846" t="s">
        <v>2956</v>
      </c>
      <c r="B846" t="s">
        <v>2957</v>
      </c>
      <c r="D846" t="s">
        <v>40</v>
      </c>
      <c r="E846" t="s">
        <v>41</v>
      </c>
      <c r="J846" t="s">
        <v>68</v>
      </c>
      <c r="K846" t="s">
        <v>69</v>
      </c>
      <c r="L846">
        <v>11</v>
      </c>
      <c r="M846" t="s">
        <v>2948</v>
      </c>
      <c r="N846" t="s">
        <v>64</v>
      </c>
      <c r="O846" t="s">
        <v>46</v>
      </c>
      <c r="P846" t="s">
        <v>46</v>
      </c>
      <c r="Y846" t="s">
        <v>2958</v>
      </c>
    </row>
    <row r="847" spans="1:25">
      <c r="A847" t="s">
        <v>2959</v>
      </c>
      <c r="B847" t="s">
        <v>2960</v>
      </c>
      <c r="D847" t="s">
        <v>40</v>
      </c>
      <c r="E847" t="s">
        <v>41</v>
      </c>
      <c r="J847" t="s">
        <v>182</v>
      </c>
      <c r="K847" t="s">
        <v>183</v>
      </c>
      <c r="L847">
        <v>11</v>
      </c>
      <c r="M847" t="s">
        <v>2948</v>
      </c>
      <c r="N847" t="s">
        <v>64</v>
      </c>
      <c r="O847" t="s">
        <v>46</v>
      </c>
      <c r="P847" t="s">
        <v>46</v>
      </c>
      <c r="Y847" t="s">
        <v>2961</v>
      </c>
    </row>
    <row r="848" spans="1:25">
      <c r="A848" t="s">
        <v>2962</v>
      </c>
      <c r="B848" t="s">
        <v>2963</v>
      </c>
      <c r="D848" t="s">
        <v>40</v>
      </c>
      <c r="E848" t="s">
        <v>41</v>
      </c>
      <c r="J848" t="s">
        <v>76</v>
      </c>
      <c r="K848" t="s">
        <v>77</v>
      </c>
      <c r="L848">
        <v>11</v>
      </c>
      <c r="M848" t="s">
        <v>2948</v>
      </c>
      <c r="N848" t="s">
        <v>64</v>
      </c>
      <c r="O848" t="s">
        <v>46</v>
      </c>
      <c r="P848" t="s">
        <v>46</v>
      </c>
      <c r="Y848" t="s">
        <v>2964</v>
      </c>
    </row>
    <row r="849" spans="1:25">
      <c r="A849" t="s">
        <v>2965</v>
      </c>
      <c r="B849" t="s">
        <v>2966</v>
      </c>
      <c r="D849" t="s">
        <v>40</v>
      </c>
      <c r="E849" t="s">
        <v>41</v>
      </c>
      <c r="J849" t="s">
        <v>182</v>
      </c>
      <c r="K849" t="s">
        <v>183</v>
      </c>
      <c r="L849">
        <v>11</v>
      </c>
      <c r="M849" t="s">
        <v>2948</v>
      </c>
      <c r="N849" t="s">
        <v>64</v>
      </c>
      <c r="O849" t="s">
        <v>46</v>
      </c>
      <c r="P849" t="s">
        <v>46</v>
      </c>
      <c r="Y849" t="s">
        <v>2967</v>
      </c>
    </row>
    <row r="850" spans="1:25">
      <c r="A850" t="s">
        <v>2968</v>
      </c>
      <c r="B850" t="s">
        <v>2969</v>
      </c>
      <c r="D850" t="s">
        <v>40</v>
      </c>
      <c r="E850" t="s">
        <v>41</v>
      </c>
      <c r="J850" t="s">
        <v>182</v>
      </c>
      <c r="K850" t="s">
        <v>183</v>
      </c>
      <c r="L850">
        <v>11</v>
      </c>
      <c r="M850" t="s">
        <v>2948</v>
      </c>
      <c r="N850" t="s">
        <v>64</v>
      </c>
      <c r="O850" t="s">
        <v>46</v>
      </c>
      <c r="P850" t="s">
        <v>46</v>
      </c>
      <c r="Y850" t="s">
        <v>2970</v>
      </c>
    </row>
    <row r="851" spans="1:25">
      <c r="A851" t="s">
        <v>2971</v>
      </c>
      <c r="B851" t="s">
        <v>2972</v>
      </c>
      <c r="D851" t="s">
        <v>40</v>
      </c>
      <c r="E851" t="s">
        <v>41</v>
      </c>
      <c r="J851" t="s">
        <v>1142</v>
      </c>
      <c r="K851" t="s">
        <v>1143</v>
      </c>
      <c r="L851">
        <v>11</v>
      </c>
      <c r="M851" t="s">
        <v>2948</v>
      </c>
      <c r="N851" t="s">
        <v>440</v>
      </c>
      <c r="O851" t="s">
        <v>46</v>
      </c>
      <c r="P851" t="s">
        <v>46</v>
      </c>
      <c r="Y851" t="s">
        <v>2973</v>
      </c>
    </row>
    <row r="852" spans="1:25">
      <c r="A852" t="s">
        <v>2974</v>
      </c>
      <c r="B852" t="s">
        <v>2975</v>
      </c>
      <c r="D852" t="s">
        <v>40</v>
      </c>
      <c r="E852" t="s">
        <v>41</v>
      </c>
      <c r="J852" t="s">
        <v>68</v>
      </c>
      <c r="K852" t="s">
        <v>69</v>
      </c>
      <c r="L852">
        <v>11</v>
      </c>
      <c r="M852" t="s">
        <v>2976</v>
      </c>
      <c r="N852" t="s">
        <v>64</v>
      </c>
      <c r="O852" t="s">
        <v>46</v>
      </c>
      <c r="P852" t="s">
        <v>46</v>
      </c>
      <c r="Y852" t="s">
        <v>2977</v>
      </c>
    </row>
    <row r="853" spans="1:25">
      <c r="A853" t="s">
        <v>2978</v>
      </c>
      <c r="B853" t="s">
        <v>2979</v>
      </c>
      <c r="D853" t="s">
        <v>40</v>
      </c>
      <c r="E853" t="s">
        <v>41</v>
      </c>
      <c r="J853" t="s">
        <v>182</v>
      </c>
      <c r="K853" t="s">
        <v>183</v>
      </c>
      <c r="L853">
        <v>11</v>
      </c>
      <c r="M853" t="s">
        <v>2976</v>
      </c>
      <c r="N853" t="s">
        <v>64</v>
      </c>
      <c r="O853" t="s">
        <v>46</v>
      </c>
      <c r="P853" t="s">
        <v>46</v>
      </c>
      <c r="Y853" t="s">
        <v>2980</v>
      </c>
    </row>
    <row r="854" spans="1:25">
      <c r="A854" t="s">
        <v>2981</v>
      </c>
      <c r="B854" t="s">
        <v>2982</v>
      </c>
      <c r="D854" t="s">
        <v>40</v>
      </c>
      <c r="E854" t="s">
        <v>41</v>
      </c>
      <c r="J854" t="s">
        <v>68</v>
      </c>
      <c r="K854" t="s">
        <v>69</v>
      </c>
      <c r="L854">
        <v>11</v>
      </c>
      <c r="M854" t="s">
        <v>2976</v>
      </c>
      <c r="N854" t="s">
        <v>64</v>
      </c>
      <c r="O854" t="s">
        <v>46</v>
      </c>
      <c r="P854" t="s">
        <v>46</v>
      </c>
      <c r="Y854" t="s">
        <v>2983</v>
      </c>
    </row>
    <row r="855" spans="1:25">
      <c r="A855" t="s">
        <v>2984</v>
      </c>
      <c r="B855" t="s">
        <v>2985</v>
      </c>
      <c r="D855" t="s">
        <v>40</v>
      </c>
      <c r="E855" t="s">
        <v>41</v>
      </c>
      <c r="J855" t="s">
        <v>76</v>
      </c>
      <c r="K855" t="s">
        <v>77</v>
      </c>
      <c r="L855">
        <v>11</v>
      </c>
      <c r="M855" t="s">
        <v>2976</v>
      </c>
      <c r="N855" t="s">
        <v>64</v>
      </c>
      <c r="O855" t="s">
        <v>46</v>
      </c>
      <c r="P855" t="s">
        <v>46</v>
      </c>
      <c r="Y855" t="s">
        <v>2986</v>
      </c>
    </row>
    <row r="856" spans="1:25">
      <c r="A856" t="s">
        <v>2987</v>
      </c>
      <c r="B856" t="s">
        <v>2988</v>
      </c>
      <c r="D856" t="s">
        <v>40</v>
      </c>
      <c r="E856" t="s">
        <v>41</v>
      </c>
      <c r="J856" t="s">
        <v>182</v>
      </c>
      <c r="K856" t="s">
        <v>183</v>
      </c>
      <c r="L856">
        <v>11</v>
      </c>
      <c r="M856" t="s">
        <v>2976</v>
      </c>
      <c r="N856" t="s">
        <v>64</v>
      </c>
      <c r="O856" t="s">
        <v>46</v>
      </c>
      <c r="P856" t="s">
        <v>46</v>
      </c>
      <c r="Y856" t="s">
        <v>2989</v>
      </c>
    </row>
    <row r="857" spans="1:25">
      <c r="A857" t="s">
        <v>2990</v>
      </c>
      <c r="B857" t="s">
        <v>2991</v>
      </c>
      <c r="D857" t="s">
        <v>40</v>
      </c>
      <c r="E857" t="s">
        <v>41</v>
      </c>
      <c r="J857" t="s">
        <v>182</v>
      </c>
      <c r="K857" t="s">
        <v>183</v>
      </c>
      <c r="L857">
        <v>11</v>
      </c>
      <c r="M857" t="s">
        <v>2976</v>
      </c>
      <c r="N857" t="s">
        <v>64</v>
      </c>
      <c r="O857" t="s">
        <v>46</v>
      </c>
      <c r="P857" t="s">
        <v>46</v>
      </c>
      <c r="Y857" t="s">
        <v>2992</v>
      </c>
    </row>
    <row r="858" spans="1:25">
      <c r="A858" t="s">
        <v>2993</v>
      </c>
      <c r="B858" t="s">
        <v>2994</v>
      </c>
      <c r="D858" t="s">
        <v>40</v>
      </c>
      <c r="E858" t="s">
        <v>41</v>
      </c>
      <c r="J858" t="s">
        <v>182</v>
      </c>
      <c r="K858" t="s">
        <v>183</v>
      </c>
      <c r="L858">
        <v>11</v>
      </c>
      <c r="M858" t="s">
        <v>2976</v>
      </c>
      <c r="N858" t="s">
        <v>64</v>
      </c>
      <c r="O858" t="s">
        <v>46</v>
      </c>
      <c r="P858" t="s">
        <v>46</v>
      </c>
      <c r="Y858" t="s">
        <v>2995</v>
      </c>
    </row>
    <row r="859" spans="1:25">
      <c r="A859" t="s">
        <v>2996</v>
      </c>
      <c r="B859" t="s">
        <v>2997</v>
      </c>
      <c r="D859" t="s">
        <v>40</v>
      </c>
      <c r="E859" t="s">
        <v>41</v>
      </c>
      <c r="J859" t="s">
        <v>182</v>
      </c>
      <c r="K859" t="s">
        <v>183</v>
      </c>
      <c r="L859">
        <v>11</v>
      </c>
      <c r="M859" t="s">
        <v>2998</v>
      </c>
      <c r="N859" t="s">
        <v>64</v>
      </c>
      <c r="O859" t="s">
        <v>46</v>
      </c>
      <c r="P859" t="s">
        <v>46</v>
      </c>
      <c r="Y859" t="s">
        <v>2999</v>
      </c>
    </row>
    <row r="860" spans="1:25">
      <c r="A860" t="s">
        <v>3000</v>
      </c>
      <c r="B860" t="s">
        <v>3001</v>
      </c>
      <c r="D860" t="s">
        <v>40</v>
      </c>
      <c r="E860" t="s">
        <v>41</v>
      </c>
      <c r="J860" t="s">
        <v>76</v>
      </c>
      <c r="K860" t="s">
        <v>77</v>
      </c>
      <c r="L860">
        <v>11</v>
      </c>
      <c r="M860" t="s">
        <v>2998</v>
      </c>
      <c r="N860" t="s">
        <v>64</v>
      </c>
      <c r="O860" t="s">
        <v>46</v>
      </c>
      <c r="P860" t="s">
        <v>46</v>
      </c>
      <c r="Y860" t="s">
        <v>3002</v>
      </c>
    </row>
    <row r="861" spans="1:25">
      <c r="A861" t="s">
        <v>3003</v>
      </c>
      <c r="B861" t="s">
        <v>3004</v>
      </c>
      <c r="D861" t="s">
        <v>40</v>
      </c>
      <c r="E861" t="s">
        <v>41</v>
      </c>
      <c r="J861" t="s">
        <v>2619</v>
      </c>
      <c r="K861" t="s">
        <v>140</v>
      </c>
      <c r="L861">
        <v>8</v>
      </c>
      <c r="M861" t="s">
        <v>2998</v>
      </c>
      <c r="N861" t="s">
        <v>2621</v>
      </c>
      <c r="O861" t="s">
        <v>46</v>
      </c>
      <c r="P861" t="s">
        <v>46</v>
      </c>
      <c r="Y861" t="s">
        <v>3005</v>
      </c>
    </row>
    <row r="862" spans="1:25">
      <c r="A862" t="s">
        <v>3006</v>
      </c>
      <c r="B862" t="s">
        <v>3007</v>
      </c>
      <c r="D862" t="s">
        <v>40</v>
      </c>
      <c r="E862" t="s">
        <v>41</v>
      </c>
      <c r="J862" t="s">
        <v>1554</v>
      </c>
      <c r="K862" t="s">
        <v>1555</v>
      </c>
      <c r="L862">
        <v>11</v>
      </c>
      <c r="M862" t="s">
        <v>3008</v>
      </c>
      <c r="N862" t="s">
        <v>1138</v>
      </c>
      <c r="O862" t="s">
        <v>46</v>
      </c>
      <c r="P862" t="s">
        <v>46</v>
      </c>
      <c r="Y862" t="s">
        <v>3009</v>
      </c>
    </row>
    <row r="863" spans="1:25">
      <c r="A863" t="s">
        <v>3010</v>
      </c>
      <c r="B863" t="s">
        <v>3011</v>
      </c>
      <c r="D863" t="s">
        <v>40</v>
      </c>
      <c r="E863" t="s">
        <v>41</v>
      </c>
      <c r="J863" t="s">
        <v>921</v>
      </c>
      <c r="K863" t="s">
        <v>922</v>
      </c>
      <c r="L863">
        <v>12</v>
      </c>
      <c r="M863" t="s">
        <v>3012</v>
      </c>
      <c r="N863" t="s">
        <v>3013</v>
      </c>
      <c r="O863" t="s">
        <v>46</v>
      </c>
      <c r="P863" t="s">
        <v>46</v>
      </c>
      <c r="Y863" t="s">
        <v>3014</v>
      </c>
    </row>
    <row r="864" spans="1:25">
      <c r="A864" t="s">
        <v>3015</v>
      </c>
      <c r="B864" t="s">
        <v>3016</v>
      </c>
      <c r="D864" t="s">
        <v>40</v>
      </c>
      <c r="E864" t="s">
        <v>41</v>
      </c>
      <c r="F864" t="s">
        <v>3017</v>
      </c>
      <c r="G864" t="s">
        <v>3018</v>
      </c>
      <c r="J864" t="s">
        <v>264</v>
      </c>
      <c r="K864" t="s">
        <v>265</v>
      </c>
      <c r="L864">
        <v>9</v>
      </c>
      <c r="M864" t="s">
        <v>3019</v>
      </c>
      <c r="N864" t="s">
        <v>1138</v>
      </c>
      <c r="O864" t="s">
        <v>46</v>
      </c>
      <c r="P864" t="s">
        <v>3020</v>
      </c>
      <c r="Y864" t="s">
        <v>3021</v>
      </c>
    </row>
    <row r="865" spans="1:25">
      <c r="A865" t="s">
        <v>3022</v>
      </c>
      <c r="B865" t="s">
        <v>3023</v>
      </c>
      <c r="D865" t="s">
        <v>40</v>
      </c>
      <c r="E865" t="s">
        <v>41</v>
      </c>
      <c r="J865" t="s">
        <v>76</v>
      </c>
      <c r="K865" t="s">
        <v>77</v>
      </c>
      <c r="L865">
        <v>11</v>
      </c>
      <c r="M865" t="s">
        <v>3024</v>
      </c>
      <c r="N865" t="s">
        <v>64</v>
      </c>
      <c r="O865" t="s">
        <v>46</v>
      </c>
      <c r="P865" t="s">
        <v>46</v>
      </c>
      <c r="Y865" t="s">
        <v>3025</v>
      </c>
    </row>
    <row r="866" spans="1:25">
      <c r="A866" t="s">
        <v>3026</v>
      </c>
      <c r="B866" t="s">
        <v>3027</v>
      </c>
      <c r="D866" t="s">
        <v>40</v>
      </c>
      <c r="E866" t="s">
        <v>41</v>
      </c>
      <c r="J866" t="s">
        <v>182</v>
      </c>
      <c r="K866" t="s">
        <v>183</v>
      </c>
      <c r="L866">
        <v>11</v>
      </c>
      <c r="M866" t="s">
        <v>3024</v>
      </c>
      <c r="N866" t="s">
        <v>64</v>
      </c>
      <c r="O866" t="s">
        <v>46</v>
      </c>
      <c r="P866" t="s">
        <v>46</v>
      </c>
      <c r="Y866" t="s">
        <v>3028</v>
      </c>
    </row>
    <row r="867" spans="1:25">
      <c r="A867" t="s">
        <v>3029</v>
      </c>
      <c r="B867" t="s">
        <v>3030</v>
      </c>
      <c r="D867" t="s">
        <v>40</v>
      </c>
      <c r="E867" t="s">
        <v>41</v>
      </c>
      <c r="J867" t="s">
        <v>1114</v>
      </c>
      <c r="K867" t="s">
        <v>1115</v>
      </c>
      <c r="L867">
        <v>11</v>
      </c>
      <c r="M867" t="s">
        <v>3024</v>
      </c>
      <c r="N867" t="s">
        <v>296</v>
      </c>
      <c r="O867" t="s">
        <v>46</v>
      </c>
      <c r="P867" t="s">
        <v>46</v>
      </c>
      <c r="Y867" t="s">
        <v>3031</v>
      </c>
    </row>
    <row r="868" spans="1:25">
      <c r="A868" t="s">
        <v>3032</v>
      </c>
      <c r="B868" t="s">
        <v>3033</v>
      </c>
      <c r="D868" t="s">
        <v>40</v>
      </c>
      <c r="E868" t="s">
        <v>41</v>
      </c>
      <c r="J868" t="s">
        <v>42</v>
      </c>
      <c r="K868" t="s">
        <v>43</v>
      </c>
      <c r="L868">
        <v>11</v>
      </c>
      <c r="M868" t="s">
        <v>3024</v>
      </c>
      <c r="N868" t="s">
        <v>165</v>
      </c>
      <c r="O868" t="s">
        <v>46</v>
      </c>
      <c r="P868" t="s">
        <v>46</v>
      </c>
      <c r="Y868" t="s">
        <v>3034</v>
      </c>
    </row>
    <row r="869" spans="1:25">
      <c r="A869" t="s">
        <v>3035</v>
      </c>
      <c r="B869" t="s">
        <v>3036</v>
      </c>
      <c r="D869" t="s">
        <v>40</v>
      </c>
      <c r="E869" t="s">
        <v>41</v>
      </c>
      <c r="J869" t="s">
        <v>68</v>
      </c>
      <c r="K869" t="s">
        <v>69</v>
      </c>
      <c r="L869">
        <v>11</v>
      </c>
      <c r="M869" t="s">
        <v>3037</v>
      </c>
      <c r="N869" t="s">
        <v>64</v>
      </c>
      <c r="O869" t="s">
        <v>46</v>
      </c>
      <c r="P869" t="s">
        <v>46</v>
      </c>
      <c r="Y869" t="s">
        <v>3038</v>
      </c>
    </row>
    <row r="870" spans="1:25">
      <c r="A870" t="s">
        <v>3039</v>
      </c>
      <c r="B870" t="s">
        <v>3040</v>
      </c>
      <c r="D870" t="s">
        <v>40</v>
      </c>
      <c r="E870" t="s">
        <v>41</v>
      </c>
      <c r="J870" t="s">
        <v>248</v>
      </c>
      <c r="K870" t="s">
        <v>249</v>
      </c>
      <c r="L870">
        <v>11</v>
      </c>
      <c r="M870" t="s">
        <v>3041</v>
      </c>
      <c r="N870" t="s">
        <v>373</v>
      </c>
      <c r="O870" t="s">
        <v>46</v>
      </c>
      <c r="P870" t="s">
        <v>46</v>
      </c>
      <c r="Y870" t="s">
        <v>3042</v>
      </c>
    </row>
    <row r="871" spans="1:25">
      <c r="A871" t="s">
        <v>3043</v>
      </c>
      <c r="B871" t="s">
        <v>3044</v>
      </c>
      <c r="D871" t="s">
        <v>40</v>
      </c>
      <c r="E871" t="s">
        <v>41</v>
      </c>
      <c r="J871" t="s">
        <v>76</v>
      </c>
      <c r="K871" t="s">
        <v>77</v>
      </c>
      <c r="L871">
        <v>11</v>
      </c>
      <c r="M871" t="s">
        <v>3041</v>
      </c>
      <c r="N871" t="s">
        <v>64</v>
      </c>
      <c r="O871" t="s">
        <v>46</v>
      </c>
      <c r="P871" t="s">
        <v>46</v>
      </c>
      <c r="Y871" t="s">
        <v>3045</v>
      </c>
    </row>
    <row r="872" spans="1:25">
      <c r="A872" t="s">
        <v>3046</v>
      </c>
      <c r="B872" t="s">
        <v>3047</v>
      </c>
      <c r="D872" t="s">
        <v>40</v>
      </c>
      <c r="E872" t="s">
        <v>41</v>
      </c>
      <c r="J872" t="s">
        <v>42</v>
      </c>
      <c r="K872" t="s">
        <v>43</v>
      </c>
      <c r="L872">
        <v>11</v>
      </c>
      <c r="M872" t="s">
        <v>3041</v>
      </c>
      <c r="N872" t="s">
        <v>310</v>
      </c>
      <c r="O872" t="s">
        <v>46</v>
      </c>
      <c r="P872" t="s">
        <v>46</v>
      </c>
      <c r="Y872" t="s">
        <v>3048</v>
      </c>
    </row>
    <row r="873" spans="1:25">
      <c r="A873" t="s">
        <v>3049</v>
      </c>
      <c r="B873" t="s">
        <v>3050</v>
      </c>
      <c r="D873" t="s">
        <v>40</v>
      </c>
      <c r="E873" t="s">
        <v>41</v>
      </c>
      <c r="J873" t="s">
        <v>68</v>
      </c>
      <c r="K873" t="s">
        <v>69</v>
      </c>
      <c r="L873">
        <v>11</v>
      </c>
      <c r="M873" t="s">
        <v>3041</v>
      </c>
      <c r="N873" t="s">
        <v>64</v>
      </c>
      <c r="O873" t="s">
        <v>46</v>
      </c>
      <c r="P873" t="s">
        <v>46</v>
      </c>
      <c r="Y873" t="s">
        <v>3051</v>
      </c>
    </row>
    <row r="874" spans="1:25">
      <c r="A874" t="s">
        <v>3052</v>
      </c>
      <c r="B874" t="s">
        <v>3053</v>
      </c>
      <c r="D874" t="s">
        <v>40</v>
      </c>
      <c r="E874" t="s">
        <v>41</v>
      </c>
      <c r="J874" t="s">
        <v>76</v>
      </c>
      <c r="K874" t="s">
        <v>77</v>
      </c>
      <c r="L874">
        <v>11</v>
      </c>
      <c r="M874" t="s">
        <v>3054</v>
      </c>
      <c r="N874" t="s">
        <v>64</v>
      </c>
      <c r="O874" t="s">
        <v>46</v>
      </c>
      <c r="P874" t="s">
        <v>46</v>
      </c>
      <c r="Y874" t="s">
        <v>3055</v>
      </c>
    </row>
    <row r="875" spans="1:25">
      <c r="A875" t="s">
        <v>3056</v>
      </c>
      <c r="B875" t="s">
        <v>3057</v>
      </c>
      <c r="D875" t="s">
        <v>40</v>
      </c>
      <c r="E875" t="s">
        <v>41</v>
      </c>
      <c r="J875" t="s">
        <v>182</v>
      </c>
      <c r="K875" t="s">
        <v>183</v>
      </c>
      <c r="L875">
        <v>11</v>
      </c>
      <c r="M875" t="s">
        <v>3054</v>
      </c>
      <c r="N875" t="s">
        <v>64</v>
      </c>
      <c r="O875" t="s">
        <v>46</v>
      </c>
      <c r="P875" t="s">
        <v>46</v>
      </c>
      <c r="Y875" t="s">
        <v>3058</v>
      </c>
    </row>
    <row r="876" spans="1:25">
      <c r="A876" t="s">
        <v>3059</v>
      </c>
      <c r="B876" t="s">
        <v>3060</v>
      </c>
      <c r="D876" t="s">
        <v>40</v>
      </c>
      <c r="E876" t="s">
        <v>41</v>
      </c>
      <c r="J876" t="s">
        <v>76</v>
      </c>
      <c r="K876" t="s">
        <v>77</v>
      </c>
      <c r="L876">
        <v>11</v>
      </c>
      <c r="M876" t="s">
        <v>3054</v>
      </c>
      <c r="N876" t="s">
        <v>64</v>
      </c>
      <c r="O876" t="s">
        <v>46</v>
      </c>
      <c r="P876" t="s">
        <v>46</v>
      </c>
      <c r="Y876" t="s">
        <v>3061</v>
      </c>
    </row>
    <row r="877" spans="1:25">
      <c r="A877" t="s">
        <v>3062</v>
      </c>
      <c r="B877" t="s">
        <v>3063</v>
      </c>
      <c r="D877" t="s">
        <v>40</v>
      </c>
      <c r="E877" t="s">
        <v>41</v>
      </c>
      <c r="J877" t="s">
        <v>76</v>
      </c>
      <c r="K877" t="s">
        <v>77</v>
      </c>
      <c r="L877">
        <v>11</v>
      </c>
      <c r="M877" t="s">
        <v>3054</v>
      </c>
      <c r="N877" t="s">
        <v>64</v>
      </c>
      <c r="O877" t="s">
        <v>46</v>
      </c>
      <c r="P877" t="s">
        <v>46</v>
      </c>
      <c r="Y877" t="s">
        <v>3064</v>
      </c>
    </row>
    <row r="878" spans="1:25">
      <c r="A878" t="s">
        <v>3065</v>
      </c>
      <c r="B878" t="s">
        <v>3066</v>
      </c>
      <c r="D878" t="s">
        <v>40</v>
      </c>
      <c r="E878" t="s">
        <v>41</v>
      </c>
      <c r="J878" t="s">
        <v>68</v>
      </c>
      <c r="K878" t="s">
        <v>69</v>
      </c>
      <c r="L878">
        <v>11</v>
      </c>
      <c r="M878" t="s">
        <v>3054</v>
      </c>
      <c r="N878" t="s">
        <v>64</v>
      </c>
      <c r="O878" t="s">
        <v>46</v>
      </c>
      <c r="P878" t="s">
        <v>46</v>
      </c>
      <c r="Y878" t="s">
        <v>3067</v>
      </c>
    </row>
    <row r="879" spans="1:25">
      <c r="A879" t="s">
        <v>3068</v>
      </c>
      <c r="B879" t="s">
        <v>3069</v>
      </c>
      <c r="D879" t="s">
        <v>40</v>
      </c>
      <c r="E879" t="s">
        <v>41</v>
      </c>
      <c r="J879" t="s">
        <v>182</v>
      </c>
      <c r="K879" t="s">
        <v>183</v>
      </c>
      <c r="L879">
        <v>11</v>
      </c>
      <c r="M879" t="s">
        <v>3054</v>
      </c>
      <c r="N879" t="s">
        <v>64</v>
      </c>
      <c r="O879" t="s">
        <v>46</v>
      </c>
      <c r="P879" t="s">
        <v>46</v>
      </c>
      <c r="Y879" t="s">
        <v>3070</v>
      </c>
    </row>
    <row r="880" spans="1:25">
      <c r="A880" t="s">
        <v>3071</v>
      </c>
      <c r="B880" t="s">
        <v>3072</v>
      </c>
      <c r="D880" t="s">
        <v>40</v>
      </c>
      <c r="E880" t="s">
        <v>41</v>
      </c>
      <c r="J880" t="s">
        <v>62</v>
      </c>
      <c r="K880" t="s">
        <v>63</v>
      </c>
      <c r="L880">
        <v>11</v>
      </c>
      <c r="M880" t="s">
        <v>3054</v>
      </c>
      <c r="N880" t="s">
        <v>64</v>
      </c>
      <c r="O880" t="s">
        <v>46</v>
      </c>
      <c r="P880" t="s">
        <v>46</v>
      </c>
      <c r="Y880" t="s">
        <v>3073</v>
      </c>
    </row>
    <row r="881" spans="1:25">
      <c r="A881" t="s">
        <v>3074</v>
      </c>
      <c r="B881" t="s">
        <v>3075</v>
      </c>
      <c r="D881" t="s">
        <v>40</v>
      </c>
      <c r="E881" t="s">
        <v>41</v>
      </c>
      <c r="J881" t="s">
        <v>182</v>
      </c>
      <c r="K881" t="s">
        <v>183</v>
      </c>
      <c r="L881">
        <v>11</v>
      </c>
      <c r="M881" t="s">
        <v>3054</v>
      </c>
      <c r="N881" t="s">
        <v>64</v>
      </c>
      <c r="O881" t="s">
        <v>46</v>
      </c>
      <c r="P881" t="s">
        <v>46</v>
      </c>
      <c r="Y881" t="s">
        <v>3076</v>
      </c>
    </row>
    <row r="882" spans="1:25">
      <c r="A882" t="s">
        <v>3077</v>
      </c>
      <c r="B882" t="s">
        <v>3078</v>
      </c>
      <c r="D882" t="s">
        <v>40</v>
      </c>
      <c r="E882" t="s">
        <v>41</v>
      </c>
      <c r="J882" t="s">
        <v>68</v>
      </c>
      <c r="K882" t="s">
        <v>69</v>
      </c>
      <c r="L882">
        <v>11</v>
      </c>
      <c r="M882" t="s">
        <v>3054</v>
      </c>
      <c r="N882" t="s">
        <v>64</v>
      </c>
      <c r="O882" t="s">
        <v>46</v>
      </c>
      <c r="P882" t="s">
        <v>46</v>
      </c>
      <c r="Y882" t="s">
        <v>3079</v>
      </c>
    </row>
    <row r="883" spans="1:25">
      <c r="A883" t="s">
        <v>3080</v>
      </c>
      <c r="B883" t="s">
        <v>3081</v>
      </c>
      <c r="D883" t="s">
        <v>40</v>
      </c>
      <c r="E883" t="s">
        <v>41</v>
      </c>
      <c r="J883" t="s">
        <v>68</v>
      </c>
      <c r="K883" t="s">
        <v>69</v>
      </c>
      <c r="L883">
        <v>11</v>
      </c>
      <c r="M883" t="s">
        <v>3082</v>
      </c>
      <c r="N883" t="s">
        <v>64</v>
      </c>
      <c r="O883" t="s">
        <v>46</v>
      </c>
      <c r="P883" t="s">
        <v>46</v>
      </c>
      <c r="Y883" t="s">
        <v>3083</v>
      </c>
    </row>
    <row r="884" spans="1:25">
      <c r="A884" t="s">
        <v>3084</v>
      </c>
      <c r="B884" t="s">
        <v>3085</v>
      </c>
      <c r="D884" t="s">
        <v>40</v>
      </c>
      <c r="E884" t="s">
        <v>41</v>
      </c>
      <c r="J884" t="s">
        <v>182</v>
      </c>
      <c r="K884" t="s">
        <v>183</v>
      </c>
      <c r="L884">
        <v>11</v>
      </c>
      <c r="M884" t="s">
        <v>3082</v>
      </c>
      <c r="N884" t="s">
        <v>64</v>
      </c>
      <c r="O884" t="s">
        <v>46</v>
      </c>
      <c r="P884" t="s">
        <v>46</v>
      </c>
      <c r="Y884" t="s">
        <v>3086</v>
      </c>
    </row>
    <row r="885" spans="1:25">
      <c r="A885" t="s">
        <v>3087</v>
      </c>
      <c r="B885" t="s">
        <v>3088</v>
      </c>
      <c r="D885" t="s">
        <v>40</v>
      </c>
      <c r="E885" t="s">
        <v>41</v>
      </c>
      <c r="J885" t="s">
        <v>1214</v>
      </c>
      <c r="K885" t="s">
        <v>1215</v>
      </c>
      <c r="L885">
        <v>11</v>
      </c>
      <c r="M885" t="s">
        <v>3082</v>
      </c>
      <c r="N885" t="s">
        <v>1550</v>
      </c>
      <c r="O885" t="s">
        <v>46</v>
      </c>
      <c r="P885" t="s">
        <v>46</v>
      </c>
      <c r="Y885" t="s">
        <v>3089</v>
      </c>
    </row>
    <row r="886" spans="1:25">
      <c r="A886" t="s">
        <v>3090</v>
      </c>
      <c r="B886" t="s">
        <v>3091</v>
      </c>
      <c r="D886" t="s">
        <v>40</v>
      </c>
      <c r="E886" t="s">
        <v>41</v>
      </c>
      <c r="J886" t="s">
        <v>182</v>
      </c>
      <c r="K886" t="s">
        <v>183</v>
      </c>
      <c r="L886">
        <v>11</v>
      </c>
      <c r="M886" t="s">
        <v>3082</v>
      </c>
      <c r="N886" t="s">
        <v>64</v>
      </c>
      <c r="O886" t="s">
        <v>46</v>
      </c>
      <c r="P886" t="s">
        <v>46</v>
      </c>
      <c r="Y886" t="s">
        <v>3092</v>
      </c>
    </row>
    <row r="887" spans="1:25">
      <c r="A887" t="s">
        <v>3093</v>
      </c>
      <c r="B887" t="s">
        <v>3094</v>
      </c>
      <c r="D887" t="s">
        <v>40</v>
      </c>
      <c r="E887" t="s">
        <v>41</v>
      </c>
      <c r="J887" t="s">
        <v>76</v>
      </c>
      <c r="K887" t="s">
        <v>77</v>
      </c>
      <c r="L887">
        <v>11</v>
      </c>
      <c r="M887" t="s">
        <v>3082</v>
      </c>
      <c r="N887" t="s">
        <v>64</v>
      </c>
      <c r="O887" t="s">
        <v>46</v>
      </c>
      <c r="P887" t="s">
        <v>46</v>
      </c>
      <c r="Y887" t="s">
        <v>3095</v>
      </c>
    </row>
    <row r="888" spans="1:25">
      <c r="A888" t="s">
        <v>3096</v>
      </c>
      <c r="B888" t="s">
        <v>3097</v>
      </c>
      <c r="D888" t="s">
        <v>40</v>
      </c>
      <c r="E888" t="s">
        <v>41</v>
      </c>
      <c r="F888" t="s">
        <v>3098</v>
      </c>
      <c r="J888" t="s">
        <v>76</v>
      </c>
      <c r="K888" t="s">
        <v>77</v>
      </c>
      <c r="L888">
        <v>11</v>
      </c>
      <c r="M888" t="s">
        <v>3082</v>
      </c>
      <c r="N888" t="s">
        <v>64</v>
      </c>
      <c r="O888" t="s">
        <v>46</v>
      </c>
      <c r="P888" t="s">
        <v>3099</v>
      </c>
      <c r="Y888" t="s">
        <v>3100</v>
      </c>
    </row>
    <row r="889" spans="1:25">
      <c r="A889" t="s">
        <v>3101</v>
      </c>
      <c r="B889" t="s">
        <v>3102</v>
      </c>
      <c r="D889" t="s">
        <v>40</v>
      </c>
      <c r="E889" t="s">
        <v>41</v>
      </c>
      <c r="J889" t="s">
        <v>68</v>
      </c>
      <c r="K889" t="s">
        <v>69</v>
      </c>
      <c r="L889">
        <v>11</v>
      </c>
      <c r="M889" t="s">
        <v>3082</v>
      </c>
      <c r="N889" t="s">
        <v>64</v>
      </c>
      <c r="O889" t="s">
        <v>46</v>
      </c>
      <c r="P889" t="s">
        <v>46</v>
      </c>
      <c r="Y889" t="s">
        <v>3103</v>
      </c>
    </row>
    <row r="890" spans="1:25">
      <c r="A890" t="s">
        <v>3104</v>
      </c>
      <c r="B890" t="s">
        <v>3105</v>
      </c>
      <c r="D890" t="s">
        <v>40</v>
      </c>
      <c r="E890" t="s">
        <v>41</v>
      </c>
      <c r="J890" t="s">
        <v>76</v>
      </c>
      <c r="K890" t="s">
        <v>77</v>
      </c>
      <c r="L890">
        <v>11</v>
      </c>
      <c r="M890" t="s">
        <v>3106</v>
      </c>
      <c r="N890" t="s">
        <v>64</v>
      </c>
      <c r="O890" t="s">
        <v>46</v>
      </c>
      <c r="P890" t="s">
        <v>46</v>
      </c>
      <c r="Y890" t="s">
        <v>3107</v>
      </c>
    </row>
    <row r="891" spans="1:25">
      <c r="A891" t="s">
        <v>3108</v>
      </c>
      <c r="B891" t="s">
        <v>3109</v>
      </c>
      <c r="D891" t="s">
        <v>40</v>
      </c>
      <c r="E891" t="s">
        <v>41</v>
      </c>
      <c r="J891" t="s">
        <v>76</v>
      </c>
      <c r="K891" t="s">
        <v>77</v>
      </c>
      <c r="L891">
        <v>11</v>
      </c>
      <c r="M891" t="s">
        <v>3106</v>
      </c>
      <c r="N891" t="s">
        <v>64</v>
      </c>
      <c r="O891" t="s">
        <v>46</v>
      </c>
      <c r="P891" t="s">
        <v>46</v>
      </c>
      <c r="Y891" t="s">
        <v>3110</v>
      </c>
    </row>
    <row r="892" spans="1:25">
      <c r="A892" t="s">
        <v>3111</v>
      </c>
      <c r="B892" t="s">
        <v>3112</v>
      </c>
      <c r="D892" t="s">
        <v>40</v>
      </c>
      <c r="E892" t="s">
        <v>41</v>
      </c>
      <c r="J892" t="s">
        <v>68</v>
      </c>
      <c r="K892" t="s">
        <v>69</v>
      </c>
      <c r="L892">
        <v>11</v>
      </c>
      <c r="M892" t="s">
        <v>3106</v>
      </c>
      <c r="N892" t="s">
        <v>64</v>
      </c>
      <c r="O892" t="s">
        <v>46</v>
      </c>
      <c r="P892" t="s">
        <v>46</v>
      </c>
      <c r="Y892" t="s">
        <v>3113</v>
      </c>
    </row>
    <row r="893" spans="1:25">
      <c r="A893" t="s">
        <v>3114</v>
      </c>
      <c r="B893" t="s">
        <v>3115</v>
      </c>
      <c r="D893" t="s">
        <v>40</v>
      </c>
      <c r="E893" t="s">
        <v>41</v>
      </c>
      <c r="J893" t="s">
        <v>182</v>
      </c>
      <c r="K893" t="s">
        <v>183</v>
      </c>
      <c r="L893">
        <v>11</v>
      </c>
      <c r="M893" t="s">
        <v>3106</v>
      </c>
      <c r="N893" t="s">
        <v>64</v>
      </c>
      <c r="O893" t="s">
        <v>46</v>
      </c>
      <c r="P893" t="s">
        <v>46</v>
      </c>
      <c r="Y893" t="s">
        <v>3116</v>
      </c>
    </row>
    <row r="894" spans="1:25">
      <c r="A894" t="s">
        <v>3117</v>
      </c>
      <c r="B894" t="s">
        <v>3118</v>
      </c>
      <c r="D894" t="s">
        <v>40</v>
      </c>
      <c r="E894" t="s">
        <v>41</v>
      </c>
      <c r="J894" t="s">
        <v>182</v>
      </c>
      <c r="K894" t="s">
        <v>183</v>
      </c>
      <c r="L894">
        <v>11</v>
      </c>
      <c r="M894" t="s">
        <v>3106</v>
      </c>
      <c r="N894" t="s">
        <v>64</v>
      </c>
      <c r="O894" t="s">
        <v>46</v>
      </c>
      <c r="P894" t="s">
        <v>46</v>
      </c>
      <c r="Y894" t="s">
        <v>3119</v>
      </c>
    </row>
    <row r="895" spans="1:25">
      <c r="A895" t="s">
        <v>3120</v>
      </c>
      <c r="B895" t="s">
        <v>3121</v>
      </c>
      <c r="D895" t="s">
        <v>40</v>
      </c>
      <c r="E895" t="s">
        <v>41</v>
      </c>
      <c r="J895" t="s">
        <v>68</v>
      </c>
      <c r="K895" t="s">
        <v>69</v>
      </c>
      <c r="L895">
        <v>11</v>
      </c>
      <c r="M895" t="s">
        <v>3106</v>
      </c>
      <c r="N895" t="s">
        <v>64</v>
      </c>
      <c r="O895" t="s">
        <v>46</v>
      </c>
      <c r="P895" t="s">
        <v>46</v>
      </c>
      <c r="Y895" t="s">
        <v>3122</v>
      </c>
    </row>
    <row r="896" spans="1:25">
      <c r="A896" t="s">
        <v>3123</v>
      </c>
      <c r="B896" t="s">
        <v>3124</v>
      </c>
      <c r="D896" t="s">
        <v>40</v>
      </c>
      <c r="E896" t="s">
        <v>41</v>
      </c>
      <c r="J896" t="s">
        <v>68</v>
      </c>
      <c r="K896" t="s">
        <v>69</v>
      </c>
      <c r="L896">
        <v>11</v>
      </c>
      <c r="M896" t="s">
        <v>3125</v>
      </c>
      <c r="N896" t="s">
        <v>64</v>
      </c>
      <c r="O896" t="s">
        <v>46</v>
      </c>
      <c r="P896" t="s">
        <v>46</v>
      </c>
      <c r="Y896" t="s">
        <v>3126</v>
      </c>
    </row>
    <row r="897" spans="1:25">
      <c r="A897" t="s">
        <v>3127</v>
      </c>
      <c r="B897" t="s">
        <v>3128</v>
      </c>
      <c r="D897" t="s">
        <v>40</v>
      </c>
      <c r="E897" t="s">
        <v>41</v>
      </c>
      <c r="J897" t="s">
        <v>42</v>
      </c>
      <c r="K897" t="s">
        <v>43</v>
      </c>
      <c r="L897">
        <v>11</v>
      </c>
      <c r="M897" t="s">
        <v>3125</v>
      </c>
      <c r="N897" t="s">
        <v>53</v>
      </c>
      <c r="O897" t="s">
        <v>46</v>
      </c>
      <c r="P897" t="s">
        <v>46</v>
      </c>
      <c r="Y897" t="s">
        <v>3129</v>
      </c>
    </row>
    <row r="898" spans="1:25">
      <c r="A898" t="s">
        <v>3130</v>
      </c>
      <c r="B898" t="s">
        <v>3131</v>
      </c>
      <c r="D898" t="s">
        <v>40</v>
      </c>
      <c r="E898" t="s">
        <v>41</v>
      </c>
      <c r="J898" t="s">
        <v>76</v>
      </c>
      <c r="K898" t="s">
        <v>77</v>
      </c>
      <c r="L898">
        <v>11</v>
      </c>
      <c r="M898" t="s">
        <v>3125</v>
      </c>
      <c r="N898" t="s">
        <v>64</v>
      </c>
      <c r="O898" t="s">
        <v>46</v>
      </c>
      <c r="P898" t="s">
        <v>46</v>
      </c>
      <c r="Y898" t="s">
        <v>3132</v>
      </c>
    </row>
    <row r="899" spans="1:25">
      <c r="A899" t="s">
        <v>3133</v>
      </c>
      <c r="B899" t="s">
        <v>3134</v>
      </c>
      <c r="D899" t="s">
        <v>40</v>
      </c>
      <c r="E899" t="s">
        <v>41</v>
      </c>
      <c r="J899" t="s">
        <v>76</v>
      </c>
      <c r="K899" t="s">
        <v>77</v>
      </c>
      <c r="L899">
        <v>11</v>
      </c>
      <c r="M899" t="s">
        <v>3125</v>
      </c>
      <c r="N899" t="s">
        <v>64</v>
      </c>
      <c r="O899" t="s">
        <v>46</v>
      </c>
      <c r="P899" t="s">
        <v>46</v>
      </c>
      <c r="Y899" t="s">
        <v>3135</v>
      </c>
    </row>
    <row r="900" spans="1:25">
      <c r="A900" t="s">
        <v>3136</v>
      </c>
      <c r="B900" t="s">
        <v>3137</v>
      </c>
      <c r="D900" t="s">
        <v>40</v>
      </c>
      <c r="E900" t="s">
        <v>41</v>
      </c>
      <c r="J900" t="s">
        <v>1338</v>
      </c>
      <c r="K900" t="s">
        <v>1339</v>
      </c>
      <c r="L900">
        <v>11</v>
      </c>
      <c r="M900" t="s">
        <v>3138</v>
      </c>
      <c r="N900" t="s">
        <v>924</v>
      </c>
      <c r="O900" t="s">
        <v>46</v>
      </c>
      <c r="P900" t="s">
        <v>46</v>
      </c>
      <c r="Y900" t="s">
        <v>3139</v>
      </c>
    </row>
    <row r="901" spans="1:25">
      <c r="A901" t="s">
        <v>3140</v>
      </c>
      <c r="B901" t="s">
        <v>3141</v>
      </c>
      <c r="D901" t="s">
        <v>40</v>
      </c>
      <c r="E901" t="s">
        <v>41</v>
      </c>
      <c r="J901" t="s">
        <v>68</v>
      </c>
      <c r="K901" t="s">
        <v>69</v>
      </c>
      <c r="L901">
        <v>11</v>
      </c>
      <c r="M901" t="s">
        <v>3138</v>
      </c>
      <c r="N901" t="s">
        <v>64</v>
      </c>
      <c r="O901" t="s">
        <v>46</v>
      </c>
      <c r="P901" t="s">
        <v>46</v>
      </c>
      <c r="Y901" t="s">
        <v>3142</v>
      </c>
    </row>
    <row r="902" spans="1:25">
      <c r="A902" t="s">
        <v>3143</v>
      </c>
      <c r="B902" t="s">
        <v>3144</v>
      </c>
      <c r="D902" t="s">
        <v>40</v>
      </c>
      <c r="E902" t="s">
        <v>41</v>
      </c>
      <c r="J902" t="s">
        <v>68</v>
      </c>
      <c r="K902" t="s">
        <v>69</v>
      </c>
      <c r="L902">
        <v>11</v>
      </c>
      <c r="M902" t="s">
        <v>3138</v>
      </c>
      <c r="N902" t="s">
        <v>64</v>
      </c>
      <c r="O902" t="s">
        <v>46</v>
      </c>
      <c r="P902" t="s">
        <v>46</v>
      </c>
      <c r="Y902" t="s">
        <v>3145</v>
      </c>
    </row>
    <row r="903" spans="1:25">
      <c r="A903" t="s">
        <v>3146</v>
      </c>
      <c r="B903" t="s">
        <v>3147</v>
      </c>
      <c r="D903" t="s">
        <v>40</v>
      </c>
      <c r="E903" t="s">
        <v>41</v>
      </c>
      <c r="J903" t="s">
        <v>62</v>
      </c>
      <c r="K903" t="s">
        <v>63</v>
      </c>
      <c r="L903">
        <v>11</v>
      </c>
      <c r="M903" t="s">
        <v>3138</v>
      </c>
      <c r="N903" t="s">
        <v>64</v>
      </c>
      <c r="O903" t="s">
        <v>46</v>
      </c>
      <c r="P903" t="s">
        <v>46</v>
      </c>
      <c r="Y903" t="s">
        <v>3148</v>
      </c>
    </row>
    <row r="904" spans="1:25">
      <c r="A904" t="s">
        <v>3149</v>
      </c>
      <c r="B904" t="s">
        <v>3150</v>
      </c>
      <c r="D904" t="s">
        <v>40</v>
      </c>
      <c r="E904" t="s">
        <v>41</v>
      </c>
      <c r="J904" t="s">
        <v>182</v>
      </c>
      <c r="K904" t="s">
        <v>183</v>
      </c>
      <c r="L904">
        <v>11</v>
      </c>
      <c r="M904" t="s">
        <v>3138</v>
      </c>
      <c r="N904" t="s">
        <v>64</v>
      </c>
      <c r="O904" t="s">
        <v>46</v>
      </c>
      <c r="P904" t="s">
        <v>46</v>
      </c>
      <c r="Y904" t="s">
        <v>3151</v>
      </c>
    </row>
    <row r="905" spans="1:25">
      <c r="A905" t="s">
        <v>3152</v>
      </c>
      <c r="B905" t="s">
        <v>3153</v>
      </c>
      <c r="D905" t="s">
        <v>40</v>
      </c>
      <c r="E905" t="s">
        <v>41</v>
      </c>
      <c r="J905" t="s">
        <v>182</v>
      </c>
      <c r="K905" t="s">
        <v>183</v>
      </c>
      <c r="L905">
        <v>11</v>
      </c>
      <c r="M905" t="s">
        <v>3154</v>
      </c>
      <c r="N905" t="s">
        <v>64</v>
      </c>
      <c r="O905" t="s">
        <v>46</v>
      </c>
      <c r="P905" t="s">
        <v>46</v>
      </c>
      <c r="Y905" t="s">
        <v>3155</v>
      </c>
    </row>
    <row r="906" spans="1:25">
      <c r="A906" t="s">
        <v>3156</v>
      </c>
      <c r="B906" t="s">
        <v>3157</v>
      </c>
      <c r="D906" t="s">
        <v>40</v>
      </c>
      <c r="E906" t="s">
        <v>41</v>
      </c>
      <c r="J906" t="s">
        <v>264</v>
      </c>
      <c r="K906" t="s">
        <v>265</v>
      </c>
      <c r="L906">
        <v>11</v>
      </c>
      <c r="M906" t="s">
        <v>3154</v>
      </c>
      <c r="N906" t="s">
        <v>1478</v>
      </c>
      <c r="O906" t="s">
        <v>46</v>
      </c>
      <c r="P906" t="s">
        <v>46</v>
      </c>
      <c r="Y906" t="s">
        <v>3158</v>
      </c>
    </row>
    <row r="907" spans="1:25">
      <c r="A907" t="s">
        <v>3159</v>
      </c>
      <c r="B907" t="s">
        <v>3160</v>
      </c>
      <c r="D907" t="s">
        <v>40</v>
      </c>
      <c r="E907" t="s">
        <v>41</v>
      </c>
      <c r="J907" t="s">
        <v>182</v>
      </c>
      <c r="K907" t="s">
        <v>183</v>
      </c>
      <c r="L907">
        <v>11</v>
      </c>
      <c r="M907" t="s">
        <v>3161</v>
      </c>
      <c r="N907" t="s">
        <v>64</v>
      </c>
      <c r="O907" t="s">
        <v>46</v>
      </c>
      <c r="P907" t="s">
        <v>46</v>
      </c>
      <c r="Y907" t="s">
        <v>3162</v>
      </c>
    </row>
    <row r="908" spans="1:25">
      <c r="A908" t="s">
        <v>3163</v>
      </c>
      <c r="B908" t="s">
        <v>3164</v>
      </c>
      <c r="D908" t="s">
        <v>40</v>
      </c>
      <c r="E908" t="s">
        <v>41</v>
      </c>
      <c r="J908" t="s">
        <v>182</v>
      </c>
      <c r="K908" t="s">
        <v>183</v>
      </c>
      <c r="L908">
        <v>11</v>
      </c>
      <c r="M908" t="s">
        <v>3161</v>
      </c>
      <c r="N908" t="s">
        <v>64</v>
      </c>
      <c r="O908" t="s">
        <v>46</v>
      </c>
      <c r="P908" t="s">
        <v>46</v>
      </c>
      <c r="Y908" t="s">
        <v>3165</v>
      </c>
    </row>
    <row r="909" spans="1:25">
      <c r="A909" t="s">
        <v>3166</v>
      </c>
      <c r="B909" t="s">
        <v>3167</v>
      </c>
      <c r="D909" t="s">
        <v>40</v>
      </c>
      <c r="E909" t="s">
        <v>41</v>
      </c>
      <c r="J909" t="s">
        <v>68</v>
      </c>
      <c r="K909" t="s">
        <v>69</v>
      </c>
      <c r="L909">
        <v>11</v>
      </c>
      <c r="M909" t="s">
        <v>3161</v>
      </c>
      <c r="N909" t="s">
        <v>64</v>
      </c>
      <c r="O909" t="s">
        <v>46</v>
      </c>
      <c r="P909" t="s">
        <v>46</v>
      </c>
      <c r="Y909" t="s">
        <v>3168</v>
      </c>
    </row>
    <row r="910" spans="1:25">
      <c r="A910" t="s">
        <v>3169</v>
      </c>
      <c r="B910" t="s">
        <v>3170</v>
      </c>
      <c r="D910" t="s">
        <v>40</v>
      </c>
      <c r="E910" t="s">
        <v>41</v>
      </c>
      <c r="J910" t="s">
        <v>42</v>
      </c>
      <c r="K910" t="s">
        <v>43</v>
      </c>
      <c r="L910">
        <v>11</v>
      </c>
      <c r="M910" t="s">
        <v>3171</v>
      </c>
      <c r="N910" t="s">
        <v>178</v>
      </c>
      <c r="O910" t="s">
        <v>46</v>
      </c>
      <c r="P910" t="s">
        <v>46</v>
      </c>
      <c r="Y910" t="s">
        <v>3172</v>
      </c>
    </row>
    <row r="911" spans="1:25">
      <c r="A911" t="s">
        <v>3173</v>
      </c>
      <c r="B911" t="s">
        <v>3174</v>
      </c>
      <c r="D911" t="s">
        <v>40</v>
      </c>
      <c r="E911" t="s">
        <v>41</v>
      </c>
      <c r="J911" t="s">
        <v>182</v>
      </c>
      <c r="K911" t="s">
        <v>183</v>
      </c>
      <c r="L911">
        <v>11</v>
      </c>
      <c r="M911" t="s">
        <v>3171</v>
      </c>
      <c r="N911" t="s">
        <v>64</v>
      </c>
      <c r="O911" t="s">
        <v>46</v>
      </c>
      <c r="P911" t="s">
        <v>46</v>
      </c>
      <c r="Y911" t="s">
        <v>3175</v>
      </c>
    </row>
    <row r="912" spans="1:25">
      <c r="A912" t="s">
        <v>3176</v>
      </c>
      <c r="B912" t="s">
        <v>3177</v>
      </c>
      <c r="D912" t="s">
        <v>40</v>
      </c>
      <c r="E912" t="s">
        <v>41</v>
      </c>
      <c r="J912" t="s">
        <v>182</v>
      </c>
      <c r="K912" t="s">
        <v>183</v>
      </c>
      <c r="L912">
        <v>11</v>
      </c>
      <c r="M912" t="s">
        <v>3171</v>
      </c>
      <c r="N912" t="s">
        <v>64</v>
      </c>
      <c r="O912" t="s">
        <v>46</v>
      </c>
      <c r="P912" t="s">
        <v>46</v>
      </c>
      <c r="Y912" t="s">
        <v>3178</v>
      </c>
    </row>
    <row r="913" spans="1:25">
      <c r="A913" t="s">
        <v>3179</v>
      </c>
      <c r="B913" t="s">
        <v>3180</v>
      </c>
      <c r="D913" t="s">
        <v>40</v>
      </c>
      <c r="E913" t="s">
        <v>41</v>
      </c>
      <c r="J913" t="s">
        <v>182</v>
      </c>
      <c r="K913" t="s">
        <v>183</v>
      </c>
      <c r="L913">
        <v>11</v>
      </c>
      <c r="M913" t="s">
        <v>3171</v>
      </c>
      <c r="N913" t="s">
        <v>64</v>
      </c>
      <c r="O913" t="s">
        <v>46</v>
      </c>
      <c r="P913" t="s">
        <v>46</v>
      </c>
      <c r="Y913" t="s">
        <v>3181</v>
      </c>
    </row>
    <row r="914" spans="1:25">
      <c r="A914" t="s">
        <v>3182</v>
      </c>
      <c r="B914" t="s">
        <v>3183</v>
      </c>
      <c r="D914" t="s">
        <v>40</v>
      </c>
      <c r="E914" t="s">
        <v>41</v>
      </c>
      <c r="J914" t="s">
        <v>182</v>
      </c>
      <c r="K914" t="s">
        <v>183</v>
      </c>
      <c r="L914">
        <v>11</v>
      </c>
      <c r="M914" t="s">
        <v>3171</v>
      </c>
      <c r="N914" t="s">
        <v>64</v>
      </c>
      <c r="O914" t="s">
        <v>46</v>
      </c>
      <c r="P914" t="s">
        <v>46</v>
      </c>
      <c r="Y914" t="s">
        <v>3184</v>
      </c>
    </row>
    <row r="915" spans="1:25">
      <c r="A915" t="s">
        <v>3185</v>
      </c>
      <c r="B915" t="s">
        <v>3186</v>
      </c>
      <c r="D915" t="s">
        <v>40</v>
      </c>
      <c r="E915" t="s">
        <v>41</v>
      </c>
      <c r="J915" t="s">
        <v>68</v>
      </c>
      <c r="K915" t="s">
        <v>69</v>
      </c>
      <c r="L915">
        <v>11</v>
      </c>
      <c r="M915" t="s">
        <v>3171</v>
      </c>
      <c r="N915" t="s">
        <v>64</v>
      </c>
      <c r="O915" t="s">
        <v>46</v>
      </c>
      <c r="P915" t="s">
        <v>46</v>
      </c>
      <c r="Y915" t="s">
        <v>3187</v>
      </c>
    </row>
    <row r="916" spans="1:25">
      <c r="A916" t="s">
        <v>3188</v>
      </c>
      <c r="B916" t="s">
        <v>3189</v>
      </c>
      <c r="D916" t="s">
        <v>40</v>
      </c>
      <c r="E916" t="s">
        <v>41</v>
      </c>
      <c r="J916" t="s">
        <v>68</v>
      </c>
      <c r="K916" t="s">
        <v>69</v>
      </c>
      <c r="L916">
        <v>11</v>
      </c>
      <c r="M916" t="s">
        <v>3190</v>
      </c>
      <c r="N916" t="s">
        <v>64</v>
      </c>
      <c r="O916" t="s">
        <v>46</v>
      </c>
      <c r="P916" t="s">
        <v>46</v>
      </c>
      <c r="Y916" t="s">
        <v>3191</v>
      </c>
    </row>
    <row r="917" spans="1:25">
      <c r="A917" t="s">
        <v>3192</v>
      </c>
      <c r="B917" t="s">
        <v>3193</v>
      </c>
      <c r="D917" t="s">
        <v>40</v>
      </c>
      <c r="E917" t="s">
        <v>41</v>
      </c>
      <c r="J917" t="s">
        <v>182</v>
      </c>
      <c r="K917" t="s">
        <v>183</v>
      </c>
      <c r="L917">
        <v>11</v>
      </c>
      <c r="M917" t="s">
        <v>3190</v>
      </c>
      <c r="N917" t="s">
        <v>64</v>
      </c>
      <c r="O917" t="s">
        <v>46</v>
      </c>
      <c r="P917" t="s">
        <v>46</v>
      </c>
      <c r="Y917" t="s">
        <v>3194</v>
      </c>
    </row>
    <row r="918" spans="1:25">
      <c r="A918" t="s">
        <v>3195</v>
      </c>
      <c r="B918" t="s">
        <v>3196</v>
      </c>
      <c r="D918" t="s">
        <v>40</v>
      </c>
      <c r="E918" t="s">
        <v>41</v>
      </c>
      <c r="J918" t="s">
        <v>182</v>
      </c>
      <c r="K918" t="s">
        <v>183</v>
      </c>
      <c r="L918">
        <v>11</v>
      </c>
      <c r="M918" t="s">
        <v>3190</v>
      </c>
      <c r="N918" t="s">
        <v>64</v>
      </c>
      <c r="O918" t="s">
        <v>46</v>
      </c>
      <c r="P918" t="s">
        <v>46</v>
      </c>
      <c r="Y918" t="s">
        <v>3197</v>
      </c>
    </row>
    <row r="919" spans="1:25">
      <c r="A919" t="s">
        <v>3198</v>
      </c>
      <c r="B919" t="s">
        <v>3199</v>
      </c>
      <c r="D919" t="s">
        <v>40</v>
      </c>
      <c r="E919" t="s">
        <v>41</v>
      </c>
      <c r="J919" t="s">
        <v>288</v>
      </c>
      <c r="K919" t="s">
        <v>289</v>
      </c>
      <c r="L919">
        <v>11</v>
      </c>
      <c r="M919" t="s">
        <v>3190</v>
      </c>
      <c r="N919" t="s">
        <v>1446</v>
      </c>
      <c r="O919" t="s">
        <v>46</v>
      </c>
      <c r="P919" t="s">
        <v>46</v>
      </c>
      <c r="Y919" t="s">
        <v>3200</v>
      </c>
    </row>
    <row r="920" spans="1:25">
      <c r="A920" t="s">
        <v>3201</v>
      </c>
      <c r="B920" t="s">
        <v>3202</v>
      </c>
      <c r="D920" t="s">
        <v>40</v>
      </c>
      <c r="E920" t="s">
        <v>41</v>
      </c>
      <c r="J920" t="s">
        <v>288</v>
      </c>
      <c r="K920" t="s">
        <v>289</v>
      </c>
      <c r="L920">
        <v>11</v>
      </c>
      <c r="M920" t="s">
        <v>3190</v>
      </c>
      <c r="N920" t="s">
        <v>142</v>
      </c>
      <c r="O920" t="s">
        <v>46</v>
      </c>
      <c r="P920" t="s">
        <v>46</v>
      </c>
      <c r="Y920" t="s">
        <v>3203</v>
      </c>
    </row>
    <row r="921" spans="1:25">
      <c r="A921" t="s">
        <v>3204</v>
      </c>
      <c r="B921" t="s">
        <v>3205</v>
      </c>
      <c r="D921" t="s">
        <v>40</v>
      </c>
      <c r="E921" t="s">
        <v>41</v>
      </c>
      <c r="J921" t="s">
        <v>182</v>
      </c>
      <c r="K921" t="s">
        <v>183</v>
      </c>
      <c r="L921">
        <v>11</v>
      </c>
      <c r="M921" t="s">
        <v>3206</v>
      </c>
      <c r="N921" t="s">
        <v>64</v>
      </c>
      <c r="O921" t="s">
        <v>46</v>
      </c>
      <c r="P921" t="s">
        <v>46</v>
      </c>
      <c r="Y921" t="s">
        <v>3207</v>
      </c>
    </row>
    <row r="922" spans="1:25">
      <c r="A922" t="s">
        <v>3208</v>
      </c>
      <c r="B922" t="s">
        <v>3209</v>
      </c>
      <c r="D922" t="s">
        <v>40</v>
      </c>
      <c r="E922" t="s">
        <v>41</v>
      </c>
      <c r="J922" t="s">
        <v>42</v>
      </c>
      <c r="K922" t="s">
        <v>43</v>
      </c>
      <c r="L922">
        <v>11</v>
      </c>
      <c r="M922" t="s">
        <v>3206</v>
      </c>
      <c r="N922" t="s">
        <v>1814</v>
      </c>
      <c r="O922" t="s">
        <v>46</v>
      </c>
      <c r="P922" t="s">
        <v>46</v>
      </c>
      <c r="Y922" t="s">
        <v>3210</v>
      </c>
    </row>
    <row r="923" spans="1:25">
      <c r="A923" t="s">
        <v>3211</v>
      </c>
      <c r="B923" t="s">
        <v>3212</v>
      </c>
      <c r="D923" t="s">
        <v>40</v>
      </c>
      <c r="E923" t="s">
        <v>41</v>
      </c>
      <c r="J923" t="s">
        <v>182</v>
      </c>
      <c r="K923" t="s">
        <v>183</v>
      </c>
      <c r="L923">
        <v>11</v>
      </c>
      <c r="M923" t="s">
        <v>3206</v>
      </c>
      <c r="N923" t="s">
        <v>64</v>
      </c>
      <c r="O923" t="s">
        <v>46</v>
      </c>
      <c r="P923" t="s">
        <v>46</v>
      </c>
      <c r="Y923" t="s">
        <v>3213</v>
      </c>
    </row>
    <row r="924" spans="1:25">
      <c r="A924" t="s">
        <v>3214</v>
      </c>
      <c r="B924" t="s">
        <v>3215</v>
      </c>
      <c r="D924" t="s">
        <v>40</v>
      </c>
      <c r="E924" t="s">
        <v>41</v>
      </c>
      <c r="J924" t="s">
        <v>68</v>
      </c>
      <c r="K924" t="s">
        <v>69</v>
      </c>
      <c r="L924">
        <v>11</v>
      </c>
      <c r="M924" t="s">
        <v>3206</v>
      </c>
      <c r="N924" t="s">
        <v>64</v>
      </c>
      <c r="O924" t="s">
        <v>46</v>
      </c>
      <c r="P924" t="s">
        <v>46</v>
      </c>
      <c r="Y924" t="s">
        <v>3216</v>
      </c>
    </row>
    <row r="925" spans="1:25">
      <c r="A925" t="s">
        <v>3217</v>
      </c>
      <c r="B925" t="s">
        <v>3218</v>
      </c>
      <c r="D925" t="s">
        <v>40</v>
      </c>
      <c r="E925" t="s">
        <v>41</v>
      </c>
      <c r="J925" t="s">
        <v>76</v>
      </c>
      <c r="K925" t="s">
        <v>77</v>
      </c>
      <c r="L925">
        <v>11</v>
      </c>
      <c r="M925" t="s">
        <v>3206</v>
      </c>
      <c r="N925" t="s">
        <v>64</v>
      </c>
      <c r="O925" t="s">
        <v>46</v>
      </c>
      <c r="P925" t="s">
        <v>46</v>
      </c>
      <c r="Y925" t="s">
        <v>3219</v>
      </c>
    </row>
    <row r="926" spans="1:25">
      <c r="A926" t="s">
        <v>3220</v>
      </c>
      <c r="B926" t="s">
        <v>3221</v>
      </c>
      <c r="D926" t="s">
        <v>40</v>
      </c>
      <c r="E926" t="s">
        <v>41</v>
      </c>
      <c r="J926" t="s">
        <v>76</v>
      </c>
      <c r="K926" t="s">
        <v>77</v>
      </c>
      <c r="L926">
        <v>11</v>
      </c>
      <c r="M926" t="s">
        <v>3206</v>
      </c>
      <c r="N926" t="s">
        <v>64</v>
      </c>
      <c r="O926" t="s">
        <v>46</v>
      </c>
      <c r="P926" t="s">
        <v>46</v>
      </c>
      <c r="Y926" t="s">
        <v>3222</v>
      </c>
    </row>
    <row r="927" spans="1:25">
      <c r="A927" t="s">
        <v>3223</v>
      </c>
      <c r="B927" t="s">
        <v>3224</v>
      </c>
      <c r="D927" t="s">
        <v>40</v>
      </c>
      <c r="E927" t="s">
        <v>41</v>
      </c>
      <c r="J927" t="s">
        <v>68</v>
      </c>
      <c r="K927" t="s">
        <v>69</v>
      </c>
      <c r="L927">
        <v>11</v>
      </c>
      <c r="M927" t="s">
        <v>3225</v>
      </c>
      <c r="N927" t="s">
        <v>64</v>
      </c>
      <c r="O927" t="s">
        <v>46</v>
      </c>
      <c r="P927" t="s">
        <v>46</v>
      </c>
      <c r="Y927" t="s">
        <v>3226</v>
      </c>
    </row>
    <row r="928" spans="1:25">
      <c r="A928" t="s">
        <v>3227</v>
      </c>
      <c r="B928" t="s">
        <v>3228</v>
      </c>
      <c r="D928" t="s">
        <v>40</v>
      </c>
      <c r="E928" t="s">
        <v>41</v>
      </c>
      <c r="J928" t="s">
        <v>62</v>
      </c>
      <c r="K928" t="s">
        <v>63</v>
      </c>
      <c r="L928">
        <v>11</v>
      </c>
      <c r="M928" t="s">
        <v>3225</v>
      </c>
      <c r="N928" t="s">
        <v>64</v>
      </c>
      <c r="O928" t="s">
        <v>46</v>
      </c>
      <c r="P928" t="s">
        <v>46</v>
      </c>
      <c r="Y928" t="s">
        <v>3229</v>
      </c>
    </row>
    <row r="929" spans="1:25">
      <c r="A929" t="s">
        <v>3230</v>
      </c>
      <c r="B929" t="s">
        <v>3231</v>
      </c>
      <c r="D929" t="s">
        <v>40</v>
      </c>
      <c r="E929" t="s">
        <v>41</v>
      </c>
      <c r="J929" t="s">
        <v>76</v>
      </c>
      <c r="K929" t="s">
        <v>77</v>
      </c>
      <c r="L929">
        <v>11</v>
      </c>
      <c r="M929" t="s">
        <v>3225</v>
      </c>
      <c r="N929" t="s">
        <v>64</v>
      </c>
      <c r="O929" t="s">
        <v>46</v>
      </c>
      <c r="P929" t="s">
        <v>46</v>
      </c>
      <c r="Y929" t="s">
        <v>3232</v>
      </c>
    </row>
    <row r="930" spans="1:25">
      <c r="A930" t="s">
        <v>3233</v>
      </c>
      <c r="B930" t="s">
        <v>3234</v>
      </c>
      <c r="D930" t="s">
        <v>40</v>
      </c>
      <c r="E930" t="s">
        <v>41</v>
      </c>
      <c r="J930" t="s">
        <v>42</v>
      </c>
      <c r="K930" t="s">
        <v>43</v>
      </c>
      <c r="L930">
        <v>11</v>
      </c>
      <c r="M930" t="s">
        <v>3225</v>
      </c>
      <c r="N930" t="s">
        <v>350</v>
      </c>
      <c r="O930" t="s">
        <v>46</v>
      </c>
      <c r="P930" t="s">
        <v>46</v>
      </c>
      <c r="Y930" t="s">
        <v>3235</v>
      </c>
    </row>
    <row r="931" spans="1:25">
      <c r="A931" t="s">
        <v>3236</v>
      </c>
      <c r="B931" t="s">
        <v>3237</v>
      </c>
      <c r="D931" t="s">
        <v>40</v>
      </c>
      <c r="E931" t="s">
        <v>41</v>
      </c>
      <c r="J931" t="s">
        <v>248</v>
      </c>
      <c r="K931" t="s">
        <v>249</v>
      </c>
      <c r="L931">
        <v>11</v>
      </c>
      <c r="M931" t="s">
        <v>3225</v>
      </c>
      <c r="N931" t="s">
        <v>45</v>
      </c>
      <c r="O931" t="s">
        <v>46</v>
      </c>
      <c r="P931" t="s">
        <v>46</v>
      </c>
      <c r="Y931" t="s">
        <v>3238</v>
      </c>
    </row>
    <row r="932" spans="1:25">
      <c r="A932" t="s">
        <v>3239</v>
      </c>
      <c r="B932" t="s">
        <v>3240</v>
      </c>
      <c r="D932" t="s">
        <v>40</v>
      </c>
      <c r="E932" t="s">
        <v>41</v>
      </c>
      <c r="J932" t="s">
        <v>76</v>
      </c>
      <c r="K932" t="s">
        <v>77</v>
      </c>
      <c r="L932">
        <v>11</v>
      </c>
      <c r="M932" t="s">
        <v>3225</v>
      </c>
      <c r="N932" t="s">
        <v>64</v>
      </c>
      <c r="O932" t="s">
        <v>46</v>
      </c>
      <c r="P932" t="s">
        <v>46</v>
      </c>
      <c r="Y932" t="s">
        <v>3241</v>
      </c>
    </row>
    <row r="933" spans="1:25">
      <c r="A933" t="s">
        <v>3242</v>
      </c>
      <c r="B933" t="s">
        <v>3243</v>
      </c>
      <c r="D933" t="s">
        <v>40</v>
      </c>
      <c r="E933" t="s">
        <v>41</v>
      </c>
      <c r="J933" t="s">
        <v>68</v>
      </c>
      <c r="K933" t="s">
        <v>69</v>
      </c>
      <c r="L933">
        <v>11</v>
      </c>
      <c r="M933" t="s">
        <v>3225</v>
      </c>
      <c r="N933" t="s">
        <v>64</v>
      </c>
      <c r="O933" t="s">
        <v>46</v>
      </c>
      <c r="P933" t="s">
        <v>46</v>
      </c>
      <c r="Y933" t="s">
        <v>3244</v>
      </c>
    </row>
    <row r="934" spans="1:25">
      <c r="A934" t="s">
        <v>3245</v>
      </c>
      <c r="B934" t="s">
        <v>3246</v>
      </c>
      <c r="D934" t="s">
        <v>40</v>
      </c>
      <c r="E934" t="s">
        <v>41</v>
      </c>
      <c r="J934" t="s">
        <v>76</v>
      </c>
      <c r="K934" t="s">
        <v>77</v>
      </c>
      <c r="L934">
        <v>11</v>
      </c>
      <c r="M934" t="s">
        <v>3247</v>
      </c>
      <c r="N934" t="s">
        <v>64</v>
      </c>
      <c r="O934" t="s">
        <v>46</v>
      </c>
      <c r="P934" t="s">
        <v>46</v>
      </c>
      <c r="Y934" t="s">
        <v>3248</v>
      </c>
    </row>
    <row r="935" spans="1:25">
      <c r="A935" t="s">
        <v>3249</v>
      </c>
      <c r="B935" t="s">
        <v>3250</v>
      </c>
      <c r="D935" t="s">
        <v>40</v>
      </c>
      <c r="E935" t="s">
        <v>41</v>
      </c>
      <c r="J935" t="s">
        <v>42</v>
      </c>
      <c r="K935" t="s">
        <v>43</v>
      </c>
      <c r="L935">
        <v>3</v>
      </c>
      <c r="M935" t="s">
        <v>3251</v>
      </c>
      <c r="N935" t="s">
        <v>1380</v>
      </c>
      <c r="O935" t="s">
        <v>46</v>
      </c>
      <c r="P935" t="s">
        <v>46</v>
      </c>
      <c r="Y935" t="s">
        <v>3252</v>
      </c>
    </row>
    <row r="936" spans="1:25">
      <c r="A936" t="s">
        <v>3253</v>
      </c>
      <c r="B936" t="s">
        <v>3254</v>
      </c>
      <c r="D936" t="s">
        <v>40</v>
      </c>
      <c r="E936" t="s">
        <v>41</v>
      </c>
      <c r="J936" t="s">
        <v>42</v>
      </c>
      <c r="K936" t="s">
        <v>43</v>
      </c>
      <c r="L936">
        <v>11</v>
      </c>
      <c r="M936" t="s">
        <v>3255</v>
      </c>
      <c r="N936" t="s">
        <v>178</v>
      </c>
      <c r="O936" t="s">
        <v>46</v>
      </c>
      <c r="P936" t="s">
        <v>46</v>
      </c>
      <c r="Y936" t="s">
        <v>3256</v>
      </c>
    </row>
    <row r="937" spans="1:25">
      <c r="A937" t="s">
        <v>3257</v>
      </c>
      <c r="B937" t="s">
        <v>3258</v>
      </c>
      <c r="D937" t="s">
        <v>40</v>
      </c>
      <c r="E937" t="s">
        <v>41</v>
      </c>
      <c r="J937" t="s">
        <v>182</v>
      </c>
      <c r="K937" t="s">
        <v>183</v>
      </c>
      <c r="L937">
        <v>11</v>
      </c>
      <c r="M937" t="s">
        <v>3255</v>
      </c>
      <c r="N937" t="s">
        <v>64</v>
      </c>
      <c r="O937" t="s">
        <v>46</v>
      </c>
      <c r="P937" t="s">
        <v>46</v>
      </c>
      <c r="Y937" t="s">
        <v>3259</v>
      </c>
    </row>
    <row r="938" spans="1:25">
      <c r="A938" t="s">
        <v>3260</v>
      </c>
      <c r="B938" t="s">
        <v>3261</v>
      </c>
      <c r="D938" t="s">
        <v>40</v>
      </c>
      <c r="E938" t="s">
        <v>41</v>
      </c>
      <c r="J938" t="s">
        <v>182</v>
      </c>
      <c r="K938" t="s">
        <v>183</v>
      </c>
      <c r="L938">
        <v>11</v>
      </c>
      <c r="M938" t="s">
        <v>3255</v>
      </c>
      <c r="N938" t="s">
        <v>64</v>
      </c>
      <c r="O938" t="s">
        <v>46</v>
      </c>
      <c r="P938" t="s">
        <v>46</v>
      </c>
      <c r="Y938" t="s">
        <v>3262</v>
      </c>
    </row>
    <row r="939" spans="1:25">
      <c r="A939" t="s">
        <v>3263</v>
      </c>
      <c r="B939" t="s">
        <v>3264</v>
      </c>
      <c r="D939" t="s">
        <v>40</v>
      </c>
      <c r="E939" t="s">
        <v>41</v>
      </c>
      <c r="J939" t="s">
        <v>1338</v>
      </c>
      <c r="K939" t="s">
        <v>1339</v>
      </c>
      <c r="L939">
        <v>11</v>
      </c>
      <c r="M939" t="s">
        <v>3265</v>
      </c>
      <c r="N939" t="s">
        <v>1392</v>
      </c>
      <c r="O939" t="s">
        <v>46</v>
      </c>
      <c r="P939" t="s">
        <v>46</v>
      </c>
      <c r="Y939" t="s">
        <v>3266</v>
      </c>
    </row>
    <row r="940" spans="1:25">
      <c r="A940" t="s">
        <v>3267</v>
      </c>
      <c r="B940" t="s">
        <v>3268</v>
      </c>
      <c r="D940" t="s">
        <v>40</v>
      </c>
      <c r="E940" t="s">
        <v>41</v>
      </c>
      <c r="J940" t="s">
        <v>76</v>
      </c>
      <c r="K940" t="s">
        <v>77</v>
      </c>
      <c r="L940">
        <v>11</v>
      </c>
      <c r="M940" t="s">
        <v>3265</v>
      </c>
      <c r="N940" t="s">
        <v>64</v>
      </c>
      <c r="O940" t="s">
        <v>46</v>
      </c>
      <c r="P940" t="s">
        <v>46</v>
      </c>
      <c r="Y940" t="s">
        <v>3269</v>
      </c>
    </row>
    <row r="941" spans="1:25">
      <c r="A941" t="s">
        <v>3270</v>
      </c>
      <c r="B941" t="s">
        <v>3271</v>
      </c>
      <c r="D941" t="s">
        <v>40</v>
      </c>
      <c r="E941" t="s">
        <v>41</v>
      </c>
      <c r="J941" t="s">
        <v>182</v>
      </c>
      <c r="K941" t="s">
        <v>183</v>
      </c>
      <c r="L941">
        <v>11</v>
      </c>
      <c r="M941" t="s">
        <v>3265</v>
      </c>
      <c r="N941" t="s">
        <v>64</v>
      </c>
      <c r="O941" t="s">
        <v>46</v>
      </c>
      <c r="P941" t="s">
        <v>46</v>
      </c>
      <c r="Y941" t="s">
        <v>3272</v>
      </c>
    </row>
    <row r="942" spans="1:25">
      <c r="A942" t="s">
        <v>3273</v>
      </c>
      <c r="B942" t="s">
        <v>3274</v>
      </c>
      <c r="D942" t="s">
        <v>40</v>
      </c>
      <c r="E942" t="s">
        <v>41</v>
      </c>
      <c r="J942" t="s">
        <v>182</v>
      </c>
      <c r="K942" t="s">
        <v>183</v>
      </c>
      <c r="L942">
        <v>11</v>
      </c>
      <c r="M942" t="s">
        <v>3265</v>
      </c>
      <c r="N942" t="s">
        <v>64</v>
      </c>
      <c r="O942" t="s">
        <v>46</v>
      </c>
      <c r="P942" t="s">
        <v>46</v>
      </c>
      <c r="Y942" t="s">
        <v>3275</v>
      </c>
    </row>
    <row r="943" spans="1:25">
      <c r="A943" t="s">
        <v>3276</v>
      </c>
      <c r="B943" t="s">
        <v>3277</v>
      </c>
      <c r="D943" t="s">
        <v>40</v>
      </c>
      <c r="E943" t="s">
        <v>41</v>
      </c>
      <c r="J943" t="s">
        <v>42</v>
      </c>
      <c r="K943" t="s">
        <v>43</v>
      </c>
      <c r="L943">
        <v>11</v>
      </c>
      <c r="M943" t="s">
        <v>3265</v>
      </c>
      <c r="N943" t="s">
        <v>2346</v>
      </c>
      <c r="O943" t="s">
        <v>46</v>
      </c>
      <c r="P943" t="s">
        <v>46</v>
      </c>
      <c r="Y943" t="s">
        <v>3278</v>
      </c>
    </row>
    <row r="944" spans="1:25">
      <c r="A944" t="s">
        <v>3279</v>
      </c>
      <c r="B944" t="s">
        <v>3280</v>
      </c>
      <c r="D944" t="s">
        <v>40</v>
      </c>
      <c r="E944" t="s">
        <v>41</v>
      </c>
      <c r="J944" t="s">
        <v>182</v>
      </c>
      <c r="K944" t="s">
        <v>183</v>
      </c>
      <c r="L944">
        <v>11</v>
      </c>
      <c r="M944" t="s">
        <v>3265</v>
      </c>
      <c r="N944" t="s">
        <v>64</v>
      </c>
      <c r="O944" t="s">
        <v>46</v>
      </c>
      <c r="P944" t="s">
        <v>46</v>
      </c>
      <c r="Y944" t="s">
        <v>3281</v>
      </c>
    </row>
    <row r="945" spans="1:25">
      <c r="A945" t="s">
        <v>3282</v>
      </c>
      <c r="B945" t="s">
        <v>3283</v>
      </c>
      <c r="D945" t="s">
        <v>40</v>
      </c>
      <c r="E945" t="s">
        <v>41</v>
      </c>
      <c r="J945" t="s">
        <v>182</v>
      </c>
      <c r="K945" t="s">
        <v>183</v>
      </c>
      <c r="L945">
        <v>11</v>
      </c>
      <c r="M945" t="s">
        <v>3265</v>
      </c>
      <c r="N945" t="s">
        <v>64</v>
      </c>
      <c r="O945" t="s">
        <v>46</v>
      </c>
      <c r="P945" t="s">
        <v>46</v>
      </c>
      <c r="Y945" t="s">
        <v>3284</v>
      </c>
    </row>
    <row r="946" spans="1:25">
      <c r="A946" t="s">
        <v>3285</v>
      </c>
      <c r="B946" t="s">
        <v>3286</v>
      </c>
      <c r="D946" t="s">
        <v>40</v>
      </c>
      <c r="E946" t="s">
        <v>41</v>
      </c>
      <c r="J946" t="s">
        <v>182</v>
      </c>
      <c r="K946" t="s">
        <v>183</v>
      </c>
      <c r="L946">
        <v>11</v>
      </c>
      <c r="M946" t="s">
        <v>3265</v>
      </c>
      <c r="N946" t="s">
        <v>64</v>
      </c>
      <c r="O946" t="s">
        <v>46</v>
      </c>
      <c r="P946" t="s">
        <v>46</v>
      </c>
      <c r="Y946" t="s">
        <v>3287</v>
      </c>
    </row>
    <row r="947" spans="1:25">
      <c r="A947" t="s">
        <v>3288</v>
      </c>
      <c r="B947" t="s">
        <v>3289</v>
      </c>
      <c r="D947" t="s">
        <v>40</v>
      </c>
      <c r="E947" t="s">
        <v>41</v>
      </c>
      <c r="J947" t="s">
        <v>182</v>
      </c>
      <c r="K947" t="s">
        <v>183</v>
      </c>
      <c r="L947">
        <v>11</v>
      </c>
      <c r="M947" t="s">
        <v>3265</v>
      </c>
      <c r="N947" t="s">
        <v>64</v>
      </c>
      <c r="O947" t="s">
        <v>46</v>
      </c>
      <c r="P947" t="s">
        <v>46</v>
      </c>
      <c r="Y947" t="s">
        <v>3290</v>
      </c>
    </row>
    <row r="948" spans="1:25">
      <c r="A948" t="s">
        <v>3291</v>
      </c>
      <c r="B948" t="s">
        <v>3292</v>
      </c>
      <c r="D948" t="s">
        <v>40</v>
      </c>
      <c r="E948" t="s">
        <v>41</v>
      </c>
      <c r="J948" t="s">
        <v>42</v>
      </c>
      <c r="K948" t="s">
        <v>43</v>
      </c>
      <c r="L948">
        <v>11</v>
      </c>
      <c r="M948" t="s">
        <v>3293</v>
      </c>
      <c r="N948" t="s">
        <v>2154</v>
      </c>
      <c r="O948" t="s">
        <v>46</v>
      </c>
      <c r="P948" t="s">
        <v>46</v>
      </c>
      <c r="Y948" t="s">
        <v>3294</v>
      </c>
    </row>
    <row r="949" spans="1:25">
      <c r="A949" t="s">
        <v>3295</v>
      </c>
      <c r="B949" t="s">
        <v>3296</v>
      </c>
      <c r="D949" t="s">
        <v>40</v>
      </c>
      <c r="E949" t="s">
        <v>41</v>
      </c>
      <c r="J949" t="s">
        <v>139</v>
      </c>
      <c r="K949" t="s">
        <v>140</v>
      </c>
      <c r="L949">
        <v>11</v>
      </c>
      <c r="M949" t="s">
        <v>3293</v>
      </c>
      <c r="N949" t="s">
        <v>1258</v>
      </c>
      <c r="O949" t="s">
        <v>46</v>
      </c>
      <c r="P949" t="s">
        <v>46</v>
      </c>
      <c r="Y949" t="s">
        <v>3297</v>
      </c>
    </row>
    <row r="950" spans="1:25">
      <c r="A950" t="s">
        <v>3298</v>
      </c>
      <c r="B950" t="s">
        <v>3299</v>
      </c>
      <c r="D950" t="s">
        <v>40</v>
      </c>
      <c r="E950" t="s">
        <v>41</v>
      </c>
      <c r="J950" t="s">
        <v>42</v>
      </c>
      <c r="K950" t="s">
        <v>43</v>
      </c>
      <c r="L950">
        <v>11</v>
      </c>
      <c r="M950" t="s">
        <v>3293</v>
      </c>
      <c r="N950" t="s">
        <v>2621</v>
      </c>
      <c r="O950" t="s">
        <v>46</v>
      </c>
      <c r="P950" t="s">
        <v>46</v>
      </c>
      <c r="Y950" t="s">
        <v>3300</v>
      </c>
    </row>
    <row r="951" spans="1:25">
      <c r="A951" t="s">
        <v>3301</v>
      </c>
      <c r="B951" t="s">
        <v>3302</v>
      </c>
      <c r="D951" t="s">
        <v>40</v>
      </c>
      <c r="E951" t="s">
        <v>41</v>
      </c>
      <c r="J951" t="s">
        <v>68</v>
      </c>
      <c r="K951" t="s">
        <v>69</v>
      </c>
      <c r="L951">
        <v>11</v>
      </c>
      <c r="M951" t="s">
        <v>3293</v>
      </c>
      <c r="N951" t="s">
        <v>64</v>
      </c>
      <c r="O951" t="s">
        <v>46</v>
      </c>
      <c r="P951" t="s">
        <v>46</v>
      </c>
      <c r="Y951" t="s">
        <v>3303</v>
      </c>
    </row>
    <row r="952" spans="1:25">
      <c r="A952" t="s">
        <v>3304</v>
      </c>
      <c r="B952" t="s">
        <v>3305</v>
      </c>
      <c r="D952" t="s">
        <v>40</v>
      </c>
      <c r="E952" t="s">
        <v>41</v>
      </c>
      <c r="J952" t="s">
        <v>76</v>
      </c>
      <c r="K952" t="s">
        <v>77</v>
      </c>
      <c r="L952">
        <v>11</v>
      </c>
      <c r="M952" t="s">
        <v>3306</v>
      </c>
      <c r="N952" t="s">
        <v>64</v>
      </c>
      <c r="O952" t="s">
        <v>46</v>
      </c>
      <c r="P952" t="s">
        <v>46</v>
      </c>
      <c r="Y952" t="s">
        <v>3307</v>
      </c>
    </row>
    <row r="953" spans="1:25">
      <c r="A953" t="s">
        <v>3308</v>
      </c>
      <c r="B953" t="s">
        <v>3309</v>
      </c>
      <c r="D953" t="s">
        <v>40</v>
      </c>
      <c r="E953" t="s">
        <v>41</v>
      </c>
      <c r="J953" t="s">
        <v>182</v>
      </c>
      <c r="K953" t="s">
        <v>183</v>
      </c>
      <c r="L953">
        <v>11</v>
      </c>
      <c r="M953" t="s">
        <v>3306</v>
      </c>
      <c r="N953" t="s">
        <v>64</v>
      </c>
      <c r="O953" t="s">
        <v>46</v>
      </c>
      <c r="P953" t="s">
        <v>46</v>
      </c>
      <c r="Y953" t="s">
        <v>3310</v>
      </c>
    </row>
    <row r="954" spans="1:25">
      <c r="A954" t="s">
        <v>3311</v>
      </c>
      <c r="B954" t="s">
        <v>3312</v>
      </c>
      <c r="D954" t="s">
        <v>40</v>
      </c>
      <c r="E954" t="s">
        <v>41</v>
      </c>
      <c r="J954" t="s">
        <v>62</v>
      </c>
      <c r="K954" t="s">
        <v>63</v>
      </c>
      <c r="L954">
        <v>11</v>
      </c>
      <c r="M954" t="s">
        <v>3313</v>
      </c>
      <c r="N954" t="s">
        <v>64</v>
      </c>
      <c r="O954" t="s">
        <v>46</v>
      </c>
      <c r="P954" t="s">
        <v>46</v>
      </c>
      <c r="Y954" t="s">
        <v>3314</v>
      </c>
    </row>
    <row r="955" spans="1:25">
      <c r="A955" t="s">
        <v>3315</v>
      </c>
      <c r="B955" t="s">
        <v>3316</v>
      </c>
      <c r="D955" t="s">
        <v>40</v>
      </c>
      <c r="E955" t="s">
        <v>41</v>
      </c>
      <c r="J955" t="s">
        <v>68</v>
      </c>
      <c r="K955" t="s">
        <v>69</v>
      </c>
      <c r="L955">
        <v>11</v>
      </c>
      <c r="M955" t="s">
        <v>3317</v>
      </c>
      <c r="N955" t="s">
        <v>64</v>
      </c>
      <c r="O955" t="s">
        <v>46</v>
      </c>
      <c r="P955" t="s">
        <v>46</v>
      </c>
      <c r="Y955" t="s">
        <v>3318</v>
      </c>
    </row>
    <row r="956" spans="1:25">
      <c r="A956" t="s">
        <v>3319</v>
      </c>
      <c r="B956" t="s">
        <v>3320</v>
      </c>
      <c r="D956" t="s">
        <v>40</v>
      </c>
      <c r="E956" t="s">
        <v>41</v>
      </c>
      <c r="J956" t="s">
        <v>76</v>
      </c>
      <c r="K956" t="s">
        <v>77</v>
      </c>
      <c r="L956">
        <v>11</v>
      </c>
      <c r="M956" t="s">
        <v>3321</v>
      </c>
      <c r="N956" t="s">
        <v>64</v>
      </c>
      <c r="O956" t="s">
        <v>46</v>
      </c>
      <c r="P956" t="s">
        <v>46</v>
      </c>
      <c r="Y956" t="s">
        <v>3322</v>
      </c>
    </row>
    <row r="957" spans="1:25">
      <c r="A957" t="s">
        <v>3323</v>
      </c>
      <c r="B957" t="s">
        <v>3324</v>
      </c>
      <c r="D957" t="s">
        <v>40</v>
      </c>
      <c r="E957" t="s">
        <v>41</v>
      </c>
      <c r="J957" t="s">
        <v>42</v>
      </c>
      <c r="K957" t="s">
        <v>43</v>
      </c>
      <c r="L957">
        <v>11</v>
      </c>
      <c r="M957" t="s">
        <v>3321</v>
      </c>
      <c r="N957" t="s">
        <v>173</v>
      </c>
      <c r="O957" t="s">
        <v>46</v>
      </c>
      <c r="P957" t="s">
        <v>46</v>
      </c>
      <c r="Y957" t="s">
        <v>3325</v>
      </c>
    </row>
    <row r="958" spans="1:25">
      <c r="A958" t="s">
        <v>3326</v>
      </c>
      <c r="B958" t="s">
        <v>3327</v>
      </c>
      <c r="D958" t="s">
        <v>40</v>
      </c>
      <c r="E958" t="s">
        <v>41</v>
      </c>
      <c r="J958" t="s">
        <v>248</v>
      </c>
      <c r="K958" t="s">
        <v>249</v>
      </c>
      <c r="L958">
        <v>11</v>
      </c>
      <c r="M958" t="s">
        <v>3321</v>
      </c>
      <c r="N958" t="s">
        <v>1397</v>
      </c>
      <c r="O958" t="s">
        <v>46</v>
      </c>
      <c r="P958" t="s">
        <v>46</v>
      </c>
      <c r="Y958" t="s">
        <v>3328</v>
      </c>
    </row>
    <row r="959" spans="1:25">
      <c r="A959" t="s">
        <v>3329</v>
      </c>
      <c r="B959" t="s">
        <v>3330</v>
      </c>
      <c r="D959" t="s">
        <v>40</v>
      </c>
      <c r="E959" t="s">
        <v>41</v>
      </c>
      <c r="J959" t="s">
        <v>68</v>
      </c>
      <c r="K959" t="s">
        <v>69</v>
      </c>
      <c r="L959">
        <v>11</v>
      </c>
      <c r="M959" t="s">
        <v>3321</v>
      </c>
      <c r="N959" t="s">
        <v>64</v>
      </c>
      <c r="O959" t="s">
        <v>46</v>
      </c>
      <c r="P959" t="s">
        <v>46</v>
      </c>
      <c r="Y959" t="s">
        <v>3331</v>
      </c>
    </row>
    <row r="960" spans="1:25">
      <c r="A960" t="s">
        <v>3332</v>
      </c>
      <c r="B960" t="s">
        <v>3333</v>
      </c>
      <c r="D960" t="s">
        <v>40</v>
      </c>
      <c r="E960" t="s">
        <v>41</v>
      </c>
      <c r="J960" t="s">
        <v>76</v>
      </c>
      <c r="K960" t="s">
        <v>77</v>
      </c>
      <c r="L960">
        <v>11</v>
      </c>
      <c r="M960" t="s">
        <v>3321</v>
      </c>
      <c r="N960" t="s">
        <v>64</v>
      </c>
      <c r="O960" t="s">
        <v>46</v>
      </c>
      <c r="P960" t="s">
        <v>46</v>
      </c>
      <c r="Y960" t="s">
        <v>3334</v>
      </c>
    </row>
    <row r="961" spans="1:25">
      <c r="A961" t="s">
        <v>3335</v>
      </c>
      <c r="B961" t="s">
        <v>3336</v>
      </c>
      <c r="D961" t="s">
        <v>40</v>
      </c>
      <c r="E961" t="s">
        <v>41</v>
      </c>
      <c r="J961" t="s">
        <v>68</v>
      </c>
      <c r="K961" t="s">
        <v>69</v>
      </c>
      <c r="L961">
        <v>11</v>
      </c>
      <c r="M961" t="s">
        <v>3321</v>
      </c>
      <c r="N961" t="s">
        <v>64</v>
      </c>
      <c r="O961" t="s">
        <v>46</v>
      </c>
      <c r="P961" t="s">
        <v>46</v>
      </c>
      <c r="Y961" t="s">
        <v>3337</v>
      </c>
    </row>
    <row r="962" spans="1:25">
      <c r="A962" t="s">
        <v>3338</v>
      </c>
      <c r="B962" t="s">
        <v>3339</v>
      </c>
      <c r="D962" t="s">
        <v>40</v>
      </c>
      <c r="E962" t="s">
        <v>41</v>
      </c>
      <c r="J962" t="s">
        <v>182</v>
      </c>
      <c r="K962" t="s">
        <v>183</v>
      </c>
      <c r="L962">
        <v>11</v>
      </c>
      <c r="M962" t="s">
        <v>3321</v>
      </c>
      <c r="N962" t="s">
        <v>64</v>
      </c>
      <c r="O962" t="s">
        <v>46</v>
      </c>
      <c r="P962" t="s">
        <v>46</v>
      </c>
      <c r="Y962" t="s">
        <v>3340</v>
      </c>
    </row>
    <row r="963" spans="1:25">
      <c r="A963" t="s">
        <v>3341</v>
      </c>
      <c r="B963" t="s">
        <v>3342</v>
      </c>
      <c r="D963" t="s">
        <v>40</v>
      </c>
      <c r="E963" t="s">
        <v>41</v>
      </c>
      <c r="J963" t="s">
        <v>42</v>
      </c>
      <c r="K963" t="s">
        <v>43</v>
      </c>
      <c r="L963">
        <v>11</v>
      </c>
      <c r="M963" t="s">
        <v>3321</v>
      </c>
      <c r="N963" t="s">
        <v>752</v>
      </c>
      <c r="O963" t="s">
        <v>46</v>
      </c>
      <c r="P963" t="s">
        <v>46</v>
      </c>
      <c r="Y963" t="s">
        <v>3343</v>
      </c>
    </row>
    <row r="964" spans="1:25">
      <c r="A964" t="s">
        <v>3344</v>
      </c>
      <c r="B964" t="s">
        <v>3345</v>
      </c>
      <c r="D964" t="s">
        <v>40</v>
      </c>
      <c r="E964" t="s">
        <v>41</v>
      </c>
      <c r="J964" t="s">
        <v>182</v>
      </c>
      <c r="K964" t="s">
        <v>183</v>
      </c>
      <c r="L964">
        <v>11</v>
      </c>
      <c r="M964" t="s">
        <v>3321</v>
      </c>
      <c r="N964" t="s">
        <v>64</v>
      </c>
      <c r="O964" t="s">
        <v>46</v>
      </c>
      <c r="P964" t="s">
        <v>46</v>
      </c>
      <c r="Y964" t="s">
        <v>3346</v>
      </c>
    </row>
    <row r="965" spans="1:25">
      <c r="A965" t="s">
        <v>3347</v>
      </c>
      <c r="B965" t="s">
        <v>3348</v>
      </c>
      <c r="D965" t="s">
        <v>40</v>
      </c>
      <c r="E965" t="s">
        <v>41</v>
      </c>
      <c r="J965" t="s">
        <v>68</v>
      </c>
      <c r="K965" t="s">
        <v>69</v>
      </c>
      <c r="L965">
        <v>11</v>
      </c>
      <c r="M965" t="s">
        <v>3321</v>
      </c>
      <c r="N965" t="s">
        <v>64</v>
      </c>
      <c r="O965" t="s">
        <v>46</v>
      </c>
      <c r="P965" t="s">
        <v>46</v>
      </c>
      <c r="Y965" t="s">
        <v>3349</v>
      </c>
    </row>
    <row r="966" spans="1:25">
      <c r="A966" t="s">
        <v>3350</v>
      </c>
      <c r="B966" t="s">
        <v>3351</v>
      </c>
      <c r="D966" t="s">
        <v>40</v>
      </c>
      <c r="E966" t="s">
        <v>41</v>
      </c>
      <c r="J966" t="s">
        <v>62</v>
      </c>
      <c r="K966" t="s">
        <v>63</v>
      </c>
      <c r="L966">
        <v>11</v>
      </c>
      <c r="M966" t="s">
        <v>3321</v>
      </c>
      <c r="N966" t="s">
        <v>64</v>
      </c>
      <c r="O966" t="s">
        <v>46</v>
      </c>
      <c r="P966" t="s">
        <v>46</v>
      </c>
      <c r="Y966" t="s">
        <v>3352</v>
      </c>
    </row>
    <row r="967" spans="1:25">
      <c r="A967" t="s">
        <v>3353</v>
      </c>
      <c r="B967" t="s">
        <v>3354</v>
      </c>
      <c r="D967" t="s">
        <v>40</v>
      </c>
      <c r="E967" t="s">
        <v>41</v>
      </c>
      <c r="J967" t="s">
        <v>42</v>
      </c>
      <c r="K967" t="s">
        <v>43</v>
      </c>
      <c r="L967">
        <v>11</v>
      </c>
      <c r="M967" t="s">
        <v>3355</v>
      </c>
      <c r="N967" t="s">
        <v>53</v>
      </c>
      <c r="O967" t="s">
        <v>46</v>
      </c>
      <c r="P967" t="s">
        <v>46</v>
      </c>
      <c r="Y967" t="s">
        <v>3356</v>
      </c>
    </row>
    <row r="968" spans="1:25">
      <c r="A968" t="s">
        <v>3357</v>
      </c>
      <c r="B968" t="s">
        <v>3358</v>
      </c>
      <c r="D968" t="s">
        <v>40</v>
      </c>
      <c r="E968" t="s">
        <v>41</v>
      </c>
      <c r="J968" t="s">
        <v>42</v>
      </c>
      <c r="K968" t="s">
        <v>43</v>
      </c>
      <c r="L968">
        <v>11</v>
      </c>
      <c r="M968" t="s">
        <v>3355</v>
      </c>
      <c r="N968" t="s">
        <v>741</v>
      </c>
      <c r="O968" t="s">
        <v>46</v>
      </c>
      <c r="P968" t="s">
        <v>46</v>
      </c>
      <c r="Y968" t="s">
        <v>3359</v>
      </c>
    </row>
    <row r="969" spans="1:25">
      <c r="A969" t="s">
        <v>3360</v>
      </c>
      <c r="B969" t="s">
        <v>3361</v>
      </c>
      <c r="D969" t="s">
        <v>40</v>
      </c>
      <c r="E969" t="s">
        <v>41</v>
      </c>
      <c r="J969" t="s">
        <v>182</v>
      </c>
      <c r="K969" t="s">
        <v>183</v>
      </c>
      <c r="L969">
        <v>11</v>
      </c>
      <c r="M969" t="s">
        <v>3355</v>
      </c>
      <c r="N969" t="s">
        <v>64</v>
      </c>
      <c r="O969" t="s">
        <v>46</v>
      </c>
      <c r="P969" t="s">
        <v>46</v>
      </c>
      <c r="Y969" t="s">
        <v>3362</v>
      </c>
    </row>
    <row r="970" spans="1:25">
      <c r="A970" t="s">
        <v>3363</v>
      </c>
      <c r="B970" t="s">
        <v>3364</v>
      </c>
      <c r="D970" t="s">
        <v>40</v>
      </c>
      <c r="E970" t="s">
        <v>41</v>
      </c>
      <c r="J970" t="s">
        <v>182</v>
      </c>
      <c r="K970" t="s">
        <v>183</v>
      </c>
      <c r="L970">
        <v>11</v>
      </c>
      <c r="M970" t="s">
        <v>3355</v>
      </c>
      <c r="N970" t="s">
        <v>64</v>
      </c>
      <c r="O970" t="s">
        <v>46</v>
      </c>
      <c r="P970" t="s">
        <v>46</v>
      </c>
      <c r="Y970" t="s">
        <v>3365</v>
      </c>
    </row>
    <row r="971" spans="1:25">
      <c r="A971" t="s">
        <v>3366</v>
      </c>
      <c r="B971" t="s">
        <v>3367</v>
      </c>
      <c r="D971" t="s">
        <v>40</v>
      </c>
      <c r="E971" t="s">
        <v>41</v>
      </c>
      <c r="J971" t="s">
        <v>182</v>
      </c>
      <c r="K971" t="s">
        <v>183</v>
      </c>
      <c r="L971">
        <v>11</v>
      </c>
      <c r="M971" t="s">
        <v>3368</v>
      </c>
      <c r="N971" t="s">
        <v>64</v>
      </c>
      <c r="O971" t="s">
        <v>46</v>
      </c>
      <c r="P971" t="s">
        <v>46</v>
      </c>
      <c r="Y971" t="s">
        <v>3369</v>
      </c>
    </row>
    <row r="972" spans="1:25">
      <c r="A972" t="s">
        <v>3370</v>
      </c>
      <c r="B972" t="s">
        <v>3371</v>
      </c>
      <c r="D972" t="s">
        <v>40</v>
      </c>
      <c r="E972" t="s">
        <v>41</v>
      </c>
      <c r="J972" t="s">
        <v>182</v>
      </c>
      <c r="K972" t="s">
        <v>183</v>
      </c>
      <c r="L972">
        <v>11</v>
      </c>
      <c r="M972" t="s">
        <v>3372</v>
      </c>
      <c r="N972" t="s">
        <v>64</v>
      </c>
      <c r="O972" t="s">
        <v>46</v>
      </c>
      <c r="P972" t="s">
        <v>46</v>
      </c>
      <c r="Y972" t="s">
        <v>3373</v>
      </c>
    </row>
    <row r="973" spans="1:25">
      <c r="A973" t="s">
        <v>3374</v>
      </c>
      <c r="B973" t="s">
        <v>3375</v>
      </c>
      <c r="D973" t="s">
        <v>40</v>
      </c>
      <c r="E973" t="s">
        <v>41</v>
      </c>
      <c r="J973" t="s">
        <v>139</v>
      </c>
      <c r="K973" t="s">
        <v>140</v>
      </c>
      <c r="L973">
        <v>11</v>
      </c>
      <c r="M973" t="s">
        <v>3372</v>
      </c>
      <c r="N973" t="s">
        <v>296</v>
      </c>
      <c r="O973" t="s">
        <v>46</v>
      </c>
      <c r="P973" t="s">
        <v>46</v>
      </c>
      <c r="Y973" t="s">
        <v>3376</v>
      </c>
    </row>
    <row r="974" spans="1:25">
      <c r="A974" t="s">
        <v>3377</v>
      </c>
      <c r="B974" t="s">
        <v>3378</v>
      </c>
      <c r="D974" t="s">
        <v>40</v>
      </c>
      <c r="E974" t="s">
        <v>41</v>
      </c>
      <c r="J974" t="s">
        <v>68</v>
      </c>
      <c r="K974" t="s">
        <v>69</v>
      </c>
      <c r="L974">
        <v>11</v>
      </c>
      <c r="M974" t="s">
        <v>3372</v>
      </c>
      <c r="N974" t="s">
        <v>64</v>
      </c>
      <c r="O974" t="s">
        <v>46</v>
      </c>
      <c r="P974" t="s">
        <v>46</v>
      </c>
      <c r="Y974" t="s">
        <v>3379</v>
      </c>
    </row>
    <row r="975" spans="1:25">
      <c r="A975" t="s">
        <v>3380</v>
      </c>
      <c r="B975" t="s">
        <v>3381</v>
      </c>
      <c r="D975" t="s">
        <v>40</v>
      </c>
      <c r="E975" t="s">
        <v>41</v>
      </c>
      <c r="J975" t="s">
        <v>68</v>
      </c>
      <c r="K975" t="s">
        <v>69</v>
      </c>
      <c r="L975">
        <v>11</v>
      </c>
      <c r="M975" t="s">
        <v>3372</v>
      </c>
      <c r="N975" t="s">
        <v>64</v>
      </c>
      <c r="O975" t="s">
        <v>46</v>
      </c>
      <c r="P975" t="s">
        <v>46</v>
      </c>
      <c r="Y975" t="s">
        <v>3382</v>
      </c>
    </row>
    <row r="976" spans="1:25">
      <c r="A976" t="s">
        <v>3383</v>
      </c>
      <c r="B976" t="s">
        <v>3384</v>
      </c>
      <c r="D976" t="s">
        <v>40</v>
      </c>
      <c r="E976" t="s">
        <v>41</v>
      </c>
      <c r="J976" t="s">
        <v>182</v>
      </c>
      <c r="K976" t="s">
        <v>183</v>
      </c>
      <c r="L976">
        <v>11</v>
      </c>
      <c r="M976" t="s">
        <v>3385</v>
      </c>
      <c r="N976" t="s">
        <v>64</v>
      </c>
      <c r="O976" t="s">
        <v>46</v>
      </c>
      <c r="P976" t="s">
        <v>46</v>
      </c>
      <c r="Y976" t="s">
        <v>3386</v>
      </c>
    </row>
    <row r="977" spans="1:25">
      <c r="A977" t="s">
        <v>3387</v>
      </c>
      <c r="B977" t="s">
        <v>3388</v>
      </c>
      <c r="D977" t="s">
        <v>40</v>
      </c>
      <c r="E977" t="s">
        <v>41</v>
      </c>
      <c r="J977" t="s">
        <v>62</v>
      </c>
      <c r="K977" t="s">
        <v>63</v>
      </c>
      <c r="L977">
        <v>11</v>
      </c>
      <c r="M977" t="s">
        <v>3385</v>
      </c>
      <c r="N977" t="s">
        <v>64</v>
      </c>
      <c r="O977" t="s">
        <v>46</v>
      </c>
      <c r="P977" t="s">
        <v>46</v>
      </c>
      <c r="Y977" t="s">
        <v>3389</v>
      </c>
    </row>
    <row r="978" spans="1:25">
      <c r="A978" t="s">
        <v>3390</v>
      </c>
      <c r="B978" t="s">
        <v>3391</v>
      </c>
      <c r="D978" t="s">
        <v>40</v>
      </c>
      <c r="E978" t="s">
        <v>41</v>
      </c>
      <c r="J978" t="s">
        <v>62</v>
      </c>
      <c r="K978" t="s">
        <v>63</v>
      </c>
      <c r="L978">
        <v>11</v>
      </c>
      <c r="M978" t="s">
        <v>3385</v>
      </c>
      <c r="N978" t="s">
        <v>64</v>
      </c>
      <c r="O978" t="s">
        <v>46</v>
      </c>
      <c r="P978" t="s">
        <v>46</v>
      </c>
      <c r="Y978" t="s">
        <v>3392</v>
      </c>
    </row>
    <row r="979" spans="1:25">
      <c r="A979" t="s">
        <v>3393</v>
      </c>
      <c r="B979" t="s">
        <v>3394</v>
      </c>
      <c r="D979" t="s">
        <v>40</v>
      </c>
      <c r="E979" t="s">
        <v>41</v>
      </c>
      <c r="J979" t="s">
        <v>182</v>
      </c>
      <c r="K979" t="s">
        <v>183</v>
      </c>
      <c r="L979">
        <v>11</v>
      </c>
      <c r="M979" t="s">
        <v>3385</v>
      </c>
      <c r="N979" t="s">
        <v>64</v>
      </c>
      <c r="O979" t="s">
        <v>46</v>
      </c>
      <c r="P979" t="s">
        <v>46</v>
      </c>
      <c r="Y979" t="s">
        <v>3395</v>
      </c>
    </row>
    <row r="980" spans="1:25">
      <c r="A980" t="s">
        <v>3396</v>
      </c>
      <c r="B980" t="s">
        <v>3397</v>
      </c>
      <c r="D980" t="s">
        <v>40</v>
      </c>
      <c r="E980" t="s">
        <v>41</v>
      </c>
      <c r="J980" t="s">
        <v>68</v>
      </c>
      <c r="K980" t="s">
        <v>69</v>
      </c>
      <c r="L980">
        <v>11</v>
      </c>
      <c r="M980" t="s">
        <v>3385</v>
      </c>
      <c r="N980" t="s">
        <v>64</v>
      </c>
      <c r="O980" t="s">
        <v>46</v>
      </c>
      <c r="P980" t="s">
        <v>46</v>
      </c>
      <c r="Y980" t="s">
        <v>3398</v>
      </c>
    </row>
    <row r="981" spans="1:25">
      <c r="A981" t="s">
        <v>3399</v>
      </c>
      <c r="B981" t="s">
        <v>3400</v>
      </c>
      <c r="D981" t="s">
        <v>40</v>
      </c>
      <c r="E981" t="s">
        <v>41</v>
      </c>
      <c r="J981" t="s">
        <v>62</v>
      </c>
      <c r="K981" t="s">
        <v>63</v>
      </c>
      <c r="L981">
        <v>11</v>
      </c>
      <c r="M981" t="s">
        <v>3401</v>
      </c>
      <c r="N981" t="s">
        <v>64</v>
      </c>
      <c r="O981" t="s">
        <v>46</v>
      </c>
      <c r="P981" t="s">
        <v>46</v>
      </c>
      <c r="Y981" t="s">
        <v>3402</v>
      </c>
    </row>
    <row r="982" spans="1:25">
      <c r="A982" t="s">
        <v>3403</v>
      </c>
      <c r="B982" t="s">
        <v>3404</v>
      </c>
      <c r="D982" t="s">
        <v>40</v>
      </c>
      <c r="E982" t="s">
        <v>41</v>
      </c>
      <c r="J982" t="s">
        <v>76</v>
      </c>
      <c r="K982" t="s">
        <v>77</v>
      </c>
      <c r="L982">
        <v>11</v>
      </c>
      <c r="M982" t="s">
        <v>3401</v>
      </c>
      <c r="N982" t="s">
        <v>64</v>
      </c>
      <c r="O982" t="s">
        <v>46</v>
      </c>
      <c r="P982" t="s">
        <v>46</v>
      </c>
      <c r="Y982" t="s">
        <v>3405</v>
      </c>
    </row>
    <row r="983" spans="1:25">
      <c r="A983" t="s">
        <v>3406</v>
      </c>
      <c r="B983" t="s">
        <v>3407</v>
      </c>
      <c r="D983" t="s">
        <v>40</v>
      </c>
      <c r="E983" t="s">
        <v>41</v>
      </c>
      <c r="J983" t="s">
        <v>182</v>
      </c>
      <c r="K983" t="s">
        <v>183</v>
      </c>
      <c r="L983">
        <v>11</v>
      </c>
      <c r="M983" t="s">
        <v>3401</v>
      </c>
      <c r="N983" t="s">
        <v>64</v>
      </c>
      <c r="O983" t="s">
        <v>46</v>
      </c>
      <c r="P983" t="s">
        <v>46</v>
      </c>
      <c r="Y983" t="s">
        <v>3408</v>
      </c>
    </row>
    <row r="984" spans="1:25">
      <c r="A984" t="s">
        <v>3409</v>
      </c>
      <c r="B984" t="s">
        <v>3410</v>
      </c>
      <c r="D984" t="s">
        <v>40</v>
      </c>
      <c r="E984" t="s">
        <v>41</v>
      </c>
      <c r="J984" t="s">
        <v>76</v>
      </c>
      <c r="K984" t="s">
        <v>77</v>
      </c>
      <c r="L984">
        <v>11</v>
      </c>
      <c r="M984" t="s">
        <v>3411</v>
      </c>
      <c r="N984" t="s">
        <v>64</v>
      </c>
      <c r="O984" t="s">
        <v>46</v>
      </c>
      <c r="P984" t="s">
        <v>46</v>
      </c>
      <c r="Y984" t="s">
        <v>3412</v>
      </c>
    </row>
    <row r="985" spans="1:25">
      <c r="A985" t="s">
        <v>3413</v>
      </c>
      <c r="B985" t="s">
        <v>3414</v>
      </c>
      <c r="D985" t="s">
        <v>40</v>
      </c>
      <c r="E985" t="s">
        <v>41</v>
      </c>
      <c r="J985" t="s">
        <v>76</v>
      </c>
      <c r="K985" t="s">
        <v>77</v>
      </c>
      <c r="L985">
        <v>11</v>
      </c>
      <c r="M985" t="s">
        <v>3411</v>
      </c>
      <c r="N985" t="s">
        <v>64</v>
      </c>
      <c r="O985" t="s">
        <v>46</v>
      </c>
      <c r="P985" t="s">
        <v>46</v>
      </c>
      <c r="Y985" t="s">
        <v>3415</v>
      </c>
    </row>
    <row r="986" spans="1:25">
      <c r="A986" t="s">
        <v>3416</v>
      </c>
      <c r="B986" t="s">
        <v>3417</v>
      </c>
      <c r="D986" t="s">
        <v>40</v>
      </c>
      <c r="E986" t="s">
        <v>41</v>
      </c>
      <c r="J986" t="s">
        <v>76</v>
      </c>
      <c r="K986" t="s">
        <v>77</v>
      </c>
      <c r="L986">
        <v>11</v>
      </c>
      <c r="M986" t="s">
        <v>3411</v>
      </c>
      <c r="N986" t="s">
        <v>64</v>
      </c>
      <c r="O986" t="s">
        <v>46</v>
      </c>
      <c r="P986" t="s">
        <v>46</v>
      </c>
      <c r="Y986" t="s">
        <v>3418</v>
      </c>
    </row>
    <row r="987" spans="1:25">
      <c r="A987" t="s">
        <v>3419</v>
      </c>
      <c r="B987" t="s">
        <v>3420</v>
      </c>
      <c r="D987" t="s">
        <v>40</v>
      </c>
      <c r="E987" t="s">
        <v>41</v>
      </c>
      <c r="J987" t="s">
        <v>76</v>
      </c>
      <c r="K987" t="s">
        <v>77</v>
      </c>
      <c r="L987">
        <v>11</v>
      </c>
      <c r="M987" t="s">
        <v>3411</v>
      </c>
      <c r="N987" t="s">
        <v>64</v>
      </c>
      <c r="O987" t="s">
        <v>46</v>
      </c>
      <c r="P987" t="s">
        <v>46</v>
      </c>
      <c r="Y987" t="s">
        <v>3421</v>
      </c>
    </row>
    <row r="988" spans="1:25">
      <c r="A988" t="s">
        <v>3422</v>
      </c>
      <c r="B988" t="s">
        <v>3423</v>
      </c>
      <c r="D988" t="s">
        <v>40</v>
      </c>
      <c r="E988" t="s">
        <v>41</v>
      </c>
      <c r="J988" t="s">
        <v>182</v>
      </c>
      <c r="K988" t="s">
        <v>183</v>
      </c>
      <c r="L988">
        <v>11</v>
      </c>
      <c r="M988" t="s">
        <v>3411</v>
      </c>
      <c r="N988" t="s">
        <v>64</v>
      </c>
      <c r="O988" t="s">
        <v>46</v>
      </c>
      <c r="P988" t="s">
        <v>46</v>
      </c>
      <c r="Y988" t="s">
        <v>3424</v>
      </c>
    </row>
    <row r="989" spans="1:25">
      <c r="A989" t="s">
        <v>3425</v>
      </c>
      <c r="B989" t="s">
        <v>3426</v>
      </c>
      <c r="D989" t="s">
        <v>40</v>
      </c>
      <c r="E989" t="s">
        <v>41</v>
      </c>
      <c r="J989" t="s">
        <v>182</v>
      </c>
      <c r="K989" t="s">
        <v>183</v>
      </c>
      <c r="L989">
        <v>11</v>
      </c>
      <c r="M989" t="s">
        <v>3427</v>
      </c>
      <c r="N989" t="s">
        <v>64</v>
      </c>
      <c r="O989" t="s">
        <v>46</v>
      </c>
      <c r="P989" t="s">
        <v>46</v>
      </c>
      <c r="Y989" t="s">
        <v>3428</v>
      </c>
    </row>
    <row r="990" spans="1:25">
      <c r="A990" t="s">
        <v>3429</v>
      </c>
      <c r="B990" t="s">
        <v>3430</v>
      </c>
      <c r="D990" t="s">
        <v>40</v>
      </c>
      <c r="E990" t="s">
        <v>41</v>
      </c>
      <c r="J990" t="s">
        <v>1338</v>
      </c>
      <c r="K990" t="s">
        <v>1339</v>
      </c>
      <c r="L990">
        <v>11</v>
      </c>
      <c r="M990" t="s">
        <v>3427</v>
      </c>
      <c r="N990" t="s">
        <v>2154</v>
      </c>
      <c r="O990" t="s">
        <v>46</v>
      </c>
      <c r="P990" t="s">
        <v>46</v>
      </c>
      <c r="Y990" t="s">
        <v>3431</v>
      </c>
    </row>
    <row r="991" spans="1:25">
      <c r="A991" t="s">
        <v>3432</v>
      </c>
      <c r="B991" t="s">
        <v>3433</v>
      </c>
      <c r="D991" t="s">
        <v>40</v>
      </c>
      <c r="E991" t="s">
        <v>41</v>
      </c>
      <c r="J991" t="s">
        <v>68</v>
      </c>
      <c r="K991" t="s">
        <v>69</v>
      </c>
      <c r="L991">
        <v>11</v>
      </c>
      <c r="M991" t="s">
        <v>3427</v>
      </c>
      <c r="N991" t="s">
        <v>64</v>
      </c>
      <c r="O991" t="s">
        <v>46</v>
      </c>
      <c r="P991" t="s">
        <v>46</v>
      </c>
      <c r="Y991" t="s">
        <v>3434</v>
      </c>
    </row>
    <row r="992" spans="1:25">
      <c r="A992" t="s">
        <v>3435</v>
      </c>
      <c r="B992" t="s">
        <v>3436</v>
      </c>
      <c r="D992" t="s">
        <v>40</v>
      </c>
      <c r="E992" t="s">
        <v>41</v>
      </c>
      <c r="J992" t="s">
        <v>182</v>
      </c>
      <c r="K992" t="s">
        <v>183</v>
      </c>
      <c r="L992">
        <v>11</v>
      </c>
      <c r="M992" t="s">
        <v>3427</v>
      </c>
      <c r="N992" t="s">
        <v>64</v>
      </c>
      <c r="O992" t="s">
        <v>46</v>
      </c>
      <c r="P992" t="s">
        <v>46</v>
      </c>
      <c r="Y992" t="s">
        <v>3437</v>
      </c>
    </row>
    <row r="993" spans="1:25">
      <c r="A993" t="s">
        <v>3438</v>
      </c>
      <c r="B993" t="s">
        <v>3439</v>
      </c>
      <c r="D993" t="s">
        <v>40</v>
      </c>
      <c r="E993" t="s">
        <v>41</v>
      </c>
      <c r="J993" t="s">
        <v>68</v>
      </c>
      <c r="K993" t="s">
        <v>69</v>
      </c>
      <c r="L993">
        <v>11</v>
      </c>
      <c r="M993" t="s">
        <v>3427</v>
      </c>
      <c r="N993" t="s">
        <v>64</v>
      </c>
      <c r="O993" t="s">
        <v>46</v>
      </c>
      <c r="P993" t="s">
        <v>46</v>
      </c>
      <c r="Y993" t="s">
        <v>3440</v>
      </c>
    </row>
    <row r="994" spans="1:25">
      <c r="A994" t="s">
        <v>3441</v>
      </c>
      <c r="B994" t="s">
        <v>3442</v>
      </c>
      <c r="D994" t="s">
        <v>40</v>
      </c>
      <c r="E994" t="s">
        <v>41</v>
      </c>
      <c r="J994" t="s">
        <v>182</v>
      </c>
      <c r="K994" t="s">
        <v>183</v>
      </c>
      <c r="L994">
        <v>11</v>
      </c>
      <c r="M994" t="s">
        <v>3427</v>
      </c>
      <c r="N994" t="s">
        <v>64</v>
      </c>
      <c r="O994" t="s">
        <v>46</v>
      </c>
      <c r="P994" t="s">
        <v>46</v>
      </c>
      <c r="Y994" t="s">
        <v>3443</v>
      </c>
    </row>
    <row r="995" spans="1:25">
      <c r="A995" t="s">
        <v>3444</v>
      </c>
      <c r="B995" t="s">
        <v>3445</v>
      </c>
      <c r="D995" t="s">
        <v>40</v>
      </c>
      <c r="E995" t="s">
        <v>41</v>
      </c>
      <c r="J995" t="s">
        <v>182</v>
      </c>
      <c r="K995" t="s">
        <v>183</v>
      </c>
      <c r="L995">
        <v>11</v>
      </c>
      <c r="M995" t="s">
        <v>3427</v>
      </c>
      <c r="N995" t="s">
        <v>64</v>
      </c>
      <c r="O995" t="s">
        <v>46</v>
      </c>
      <c r="P995" t="s">
        <v>46</v>
      </c>
      <c r="Y995" t="s">
        <v>3446</v>
      </c>
    </row>
    <row r="996" spans="1:25">
      <c r="A996" t="s">
        <v>3447</v>
      </c>
      <c r="B996" t="s">
        <v>3448</v>
      </c>
      <c r="D996" t="s">
        <v>40</v>
      </c>
      <c r="E996" t="s">
        <v>41</v>
      </c>
      <c r="J996" t="s">
        <v>76</v>
      </c>
      <c r="K996" t="s">
        <v>77</v>
      </c>
      <c r="L996">
        <v>11</v>
      </c>
      <c r="M996" t="s">
        <v>3449</v>
      </c>
      <c r="N996" t="s">
        <v>64</v>
      </c>
      <c r="O996" t="s">
        <v>46</v>
      </c>
      <c r="P996" t="s">
        <v>46</v>
      </c>
      <c r="Y996" t="s">
        <v>3450</v>
      </c>
    </row>
    <row r="997" spans="1:25">
      <c r="A997" t="s">
        <v>3451</v>
      </c>
      <c r="B997" t="s">
        <v>3452</v>
      </c>
      <c r="D997" t="s">
        <v>40</v>
      </c>
      <c r="E997" t="s">
        <v>41</v>
      </c>
      <c r="J997" t="s">
        <v>182</v>
      </c>
      <c r="K997" t="s">
        <v>183</v>
      </c>
      <c r="L997">
        <v>11</v>
      </c>
      <c r="M997" t="s">
        <v>3449</v>
      </c>
      <c r="N997" t="s">
        <v>64</v>
      </c>
      <c r="O997" t="s">
        <v>46</v>
      </c>
      <c r="P997" t="s">
        <v>46</v>
      </c>
      <c r="Y997" t="s">
        <v>3453</v>
      </c>
    </row>
    <row r="998" spans="1:25">
      <c r="A998" t="s">
        <v>3454</v>
      </c>
      <c r="B998" t="s">
        <v>3455</v>
      </c>
      <c r="D998" t="s">
        <v>40</v>
      </c>
      <c r="E998" t="s">
        <v>41</v>
      </c>
      <c r="J998" t="s">
        <v>182</v>
      </c>
      <c r="K998" t="s">
        <v>183</v>
      </c>
      <c r="L998">
        <v>11</v>
      </c>
      <c r="M998" t="s">
        <v>3456</v>
      </c>
      <c r="N998" t="s">
        <v>64</v>
      </c>
      <c r="O998" t="s">
        <v>46</v>
      </c>
      <c r="P998" t="s">
        <v>46</v>
      </c>
      <c r="Y998" t="s">
        <v>3457</v>
      </c>
    </row>
    <row r="999" spans="1:25">
      <c r="A999" t="s">
        <v>3458</v>
      </c>
      <c r="B999" t="s">
        <v>3459</v>
      </c>
      <c r="D999" t="s">
        <v>40</v>
      </c>
      <c r="E999" t="s">
        <v>41</v>
      </c>
      <c r="J999" t="s">
        <v>182</v>
      </c>
      <c r="K999" t="s">
        <v>183</v>
      </c>
      <c r="L999">
        <v>11</v>
      </c>
      <c r="M999" t="s">
        <v>3456</v>
      </c>
      <c r="N999" t="s">
        <v>64</v>
      </c>
      <c r="O999" t="s">
        <v>46</v>
      </c>
      <c r="P999" t="s">
        <v>46</v>
      </c>
      <c r="Y999" t="s">
        <v>3460</v>
      </c>
    </row>
    <row r="1000" spans="1:25">
      <c r="A1000" t="s">
        <v>3461</v>
      </c>
      <c r="B1000" t="s">
        <v>3462</v>
      </c>
      <c r="D1000" t="s">
        <v>40</v>
      </c>
      <c r="E1000" t="s">
        <v>41</v>
      </c>
      <c r="J1000" t="s">
        <v>139</v>
      </c>
      <c r="K1000" t="s">
        <v>140</v>
      </c>
      <c r="L1000">
        <v>11</v>
      </c>
      <c r="M1000" t="s">
        <v>3456</v>
      </c>
      <c r="N1000" t="s">
        <v>1550</v>
      </c>
      <c r="O1000" t="s">
        <v>46</v>
      </c>
      <c r="P1000" t="s">
        <v>46</v>
      </c>
      <c r="Y1000" t="s">
        <v>3463</v>
      </c>
    </row>
    <row r="1001" spans="1:25">
      <c r="A1001" t="s">
        <v>3464</v>
      </c>
      <c r="B1001" t="s">
        <v>3465</v>
      </c>
      <c r="D1001" t="s">
        <v>40</v>
      </c>
      <c r="E1001" t="s">
        <v>41</v>
      </c>
      <c r="J1001" t="s">
        <v>62</v>
      </c>
      <c r="K1001" t="s">
        <v>63</v>
      </c>
      <c r="L1001">
        <v>11</v>
      </c>
      <c r="M1001" t="s">
        <v>3466</v>
      </c>
      <c r="N1001" t="s">
        <v>64</v>
      </c>
      <c r="O1001" t="s">
        <v>46</v>
      </c>
      <c r="P1001" t="s">
        <v>46</v>
      </c>
      <c r="Y1001" t="s">
        <v>3467</v>
      </c>
    </row>
    <row r="1002" spans="1:25">
      <c r="A1002" t="s">
        <v>3468</v>
      </c>
      <c r="B1002" t="s">
        <v>3469</v>
      </c>
      <c r="D1002" t="s">
        <v>40</v>
      </c>
      <c r="E1002" t="s">
        <v>41</v>
      </c>
      <c r="J1002" t="s">
        <v>68</v>
      </c>
      <c r="K1002" t="s">
        <v>69</v>
      </c>
      <c r="L1002">
        <v>11</v>
      </c>
      <c r="M1002" t="s">
        <v>3470</v>
      </c>
      <c r="N1002" t="s">
        <v>64</v>
      </c>
      <c r="O1002" t="s">
        <v>46</v>
      </c>
      <c r="P1002" t="s">
        <v>46</v>
      </c>
      <c r="Y1002" t="s">
        <v>3471</v>
      </c>
    </row>
    <row r="1003" spans="1:25">
      <c r="A1003" t="s">
        <v>3472</v>
      </c>
      <c r="B1003" t="s">
        <v>3473</v>
      </c>
      <c r="D1003" t="s">
        <v>40</v>
      </c>
      <c r="E1003" t="s">
        <v>41</v>
      </c>
      <c r="J1003" t="s">
        <v>76</v>
      </c>
      <c r="K1003" t="s">
        <v>77</v>
      </c>
      <c r="L1003">
        <v>11</v>
      </c>
      <c r="M1003" t="s">
        <v>3470</v>
      </c>
      <c r="N1003" t="s">
        <v>64</v>
      </c>
      <c r="O1003" t="s">
        <v>46</v>
      </c>
      <c r="P1003" t="s">
        <v>46</v>
      </c>
      <c r="Y1003" t="s">
        <v>3474</v>
      </c>
    </row>
    <row r="1004" spans="1:25">
      <c r="A1004" t="s">
        <v>3475</v>
      </c>
      <c r="B1004" t="s">
        <v>3476</v>
      </c>
      <c r="D1004" t="s">
        <v>40</v>
      </c>
      <c r="E1004" t="s">
        <v>41</v>
      </c>
      <c r="J1004" t="s">
        <v>182</v>
      </c>
      <c r="K1004" t="s">
        <v>183</v>
      </c>
      <c r="L1004">
        <v>11</v>
      </c>
      <c r="M1004" t="s">
        <v>3477</v>
      </c>
      <c r="N1004" t="s">
        <v>64</v>
      </c>
      <c r="O1004" t="s">
        <v>46</v>
      </c>
      <c r="P1004" t="s">
        <v>46</v>
      </c>
      <c r="Y1004" t="s">
        <v>3478</v>
      </c>
    </row>
    <row r="1005" spans="1:25">
      <c r="A1005" t="s">
        <v>3479</v>
      </c>
      <c r="B1005" t="s">
        <v>3480</v>
      </c>
      <c r="D1005" t="s">
        <v>40</v>
      </c>
      <c r="E1005" t="s">
        <v>41</v>
      </c>
      <c r="J1005" t="s">
        <v>182</v>
      </c>
      <c r="K1005" t="s">
        <v>183</v>
      </c>
      <c r="L1005">
        <v>11</v>
      </c>
      <c r="M1005" t="s">
        <v>3477</v>
      </c>
      <c r="N1005" t="s">
        <v>64</v>
      </c>
      <c r="O1005" t="s">
        <v>46</v>
      </c>
      <c r="P1005" t="s">
        <v>46</v>
      </c>
      <c r="Y1005" t="s">
        <v>3481</v>
      </c>
    </row>
    <row r="1006" spans="1:25">
      <c r="A1006" t="s">
        <v>3482</v>
      </c>
      <c r="B1006" t="s">
        <v>3483</v>
      </c>
      <c r="D1006" t="s">
        <v>40</v>
      </c>
      <c r="E1006" t="s">
        <v>41</v>
      </c>
      <c r="J1006" t="s">
        <v>182</v>
      </c>
      <c r="K1006" t="s">
        <v>183</v>
      </c>
      <c r="L1006">
        <v>11</v>
      </c>
      <c r="M1006" t="s">
        <v>3477</v>
      </c>
      <c r="N1006" t="s">
        <v>64</v>
      </c>
      <c r="O1006" t="s">
        <v>46</v>
      </c>
      <c r="P1006" t="s">
        <v>46</v>
      </c>
      <c r="Y1006" t="s">
        <v>3484</v>
      </c>
    </row>
    <row r="1007" spans="1:25">
      <c r="A1007" t="s">
        <v>3485</v>
      </c>
      <c r="B1007" t="s">
        <v>3486</v>
      </c>
      <c r="D1007" t="s">
        <v>40</v>
      </c>
      <c r="E1007" t="s">
        <v>41</v>
      </c>
      <c r="J1007" t="s">
        <v>182</v>
      </c>
      <c r="K1007" t="s">
        <v>183</v>
      </c>
      <c r="L1007">
        <v>11</v>
      </c>
      <c r="M1007" t="s">
        <v>3477</v>
      </c>
      <c r="N1007" t="s">
        <v>64</v>
      </c>
      <c r="O1007" t="s">
        <v>46</v>
      </c>
      <c r="P1007" t="s">
        <v>46</v>
      </c>
      <c r="Y1007" t="s">
        <v>3487</v>
      </c>
    </row>
    <row r="1008" spans="1:25">
      <c r="A1008" t="s">
        <v>3488</v>
      </c>
      <c r="B1008" t="s">
        <v>3489</v>
      </c>
      <c r="D1008" t="s">
        <v>40</v>
      </c>
      <c r="E1008" t="s">
        <v>41</v>
      </c>
      <c r="J1008" t="s">
        <v>42</v>
      </c>
      <c r="K1008" t="s">
        <v>43</v>
      </c>
      <c r="L1008">
        <v>11</v>
      </c>
      <c r="M1008" t="s">
        <v>3490</v>
      </c>
      <c r="N1008" t="s">
        <v>350</v>
      </c>
      <c r="O1008" t="s">
        <v>46</v>
      </c>
      <c r="P1008" t="s">
        <v>46</v>
      </c>
      <c r="Y1008" t="s">
        <v>3491</v>
      </c>
    </row>
    <row r="1009" spans="1:25">
      <c r="A1009" t="s">
        <v>3492</v>
      </c>
      <c r="B1009" t="s">
        <v>3493</v>
      </c>
      <c r="D1009" t="s">
        <v>40</v>
      </c>
      <c r="E1009" t="s">
        <v>41</v>
      </c>
      <c r="J1009" t="s">
        <v>182</v>
      </c>
      <c r="K1009" t="s">
        <v>183</v>
      </c>
      <c r="L1009">
        <v>11</v>
      </c>
      <c r="M1009" t="s">
        <v>3490</v>
      </c>
      <c r="N1009" t="s">
        <v>64</v>
      </c>
      <c r="O1009" t="s">
        <v>46</v>
      </c>
      <c r="P1009" t="s">
        <v>46</v>
      </c>
      <c r="Y1009" t="s">
        <v>3494</v>
      </c>
    </row>
    <row r="1010" spans="1:25">
      <c r="A1010" t="s">
        <v>3495</v>
      </c>
      <c r="B1010" t="s">
        <v>3496</v>
      </c>
      <c r="D1010" t="s">
        <v>40</v>
      </c>
      <c r="E1010" t="s">
        <v>41</v>
      </c>
      <c r="J1010" t="s">
        <v>76</v>
      </c>
      <c r="K1010" t="s">
        <v>77</v>
      </c>
      <c r="L1010">
        <v>11</v>
      </c>
      <c r="M1010" t="s">
        <v>3490</v>
      </c>
      <c r="N1010" t="s">
        <v>64</v>
      </c>
      <c r="O1010" t="s">
        <v>46</v>
      </c>
      <c r="P1010" t="s">
        <v>46</v>
      </c>
      <c r="Y1010" t="s">
        <v>3497</v>
      </c>
    </row>
    <row r="1011" spans="1:25">
      <c r="A1011" t="s">
        <v>3498</v>
      </c>
      <c r="B1011" t="s">
        <v>3499</v>
      </c>
      <c r="D1011" t="s">
        <v>40</v>
      </c>
      <c r="E1011" t="s">
        <v>41</v>
      </c>
      <c r="J1011" t="s">
        <v>182</v>
      </c>
      <c r="K1011" t="s">
        <v>183</v>
      </c>
      <c r="L1011">
        <v>11</v>
      </c>
      <c r="M1011" t="s">
        <v>3490</v>
      </c>
      <c r="N1011" t="s">
        <v>64</v>
      </c>
      <c r="O1011" t="s">
        <v>46</v>
      </c>
      <c r="P1011" t="s">
        <v>46</v>
      </c>
      <c r="Y1011" t="s">
        <v>3500</v>
      </c>
    </row>
    <row r="1012" spans="1:25">
      <c r="A1012" t="s">
        <v>3501</v>
      </c>
      <c r="B1012" t="s">
        <v>3502</v>
      </c>
      <c r="D1012" t="s">
        <v>40</v>
      </c>
      <c r="E1012" t="s">
        <v>41</v>
      </c>
      <c r="J1012" t="s">
        <v>68</v>
      </c>
      <c r="K1012" t="s">
        <v>69</v>
      </c>
      <c r="L1012">
        <v>11</v>
      </c>
      <c r="M1012" t="s">
        <v>3503</v>
      </c>
      <c r="N1012" t="s">
        <v>64</v>
      </c>
      <c r="O1012" t="s">
        <v>46</v>
      </c>
      <c r="P1012" t="s">
        <v>46</v>
      </c>
      <c r="Y1012" t="s">
        <v>3504</v>
      </c>
    </row>
    <row r="1013" spans="1:25">
      <c r="A1013" t="s">
        <v>3505</v>
      </c>
      <c r="B1013" t="s">
        <v>3506</v>
      </c>
      <c r="D1013" t="s">
        <v>40</v>
      </c>
      <c r="E1013" t="s">
        <v>41</v>
      </c>
      <c r="J1013" t="s">
        <v>182</v>
      </c>
      <c r="K1013" t="s">
        <v>183</v>
      </c>
      <c r="L1013">
        <v>11</v>
      </c>
      <c r="M1013" t="s">
        <v>3503</v>
      </c>
      <c r="N1013" t="s">
        <v>64</v>
      </c>
      <c r="O1013" t="s">
        <v>46</v>
      </c>
      <c r="P1013" t="s">
        <v>46</v>
      </c>
      <c r="Y1013" t="s">
        <v>3507</v>
      </c>
    </row>
    <row r="1014" spans="1:25">
      <c r="A1014" t="s">
        <v>3508</v>
      </c>
      <c r="B1014" t="s">
        <v>3509</v>
      </c>
      <c r="D1014" t="s">
        <v>40</v>
      </c>
      <c r="E1014" t="s">
        <v>41</v>
      </c>
      <c r="J1014" t="s">
        <v>68</v>
      </c>
      <c r="K1014" t="s">
        <v>69</v>
      </c>
      <c r="L1014">
        <v>11</v>
      </c>
      <c r="M1014" t="s">
        <v>3503</v>
      </c>
      <c r="N1014" t="s">
        <v>64</v>
      </c>
      <c r="O1014" t="s">
        <v>46</v>
      </c>
      <c r="P1014" t="s">
        <v>46</v>
      </c>
      <c r="Y1014" t="s">
        <v>3510</v>
      </c>
    </row>
    <row r="1015" spans="1:25">
      <c r="A1015" t="s">
        <v>3511</v>
      </c>
      <c r="B1015" t="s">
        <v>3512</v>
      </c>
      <c r="D1015" t="s">
        <v>40</v>
      </c>
      <c r="E1015" t="s">
        <v>41</v>
      </c>
      <c r="J1015" t="s">
        <v>139</v>
      </c>
      <c r="K1015" t="s">
        <v>140</v>
      </c>
      <c r="L1015">
        <v>7</v>
      </c>
      <c r="M1015" t="s">
        <v>3513</v>
      </c>
      <c r="N1015" t="s">
        <v>142</v>
      </c>
      <c r="O1015" t="s">
        <v>46</v>
      </c>
      <c r="P1015" t="s">
        <v>46</v>
      </c>
      <c r="Y1015" t="s">
        <v>3514</v>
      </c>
    </row>
    <row r="1016" spans="1:25">
      <c r="A1016" t="s">
        <v>3515</v>
      </c>
      <c r="B1016" t="s">
        <v>3516</v>
      </c>
      <c r="D1016" t="s">
        <v>40</v>
      </c>
      <c r="E1016" t="s">
        <v>41</v>
      </c>
      <c r="J1016" t="s">
        <v>182</v>
      </c>
      <c r="K1016" t="s">
        <v>183</v>
      </c>
      <c r="L1016">
        <v>11</v>
      </c>
      <c r="M1016" t="s">
        <v>3513</v>
      </c>
      <c r="N1016" t="s">
        <v>64</v>
      </c>
      <c r="O1016" t="s">
        <v>46</v>
      </c>
      <c r="P1016" t="s">
        <v>46</v>
      </c>
      <c r="Y1016" t="s">
        <v>3517</v>
      </c>
    </row>
    <row r="1017" spans="1:25">
      <c r="A1017" t="s">
        <v>3518</v>
      </c>
      <c r="B1017" t="s">
        <v>3519</v>
      </c>
      <c r="D1017" t="s">
        <v>40</v>
      </c>
      <c r="E1017" t="s">
        <v>41</v>
      </c>
      <c r="J1017" t="s">
        <v>182</v>
      </c>
      <c r="K1017" t="s">
        <v>183</v>
      </c>
      <c r="L1017">
        <v>11</v>
      </c>
      <c r="M1017" t="s">
        <v>3513</v>
      </c>
      <c r="N1017" t="s">
        <v>64</v>
      </c>
      <c r="O1017" t="s">
        <v>46</v>
      </c>
      <c r="P1017" t="s">
        <v>46</v>
      </c>
      <c r="Y1017" t="s">
        <v>3520</v>
      </c>
    </row>
    <row r="1018" spans="1:25">
      <c r="A1018" t="s">
        <v>3521</v>
      </c>
      <c r="B1018" t="s">
        <v>3522</v>
      </c>
      <c r="D1018" t="s">
        <v>40</v>
      </c>
      <c r="E1018" t="s">
        <v>41</v>
      </c>
      <c r="J1018" t="s">
        <v>68</v>
      </c>
      <c r="K1018" t="s">
        <v>69</v>
      </c>
      <c r="L1018">
        <v>11</v>
      </c>
      <c r="M1018" t="s">
        <v>3513</v>
      </c>
      <c r="N1018" t="s">
        <v>64</v>
      </c>
      <c r="O1018" t="s">
        <v>46</v>
      </c>
      <c r="P1018" t="s">
        <v>46</v>
      </c>
      <c r="Y1018" t="s">
        <v>3523</v>
      </c>
    </row>
    <row r="1019" spans="1:25">
      <c r="A1019" t="s">
        <v>3524</v>
      </c>
      <c r="B1019" t="s">
        <v>3525</v>
      </c>
      <c r="D1019" t="s">
        <v>40</v>
      </c>
      <c r="E1019" t="s">
        <v>41</v>
      </c>
      <c r="J1019" t="s">
        <v>50</v>
      </c>
      <c r="K1019" t="s">
        <v>51</v>
      </c>
      <c r="L1019">
        <v>13</v>
      </c>
      <c r="M1019" t="s">
        <v>3526</v>
      </c>
      <c r="N1019" t="s">
        <v>350</v>
      </c>
      <c r="O1019" t="s">
        <v>46</v>
      </c>
      <c r="P1019" t="s">
        <v>46</v>
      </c>
      <c r="Y1019" t="s">
        <v>3527</v>
      </c>
    </row>
    <row r="1020" spans="1:25">
      <c r="A1020" t="s">
        <v>3528</v>
      </c>
      <c r="B1020" t="s">
        <v>3529</v>
      </c>
      <c r="D1020" t="s">
        <v>40</v>
      </c>
      <c r="E1020" t="s">
        <v>41</v>
      </c>
      <c r="J1020" t="s">
        <v>68</v>
      </c>
      <c r="K1020" t="s">
        <v>69</v>
      </c>
      <c r="L1020">
        <v>11</v>
      </c>
      <c r="M1020" t="s">
        <v>3530</v>
      </c>
      <c r="N1020" t="s">
        <v>64</v>
      </c>
      <c r="O1020" t="s">
        <v>46</v>
      </c>
      <c r="P1020" t="s">
        <v>46</v>
      </c>
      <c r="Y1020" t="s">
        <v>3531</v>
      </c>
    </row>
    <row r="1021" spans="1:25">
      <c r="A1021" t="s">
        <v>3532</v>
      </c>
      <c r="B1021" t="s">
        <v>3533</v>
      </c>
      <c r="D1021" t="s">
        <v>40</v>
      </c>
      <c r="E1021" t="s">
        <v>41</v>
      </c>
      <c r="J1021" t="s">
        <v>68</v>
      </c>
      <c r="K1021" t="s">
        <v>69</v>
      </c>
      <c r="L1021">
        <v>11</v>
      </c>
      <c r="M1021" t="s">
        <v>3530</v>
      </c>
      <c r="N1021" t="s">
        <v>64</v>
      </c>
      <c r="O1021" t="s">
        <v>46</v>
      </c>
      <c r="P1021" t="s">
        <v>46</v>
      </c>
      <c r="Y1021" t="s">
        <v>3534</v>
      </c>
    </row>
    <row r="1022" spans="1:25">
      <c r="A1022" t="s">
        <v>3535</v>
      </c>
      <c r="B1022" t="s">
        <v>3536</v>
      </c>
      <c r="D1022" t="s">
        <v>40</v>
      </c>
      <c r="E1022" t="s">
        <v>41</v>
      </c>
      <c r="J1022" t="s">
        <v>264</v>
      </c>
      <c r="K1022" t="s">
        <v>265</v>
      </c>
      <c r="L1022">
        <v>13</v>
      </c>
      <c r="M1022" t="s">
        <v>3537</v>
      </c>
      <c r="N1022" t="s">
        <v>1397</v>
      </c>
      <c r="O1022" t="s">
        <v>46</v>
      </c>
      <c r="P1022" t="s">
        <v>46</v>
      </c>
      <c r="Y1022" t="s">
        <v>3538</v>
      </c>
    </row>
    <row r="1023" spans="1:25">
      <c r="A1023" t="s">
        <v>3539</v>
      </c>
      <c r="B1023" t="s">
        <v>3540</v>
      </c>
      <c r="D1023" t="s">
        <v>40</v>
      </c>
      <c r="E1023" t="s">
        <v>41</v>
      </c>
      <c r="J1023" t="s">
        <v>62</v>
      </c>
      <c r="K1023" t="s">
        <v>63</v>
      </c>
      <c r="L1023">
        <v>11</v>
      </c>
      <c r="M1023" t="s">
        <v>3537</v>
      </c>
      <c r="N1023" t="s">
        <v>64</v>
      </c>
      <c r="O1023" t="s">
        <v>46</v>
      </c>
      <c r="P1023" t="s">
        <v>46</v>
      </c>
      <c r="Y1023" t="s">
        <v>3541</v>
      </c>
    </row>
    <row r="1024" spans="1:25">
      <c r="A1024" t="s">
        <v>3542</v>
      </c>
      <c r="B1024" t="s">
        <v>3543</v>
      </c>
      <c r="D1024" t="s">
        <v>40</v>
      </c>
      <c r="E1024" t="s">
        <v>41</v>
      </c>
      <c r="J1024" t="s">
        <v>1214</v>
      </c>
      <c r="K1024" t="s">
        <v>1215</v>
      </c>
      <c r="L1024">
        <v>11</v>
      </c>
      <c r="M1024" t="s">
        <v>3537</v>
      </c>
      <c r="N1024" t="s">
        <v>2346</v>
      </c>
      <c r="O1024" t="s">
        <v>46</v>
      </c>
      <c r="P1024" t="s">
        <v>46</v>
      </c>
      <c r="Y1024" t="s">
        <v>3544</v>
      </c>
    </row>
    <row r="1025" spans="1:25">
      <c r="A1025" t="s">
        <v>3545</v>
      </c>
      <c r="B1025" t="s">
        <v>3546</v>
      </c>
      <c r="D1025" t="s">
        <v>40</v>
      </c>
      <c r="E1025" t="s">
        <v>41</v>
      </c>
      <c r="J1025" t="s">
        <v>76</v>
      </c>
      <c r="K1025" t="s">
        <v>77</v>
      </c>
      <c r="L1025">
        <v>11</v>
      </c>
      <c r="M1025" t="s">
        <v>3537</v>
      </c>
      <c r="N1025" t="s">
        <v>64</v>
      </c>
      <c r="O1025" t="s">
        <v>46</v>
      </c>
      <c r="P1025" t="s">
        <v>46</v>
      </c>
      <c r="Y1025" t="s">
        <v>3547</v>
      </c>
    </row>
    <row r="1026" spans="1:25">
      <c r="A1026" t="s">
        <v>3548</v>
      </c>
      <c r="B1026" t="s">
        <v>3549</v>
      </c>
      <c r="D1026" t="s">
        <v>40</v>
      </c>
      <c r="E1026" t="s">
        <v>41</v>
      </c>
      <c r="J1026" t="s">
        <v>76</v>
      </c>
      <c r="K1026" t="s">
        <v>77</v>
      </c>
      <c r="L1026">
        <v>11</v>
      </c>
      <c r="M1026" t="s">
        <v>3537</v>
      </c>
      <c r="N1026" t="s">
        <v>64</v>
      </c>
      <c r="O1026" t="s">
        <v>46</v>
      </c>
      <c r="P1026" t="s">
        <v>46</v>
      </c>
      <c r="Y1026" t="s">
        <v>3550</v>
      </c>
    </row>
    <row r="1027" spans="1:25">
      <c r="A1027" t="s">
        <v>3551</v>
      </c>
      <c r="B1027" t="s">
        <v>3552</v>
      </c>
      <c r="D1027" t="s">
        <v>40</v>
      </c>
      <c r="E1027" t="s">
        <v>41</v>
      </c>
      <c r="J1027" t="s">
        <v>62</v>
      </c>
      <c r="K1027" t="s">
        <v>63</v>
      </c>
      <c r="L1027">
        <v>11</v>
      </c>
      <c r="M1027" t="s">
        <v>3553</v>
      </c>
      <c r="N1027" t="s">
        <v>64</v>
      </c>
      <c r="O1027" t="s">
        <v>46</v>
      </c>
      <c r="P1027" t="s">
        <v>46</v>
      </c>
      <c r="Y1027" t="s">
        <v>3554</v>
      </c>
    </row>
    <row r="1028" spans="1:25">
      <c r="A1028" t="s">
        <v>3555</v>
      </c>
      <c r="B1028" t="s">
        <v>3556</v>
      </c>
      <c r="D1028" t="s">
        <v>40</v>
      </c>
      <c r="E1028" t="s">
        <v>41</v>
      </c>
      <c r="J1028" t="s">
        <v>68</v>
      </c>
      <c r="K1028" t="s">
        <v>69</v>
      </c>
      <c r="L1028">
        <v>11</v>
      </c>
      <c r="M1028" t="s">
        <v>3553</v>
      </c>
      <c r="N1028" t="s">
        <v>64</v>
      </c>
      <c r="O1028" t="s">
        <v>46</v>
      </c>
      <c r="P1028" t="s">
        <v>46</v>
      </c>
      <c r="Y1028" t="s">
        <v>3557</v>
      </c>
    </row>
    <row r="1029" spans="1:25">
      <c r="A1029" t="s">
        <v>3558</v>
      </c>
      <c r="B1029" t="s">
        <v>3559</v>
      </c>
      <c r="D1029" t="s">
        <v>40</v>
      </c>
      <c r="E1029" t="s">
        <v>41</v>
      </c>
      <c r="J1029" t="s">
        <v>182</v>
      </c>
      <c r="K1029" t="s">
        <v>183</v>
      </c>
      <c r="L1029">
        <v>11</v>
      </c>
      <c r="M1029" t="s">
        <v>3553</v>
      </c>
      <c r="N1029" t="s">
        <v>64</v>
      </c>
      <c r="O1029" t="s">
        <v>46</v>
      </c>
      <c r="P1029" t="s">
        <v>46</v>
      </c>
      <c r="Y1029" t="s">
        <v>3560</v>
      </c>
    </row>
    <row r="1030" spans="1:25">
      <c r="A1030" t="s">
        <v>3561</v>
      </c>
      <c r="B1030" t="s">
        <v>3562</v>
      </c>
      <c r="D1030" t="s">
        <v>40</v>
      </c>
      <c r="E1030" t="s">
        <v>41</v>
      </c>
      <c r="J1030" t="s">
        <v>182</v>
      </c>
      <c r="K1030" t="s">
        <v>183</v>
      </c>
      <c r="L1030">
        <v>11</v>
      </c>
      <c r="M1030" t="s">
        <v>3553</v>
      </c>
      <c r="N1030" t="s">
        <v>64</v>
      </c>
      <c r="O1030" t="s">
        <v>46</v>
      </c>
      <c r="P1030" t="s">
        <v>46</v>
      </c>
      <c r="Y1030" t="s">
        <v>3563</v>
      </c>
    </row>
    <row r="1031" spans="1:25">
      <c r="A1031" t="s">
        <v>3564</v>
      </c>
      <c r="B1031" t="s">
        <v>3565</v>
      </c>
      <c r="D1031" t="s">
        <v>40</v>
      </c>
      <c r="E1031" t="s">
        <v>41</v>
      </c>
      <c r="J1031" t="s">
        <v>182</v>
      </c>
      <c r="K1031" t="s">
        <v>183</v>
      </c>
      <c r="L1031">
        <v>11</v>
      </c>
      <c r="M1031" t="s">
        <v>3566</v>
      </c>
      <c r="N1031" t="s">
        <v>64</v>
      </c>
      <c r="O1031" t="s">
        <v>46</v>
      </c>
      <c r="P1031" t="s">
        <v>46</v>
      </c>
      <c r="Y1031" t="s">
        <v>3567</v>
      </c>
    </row>
    <row r="1032" spans="1:25">
      <c r="A1032" t="s">
        <v>3568</v>
      </c>
      <c r="B1032" t="s">
        <v>3569</v>
      </c>
      <c r="D1032" t="s">
        <v>40</v>
      </c>
      <c r="E1032" t="s">
        <v>41</v>
      </c>
      <c r="J1032" t="s">
        <v>76</v>
      </c>
      <c r="K1032" t="s">
        <v>77</v>
      </c>
      <c r="L1032">
        <v>11</v>
      </c>
      <c r="M1032" t="s">
        <v>3566</v>
      </c>
      <c r="N1032" t="s">
        <v>64</v>
      </c>
      <c r="O1032" t="s">
        <v>46</v>
      </c>
      <c r="P1032" t="s">
        <v>46</v>
      </c>
      <c r="Y1032" t="s">
        <v>3570</v>
      </c>
    </row>
    <row r="1033" spans="1:25">
      <c r="A1033" t="s">
        <v>3571</v>
      </c>
      <c r="B1033" t="s">
        <v>3572</v>
      </c>
      <c r="D1033" t="s">
        <v>40</v>
      </c>
      <c r="E1033" t="s">
        <v>41</v>
      </c>
      <c r="J1033" t="s">
        <v>182</v>
      </c>
      <c r="K1033" t="s">
        <v>183</v>
      </c>
      <c r="L1033">
        <v>11</v>
      </c>
      <c r="M1033" t="s">
        <v>3566</v>
      </c>
      <c r="N1033" t="s">
        <v>64</v>
      </c>
      <c r="O1033" t="s">
        <v>46</v>
      </c>
      <c r="P1033" t="s">
        <v>46</v>
      </c>
      <c r="Y1033" t="s">
        <v>3573</v>
      </c>
    </row>
    <row r="1034" spans="1:25">
      <c r="A1034" t="s">
        <v>3574</v>
      </c>
      <c r="B1034" t="s">
        <v>3575</v>
      </c>
      <c r="D1034" t="s">
        <v>40</v>
      </c>
      <c r="E1034" t="s">
        <v>41</v>
      </c>
      <c r="J1034" t="s">
        <v>68</v>
      </c>
      <c r="K1034" t="s">
        <v>69</v>
      </c>
      <c r="L1034">
        <v>11</v>
      </c>
      <c r="M1034" t="s">
        <v>3576</v>
      </c>
      <c r="N1034" t="s">
        <v>64</v>
      </c>
      <c r="O1034" t="s">
        <v>46</v>
      </c>
      <c r="P1034" t="s">
        <v>46</v>
      </c>
      <c r="Y1034" t="s">
        <v>3577</v>
      </c>
    </row>
    <row r="1035" spans="1:25">
      <c r="A1035" t="s">
        <v>3578</v>
      </c>
      <c r="B1035" t="s">
        <v>3579</v>
      </c>
      <c r="D1035" t="s">
        <v>40</v>
      </c>
      <c r="E1035" t="s">
        <v>41</v>
      </c>
      <c r="J1035" t="s">
        <v>50</v>
      </c>
      <c r="K1035" t="s">
        <v>51</v>
      </c>
      <c r="L1035">
        <v>11</v>
      </c>
      <c r="M1035" t="s">
        <v>3580</v>
      </c>
      <c r="N1035" t="s">
        <v>950</v>
      </c>
      <c r="O1035" t="s">
        <v>46</v>
      </c>
      <c r="P1035" t="s">
        <v>46</v>
      </c>
      <c r="Y1035" t="s">
        <v>3581</v>
      </c>
    </row>
    <row r="1036" spans="1:25">
      <c r="A1036" t="s">
        <v>3582</v>
      </c>
      <c r="B1036" t="s">
        <v>3583</v>
      </c>
      <c r="D1036" t="s">
        <v>40</v>
      </c>
      <c r="E1036" t="s">
        <v>41</v>
      </c>
      <c r="J1036" t="s">
        <v>76</v>
      </c>
      <c r="K1036" t="s">
        <v>77</v>
      </c>
      <c r="L1036">
        <v>11</v>
      </c>
      <c r="M1036" t="s">
        <v>3580</v>
      </c>
      <c r="N1036" t="s">
        <v>64</v>
      </c>
      <c r="O1036" t="s">
        <v>46</v>
      </c>
      <c r="P1036" t="s">
        <v>46</v>
      </c>
      <c r="Y1036" t="s">
        <v>3584</v>
      </c>
    </row>
    <row r="1037" spans="1:25">
      <c r="A1037" t="s">
        <v>3585</v>
      </c>
      <c r="B1037" t="s">
        <v>3586</v>
      </c>
      <c r="D1037" t="s">
        <v>40</v>
      </c>
      <c r="E1037" t="s">
        <v>41</v>
      </c>
      <c r="J1037" t="s">
        <v>68</v>
      </c>
      <c r="K1037" t="s">
        <v>69</v>
      </c>
      <c r="L1037">
        <v>11</v>
      </c>
      <c r="M1037" t="s">
        <v>3580</v>
      </c>
      <c r="N1037" t="s">
        <v>64</v>
      </c>
      <c r="O1037" t="s">
        <v>46</v>
      </c>
      <c r="P1037" t="s">
        <v>46</v>
      </c>
      <c r="Y1037" t="s">
        <v>3587</v>
      </c>
    </row>
    <row r="1038" spans="1:25">
      <c r="A1038" t="s">
        <v>3588</v>
      </c>
      <c r="B1038" t="s">
        <v>3589</v>
      </c>
      <c r="D1038" t="s">
        <v>40</v>
      </c>
      <c r="E1038" t="s">
        <v>41</v>
      </c>
      <c r="J1038" t="s">
        <v>76</v>
      </c>
      <c r="K1038" t="s">
        <v>77</v>
      </c>
      <c r="L1038">
        <v>11</v>
      </c>
      <c r="M1038" t="s">
        <v>3580</v>
      </c>
      <c r="N1038" t="s">
        <v>64</v>
      </c>
      <c r="O1038" t="s">
        <v>46</v>
      </c>
      <c r="P1038" t="s">
        <v>46</v>
      </c>
      <c r="Y1038" t="s">
        <v>3590</v>
      </c>
    </row>
    <row r="1039" spans="1:25">
      <c r="A1039" t="s">
        <v>3591</v>
      </c>
      <c r="B1039" t="s">
        <v>3592</v>
      </c>
      <c r="D1039" t="s">
        <v>40</v>
      </c>
      <c r="E1039" t="s">
        <v>41</v>
      </c>
      <c r="J1039" t="s">
        <v>182</v>
      </c>
      <c r="K1039" t="s">
        <v>183</v>
      </c>
      <c r="L1039">
        <v>11</v>
      </c>
      <c r="M1039" t="s">
        <v>3593</v>
      </c>
      <c r="N1039" t="s">
        <v>64</v>
      </c>
      <c r="O1039" t="s">
        <v>46</v>
      </c>
      <c r="P1039" t="s">
        <v>46</v>
      </c>
      <c r="Y1039" t="s">
        <v>3594</v>
      </c>
    </row>
    <row r="1040" spans="1:25">
      <c r="A1040" t="s">
        <v>3595</v>
      </c>
      <c r="B1040" t="s">
        <v>3596</v>
      </c>
      <c r="D1040" t="s">
        <v>40</v>
      </c>
      <c r="E1040" t="s">
        <v>41</v>
      </c>
      <c r="J1040" t="s">
        <v>264</v>
      </c>
      <c r="K1040" t="s">
        <v>265</v>
      </c>
      <c r="L1040">
        <v>11</v>
      </c>
      <c r="M1040" t="s">
        <v>3593</v>
      </c>
      <c r="N1040" t="s">
        <v>2154</v>
      </c>
      <c r="O1040" t="s">
        <v>46</v>
      </c>
      <c r="P1040" t="s">
        <v>46</v>
      </c>
      <c r="Y1040" t="s">
        <v>3597</v>
      </c>
    </row>
    <row r="1041" spans="1:25">
      <c r="A1041" t="s">
        <v>3598</v>
      </c>
      <c r="B1041" t="s">
        <v>3599</v>
      </c>
      <c r="D1041" t="s">
        <v>40</v>
      </c>
      <c r="E1041" t="s">
        <v>41</v>
      </c>
      <c r="J1041" t="s">
        <v>76</v>
      </c>
      <c r="K1041" t="s">
        <v>77</v>
      </c>
      <c r="L1041">
        <v>11</v>
      </c>
      <c r="M1041" t="s">
        <v>3593</v>
      </c>
      <c r="N1041" t="s">
        <v>64</v>
      </c>
      <c r="O1041" t="s">
        <v>46</v>
      </c>
      <c r="P1041" t="s">
        <v>46</v>
      </c>
      <c r="Y1041" t="s">
        <v>3600</v>
      </c>
    </row>
    <row r="1042" spans="1:25">
      <c r="A1042" t="s">
        <v>3601</v>
      </c>
      <c r="B1042" t="s">
        <v>3602</v>
      </c>
      <c r="D1042" t="s">
        <v>40</v>
      </c>
      <c r="E1042" t="s">
        <v>41</v>
      </c>
      <c r="J1042" t="s">
        <v>68</v>
      </c>
      <c r="K1042" t="s">
        <v>69</v>
      </c>
      <c r="L1042">
        <v>11</v>
      </c>
      <c r="M1042" t="s">
        <v>3593</v>
      </c>
      <c r="N1042" t="s">
        <v>64</v>
      </c>
      <c r="O1042" t="s">
        <v>46</v>
      </c>
      <c r="P1042" t="s">
        <v>46</v>
      </c>
      <c r="Y1042" t="s">
        <v>3603</v>
      </c>
    </row>
    <row r="1043" spans="1:25">
      <c r="A1043" t="s">
        <v>3604</v>
      </c>
      <c r="B1043" t="s">
        <v>3605</v>
      </c>
      <c r="D1043" t="s">
        <v>40</v>
      </c>
      <c r="E1043" t="s">
        <v>41</v>
      </c>
      <c r="J1043" t="s">
        <v>42</v>
      </c>
      <c r="K1043" t="s">
        <v>43</v>
      </c>
      <c r="L1043">
        <v>11</v>
      </c>
      <c r="M1043" t="s">
        <v>3593</v>
      </c>
      <c r="N1043" t="s">
        <v>1392</v>
      </c>
      <c r="O1043" t="s">
        <v>46</v>
      </c>
      <c r="P1043" t="s">
        <v>46</v>
      </c>
      <c r="Y1043" t="s">
        <v>3606</v>
      </c>
    </row>
    <row r="1044" spans="1:25">
      <c r="A1044" t="s">
        <v>3607</v>
      </c>
      <c r="B1044" t="s">
        <v>3608</v>
      </c>
      <c r="D1044" t="s">
        <v>40</v>
      </c>
      <c r="E1044" t="s">
        <v>41</v>
      </c>
      <c r="J1044" t="s">
        <v>182</v>
      </c>
      <c r="K1044" t="s">
        <v>183</v>
      </c>
      <c r="L1044">
        <v>11</v>
      </c>
      <c r="M1044" t="s">
        <v>3609</v>
      </c>
      <c r="N1044" t="s">
        <v>64</v>
      </c>
      <c r="O1044" t="s">
        <v>46</v>
      </c>
      <c r="P1044" t="s">
        <v>46</v>
      </c>
      <c r="Y1044" t="s">
        <v>3610</v>
      </c>
    </row>
    <row r="1045" spans="1:25">
      <c r="A1045" t="s">
        <v>3611</v>
      </c>
      <c r="B1045" t="s">
        <v>3612</v>
      </c>
      <c r="D1045" t="s">
        <v>40</v>
      </c>
      <c r="E1045" t="s">
        <v>41</v>
      </c>
      <c r="J1045" t="s">
        <v>42</v>
      </c>
      <c r="K1045" t="s">
        <v>43</v>
      </c>
      <c r="L1045">
        <v>11</v>
      </c>
      <c r="M1045" t="s">
        <v>3609</v>
      </c>
      <c r="N1045" t="s">
        <v>218</v>
      </c>
      <c r="O1045" t="s">
        <v>46</v>
      </c>
      <c r="P1045" t="s">
        <v>46</v>
      </c>
      <c r="Y1045" t="s">
        <v>3613</v>
      </c>
    </row>
    <row r="1046" spans="1:25">
      <c r="A1046" t="s">
        <v>3614</v>
      </c>
      <c r="B1046" t="s">
        <v>3615</v>
      </c>
      <c r="D1046" t="s">
        <v>40</v>
      </c>
      <c r="E1046" t="s">
        <v>41</v>
      </c>
      <c r="J1046" t="s">
        <v>76</v>
      </c>
      <c r="K1046" t="s">
        <v>77</v>
      </c>
      <c r="L1046">
        <v>11</v>
      </c>
      <c r="M1046" t="s">
        <v>3616</v>
      </c>
      <c r="N1046" t="s">
        <v>64</v>
      </c>
      <c r="O1046" t="s">
        <v>46</v>
      </c>
      <c r="P1046" t="s">
        <v>46</v>
      </c>
      <c r="Y1046" t="s">
        <v>3617</v>
      </c>
    </row>
    <row r="1047" spans="1:25">
      <c r="A1047" t="s">
        <v>3618</v>
      </c>
      <c r="B1047" t="s">
        <v>3619</v>
      </c>
      <c r="D1047" t="s">
        <v>40</v>
      </c>
      <c r="E1047" t="s">
        <v>41</v>
      </c>
      <c r="J1047" t="s">
        <v>62</v>
      </c>
      <c r="K1047" t="s">
        <v>63</v>
      </c>
      <c r="L1047">
        <v>11</v>
      </c>
      <c r="M1047" t="s">
        <v>3620</v>
      </c>
      <c r="N1047" t="s">
        <v>64</v>
      </c>
      <c r="O1047" t="s">
        <v>46</v>
      </c>
      <c r="P1047" t="s">
        <v>46</v>
      </c>
      <c r="Y1047" t="s">
        <v>3621</v>
      </c>
    </row>
    <row r="1048" spans="1:25">
      <c r="A1048" t="s">
        <v>3622</v>
      </c>
      <c r="B1048" t="s">
        <v>3623</v>
      </c>
      <c r="D1048" t="s">
        <v>40</v>
      </c>
      <c r="E1048" t="s">
        <v>41</v>
      </c>
      <c r="J1048" t="s">
        <v>68</v>
      </c>
      <c r="K1048" t="s">
        <v>69</v>
      </c>
      <c r="L1048">
        <v>11</v>
      </c>
      <c r="M1048" t="s">
        <v>3620</v>
      </c>
      <c r="N1048" t="s">
        <v>64</v>
      </c>
      <c r="O1048" t="s">
        <v>46</v>
      </c>
      <c r="P1048" t="s">
        <v>46</v>
      </c>
      <c r="Y1048" t="s">
        <v>3624</v>
      </c>
    </row>
    <row r="1049" spans="1:25">
      <c r="A1049" t="s">
        <v>3625</v>
      </c>
      <c r="B1049" t="s">
        <v>3626</v>
      </c>
      <c r="D1049" t="s">
        <v>40</v>
      </c>
      <c r="E1049" t="s">
        <v>41</v>
      </c>
      <c r="J1049" t="s">
        <v>182</v>
      </c>
      <c r="K1049" t="s">
        <v>183</v>
      </c>
      <c r="L1049">
        <v>11</v>
      </c>
      <c r="M1049" t="s">
        <v>3620</v>
      </c>
      <c r="N1049" t="s">
        <v>64</v>
      </c>
      <c r="O1049" t="s">
        <v>46</v>
      </c>
      <c r="P1049" t="s">
        <v>46</v>
      </c>
      <c r="Y1049" t="s">
        <v>3627</v>
      </c>
    </row>
    <row r="1050" spans="1:25">
      <c r="A1050" t="s">
        <v>3628</v>
      </c>
      <c r="B1050" t="s">
        <v>3629</v>
      </c>
      <c r="D1050" t="s">
        <v>40</v>
      </c>
      <c r="E1050" t="s">
        <v>41</v>
      </c>
      <c r="J1050" t="s">
        <v>62</v>
      </c>
      <c r="K1050" t="s">
        <v>63</v>
      </c>
      <c r="L1050">
        <v>11</v>
      </c>
      <c r="M1050" t="s">
        <v>3620</v>
      </c>
      <c r="N1050" t="s">
        <v>64</v>
      </c>
      <c r="O1050" t="s">
        <v>46</v>
      </c>
      <c r="P1050" t="s">
        <v>46</v>
      </c>
      <c r="Y1050" t="s">
        <v>3630</v>
      </c>
    </row>
    <row r="1051" spans="1:25">
      <c r="A1051" t="s">
        <v>3631</v>
      </c>
      <c r="B1051" t="s">
        <v>3632</v>
      </c>
      <c r="D1051" t="s">
        <v>40</v>
      </c>
      <c r="E1051" t="s">
        <v>41</v>
      </c>
      <c r="J1051" t="s">
        <v>42</v>
      </c>
      <c r="K1051" t="s">
        <v>43</v>
      </c>
      <c r="L1051">
        <v>11</v>
      </c>
      <c r="M1051" t="s">
        <v>3620</v>
      </c>
      <c r="N1051" t="s">
        <v>1814</v>
      </c>
      <c r="O1051" t="s">
        <v>46</v>
      </c>
      <c r="P1051" t="s">
        <v>46</v>
      </c>
      <c r="Y1051" t="s">
        <v>3633</v>
      </c>
    </row>
    <row r="1052" spans="1:25">
      <c r="A1052" t="s">
        <v>3634</v>
      </c>
      <c r="B1052" t="s">
        <v>3635</v>
      </c>
      <c r="D1052" t="s">
        <v>40</v>
      </c>
      <c r="E1052" t="s">
        <v>41</v>
      </c>
      <c r="J1052" t="s">
        <v>42</v>
      </c>
      <c r="K1052" t="s">
        <v>43</v>
      </c>
      <c r="L1052">
        <v>11</v>
      </c>
      <c r="M1052" t="s">
        <v>3620</v>
      </c>
      <c r="N1052" t="s">
        <v>1189</v>
      </c>
      <c r="O1052" t="s">
        <v>46</v>
      </c>
      <c r="P1052" t="s">
        <v>46</v>
      </c>
      <c r="Y1052" t="s">
        <v>3636</v>
      </c>
    </row>
    <row r="1053" spans="1:25">
      <c r="A1053" t="s">
        <v>3637</v>
      </c>
      <c r="B1053" t="s">
        <v>3638</v>
      </c>
      <c r="D1053" t="s">
        <v>40</v>
      </c>
      <c r="E1053" t="s">
        <v>41</v>
      </c>
      <c r="J1053" t="s">
        <v>182</v>
      </c>
      <c r="K1053" t="s">
        <v>183</v>
      </c>
      <c r="L1053">
        <v>11</v>
      </c>
      <c r="M1053" t="s">
        <v>3620</v>
      </c>
      <c r="N1053" t="s">
        <v>64</v>
      </c>
      <c r="O1053" t="s">
        <v>46</v>
      </c>
      <c r="P1053" t="s">
        <v>46</v>
      </c>
      <c r="Y1053" t="s">
        <v>3639</v>
      </c>
    </row>
    <row r="1054" spans="1:25">
      <c r="A1054" t="s">
        <v>3640</v>
      </c>
      <c r="B1054" t="s">
        <v>3641</v>
      </c>
      <c r="D1054" t="s">
        <v>40</v>
      </c>
      <c r="E1054" t="s">
        <v>41</v>
      </c>
      <c r="J1054" t="s">
        <v>182</v>
      </c>
      <c r="K1054" t="s">
        <v>183</v>
      </c>
      <c r="L1054">
        <v>11</v>
      </c>
      <c r="M1054" t="s">
        <v>3642</v>
      </c>
      <c r="N1054" t="s">
        <v>64</v>
      </c>
      <c r="O1054" t="s">
        <v>46</v>
      </c>
      <c r="P1054" t="s">
        <v>46</v>
      </c>
      <c r="Y1054" t="s">
        <v>3643</v>
      </c>
    </row>
    <row r="1055" spans="1:25">
      <c r="A1055" t="s">
        <v>3644</v>
      </c>
      <c r="B1055" t="s">
        <v>3645</v>
      </c>
      <c r="D1055" t="s">
        <v>40</v>
      </c>
      <c r="E1055" t="s">
        <v>41</v>
      </c>
      <c r="J1055" t="s">
        <v>42</v>
      </c>
      <c r="K1055" t="s">
        <v>43</v>
      </c>
      <c r="L1055">
        <v>11</v>
      </c>
      <c r="M1055" t="s">
        <v>3642</v>
      </c>
      <c r="N1055" t="s">
        <v>2621</v>
      </c>
      <c r="O1055" t="s">
        <v>46</v>
      </c>
      <c r="P1055" t="s">
        <v>46</v>
      </c>
      <c r="Y1055" t="s">
        <v>3646</v>
      </c>
    </row>
    <row r="1056" spans="1:25">
      <c r="A1056" t="s">
        <v>3647</v>
      </c>
      <c r="B1056" t="s">
        <v>3648</v>
      </c>
      <c r="D1056" t="s">
        <v>40</v>
      </c>
      <c r="E1056" t="s">
        <v>41</v>
      </c>
      <c r="J1056" t="s">
        <v>76</v>
      </c>
      <c r="K1056" t="s">
        <v>77</v>
      </c>
      <c r="L1056">
        <v>11</v>
      </c>
      <c r="M1056" t="s">
        <v>3642</v>
      </c>
      <c r="N1056" t="s">
        <v>64</v>
      </c>
      <c r="O1056" t="s">
        <v>46</v>
      </c>
      <c r="P1056" t="s">
        <v>46</v>
      </c>
      <c r="Y1056" t="s">
        <v>3649</v>
      </c>
    </row>
    <row r="1057" spans="1:25">
      <c r="A1057" t="s">
        <v>3650</v>
      </c>
      <c r="B1057" t="s">
        <v>3651</v>
      </c>
      <c r="D1057" t="s">
        <v>40</v>
      </c>
      <c r="E1057" t="s">
        <v>41</v>
      </c>
      <c r="J1057" t="s">
        <v>50</v>
      </c>
      <c r="K1057" t="s">
        <v>51</v>
      </c>
      <c r="L1057">
        <v>11</v>
      </c>
      <c r="M1057" t="s">
        <v>3642</v>
      </c>
      <c r="N1057" t="s">
        <v>617</v>
      </c>
      <c r="O1057" t="s">
        <v>46</v>
      </c>
      <c r="P1057" t="s">
        <v>46</v>
      </c>
      <c r="Y1057" t="s">
        <v>3652</v>
      </c>
    </row>
    <row r="1058" spans="1:25">
      <c r="A1058" t="s">
        <v>3653</v>
      </c>
      <c r="B1058" t="s">
        <v>3654</v>
      </c>
      <c r="D1058" t="s">
        <v>40</v>
      </c>
      <c r="E1058" t="s">
        <v>41</v>
      </c>
      <c r="J1058" t="s">
        <v>68</v>
      </c>
      <c r="K1058" t="s">
        <v>69</v>
      </c>
      <c r="L1058">
        <v>11</v>
      </c>
      <c r="M1058" t="s">
        <v>3642</v>
      </c>
      <c r="N1058" t="s">
        <v>64</v>
      </c>
      <c r="O1058" t="s">
        <v>46</v>
      </c>
      <c r="P1058" t="s">
        <v>46</v>
      </c>
      <c r="Y1058" t="s">
        <v>3655</v>
      </c>
    </row>
    <row r="1059" spans="1:25">
      <c r="A1059" t="s">
        <v>3656</v>
      </c>
      <c r="B1059" t="s">
        <v>3657</v>
      </c>
      <c r="D1059" t="s">
        <v>40</v>
      </c>
      <c r="E1059" t="s">
        <v>41</v>
      </c>
      <c r="J1059" t="s">
        <v>182</v>
      </c>
      <c r="K1059" t="s">
        <v>183</v>
      </c>
      <c r="L1059">
        <v>11</v>
      </c>
      <c r="M1059" t="s">
        <v>3658</v>
      </c>
      <c r="N1059" t="s">
        <v>64</v>
      </c>
      <c r="O1059" t="s">
        <v>46</v>
      </c>
      <c r="P1059" t="s">
        <v>46</v>
      </c>
      <c r="Y1059" t="s">
        <v>3659</v>
      </c>
    </row>
    <row r="1060" spans="1:25">
      <c r="A1060" t="s">
        <v>3660</v>
      </c>
      <c r="B1060" t="s">
        <v>3661</v>
      </c>
      <c r="D1060" t="s">
        <v>40</v>
      </c>
      <c r="E1060" t="s">
        <v>41</v>
      </c>
      <c r="J1060" t="s">
        <v>42</v>
      </c>
      <c r="K1060" t="s">
        <v>43</v>
      </c>
      <c r="L1060">
        <v>11</v>
      </c>
      <c r="M1060" t="s">
        <v>3662</v>
      </c>
      <c r="N1060" t="s">
        <v>296</v>
      </c>
      <c r="O1060" t="s">
        <v>46</v>
      </c>
      <c r="P1060" t="s">
        <v>46</v>
      </c>
      <c r="Y1060" t="s">
        <v>3663</v>
      </c>
    </row>
    <row r="1061" spans="1:25">
      <c r="A1061" t="s">
        <v>3664</v>
      </c>
      <c r="B1061" t="s">
        <v>3665</v>
      </c>
      <c r="D1061" t="s">
        <v>40</v>
      </c>
      <c r="E1061" t="s">
        <v>41</v>
      </c>
      <c r="J1061" t="s">
        <v>76</v>
      </c>
      <c r="K1061" t="s">
        <v>77</v>
      </c>
      <c r="L1061">
        <v>11</v>
      </c>
      <c r="M1061" t="s">
        <v>3662</v>
      </c>
      <c r="N1061" t="s">
        <v>64</v>
      </c>
      <c r="O1061" t="s">
        <v>46</v>
      </c>
      <c r="P1061" t="s">
        <v>46</v>
      </c>
      <c r="Y1061" t="s">
        <v>3666</v>
      </c>
    </row>
    <row r="1062" spans="1:25">
      <c r="A1062" t="s">
        <v>3667</v>
      </c>
      <c r="B1062" t="s">
        <v>3668</v>
      </c>
      <c r="D1062" t="s">
        <v>40</v>
      </c>
      <c r="E1062" t="s">
        <v>41</v>
      </c>
      <c r="J1062" t="s">
        <v>76</v>
      </c>
      <c r="K1062" t="s">
        <v>77</v>
      </c>
      <c r="L1062">
        <v>11</v>
      </c>
      <c r="M1062" t="s">
        <v>3662</v>
      </c>
      <c r="N1062" t="s">
        <v>64</v>
      </c>
      <c r="O1062" t="s">
        <v>46</v>
      </c>
      <c r="P1062" t="s">
        <v>46</v>
      </c>
      <c r="Y1062" t="s">
        <v>3669</v>
      </c>
    </row>
    <row r="1063" spans="1:25">
      <c r="A1063" t="s">
        <v>3670</v>
      </c>
      <c r="B1063" t="s">
        <v>3671</v>
      </c>
      <c r="D1063" t="s">
        <v>40</v>
      </c>
      <c r="E1063" t="s">
        <v>41</v>
      </c>
      <c r="J1063" t="s">
        <v>42</v>
      </c>
      <c r="K1063" t="s">
        <v>43</v>
      </c>
      <c r="L1063">
        <v>11</v>
      </c>
      <c r="M1063" t="s">
        <v>3662</v>
      </c>
      <c r="N1063" t="s">
        <v>1380</v>
      </c>
      <c r="O1063" t="s">
        <v>46</v>
      </c>
      <c r="P1063" t="s">
        <v>46</v>
      </c>
      <c r="Y1063" t="s">
        <v>3672</v>
      </c>
    </row>
    <row r="1064" spans="1:25">
      <c r="A1064" t="s">
        <v>3673</v>
      </c>
      <c r="B1064" t="s">
        <v>3674</v>
      </c>
      <c r="D1064" t="s">
        <v>40</v>
      </c>
      <c r="E1064" t="s">
        <v>41</v>
      </c>
      <c r="J1064" t="s">
        <v>76</v>
      </c>
      <c r="K1064" t="s">
        <v>77</v>
      </c>
      <c r="L1064">
        <v>11</v>
      </c>
      <c r="M1064" t="s">
        <v>3662</v>
      </c>
      <c r="N1064" t="s">
        <v>64</v>
      </c>
      <c r="O1064" t="s">
        <v>46</v>
      </c>
      <c r="P1064" t="s">
        <v>46</v>
      </c>
      <c r="Y1064" t="s">
        <v>3675</v>
      </c>
    </row>
    <row r="1065" spans="1:25">
      <c r="A1065" t="s">
        <v>3676</v>
      </c>
      <c r="B1065" t="s">
        <v>3677</v>
      </c>
      <c r="D1065" t="s">
        <v>40</v>
      </c>
      <c r="E1065" t="s">
        <v>41</v>
      </c>
      <c r="J1065" t="s">
        <v>76</v>
      </c>
      <c r="K1065" t="s">
        <v>77</v>
      </c>
      <c r="L1065">
        <v>11</v>
      </c>
      <c r="M1065" t="s">
        <v>3662</v>
      </c>
      <c r="N1065" t="s">
        <v>64</v>
      </c>
      <c r="O1065" t="s">
        <v>46</v>
      </c>
      <c r="P1065" t="s">
        <v>46</v>
      </c>
      <c r="Y1065" t="s">
        <v>3678</v>
      </c>
    </row>
    <row r="1066" spans="1:25">
      <c r="A1066" t="s">
        <v>3679</v>
      </c>
      <c r="B1066" t="s">
        <v>3680</v>
      </c>
      <c r="D1066" t="s">
        <v>40</v>
      </c>
      <c r="E1066" t="s">
        <v>41</v>
      </c>
      <c r="J1066" t="s">
        <v>42</v>
      </c>
      <c r="K1066" t="s">
        <v>43</v>
      </c>
      <c r="L1066">
        <v>11</v>
      </c>
      <c r="M1066" t="s">
        <v>3681</v>
      </c>
      <c r="N1066" t="s">
        <v>210</v>
      </c>
      <c r="O1066" t="s">
        <v>46</v>
      </c>
      <c r="P1066" t="s">
        <v>46</v>
      </c>
      <c r="Y1066" t="s">
        <v>3682</v>
      </c>
    </row>
    <row r="1067" spans="1:25">
      <c r="A1067" t="s">
        <v>3683</v>
      </c>
      <c r="B1067" t="s">
        <v>3684</v>
      </c>
      <c r="D1067" t="s">
        <v>40</v>
      </c>
      <c r="E1067" t="s">
        <v>41</v>
      </c>
      <c r="J1067" t="s">
        <v>62</v>
      </c>
      <c r="K1067" t="s">
        <v>63</v>
      </c>
      <c r="L1067">
        <v>11</v>
      </c>
      <c r="M1067" t="s">
        <v>3685</v>
      </c>
      <c r="N1067" t="s">
        <v>64</v>
      </c>
      <c r="O1067" t="s">
        <v>46</v>
      </c>
      <c r="P1067" t="s">
        <v>46</v>
      </c>
      <c r="Y1067" t="s">
        <v>3686</v>
      </c>
    </row>
    <row r="1068" spans="1:25">
      <c r="A1068" t="s">
        <v>3687</v>
      </c>
      <c r="B1068" t="s">
        <v>3688</v>
      </c>
      <c r="D1068" t="s">
        <v>40</v>
      </c>
      <c r="E1068" t="s">
        <v>41</v>
      </c>
      <c r="J1068" t="s">
        <v>76</v>
      </c>
      <c r="K1068" t="s">
        <v>77</v>
      </c>
      <c r="L1068">
        <v>11</v>
      </c>
      <c r="M1068" t="s">
        <v>3685</v>
      </c>
      <c r="N1068" t="s">
        <v>64</v>
      </c>
      <c r="O1068" t="s">
        <v>46</v>
      </c>
      <c r="P1068" t="s">
        <v>46</v>
      </c>
      <c r="Y1068" t="s">
        <v>3689</v>
      </c>
    </row>
    <row r="1069" spans="1:25">
      <c r="A1069" t="s">
        <v>3690</v>
      </c>
      <c r="B1069" t="s">
        <v>3691</v>
      </c>
      <c r="D1069" t="s">
        <v>40</v>
      </c>
      <c r="E1069" t="s">
        <v>41</v>
      </c>
      <c r="J1069" t="s">
        <v>42</v>
      </c>
      <c r="K1069" t="s">
        <v>43</v>
      </c>
      <c r="L1069">
        <v>11</v>
      </c>
      <c r="M1069" t="s">
        <v>3685</v>
      </c>
      <c r="N1069" t="s">
        <v>173</v>
      </c>
      <c r="O1069" t="s">
        <v>46</v>
      </c>
      <c r="P1069" t="s">
        <v>46</v>
      </c>
      <c r="Y1069" t="s">
        <v>3692</v>
      </c>
    </row>
    <row r="1070" spans="1:25">
      <c r="A1070" t="s">
        <v>3693</v>
      </c>
      <c r="B1070" t="s">
        <v>3694</v>
      </c>
      <c r="D1070" t="s">
        <v>40</v>
      </c>
      <c r="E1070" t="s">
        <v>41</v>
      </c>
      <c r="J1070" t="s">
        <v>139</v>
      </c>
      <c r="K1070" t="s">
        <v>140</v>
      </c>
      <c r="L1070">
        <v>11</v>
      </c>
      <c r="M1070" t="s">
        <v>3685</v>
      </c>
      <c r="N1070" t="s">
        <v>1258</v>
      </c>
      <c r="O1070" t="s">
        <v>46</v>
      </c>
      <c r="P1070" t="s">
        <v>46</v>
      </c>
      <c r="Y1070" t="s">
        <v>3695</v>
      </c>
    </row>
    <row r="1071" spans="1:25">
      <c r="A1071" t="s">
        <v>3696</v>
      </c>
      <c r="B1071" t="s">
        <v>3697</v>
      </c>
      <c r="D1071" t="s">
        <v>40</v>
      </c>
      <c r="E1071" t="s">
        <v>41</v>
      </c>
      <c r="J1071" t="s">
        <v>42</v>
      </c>
      <c r="K1071" t="s">
        <v>43</v>
      </c>
      <c r="L1071">
        <v>11</v>
      </c>
      <c r="M1071" t="s">
        <v>3685</v>
      </c>
      <c r="N1071" t="s">
        <v>173</v>
      </c>
      <c r="O1071" t="s">
        <v>46</v>
      </c>
      <c r="P1071" t="s">
        <v>46</v>
      </c>
      <c r="Y1071" t="s">
        <v>3698</v>
      </c>
    </row>
    <row r="1072" spans="1:25">
      <c r="A1072" t="s">
        <v>3699</v>
      </c>
      <c r="B1072" t="s">
        <v>3700</v>
      </c>
      <c r="D1072" t="s">
        <v>40</v>
      </c>
      <c r="E1072" t="s">
        <v>41</v>
      </c>
      <c r="J1072" t="s">
        <v>182</v>
      </c>
      <c r="K1072" t="s">
        <v>183</v>
      </c>
      <c r="L1072">
        <v>11</v>
      </c>
      <c r="M1072" t="s">
        <v>3685</v>
      </c>
      <c r="N1072" t="s">
        <v>64</v>
      </c>
      <c r="O1072" t="s">
        <v>46</v>
      </c>
      <c r="P1072" t="s">
        <v>46</v>
      </c>
      <c r="Y1072" t="s">
        <v>3701</v>
      </c>
    </row>
    <row r="1073" spans="1:25">
      <c r="A1073" t="s">
        <v>3702</v>
      </c>
      <c r="B1073" t="s">
        <v>3703</v>
      </c>
      <c r="D1073" t="s">
        <v>40</v>
      </c>
      <c r="E1073" t="s">
        <v>41</v>
      </c>
      <c r="J1073" t="s">
        <v>42</v>
      </c>
      <c r="K1073" t="s">
        <v>43</v>
      </c>
      <c r="L1073">
        <v>11</v>
      </c>
      <c r="M1073" t="s">
        <v>3704</v>
      </c>
      <c r="N1073" t="s">
        <v>1550</v>
      </c>
      <c r="O1073" t="s">
        <v>46</v>
      </c>
      <c r="P1073" t="s">
        <v>46</v>
      </c>
      <c r="Y1073" t="s">
        <v>3705</v>
      </c>
    </row>
    <row r="1074" spans="1:25">
      <c r="A1074" t="s">
        <v>3706</v>
      </c>
      <c r="B1074" t="s">
        <v>3707</v>
      </c>
      <c r="D1074" t="s">
        <v>40</v>
      </c>
      <c r="E1074" t="s">
        <v>41</v>
      </c>
      <c r="J1074" t="s">
        <v>68</v>
      </c>
      <c r="K1074" t="s">
        <v>69</v>
      </c>
      <c r="L1074">
        <v>11</v>
      </c>
      <c r="M1074" t="s">
        <v>3704</v>
      </c>
      <c r="N1074" t="s">
        <v>64</v>
      </c>
      <c r="O1074" t="s">
        <v>46</v>
      </c>
      <c r="P1074" t="s">
        <v>46</v>
      </c>
      <c r="Y1074" t="s">
        <v>3708</v>
      </c>
    </row>
    <row r="1075" spans="1:25">
      <c r="A1075" t="s">
        <v>3709</v>
      </c>
      <c r="B1075" t="s">
        <v>3710</v>
      </c>
      <c r="D1075" t="s">
        <v>40</v>
      </c>
      <c r="E1075" t="s">
        <v>41</v>
      </c>
      <c r="J1075" t="s">
        <v>42</v>
      </c>
      <c r="K1075" t="s">
        <v>43</v>
      </c>
      <c r="L1075">
        <v>11</v>
      </c>
      <c r="M1075" t="s">
        <v>3704</v>
      </c>
      <c r="N1075" t="s">
        <v>53</v>
      </c>
      <c r="O1075" t="s">
        <v>46</v>
      </c>
      <c r="P1075" t="s">
        <v>46</v>
      </c>
      <c r="Y1075" t="s">
        <v>3711</v>
      </c>
    </row>
    <row r="1076" spans="1:25">
      <c r="A1076" t="s">
        <v>3712</v>
      </c>
      <c r="B1076" t="s">
        <v>3713</v>
      </c>
      <c r="D1076" t="s">
        <v>40</v>
      </c>
      <c r="E1076" t="s">
        <v>41</v>
      </c>
      <c r="J1076" t="s">
        <v>182</v>
      </c>
      <c r="K1076" t="s">
        <v>183</v>
      </c>
      <c r="L1076">
        <v>11</v>
      </c>
      <c r="M1076" t="s">
        <v>3704</v>
      </c>
      <c r="N1076" t="s">
        <v>64</v>
      </c>
      <c r="O1076" t="s">
        <v>46</v>
      </c>
      <c r="P1076" t="s">
        <v>46</v>
      </c>
      <c r="Y1076" t="s">
        <v>3714</v>
      </c>
    </row>
    <row r="1077" spans="1:25">
      <c r="A1077" t="s">
        <v>3715</v>
      </c>
      <c r="B1077" t="s">
        <v>3716</v>
      </c>
      <c r="D1077" t="s">
        <v>40</v>
      </c>
      <c r="E1077" t="s">
        <v>41</v>
      </c>
      <c r="J1077" t="s">
        <v>76</v>
      </c>
      <c r="K1077" t="s">
        <v>77</v>
      </c>
      <c r="L1077">
        <v>11</v>
      </c>
      <c r="M1077" t="s">
        <v>3717</v>
      </c>
      <c r="N1077" t="s">
        <v>64</v>
      </c>
      <c r="O1077" t="s">
        <v>46</v>
      </c>
      <c r="P1077" t="s">
        <v>46</v>
      </c>
      <c r="Y1077" t="s">
        <v>3718</v>
      </c>
    </row>
    <row r="1078" spans="1:25">
      <c r="A1078" t="s">
        <v>3719</v>
      </c>
      <c r="B1078" t="s">
        <v>3720</v>
      </c>
      <c r="D1078" t="s">
        <v>40</v>
      </c>
      <c r="E1078" t="s">
        <v>41</v>
      </c>
      <c r="J1078" t="s">
        <v>248</v>
      </c>
      <c r="K1078" t="s">
        <v>249</v>
      </c>
      <c r="L1078">
        <v>11</v>
      </c>
      <c r="M1078" t="s">
        <v>3717</v>
      </c>
      <c r="N1078" t="s">
        <v>1446</v>
      </c>
      <c r="O1078" t="s">
        <v>46</v>
      </c>
      <c r="P1078" t="s">
        <v>46</v>
      </c>
      <c r="Y1078" t="s">
        <v>3721</v>
      </c>
    </row>
    <row r="1079" spans="1:25">
      <c r="A1079" t="s">
        <v>3722</v>
      </c>
      <c r="B1079" t="s">
        <v>3723</v>
      </c>
      <c r="D1079" t="s">
        <v>40</v>
      </c>
      <c r="E1079" t="s">
        <v>41</v>
      </c>
      <c r="J1079" t="s">
        <v>182</v>
      </c>
      <c r="K1079" t="s">
        <v>183</v>
      </c>
      <c r="L1079">
        <v>11</v>
      </c>
      <c r="M1079" t="s">
        <v>3717</v>
      </c>
      <c r="N1079" t="s">
        <v>64</v>
      </c>
      <c r="O1079" t="s">
        <v>46</v>
      </c>
      <c r="P1079" t="s">
        <v>46</v>
      </c>
      <c r="Y1079" t="s">
        <v>3724</v>
      </c>
    </row>
    <row r="1080" spans="1:25">
      <c r="A1080" t="s">
        <v>3725</v>
      </c>
      <c r="B1080" t="s">
        <v>3726</v>
      </c>
      <c r="D1080" t="s">
        <v>40</v>
      </c>
      <c r="E1080" t="s">
        <v>41</v>
      </c>
      <c r="J1080" t="s">
        <v>182</v>
      </c>
      <c r="K1080" t="s">
        <v>183</v>
      </c>
      <c r="L1080">
        <v>11</v>
      </c>
      <c r="M1080" t="s">
        <v>3717</v>
      </c>
      <c r="N1080" t="s">
        <v>64</v>
      </c>
      <c r="O1080" t="s">
        <v>46</v>
      </c>
      <c r="P1080" t="s">
        <v>46</v>
      </c>
      <c r="Y1080" t="s">
        <v>3727</v>
      </c>
    </row>
    <row r="1081" spans="1:25">
      <c r="A1081" t="s">
        <v>3728</v>
      </c>
      <c r="B1081" t="s">
        <v>3729</v>
      </c>
      <c r="D1081" t="s">
        <v>40</v>
      </c>
      <c r="E1081" t="s">
        <v>41</v>
      </c>
      <c r="J1081" t="s">
        <v>42</v>
      </c>
      <c r="K1081" t="s">
        <v>43</v>
      </c>
      <c r="L1081">
        <v>11</v>
      </c>
      <c r="M1081" t="s">
        <v>3717</v>
      </c>
      <c r="N1081" t="s">
        <v>45</v>
      </c>
      <c r="O1081" t="s">
        <v>46</v>
      </c>
      <c r="P1081" t="s">
        <v>46</v>
      </c>
      <c r="Y1081" t="s">
        <v>3730</v>
      </c>
    </row>
    <row r="1082" spans="1:25">
      <c r="A1082" t="s">
        <v>3731</v>
      </c>
      <c r="B1082" t="s">
        <v>3732</v>
      </c>
      <c r="D1082" t="s">
        <v>40</v>
      </c>
      <c r="E1082" t="s">
        <v>41</v>
      </c>
      <c r="J1082" t="s">
        <v>182</v>
      </c>
      <c r="K1082" t="s">
        <v>183</v>
      </c>
      <c r="L1082">
        <v>11</v>
      </c>
      <c r="M1082" t="s">
        <v>3717</v>
      </c>
      <c r="N1082" t="s">
        <v>64</v>
      </c>
      <c r="O1082" t="s">
        <v>46</v>
      </c>
      <c r="P1082" t="s">
        <v>46</v>
      </c>
      <c r="Y1082" t="s">
        <v>3733</v>
      </c>
    </row>
    <row r="1083" spans="1:25">
      <c r="A1083" t="s">
        <v>3734</v>
      </c>
      <c r="B1083" t="s">
        <v>3735</v>
      </c>
      <c r="D1083" t="s">
        <v>40</v>
      </c>
      <c r="E1083" t="s">
        <v>41</v>
      </c>
      <c r="J1083" t="s">
        <v>182</v>
      </c>
      <c r="K1083" t="s">
        <v>183</v>
      </c>
      <c r="L1083">
        <v>11</v>
      </c>
      <c r="M1083" t="s">
        <v>3717</v>
      </c>
      <c r="N1083" t="s">
        <v>64</v>
      </c>
      <c r="O1083" t="s">
        <v>46</v>
      </c>
      <c r="P1083" t="s">
        <v>46</v>
      </c>
      <c r="Y1083" t="s">
        <v>3736</v>
      </c>
    </row>
    <row r="1084" spans="1:25">
      <c r="A1084" t="s">
        <v>3737</v>
      </c>
      <c r="B1084" t="s">
        <v>3738</v>
      </c>
      <c r="D1084" t="s">
        <v>40</v>
      </c>
      <c r="E1084" t="s">
        <v>41</v>
      </c>
      <c r="J1084" t="s">
        <v>42</v>
      </c>
      <c r="K1084" t="s">
        <v>43</v>
      </c>
      <c r="L1084">
        <v>7</v>
      </c>
      <c r="M1084" t="s">
        <v>3739</v>
      </c>
      <c r="N1084" t="s">
        <v>1024</v>
      </c>
      <c r="O1084" t="s">
        <v>46</v>
      </c>
      <c r="P1084" t="s">
        <v>46</v>
      </c>
      <c r="Y1084" t="s">
        <v>3740</v>
      </c>
    </row>
    <row r="1085" spans="1:25">
      <c r="A1085" t="s">
        <v>3741</v>
      </c>
      <c r="B1085" t="s">
        <v>3742</v>
      </c>
      <c r="D1085" t="s">
        <v>40</v>
      </c>
      <c r="E1085" t="s">
        <v>41</v>
      </c>
      <c r="J1085" t="s">
        <v>182</v>
      </c>
      <c r="K1085" t="s">
        <v>183</v>
      </c>
      <c r="L1085">
        <v>9</v>
      </c>
      <c r="M1085" t="s">
        <v>3739</v>
      </c>
      <c r="N1085" t="s">
        <v>64</v>
      </c>
      <c r="O1085" t="s">
        <v>46</v>
      </c>
      <c r="P1085" t="s">
        <v>46</v>
      </c>
      <c r="Y1085" t="s">
        <v>3743</v>
      </c>
    </row>
    <row r="1086" spans="1:25">
      <c r="A1086" t="s">
        <v>3744</v>
      </c>
      <c r="B1086" t="s">
        <v>3745</v>
      </c>
      <c r="D1086" t="s">
        <v>40</v>
      </c>
      <c r="E1086" t="s">
        <v>41</v>
      </c>
      <c r="J1086" t="s">
        <v>264</v>
      </c>
      <c r="K1086" t="s">
        <v>265</v>
      </c>
      <c r="L1086">
        <v>8</v>
      </c>
      <c r="M1086" t="s">
        <v>3746</v>
      </c>
      <c r="N1086" t="s">
        <v>1258</v>
      </c>
      <c r="O1086" t="s">
        <v>46</v>
      </c>
      <c r="P1086" t="s">
        <v>46</v>
      </c>
      <c r="Y1086" t="s">
        <v>3747</v>
      </c>
    </row>
    <row r="1087" spans="1:25">
      <c r="A1087" t="s">
        <v>3748</v>
      </c>
      <c r="B1087" t="s">
        <v>3749</v>
      </c>
      <c r="D1087" t="s">
        <v>40</v>
      </c>
      <c r="E1087" t="s">
        <v>41</v>
      </c>
      <c r="J1087" t="s">
        <v>182</v>
      </c>
      <c r="K1087" t="s">
        <v>183</v>
      </c>
      <c r="L1087">
        <v>11</v>
      </c>
      <c r="M1087" t="s">
        <v>3750</v>
      </c>
      <c r="N1087" t="s">
        <v>64</v>
      </c>
      <c r="O1087" t="s">
        <v>46</v>
      </c>
      <c r="P1087" t="s">
        <v>46</v>
      </c>
      <c r="Y1087" t="s">
        <v>3751</v>
      </c>
    </row>
    <row r="1088" spans="1:25">
      <c r="A1088" t="s">
        <v>3752</v>
      </c>
      <c r="B1088" t="s">
        <v>3753</v>
      </c>
      <c r="D1088" t="s">
        <v>40</v>
      </c>
      <c r="E1088" t="s">
        <v>41</v>
      </c>
      <c r="J1088" t="s">
        <v>62</v>
      </c>
      <c r="K1088" t="s">
        <v>63</v>
      </c>
      <c r="L1088">
        <v>11</v>
      </c>
      <c r="M1088" t="s">
        <v>3750</v>
      </c>
      <c r="N1088" t="s">
        <v>64</v>
      </c>
      <c r="O1088" t="s">
        <v>46</v>
      </c>
      <c r="P1088" t="s">
        <v>46</v>
      </c>
      <c r="Y1088" t="s">
        <v>3754</v>
      </c>
    </row>
    <row r="1089" spans="1:25">
      <c r="A1089" t="s">
        <v>3755</v>
      </c>
      <c r="B1089" t="s">
        <v>3756</v>
      </c>
      <c r="D1089" t="s">
        <v>40</v>
      </c>
      <c r="E1089" t="s">
        <v>41</v>
      </c>
      <c r="J1089" t="s">
        <v>68</v>
      </c>
      <c r="K1089" t="s">
        <v>69</v>
      </c>
      <c r="L1089">
        <v>11</v>
      </c>
      <c r="M1089" t="s">
        <v>3750</v>
      </c>
      <c r="N1089" t="s">
        <v>64</v>
      </c>
      <c r="O1089" t="s">
        <v>46</v>
      </c>
      <c r="P1089" t="s">
        <v>46</v>
      </c>
      <c r="Y1089" t="s">
        <v>3757</v>
      </c>
    </row>
    <row r="1090" spans="1:25">
      <c r="A1090" t="s">
        <v>3758</v>
      </c>
      <c r="B1090" t="s">
        <v>3759</v>
      </c>
      <c r="D1090" t="s">
        <v>40</v>
      </c>
      <c r="E1090" t="s">
        <v>41</v>
      </c>
      <c r="J1090" t="s">
        <v>76</v>
      </c>
      <c r="K1090" t="s">
        <v>77</v>
      </c>
      <c r="L1090">
        <v>11</v>
      </c>
      <c r="M1090" t="s">
        <v>3750</v>
      </c>
      <c r="N1090" t="s">
        <v>64</v>
      </c>
      <c r="O1090" t="s">
        <v>46</v>
      </c>
      <c r="P1090" t="s">
        <v>46</v>
      </c>
      <c r="Y1090" t="s">
        <v>3760</v>
      </c>
    </row>
    <row r="1091" spans="1:25">
      <c r="A1091" t="s">
        <v>3761</v>
      </c>
      <c r="B1091" t="s">
        <v>3762</v>
      </c>
      <c r="D1091" t="s">
        <v>40</v>
      </c>
      <c r="E1091" t="s">
        <v>41</v>
      </c>
      <c r="J1091" t="s">
        <v>76</v>
      </c>
      <c r="K1091" t="s">
        <v>77</v>
      </c>
      <c r="L1091">
        <v>11</v>
      </c>
      <c r="M1091" t="s">
        <v>3750</v>
      </c>
      <c r="N1091" t="s">
        <v>64</v>
      </c>
      <c r="O1091" t="s">
        <v>46</v>
      </c>
      <c r="P1091" t="s">
        <v>46</v>
      </c>
      <c r="Y1091" t="s">
        <v>3763</v>
      </c>
    </row>
    <row r="1092" spans="1:25">
      <c r="A1092" t="s">
        <v>3764</v>
      </c>
      <c r="B1092" t="s">
        <v>3765</v>
      </c>
      <c r="D1092" t="s">
        <v>40</v>
      </c>
      <c r="E1092" t="s">
        <v>41</v>
      </c>
      <c r="J1092" t="s">
        <v>76</v>
      </c>
      <c r="K1092" t="s">
        <v>77</v>
      </c>
      <c r="L1092">
        <v>11</v>
      </c>
      <c r="M1092" t="s">
        <v>3750</v>
      </c>
      <c r="N1092" t="s">
        <v>64</v>
      </c>
      <c r="O1092" t="s">
        <v>46</v>
      </c>
      <c r="P1092" t="s">
        <v>46</v>
      </c>
      <c r="Y1092" t="s">
        <v>3766</v>
      </c>
    </row>
    <row r="1093" spans="1:25">
      <c r="A1093" t="s">
        <v>3767</v>
      </c>
      <c r="B1093" t="s">
        <v>3768</v>
      </c>
      <c r="D1093" t="s">
        <v>40</v>
      </c>
      <c r="E1093" t="s">
        <v>41</v>
      </c>
      <c r="J1093" t="s">
        <v>42</v>
      </c>
      <c r="K1093" t="s">
        <v>43</v>
      </c>
      <c r="L1093">
        <v>11</v>
      </c>
      <c r="M1093" t="s">
        <v>3769</v>
      </c>
      <c r="N1093" t="s">
        <v>950</v>
      </c>
      <c r="O1093" t="s">
        <v>46</v>
      </c>
      <c r="P1093" t="s">
        <v>46</v>
      </c>
      <c r="Y1093" t="s">
        <v>3770</v>
      </c>
    </row>
    <row r="1094" spans="1:25">
      <c r="A1094" t="s">
        <v>3771</v>
      </c>
      <c r="B1094" t="s">
        <v>3772</v>
      </c>
      <c r="D1094" t="s">
        <v>40</v>
      </c>
      <c r="E1094" t="s">
        <v>41</v>
      </c>
      <c r="J1094" t="s">
        <v>62</v>
      </c>
      <c r="K1094" t="s">
        <v>63</v>
      </c>
      <c r="L1094">
        <v>11</v>
      </c>
      <c r="M1094" t="s">
        <v>3769</v>
      </c>
      <c r="N1094" t="s">
        <v>64</v>
      </c>
      <c r="O1094" t="s">
        <v>46</v>
      </c>
      <c r="P1094" t="s">
        <v>46</v>
      </c>
      <c r="Y1094" t="s">
        <v>3773</v>
      </c>
    </row>
    <row r="1095" spans="1:25">
      <c r="A1095" t="s">
        <v>3774</v>
      </c>
      <c r="B1095" t="s">
        <v>3775</v>
      </c>
      <c r="D1095" t="s">
        <v>40</v>
      </c>
      <c r="E1095" t="s">
        <v>41</v>
      </c>
      <c r="J1095" t="s">
        <v>76</v>
      </c>
      <c r="K1095" t="s">
        <v>77</v>
      </c>
      <c r="L1095">
        <v>11</v>
      </c>
      <c r="M1095" t="s">
        <v>3769</v>
      </c>
      <c r="N1095" t="s">
        <v>64</v>
      </c>
      <c r="O1095" t="s">
        <v>46</v>
      </c>
      <c r="P1095" t="s">
        <v>46</v>
      </c>
      <c r="Y1095" t="s">
        <v>3776</v>
      </c>
    </row>
    <row r="1096" spans="1:25">
      <c r="A1096" t="s">
        <v>3777</v>
      </c>
      <c r="B1096" t="s">
        <v>3778</v>
      </c>
      <c r="D1096" t="s">
        <v>40</v>
      </c>
      <c r="E1096" t="s">
        <v>41</v>
      </c>
      <c r="J1096" t="s">
        <v>182</v>
      </c>
      <c r="K1096" t="s">
        <v>183</v>
      </c>
      <c r="L1096">
        <v>11</v>
      </c>
      <c r="M1096" t="s">
        <v>3769</v>
      </c>
      <c r="N1096" t="s">
        <v>64</v>
      </c>
      <c r="O1096" t="s">
        <v>46</v>
      </c>
      <c r="P1096" t="s">
        <v>46</v>
      </c>
      <c r="Y1096" t="s">
        <v>3779</v>
      </c>
    </row>
    <row r="1097" spans="1:25">
      <c r="A1097" t="s">
        <v>3780</v>
      </c>
      <c r="B1097" t="s">
        <v>3781</v>
      </c>
      <c r="D1097" t="s">
        <v>40</v>
      </c>
      <c r="E1097" t="s">
        <v>41</v>
      </c>
      <c r="J1097" t="s">
        <v>42</v>
      </c>
      <c r="K1097" t="s">
        <v>43</v>
      </c>
      <c r="L1097">
        <v>11</v>
      </c>
      <c r="M1097" t="s">
        <v>3769</v>
      </c>
      <c r="N1097" t="s">
        <v>1814</v>
      </c>
      <c r="O1097" t="s">
        <v>46</v>
      </c>
      <c r="P1097" t="s">
        <v>46</v>
      </c>
      <c r="Y1097" t="s">
        <v>3782</v>
      </c>
    </row>
    <row r="1098" spans="1:25">
      <c r="A1098" t="s">
        <v>3783</v>
      </c>
      <c r="B1098" t="s">
        <v>3784</v>
      </c>
      <c r="D1098" t="s">
        <v>40</v>
      </c>
      <c r="E1098" t="s">
        <v>41</v>
      </c>
      <c r="J1098" t="s">
        <v>182</v>
      </c>
      <c r="K1098" t="s">
        <v>183</v>
      </c>
      <c r="L1098">
        <v>11</v>
      </c>
      <c r="M1098" t="s">
        <v>3769</v>
      </c>
      <c r="N1098" t="s">
        <v>64</v>
      </c>
      <c r="O1098" t="s">
        <v>46</v>
      </c>
      <c r="P1098" t="s">
        <v>46</v>
      </c>
      <c r="Y1098" t="s">
        <v>3785</v>
      </c>
    </row>
    <row r="1099" spans="1:25">
      <c r="A1099" t="s">
        <v>3786</v>
      </c>
      <c r="B1099" t="s">
        <v>3787</v>
      </c>
      <c r="D1099" t="s">
        <v>40</v>
      </c>
      <c r="E1099" t="s">
        <v>41</v>
      </c>
      <c r="J1099" t="s">
        <v>68</v>
      </c>
      <c r="K1099" t="s">
        <v>69</v>
      </c>
      <c r="L1099">
        <v>11</v>
      </c>
      <c r="M1099" t="s">
        <v>3769</v>
      </c>
      <c r="N1099" t="s">
        <v>64</v>
      </c>
      <c r="O1099" t="s">
        <v>46</v>
      </c>
      <c r="P1099" t="s">
        <v>46</v>
      </c>
      <c r="Y1099" t="s">
        <v>3788</v>
      </c>
    </row>
    <row r="1100" spans="1:25">
      <c r="A1100" t="s">
        <v>3789</v>
      </c>
      <c r="B1100" t="s">
        <v>3790</v>
      </c>
      <c r="D1100" t="s">
        <v>40</v>
      </c>
      <c r="E1100" t="s">
        <v>41</v>
      </c>
      <c r="J1100" t="s">
        <v>182</v>
      </c>
      <c r="K1100" t="s">
        <v>183</v>
      </c>
      <c r="L1100">
        <v>11</v>
      </c>
      <c r="M1100" t="s">
        <v>3791</v>
      </c>
      <c r="N1100" t="s">
        <v>64</v>
      </c>
      <c r="O1100" t="s">
        <v>46</v>
      </c>
      <c r="P1100" t="s">
        <v>46</v>
      </c>
      <c r="Y1100" t="s">
        <v>3792</v>
      </c>
    </row>
    <row r="1101" spans="1:25">
      <c r="A1101" t="s">
        <v>3793</v>
      </c>
      <c r="B1101" t="s">
        <v>3794</v>
      </c>
      <c r="D1101" t="s">
        <v>40</v>
      </c>
      <c r="E1101" t="s">
        <v>41</v>
      </c>
      <c r="J1101" t="s">
        <v>68</v>
      </c>
      <c r="K1101" t="s">
        <v>69</v>
      </c>
      <c r="L1101">
        <v>11</v>
      </c>
      <c r="M1101" t="s">
        <v>3795</v>
      </c>
      <c r="N1101" t="s">
        <v>64</v>
      </c>
      <c r="O1101" t="s">
        <v>46</v>
      </c>
      <c r="P1101" t="s">
        <v>46</v>
      </c>
      <c r="Y1101" t="s">
        <v>3796</v>
      </c>
    </row>
    <row r="1102" spans="1:25">
      <c r="A1102" t="s">
        <v>3797</v>
      </c>
      <c r="B1102" t="s">
        <v>3798</v>
      </c>
      <c r="D1102" t="s">
        <v>40</v>
      </c>
      <c r="E1102" t="s">
        <v>41</v>
      </c>
      <c r="J1102" t="s">
        <v>182</v>
      </c>
      <c r="K1102" t="s">
        <v>183</v>
      </c>
      <c r="L1102">
        <v>11</v>
      </c>
      <c r="M1102" t="s">
        <v>3795</v>
      </c>
      <c r="N1102" t="s">
        <v>64</v>
      </c>
      <c r="O1102" t="s">
        <v>46</v>
      </c>
      <c r="P1102" t="s">
        <v>46</v>
      </c>
      <c r="Y1102" t="s">
        <v>3799</v>
      </c>
    </row>
    <row r="1103" spans="1:25">
      <c r="A1103" t="s">
        <v>3800</v>
      </c>
      <c r="B1103" t="s">
        <v>3801</v>
      </c>
      <c r="D1103" t="s">
        <v>40</v>
      </c>
      <c r="E1103" t="s">
        <v>41</v>
      </c>
      <c r="J1103" t="s">
        <v>182</v>
      </c>
      <c r="K1103" t="s">
        <v>183</v>
      </c>
      <c r="L1103">
        <v>11</v>
      </c>
      <c r="M1103" t="s">
        <v>3795</v>
      </c>
      <c r="N1103" t="s">
        <v>64</v>
      </c>
      <c r="O1103" t="s">
        <v>46</v>
      </c>
      <c r="P1103" t="s">
        <v>46</v>
      </c>
      <c r="Y1103" t="s">
        <v>3802</v>
      </c>
    </row>
    <row r="1104" spans="1:25">
      <c r="A1104" t="s">
        <v>3803</v>
      </c>
      <c r="B1104" t="s">
        <v>3804</v>
      </c>
      <c r="D1104" t="s">
        <v>40</v>
      </c>
      <c r="E1104" t="s">
        <v>41</v>
      </c>
      <c r="J1104" t="s">
        <v>139</v>
      </c>
      <c r="K1104" t="s">
        <v>140</v>
      </c>
      <c r="L1104">
        <v>11</v>
      </c>
      <c r="M1104" t="s">
        <v>3795</v>
      </c>
      <c r="N1104" t="s">
        <v>257</v>
      </c>
      <c r="O1104" t="s">
        <v>46</v>
      </c>
      <c r="P1104" t="s">
        <v>46</v>
      </c>
      <c r="Y1104" t="s">
        <v>3805</v>
      </c>
    </row>
    <row r="1105" spans="1:25">
      <c r="A1105" t="s">
        <v>3806</v>
      </c>
      <c r="B1105" t="s">
        <v>3807</v>
      </c>
      <c r="D1105" t="s">
        <v>40</v>
      </c>
      <c r="E1105" t="s">
        <v>41</v>
      </c>
      <c r="J1105" t="s">
        <v>1114</v>
      </c>
      <c r="K1105" t="s">
        <v>1115</v>
      </c>
      <c r="L1105">
        <v>11</v>
      </c>
      <c r="M1105" t="s">
        <v>3795</v>
      </c>
      <c r="N1105" t="s">
        <v>924</v>
      </c>
      <c r="O1105" t="s">
        <v>46</v>
      </c>
      <c r="P1105" t="s">
        <v>46</v>
      </c>
      <c r="Y1105" t="s">
        <v>3808</v>
      </c>
    </row>
    <row r="1106" spans="1:25">
      <c r="A1106" t="s">
        <v>3809</v>
      </c>
      <c r="B1106" t="s">
        <v>3810</v>
      </c>
      <c r="D1106" t="s">
        <v>40</v>
      </c>
      <c r="E1106" t="s">
        <v>41</v>
      </c>
      <c r="J1106" t="s">
        <v>1214</v>
      </c>
      <c r="K1106" t="s">
        <v>1215</v>
      </c>
      <c r="L1106">
        <v>11</v>
      </c>
      <c r="M1106" t="s">
        <v>3795</v>
      </c>
      <c r="N1106" t="s">
        <v>1392</v>
      </c>
      <c r="O1106" t="s">
        <v>46</v>
      </c>
      <c r="P1106" t="s">
        <v>46</v>
      </c>
      <c r="Y1106" t="s">
        <v>3811</v>
      </c>
    </row>
    <row r="1107" spans="1:25">
      <c r="A1107" t="s">
        <v>3812</v>
      </c>
      <c r="B1107" t="s">
        <v>3813</v>
      </c>
      <c r="D1107" t="s">
        <v>40</v>
      </c>
      <c r="E1107" t="s">
        <v>41</v>
      </c>
      <c r="J1107" t="s">
        <v>68</v>
      </c>
      <c r="K1107" t="s">
        <v>69</v>
      </c>
      <c r="L1107">
        <v>11</v>
      </c>
      <c r="M1107" t="s">
        <v>3814</v>
      </c>
      <c r="N1107" t="s">
        <v>64</v>
      </c>
      <c r="O1107" t="s">
        <v>46</v>
      </c>
      <c r="P1107" t="s">
        <v>46</v>
      </c>
      <c r="Y1107" t="s">
        <v>3815</v>
      </c>
    </row>
    <row r="1108" spans="1:25">
      <c r="A1108" t="s">
        <v>3816</v>
      </c>
      <c r="B1108" t="s">
        <v>3817</v>
      </c>
      <c r="D1108" t="s">
        <v>40</v>
      </c>
      <c r="E1108" t="s">
        <v>41</v>
      </c>
      <c r="J1108" t="s">
        <v>182</v>
      </c>
      <c r="K1108" t="s">
        <v>183</v>
      </c>
      <c r="L1108">
        <v>11</v>
      </c>
      <c r="M1108" t="s">
        <v>3814</v>
      </c>
      <c r="N1108" t="s">
        <v>64</v>
      </c>
      <c r="O1108" t="s">
        <v>46</v>
      </c>
      <c r="P1108" t="s">
        <v>46</v>
      </c>
      <c r="Y1108" t="s">
        <v>3818</v>
      </c>
    </row>
    <row r="1109" spans="1:25">
      <c r="A1109" t="s">
        <v>3819</v>
      </c>
      <c r="B1109" t="s">
        <v>3820</v>
      </c>
      <c r="D1109" t="s">
        <v>40</v>
      </c>
      <c r="E1109" t="s">
        <v>41</v>
      </c>
      <c r="J1109" t="s">
        <v>62</v>
      </c>
      <c r="K1109" t="s">
        <v>63</v>
      </c>
      <c r="L1109">
        <v>11</v>
      </c>
      <c r="M1109" t="s">
        <v>3814</v>
      </c>
      <c r="N1109" t="s">
        <v>64</v>
      </c>
      <c r="O1109" t="s">
        <v>46</v>
      </c>
      <c r="P1109" t="s">
        <v>46</v>
      </c>
      <c r="Y1109" t="s">
        <v>3821</v>
      </c>
    </row>
    <row r="1110" spans="1:25">
      <c r="A1110" t="s">
        <v>3822</v>
      </c>
      <c r="B1110" t="s">
        <v>3823</v>
      </c>
      <c r="D1110" t="s">
        <v>40</v>
      </c>
      <c r="E1110" t="s">
        <v>41</v>
      </c>
      <c r="J1110" t="s">
        <v>182</v>
      </c>
      <c r="K1110" t="s">
        <v>183</v>
      </c>
      <c r="L1110">
        <v>11</v>
      </c>
      <c r="M1110" t="s">
        <v>3814</v>
      </c>
      <c r="N1110" t="s">
        <v>64</v>
      </c>
      <c r="O1110" t="s">
        <v>46</v>
      </c>
      <c r="P1110" t="s">
        <v>46</v>
      </c>
      <c r="Y1110" t="s">
        <v>3824</v>
      </c>
    </row>
    <row r="1111" spans="1:25">
      <c r="A1111" t="s">
        <v>3825</v>
      </c>
      <c r="B1111" t="s">
        <v>3826</v>
      </c>
      <c r="D1111" t="s">
        <v>40</v>
      </c>
      <c r="E1111" t="s">
        <v>41</v>
      </c>
      <c r="J1111" t="s">
        <v>68</v>
      </c>
      <c r="K1111" t="s">
        <v>69</v>
      </c>
      <c r="L1111">
        <v>11</v>
      </c>
      <c r="M1111" t="s">
        <v>3814</v>
      </c>
      <c r="N1111" t="s">
        <v>64</v>
      </c>
      <c r="O1111" t="s">
        <v>46</v>
      </c>
      <c r="P1111" t="s">
        <v>46</v>
      </c>
      <c r="Y1111" t="s">
        <v>3827</v>
      </c>
    </row>
    <row r="1112" spans="1:25">
      <c r="A1112" t="s">
        <v>3828</v>
      </c>
      <c r="B1112" t="s">
        <v>3829</v>
      </c>
      <c r="D1112" t="s">
        <v>40</v>
      </c>
      <c r="E1112" t="s">
        <v>41</v>
      </c>
      <c r="J1112" t="s">
        <v>182</v>
      </c>
      <c r="K1112" t="s">
        <v>183</v>
      </c>
      <c r="L1112">
        <v>11</v>
      </c>
      <c r="M1112" t="s">
        <v>3814</v>
      </c>
      <c r="N1112" t="s">
        <v>64</v>
      </c>
      <c r="O1112" t="s">
        <v>46</v>
      </c>
      <c r="P1112" t="s">
        <v>46</v>
      </c>
      <c r="Y1112" t="s">
        <v>3830</v>
      </c>
    </row>
    <row r="1113" spans="1:25">
      <c r="A1113" t="s">
        <v>3831</v>
      </c>
      <c r="B1113" t="s">
        <v>3832</v>
      </c>
      <c r="D1113" t="s">
        <v>40</v>
      </c>
      <c r="E1113" t="s">
        <v>41</v>
      </c>
      <c r="J1113" t="s">
        <v>76</v>
      </c>
      <c r="K1113" t="s">
        <v>77</v>
      </c>
      <c r="L1113">
        <v>11</v>
      </c>
      <c r="M1113" t="s">
        <v>3833</v>
      </c>
      <c r="N1113" t="s">
        <v>64</v>
      </c>
      <c r="O1113" t="s">
        <v>46</v>
      </c>
      <c r="P1113" t="s">
        <v>46</v>
      </c>
      <c r="Y1113" t="s">
        <v>3834</v>
      </c>
    </row>
    <row r="1114" spans="1:25">
      <c r="A1114" t="s">
        <v>3835</v>
      </c>
      <c r="B1114" t="s">
        <v>3836</v>
      </c>
      <c r="D1114" t="s">
        <v>40</v>
      </c>
      <c r="E1114" t="s">
        <v>41</v>
      </c>
      <c r="J1114" t="s">
        <v>76</v>
      </c>
      <c r="K1114" t="s">
        <v>77</v>
      </c>
      <c r="L1114">
        <v>11</v>
      </c>
      <c r="M1114" t="s">
        <v>3833</v>
      </c>
      <c r="N1114" t="s">
        <v>64</v>
      </c>
      <c r="O1114" t="s">
        <v>46</v>
      </c>
      <c r="P1114" t="s">
        <v>46</v>
      </c>
      <c r="Y1114" t="s">
        <v>3837</v>
      </c>
    </row>
    <row r="1115" spans="1:25">
      <c r="A1115" t="s">
        <v>3838</v>
      </c>
      <c r="B1115" t="s">
        <v>3839</v>
      </c>
      <c r="D1115" t="s">
        <v>40</v>
      </c>
      <c r="E1115" t="s">
        <v>41</v>
      </c>
      <c r="J1115" t="s">
        <v>68</v>
      </c>
      <c r="K1115" t="s">
        <v>69</v>
      </c>
      <c r="L1115">
        <v>11</v>
      </c>
      <c r="M1115" t="s">
        <v>3833</v>
      </c>
      <c r="N1115" t="s">
        <v>64</v>
      </c>
      <c r="O1115" t="s">
        <v>46</v>
      </c>
      <c r="P1115" t="s">
        <v>46</v>
      </c>
      <c r="Y1115" t="s">
        <v>3840</v>
      </c>
    </row>
    <row r="1116" spans="1:25">
      <c r="A1116" t="s">
        <v>3841</v>
      </c>
      <c r="B1116" t="s">
        <v>3842</v>
      </c>
      <c r="D1116" t="s">
        <v>40</v>
      </c>
      <c r="E1116" t="s">
        <v>41</v>
      </c>
      <c r="J1116" t="s">
        <v>42</v>
      </c>
      <c r="K1116" t="s">
        <v>43</v>
      </c>
      <c r="L1116">
        <v>10</v>
      </c>
      <c r="M1116" t="s">
        <v>3843</v>
      </c>
      <c r="N1116" t="s">
        <v>752</v>
      </c>
      <c r="O1116" t="s">
        <v>46</v>
      </c>
      <c r="P1116" t="s">
        <v>46</v>
      </c>
      <c r="Y1116" t="s">
        <v>3844</v>
      </c>
    </row>
    <row r="1117" spans="1:25">
      <c r="A1117" t="s">
        <v>3845</v>
      </c>
      <c r="B1117" t="s">
        <v>3846</v>
      </c>
      <c r="D1117" t="s">
        <v>40</v>
      </c>
      <c r="E1117" t="s">
        <v>41</v>
      </c>
      <c r="J1117" t="s">
        <v>68</v>
      </c>
      <c r="K1117" t="s">
        <v>69</v>
      </c>
      <c r="L1117">
        <v>11</v>
      </c>
      <c r="M1117" t="s">
        <v>3847</v>
      </c>
      <c r="N1117" t="s">
        <v>64</v>
      </c>
      <c r="O1117" t="s">
        <v>46</v>
      </c>
      <c r="P1117" t="s">
        <v>46</v>
      </c>
      <c r="Y1117" t="s">
        <v>3848</v>
      </c>
    </row>
    <row r="1118" spans="1:25">
      <c r="A1118" t="s">
        <v>3849</v>
      </c>
      <c r="B1118" t="s">
        <v>3850</v>
      </c>
      <c r="D1118" t="s">
        <v>40</v>
      </c>
      <c r="E1118" t="s">
        <v>41</v>
      </c>
      <c r="J1118" t="s">
        <v>182</v>
      </c>
      <c r="K1118" t="s">
        <v>183</v>
      </c>
      <c r="L1118">
        <v>11</v>
      </c>
      <c r="M1118" t="s">
        <v>3851</v>
      </c>
      <c r="N1118" t="s">
        <v>64</v>
      </c>
      <c r="O1118" t="s">
        <v>46</v>
      </c>
      <c r="P1118" t="s">
        <v>46</v>
      </c>
      <c r="Y1118" t="s">
        <v>3852</v>
      </c>
    </row>
    <row r="1119" spans="1:25">
      <c r="A1119" t="s">
        <v>3853</v>
      </c>
      <c r="B1119" t="s">
        <v>3854</v>
      </c>
      <c r="D1119" t="s">
        <v>40</v>
      </c>
      <c r="E1119" t="s">
        <v>41</v>
      </c>
      <c r="J1119" t="s">
        <v>68</v>
      </c>
      <c r="K1119" t="s">
        <v>69</v>
      </c>
      <c r="L1119">
        <v>11</v>
      </c>
      <c r="M1119" t="s">
        <v>3851</v>
      </c>
      <c r="N1119" t="s">
        <v>64</v>
      </c>
      <c r="O1119" t="s">
        <v>46</v>
      </c>
      <c r="P1119" t="s">
        <v>46</v>
      </c>
      <c r="Y1119" t="s">
        <v>3855</v>
      </c>
    </row>
    <row r="1120" spans="1:25">
      <c r="A1120" t="s">
        <v>3856</v>
      </c>
      <c r="B1120" t="s">
        <v>3857</v>
      </c>
      <c r="D1120" t="s">
        <v>40</v>
      </c>
      <c r="E1120" t="s">
        <v>41</v>
      </c>
      <c r="J1120" t="s">
        <v>182</v>
      </c>
      <c r="K1120" t="s">
        <v>183</v>
      </c>
      <c r="L1120">
        <v>11</v>
      </c>
      <c r="M1120" t="s">
        <v>3851</v>
      </c>
      <c r="N1120" t="s">
        <v>64</v>
      </c>
      <c r="O1120" t="s">
        <v>46</v>
      </c>
      <c r="P1120" t="s">
        <v>46</v>
      </c>
      <c r="Y1120" t="s">
        <v>3858</v>
      </c>
    </row>
    <row r="1121" spans="1:25">
      <c r="A1121" t="s">
        <v>3859</v>
      </c>
      <c r="B1121" t="s">
        <v>3860</v>
      </c>
      <c r="D1121" t="s">
        <v>40</v>
      </c>
      <c r="E1121" t="s">
        <v>41</v>
      </c>
      <c r="J1121" t="s">
        <v>50</v>
      </c>
      <c r="K1121" t="s">
        <v>51</v>
      </c>
      <c r="L1121">
        <v>11</v>
      </c>
      <c r="M1121" t="s">
        <v>3851</v>
      </c>
      <c r="N1121" t="s">
        <v>617</v>
      </c>
      <c r="O1121" t="s">
        <v>46</v>
      </c>
      <c r="P1121" t="s">
        <v>46</v>
      </c>
      <c r="Y1121" t="s">
        <v>3861</v>
      </c>
    </row>
    <row r="1122" spans="1:25">
      <c r="A1122" t="s">
        <v>3862</v>
      </c>
      <c r="B1122" t="s">
        <v>3863</v>
      </c>
      <c r="D1122" t="s">
        <v>40</v>
      </c>
      <c r="E1122" t="s">
        <v>41</v>
      </c>
      <c r="J1122" t="s">
        <v>76</v>
      </c>
      <c r="K1122" t="s">
        <v>77</v>
      </c>
      <c r="L1122">
        <v>11</v>
      </c>
      <c r="M1122" t="s">
        <v>3864</v>
      </c>
      <c r="N1122" t="s">
        <v>64</v>
      </c>
      <c r="O1122" t="s">
        <v>46</v>
      </c>
      <c r="P1122" t="s">
        <v>46</v>
      </c>
      <c r="Y1122" t="s">
        <v>3865</v>
      </c>
    </row>
    <row r="1123" spans="1:25">
      <c r="A1123" t="s">
        <v>3866</v>
      </c>
      <c r="B1123" t="s">
        <v>3867</v>
      </c>
      <c r="D1123" t="s">
        <v>40</v>
      </c>
      <c r="E1123" t="s">
        <v>41</v>
      </c>
      <c r="J1123" t="s">
        <v>182</v>
      </c>
      <c r="K1123" t="s">
        <v>183</v>
      </c>
      <c r="L1123">
        <v>11</v>
      </c>
      <c r="M1123" t="s">
        <v>3864</v>
      </c>
      <c r="N1123" t="s">
        <v>64</v>
      </c>
      <c r="O1123" t="s">
        <v>46</v>
      </c>
      <c r="P1123" t="s">
        <v>46</v>
      </c>
      <c r="Y1123" t="s">
        <v>3868</v>
      </c>
    </row>
    <row r="1124" spans="1:25">
      <c r="A1124" t="s">
        <v>3869</v>
      </c>
      <c r="B1124" t="s">
        <v>3870</v>
      </c>
      <c r="D1124" t="s">
        <v>40</v>
      </c>
      <c r="E1124" t="s">
        <v>41</v>
      </c>
      <c r="J1124" t="s">
        <v>42</v>
      </c>
      <c r="K1124" t="s">
        <v>43</v>
      </c>
      <c r="L1124">
        <v>11</v>
      </c>
      <c r="M1124" t="s">
        <v>3864</v>
      </c>
      <c r="N1124" t="s">
        <v>2621</v>
      </c>
      <c r="O1124" t="s">
        <v>46</v>
      </c>
      <c r="P1124" t="s">
        <v>46</v>
      </c>
      <c r="Y1124" t="s">
        <v>3871</v>
      </c>
    </row>
    <row r="1125" spans="1:25">
      <c r="A1125" t="s">
        <v>3872</v>
      </c>
      <c r="B1125" t="s">
        <v>3873</v>
      </c>
      <c r="D1125" t="s">
        <v>40</v>
      </c>
      <c r="E1125" t="s">
        <v>41</v>
      </c>
      <c r="J1125" t="s">
        <v>182</v>
      </c>
      <c r="K1125" t="s">
        <v>183</v>
      </c>
      <c r="L1125">
        <v>11</v>
      </c>
      <c r="M1125" t="s">
        <v>3864</v>
      </c>
      <c r="N1125" t="s">
        <v>64</v>
      </c>
      <c r="O1125" t="s">
        <v>46</v>
      </c>
      <c r="P1125" t="s">
        <v>46</v>
      </c>
      <c r="Y1125" t="s">
        <v>3874</v>
      </c>
    </row>
    <row r="1126" spans="1:25">
      <c r="A1126" t="s">
        <v>3875</v>
      </c>
      <c r="B1126" t="s">
        <v>3876</v>
      </c>
      <c r="D1126" t="s">
        <v>40</v>
      </c>
      <c r="E1126" t="s">
        <v>41</v>
      </c>
      <c r="J1126" t="s">
        <v>76</v>
      </c>
      <c r="K1126" t="s">
        <v>77</v>
      </c>
      <c r="L1126">
        <v>11</v>
      </c>
      <c r="M1126" t="s">
        <v>3864</v>
      </c>
      <c r="N1126" t="s">
        <v>64</v>
      </c>
      <c r="O1126" t="s">
        <v>46</v>
      </c>
      <c r="P1126" t="s">
        <v>46</v>
      </c>
      <c r="Y1126" t="s">
        <v>3877</v>
      </c>
    </row>
    <row r="1127" spans="1:25">
      <c r="A1127" t="s">
        <v>3878</v>
      </c>
      <c r="B1127" t="s">
        <v>3879</v>
      </c>
      <c r="D1127" t="s">
        <v>40</v>
      </c>
      <c r="E1127" t="s">
        <v>41</v>
      </c>
      <c r="J1127" t="s">
        <v>182</v>
      </c>
      <c r="K1127" t="s">
        <v>183</v>
      </c>
      <c r="L1127">
        <v>11</v>
      </c>
      <c r="M1127" t="s">
        <v>3864</v>
      </c>
      <c r="N1127" t="s">
        <v>64</v>
      </c>
      <c r="O1127" t="s">
        <v>46</v>
      </c>
      <c r="P1127" t="s">
        <v>46</v>
      </c>
      <c r="Y1127" t="s">
        <v>3880</v>
      </c>
    </row>
    <row r="1128" spans="1:25">
      <c r="A1128" t="s">
        <v>3881</v>
      </c>
      <c r="B1128" t="s">
        <v>3882</v>
      </c>
      <c r="D1128" t="s">
        <v>40</v>
      </c>
      <c r="E1128" t="s">
        <v>41</v>
      </c>
      <c r="J1128" t="s">
        <v>182</v>
      </c>
      <c r="K1128" t="s">
        <v>183</v>
      </c>
      <c r="L1128">
        <v>11</v>
      </c>
      <c r="M1128" t="s">
        <v>3864</v>
      </c>
      <c r="N1128" t="s">
        <v>64</v>
      </c>
      <c r="O1128" t="s">
        <v>46</v>
      </c>
      <c r="P1128" t="s">
        <v>46</v>
      </c>
      <c r="Y1128" t="s">
        <v>3883</v>
      </c>
    </row>
    <row r="1129" spans="1:25">
      <c r="A1129" t="s">
        <v>3884</v>
      </c>
      <c r="B1129" t="s">
        <v>3885</v>
      </c>
      <c r="D1129" t="s">
        <v>40</v>
      </c>
      <c r="E1129" t="s">
        <v>41</v>
      </c>
      <c r="J1129" t="s">
        <v>182</v>
      </c>
      <c r="K1129" t="s">
        <v>183</v>
      </c>
      <c r="L1129">
        <v>11</v>
      </c>
      <c r="M1129" t="s">
        <v>3864</v>
      </c>
      <c r="N1129" t="s">
        <v>64</v>
      </c>
      <c r="O1129" t="s">
        <v>46</v>
      </c>
      <c r="P1129" t="s">
        <v>46</v>
      </c>
      <c r="Y1129" t="s">
        <v>3886</v>
      </c>
    </row>
    <row r="1130" spans="1:25">
      <c r="A1130" t="s">
        <v>3887</v>
      </c>
      <c r="B1130" t="s">
        <v>3888</v>
      </c>
      <c r="D1130" t="s">
        <v>40</v>
      </c>
      <c r="E1130" t="s">
        <v>41</v>
      </c>
      <c r="J1130" t="s">
        <v>182</v>
      </c>
      <c r="K1130" t="s">
        <v>183</v>
      </c>
      <c r="L1130">
        <v>11</v>
      </c>
      <c r="M1130" t="s">
        <v>3864</v>
      </c>
      <c r="N1130" t="s">
        <v>64</v>
      </c>
      <c r="O1130" t="s">
        <v>46</v>
      </c>
      <c r="P1130" t="s">
        <v>46</v>
      </c>
      <c r="Y1130" t="s">
        <v>3889</v>
      </c>
    </row>
    <row r="1131" spans="1:25">
      <c r="A1131" t="s">
        <v>3890</v>
      </c>
      <c r="B1131" t="s">
        <v>3891</v>
      </c>
      <c r="D1131" t="s">
        <v>40</v>
      </c>
      <c r="E1131" t="s">
        <v>41</v>
      </c>
      <c r="J1131" t="s">
        <v>182</v>
      </c>
      <c r="K1131" t="s">
        <v>183</v>
      </c>
      <c r="L1131">
        <v>11</v>
      </c>
      <c r="M1131" t="s">
        <v>3864</v>
      </c>
      <c r="N1131" t="s">
        <v>64</v>
      </c>
      <c r="O1131" t="s">
        <v>46</v>
      </c>
      <c r="P1131" t="s">
        <v>46</v>
      </c>
      <c r="Y1131" t="s">
        <v>3892</v>
      </c>
    </row>
    <row r="1132" spans="1:25">
      <c r="A1132" t="s">
        <v>3893</v>
      </c>
      <c r="B1132" t="s">
        <v>3894</v>
      </c>
      <c r="D1132" t="s">
        <v>40</v>
      </c>
      <c r="E1132" t="s">
        <v>41</v>
      </c>
      <c r="J1132" t="s">
        <v>76</v>
      </c>
      <c r="K1132" t="s">
        <v>77</v>
      </c>
      <c r="L1132">
        <v>11</v>
      </c>
      <c r="M1132" t="s">
        <v>3864</v>
      </c>
      <c r="N1132" t="s">
        <v>64</v>
      </c>
      <c r="O1132" t="s">
        <v>46</v>
      </c>
      <c r="P1132" t="s">
        <v>46</v>
      </c>
      <c r="Y1132" t="s">
        <v>3895</v>
      </c>
    </row>
    <row r="1133" spans="1:25">
      <c r="A1133" t="s">
        <v>3896</v>
      </c>
      <c r="B1133" t="s">
        <v>3897</v>
      </c>
      <c r="D1133" t="s">
        <v>40</v>
      </c>
      <c r="E1133" t="s">
        <v>41</v>
      </c>
      <c r="J1133" t="s">
        <v>1997</v>
      </c>
      <c r="K1133" t="s">
        <v>1998</v>
      </c>
      <c r="L1133">
        <v>11</v>
      </c>
      <c r="M1133" t="s">
        <v>3898</v>
      </c>
      <c r="N1133" t="s">
        <v>1138</v>
      </c>
      <c r="O1133" t="s">
        <v>46</v>
      </c>
      <c r="P1133" t="s">
        <v>46</v>
      </c>
      <c r="Y1133" t="s">
        <v>3899</v>
      </c>
    </row>
    <row r="1134" spans="1:25">
      <c r="A1134" t="s">
        <v>3900</v>
      </c>
      <c r="B1134" t="s">
        <v>3901</v>
      </c>
      <c r="D1134" t="s">
        <v>40</v>
      </c>
      <c r="E1134" t="s">
        <v>41</v>
      </c>
      <c r="J1134" t="s">
        <v>182</v>
      </c>
      <c r="K1134" t="s">
        <v>183</v>
      </c>
      <c r="L1134">
        <v>11</v>
      </c>
      <c r="M1134" t="s">
        <v>3898</v>
      </c>
      <c r="N1134" t="s">
        <v>64</v>
      </c>
      <c r="O1134" t="s">
        <v>46</v>
      </c>
      <c r="P1134" t="s">
        <v>46</v>
      </c>
      <c r="Y1134" t="s">
        <v>3902</v>
      </c>
    </row>
    <row r="1135" spans="1:25">
      <c r="A1135" t="s">
        <v>3903</v>
      </c>
      <c r="B1135" t="s">
        <v>3904</v>
      </c>
      <c r="D1135" t="s">
        <v>40</v>
      </c>
      <c r="E1135" t="s">
        <v>41</v>
      </c>
      <c r="J1135" t="s">
        <v>1214</v>
      </c>
      <c r="K1135" t="s">
        <v>1215</v>
      </c>
      <c r="L1135">
        <v>11</v>
      </c>
      <c r="M1135" t="s">
        <v>3898</v>
      </c>
      <c r="N1135" t="s">
        <v>2346</v>
      </c>
      <c r="O1135" t="s">
        <v>46</v>
      </c>
      <c r="P1135" t="s">
        <v>46</v>
      </c>
      <c r="Y1135" t="s">
        <v>3905</v>
      </c>
    </row>
    <row r="1136" spans="1:25">
      <c r="A1136" t="s">
        <v>3906</v>
      </c>
      <c r="B1136" t="s">
        <v>3907</v>
      </c>
      <c r="D1136" t="s">
        <v>40</v>
      </c>
      <c r="E1136" t="s">
        <v>41</v>
      </c>
      <c r="J1136" t="s">
        <v>182</v>
      </c>
      <c r="K1136" t="s">
        <v>183</v>
      </c>
      <c r="L1136">
        <v>11</v>
      </c>
      <c r="M1136" t="s">
        <v>3898</v>
      </c>
      <c r="N1136" t="s">
        <v>64</v>
      </c>
      <c r="O1136" t="s">
        <v>46</v>
      </c>
      <c r="P1136" t="s">
        <v>46</v>
      </c>
      <c r="Y1136" t="s">
        <v>3908</v>
      </c>
    </row>
    <row r="1137" spans="1:25">
      <c r="A1137" t="s">
        <v>3909</v>
      </c>
      <c r="B1137" t="s">
        <v>3910</v>
      </c>
      <c r="D1137" t="s">
        <v>40</v>
      </c>
      <c r="E1137" t="s">
        <v>41</v>
      </c>
      <c r="J1137" t="s">
        <v>62</v>
      </c>
      <c r="K1137" t="s">
        <v>63</v>
      </c>
      <c r="L1137">
        <v>11</v>
      </c>
      <c r="M1137" t="s">
        <v>3898</v>
      </c>
      <c r="N1137" t="s">
        <v>64</v>
      </c>
      <c r="O1137" t="s">
        <v>46</v>
      </c>
      <c r="P1137" t="s">
        <v>46</v>
      </c>
      <c r="Y1137" t="s">
        <v>3911</v>
      </c>
    </row>
    <row r="1138" spans="1:25">
      <c r="A1138" t="s">
        <v>3912</v>
      </c>
      <c r="B1138" t="s">
        <v>3913</v>
      </c>
      <c r="D1138" t="s">
        <v>40</v>
      </c>
      <c r="E1138" t="s">
        <v>41</v>
      </c>
      <c r="J1138" t="s">
        <v>182</v>
      </c>
      <c r="K1138" t="s">
        <v>183</v>
      </c>
      <c r="L1138">
        <v>11</v>
      </c>
      <c r="M1138" t="s">
        <v>3898</v>
      </c>
      <c r="N1138" t="s">
        <v>64</v>
      </c>
      <c r="O1138" t="s">
        <v>46</v>
      </c>
      <c r="P1138" t="s">
        <v>46</v>
      </c>
      <c r="Y1138" t="s">
        <v>3914</v>
      </c>
    </row>
    <row r="1139" spans="1:25">
      <c r="A1139" t="s">
        <v>3915</v>
      </c>
      <c r="B1139" t="s">
        <v>3916</v>
      </c>
      <c r="D1139" t="s">
        <v>40</v>
      </c>
      <c r="E1139" t="s">
        <v>41</v>
      </c>
      <c r="J1139" t="s">
        <v>1114</v>
      </c>
      <c r="K1139" t="s">
        <v>1115</v>
      </c>
      <c r="L1139">
        <v>11</v>
      </c>
      <c r="M1139" t="s">
        <v>3917</v>
      </c>
      <c r="N1139" t="s">
        <v>178</v>
      </c>
      <c r="O1139" t="s">
        <v>46</v>
      </c>
      <c r="P1139" t="s">
        <v>46</v>
      </c>
      <c r="Y1139" t="s">
        <v>3918</v>
      </c>
    </row>
    <row r="1140" spans="1:25">
      <c r="A1140" t="s">
        <v>3919</v>
      </c>
      <c r="B1140" t="s">
        <v>3920</v>
      </c>
      <c r="D1140" t="s">
        <v>40</v>
      </c>
      <c r="E1140" t="s">
        <v>41</v>
      </c>
      <c r="J1140" t="s">
        <v>76</v>
      </c>
      <c r="K1140" t="s">
        <v>77</v>
      </c>
      <c r="L1140">
        <v>11</v>
      </c>
      <c r="M1140" t="s">
        <v>3917</v>
      </c>
      <c r="N1140" t="s">
        <v>64</v>
      </c>
      <c r="O1140" t="s">
        <v>46</v>
      </c>
      <c r="P1140" t="s">
        <v>46</v>
      </c>
      <c r="Y1140" t="s">
        <v>3921</v>
      </c>
    </row>
    <row r="1141" spans="1:25">
      <c r="A1141" t="s">
        <v>3922</v>
      </c>
      <c r="B1141" t="s">
        <v>3923</v>
      </c>
      <c r="D1141" t="s">
        <v>40</v>
      </c>
      <c r="E1141" t="s">
        <v>41</v>
      </c>
      <c r="J1141" t="s">
        <v>182</v>
      </c>
      <c r="K1141" t="s">
        <v>183</v>
      </c>
      <c r="L1141">
        <v>11</v>
      </c>
      <c r="M1141" t="s">
        <v>3917</v>
      </c>
      <c r="N1141" t="s">
        <v>64</v>
      </c>
      <c r="O1141" t="s">
        <v>46</v>
      </c>
      <c r="P1141" t="s">
        <v>46</v>
      </c>
      <c r="Y1141" t="s">
        <v>3924</v>
      </c>
    </row>
    <row r="1142" spans="1:25">
      <c r="A1142" t="s">
        <v>3925</v>
      </c>
      <c r="B1142" t="s">
        <v>3926</v>
      </c>
      <c r="D1142" t="s">
        <v>40</v>
      </c>
      <c r="E1142" t="s">
        <v>41</v>
      </c>
      <c r="J1142" t="s">
        <v>182</v>
      </c>
      <c r="K1142" t="s">
        <v>183</v>
      </c>
      <c r="L1142">
        <v>11</v>
      </c>
      <c r="M1142" t="s">
        <v>3917</v>
      </c>
      <c r="N1142" t="s">
        <v>64</v>
      </c>
      <c r="O1142" t="s">
        <v>46</v>
      </c>
      <c r="P1142" t="s">
        <v>46</v>
      </c>
      <c r="Y1142" t="s">
        <v>3927</v>
      </c>
    </row>
    <row r="1143" spans="1:25">
      <c r="A1143" t="s">
        <v>3928</v>
      </c>
      <c r="B1143" t="s">
        <v>3929</v>
      </c>
      <c r="D1143" t="s">
        <v>40</v>
      </c>
      <c r="E1143" t="s">
        <v>41</v>
      </c>
      <c r="J1143" t="s">
        <v>182</v>
      </c>
      <c r="K1143" t="s">
        <v>183</v>
      </c>
      <c r="L1143">
        <v>11</v>
      </c>
      <c r="M1143" t="s">
        <v>3917</v>
      </c>
      <c r="N1143" t="s">
        <v>64</v>
      </c>
      <c r="O1143" t="s">
        <v>46</v>
      </c>
      <c r="P1143" t="s">
        <v>46</v>
      </c>
      <c r="Y1143" t="s">
        <v>3930</v>
      </c>
    </row>
    <row r="1144" spans="1:25">
      <c r="A1144" t="s">
        <v>3931</v>
      </c>
      <c r="B1144" t="s">
        <v>3932</v>
      </c>
      <c r="D1144" t="s">
        <v>40</v>
      </c>
      <c r="E1144" t="s">
        <v>41</v>
      </c>
      <c r="J1144" t="s">
        <v>76</v>
      </c>
      <c r="K1144" t="s">
        <v>77</v>
      </c>
      <c r="L1144">
        <v>11</v>
      </c>
      <c r="M1144" t="s">
        <v>3917</v>
      </c>
      <c r="N1144" t="s">
        <v>64</v>
      </c>
      <c r="O1144" t="s">
        <v>46</v>
      </c>
      <c r="P1144" t="s">
        <v>46</v>
      </c>
      <c r="Y1144" t="s">
        <v>3933</v>
      </c>
    </row>
    <row r="1145" spans="1:25">
      <c r="A1145" t="s">
        <v>3934</v>
      </c>
      <c r="B1145" t="s">
        <v>3935</v>
      </c>
      <c r="D1145" t="s">
        <v>40</v>
      </c>
      <c r="E1145" t="s">
        <v>41</v>
      </c>
      <c r="J1145" t="s">
        <v>1114</v>
      </c>
      <c r="K1145" t="s">
        <v>1115</v>
      </c>
      <c r="L1145">
        <v>11</v>
      </c>
      <c r="M1145" t="s">
        <v>3917</v>
      </c>
      <c r="N1145" t="s">
        <v>1397</v>
      </c>
      <c r="O1145" t="s">
        <v>46</v>
      </c>
      <c r="P1145" t="s">
        <v>46</v>
      </c>
      <c r="Y1145" t="s">
        <v>3936</v>
      </c>
    </row>
    <row r="1146" spans="1:25">
      <c r="A1146" t="s">
        <v>3937</v>
      </c>
      <c r="B1146" t="s">
        <v>3938</v>
      </c>
      <c r="D1146" t="s">
        <v>40</v>
      </c>
      <c r="E1146" t="s">
        <v>41</v>
      </c>
      <c r="J1146" t="s">
        <v>1214</v>
      </c>
      <c r="K1146" t="s">
        <v>1215</v>
      </c>
      <c r="L1146">
        <v>11</v>
      </c>
      <c r="M1146" t="s">
        <v>3939</v>
      </c>
      <c r="N1146" t="s">
        <v>1189</v>
      </c>
      <c r="O1146" t="s">
        <v>46</v>
      </c>
      <c r="P1146" t="s">
        <v>46</v>
      </c>
      <c r="Y1146" t="s">
        <v>3940</v>
      </c>
    </row>
    <row r="1147" spans="1:25">
      <c r="A1147" t="s">
        <v>3941</v>
      </c>
      <c r="B1147" t="s">
        <v>3942</v>
      </c>
      <c r="D1147" t="s">
        <v>40</v>
      </c>
      <c r="E1147" t="s">
        <v>41</v>
      </c>
      <c r="J1147" t="s">
        <v>76</v>
      </c>
      <c r="K1147" t="s">
        <v>77</v>
      </c>
      <c r="L1147">
        <v>11</v>
      </c>
      <c r="M1147" t="s">
        <v>3939</v>
      </c>
      <c r="N1147" t="s">
        <v>64</v>
      </c>
      <c r="O1147" t="s">
        <v>46</v>
      </c>
      <c r="P1147" t="s">
        <v>46</v>
      </c>
      <c r="Y1147" t="s">
        <v>3943</v>
      </c>
    </row>
    <row r="1148" spans="1:25">
      <c r="A1148" t="s">
        <v>3944</v>
      </c>
      <c r="B1148" t="s">
        <v>3945</v>
      </c>
      <c r="D1148" t="s">
        <v>40</v>
      </c>
      <c r="E1148" t="s">
        <v>41</v>
      </c>
      <c r="J1148" t="s">
        <v>1114</v>
      </c>
      <c r="K1148" t="s">
        <v>1115</v>
      </c>
      <c r="L1148">
        <v>11</v>
      </c>
      <c r="M1148" t="s">
        <v>3946</v>
      </c>
      <c r="N1148" t="s">
        <v>296</v>
      </c>
      <c r="O1148" t="s">
        <v>46</v>
      </c>
      <c r="P1148" t="s">
        <v>46</v>
      </c>
      <c r="Y1148" t="s">
        <v>3947</v>
      </c>
    </row>
    <row r="1149" spans="1:25">
      <c r="A1149" t="s">
        <v>3948</v>
      </c>
      <c r="B1149" t="s">
        <v>3949</v>
      </c>
      <c r="D1149" t="s">
        <v>40</v>
      </c>
      <c r="E1149" t="s">
        <v>41</v>
      </c>
      <c r="J1149" t="s">
        <v>68</v>
      </c>
      <c r="K1149" t="s">
        <v>69</v>
      </c>
      <c r="L1149">
        <v>11</v>
      </c>
      <c r="M1149" t="s">
        <v>3946</v>
      </c>
      <c r="N1149" t="s">
        <v>64</v>
      </c>
      <c r="O1149" t="s">
        <v>46</v>
      </c>
      <c r="P1149" t="s">
        <v>46</v>
      </c>
      <c r="Y1149" t="s">
        <v>3950</v>
      </c>
    </row>
    <row r="1150" spans="1:25">
      <c r="A1150" t="s">
        <v>3951</v>
      </c>
      <c r="B1150" t="s">
        <v>3952</v>
      </c>
      <c r="D1150" t="s">
        <v>40</v>
      </c>
      <c r="E1150" t="s">
        <v>41</v>
      </c>
      <c r="J1150" t="s">
        <v>76</v>
      </c>
      <c r="K1150" t="s">
        <v>77</v>
      </c>
      <c r="L1150">
        <v>11</v>
      </c>
      <c r="M1150" t="s">
        <v>3946</v>
      </c>
      <c r="N1150" t="s">
        <v>64</v>
      </c>
      <c r="O1150" t="s">
        <v>46</v>
      </c>
      <c r="P1150" t="s">
        <v>46</v>
      </c>
      <c r="Y1150" t="s">
        <v>3953</v>
      </c>
    </row>
    <row r="1151" spans="1:25">
      <c r="A1151" t="s">
        <v>3954</v>
      </c>
      <c r="B1151" t="s">
        <v>3955</v>
      </c>
      <c r="D1151" t="s">
        <v>40</v>
      </c>
      <c r="E1151" t="s">
        <v>41</v>
      </c>
      <c r="J1151" t="s">
        <v>68</v>
      </c>
      <c r="K1151" t="s">
        <v>69</v>
      </c>
      <c r="L1151">
        <v>11</v>
      </c>
      <c r="M1151" t="s">
        <v>3946</v>
      </c>
      <c r="N1151" t="s">
        <v>64</v>
      </c>
      <c r="O1151" t="s">
        <v>46</v>
      </c>
      <c r="P1151" t="s">
        <v>46</v>
      </c>
      <c r="Y1151" t="s">
        <v>3956</v>
      </c>
    </row>
    <row r="1152" spans="1:25">
      <c r="A1152" t="s">
        <v>3957</v>
      </c>
      <c r="B1152" t="s">
        <v>3958</v>
      </c>
      <c r="D1152" t="s">
        <v>40</v>
      </c>
      <c r="E1152" t="s">
        <v>41</v>
      </c>
      <c r="J1152" t="s">
        <v>182</v>
      </c>
      <c r="K1152" t="s">
        <v>183</v>
      </c>
      <c r="L1152">
        <v>11</v>
      </c>
      <c r="M1152" t="s">
        <v>3946</v>
      </c>
      <c r="N1152" t="s">
        <v>64</v>
      </c>
      <c r="O1152" t="s">
        <v>46</v>
      </c>
      <c r="P1152" t="s">
        <v>46</v>
      </c>
      <c r="Y1152" t="s">
        <v>3959</v>
      </c>
    </row>
    <row r="1153" spans="1:25">
      <c r="A1153" t="s">
        <v>3960</v>
      </c>
      <c r="B1153" t="s">
        <v>3961</v>
      </c>
      <c r="D1153" t="s">
        <v>40</v>
      </c>
      <c r="E1153" t="s">
        <v>41</v>
      </c>
      <c r="J1153" t="s">
        <v>182</v>
      </c>
      <c r="K1153" t="s">
        <v>183</v>
      </c>
      <c r="L1153">
        <v>11</v>
      </c>
      <c r="M1153" t="s">
        <v>3946</v>
      </c>
      <c r="N1153" t="s">
        <v>64</v>
      </c>
      <c r="O1153" t="s">
        <v>46</v>
      </c>
      <c r="P1153" t="s">
        <v>46</v>
      </c>
      <c r="Y1153" t="s">
        <v>3962</v>
      </c>
    </row>
    <row r="1154" spans="1:25">
      <c r="A1154" t="s">
        <v>3963</v>
      </c>
      <c r="B1154" t="s">
        <v>3964</v>
      </c>
      <c r="D1154" t="s">
        <v>40</v>
      </c>
      <c r="E1154" t="s">
        <v>41</v>
      </c>
      <c r="J1154" t="s">
        <v>139</v>
      </c>
      <c r="K1154" t="s">
        <v>140</v>
      </c>
      <c r="L1154">
        <v>8</v>
      </c>
      <c r="M1154" t="s">
        <v>3965</v>
      </c>
      <c r="N1154" t="s">
        <v>1138</v>
      </c>
      <c r="O1154" t="s">
        <v>46</v>
      </c>
      <c r="P1154" t="s">
        <v>46</v>
      </c>
      <c r="Y1154" t="s">
        <v>3966</v>
      </c>
    </row>
    <row r="1155" spans="1:25">
      <c r="A1155" t="s">
        <v>3967</v>
      </c>
      <c r="B1155" t="s">
        <v>3968</v>
      </c>
      <c r="D1155" t="s">
        <v>40</v>
      </c>
      <c r="E1155" t="s">
        <v>41</v>
      </c>
      <c r="J1155" t="s">
        <v>182</v>
      </c>
      <c r="K1155" t="s">
        <v>183</v>
      </c>
      <c r="L1155">
        <v>11</v>
      </c>
      <c r="M1155" t="s">
        <v>3969</v>
      </c>
      <c r="N1155" t="s">
        <v>64</v>
      </c>
      <c r="O1155" t="s">
        <v>46</v>
      </c>
      <c r="P1155" t="s">
        <v>46</v>
      </c>
      <c r="Y1155" t="s">
        <v>3970</v>
      </c>
    </row>
    <row r="1156" spans="1:25">
      <c r="A1156" t="s">
        <v>3971</v>
      </c>
      <c r="B1156" t="s">
        <v>3972</v>
      </c>
      <c r="D1156" t="s">
        <v>40</v>
      </c>
      <c r="E1156" t="s">
        <v>41</v>
      </c>
      <c r="J1156" t="s">
        <v>182</v>
      </c>
      <c r="K1156" t="s">
        <v>183</v>
      </c>
      <c r="L1156">
        <v>11</v>
      </c>
      <c r="M1156" t="s">
        <v>3969</v>
      </c>
      <c r="N1156" t="s">
        <v>64</v>
      </c>
      <c r="O1156" t="s">
        <v>46</v>
      </c>
      <c r="P1156" t="s">
        <v>46</v>
      </c>
      <c r="Y1156" t="s">
        <v>3973</v>
      </c>
    </row>
    <row r="1157" spans="1:25">
      <c r="A1157" t="s">
        <v>3974</v>
      </c>
      <c r="B1157" t="s">
        <v>3975</v>
      </c>
      <c r="D1157" t="s">
        <v>40</v>
      </c>
      <c r="E1157" t="s">
        <v>41</v>
      </c>
      <c r="J1157" t="s">
        <v>182</v>
      </c>
      <c r="K1157" t="s">
        <v>183</v>
      </c>
      <c r="L1157">
        <v>11</v>
      </c>
      <c r="M1157" t="s">
        <v>3969</v>
      </c>
      <c r="N1157" t="s">
        <v>64</v>
      </c>
      <c r="O1157" t="s">
        <v>46</v>
      </c>
      <c r="P1157" t="s">
        <v>46</v>
      </c>
      <c r="Y1157" t="s">
        <v>3976</v>
      </c>
    </row>
    <row r="1158" spans="1:25">
      <c r="A1158" t="s">
        <v>3977</v>
      </c>
      <c r="B1158" t="s">
        <v>3978</v>
      </c>
      <c r="D1158" t="s">
        <v>40</v>
      </c>
      <c r="E1158" t="s">
        <v>41</v>
      </c>
      <c r="J1158" t="s">
        <v>68</v>
      </c>
      <c r="K1158" t="s">
        <v>69</v>
      </c>
      <c r="L1158">
        <v>11</v>
      </c>
      <c r="M1158" t="s">
        <v>3969</v>
      </c>
      <c r="N1158" t="s">
        <v>64</v>
      </c>
      <c r="O1158" t="s">
        <v>46</v>
      </c>
      <c r="P1158" t="s">
        <v>46</v>
      </c>
      <c r="Y1158" t="s">
        <v>3979</v>
      </c>
    </row>
    <row r="1159" spans="1:25">
      <c r="A1159" t="s">
        <v>3980</v>
      </c>
      <c r="B1159" t="s">
        <v>3981</v>
      </c>
      <c r="D1159" t="s">
        <v>40</v>
      </c>
      <c r="E1159" t="s">
        <v>41</v>
      </c>
      <c r="J1159" t="s">
        <v>42</v>
      </c>
      <c r="K1159" t="s">
        <v>43</v>
      </c>
      <c r="L1159">
        <v>10</v>
      </c>
      <c r="M1159" t="s">
        <v>3969</v>
      </c>
      <c r="N1159" t="s">
        <v>218</v>
      </c>
      <c r="O1159" t="s">
        <v>46</v>
      </c>
      <c r="P1159" t="s">
        <v>46</v>
      </c>
      <c r="Y1159" t="s">
        <v>3982</v>
      </c>
    </row>
    <row r="1160" spans="1:25">
      <c r="A1160" t="s">
        <v>3983</v>
      </c>
      <c r="B1160" t="s">
        <v>3984</v>
      </c>
      <c r="D1160" t="s">
        <v>40</v>
      </c>
      <c r="E1160" t="s">
        <v>41</v>
      </c>
      <c r="J1160" t="s">
        <v>182</v>
      </c>
      <c r="K1160" t="s">
        <v>183</v>
      </c>
      <c r="L1160">
        <v>11</v>
      </c>
      <c r="M1160" t="s">
        <v>3969</v>
      </c>
      <c r="N1160" t="s">
        <v>64</v>
      </c>
      <c r="O1160" t="s">
        <v>46</v>
      </c>
      <c r="P1160" t="s">
        <v>46</v>
      </c>
      <c r="Y1160" t="s">
        <v>3985</v>
      </c>
    </row>
    <row r="1161" spans="1:25">
      <c r="A1161" t="s">
        <v>3986</v>
      </c>
      <c r="B1161" t="s">
        <v>3987</v>
      </c>
      <c r="D1161" t="s">
        <v>40</v>
      </c>
      <c r="E1161" t="s">
        <v>41</v>
      </c>
      <c r="J1161" t="s">
        <v>42</v>
      </c>
      <c r="K1161" t="s">
        <v>43</v>
      </c>
      <c r="L1161">
        <v>12</v>
      </c>
      <c r="M1161" t="s">
        <v>3988</v>
      </c>
      <c r="N1161" t="s">
        <v>142</v>
      </c>
      <c r="O1161" t="s">
        <v>46</v>
      </c>
      <c r="P1161" t="s">
        <v>46</v>
      </c>
      <c r="Y1161" t="s">
        <v>3989</v>
      </c>
    </row>
    <row r="1162" spans="1:25">
      <c r="A1162" t="s">
        <v>3990</v>
      </c>
      <c r="B1162" t="s">
        <v>3991</v>
      </c>
      <c r="D1162" t="s">
        <v>40</v>
      </c>
      <c r="E1162" t="s">
        <v>41</v>
      </c>
      <c r="J1162" t="s">
        <v>76</v>
      </c>
      <c r="K1162" t="s">
        <v>77</v>
      </c>
      <c r="L1162">
        <v>11</v>
      </c>
      <c r="M1162" t="s">
        <v>3992</v>
      </c>
      <c r="N1162" t="s">
        <v>64</v>
      </c>
      <c r="O1162" t="s">
        <v>46</v>
      </c>
      <c r="P1162" t="s">
        <v>46</v>
      </c>
      <c r="Y1162" t="s">
        <v>3993</v>
      </c>
    </row>
    <row r="1163" spans="1:25">
      <c r="A1163" t="s">
        <v>3994</v>
      </c>
      <c r="B1163" t="s">
        <v>3995</v>
      </c>
      <c r="D1163" t="s">
        <v>40</v>
      </c>
      <c r="E1163" t="s">
        <v>41</v>
      </c>
      <c r="J1163" t="s">
        <v>76</v>
      </c>
      <c r="K1163" t="s">
        <v>77</v>
      </c>
      <c r="L1163">
        <v>11</v>
      </c>
      <c r="M1163" t="s">
        <v>3992</v>
      </c>
      <c r="N1163" t="s">
        <v>64</v>
      </c>
      <c r="O1163" t="s">
        <v>46</v>
      </c>
      <c r="P1163" t="s">
        <v>46</v>
      </c>
      <c r="Y1163" t="s">
        <v>3996</v>
      </c>
    </row>
    <row r="1164" spans="1:25">
      <c r="A1164" t="s">
        <v>3997</v>
      </c>
      <c r="B1164" t="s">
        <v>3998</v>
      </c>
      <c r="D1164" t="s">
        <v>40</v>
      </c>
      <c r="E1164" t="s">
        <v>41</v>
      </c>
      <c r="J1164" t="s">
        <v>182</v>
      </c>
      <c r="K1164" t="s">
        <v>183</v>
      </c>
      <c r="L1164">
        <v>11</v>
      </c>
      <c r="M1164" t="s">
        <v>3992</v>
      </c>
      <c r="N1164" t="s">
        <v>64</v>
      </c>
      <c r="O1164" t="s">
        <v>46</v>
      </c>
      <c r="P1164" t="s">
        <v>46</v>
      </c>
      <c r="Y1164" t="s">
        <v>3999</v>
      </c>
    </row>
    <row r="1165" spans="1:25">
      <c r="A1165" t="s">
        <v>4000</v>
      </c>
      <c r="B1165" t="s">
        <v>4001</v>
      </c>
      <c r="D1165" t="s">
        <v>40</v>
      </c>
      <c r="E1165" t="s">
        <v>41</v>
      </c>
      <c r="J1165" t="s">
        <v>76</v>
      </c>
      <c r="K1165" t="s">
        <v>77</v>
      </c>
      <c r="L1165">
        <v>11</v>
      </c>
      <c r="M1165" t="s">
        <v>3992</v>
      </c>
      <c r="N1165" t="s">
        <v>64</v>
      </c>
      <c r="O1165" t="s">
        <v>46</v>
      </c>
      <c r="P1165" t="s">
        <v>46</v>
      </c>
      <c r="Y1165" t="s">
        <v>4002</v>
      </c>
    </row>
    <row r="1166" spans="1:25">
      <c r="A1166" t="s">
        <v>4003</v>
      </c>
      <c r="B1166" t="s">
        <v>4004</v>
      </c>
      <c r="D1166" t="s">
        <v>40</v>
      </c>
      <c r="E1166" t="s">
        <v>41</v>
      </c>
      <c r="J1166" t="s">
        <v>62</v>
      </c>
      <c r="K1166" t="s">
        <v>63</v>
      </c>
      <c r="L1166">
        <v>11</v>
      </c>
      <c r="M1166" t="s">
        <v>3992</v>
      </c>
      <c r="N1166" t="s">
        <v>64</v>
      </c>
      <c r="O1166" t="s">
        <v>46</v>
      </c>
      <c r="P1166" t="s">
        <v>46</v>
      </c>
      <c r="Y1166" t="s">
        <v>4005</v>
      </c>
    </row>
    <row r="1167" spans="1:25">
      <c r="A1167" t="s">
        <v>4006</v>
      </c>
      <c r="B1167" t="s">
        <v>4007</v>
      </c>
      <c r="D1167" t="s">
        <v>40</v>
      </c>
      <c r="E1167" t="s">
        <v>41</v>
      </c>
      <c r="J1167" t="s">
        <v>68</v>
      </c>
      <c r="K1167" t="s">
        <v>69</v>
      </c>
      <c r="L1167">
        <v>11</v>
      </c>
      <c r="M1167" t="s">
        <v>3992</v>
      </c>
      <c r="N1167" t="s">
        <v>64</v>
      </c>
      <c r="O1167" t="s">
        <v>46</v>
      </c>
      <c r="P1167" t="s">
        <v>46</v>
      </c>
      <c r="Y1167" t="s">
        <v>4008</v>
      </c>
    </row>
    <row r="1168" spans="1:25">
      <c r="A1168" t="s">
        <v>4009</v>
      </c>
      <c r="B1168" t="s">
        <v>4010</v>
      </c>
      <c r="D1168" t="s">
        <v>40</v>
      </c>
      <c r="E1168" t="s">
        <v>41</v>
      </c>
      <c r="J1168" t="s">
        <v>68</v>
      </c>
      <c r="K1168" t="s">
        <v>69</v>
      </c>
      <c r="L1168">
        <v>11</v>
      </c>
      <c r="M1168" t="s">
        <v>3992</v>
      </c>
      <c r="N1168" t="s">
        <v>64</v>
      </c>
      <c r="O1168" t="s">
        <v>46</v>
      </c>
      <c r="P1168" t="s">
        <v>46</v>
      </c>
      <c r="Y1168" t="s">
        <v>4011</v>
      </c>
    </row>
    <row r="1169" spans="1:25">
      <c r="A1169" t="s">
        <v>4012</v>
      </c>
      <c r="B1169" t="s">
        <v>4013</v>
      </c>
      <c r="D1169" t="s">
        <v>40</v>
      </c>
      <c r="E1169" t="s">
        <v>41</v>
      </c>
      <c r="J1169" t="s">
        <v>76</v>
      </c>
      <c r="K1169" t="s">
        <v>77</v>
      </c>
      <c r="L1169">
        <v>11</v>
      </c>
      <c r="M1169" t="s">
        <v>4014</v>
      </c>
      <c r="N1169" t="s">
        <v>64</v>
      </c>
      <c r="O1169" t="s">
        <v>46</v>
      </c>
      <c r="P1169" t="s">
        <v>46</v>
      </c>
      <c r="Y1169" t="s">
        <v>4015</v>
      </c>
    </row>
    <row r="1170" spans="1:25">
      <c r="A1170" t="s">
        <v>4016</v>
      </c>
      <c r="B1170" t="s">
        <v>4017</v>
      </c>
      <c r="D1170" t="s">
        <v>40</v>
      </c>
      <c r="E1170" t="s">
        <v>41</v>
      </c>
      <c r="J1170" t="s">
        <v>68</v>
      </c>
      <c r="K1170" t="s">
        <v>69</v>
      </c>
      <c r="L1170">
        <v>11</v>
      </c>
      <c r="M1170" t="s">
        <v>4014</v>
      </c>
      <c r="N1170" t="s">
        <v>64</v>
      </c>
      <c r="O1170" t="s">
        <v>46</v>
      </c>
      <c r="P1170" t="s">
        <v>46</v>
      </c>
      <c r="Y1170" t="s">
        <v>4018</v>
      </c>
    </row>
    <row r="1171" spans="1:25">
      <c r="A1171" t="s">
        <v>4019</v>
      </c>
      <c r="B1171" t="s">
        <v>4020</v>
      </c>
      <c r="D1171" t="s">
        <v>40</v>
      </c>
      <c r="E1171" t="s">
        <v>41</v>
      </c>
      <c r="J1171" t="s">
        <v>182</v>
      </c>
      <c r="K1171" t="s">
        <v>183</v>
      </c>
      <c r="L1171">
        <v>11</v>
      </c>
      <c r="M1171" t="s">
        <v>4014</v>
      </c>
      <c r="N1171" t="s">
        <v>64</v>
      </c>
      <c r="O1171" t="s">
        <v>46</v>
      </c>
      <c r="P1171" t="s">
        <v>46</v>
      </c>
      <c r="Y1171" t="s">
        <v>4021</v>
      </c>
    </row>
    <row r="1172" spans="1:25">
      <c r="A1172" t="s">
        <v>4022</v>
      </c>
      <c r="B1172" t="s">
        <v>4023</v>
      </c>
      <c r="D1172" t="s">
        <v>40</v>
      </c>
      <c r="E1172" t="s">
        <v>41</v>
      </c>
      <c r="J1172" t="s">
        <v>68</v>
      </c>
      <c r="K1172" t="s">
        <v>69</v>
      </c>
      <c r="L1172">
        <v>11</v>
      </c>
      <c r="M1172" t="s">
        <v>4014</v>
      </c>
      <c r="N1172" t="s">
        <v>64</v>
      </c>
      <c r="O1172" t="s">
        <v>46</v>
      </c>
      <c r="P1172" t="s">
        <v>46</v>
      </c>
      <c r="Y1172" t="s">
        <v>4024</v>
      </c>
    </row>
    <row r="1173" spans="1:25">
      <c r="A1173" t="s">
        <v>4025</v>
      </c>
      <c r="B1173" t="s">
        <v>4026</v>
      </c>
      <c r="D1173" t="s">
        <v>40</v>
      </c>
      <c r="E1173" t="s">
        <v>41</v>
      </c>
      <c r="J1173" t="s">
        <v>182</v>
      </c>
      <c r="K1173" t="s">
        <v>183</v>
      </c>
      <c r="L1173">
        <v>11</v>
      </c>
      <c r="M1173" t="s">
        <v>4014</v>
      </c>
      <c r="N1173" t="s">
        <v>64</v>
      </c>
      <c r="O1173" t="s">
        <v>46</v>
      </c>
      <c r="P1173" t="s">
        <v>46</v>
      </c>
      <c r="Y1173" t="s">
        <v>4027</v>
      </c>
    </row>
    <row r="1174" spans="1:25">
      <c r="A1174" t="s">
        <v>4028</v>
      </c>
      <c r="B1174" t="s">
        <v>4029</v>
      </c>
      <c r="D1174" t="s">
        <v>40</v>
      </c>
      <c r="E1174" t="s">
        <v>41</v>
      </c>
      <c r="J1174" t="s">
        <v>182</v>
      </c>
      <c r="K1174" t="s">
        <v>183</v>
      </c>
      <c r="L1174">
        <v>11</v>
      </c>
      <c r="M1174" t="s">
        <v>4014</v>
      </c>
      <c r="N1174" t="s">
        <v>64</v>
      </c>
      <c r="O1174" t="s">
        <v>46</v>
      </c>
      <c r="P1174" t="s">
        <v>46</v>
      </c>
      <c r="Y1174" t="s">
        <v>4030</v>
      </c>
    </row>
    <row r="1175" spans="1:25">
      <c r="A1175" t="s">
        <v>4031</v>
      </c>
      <c r="B1175" t="s">
        <v>4032</v>
      </c>
      <c r="D1175" t="s">
        <v>40</v>
      </c>
      <c r="E1175" t="s">
        <v>41</v>
      </c>
      <c r="J1175" t="s">
        <v>182</v>
      </c>
      <c r="K1175" t="s">
        <v>183</v>
      </c>
      <c r="L1175">
        <v>11</v>
      </c>
      <c r="M1175" t="s">
        <v>4014</v>
      </c>
      <c r="N1175" t="s">
        <v>64</v>
      </c>
      <c r="O1175" t="s">
        <v>46</v>
      </c>
      <c r="P1175" t="s">
        <v>46</v>
      </c>
      <c r="Y1175" t="s">
        <v>4033</v>
      </c>
    </row>
    <row r="1176" spans="1:25">
      <c r="A1176" t="s">
        <v>4034</v>
      </c>
      <c r="B1176" t="s">
        <v>4035</v>
      </c>
      <c r="D1176" t="s">
        <v>40</v>
      </c>
      <c r="E1176" t="s">
        <v>41</v>
      </c>
      <c r="J1176" t="s">
        <v>264</v>
      </c>
      <c r="K1176" t="s">
        <v>265</v>
      </c>
      <c r="L1176">
        <v>11</v>
      </c>
      <c r="M1176" t="s">
        <v>4036</v>
      </c>
      <c r="N1176" t="s">
        <v>4037</v>
      </c>
      <c r="O1176" t="s">
        <v>46</v>
      </c>
      <c r="P1176" t="s">
        <v>46</v>
      </c>
      <c r="Y1176" t="s">
        <v>4038</v>
      </c>
    </row>
    <row r="1177" spans="1:25">
      <c r="A1177" t="s">
        <v>4039</v>
      </c>
      <c r="B1177" t="s">
        <v>4040</v>
      </c>
      <c r="D1177" t="s">
        <v>40</v>
      </c>
      <c r="E1177" t="s">
        <v>41</v>
      </c>
      <c r="J1177" t="s">
        <v>76</v>
      </c>
      <c r="K1177" t="s">
        <v>77</v>
      </c>
      <c r="L1177">
        <v>11</v>
      </c>
      <c r="M1177" t="s">
        <v>4036</v>
      </c>
      <c r="N1177" t="s">
        <v>64</v>
      </c>
      <c r="O1177" t="s">
        <v>46</v>
      </c>
      <c r="P1177" t="s">
        <v>46</v>
      </c>
      <c r="Y1177" t="s">
        <v>4041</v>
      </c>
    </row>
    <row r="1178" spans="1:25">
      <c r="A1178" t="s">
        <v>4042</v>
      </c>
      <c r="B1178" t="s">
        <v>4043</v>
      </c>
      <c r="D1178" t="s">
        <v>40</v>
      </c>
      <c r="E1178" t="s">
        <v>41</v>
      </c>
      <c r="J1178" t="s">
        <v>182</v>
      </c>
      <c r="K1178" t="s">
        <v>183</v>
      </c>
      <c r="L1178">
        <v>11</v>
      </c>
      <c r="M1178" t="s">
        <v>4036</v>
      </c>
      <c r="N1178" t="s">
        <v>64</v>
      </c>
      <c r="O1178" t="s">
        <v>46</v>
      </c>
      <c r="P1178" t="s">
        <v>46</v>
      </c>
      <c r="Y1178" t="s">
        <v>4044</v>
      </c>
    </row>
    <row r="1179" spans="1:25">
      <c r="A1179" t="s">
        <v>4045</v>
      </c>
      <c r="B1179" t="s">
        <v>4046</v>
      </c>
      <c r="D1179" t="s">
        <v>40</v>
      </c>
      <c r="E1179" t="s">
        <v>41</v>
      </c>
      <c r="J1179" t="s">
        <v>182</v>
      </c>
      <c r="K1179" t="s">
        <v>183</v>
      </c>
      <c r="L1179">
        <v>11</v>
      </c>
      <c r="M1179" t="s">
        <v>4036</v>
      </c>
      <c r="N1179" t="s">
        <v>64</v>
      </c>
      <c r="O1179" t="s">
        <v>46</v>
      </c>
      <c r="P1179" t="s">
        <v>46</v>
      </c>
      <c r="Y1179" t="s">
        <v>4047</v>
      </c>
    </row>
    <row r="1180" spans="1:25">
      <c r="A1180" t="s">
        <v>4048</v>
      </c>
      <c r="B1180" t="s">
        <v>4049</v>
      </c>
      <c r="D1180" t="s">
        <v>40</v>
      </c>
      <c r="E1180" t="s">
        <v>41</v>
      </c>
      <c r="J1180" t="s">
        <v>68</v>
      </c>
      <c r="K1180" t="s">
        <v>69</v>
      </c>
      <c r="L1180">
        <v>11</v>
      </c>
      <c r="M1180" t="s">
        <v>4050</v>
      </c>
      <c r="N1180" t="s">
        <v>64</v>
      </c>
      <c r="O1180" t="s">
        <v>46</v>
      </c>
      <c r="P1180" t="s">
        <v>46</v>
      </c>
      <c r="Y1180" t="s">
        <v>4051</v>
      </c>
    </row>
    <row r="1181" spans="1:25">
      <c r="A1181" t="s">
        <v>4052</v>
      </c>
      <c r="B1181" t="s">
        <v>4053</v>
      </c>
      <c r="D1181" t="s">
        <v>40</v>
      </c>
      <c r="E1181" t="s">
        <v>41</v>
      </c>
      <c r="J1181" t="s">
        <v>62</v>
      </c>
      <c r="K1181" t="s">
        <v>63</v>
      </c>
      <c r="L1181">
        <v>11</v>
      </c>
      <c r="M1181" t="s">
        <v>4050</v>
      </c>
      <c r="N1181" t="s">
        <v>64</v>
      </c>
      <c r="O1181" t="s">
        <v>46</v>
      </c>
      <c r="P1181" t="s">
        <v>46</v>
      </c>
      <c r="Y1181" t="s">
        <v>4054</v>
      </c>
    </row>
    <row r="1182" spans="1:25">
      <c r="A1182" t="s">
        <v>4055</v>
      </c>
      <c r="B1182" t="s">
        <v>4056</v>
      </c>
      <c r="D1182" t="s">
        <v>40</v>
      </c>
      <c r="E1182" t="s">
        <v>41</v>
      </c>
      <c r="J1182" t="s">
        <v>76</v>
      </c>
      <c r="K1182" t="s">
        <v>77</v>
      </c>
      <c r="L1182">
        <v>11</v>
      </c>
      <c r="M1182" t="s">
        <v>4050</v>
      </c>
      <c r="N1182" t="s">
        <v>64</v>
      </c>
      <c r="O1182" t="s">
        <v>46</v>
      </c>
      <c r="P1182" t="s">
        <v>46</v>
      </c>
      <c r="Y1182" t="s">
        <v>4057</v>
      </c>
    </row>
    <row r="1183" spans="1:25">
      <c r="A1183" t="s">
        <v>4058</v>
      </c>
      <c r="B1183" t="s">
        <v>4059</v>
      </c>
      <c r="D1183" t="s">
        <v>40</v>
      </c>
      <c r="E1183" t="s">
        <v>41</v>
      </c>
      <c r="J1183" t="s">
        <v>182</v>
      </c>
      <c r="K1183" t="s">
        <v>183</v>
      </c>
      <c r="L1183">
        <v>11</v>
      </c>
      <c r="M1183" t="s">
        <v>4050</v>
      </c>
      <c r="N1183" t="s">
        <v>64</v>
      </c>
      <c r="O1183" t="s">
        <v>46</v>
      </c>
      <c r="P1183" t="s">
        <v>46</v>
      </c>
      <c r="Y1183" t="s">
        <v>4060</v>
      </c>
    </row>
    <row r="1184" spans="1:25">
      <c r="A1184" t="s">
        <v>4061</v>
      </c>
      <c r="B1184" t="s">
        <v>4062</v>
      </c>
      <c r="D1184" t="s">
        <v>40</v>
      </c>
      <c r="E1184" t="s">
        <v>41</v>
      </c>
      <c r="J1184" t="s">
        <v>62</v>
      </c>
      <c r="K1184" t="s">
        <v>63</v>
      </c>
      <c r="L1184">
        <v>11</v>
      </c>
      <c r="M1184" t="s">
        <v>4050</v>
      </c>
      <c r="N1184" t="s">
        <v>64</v>
      </c>
      <c r="O1184" t="s">
        <v>46</v>
      </c>
      <c r="P1184" t="s">
        <v>46</v>
      </c>
      <c r="Y1184" t="s">
        <v>4063</v>
      </c>
    </row>
    <row r="1185" spans="1:25">
      <c r="A1185" t="s">
        <v>4064</v>
      </c>
      <c r="B1185" t="s">
        <v>4065</v>
      </c>
      <c r="D1185" t="s">
        <v>40</v>
      </c>
      <c r="E1185" t="s">
        <v>41</v>
      </c>
      <c r="J1185" t="s">
        <v>182</v>
      </c>
      <c r="K1185" t="s">
        <v>183</v>
      </c>
      <c r="L1185">
        <v>11</v>
      </c>
      <c r="M1185" t="s">
        <v>4066</v>
      </c>
      <c r="N1185" t="s">
        <v>64</v>
      </c>
      <c r="O1185" t="s">
        <v>46</v>
      </c>
      <c r="P1185" t="s">
        <v>46</v>
      </c>
      <c r="Y1185" t="s">
        <v>4067</v>
      </c>
    </row>
    <row r="1186" spans="1:25">
      <c r="A1186" t="s">
        <v>4068</v>
      </c>
      <c r="B1186" t="s">
        <v>4069</v>
      </c>
      <c r="D1186" t="s">
        <v>40</v>
      </c>
      <c r="E1186" t="s">
        <v>41</v>
      </c>
      <c r="J1186" t="s">
        <v>68</v>
      </c>
      <c r="K1186" t="s">
        <v>69</v>
      </c>
      <c r="L1186">
        <v>11</v>
      </c>
      <c r="M1186" t="s">
        <v>4066</v>
      </c>
      <c r="N1186" t="s">
        <v>64</v>
      </c>
      <c r="O1186" t="s">
        <v>46</v>
      </c>
      <c r="P1186" t="s">
        <v>46</v>
      </c>
      <c r="Y1186" t="s">
        <v>4070</v>
      </c>
    </row>
    <row r="1187" spans="1:25">
      <c r="A1187" t="s">
        <v>4071</v>
      </c>
      <c r="B1187" t="s">
        <v>4072</v>
      </c>
      <c r="D1187" t="s">
        <v>40</v>
      </c>
      <c r="E1187" t="s">
        <v>41</v>
      </c>
      <c r="J1187" t="s">
        <v>182</v>
      </c>
      <c r="K1187" t="s">
        <v>183</v>
      </c>
      <c r="L1187">
        <v>11</v>
      </c>
      <c r="M1187" t="s">
        <v>4066</v>
      </c>
      <c r="N1187" t="s">
        <v>64</v>
      </c>
      <c r="O1187" t="s">
        <v>46</v>
      </c>
      <c r="P1187" t="s">
        <v>46</v>
      </c>
      <c r="Y1187" t="s">
        <v>4073</v>
      </c>
    </row>
    <row r="1188" spans="1:25">
      <c r="A1188" t="s">
        <v>4074</v>
      </c>
      <c r="B1188" t="s">
        <v>4075</v>
      </c>
      <c r="D1188" t="s">
        <v>40</v>
      </c>
      <c r="E1188" t="s">
        <v>41</v>
      </c>
      <c r="J1188" t="s">
        <v>68</v>
      </c>
      <c r="K1188" t="s">
        <v>69</v>
      </c>
      <c r="L1188">
        <v>11</v>
      </c>
      <c r="M1188" t="s">
        <v>4066</v>
      </c>
      <c r="N1188" t="s">
        <v>64</v>
      </c>
      <c r="O1188" t="s">
        <v>46</v>
      </c>
      <c r="P1188" t="s">
        <v>46</v>
      </c>
      <c r="Y1188" t="s">
        <v>4076</v>
      </c>
    </row>
    <row r="1189" spans="1:25">
      <c r="A1189" t="s">
        <v>4077</v>
      </c>
      <c r="B1189" t="s">
        <v>4078</v>
      </c>
      <c r="D1189" t="s">
        <v>40</v>
      </c>
      <c r="E1189" t="s">
        <v>41</v>
      </c>
      <c r="J1189" t="s">
        <v>182</v>
      </c>
      <c r="K1189" t="s">
        <v>183</v>
      </c>
      <c r="L1189">
        <v>11</v>
      </c>
      <c r="M1189" t="s">
        <v>4079</v>
      </c>
      <c r="N1189" t="s">
        <v>64</v>
      </c>
      <c r="O1189" t="s">
        <v>46</v>
      </c>
      <c r="P1189" t="s">
        <v>46</v>
      </c>
      <c r="Y1189" t="s">
        <v>4080</v>
      </c>
    </row>
    <row r="1190" spans="1:25">
      <c r="A1190" t="s">
        <v>4081</v>
      </c>
      <c r="B1190" t="s">
        <v>4082</v>
      </c>
      <c r="D1190" t="s">
        <v>40</v>
      </c>
      <c r="E1190" t="s">
        <v>41</v>
      </c>
      <c r="J1190" t="s">
        <v>68</v>
      </c>
      <c r="K1190" t="s">
        <v>69</v>
      </c>
      <c r="L1190">
        <v>11</v>
      </c>
      <c r="M1190" t="s">
        <v>4079</v>
      </c>
      <c r="N1190" t="s">
        <v>64</v>
      </c>
      <c r="O1190" t="s">
        <v>46</v>
      </c>
      <c r="P1190" t="s">
        <v>46</v>
      </c>
      <c r="Y1190" t="s">
        <v>4083</v>
      </c>
    </row>
    <row r="1191" spans="1:25">
      <c r="A1191" t="s">
        <v>4084</v>
      </c>
      <c r="B1191" t="s">
        <v>4085</v>
      </c>
      <c r="D1191" t="s">
        <v>40</v>
      </c>
      <c r="E1191" t="s">
        <v>41</v>
      </c>
      <c r="J1191" t="s">
        <v>68</v>
      </c>
      <c r="K1191" t="s">
        <v>69</v>
      </c>
      <c r="L1191">
        <v>11</v>
      </c>
      <c r="M1191" t="s">
        <v>4079</v>
      </c>
      <c r="N1191" t="s">
        <v>64</v>
      </c>
      <c r="O1191" t="s">
        <v>46</v>
      </c>
      <c r="P1191" t="s">
        <v>46</v>
      </c>
      <c r="Y1191" t="s">
        <v>4086</v>
      </c>
    </row>
    <row r="1192" spans="1:25">
      <c r="A1192" t="s">
        <v>4087</v>
      </c>
      <c r="B1192" t="s">
        <v>4088</v>
      </c>
      <c r="D1192" t="s">
        <v>40</v>
      </c>
      <c r="E1192" t="s">
        <v>41</v>
      </c>
      <c r="J1192" t="s">
        <v>76</v>
      </c>
      <c r="K1192" t="s">
        <v>77</v>
      </c>
      <c r="L1192">
        <v>11</v>
      </c>
      <c r="M1192" t="s">
        <v>4079</v>
      </c>
      <c r="N1192" t="s">
        <v>64</v>
      </c>
      <c r="O1192" t="s">
        <v>46</v>
      </c>
      <c r="P1192" t="s">
        <v>46</v>
      </c>
      <c r="Y1192" t="s">
        <v>4089</v>
      </c>
    </row>
    <row r="1193" spans="1:25">
      <c r="A1193" t="s">
        <v>4090</v>
      </c>
      <c r="B1193" t="s">
        <v>4091</v>
      </c>
      <c r="D1193" t="s">
        <v>40</v>
      </c>
      <c r="E1193" t="s">
        <v>41</v>
      </c>
      <c r="J1193" t="s">
        <v>42</v>
      </c>
      <c r="K1193" t="s">
        <v>43</v>
      </c>
      <c r="L1193">
        <v>11</v>
      </c>
      <c r="M1193" t="s">
        <v>4092</v>
      </c>
      <c r="N1193" t="s">
        <v>1024</v>
      </c>
      <c r="O1193" t="s">
        <v>46</v>
      </c>
      <c r="P1193" t="s">
        <v>46</v>
      </c>
      <c r="Y1193" t="s">
        <v>4093</v>
      </c>
    </row>
    <row r="1194" spans="1:25">
      <c r="A1194" t="s">
        <v>4094</v>
      </c>
      <c r="B1194" t="s">
        <v>4095</v>
      </c>
      <c r="D1194" t="s">
        <v>40</v>
      </c>
      <c r="E1194" t="s">
        <v>41</v>
      </c>
      <c r="J1194" t="s">
        <v>76</v>
      </c>
      <c r="K1194" t="s">
        <v>77</v>
      </c>
      <c r="L1194">
        <v>11</v>
      </c>
      <c r="M1194" t="s">
        <v>4092</v>
      </c>
      <c r="N1194" t="s">
        <v>64</v>
      </c>
      <c r="O1194" t="s">
        <v>46</v>
      </c>
      <c r="P1194" t="s">
        <v>46</v>
      </c>
      <c r="Y1194" t="s">
        <v>4096</v>
      </c>
    </row>
    <row r="1195" spans="1:25">
      <c r="A1195" t="s">
        <v>4097</v>
      </c>
      <c r="B1195" t="s">
        <v>4098</v>
      </c>
      <c r="D1195" t="s">
        <v>40</v>
      </c>
      <c r="E1195" t="s">
        <v>41</v>
      </c>
      <c r="J1195" t="s">
        <v>182</v>
      </c>
      <c r="K1195" t="s">
        <v>183</v>
      </c>
      <c r="L1195">
        <v>11</v>
      </c>
      <c r="M1195" t="s">
        <v>4092</v>
      </c>
      <c r="N1195" t="s">
        <v>64</v>
      </c>
      <c r="O1195" t="s">
        <v>46</v>
      </c>
      <c r="P1195" t="s">
        <v>46</v>
      </c>
      <c r="Y1195" t="s">
        <v>4099</v>
      </c>
    </row>
    <row r="1196" spans="1:25">
      <c r="A1196" t="s">
        <v>4100</v>
      </c>
      <c r="B1196" t="s">
        <v>4101</v>
      </c>
      <c r="D1196" t="s">
        <v>40</v>
      </c>
      <c r="E1196" t="s">
        <v>41</v>
      </c>
      <c r="J1196" t="s">
        <v>182</v>
      </c>
      <c r="K1196" t="s">
        <v>183</v>
      </c>
      <c r="L1196">
        <v>11</v>
      </c>
      <c r="M1196" t="s">
        <v>4102</v>
      </c>
      <c r="N1196" t="s">
        <v>64</v>
      </c>
      <c r="O1196" t="s">
        <v>46</v>
      </c>
      <c r="P1196" t="s">
        <v>46</v>
      </c>
      <c r="Y1196" t="s">
        <v>4103</v>
      </c>
    </row>
    <row r="1197" spans="1:25">
      <c r="A1197" t="s">
        <v>4104</v>
      </c>
      <c r="B1197" t="s">
        <v>4105</v>
      </c>
      <c r="D1197" t="s">
        <v>40</v>
      </c>
      <c r="E1197" t="s">
        <v>41</v>
      </c>
      <c r="J1197" t="s">
        <v>76</v>
      </c>
      <c r="K1197" t="s">
        <v>77</v>
      </c>
      <c r="L1197">
        <v>11</v>
      </c>
      <c r="M1197" t="s">
        <v>4102</v>
      </c>
      <c r="N1197" t="s">
        <v>64</v>
      </c>
      <c r="O1197" t="s">
        <v>46</v>
      </c>
      <c r="P1197" t="s">
        <v>46</v>
      </c>
      <c r="Y1197" t="s">
        <v>4106</v>
      </c>
    </row>
    <row r="1198" spans="1:25">
      <c r="A1198" t="s">
        <v>4107</v>
      </c>
      <c r="B1198" t="s">
        <v>4108</v>
      </c>
      <c r="D1198" t="s">
        <v>40</v>
      </c>
      <c r="E1198" t="s">
        <v>41</v>
      </c>
      <c r="J1198" t="s">
        <v>68</v>
      </c>
      <c r="K1198" t="s">
        <v>69</v>
      </c>
      <c r="L1198">
        <v>11</v>
      </c>
      <c r="M1198" t="s">
        <v>4102</v>
      </c>
      <c r="N1198" t="s">
        <v>64</v>
      </c>
      <c r="O1198" t="s">
        <v>46</v>
      </c>
      <c r="P1198" t="s">
        <v>46</v>
      </c>
      <c r="Y1198" t="s">
        <v>4109</v>
      </c>
    </row>
    <row r="1199" spans="1:25">
      <c r="A1199" t="s">
        <v>4110</v>
      </c>
      <c r="B1199" t="s">
        <v>4111</v>
      </c>
      <c r="D1199" t="s">
        <v>40</v>
      </c>
      <c r="E1199" t="s">
        <v>41</v>
      </c>
      <c r="J1199" t="s">
        <v>76</v>
      </c>
      <c r="K1199" t="s">
        <v>77</v>
      </c>
      <c r="L1199">
        <v>11</v>
      </c>
      <c r="M1199" t="s">
        <v>4102</v>
      </c>
      <c r="N1199" t="s">
        <v>64</v>
      </c>
      <c r="O1199" t="s">
        <v>46</v>
      </c>
      <c r="P1199" t="s">
        <v>46</v>
      </c>
      <c r="Y1199" t="s">
        <v>4112</v>
      </c>
    </row>
    <row r="1200" spans="1:25">
      <c r="A1200" t="s">
        <v>4113</v>
      </c>
      <c r="B1200" t="s">
        <v>4114</v>
      </c>
      <c r="D1200" t="s">
        <v>40</v>
      </c>
      <c r="E1200" t="s">
        <v>41</v>
      </c>
      <c r="J1200" t="s">
        <v>76</v>
      </c>
      <c r="K1200" t="s">
        <v>77</v>
      </c>
      <c r="L1200">
        <v>11</v>
      </c>
      <c r="M1200" t="s">
        <v>4102</v>
      </c>
      <c r="N1200" t="s">
        <v>64</v>
      </c>
      <c r="O1200" t="s">
        <v>46</v>
      </c>
      <c r="P1200" t="s">
        <v>46</v>
      </c>
      <c r="Y1200" t="s">
        <v>4115</v>
      </c>
    </row>
    <row r="1201" spans="1:25">
      <c r="A1201" t="s">
        <v>4116</v>
      </c>
      <c r="B1201" t="s">
        <v>4117</v>
      </c>
      <c r="D1201" t="s">
        <v>40</v>
      </c>
      <c r="E1201" t="s">
        <v>41</v>
      </c>
      <c r="J1201" t="s">
        <v>182</v>
      </c>
      <c r="K1201" t="s">
        <v>183</v>
      </c>
      <c r="L1201">
        <v>11</v>
      </c>
      <c r="M1201" t="s">
        <v>4102</v>
      </c>
      <c r="N1201" t="s">
        <v>64</v>
      </c>
      <c r="O1201" t="s">
        <v>46</v>
      </c>
      <c r="P1201" t="s">
        <v>46</v>
      </c>
      <c r="Y1201" t="s">
        <v>4118</v>
      </c>
    </row>
    <row r="1202" spans="1:25">
      <c r="A1202" t="s">
        <v>4119</v>
      </c>
      <c r="B1202" t="s">
        <v>4120</v>
      </c>
      <c r="D1202" t="s">
        <v>40</v>
      </c>
      <c r="E1202" t="s">
        <v>41</v>
      </c>
      <c r="J1202" t="s">
        <v>182</v>
      </c>
      <c r="K1202" t="s">
        <v>183</v>
      </c>
      <c r="L1202">
        <v>11</v>
      </c>
      <c r="M1202" t="s">
        <v>4102</v>
      </c>
      <c r="N1202" t="s">
        <v>64</v>
      </c>
      <c r="O1202" t="s">
        <v>46</v>
      </c>
      <c r="P1202" t="s">
        <v>46</v>
      </c>
      <c r="Y1202" t="s">
        <v>4121</v>
      </c>
    </row>
    <row r="1203" spans="1:25">
      <c r="A1203" t="s">
        <v>4122</v>
      </c>
      <c r="B1203" t="s">
        <v>4123</v>
      </c>
      <c r="D1203" t="s">
        <v>40</v>
      </c>
      <c r="E1203" t="s">
        <v>41</v>
      </c>
      <c r="J1203" t="s">
        <v>182</v>
      </c>
      <c r="K1203" t="s">
        <v>183</v>
      </c>
      <c r="L1203">
        <v>11</v>
      </c>
      <c r="M1203" t="s">
        <v>4124</v>
      </c>
      <c r="N1203" t="s">
        <v>64</v>
      </c>
      <c r="O1203" t="s">
        <v>46</v>
      </c>
      <c r="P1203" t="s">
        <v>46</v>
      </c>
      <c r="Y1203" t="s">
        <v>4125</v>
      </c>
    </row>
    <row r="1204" spans="1:25">
      <c r="A1204" t="s">
        <v>4126</v>
      </c>
      <c r="B1204" t="s">
        <v>4127</v>
      </c>
      <c r="D1204" t="s">
        <v>40</v>
      </c>
      <c r="E1204" t="s">
        <v>41</v>
      </c>
      <c r="J1204" t="s">
        <v>68</v>
      </c>
      <c r="K1204" t="s">
        <v>69</v>
      </c>
      <c r="L1204">
        <v>11</v>
      </c>
      <c r="M1204" t="s">
        <v>4124</v>
      </c>
      <c r="N1204" t="s">
        <v>64</v>
      </c>
      <c r="O1204" t="s">
        <v>46</v>
      </c>
      <c r="P1204" t="s">
        <v>46</v>
      </c>
      <c r="Y1204" t="s">
        <v>4128</v>
      </c>
    </row>
    <row r="1205" spans="1:25">
      <c r="A1205" t="s">
        <v>4129</v>
      </c>
      <c r="B1205" t="s">
        <v>4130</v>
      </c>
      <c r="D1205" t="s">
        <v>40</v>
      </c>
      <c r="E1205" t="s">
        <v>41</v>
      </c>
      <c r="J1205" t="s">
        <v>76</v>
      </c>
      <c r="K1205" t="s">
        <v>77</v>
      </c>
      <c r="L1205">
        <v>11</v>
      </c>
      <c r="M1205" t="s">
        <v>4124</v>
      </c>
      <c r="N1205" t="s">
        <v>64</v>
      </c>
      <c r="O1205" t="s">
        <v>46</v>
      </c>
      <c r="P1205" t="s">
        <v>46</v>
      </c>
      <c r="Y1205" t="s">
        <v>4131</v>
      </c>
    </row>
    <row r="1206" spans="1:25">
      <c r="A1206" t="s">
        <v>4132</v>
      </c>
      <c r="B1206" t="s">
        <v>4133</v>
      </c>
      <c r="D1206" t="s">
        <v>40</v>
      </c>
      <c r="E1206" t="s">
        <v>41</v>
      </c>
      <c r="J1206" t="s">
        <v>264</v>
      </c>
      <c r="K1206" t="s">
        <v>265</v>
      </c>
      <c r="L1206">
        <v>11</v>
      </c>
      <c r="M1206" t="s">
        <v>4124</v>
      </c>
      <c r="N1206" t="s">
        <v>1024</v>
      </c>
      <c r="O1206" t="s">
        <v>46</v>
      </c>
      <c r="P1206" t="s">
        <v>46</v>
      </c>
      <c r="Y1206" t="s">
        <v>4134</v>
      </c>
    </row>
    <row r="1207" spans="1:25">
      <c r="A1207" t="s">
        <v>4135</v>
      </c>
      <c r="B1207" t="s">
        <v>4136</v>
      </c>
      <c r="D1207" t="s">
        <v>40</v>
      </c>
      <c r="E1207" t="s">
        <v>41</v>
      </c>
      <c r="J1207" t="s">
        <v>68</v>
      </c>
      <c r="K1207" t="s">
        <v>69</v>
      </c>
      <c r="L1207">
        <v>11</v>
      </c>
      <c r="M1207" t="s">
        <v>4124</v>
      </c>
      <c r="N1207" t="s">
        <v>64</v>
      </c>
      <c r="O1207" t="s">
        <v>46</v>
      </c>
      <c r="P1207" t="s">
        <v>46</v>
      </c>
      <c r="Y1207" t="s">
        <v>4137</v>
      </c>
    </row>
    <row r="1208" spans="1:25">
      <c r="A1208" t="s">
        <v>4138</v>
      </c>
      <c r="B1208" t="s">
        <v>4139</v>
      </c>
      <c r="D1208" t="s">
        <v>40</v>
      </c>
      <c r="E1208" t="s">
        <v>41</v>
      </c>
      <c r="J1208" t="s">
        <v>76</v>
      </c>
      <c r="K1208" t="s">
        <v>77</v>
      </c>
      <c r="L1208">
        <v>11</v>
      </c>
      <c r="M1208" t="s">
        <v>4124</v>
      </c>
      <c r="N1208" t="s">
        <v>64</v>
      </c>
      <c r="O1208" t="s">
        <v>46</v>
      </c>
      <c r="P1208" t="s">
        <v>46</v>
      </c>
      <c r="Y1208" t="s">
        <v>4140</v>
      </c>
    </row>
    <row r="1209" spans="1:25">
      <c r="A1209" t="s">
        <v>4141</v>
      </c>
      <c r="B1209" t="s">
        <v>4142</v>
      </c>
      <c r="D1209" t="s">
        <v>40</v>
      </c>
      <c r="E1209" t="s">
        <v>41</v>
      </c>
      <c r="J1209" t="s">
        <v>182</v>
      </c>
      <c r="K1209" t="s">
        <v>183</v>
      </c>
      <c r="L1209">
        <v>11</v>
      </c>
      <c r="M1209" t="s">
        <v>4124</v>
      </c>
      <c r="N1209" t="s">
        <v>64</v>
      </c>
      <c r="O1209" t="s">
        <v>46</v>
      </c>
      <c r="P1209" t="s">
        <v>46</v>
      </c>
      <c r="Y1209" t="s">
        <v>4143</v>
      </c>
    </row>
    <row r="1210" spans="1:25">
      <c r="A1210" t="s">
        <v>4144</v>
      </c>
      <c r="B1210" t="s">
        <v>4145</v>
      </c>
      <c r="D1210" t="s">
        <v>40</v>
      </c>
      <c r="E1210" t="s">
        <v>41</v>
      </c>
      <c r="J1210" t="s">
        <v>62</v>
      </c>
      <c r="K1210" t="s">
        <v>63</v>
      </c>
      <c r="L1210">
        <v>11</v>
      </c>
      <c r="M1210" t="s">
        <v>4146</v>
      </c>
      <c r="N1210" t="s">
        <v>64</v>
      </c>
      <c r="O1210" t="s">
        <v>46</v>
      </c>
      <c r="P1210" t="s">
        <v>46</v>
      </c>
      <c r="Y1210" t="s">
        <v>4147</v>
      </c>
    </row>
    <row r="1211" spans="1:25">
      <c r="A1211" t="s">
        <v>4148</v>
      </c>
      <c r="B1211" t="s">
        <v>4149</v>
      </c>
      <c r="D1211" t="s">
        <v>40</v>
      </c>
      <c r="E1211" t="s">
        <v>41</v>
      </c>
      <c r="J1211" t="s">
        <v>182</v>
      </c>
      <c r="K1211" t="s">
        <v>183</v>
      </c>
      <c r="L1211">
        <v>11</v>
      </c>
      <c r="M1211" t="s">
        <v>4146</v>
      </c>
      <c r="N1211" t="s">
        <v>64</v>
      </c>
      <c r="O1211" t="s">
        <v>46</v>
      </c>
      <c r="P1211" t="s">
        <v>46</v>
      </c>
      <c r="Y1211" t="s">
        <v>4150</v>
      </c>
    </row>
    <row r="1212" spans="1:25">
      <c r="A1212" t="s">
        <v>4151</v>
      </c>
      <c r="B1212" t="s">
        <v>4152</v>
      </c>
      <c r="D1212" t="s">
        <v>40</v>
      </c>
      <c r="E1212" t="s">
        <v>41</v>
      </c>
      <c r="J1212" t="s">
        <v>182</v>
      </c>
      <c r="K1212" t="s">
        <v>183</v>
      </c>
      <c r="L1212">
        <v>11</v>
      </c>
      <c r="M1212" t="s">
        <v>4153</v>
      </c>
      <c r="N1212" t="s">
        <v>64</v>
      </c>
      <c r="O1212" t="s">
        <v>46</v>
      </c>
      <c r="P1212" t="s">
        <v>46</v>
      </c>
      <c r="Y1212" t="s">
        <v>4154</v>
      </c>
    </row>
    <row r="1213" spans="1:25">
      <c r="A1213" t="s">
        <v>4155</v>
      </c>
      <c r="B1213" t="s">
        <v>4156</v>
      </c>
      <c r="D1213" t="s">
        <v>40</v>
      </c>
      <c r="E1213" t="s">
        <v>41</v>
      </c>
      <c r="J1213" t="s">
        <v>68</v>
      </c>
      <c r="K1213" t="s">
        <v>69</v>
      </c>
      <c r="L1213">
        <v>11</v>
      </c>
      <c r="M1213" t="s">
        <v>4153</v>
      </c>
      <c r="N1213" t="s">
        <v>64</v>
      </c>
      <c r="O1213" t="s">
        <v>46</v>
      </c>
      <c r="P1213" t="s">
        <v>46</v>
      </c>
      <c r="Y1213" t="s">
        <v>4157</v>
      </c>
    </row>
    <row r="1214" spans="1:25">
      <c r="A1214" t="s">
        <v>4158</v>
      </c>
      <c r="B1214" t="s">
        <v>4159</v>
      </c>
      <c r="D1214" t="s">
        <v>40</v>
      </c>
      <c r="E1214" t="s">
        <v>41</v>
      </c>
      <c r="J1214" t="s">
        <v>182</v>
      </c>
      <c r="K1214" t="s">
        <v>183</v>
      </c>
      <c r="L1214">
        <v>11</v>
      </c>
      <c r="M1214" t="s">
        <v>4153</v>
      </c>
      <c r="N1214" t="s">
        <v>64</v>
      </c>
      <c r="O1214" t="s">
        <v>46</v>
      </c>
      <c r="P1214" t="s">
        <v>46</v>
      </c>
      <c r="Y1214" t="s">
        <v>4160</v>
      </c>
    </row>
    <row r="1215" spans="1:25">
      <c r="A1215" t="s">
        <v>4161</v>
      </c>
      <c r="B1215" t="s">
        <v>4162</v>
      </c>
      <c r="D1215" t="s">
        <v>40</v>
      </c>
      <c r="E1215" t="s">
        <v>41</v>
      </c>
      <c r="J1215" t="s">
        <v>42</v>
      </c>
      <c r="K1215" t="s">
        <v>43</v>
      </c>
      <c r="L1215">
        <v>11</v>
      </c>
      <c r="M1215" t="s">
        <v>4153</v>
      </c>
      <c r="N1215" t="s">
        <v>1392</v>
      </c>
      <c r="O1215" t="s">
        <v>46</v>
      </c>
      <c r="P1215" t="s">
        <v>46</v>
      </c>
      <c r="Y1215" t="s">
        <v>4163</v>
      </c>
    </row>
    <row r="1216" spans="1:25">
      <c r="A1216" t="s">
        <v>4164</v>
      </c>
      <c r="B1216" t="s">
        <v>4165</v>
      </c>
      <c r="D1216" t="s">
        <v>40</v>
      </c>
      <c r="E1216" t="s">
        <v>41</v>
      </c>
      <c r="J1216" t="s">
        <v>182</v>
      </c>
      <c r="K1216" t="s">
        <v>183</v>
      </c>
      <c r="L1216">
        <v>11</v>
      </c>
      <c r="M1216" t="s">
        <v>4153</v>
      </c>
      <c r="N1216" t="s">
        <v>64</v>
      </c>
      <c r="O1216" t="s">
        <v>46</v>
      </c>
      <c r="P1216" t="s">
        <v>46</v>
      </c>
      <c r="Y1216" t="s">
        <v>4166</v>
      </c>
    </row>
    <row r="1217" spans="1:25">
      <c r="A1217" t="s">
        <v>4167</v>
      </c>
      <c r="B1217" t="s">
        <v>4168</v>
      </c>
      <c r="D1217" t="s">
        <v>40</v>
      </c>
      <c r="E1217" t="s">
        <v>41</v>
      </c>
      <c r="J1217" t="s">
        <v>68</v>
      </c>
      <c r="K1217" t="s">
        <v>69</v>
      </c>
      <c r="L1217">
        <v>11</v>
      </c>
      <c r="M1217" t="s">
        <v>4153</v>
      </c>
      <c r="N1217" t="s">
        <v>64</v>
      </c>
      <c r="O1217" t="s">
        <v>46</v>
      </c>
      <c r="P1217" t="s">
        <v>46</v>
      </c>
      <c r="Y1217" t="s">
        <v>4169</v>
      </c>
    </row>
    <row r="1218" spans="1:25">
      <c r="A1218" t="s">
        <v>4170</v>
      </c>
      <c r="B1218" t="s">
        <v>4171</v>
      </c>
      <c r="D1218" t="s">
        <v>40</v>
      </c>
      <c r="E1218" t="s">
        <v>41</v>
      </c>
      <c r="J1218" t="s">
        <v>182</v>
      </c>
      <c r="K1218" t="s">
        <v>183</v>
      </c>
      <c r="L1218">
        <v>11</v>
      </c>
      <c r="M1218" t="s">
        <v>4153</v>
      </c>
      <c r="N1218" t="s">
        <v>64</v>
      </c>
      <c r="O1218" t="s">
        <v>46</v>
      </c>
      <c r="P1218" t="s">
        <v>46</v>
      </c>
      <c r="Y1218" t="s">
        <v>4172</v>
      </c>
    </row>
    <row r="1219" spans="1:25">
      <c r="A1219" t="s">
        <v>4173</v>
      </c>
      <c r="B1219" t="s">
        <v>4174</v>
      </c>
      <c r="D1219" t="s">
        <v>40</v>
      </c>
      <c r="E1219" t="s">
        <v>41</v>
      </c>
      <c r="J1219" t="s">
        <v>182</v>
      </c>
      <c r="K1219" t="s">
        <v>183</v>
      </c>
      <c r="L1219">
        <v>11</v>
      </c>
      <c r="M1219" t="s">
        <v>4175</v>
      </c>
      <c r="N1219" t="s">
        <v>64</v>
      </c>
      <c r="O1219" t="s">
        <v>46</v>
      </c>
      <c r="P1219" t="s">
        <v>46</v>
      </c>
      <c r="Y1219" t="s">
        <v>4176</v>
      </c>
    </row>
    <row r="1220" spans="1:25">
      <c r="A1220" t="s">
        <v>4177</v>
      </c>
      <c r="B1220" t="s">
        <v>4178</v>
      </c>
      <c r="D1220" t="s">
        <v>40</v>
      </c>
      <c r="E1220" t="s">
        <v>41</v>
      </c>
      <c r="J1220" t="s">
        <v>76</v>
      </c>
      <c r="K1220" t="s">
        <v>77</v>
      </c>
      <c r="L1220">
        <v>11</v>
      </c>
      <c r="M1220" t="s">
        <v>4179</v>
      </c>
      <c r="N1220" t="s">
        <v>64</v>
      </c>
      <c r="O1220" t="s">
        <v>46</v>
      </c>
      <c r="P1220" t="s">
        <v>46</v>
      </c>
      <c r="Y1220" t="s">
        <v>4180</v>
      </c>
    </row>
    <row r="1221" spans="1:25">
      <c r="A1221" t="s">
        <v>4181</v>
      </c>
      <c r="B1221" t="s">
        <v>4182</v>
      </c>
      <c r="D1221" t="s">
        <v>40</v>
      </c>
      <c r="E1221" t="s">
        <v>41</v>
      </c>
      <c r="J1221" t="s">
        <v>68</v>
      </c>
      <c r="K1221" t="s">
        <v>69</v>
      </c>
      <c r="L1221">
        <v>11</v>
      </c>
      <c r="M1221" t="s">
        <v>4179</v>
      </c>
      <c r="N1221" t="s">
        <v>64</v>
      </c>
      <c r="O1221" t="s">
        <v>46</v>
      </c>
      <c r="P1221" t="s">
        <v>46</v>
      </c>
      <c r="Y1221" t="s">
        <v>4183</v>
      </c>
    </row>
    <row r="1222" spans="1:25">
      <c r="A1222" t="s">
        <v>4184</v>
      </c>
      <c r="B1222" t="s">
        <v>4185</v>
      </c>
      <c r="D1222" t="s">
        <v>40</v>
      </c>
      <c r="E1222" t="s">
        <v>41</v>
      </c>
      <c r="J1222" t="s">
        <v>182</v>
      </c>
      <c r="K1222" t="s">
        <v>183</v>
      </c>
      <c r="L1222">
        <v>11</v>
      </c>
      <c r="M1222" t="s">
        <v>4179</v>
      </c>
      <c r="N1222" t="s">
        <v>64</v>
      </c>
      <c r="O1222" t="s">
        <v>46</v>
      </c>
      <c r="P1222" t="s">
        <v>46</v>
      </c>
      <c r="Y1222" t="s">
        <v>4186</v>
      </c>
    </row>
    <row r="1223" spans="1:25">
      <c r="A1223" t="s">
        <v>4187</v>
      </c>
      <c r="B1223" t="s">
        <v>4188</v>
      </c>
      <c r="D1223" t="s">
        <v>40</v>
      </c>
      <c r="E1223" t="s">
        <v>41</v>
      </c>
      <c r="J1223" t="s">
        <v>68</v>
      </c>
      <c r="K1223" t="s">
        <v>69</v>
      </c>
      <c r="L1223">
        <v>11</v>
      </c>
      <c r="M1223" t="s">
        <v>4179</v>
      </c>
      <c r="N1223" t="s">
        <v>64</v>
      </c>
      <c r="O1223" t="s">
        <v>46</v>
      </c>
      <c r="P1223" t="s">
        <v>46</v>
      </c>
      <c r="Y1223" t="s">
        <v>4189</v>
      </c>
    </row>
    <row r="1224" spans="1:25">
      <c r="A1224" t="s">
        <v>4190</v>
      </c>
      <c r="B1224" t="s">
        <v>4191</v>
      </c>
      <c r="D1224" t="s">
        <v>40</v>
      </c>
      <c r="E1224" t="s">
        <v>41</v>
      </c>
      <c r="J1224" t="s">
        <v>76</v>
      </c>
      <c r="K1224" t="s">
        <v>77</v>
      </c>
      <c r="L1224">
        <v>11</v>
      </c>
      <c r="M1224" t="s">
        <v>4179</v>
      </c>
      <c r="N1224" t="s">
        <v>64</v>
      </c>
      <c r="O1224" t="s">
        <v>46</v>
      </c>
      <c r="P1224" t="s">
        <v>46</v>
      </c>
      <c r="Y1224" t="s">
        <v>4192</v>
      </c>
    </row>
    <row r="1225" spans="1:25">
      <c r="A1225" t="s">
        <v>4193</v>
      </c>
      <c r="B1225" t="s">
        <v>4194</v>
      </c>
      <c r="D1225" t="s">
        <v>40</v>
      </c>
      <c r="E1225" t="s">
        <v>41</v>
      </c>
      <c r="J1225" t="s">
        <v>182</v>
      </c>
      <c r="K1225" t="s">
        <v>183</v>
      </c>
      <c r="L1225">
        <v>11</v>
      </c>
      <c r="M1225" t="s">
        <v>4195</v>
      </c>
      <c r="N1225" t="s">
        <v>64</v>
      </c>
      <c r="O1225" t="s">
        <v>46</v>
      </c>
      <c r="P1225" t="s">
        <v>46</v>
      </c>
      <c r="Y1225" t="s">
        <v>4196</v>
      </c>
    </row>
    <row r="1226" spans="1:25">
      <c r="A1226" t="s">
        <v>4197</v>
      </c>
      <c r="B1226" t="s">
        <v>4198</v>
      </c>
      <c r="D1226" t="s">
        <v>40</v>
      </c>
      <c r="E1226" t="s">
        <v>41</v>
      </c>
      <c r="J1226" t="s">
        <v>68</v>
      </c>
      <c r="K1226" t="s">
        <v>69</v>
      </c>
      <c r="L1226">
        <v>11</v>
      </c>
      <c r="M1226" t="s">
        <v>4195</v>
      </c>
      <c r="N1226" t="s">
        <v>64</v>
      </c>
      <c r="O1226" t="s">
        <v>46</v>
      </c>
      <c r="P1226" t="s">
        <v>46</v>
      </c>
      <c r="Y1226" t="s">
        <v>4199</v>
      </c>
    </row>
    <row r="1227" spans="1:25">
      <c r="A1227" t="s">
        <v>4200</v>
      </c>
      <c r="B1227" t="s">
        <v>4201</v>
      </c>
      <c r="D1227" t="s">
        <v>40</v>
      </c>
      <c r="E1227" t="s">
        <v>41</v>
      </c>
      <c r="J1227" t="s">
        <v>68</v>
      </c>
      <c r="K1227" t="s">
        <v>69</v>
      </c>
      <c r="L1227">
        <v>11</v>
      </c>
      <c r="M1227" t="s">
        <v>4195</v>
      </c>
      <c r="N1227" t="s">
        <v>64</v>
      </c>
      <c r="O1227" t="s">
        <v>46</v>
      </c>
      <c r="P1227" t="s">
        <v>46</v>
      </c>
      <c r="Y1227" t="s">
        <v>4202</v>
      </c>
    </row>
    <row r="1228" spans="1:25">
      <c r="A1228" t="s">
        <v>4203</v>
      </c>
      <c r="B1228" t="s">
        <v>4204</v>
      </c>
      <c r="D1228" t="s">
        <v>40</v>
      </c>
      <c r="E1228" t="s">
        <v>41</v>
      </c>
      <c r="J1228" t="s">
        <v>182</v>
      </c>
      <c r="K1228" t="s">
        <v>183</v>
      </c>
      <c r="L1228">
        <v>11</v>
      </c>
      <c r="M1228" t="s">
        <v>4195</v>
      </c>
      <c r="N1228" t="s">
        <v>64</v>
      </c>
      <c r="O1228" t="s">
        <v>46</v>
      </c>
      <c r="P1228" t="s">
        <v>46</v>
      </c>
      <c r="Y1228" t="s">
        <v>4205</v>
      </c>
    </row>
    <row r="1229" spans="1:25">
      <c r="A1229" t="s">
        <v>4206</v>
      </c>
      <c r="B1229" t="s">
        <v>4207</v>
      </c>
      <c r="D1229" t="s">
        <v>40</v>
      </c>
      <c r="E1229" t="s">
        <v>41</v>
      </c>
      <c r="J1229" t="s">
        <v>1338</v>
      </c>
      <c r="K1229" t="s">
        <v>1339</v>
      </c>
      <c r="L1229">
        <v>11</v>
      </c>
      <c r="M1229" t="s">
        <v>4195</v>
      </c>
      <c r="N1229" t="s">
        <v>2154</v>
      </c>
      <c r="O1229" t="s">
        <v>46</v>
      </c>
      <c r="P1229" t="s">
        <v>46</v>
      </c>
      <c r="Y1229" t="s">
        <v>4208</v>
      </c>
    </row>
    <row r="1230" spans="1:25">
      <c r="A1230" t="s">
        <v>4209</v>
      </c>
      <c r="B1230" t="s">
        <v>4210</v>
      </c>
      <c r="D1230" t="s">
        <v>40</v>
      </c>
      <c r="E1230" t="s">
        <v>41</v>
      </c>
      <c r="J1230" t="s">
        <v>288</v>
      </c>
      <c r="K1230" t="s">
        <v>289</v>
      </c>
      <c r="L1230">
        <v>11</v>
      </c>
      <c r="M1230" t="s">
        <v>4211</v>
      </c>
      <c r="N1230" t="s">
        <v>752</v>
      </c>
      <c r="O1230" t="s">
        <v>46</v>
      </c>
      <c r="P1230" t="s">
        <v>46</v>
      </c>
      <c r="Y1230" t="s">
        <v>4212</v>
      </c>
    </row>
    <row r="1231" spans="1:25">
      <c r="A1231" t="s">
        <v>4213</v>
      </c>
      <c r="B1231" t="s">
        <v>4214</v>
      </c>
      <c r="D1231" t="s">
        <v>40</v>
      </c>
      <c r="E1231" t="s">
        <v>41</v>
      </c>
      <c r="J1231" t="s">
        <v>182</v>
      </c>
      <c r="K1231" t="s">
        <v>183</v>
      </c>
      <c r="L1231">
        <v>11</v>
      </c>
      <c r="M1231" t="s">
        <v>4211</v>
      </c>
      <c r="N1231" t="s">
        <v>64</v>
      </c>
      <c r="O1231" t="s">
        <v>46</v>
      </c>
      <c r="P1231" t="s">
        <v>46</v>
      </c>
      <c r="Y1231" t="s">
        <v>4215</v>
      </c>
    </row>
    <row r="1232" spans="1:25">
      <c r="A1232" t="s">
        <v>4216</v>
      </c>
      <c r="B1232" t="s">
        <v>4217</v>
      </c>
      <c r="D1232" t="s">
        <v>40</v>
      </c>
      <c r="E1232" t="s">
        <v>41</v>
      </c>
      <c r="J1232" t="s">
        <v>68</v>
      </c>
      <c r="K1232" t="s">
        <v>69</v>
      </c>
      <c r="L1232">
        <v>11</v>
      </c>
      <c r="M1232" t="s">
        <v>4218</v>
      </c>
      <c r="N1232" t="s">
        <v>64</v>
      </c>
      <c r="O1232" t="s">
        <v>46</v>
      </c>
      <c r="P1232" t="s">
        <v>46</v>
      </c>
      <c r="Y1232" t="s">
        <v>4219</v>
      </c>
    </row>
    <row r="1233" spans="1:25">
      <c r="A1233" t="s">
        <v>4220</v>
      </c>
      <c r="B1233" t="s">
        <v>4221</v>
      </c>
      <c r="D1233" t="s">
        <v>40</v>
      </c>
      <c r="E1233" t="s">
        <v>41</v>
      </c>
      <c r="J1233" t="s">
        <v>182</v>
      </c>
      <c r="K1233" t="s">
        <v>183</v>
      </c>
      <c r="L1233">
        <v>11</v>
      </c>
      <c r="M1233" t="s">
        <v>4222</v>
      </c>
      <c r="N1233" t="s">
        <v>64</v>
      </c>
      <c r="O1233" t="s">
        <v>46</v>
      </c>
      <c r="P1233" t="s">
        <v>46</v>
      </c>
      <c r="Y1233" t="s">
        <v>4223</v>
      </c>
    </row>
    <row r="1234" spans="1:25">
      <c r="A1234" t="s">
        <v>4224</v>
      </c>
      <c r="B1234" t="s">
        <v>4225</v>
      </c>
      <c r="D1234" t="s">
        <v>40</v>
      </c>
      <c r="E1234" t="s">
        <v>41</v>
      </c>
      <c r="J1234" t="s">
        <v>1142</v>
      </c>
      <c r="K1234" t="s">
        <v>1143</v>
      </c>
      <c r="L1234">
        <v>11</v>
      </c>
      <c r="M1234" t="s">
        <v>4222</v>
      </c>
      <c r="N1234" t="s">
        <v>173</v>
      </c>
      <c r="O1234" t="s">
        <v>46</v>
      </c>
      <c r="P1234" t="s">
        <v>46</v>
      </c>
      <c r="Y1234" t="s">
        <v>4226</v>
      </c>
    </row>
    <row r="1235" spans="1:25">
      <c r="A1235" t="s">
        <v>4227</v>
      </c>
      <c r="B1235" t="s">
        <v>4228</v>
      </c>
      <c r="D1235" t="s">
        <v>40</v>
      </c>
      <c r="E1235" t="s">
        <v>41</v>
      </c>
      <c r="J1235" t="s">
        <v>68</v>
      </c>
      <c r="K1235" t="s">
        <v>69</v>
      </c>
      <c r="L1235">
        <v>11</v>
      </c>
      <c r="M1235" t="s">
        <v>4222</v>
      </c>
      <c r="N1235" t="s">
        <v>64</v>
      </c>
      <c r="O1235" t="s">
        <v>46</v>
      </c>
      <c r="P1235" t="s">
        <v>46</v>
      </c>
      <c r="Y1235" t="s">
        <v>4229</v>
      </c>
    </row>
    <row r="1236" spans="1:25">
      <c r="A1236" t="s">
        <v>4230</v>
      </c>
      <c r="B1236" t="s">
        <v>4231</v>
      </c>
      <c r="D1236" t="s">
        <v>40</v>
      </c>
      <c r="E1236" t="s">
        <v>41</v>
      </c>
      <c r="J1236" t="s">
        <v>68</v>
      </c>
      <c r="K1236" t="s">
        <v>69</v>
      </c>
      <c r="L1236">
        <v>11</v>
      </c>
      <c r="M1236" t="s">
        <v>4222</v>
      </c>
      <c r="N1236" t="s">
        <v>64</v>
      </c>
      <c r="O1236" t="s">
        <v>46</v>
      </c>
      <c r="P1236" t="s">
        <v>46</v>
      </c>
      <c r="Y1236" t="s">
        <v>4232</v>
      </c>
    </row>
    <row r="1237" spans="1:25">
      <c r="A1237" t="s">
        <v>4233</v>
      </c>
      <c r="B1237" t="s">
        <v>4234</v>
      </c>
      <c r="D1237" t="s">
        <v>40</v>
      </c>
      <c r="E1237" t="s">
        <v>41</v>
      </c>
      <c r="J1237" t="s">
        <v>248</v>
      </c>
      <c r="K1237" t="s">
        <v>249</v>
      </c>
      <c r="L1237">
        <v>11</v>
      </c>
      <c r="M1237" t="s">
        <v>4222</v>
      </c>
      <c r="N1237" t="s">
        <v>950</v>
      </c>
      <c r="O1237" t="s">
        <v>46</v>
      </c>
      <c r="P1237" t="s">
        <v>46</v>
      </c>
      <c r="Y1237" t="s">
        <v>4235</v>
      </c>
    </row>
    <row r="1238" spans="1:25">
      <c r="A1238" t="s">
        <v>4236</v>
      </c>
      <c r="B1238" t="s">
        <v>4237</v>
      </c>
      <c r="D1238" t="s">
        <v>40</v>
      </c>
      <c r="E1238" t="s">
        <v>41</v>
      </c>
      <c r="J1238" t="s">
        <v>76</v>
      </c>
      <c r="K1238" t="s">
        <v>77</v>
      </c>
      <c r="L1238">
        <v>11</v>
      </c>
      <c r="M1238" t="s">
        <v>4222</v>
      </c>
      <c r="N1238" t="s">
        <v>64</v>
      </c>
      <c r="O1238" t="s">
        <v>46</v>
      </c>
      <c r="P1238" t="s">
        <v>46</v>
      </c>
      <c r="Y1238" t="s">
        <v>4238</v>
      </c>
    </row>
    <row r="1239" spans="1:25">
      <c r="A1239" t="s">
        <v>4239</v>
      </c>
      <c r="B1239" t="s">
        <v>4240</v>
      </c>
      <c r="D1239" t="s">
        <v>40</v>
      </c>
      <c r="E1239" t="s">
        <v>41</v>
      </c>
      <c r="J1239" t="s">
        <v>182</v>
      </c>
      <c r="K1239" t="s">
        <v>183</v>
      </c>
      <c r="L1239">
        <v>11</v>
      </c>
      <c r="M1239" t="s">
        <v>4222</v>
      </c>
      <c r="N1239" t="s">
        <v>64</v>
      </c>
      <c r="O1239" t="s">
        <v>46</v>
      </c>
      <c r="P1239" t="s">
        <v>46</v>
      </c>
      <c r="Y1239" t="s">
        <v>4241</v>
      </c>
    </row>
    <row r="1240" spans="1:25">
      <c r="A1240" t="s">
        <v>4242</v>
      </c>
      <c r="B1240" t="s">
        <v>4243</v>
      </c>
      <c r="D1240" t="s">
        <v>40</v>
      </c>
      <c r="E1240" t="s">
        <v>41</v>
      </c>
      <c r="J1240" t="s">
        <v>182</v>
      </c>
      <c r="K1240" t="s">
        <v>183</v>
      </c>
      <c r="L1240">
        <v>11</v>
      </c>
      <c r="M1240" t="s">
        <v>4222</v>
      </c>
      <c r="N1240" t="s">
        <v>64</v>
      </c>
      <c r="O1240" t="s">
        <v>46</v>
      </c>
      <c r="P1240" t="s">
        <v>46</v>
      </c>
      <c r="Y1240" t="s">
        <v>4244</v>
      </c>
    </row>
    <row r="1241" spans="1:25">
      <c r="A1241" t="s">
        <v>4245</v>
      </c>
      <c r="B1241" t="s">
        <v>4246</v>
      </c>
      <c r="D1241" t="s">
        <v>40</v>
      </c>
      <c r="E1241" t="s">
        <v>41</v>
      </c>
      <c r="J1241" t="s">
        <v>182</v>
      </c>
      <c r="K1241" t="s">
        <v>183</v>
      </c>
      <c r="L1241">
        <v>11</v>
      </c>
      <c r="M1241" t="s">
        <v>4222</v>
      </c>
      <c r="N1241" t="s">
        <v>64</v>
      </c>
      <c r="O1241" t="s">
        <v>46</v>
      </c>
      <c r="P1241" t="s">
        <v>46</v>
      </c>
      <c r="Y1241" t="s">
        <v>4247</v>
      </c>
    </row>
    <row r="1242" spans="1:25">
      <c r="A1242" t="s">
        <v>4248</v>
      </c>
      <c r="B1242" t="s">
        <v>4249</v>
      </c>
      <c r="D1242" t="s">
        <v>40</v>
      </c>
      <c r="E1242" t="s">
        <v>41</v>
      </c>
      <c r="J1242" t="s">
        <v>182</v>
      </c>
      <c r="K1242" t="s">
        <v>183</v>
      </c>
      <c r="L1242">
        <v>11</v>
      </c>
      <c r="M1242" t="s">
        <v>4222</v>
      </c>
      <c r="N1242" t="s">
        <v>64</v>
      </c>
      <c r="O1242" t="s">
        <v>46</v>
      </c>
      <c r="P1242" t="s">
        <v>46</v>
      </c>
      <c r="Y1242" t="s">
        <v>4250</v>
      </c>
    </row>
    <row r="1243" spans="1:25">
      <c r="A1243" t="s">
        <v>4251</v>
      </c>
      <c r="B1243" t="s">
        <v>4252</v>
      </c>
      <c r="D1243" t="s">
        <v>40</v>
      </c>
      <c r="E1243" t="s">
        <v>41</v>
      </c>
      <c r="J1243" t="s">
        <v>264</v>
      </c>
      <c r="K1243" t="s">
        <v>265</v>
      </c>
      <c r="L1243">
        <v>11</v>
      </c>
      <c r="M1243" t="s">
        <v>4253</v>
      </c>
      <c r="N1243" t="s">
        <v>310</v>
      </c>
      <c r="O1243" t="s">
        <v>46</v>
      </c>
      <c r="P1243" t="s">
        <v>46</v>
      </c>
      <c r="Y1243" t="s">
        <v>4254</v>
      </c>
    </row>
    <row r="1244" spans="1:25">
      <c r="A1244" t="s">
        <v>4255</v>
      </c>
      <c r="B1244" t="s">
        <v>4256</v>
      </c>
      <c r="D1244" t="s">
        <v>40</v>
      </c>
      <c r="E1244" t="s">
        <v>41</v>
      </c>
      <c r="J1244" t="s">
        <v>68</v>
      </c>
      <c r="K1244" t="s">
        <v>69</v>
      </c>
      <c r="L1244">
        <v>11</v>
      </c>
      <c r="M1244" t="s">
        <v>4253</v>
      </c>
      <c r="N1244" t="s">
        <v>64</v>
      </c>
      <c r="O1244" t="s">
        <v>46</v>
      </c>
      <c r="P1244" t="s">
        <v>46</v>
      </c>
      <c r="Y1244" t="s">
        <v>4257</v>
      </c>
    </row>
    <row r="1245" spans="1:25">
      <c r="A1245" t="s">
        <v>4258</v>
      </c>
      <c r="B1245" t="s">
        <v>4259</v>
      </c>
      <c r="D1245" t="s">
        <v>40</v>
      </c>
      <c r="E1245" t="s">
        <v>41</v>
      </c>
      <c r="J1245" t="s">
        <v>76</v>
      </c>
      <c r="K1245" t="s">
        <v>77</v>
      </c>
      <c r="L1245">
        <v>11</v>
      </c>
      <c r="M1245" t="s">
        <v>4253</v>
      </c>
      <c r="N1245" t="s">
        <v>64</v>
      </c>
      <c r="O1245" t="s">
        <v>46</v>
      </c>
      <c r="P1245" t="s">
        <v>46</v>
      </c>
      <c r="Y1245" t="s">
        <v>4260</v>
      </c>
    </row>
    <row r="1246" spans="1:25">
      <c r="A1246" t="s">
        <v>4261</v>
      </c>
      <c r="B1246" t="s">
        <v>4262</v>
      </c>
      <c r="D1246" t="s">
        <v>40</v>
      </c>
      <c r="E1246" t="s">
        <v>41</v>
      </c>
      <c r="J1246" t="s">
        <v>182</v>
      </c>
      <c r="K1246" t="s">
        <v>183</v>
      </c>
      <c r="L1246">
        <v>11</v>
      </c>
      <c r="M1246" t="s">
        <v>4253</v>
      </c>
      <c r="N1246" t="s">
        <v>64</v>
      </c>
      <c r="O1246" t="s">
        <v>46</v>
      </c>
      <c r="P1246" t="s">
        <v>46</v>
      </c>
      <c r="Y1246" t="s">
        <v>4263</v>
      </c>
    </row>
    <row r="1247" spans="1:25">
      <c r="A1247" t="s">
        <v>4264</v>
      </c>
      <c r="B1247" t="s">
        <v>4265</v>
      </c>
      <c r="D1247" t="s">
        <v>40</v>
      </c>
      <c r="E1247" t="s">
        <v>41</v>
      </c>
      <c r="J1247" t="s">
        <v>68</v>
      </c>
      <c r="K1247" t="s">
        <v>69</v>
      </c>
      <c r="L1247">
        <v>11</v>
      </c>
      <c r="M1247" t="s">
        <v>4253</v>
      </c>
      <c r="N1247" t="s">
        <v>64</v>
      </c>
      <c r="O1247" t="s">
        <v>46</v>
      </c>
      <c r="P1247" t="s">
        <v>46</v>
      </c>
      <c r="Y1247" t="s">
        <v>4266</v>
      </c>
    </row>
    <row r="1248" spans="1:25">
      <c r="A1248" t="s">
        <v>4267</v>
      </c>
      <c r="B1248" t="s">
        <v>4268</v>
      </c>
      <c r="D1248" t="s">
        <v>40</v>
      </c>
      <c r="E1248" t="s">
        <v>41</v>
      </c>
      <c r="J1248" t="s">
        <v>76</v>
      </c>
      <c r="K1248" t="s">
        <v>77</v>
      </c>
      <c r="L1248">
        <v>11</v>
      </c>
      <c r="M1248" t="s">
        <v>4253</v>
      </c>
      <c r="N1248" t="s">
        <v>64</v>
      </c>
      <c r="O1248" t="s">
        <v>46</v>
      </c>
      <c r="P1248" t="s">
        <v>46</v>
      </c>
      <c r="Y1248" t="s">
        <v>4269</v>
      </c>
    </row>
    <row r="1249" spans="1:25">
      <c r="A1249" t="s">
        <v>4270</v>
      </c>
      <c r="B1249" t="s">
        <v>4271</v>
      </c>
      <c r="D1249" t="s">
        <v>40</v>
      </c>
      <c r="E1249" t="s">
        <v>41</v>
      </c>
      <c r="J1249" t="s">
        <v>42</v>
      </c>
      <c r="K1249" t="s">
        <v>43</v>
      </c>
      <c r="L1249">
        <v>11</v>
      </c>
      <c r="M1249" t="s">
        <v>4272</v>
      </c>
      <c r="N1249" t="s">
        <v>1276</v>
      </c>
      <c r="O1249" t="s">
        <v>46</v>
      </c>
      <c r="P1249" t="s">
        <v>46</v>
      </c>
      <c r="Y1249" t="s">
        <v>4273</v>
      </c>
    </row>
    <row r="1250" spans="1:25">
      <c r="A1250" t="s">
        <v>4274</v>
      </c>
      <c r="B1250" t="s">
        <v>4275</v>
      </c>
      <c r="D1250" t="s">
        <v>40</v>
      </c>
      <c r="E1250" t="s">
        <v>41</v>
      </c>
      <c r="J1250" t="s">
        <v>182</v>
      </c>
      <c r="K1250" t="s">
        <v>183</v>
      </c>
      <c r="L1250">
        <v>11</v>
      </c>
      <c r="M1250" t="s">
        <v>4276</v>
      </c>
      <c r="N1250" t="s">
        <v>64</v>
      </c>
      <c r="O1250" t="s">
        <v>46</v>
      </c>
      <c r="P1250" t="s">
        <v>46</v>
      </c>
      <c r="Y1250" t="s">
        <v>4277</v>
      </c>
    </row>
    <row r="1251" spans="1:25">
      <c r="A1251" t="s">
        <v>4278</v>
      </c>
      <c r="B1251" t="s">
        <v>4279</v>
      </c>
      <c r="D1251" t="s">
        <v>40</v>
      </c>
      <c r="E1251" t="s">
        <v>41</v>
      </c>
      <c r="J1251" t="s">
        <v>182</v>
      </c>
      <c r="K1251" t="s">
        <v>183</v>
      </c>
      <c r="L1251">
        <v>11</v>
      </c>
      <c r="M1251" t="s">
        <v>4280</v>
      </c>
      <c r="N1251" t="s">
        <v>64</v>
      </c>
      <c r="O1251" t="s">
        <v>46</v>
      </c>
      <c r="P1251" t="s">
        <v>46</v>
      </c>
      <c r="Y1251" t="s">
        <v>4281</v>
      </c>
    </row>
    <row r="1252" spans="1:25">
      <c r="A1252" t="s">
        <v>4282</v>
      </c>
      <c r="B1252" t="s">
        <v>4283</v>
      </c>
      <c r="D1252" t="s">
        <v>40</v>
      </c>
      <c r="E1252" t="s">
        <v>41</v>
      </c>
      <c r="J1252" t="s">
        <v>182</v>
      </c>
      <c r="K1252" t="s">
        <v>183</v>
      </c>
      <c r="L1252">
        <v>11</v>
      </c>
      <c r="M1252" t="s">
        <v>4280</v>
      </c>
      <c r="N1252" t="s">
        <v>64</v>
      </c>
      <c r="O1252" t="s">
        <v>46</v>
      </c>
      <c r="P1252" t="s">
        <v>46</v>
      </c>
      <c r="Y1252" t="s">
        <v>4284</v>
      </c>
    </row>
    <row r="1253" spans="1:25">
      <c r="A1253" t="s">
        <v>4285</v>
      </c>
      <c r="B1253" t="s">
        <v>4286</v>
      </c>
      <c r="D1253" t="s">
        <v>40</v>
      </c>
      <c r="E1253" t="s">
        <v>41</v>
      </c>
      <c r="J1253" t="s">
        <v>76</v>
      </c>
      <c r="K1253" t="s">
        <v>77</v>
      </c>
      <c r="L1253">
        <v>11</v>
      </c>
      <c r="M1253" t="s">
        <v>4287</v>
      </c>
      <c r="N1253" t="s">
        <v>64</v>
      </c>
      <c r="O1253" t="s">
        <v>46</v>
      </c>
      <c r="P1253" t="s">
        <v>46</v>
      </c>
      <c r="Y1253" t="s">
        <v>4288</v>
      </c>
    </row>
    <row r="1254" spans="1:25">
      <c r="A1254" t="s">
        <v>4289</v>
      </c>
      <c r="B1254" t="s">
        <v>4290</v>
      </c>
      <c r="D1254" t="s">
        <v>40</v>
      </c>
      <c r="E1254" t="s">
        <v>41</v>
      </c>
      <c r="J1254" t="s">
        <v>42</v>
      </c>
      <c r="K1254" t="s">
        <v>43</v>
      </c>
      <c r="L1254">
        <v>11</v>
      </c>
      <c r="M1254" t="s">
        <v>4287</v>
      </c>
      <c r="N1254" t="s">
        <v>296</v>
      </c>
      <c r="O1254" t="s">
        <v>46</v>
      </c>
      <c r="P1254" t="s">
        <v>46</v>
      </c>
      <c r="Y1254" t="s">
        <v>4291</v>
      </c>
    </row>
    <row r="1255" spans="1:25">
      <c r="A1255" t="s">
        <v>4292</v>
      </c>
      <c r="B1255" t="s">
        <v>4293</v>
      </c>
      <c r="D1255" t="s">
        <v>40</v>
      </c>
      <c r="E1255" t="s">
        <v>41</v>
      </c>
      <c r="J1255" t="s">
        <v>42</v>
      </c>
      <c r="K1255" t="s">
        <v>43</v>
      </c>
      <c r="L1255">
        <v>11</v>
      </c>
      <c r="M1255" t="s">
        <v>4287</v>
      </c>
      <c r="N1255" t="s">
        <v>1189</v>
      </c>
      <c r="O1255" t="s">
        <v>46</v>
      </c>
      <c r="P1255" t="s">
        <v>46</v>
      </c>
      <c r="Y1255" t="s">
        <v>4294</v>
      </c>
    </row>
    <row r="1256" spans="1:25">
      <c r="A1256" t="s">
        <v>4295</v>
      </c>
      <c r="B1256" t="s">
        <v>4296</v>
      </c>
      <c r="D1256" t="s">
        <v>40</v>
      </c>
      <c r="E1256" t="s">
        <v>41</v>
      </c>
      <c r="J1256" t="s">
        <v>68</v>
      </c>
      <c r="K1256" t="s">
        <v>69</v>
      </c>
      <c r="L1256">
        <v>11</v>
      </c>
      <c r="M1256" t="s">
        <v>4287</v>
      </c>
      <c r="N1256" t="s">
        <v>64</v>
      </c>
      <c r="O1256" t="s">
        <v>46</v>
      </c>
      <c r="P1256" t="s">
        <v>46</v>
      </c>
      <c r="Y1256" t="s">
        <v>4297</v>
      </c>
    </row>
    <row r="1257" spans="1:25">
      <c r="A1257" t="s">
        <v>4298</v>
      </c>
      <c r="B1257" t="s">
        <v>4299</v>
      </c>
      <c r="D1257" t="s">
        <v>40</v>
      </c>
      <c r="E1257" t="s">
        <v>41</v>
      </c>
      <c r="J1257" t="s">
        <v>76</v>
      </c>
      <c r="K1257" t="s">
        <v>77</v>
      </c>
      <c r="L1257">
        <v>11</v>
      </c>
      <c r="M1257" t="s">
        <v>4300</v>
      </c>
      <c r="N1257" t="s">
        <v>64</v>
      </c>
      <c r="O1257" t="s">
        <v>46</v>
      </c>
      <c r="P1257" t="s">
        <v>46</v>
      </c>
      <c r="Y1257" t="s">
        <v>4301</v>
      </c>
    </row>
    <row r="1258" spans="1:25">
      <c r="A1258" t="s">
        <v>4302</v>
      </c>
      <c r="B1258" t="s">
        <v>4303</v>
      </c>
      <c r="D1258" t="s">
        <v>40</v>
      </c>
      <c r="E1258" t="s">
        <v>41</v>
      </c>
      <c r="J1258" t="s">
        <v>68</v>
      </c>
      <c r="K1258" t="s">
        <v>69</v>
      </c>
      <c r="L1258">
        <v>11</v>
      </c>
      <c r="M1258" t="s">
        <v>4304</v>
      </c>
      <c r="N1258" t="s">
        <v>64</v>
      </c>
      <c r="O1258" t="s">
        <v>46</v>
      </c>
      <c r="P1258" t="s">
        <v>46</v>
      </c>
      <c r="Y1258" t="s">
        <v>4305</v>
      </c>
    </row>
    <row r="1259" spans="1:25">
      <c r="A1259" t="s">
        <v>4306</v>
      </c>
      <c r="B1259" t="s">
        <v>4307</v>
      </c>
      <c r="D1259" t="s">
        <v>40</v>
      </c>
      <c r="E1259" t="s">
        <v>41</v>
      </c>
      <c r="J1259" t="s">
        <v>68</v>
      </c>
      <c r="K1259" t="s">
        <v>69</v>
      </c>
      <c r="L1259">
        <v>11</v>
      </c>
      <c r="M1259" t="s">
        <v>4304</v>
      </c>
      <c r="N1259" t="s">
        <v>64</v>
      </c>
      <c r="O1259" t="s">
        <v>46</v>
      </c>
      <c r="P1259" t="s">
        <v>46</v>
      </c>
      <c r="Y1259" t="s">
        <v>4308</v>
      </c>
    </row>
    <row r="1260" spans="1:25">
      <c r="A1260" t="s">
        <v>4309</v>
      </c>
      <c r="B1260" t="s">
        <v>4310</v>
      </c>
      <c r="D1260" t="s">
        <v>40</v>
      </c>
      <c r="E1260" t="s">
        <v>41</v>
      </c>
      <c r="J1260" t="s">
        <v>182</v>
      </c>
      <c r="K1260" t="s">
        <v>183</v>
      </c>
      <c r="L1260">
        <v>11</v>
      </c>
      <c r="M1260" t="s">
        <v>4311</v>
      </c>
      <c r="N1260" t="s">
        <v>64</v>
      </c>
      <c r="O1260" t="s">
        <v>46</v>
      </c>
      <c r="P1260" t="s">
        <v>46</v>
      </c>
      <c r="Y1260" t="s">
        <v>4312</v>
      </c>
    </row>
    <row r="1261" spans="1:25">
      <c r="A1261" t="s">
        <v>4313</v>
      </c>
      <c r="B1261" t="s">
        <v>4314</v>
      </c>
      <c r="D1261" t="s">
        <v>40</v>
      </c>
      <c r="E1261" t="s">
        <v>41</v>
      </c>
      <c r="J1261" t="s">
        <v>68</v>
      </c>
      <c r="K1261" t="s">
        <v>69</v>
      </c>
      <c r="L1261">
        <v>11</v>
      </c>
      <c r="M1261" t="s">
        <v>4311</v>
      </c>
      <c r="N1261" t="s">
        <v>64</v>
      </c>
      <c r="O1261" t="s">
        <v>46</v>
      </c>
      <c r="P1261" t="s">
        <v>46</v>
      </c>
      <c r="Y1261" t="s">
        <v>4315</v>
      </c>
    </row>
    <row r="1262" spans="1:25">
      <c r="A1262" t="s">
        <v>4316</v>
      </c>
      <c r="B1262" t="s">
        <v>4317</v>
      </c>
      <c r="D1262" t="s">
        <v>40</v>
      </c>
      <c r="E1262" t="s">
        <v>41</v>
      </c>
      <c r="J1262" t="s">
        <v>76</v>
      </c>
      <c r="K1262" t="s">
        <v>77</v>
      </c>
      <c r="L1262">
        <v>11</v>
      </c>
      <c r="M1262" t="s">
        <v>4318</v>
      </c>
      <c r="N1262" t="s">
        <v>64</v>
      </c>
      <c r="O1262" t="s">
        <v>46</v>
      </c>
      <c r="P1262" t="s">
        <v>46</v>
      </c>
      <c r="Y1262" t="s">
        <v>4319</v>
      </c>
    </row>
    <row r="1263" spans="1:25">
      <c r="A1263" t="s">
        <v>4320</v>
      </c>
      <c r="B1263" t="s">
        <v>4321</v>
      </c>
      <c r="D1263" t="s">
        <v>40</v>
      </c>
      <c r="E1263" t="s">
        <v>41</v>
      </c>
      <c r="J1263" t="s">
        <v>42</v>
      </c>
      <c r="K1263" t="s">
        <v>43</v>
      </c>
      <c r="L1263">
        <v>11</v>
      </c>
      <c r="M1263" t="s">
        <v>4318</v>
      </c>
      <c r="N1263" t="s">
        <v>1047</v>
      </c>
      <c r="O1263" t="s">
        <v>46</v>
      </c>
      <c r="P1263" t="s">
        <v>46</v>
      </c>
      <c r="Y1263" t="s">
        <v>4322</v>
      </c>
    </row>
    <row r="1264" spans="1:25">
      <c r="A1264" t="s">
        <v>4323</v>
      </c>
      <c r="B1264" t="s">
        <v>4324</v>
      </c>
      <c r="D1264" t="s">
        <v>40</v>
      </c>
      <c r="E1264" t="s">
        <v>41</v>
      </c>
      <c r="J1264" t="s">
        <v>50</v>
      </c>
      <c r="K1264" t="s">
        <v>51</v>
      </c>
      <c r="L1264">
        <v>11</v>
      </c>
      <c r="M1264" t="s">
        <v>4325</v>
      </c>
      <c r="N1264" t="s">
        <v>1446</v>
      </c>
      <c r="O1264" t="s">
        <v>46</v>
      </c>
      <c r="P1264" t="s">
        <v>46</v>
      </c>
      <c r="Y1264" t="s">
        <v>4326</v>
      </c>
    </row>
    <row r="1265" spans="1:25">
      <c r="A1265" t="s">
        <v>4327</v>
      </c>
      <c r="B1265" t="s">
        <v>4328</v>
      </c>
      <c r="D1265" t="s">
        <v>40</v>
      </c>
      <c r="E1265" t="s">
        <v>41</v>
      </c>
      <c r="J1265" t="s">
        <v>68</v>
      </c>
      <c r="K1265" t="s">
        <v>69</v>
      </c>
      <c r="L1265">
        <v>11</v>
      </c>
      <c r="M1265" t="s">
        <v>4329</v>
      </c>
      <c r="N1265" t="s">
        <v>64</v>
      </c>
      <c r="O1265" t="s">
        <v>46</v>
      </c>
      <c r="P1265" t="s">
        <v>46</v>
      </c>
      <c r="Y1265" t="s">
        <v>4330</v>
      </c>
    </row>
    <row r="1266" spans="1:25">
      <c r="A1266" t="s">
        <v>4331</v>
      </c>
      <c r="B1266" t="s">
        <v>4332</v>
      </c>
      <c r="D1266" t="s">
        <v>40</v>
      </c>
      <c r="E1266" t="s">
        <v>41</v>
      </c>
      <c r="J1266" t="s">
        <v>1338</v>
      </c>
      <c r="K1266" t="s">
        <v>1339</v>
      </c>
      <c r="L1266">
        <v>11</v>
      </c>
      <c r="M1266" t="s">
        <v>4333</v>
      </c>
      <c r="N1266" t="s">
        <v>2346</v>
      </c>
      <c r="O1266" t="s">
        <v>46</v>
      </c>
      <c r="P1266" t="s">
        <v>46</v>
      </c>
      <c r="Y1266" t="s">
        <v>4334</v>
      </c>
    </row>
    <row r="1267" spans="1:25">
      <c r="A1267" t="s">
        <v>4335</v>
      </c>
      <c r="B1267" t="s">
        <v>4336</v>
      </c>
      <c r="D1267" t="s">
        <v>40</v>
      </c>
      <c r="E1267" t="s">
        <v>41</v>
      </c>
      <c r="J1267" t="s">
        <v>182</v>
      </c>
      <c r="K1267" t="s">
        <v>183</v>
      </c>
      <c r="L1267">
        <v>11</v>
      </c>
      <c r="M1267" t="s">
        <v>4333</v>
      </c>
      <c r="N1267" t="s">
        <v>64</v>
      </c>
      <c r="O1267" t="s">
        <v>46</v>
      </c>
      <c r="P1267" t="s">
        <v>46</v>
      </c>
      <c r="Y1267" t="s">
        <v>4337</v>
      </c>
    </row>
    <row r="1268" spans="1:25">
      <c r="A1268" t="s">
        <v>4338</v>
      </c>
      <c r="B1268" t="s">
        <v>4339</v>
      </c>
      <c r="D1268" t="s">
        <v>40</v>
      </c>
      <c r="E1268" t="s">
        <v>41</v>
      </c>
      <c r="J1268" t="s">
        <v>182</v>
      </c>
      <c r="K1268" t="s">
        <v>183</v>
      </c>
      <c r="L1268">
        <v>11</v>
      </c>
      <c r="M1268" t="s">
        <v>4333</v>
      </c>
      <c r="N1268" t="s">
        <v>64</v>
      </c>
      <c r="O1268" t="s">
        <v>46</v>
      </c>
      <c r="P1268" t="s">
        <v>46</v>
      </c>
      <c r="Y1268" t="s">
        <v>4340</v>
      </c>
    </row>
    <row r="1269" spans="1:25">
      <c r="A1269" t="s">
        <v>4341</v>
      </c>
      <c r="B1269" t="s">
        <v>4342</v>
      </c>
      <c r="D1269" t="s">
        <v>40</v>
      </c>
      <c r="E1269" t="s">
        <v>41</v>
      </c>
      <c r="J1269" t="s">
        <v>62</v>
      </c>
      <c r="K1269" t="s">
        <v>63</v>
      </c>
      <c r="L1269">
        <v>11</v>
      </c>
      <c r="M1269" t="s">
        <v>4333</v>
      </c>
      <c r="N1269" t="s">
        <v>64</v>
      </c>
      <c r="O1269" t="s">
        <v>46</v>
      </c>
      <c r="P1269" t="s">
        <v>46</v>
      </c>
      <c r="Y1269" t="s">
        <v>4343</v>
      </c>
    </row>
    <row r="1270" spans="1:25">
      <c r="A1270" t="s">
        <v>4344</v>
      </c>
      <c r="B1270" t="s">
        <v>4345</v>
      </c>
      <c r="D1270" t="s">
        <v>40</v>
      </c>
      <c r="E1270" t="s">
        <v>41</v>
      </c>
      <c r="J1270" t="s">
        <v>76</v>
      </c>
      <c r="K1270" t="s">
        <v>77</v>
      </c>
      <c r="L1270">
        <v>11</v>
      </c>
      <c r="M1270" t="s">
        <v>4333</v>
      </c>
      <c r="N1270" t="s">
        <v>64</v>
      </c>
      <c r="O1270" t="s">
        <v>46</v>
      </c>
      <c r="P1270" t="s">
        <v>46</v>
      </c>
      <c r="Y1270" t="s">
        <v>4346</v>
      </c>
    </row>
    <row r="1271" spans="1:25">
      <c r="A1271" t="s">
        <v>4347</v>
      </c>
      <c r="B1271" t="s">
        <v>4348</v>
      </c>
      <c r="D1271" t="s">
        <v>40</v>
      </c>
      <c r="E1271" t="s">
        <v>41</v>
      </c>
      <c r="J1271" t="s">
        <v>182</v>
      </c>
      <c r="K1271" t="s">
        <v>183</v>
      </c>
      <c r="L1271">
        <v>11</v>
      </c>
      <c r="M1271" t="s">
        <v>4333</v>
      </c>
      <c r="N1271" t="s">
        <v>64</v>
      </c>
      <c r="O1271" t="s">
        <v>46</v>
      </c>
      <c r="P1271" t="s">
        <v>46</v>
      </c>
      <c r="Y1271" t="s">
        <v>4349</v>
      </c>
    </row>
    <row r="1272" spans="1:25">
      <c r="A1272" t="s">
        <v>4350</v>
      </c>
      <c r="B1272" t="s">
        <v>4351</v>
      </c>
      <c r="D1272" t="s">
        <v>40</v>
      </c>
      <c r="E1272" t="s">
        <v>41</v>
      </c>
      <c r="J1272" t="s">
        <v>76</v>
      </c>
      <c r="K1272" t="s">
        <v>77</v>
      </c>
      <c r="L1272">
        <v>11</v>
      </c>
      <c r="M1272" t="s">
        <v>4333</v>
      </c>
      <c r="N1272" t="s">
        <v>64</v>
      </c>
      <c r="O1272" t="s">
        <v>46</v>
      </c>
      <c r="P1272" t="s">
        <v>46</v>
      </c>
      <c r="Y1272" t="s">
        <v>4352</v>
      </c>
    </row>
    <row r="1273" spans="1:25">
      <c r="A1273" t="s">
        <v>4353</v>
      </c>
      <c r="B1273" t="s">
        <v>4354</v>
      </c>
      <c r="D1273" t="s">
        <v>40</v>
      </c>
      <c r="E1273" t="s">
        <v>41</v>
      </c>
      <c r="J1273" t="s">
        <v>182</v>
      </c>
      <c r="K1273" t="s">
        <v>183</v>
      </c>
      <c r="L1273">
        <v>11</v>
      </c>
      <c r="M1273" t="s">
        <v>4333</v>
      </c>
      <c r="N1273" t="s">
        <v>64</v>
      </c>
      <c r="O1273" t="s">
        <v>46</v>
      </c>
      <c r="P1273" t="s">
        <v>46</v>
      </c>
      <c r="Y1273" t="s">
        <v>4355</v>
      </c>
    </row>
    <row r="1274" spans="1:25">
      <c r="A1274" t="s">
        <v>4356</v>
      </c>
      <c r="B1274" t="s">
        <v>4357</v>
      </c>
      <c r="D1274" t="s">
        <v>40</v>
      </c>
      <c r="E1274" t="s">
        <v>41</v>
      </c>
      <c r="J1274" t="s">
        <v>1214</v>
      </c>
      <c r="K1274" t="s">
        <v>1215</v>
      </c>
      <c r="L1274">
        <v>11</v>
      </c>
      <c r="M1274" t="s">
        <v>4333</v>
      </c>
      <c r="N1274" t="s">
        <v>142</v>
      </c>
      <c r="O1274" t="s">
        <v>46</v>
      </c>
      <c r="P1274" t="s">
        <v>46</v>
      </c>
      <c r="Y1274" t="s">
        <v>4358</v>
      </c>
    </row>
    <row r="1275" spans="1:25">
      <c r="A1275" t="s">
        <v>4359</v>
      </c>
      <c r="B1275" t="s">
        <v>4360</v>
      </c>
      <c r="D1275" t="s">
        <v>40</v>
      </c>
      <c r="E1275" t="s">
        <v>41</v>
      </c>
      <c r="J1275" t="s">
        <v>76</v>
      </c>
      <c r="K1275" t="s">
        <v>77</v>
      </c>
      <c r="L1275">
        <v>11</v>
      </c>
      <c r="M1275" t="s">
        <v>4333</v>
      </c>
      <c r="N1275" t="s">
        <v>64</v>
      </c>
      <c r="O1275" t="s">
        <v>46</v>
      </c>
      <c r="P1275" t="s">
        <v>46</v>
      </c>
      <c r="Y1275" t="s">
        <v>4361</v>
      </c>
    </row>
    <row r="1276" spans="1:25">
      <c r="A1276" t="s">
        <v>4362</v>
      </c>
      <c r="B1276" t="s">
        <v>4363</v>
      </c>
      <c r="D1276" t="s">
        <v>40</v>
      </c>
      <c r="E1276" t="s">
        <v>41</v>
      </c>
      <c r="J1276" t="s">
        <v>182</v>
      </c>
      <c r="K1276" t="s">
        <v>183</v>
      </c>
      <c r="L1276">
        <v>11</v>
      </c>
      <c r="M1276" t="s">
        <v>4364</v>
      </c>
      <c r="N1276" t="s">
        <v>64</v>
      </c>
      <c r="O1276" t="s">
        <v>46</v>
      </c>
      <c r="P1276" t="s">
        <v>46</v>
      </c>
      <c r="Y1276" t="s">
        <v>4365</v>
      </c>
    </row>
    <row r="1277" spans="1:25">
      <c r="A1277" t="s">
        <v>4366</v>
      </c>
      <c r="B1277" t="s">
        <v>4367</v>
      </c>
      <c r="D1277" t="s">
        <v>40</v>
      </c>
      <c r="E1277" t="s">
        <v>41</v>
      </c>
      <c r="J1277" t="s">
        <v>76</v>
      </c>
      <c r="K1277" t="s">
        <v>77</v>
      </c>
      <c r="L1277">
        <v>11</v>
      </c>
      <c r="M1277" t="s">
        <v>4364</v>
      </c>
      <c r="N1277" t="s">
        <v>64</v>
      </c>
      <c r="O1277" t="s">
        <v>46</v>
      </c>
      <c r="P1277" t="s">
        <v>46</v>
      </c>
      <c r="Y1277" t="s">
        <v>4368</v>
      </c>
    </row>
    <row r="1278" spans="1:25">
      <c r="A1278" t="s">
        <v>4369</v>
      </c>
      <c r="B1278" t="s">
        <v>4370</v>
      </c>
      <c r="D1278" t="s">
        <v>40</v>
      </c>
      <c r="E1278" t="s">
        <v>41</v>
      </c>
      <c r="J1278" t="s">
        <v>42</v>
      </c>
      <c r="K1278" t="s">
        <v>43</v>
      </c>
      <c r="L1278">
        <v>11</v>
      </c>
      <c r="M1278" t="s">
        <v>4364</v>
      </c>
      <c r="N1278" t="s">
        <v>291</v>
      </c>
      <c r="O1278" t="s">
        <v>46</v>
      </c>
      <c r="P1278" t="s">
        <v>46</v>
      </c>
      <c r="Y1278" t="s">
        <v>4371</v>
      </c>
    </row>
    <row r="1279" spans="1:25">
      <c r="A1279" t="s">
        <v>4372</v>
      </c>
      <c r="B1279" t="s">
        <v>4373</v>
      </c>
      <c r="D1279" t="s">
        <v>40</v>
      </c>
      <c r="E1279" t="s">
        <v>41</v>
      </c>
      <c r="J1279" t="s">
        <v>182</v>
      </c>
      <c r="K1279" t="s">
        <v>183</v>
      </c>
      <c r="L1279">
        <v>11</v>
      </c>
      <c r="M1279" t="s">
        <v>4364</v>
      </c>
      <c r="N1279" t="s">
        <v>64</v>
      </c>
      <c r="O1279" t="s">
        <v>46</v>
      </c>
      <c r="P1279" t="s">
        <v>46</v>
      </c>
      <c r="Y1279" t="s">
        <v>4374</v>
      </c>
    </row>
    <row r="1280" spans="1:25">
      <c r="A1280" t="s">
        <v>4375</v>
      </c>
      <c r="B1280" t="s">
        <v>4376</v>
      </c>
      <c r="D1280" t="s">
        <v>40</v>
      </c>
      <c r="E1280" t="s">
        <v>41</v>
      </c>
      <c r="J1280" t="s">
        <v>182</v>
      </c>
      <c r="K1280" t="s">
        <v>183</v>
      </c>
      <c r="L1280">
        <v>11</v>
      </c>
      <c r="M1280" t="s">
        <v>4377</v>
      </c>
      <c r="N1280" t="s">
        <v>64</v>
      </c>
      <c r="O1280" t="s">
        <v>46</v>
      </c>
      <c r="P1280" t="s">
        <v>46</v>
      </c>
      <c r="Y1280" t="s">
        <v>4378</v>
      </c>
    </row>
    <row r="1281" spans="1:25">
      <c r="A1281" t="s">
        <v>4379</v>
      </c>
      <c r="B1281" t="s">
        <v>4380</v>
      </c>
      <c r="D1281" t="s">
        <v>40</v>
      </c>
      <c r="E1281" t="s">
        <v>41</v>
      </c>
      <c r="J1281" t="s">
        <v>76</v>
      </c>
      <c r="K1281" t="s">
        <v>77</v>
      </c>
      <c r="L1281">
        <v>11</v>
      </c>
      <c r="M1281" t="s">
        <v>4377</v>
      </c>
      <c r="N1281" t="s">
        <v>64</v>
      </c>
      <c r="O1281" t="s">
        <v>46</v>
      </c>
      <c r="P1281" t="s">
        <v>46</v>
      </c>
      <c r="Y1281" t="s">
        <v>4381</v>
      </c>
    </row>
    <row r="1282" spans="1:25">
      <c r="A1282" t="s">
        <v>4382</v>
      </c>
      <c r="B1282" t="s">
        <v>4383</v>
      </c>
      <c r="D1282" t="s">
        <v>40</v>
      </c>
      <c r="E1282" t="s">
        <v>41</v>
      </c>
      <c r="J1282" t="s">
        <v>76</v>
      </c>
      <c r="K1282" t="s">
        <v>77</v>
      </c>
      <c r="L1282">
        <v>11</v>
      </c>
      <c r="M1282" t="s">
        <v>4377</v>
      </c>
      <c r="N1282" t="s">
        <v>64</v>
      </c>
      <c r="O1282" t="s">
        <v>46</v>
      </c>
      <c r="P1282" t="s">
        <v>46</v>
      </c>
      <c r="Y1282" t="s">
        <v>4384</v>
      </c>
    </row>
    <row r="1283" spans="1:25">
      <c r="A1283" t="s">
        <v>4385</v>
      </c>
      <c r="B1283" t="s">
        <v>4386</v>
      </c>
      <c r="D1283" t="s">
        <v>40</v>
      </c>
      <c r="E1283" t="s">
        <v>41</v>
      </c>
      <c r="J1283" t="s">
        <v>182</v>
      </c>
      <c r="K1283" t="s">
        <v>183</v>
      </c>
      <c r="L1283">
        <v>11</v>
      </c>
      <c r="M1283" t="s">
        <v>4377</v>
      </c>
      <c r="N1283" t="s">
        <v>64</v>
      </c>
      <c r="O1283" t="s">
        <v>46</v>
      </c>
      <c r="P1283" t="s">
        <v>46</v>
      </c>
      <c r="Y1283" t="s">
        <v>4387</v>
      </c>
    </row>
    <row r="1284" spans="1:25">
      <c r="A1284" t="s">
        <v>4388</v>
      </c>
      <c r="B1284" t="s">
        <v>4389</v>
      </c>
      <c r="D1284" t="s">
        <v>40</v>
      </c>
      <c r="E1284" t="s">
        <v>41</v>
      </c>
      <c r="J1284" t="s">
        <v>182</v>
      </c>
      <c r="K1284" t="s">
        <v>183</v>
      </c>
      <c r="L1284">
        <v>11</v>
      </c>
      <c r="M1284" t="s">
        <v>4377</v>
      </c>
      <c r="N1284" t="s">
        <v>64</v>
      </c>
      <c r="O1284" t="s">
        <v>46</v>
      </c>
      <c r="P1284" t="s">
        <v>46</v>
      </c>
      <c r="Y1284" t="s">
        <v>4390</v>
      </c>
    </row>
    <row r="1285" spans="1:25">
      <c r="A1285" t="s">
        <v>4391</v>
      </c>
      <c r="B1285" t="s">
        <v>4392</v>
      </c>
      <c r="D1285" t="s">
        <v>40</v>
      </c>
      <c r="E1285" t="s">
        <v>41</v>
      </c>
      <c r="J1285" t="s">
        <v>182</v>
      </c>
      <c r="K1285" t="s">
        <v>183</v>
      </c>
      <c r="L1285">
        <v>11</v>
      </c>
      <c r="M1285" t="s">
        <v>4393</v>
      </c>
      <c r="N1285" t="s">
        <v>64</v>
      </c>
      <c r="O1285" t="s">
        <v>46</v>
      </c>
      <c r="P1285" t="s">
        <v>46</v>
      </c>
      <c r="Y1285" t="s">
        <v>4394</v>
      </c>
    </row>
    <row r="1286" spans="1:25">
      <c r="A1286" t="s">
        <v>4395</v>
      </c>
      <c r="B1286" t="s">
        <v>4396</v>
      </c>
      <c r="D1286" t="s">
        <v>40</v>
      </c>
      <c r="E1286" t="s">
        <v>41</v>
      </c>
      <c r="J1286" t="s">
        <v>182</v>
      </c>
      <c r="K1286" t="s">
        <v>183</v>
      </c>
      <c r="L1286">
        <v>11</v>
      </c>
      <c r="M1286" t="s">
        <v>4393</v>
      </c>
      <c r="N1286" t="s">
        <v>64</v>
      </c>
      <c r="O1286" t="s">
        <v>46</v>
      </c>
      <c r="P1286" t="s">
        <v>46</v>
      </c>
      <c r="Y1286" t="s">
        <v>4397</v>
      </c>
    </row>
    <row r="1287" spans="1:25">
      <c r="A1287" t="s">
        <v>4398</v>
      </c>
      <c r="B1287" t="s">
        <v>4399</v>
      </c>
      <c r="D1287" t="s">
        <v>40</v>
      </c>
      <c r="E1287" t="s">
        <v>41</v>
      </c>
      <c r="J1287" t="s">
        <v>76</v>
      </c>
      <c r="K1287" t="s">
        <v>77</v>
      </c>
      <c r="L1287">
        <v>11</v>
      </c>
      <c r="M1287" t="s">
        <v>4393</v>
      </c>
      <c r="N1287" t="s">
        <v>64</v>
      </c>
      <c r="O1287" t="s">
        <v>46</v>
      </c>
      <c r="P1287" t="s">
        <v>46</v>
      </c>
      <c r="Y1287" t="s">
        <v>4400</v>
      </c>
    </row>
    <row r="1288" spans="1:25">
      <c r="A1288" t="s">
        <v>4401</v>
      </c>
      <c r="B1288" t="s">
        <v>4402</v>
      </c>
      <c r="D1288" t="s">
        <v>40</v>
      </c>
      <c r="E1288" t="s">
        <v>41</v>
      </c>
      <c r="J1288" t="s">
        <v>68</v>
      </c>
      <c r="K1288" t="s">
        <v>69</v>
      </c>
      <c r="L1288">
        <v>11</v>
      </c>
      <c r="M1288" t="s">
        <v>4393</v>
      </c>
      <c r="N1288" t="s">
        <v>64</v>
      </c>
      <c r="O1288" t="s">
        <v>46</v>
      </c>
      <c r="P1288" t="s">
        <v>46</v>
      </c>
      <c r="Y1288" t="s">
        <v>4403</v>
      </c>
    </row>
    <row r="1289" spans="1:25">
      <c r="A1289" t="s">
        <v>4404</v>
      </c>
      <c r="B1289" t="s">
        <v>4405</v>
      </c>
      <c r="D1289" t="s">
        <v>40</v>
      </c>
      <c r="E1289" t="s">
        <v>41</v>
      </c>
      <c r="J1289" t="s">
        <v>76</v>
      </c>
      <c r="K1289" t="s">
        <v>77</v>
      </c>
      <c r="L1289">
        <v>11</v>
      </c>
      <c r="M1289" t="s">
        <v>4406</v>
      </c>
      <c r="N1289" t="s">
        <v>64</v>
      </c>
      <c r="O1289" t="s">
        <v>46</v>
      </c>
      <c r="P1289" t="s">
        <v>46</v>
      </c>
      <c r="Y1289" t="s">
        <v>4407</v>
      </c>
    </row>
    <row r="1290" spans="1:25">
      <c r="A1290" t="s">
        <v>4408</v>
      </c>
      <c r="B1290" t="s">
        <v>4409</v>
      </c>
      <c r="D1290" t="s">
        <v>40</v>
      </c>
      <c r="E1290" t="s">
        <v>41</v>
      </c>
      <c r="J1290" t="s">
        <v>1214</v>
      </c>
      <c r="K1290" t="s">
        <v>1215</v>
      </c>
      <c r="L1290">
        <v>11</v>
      </c>
      <c r="M1290" t="s">
        <v>4410</v>
      </c>
      <c r="N1290" t="s">
        <v>1550</v>
      </c>
      <c r="O1290" t="s">
        <v>46</v>
      </c>
      <c r="P1290" t="s">
        <v>46</v>
      </c>
      <c r="Y1290" t="s">
        <v>4411</v>
      </c>
    </row>
    <row r="1291" spans="1:25">
      <c r="A1291" t="s">
        <v>4412</v>
      </c>
      <c r="B1291" t="s">
        <v>4413</v>
      </c>
      <c r="D1291" t="s">
        <v>40</v>
      </c>
      <c r="E1291" t="s">
        <v>41</v>
      </c>
      <c r="J1291" t="s">
        <v>42</v>
      </c>
      <c r="K1291" t="s">
        <v>43</v>
      </c>
      <c r="L1291">
        <v>11</v>
      </c>
      <c r="M1291" t="s">
        <v>4410</v>
      </c>
      <c r="N1291" t="s">
        <v>741</v>
      </c>
      <c r="O1291" t="s">
        <v>46</v>
      </c>
      <c r="P1291" t="s">
        <v>46</v>
      </c>
      <c r="Y1291" t="s">
        <v>4414</v>
      </c>
    </row>
    <row r="1292" spans="1:25">
      <c r="A1292" t="s">
        <v>4415</v>
      </c>
      <c r="B1292" t="s">
        <v>4416</v>
      </c>
      <c r="D1292" t="s">
        <v>40</v>
      </c>
      <c r="E1292" t="s">
        <v>41</v>
      </c>
      <c r="J1292" t="s">
        <v>182</v>
      </c>
      <c r="K1292" t="s">
        <v>183</v>
      </c>
      <c r="L1292">
        <v>11</v>
      </c>
      <c r="M1292" t="s">
        <v>4410</v>
      </c>
      <c r="N1292" t="s">
        <v>64</v>
      </c>
      <c r="O1292" t="s">
        <v>46</v>
      </c>
      <c r="P1292" t="s">
        <v>46</v>
      </c>
      <c r="Y1292" t="s">
        <v>4417</v>
      </c>
    </row>
    <row r="1293" spans="1:25">
      <c r="A1293" t="s">
        <v>4418</v>
      </c>
      <c r="B1293" t="s">
        <v>4419</v>
      </c>
      <c r="D1293" t="s">
        <v>40</v>
      </c>
      <c r="E1293" t="s">
        <v>41</v>
      </c>
      <c r="J1293" t="s">
        <v>68</v>
      </c>
      <c r="K1293" t="s">
        <v>69</v>
      </c>
      <c r="L1293">
        <v>11</v>
      </c>
      <c r="M1293" t="s">
        <v>4410</v>
      </c>
      <c r="N1293" t="s">
        <v>64</v>
      </c>
      <c r="O1293" t="s">
        <v>46</v>
      </c>
      <c r="P1293" t="s">
        <v>46</v>
      </c>
      <c r="Y1293" t="s">
        <v>4420</v>
      </c>
    </row>
    <row r="1294" spans="1:25">
      <c r="A1294" t="s">
        <v>4421</v>
      </c>
      <c r="B1294" t="s">
        <v>4422</v>
      </c>
      <c r="D1294" t="s">
        <v>40</v>
      </c>
      <c r="E1294" t="s">
        <v>41</v>
      </c>
      <c r="J1294" t="s">
        <v>1338</v>
      </c>
      <c r="K1294" t="s">
        <v>1339</v>
      </c>
      <c r="L1294">
        <v>11</v>
      </c>
      <c r="M1294" t="s">
        <v>4410</v>
      </c>
      <c r="N1294" t="s">
        <v>1814</v>
      </c>
      <c r="O1294" t="s">
        <v>46</v>
      </c>
      <c r="P1294" t="s">
        <v>46</v>
      </c>
      <c r="Y1294" t="s">
        <v>4423</v>
      </c>
    </row>
    <row r="1295" spans="1:25">
      <c r="A1295" t="s">
        <v>4424</v>
      </c>
      <c r="B1295" t="s">
        <v>4425</v>
      </c>
      <c r="D1295" t="s">
        <v>40</v>
      </c>
      <c r="E1295" t="s">
        <v>41</v>
      </c>
      <c r="J1295" t="s">
        <v>76</v>
      </c>
      <c r="K1295" t="s">
        <v>77</v>
      </c>
      <c r="L1295">
        <v>11</v>
      </c>
      <c r="M1295" t="s">
        <v>4426</v>
      </c>
      <c r="N1295" t="s">
        <v>64</v>
      </c>
      <c r="O1295" t="s">
        <v>46</v>
      </c>
      <c r="P1295" t="s">
        <v>46</v>
      </c>
      <c r="Y1295" t="s">
        <v>4427</v>
      </c>
    </row>
    <row r="1296" spans="1:25">
      <c r="A1296" t="s">
        <v>4428</v>
      </c>
      <c r="B1296" t="s">
        <v>4429</v>
      </c>
      <c r="D1296" t="s">
        <v>40</v>
      </c>
      <c r="E1296" t="s">
        <v>41</v>
      </c>
      <c r="J1296" t="s">
        <v>182</v>
      </c>
      <c r="K1296" t="s">
        <v>183</v>
      </c>
      <c r="L1296">
        <v>11</v>
      </c>
      <c r="M1296" t="s">
        <v>4426</v>
      </c>
      <c r="N1296" t="s">
        <v>64</v>
      </c>
      <c r="O1296" t="s">
        <v>46</v>
      </c>
      <c r="P1296" t="s">
        <v>46</v>
      </c>
      <c r="Y1296" t="s">
        <v>4430</v>
      </c>
    </row>
    <row r="1297" spans="1:25">
      <c r="A1297" t="s">
        <v>4431</v>
      </c>
      <c r="B1297" t="s">
        <v>4432</v>
      </c>
      <c r="D1297" t="s">
        <v>40</v>
      </c>
      <c r="E1297" t="s">
        <v>41</v>
      </c>
      <c r="J1297" t="s">
        <v>68</v>
      </c>
      <c r="K1297" t="s">
        <v>69</v>
      </c>
      <c r="L1297">
        <v>11</v>
      </c>
      <c r="M1297" t="s">
        <v>4426</v>
      </c>
      <c r="N1297" t="s">
        <v>64</v>
      </c>
      <c r="O1297" t="s">
        <v>46</v>
      </c>
      <c r="P1297" t="s">
        <v>46</v>
      </c>
      <c r="Y1297" t="s">
        <v>4433</v>
      </c>
    </row>
    <row r="1298" spans="1:25">
      <c r="A1298" t="s">
        <v>4434</v>
      </c>
      <c r="B1298" t="s">
        <v>4435</v>
      </c>
      <c r="D1298" t="s">
        <v>40</v>
      </c>
      <c r="E1298" t="s">
        <v>41</v>
      </c>
      <c r="J1298" t="s">
        <v>182</v>
      </c>
      <c r="K1298" t="s">
        <v>183</v>
      </c>
      <c r="L1298">
        <v>11</v>
      </c>
      <c r="M1298" t="s">
        <v>4436</v>
      </c>
      <c r="N1298" t="s">
        <v>64</v>
      </c>
      <c r="O1298" t="s">
        <v>46</v>
      </c>
      <c r="P1298" t="s">
        <v>46</v>
      </c>
      <c r="Y1298" t="s">
        <v>4437</v>
      </c>
    </row>
    <row r="1299" spans="1:25">
      <c r="A1299" t="s">
        <v>4438</v>
      </c>
      <c r="B1299" t="s">
        <v>4439</v>
      </c>
      <c r="D1299" t="s">
        <v>40</v>
      </c>
      <c r="E1299" t="s">
        <v>41</v>
      </c>
      <c r="J1299" t="s">
        <v>182</v>
      </c>
      <c r="K1299" t="s">
        <v>183</v>
      </c>
      <c r="L1299">
        <v>11</v>
      </c>
      <c r="M1299" t="s">
        <v>4436</v>
      </c>
      <c r="N1299" t="s">
        <v>64</v>
      </c>
      <c r="O1299" t="s">
        <v>46</v>
      </c>
      <c r="P1299" t="s">
        <v>46</v>
      </c>
      <c r="Y1299" t="s">
        <v>4440</v>
      </c>
    </row>
    <row r="1300" spans="1:25">
      <c r="A1300" t="s">
        <v>4441</v>
      </c>
      <c r="B1300" t="s">
        <v>4442</v>
      </c>
      <c r="D1300" t="s">
        <v>40</v>
      </c>
      <c r="E1300" t="s">
        <v>41</v>
      </c>
      <c r="J1300" t="s">
        <v>182</v>
      </c>
      <c r="K1300" t="s">
        <v>183</v>
      </c>
      <c r="L1300">
        <v>11</v>
      </c>
      <c r="M1300" t="s">
        <v>4436</v>
      </c>
      <c r="N1300" t="s">
        <v>64</v>
      </c>
      <c r="O1300" t="s">
        <v>46</v>
      </c>
      <c r="P1300" t="s">
        <v>46</v>
      </c>
      <c r="Y1300" t="s">
        <v>4443</v>
      </c>
    </row>
    <row r="1301" spans="1:25">
      <c r="A1301" t="s">
        <v>4444</v>
      </c>
      <c r="B1301" t="s">
        <v>4445</v>
      </c>
      <c r="D1301" t="s">
        <v>40</v>
      </c>
      <c r="E1301" t="s">
        <v>41</v>
      </c>
      <c r="J1301" t="s">
        <v>62</v>
      </c>
      <c r="K1301" t="s">
        <v>63</v>
      </c>
      <c r="L1301">
        <v>11</v>
      </c>
      <c r="M1301" t="s">
        <v>4436</v>
      </c>
      <c r="N1301" t="s">
        <v>64</v>
      </c>
      <c r="O1301" t="s">
        <v>46</v>
      </c>
      <c r="P1301" t="s">
        <v>46</v>
      </c>
      <c r="Y1301" t="s">
        <v>4446</v>
      </c>
    </row>
    <row r="1302" spans="1:25">
      <c r="A1302" t="s">
        <v>4447</v>
      </c>
      <c r="B1302" t="s">
        <v>4448</v>
      </c>
      <c r="D1302" t="s">
        <v>40</v>
      </c>
      <c r="E1302" t="s">
        <v>41</v>
      </c>
      <c r="J1302" t="s">
        <v>182</v>
      </c>
      <c r="K1302" t="s">
        <v>183</v>
      </c>
      <c r="L1302">
        <v>11</v>
      </c>
      <c r="M1302" t="s">
        <v>4436</v>
      </c>
      <c r="N1302" t="s">
        <v>64</v>
      </c>
      <c r="O1302" t="s">
        <v>46</v>
      </c>
      <c r="P1302" t="s">
        <v>46</v>
      </c>
      <c r="Y1302" t="s">
        <v>4449</v>
      </c>
    </row>
    <row r="1303" spans="1:25">
      <c r="A1303" t="s">
        <v>4450</v>
      </c>
      <c r="B1303" t="s">
        <v>4451</v>
      </c>
      <c r="D1303" t="s">
        <v>40</v>
      </c>
      <c r="E1303" t="s">
        <v>41</v>
      </c>
      <c r="J1303" t="s">
        <v>68</v>
      </c>
      <c r="K1303" t="s">
        <v>69</v>
      </c>
      <c r="L1303">
        <v>11</v>
      </c>
      <c r="M1303" t="s">
        <v>4436</v>
      </c>
      <c r="N1303" t="s">
        <v>64</v>
      </c>
      <c r="O1303" t="s">
        <v>46</v>
      </c>
      <c r="P1303" t="s">
        <v>46</v>
      </c>
      <c r="Y1303" t="s">
        <v>4452</v>
      </c>
    </row>
    <row r="1304" spans="1:25">
      <c r="A1304" t="s">
        <v>4453</v>
      </c>
      <c r="B1304" t="s">
        <v>4454</v>
      </c>
      <c r="D1304" t="s">
        <v>40</v>
      </c>
      <c r="E1304" t="s">
        <v>41</v>
      </c>
      <c r="J1304" t="s">
        <v>68</v>
      </c>
      <c r="K1304" t="s">
        <v>69</v>
      </c>
      <c r="L1304">
        <v>11</v>
      </c>
      <c r="M1304" t="s">
        <v>4455</v>
      </c>
      <c r="N1304" t="s">
        <v>64</v>
      </c>
      <c r="O1304" t="s">
        <v>46</v>
      </c>
      <c r="P1304" t="s">
        <v>46</v>
      </c>
      <c r="Y1304" t="s">
        <v>4456</v>
      </c>
    </row>
    <row r="1305" spans="1:25">
      <c r="A1305" t="s">
        <v>4457</v>
      </c>
      <c r="B1305" t="s">
        <v>4458</v>
      </c>
      <c r="D1305" t="s">
        <v>40</v>
      </c>
      <c r="E1305" t="s">
        <v>41</v>
      </c>
      <c r="J1305" t="s">
        <v>182</v>
      </c>
      <c r="K1305" t="s">
        <v>183</v>
      </c>
      <c r="L1305">
        <v>11</v>
      </c>
      <c r="M1305" t="s">
        <v>4455</v>
      </c>
      <c r="N1305" t="s">
        <v>64</v>
      </c>
      <c r="O1305" t="s">
        <v>46</v>
      </c>
      <c r="P1305" t="s">
        <v>46</v>
      </c>
      <c r="Y1305" t="s">
        <v>4459</v>
      </c>
    </row>
    <row r="1306" spans="1:25">
      <c r="A1306" t="s">
        <v>4460</v>
      </c>
      <c r="B1306" t="s">
        <v>4461</v>
      </c>
      <c r="D1306" t="s">
        <v>40</v>
      </c>
      <c r="E1306" t="s">
        <v>41</v>
      </c>
      <c r="J1306" t="s">
        <v>76</v>
      </c>
      <c r="K1306" t="s">
        <v>77</v>
      </c>
      <c r="L1306">
        <v>11</v>
      </c>
      <c r="M1306" t="s">
        <v>4455</v>
      </c>
      <c r="N1306" t="s">
        <v>64</v>
      </c>
      <c r="O1306" t="s">
        <v>46</v>
      </c>
      <c r="P1306" t="s">
        <v>46</v>
      </c>
      <c r="Y1306" t="s">
        <v>4462</v>
      </c>
    </row>
    <row r="1307" spans="1:25">
      <c r="A1307" t="s">
        <v>4463</v>
      </c>
      <c r="B1307" t="s">
        <v>4464</v>
      </c>
      <c r="D1307" t="s">
        <v>40</v>
      </c>
      <c r="E1307" t="s">
        <v>41</v>
      </c>
      <c r="J1307" t="s">
        <v>182</v>
      </c>
      <c r="K1307" t="s">
        <v>183</v>
      </c>
      <c r="L1307">
        <v>11</v>
      </c>
      <c r="M1307" t="s">
        <v>4455</v>
      </c>
      <c r="N1307" t="s">
        <v>64</v>
      </c>
      <c r="O1307" t="s">
        <v>46</v>
      </c>
      <c r="P1307" t="s">
        <v>46</v>
      </c>
      <c r="Y1307" t="s">
        <v>4465</v>
      </c>
    </row>
    <row r="1308" spans="1:25">
      <c r="A1308" t="s">
        <v>4466</v>
      </c>
      <c r="B1308" t="s">
        <v>4467</v>
      </c>
      <c r="D1308" t="s">
        <v>40</v>
      </c>
      <c r="E1308" t="s">
        <v>41</v>
      </c>
      <c r="G1308" t="s">
        <v>4468</v>
      </c>
      <c r="H1308" t="s">
        <v>4469</v>
      </c>
      <c r="J1308" t="s">
        <v>42</v>
      </c>
      <c r="K1308" t="s">
        <v>43</v>
      </c>
      <c r="L1308">
        <v>11</v>
      </c>
      <c r="M1308" t="s">
        <v>4455</v>
      </c>
      <c r="N1308" t="s">
        <v>1478</v>
      </c>
      <c r="O1308" t="s">
        <v>46</v>
      </c>
      <c r="P1308" t="s">
        <v>4470</v>
      </c>
      <c r="Y1308" t="s">
        <v>4471</v>
      </c>
    </row>
    <row r="1309" spans="1:25">
      <c r="A1309" t="s">
        <v>4472</v>
      </c>
      <c r="B1309" t="s">
        <v>4473</v>
      </c>
      <c r="D1309" t="s">
        <v>40</v>
      </c>
      <c r="E1309" t="s">
        <v>41</v>
      </c>
      <c r="J1309" t="s">
        <v>182</v>
      </c>
      <c r="K1309" t="s">
        <v>183</v>
      </c>
      <c r="L1309">
        <v>11</v>
      </c>
      <c r="M1309" t="s">
        <v>4474</v>
      </c>
      <c r="N1309" t="s">
        <v>64</v>
      </c>
      <c r="O1309" t="s">
        <v>46</v>
      </c>
      <c r="P1309" t="s">
        <v>46</v>
      </c>
      <c r="Y1309" t="s">
        <v>4475</v>
      </c>
    </row>
    <row r="1310" spans="1:25">
      <c r="A1310" t="s">
        <v>4476</v>
      </c>
      <c r="B1310" t="s">
        <v>4477</v>
      </c>
      <c r="D1310" t="s">
        <v>40</v>
      </c>
      <c r="E1310" t="s">
        <v>41</v>
      </c>
      <c r="J1310" t="s">
        <v>68</v>
      </c>
      <c r="K1310" t="s">
        <v>69</v>
      </c>
      <c r="L1310">
        <v>11</v>
      </c>
      <c r="M1310" t="s">
        <v>4474</v>
      </c>
      <c r="N1310" t="s">
        <v>64</v>
      </c>
      <c r="O1310" t="s">
        <v>46</v>
      </c>
      <c r="P1310" t="s">
        <v>46</v>
      </c>
      <c r="Y1310" t="s">
        <v>4478</v>
      </c>
    </row>
    <row r="1311" spans="1:25">
      <c r="A1311" t="s">
        <v>4479</v>
      </c>
      <c r="B1311" t="s">
        <v>4480</v>
      </c>
      <c r="D1311" t="s">
        <v>40</v>
      </c>
      <c r="E1311" t="s">
        <v>41</v>
      </c>
      <c r="J1311" t="s">
        <v>68</v>
      </c>
      <c r="K1311" t="s">
        <v>69</v>
      </c>
      <c r="L1311">
        <v>11</v>
      </c>
      <c r="M1311" t="s">
        <v>4474</v>
      </c>
      <c r="N1311" t="s">
        <v>64</v>
      </c>
      <c r="O1311" t="s">
        <v>46</v>
      </c>
      <c r="P1311" t="s">
        <v>46</v>
      </c>
      <c r="Y1311" t="s">
        <v>4481</v>
      </c>
    </row>
    <row r="1312" spans="1:25">
      <c r="A1312" t="s">
        <v>4482</v>
      </c>
      <c r="B1312" t="s">
        <v>4483</v>
      </c>
      <c r="D1312" t="s">
        <v>40</v>
      </c>
      <c r="E1312" t="s">
        <v>41</v>
      </c>
      <c r="J1312" t="s">
        <v>182</v>
      </c>
      <c r="K1312" t="s">
        <v>183</v>
      </c>
      <c r="L1312">
        <v>11</v>
      </c>
      <c r="M1312" t="s">
        <v>4474</v>
      </c>
      <c r="N1312" t="s">
        <v>64</v>
      </c>
      <c r="O1312" t="s">
        <v>46</v>
      </c>
      <c r="P1312" t="s">
        <v>46</v>
      </c>
      <c r="Y1312" t="s">
        <v>4484</v>
      </c>
    </row>
    <row r="1313" spans="1:25">
      <c r="A1313" t="s">
        <v>4485</v>
      </c>
      <c r="B1313" t="s">
        <v>4486</v>
      </c>
      <c r="D1313" t="s">
        <v>40</v>
      </c>
      <c r="E1313" t="s">
        <v>41</v>
      </c>
      <c r="J1313" t="s">
        <v>182</v>
      </c>
      <c r="K1313" t="s">
        <v>183</v>
      </c>
      <c r="L1313">
        <v>11</v>
      </c>
      <c r="M1313" t="s">
        <v>4474</v>
      </c>
      <c r="N1313" t="s">
        <v>64</v>
      </c>
      <c r="O1313" t="s">
        <v>46</v>
      </c>
      <c r="P1313" t="s">
        <v>46</v>
      </c>
      <c r="Y1313" t="s">
        <v>4487</v>
      </c>
    </row>
    <row r="1314" spans="1:25">
      <c r="A1314" t="s">
        <v>4488</v>
      </c>
      <c r="B1314" t="s">
        <v>4489</v>
      </c>
      <c r="D1314" t="s">
        <v>40</v>
      </c>
      <c r="E1314" t="s">
        <v>41</v>
      </c>
      <c r="J1314" t="s">
        <v>76</v>
      </c>
      <c r="K1314" t="s">
        <v>77</v>
      </c>
      <c r="L1314">
        <v>11</v>
      </c>
      <c r="M1314" t="s">
        <v>4474</v>
      </c>
      <c r="N1314" t="s">
        <v>64</v>
      </c>
      <c r="O1314" t="s">
        <v>46</v>
      </c>
      <c r="P1314" t="s">
        <v>46</v>
      </c>
      <c r="Y1314" t="s">
        <v>4490</v>
      </c>
    </row>
    <row r="1315" spans="1:25">
      <c r="A1315" t="s">
        <v>4491</v>
      </c>
      <c r="B1315" t="s">
        <v>4492</v>
      </c>
      <c r="D1315" t="s">
        <v>40</v>
      </c>
      <c r="E1315" t="s">
        <v>41</v>
      </c>
      <c r="J1315" t="s">
        <v>42</v>
      </c>
      <c r="K1315" t="s">
        <v>43</v>
      </c>
      <c r="L1315">
        <v>11</v>
      </c>
      <c r="M1315" t="s">
        <v>4493</v>
      </c>
      <c r="N1315" t="s">
        <v>45</v>
      </c>
      <c r="O1315" t="s">
        <v>46</v>
      </c>
      <c r="P1315" t="s">
        <v>46</v>
      </c>
      <c r="Y1315" t="s">
        <v>4494</v>
      </c>
    </row>
    <row r="1316" spans="1:25">
      <c r="A1316" t="s">
        <v>4495</v>
      </c>
      <c r="B1316" t="s">
        <v>4496</v>
      </c>
      <c r="D1316" t="s">
        <v>40</v>
      </c>
      <c r="E1316" t="s">
        <v>41</v>
      </c>
      <c r="J1316" t="s">
        <v>139</v>
      </c>
      <c r="K1316" t="s">
        <v>140</v>
      </c>
      <c r="L1316">
        <v>11</v>
      </c>
      <c r="M1316" t="s">
        <v>4493</v>
      </c>
      <c r="N1316" t="s">
        <v>210</v>
      </c>
      <c r="O1316" t="s">
        <v>46</v>
      </c>
      <c r="P1316" t="s">
        <v>46</v>
      </c>
      <c r="Y1316" t="s">
        <v>4497</v>
      </c>
    </row>
    <row r="1317" spans="1:25">
      <c r="A1317" t="s">
        <v>4498</v>
      </c>
      <c r="B1317" t="s">
        <v>4499</v>
      </c>
      <c r="D1317" t="s">
        <v>40</v>
      </c>
      <c r="E1317" t="s">
        <v>41</v>
      </c>
      <c r="J1317" t="s">
        <v>182</v>
      </c>
      <c r="K1317" t="s">
        <v>183</v>
      </c>
      <c r="L1317">
        <v>11</v>
      </c>
      <c r="M1317" t="s">
        <v>4493</v>
      </c>
      <c r="N1317" t="s">
        <v>64</v>
      </c>
      <c r="O1317" t="s">
        <v>46</v>
      </c>
      <c r="P1317" t="s">
        <v>46</v>
      </c>
      <c r="Y1317" t="s">
        <v>4500</v>
      </c>
    </row>
    <row r="1318" spans="1:25">
      <c r="A1318" t="s">
        <v>4501</v>
      </c>
      <c r="B1318" t="s">
        <v>4502</v>
      </c>
      <c r="D1318" t="s">
        <v>40</v>
      </c>
      <c r="E1318" t="s">
        <v>41</v>
      </c>
      <c r="J1318" t="s">
        <v>42</v>
      </c>
      <c r="K1318" t="s">
        <v>43</v>
      </c>
      <c r="L1318">
        <v>11</v>
      </c>
      <c r="M1318" t="s">
        <v>4493</v>
      </c>
      <c r="N1318" t="s">
        <v>4037</v>
      </c>
      <c r="O1318" t="s">
        <v>46</v>
      </c>
      <c r="P1318" t="s">
        <v>46</v>
      </c>
      <c r="Y1318" t="s">
        <v>4503</v>
      </c>
    </row>
    <row r="1319" spans="1:25">
      <c r="A1319" t="s">
        <v>4504</v>
      </c>
      <c r="B1319" t="s">
        <v>4505</v>
      </c>
      <c r="D1319" t="s">
        <v>40</v>
      </c>
      <c r="E1319" t="s">
        <v>41</v>
      </c>
      <c r="J1319" t="s">
        <v>68</v>
      </c>
      <c r="K1319" t="s">
        <v>69</v>
      </c>
      <c r="L1319">
        <v>11</v>
      </c>
      <c r="M1319" t="s">
        <v>4493</v>
      </c>
      <c r="N1319" t="s">
        <v>64</v>
      </c>
      <c r="O1319" t="s">
        <v>46</v>
      </c>
      <c r="P1319" t="s">
        <v>46</v>
      </c>
      <c r="Y1319" t="s">
        <v>4506</v>
      </c>
    </row>
    <row r="1320" spans="1:25">
      <c r="A1320" t="s">
        <v>4507</v>
      </c>
      <c r="B1320" t="s">
        <v>4508</v>
      </c>
      <c r="D1320" t="s">
        <v>40</v>
      </c>
      <c r="E1320" t="s">
        <v>41</v>
      </c>
      <c r="J1320" t="s">
        <v>182</v>
      </c>
      <c r="K1320" t="s">
        <v>183</v>
      </c>
      <c r="L1320">
        <v>11</v>
      </c>
      <c r="M1320" t="s">
        <v>4493</v>
      </c>
      <c r="N1320" t="s">
        <v>64</v>
      </c>
      <c r="O1320" t="s">
        <v>46</v>
      </c>
      <c r="P1320" t="s">
        <v>46</v>
      </c>
      <c r="Y1320" t="s">
        <v>4509</v>
      </c>
    </row>
    <row r="1321" spans="1:25">
      <c r="A1321" t="s">
        <v>4510</v>
      </c>
      <c r="B1321" t="s">
        <v>4511</v>
      </c>
      <c r="D1321" t="s">
        <v>40</v>
      </c>
      <c r="E1321" t="s">
        <v>41</v>
      </c>
      <c r="J1321" t="s">
        <v>42</v>
      </c>
      <c r="K1321" t="s">
        <v>43</v>
      </c>
      <c r="L1321">
        <v>11</v>
      </c>
      <c r="M1321" t="s">
        <v>4493</v>
      </c>
      <c r="N1321" t="s">
        <v>2154</v>
      </c>
      <c r="O1321" t="s">
        <v>46</v>
      </c>
      <c r="P1321" t="s">
        <v>46</v>
      </c>
      <c r="Y1321" t="s">
        <v>4512</v>
      </c>
    </row>
    <row r="1322" spans="1:25">
      <c r="A1322" t="s">
        <v>4513</v>
      </c>
      <c r="B1322" t="s">
        <v>4514</v>
      </c>
      <c r="D1322" t="s">
        <v>40</v>
      </c>
      <c r="E1322" t="s">
        <v>41</v>
      </c>
      <c r="J1322" t="s">
        <v>42</v>
      </c>
      <c r="K1322" t="s">
        <v>43</v>
      </c>
      <c r="L1322">
        <v>10</v>
      </c>
      <c r="M1322" t="s">
        <v>4493</v>
      </c>
      <c r="N1322" t="s">
        <v>752</v>
      </c>
      <c r="O1322" t="s">
        <v>46</v>
      </c>
      <c r="P1322" t="s">
        <v>46</v>
      </c>
      <c r="Y1322" t="s">
        <v>4515</v>
      </c>
    </row>
    <row r="1323" spans="1:25">
      <c r="A1323" t="s">
        <v>4516</v>
      </c>
      <c r="B1323" t="s">
        <v>4517</v>
      </c>
      <c r="D1323" t="s">
        <v>40</v>
      </c>
      <c r="E1323" t="s">
        <v>41</v>
      </c>
      <c r="J1323" t="s">
        <v>76</v>
      </c>
      <c r="K1323" t="s">
        <v>77</v>
      </c>
      <c r="L1323">
        <v>11</v>
      </c>
      <c r="M1323" t="s">
        <v>4518</v>
      </c>
      <c r="N1323" t="s">
        <v>64</v>
      </c>
      <c r="O1323" t="s">
        <v>46</v>
      </c>
      <c r="P1323" t="s">
        <v>46</v>
      </c>
      <c r="Y1323" t="s">
        <v>4519</v>
      </c>
    </row>
    <row r="1324" spans="1:25">
      <c r="A1324" t="s">
        <v>4520</v>
      </c>
      <c r="B1324" t="s">
        <v>4521</v>
      </c>
      <c r="D1324" t="s">
        <v>40</v>
      </c>
      <c r="E1324" t="s">
        <v>41</v>
      </c>
      <c r="J1324" t="s">
        <v>182</v>
      </c>
      <c r="K1324" t="s">
        <v>183</v>
      </c>
      <c r="L1324">
        <v>11</v>
      </c>
      <c r="M1324" t="s">
        <v>4518</v>
      </c>
      <c r="N1324" t="s">
        <v>64</v>
      </c>
      <c r="O1324" t="s">
        <v>46</v>
      </c>
      <c r="P1324" t="s">
        <v>46</v>
      </c>
      <c r="Y1324" t="s">
        <v>4522</v>
      </c>
    </row>
    <row r="1325" spans="1:25">
      <c r="A1325" t="s">
        <v>4523</v>
      </c>
      <c r="B1325" t="s">
        <v>4524</v>
      </c>
      <c r="D1325" t="s">
        <v>40</v>
      </c>
      <c r="E1325" t="s">
        <v>41</v>
      </c>
      <c r="J1325" t="s">
        <v>68</v>
      </c>
      <c r="K1325" t="s">
        <v>69</v>
      </c>
      <c r="L1325">
        <v>11</v>
      </c>
      <c r="M1325" t="s">
        <v>4518</v>
      </c>
      <c r="N1325" t="s">
        <v>64</v>
      </c>
      <c r="O1325" t="s">
        <v>46</v>
      </c>
      <c r="P1325" t="s">
        <v>46</v>
      </c>
      <c r="Y1325" t="s">
        <v>4525</v>
      </c>
    </row>
    <row r="1326" spans="1:25">
      <c r="A1326" t="s">
        <v>4526</v>
      </c>
      <c r="B1326" t="s">
        <v>4527</v>
      </c>
      <c r="D1326" t="s">
        <v>40</v>
      </c>
      <c r="E1326" t="s">
        <v>41</v>
      </c>
      <c r="J1326" t="s">
        <v>42</v>
      </c>
      <c r="K1326" t="s">
        <v>43</v>
      </c>
      <c r="L1326">
        <v>11</v>
      </c>
      <c r="M1326" t="s">
        <v>4528</v>
      </c>
      <c r="N1326" t="s">
        <v>173</v>
      </c>
      <c r="O1326" t="s">
        <v>46</v>
      </c>
      <c r="P1326" t="s">
        <v>46</v>
      </c>
      <c r="Y1326" t="s">
        <v>4529</v>
      </c>
    </row>
    <row r="1327" spans="1:25">
      <c r="A1327" t="s">
        <v>4530</v>
      </c>
      <c r="B1327" t="s">
        <v>4531</v>
      </c>
      <c r="D1327" t="s">
        <v>40</v>
      </c>
      <c r="E1327" t="s">
        <v>41</v>
      </c>
      <c r="J1327" t="s">
        <v>248</v>
      </c>
      <c r="K1327" t="s">
        <v>249</v>
      </c>
      <c r="L1327">
        <v>11</v>
      </c>
      <c r="M1327" t="s">
        <v>4528</v>
      </c>
      <c r="N1327" t="s">
        <v>1397</v>
      </c>
      <c r="O1327" t="s">
        <v>46</v>
      </c>
      <c r="P1327" t="s">
        <v>46</v>
      </c>
      <c r="Y1327" t="s">
        <v>4532</v>
      </c>
    </row>
    <row r="1328" spans="1:25">
      <c r="A1328" t="s">
        <v>4533</v>
      </c>
      <c r="B1328" t="s">
        <v>4534</v>
      </c>
      <c r="D1328" t="s">
        <v>40</v>
      </c>
      <c r="E1328" t="s">
        <v>41</v>
      </c>
      <c r="J1328" t="s">
        <v>182</v>
      </c>
      <c r="K1328" t="s">
        <v>183</v>
      </c>
      <c r="L1328">
        <v>11</v>
      </c>
      <c r="M1328" t="s">
        <v>4528</v>
      </c>
      <c r="N1328" t="s">
        <v>64</v>
      </c>
      <c r="O1328" t="s">
        <v>46</v>
      </c>
      <c r="P1328" t="s">
        <v>46</v>
      </c>
      <c r="Y1328" t="s">
        <v>4535</v>
      </c>
    </row>
    <row r="1329" spans="1:25">
      <c r="A1329" t="s">
        <v>4536</v>
      </c>
      <c r="B1329" t="s">
        <v>4537</v>
      </c>
      <c r="D1329" t="s">
        <v>40</v>
      </c>
      <c r="E1329" t="s">
        <v>41</v>
      </c>
      <c r="J1329" t="s">
        <v>68</v>
      </c>
      <c r="K1329" t="s">
        <v>69</v>
      </c>
      <c r="L1329">
        <v>11</v>
      </c>
      <c r="M1329" t="s">
        <v>4528</v>
      </c>
      <c r="N1329" t="s">
        <v>64</v>
      </c>
      <c r="O1329" t="s">
        <v>46</v>
      </c>
      <c r="P1329" t="s">
        <v>46</v>
      </c>
      <c r="Y1329" t="s">
        <v>4538</v>
      </c>
    </row>
    <row r="1330" spans="1:25">
      <c r="A1330" t="s">
        <v>4539</v>
      </c>
      <c r="B1330" t="s">
        <v>4540</v>
      </c>
      <c r="D1330" t="s">
        <v>40</v>
      </c>
      <c r="E1330" t="s">
        <v>41</v>
      </c>
      <c r="J1330" t="s">
        <v>68</v>
      </c>
      <c r="K1330" t="s">
        <v>69</v>
      </c>
      <c r="L1330">
        <v>11</v>
      </c>
      <c r="M1330" t="s">
        <v>4528</v>
      </c>
      <c r="N1330" t="s">
        <v>64</v>
      </c>
      <c r="O1330" t="s">
        <v>46</v>
      </c>
      <c r="P1330" t="s">
        <v>46</v>
      </c>
      <c r="Y1330" t="s">
        <v>4541</v>
      </c>
    </row>
    <row r="1331" spans="1:25">
      <c r="A1331" t="s">
        <v>4542</v>
      </c>
      <c r="B1331" t="s">
        <v>4543</v>
      </c>
      <c r="D1331" t="s">
        <v>40</v>
      </c>
      <c r="E1331" t="s">
        <v>41</v>
      </c>
      <c r="J1331" t="s">
        <v>68</v>
      </c>
      <c r="K1331" t="s">
        <v>69</v>
      </c>
      <c r="L1331">
        <v>11</v>
      </c>
      <c r="M1331" t="s">
        <v>4544</v>
      </c>
      <c r="N1331" t="s">
        <v>64</v>
      </c>
      <c r="O1331" t="s">
        <v>46</v>
      </c>
      <c r="P1331" t="s">
        <v>46</v>
      </c>
      <c r="Y1331" t="s">
        <v>4545</v>
      </c>
    </row>
    <row r="1332" spans="1:25">
      <c r="A1332" t="s">
        <v>4546</v>
      </c>
      <c r="B1332" t="s">
        <v>4547</v>
      </c>
      <c r="D1332" t="s">
        <v>40</v>
      </c>
      <c r="E1332" t="s">
        <v>41</v>
      </c>
      <c r="J1332" t="s">
        <v>68</v>
      </c>
      <c r="K1332" t="s">
        <v>69</v>
      </c>
      <c r="L1332">
        <v>11</v>
      </c>
      <c r="M1332" t="s">
        <v>4544</v>
      </c>
      <c r="N1332" t="s">
        <v>64</v>
      </c>
      <c r="O1332" t="s">
        <v>46</v>
      </c>
      <c r="P1332" t="s">
        <v>46</v>
      </c>
      <c r="Y1332" t="s">
        <v>4548</v>
      </c>
    </row>
    <row r="1333" spans="1:25">
      <c r="A1333" t="s">
        <v>4549</v>
      </c>
      <c r="B1333" t="s">
        <v>4550</v>
      </c>
      <c r="D1333" t="s">
        <v>40</v>
      </c>
      <c r="E1333" t="s">
        <v>41</v>
      </c>
      <c r="J1333" t="s">
        <v>182</v>
      </c>
      <c r="K1333" t="s">
        <v>183</v>
      </c>
      <c r="L1333">
        <v>11</v>
      </c>
      <c r="M1333" t="s">
        <v>4551</v>
      </c>
      <c r="N1333" t="s">
        <v>64</v>
      </c>
      <c r="O1333" t="s">
        <v>46</v>
      </c>
      <c r="P1333" t="s">
        <v>46</v>
      </c>
      <c r="Y1333" t="s">
        <v>4552</v>
      </c>
    </row>
    <row r="1334" spans="1:25">
      <c r="A1334" t="s">
        <v>4553</v>
      </c>
      <c r="B1334" t="s">
        <v>4554</v>
      </c>
      <c r="D1334" t="s">
        <v>40</v>
      </c>
      <c r="E1334" t="s">
        <v>41</v>
      </c>
      <c r="J1334" t="s">
        <v>182</v>
      </c>
      <c r="K1334" t="s">
        <v>183</v>
      </c>
      <c r="L1334">
        <v>11</v>
      </c>
      <c r="M1334" t="s">
        <v>4551</v>
      </c>
      <c r="N1334" t="s">
        <v>64</v>
      </c>
      <c r="O1334" t="s">
        <v>46</v>
      </c>
      <c r="P1334" t="s">
        <v>46</v>
      </c>
      <c r="Y1334" t="s">
        <v>4555</v>
      </c>
    </row>
    <row r="1335" spans="1:25">
      <c r="A1335" t="s">
        <v>4556</v>
      </c>
      <c r="B1335" t="s">
        <v>4557</v>
      </c>
      <c r="D1335" t="s">
        <v>40</v>
      </c>
      <c r="E1335" t="s">
        <v>41</v>
      </c>
      <c r="J1335" t="s">
        <v>76</v>
      </c>
      <c r="K1335" t="s">
        <v>77</v>
      </c>
      <c r="L1335">
        <v>11</v>
      </c>
      <c r="M1335" t="s">
        <v>4551</v>
      </c>
      <c r="N1335" t="s">
        <v>64</v>
      </c>
      <c r="O1335" t="s">
        <v>46</v>
      </c>
      <c r="P1335" t="s">
        <v>46</v>
      </c>
      <c r="Y1335" t="s">
        <v>4558</v>
      </c>
    </row>
    <row r="1336" spans="1:25">
      <c r="A1336" t="s">
        <v>4559</v>
      </c>
      <c r="B1336" t="s">
        <v>4560</v>
      </c>
      <c r="D1336" t="s">
        <v>40</v>
      </c>
      <c r="E1336" t="s">
        <v>41</v>
      </c>
      <c r="J1336" t="s">
        <v>1214</v>
      </c>
      <c r="K1336" t="s">
        <v>1215</v>
      </c>
      <c r="L1336">
        <v>3</v>
      </c>
      <c r="M1336" t="s">
        <v>4561</v>
      </c>
      <c r="N1336" t="s">
        <v>142</v>
      </c>
      <c r="O1336" t="s">
        <v>46</v>
      </c>
      <c r="P1336" t="s">
        <v>46</v>
      </c>
      <c r="Y1336" t="s">
        <v>4562</v>
      </c>
    </row>
    <row r="1337" spans="1:25">
      <c r="A1337" t="s">
        <v>4563</v>
      </c>
      <c r="B1337" t="s">
        <v>4564</v>
      </c>
      <c r="D1337" t="s">
        <v>40</v>
      </c>
      <c r="E1337" t="s">
        <v>41</v>
      </c>
      <c r="J1337" t="s">
        <v>182</v>
      </c>
      <c r="K1337" t="s">
        <v>183</v>
      </c>
      <c r="L1337">
        <v>11</v>
      </c>
      <c r="M1337" t="s">
        <v>4565</v>
      </c>
      <c r="N1337" t="s">
        <v>64</v>
      </c>
      <c r="O1337" t="s">
        <v>46</v>
      </c>
      <c r="P1337" t="s">
        <v>46</v>
      </c>
      <c r="Y1337" t="s">
        <v>4566</v>
      </c>
    </row>
    <row r="1338" spans="1:25">
      <c r="A1338" t="s">
        <v>4567</v>
      </c>
      <c r="B1338" t="s">
        <v>4568</v>
      </c>
      <c r="D1338" t="s">
        <v>40</v>
      </c>
      <c r="E1338" t="s">
        <v>41</v>
      </c>
      <c r="J1338" t="s">
        <v>76</v>
      </c>
      <c r="K1338" t="s">
        <v>77</v>
      </c>
      <c r="L1338">
        <v>11</v>
      </c>
      <c r="M1338" t="s">
        <v>4565</v>
      </c>
      <c r="N1338" t="s">
        <v>64</v>
      </c>
      <c r="O1338" t="s">
        <v>46</v>
      </c>
      <c r="P1338" t="s">
        <v>46</v>
      </c>
      <c r="Y1338" t="s">
        <v>4569</v>
      </c>
    </row>
    <row r="1339" spans="1:25">
      <c r="A1339" t="s">
        <v>4570</v>
      </c>
      <c r="B1339" t="s">
        <v>4571</v>
      </c>
      <c r="D1339" t="s">
        <v>40</v>
      </c>
      <c r="E1339" t="s">
        <v>41</v>
      </c>
      <c r="J1339" t="s">
        <v>182</v>
      </c>
      <c r="K1339" t="s">
        <v>183</v>
      </c>
      <c r="L1339">
        <v>11</v>
      </c>
      <c r="M1339" t="s">
        <v>4565</v>
      </c>
      <c r="N1339" t="s">
        <v>64</v>
      </c>
      <c r="O1339" t="s">
        <v>46</v>
      </c>
      <c r="P1339" t="s">
        <v>46</v>
      </c>
      <c r="Y1339" t="s">
        <v>4572</v>
      </c>
    </row>
    <row r="1340" spans="1:25">
      <c r="A1340" t="s">
        <v>4573</v>
      </c>
      <c r="B1340" t="s">
        <v>4574</v>
      </c>
      <c r="D1340" t="s">
        <v>40</v>
      </c>
      <c r="E1340" t="s">
        <v>41</v>
      </c>
      <c r="J1340" t="s">
        <v>1142</v>
      </c>
      <c r="K1340" t="s">
        <v>1143</v>
      </c>
      <c r="L1340">
        <v>11</v>
      </c>
      <c r="M1340" t="s">
        <v>4565</v>
      </c>
      <c r="N1340" t="s">
        <v>165</v>
      </c>
      <c r="O1340" t="s">
        <v>46</v>
      </c>
      <c r="P1340" t="s">
        <v>46</v>
      </c>
      <c r="Y1340" t="s">
        <v>4575</v>
      </c>
    </row>
    <row r="1341" spans="1:25">
      <c r="A1341" t="s">
        <v>4576</v>
      </c>
      <c r="B1341" t="s">
        <v>4577</v>
      </c>
      <c r="D1341" t="s">
        <v>40</v>
      </c>
      <c r="E1341" t="s">
        <v>41</v>
      </c>
      <c r="J1341" t="s">
        <v>68</v>
      </c>
      <c r="K1341" t="s">
        <v>69</v>
      </c>
      <c r="L1341">
        <v>11</v>
      </c>
      <c r="M1341" t="s">
        <v>4565</v>
      </c>
      <c r="N1341" t="s">
        <v>64</v>
      </c>
      <c r="O1341" t="s">
        <v>46</v>
      </c>
      <c r="P1341" t="s">
        <v>46</v>
      </c>
      <c r="Y1341" t="s">
        <v>4578</v>
      </c>
    </row>
    <row r="1342" spans="1:25">
      <c r="A1342" t="s">
        <v>4579</v>
      </c>
      <c r="B1342" t="s">
        <v>4580</v>
      </c>
      <c r="D1342" t="s">
        <v>40</v>
      </c>
      <c r="E1342" t="s">
        <v>41</v>
      </c>
      <c r="J1342" t="s">
        <v>42</v>
      </c>
      <c r="K1342" t="s">
        <v>43</v>
      </c>
      <c r="L1342">
        <v>11</v>
      </c>
      <c r="M1342" t="s">
        <v>4565</v>
      </c>
      <c r="N1342" t="s">
        <v>296</v>
      </c>
      <c r="O1342" t="s">
        <v>46</v>
      </c>
      <c r="P1342" t="s">
        <v>46</v>
      </c>
      <c r="Y1342" t="s">
        <v>4581</v>
      </c>
    </row>
    <row r="1343" spans="1:25">
      <c r="A1343" t="s">
        <v>4582</v>
      </c>
      <c r="B1343" t="s">
        <v>4583</v>
      </c>
      <c r="D1343" t="s">
        <v>40</v>
      </c>
      <c r="E1343" t="s">
        <v>41</v>
      </c>
      <c r="J1343" t="s">
        <v>182</v>
      </c>
      <c r="K1343" t="s">
        <v>183</v>
      </c>
      <c r="L1343">
        <v>11</v>
      </c>
      <c r="M1343" t="s">
        <v>4565</v>
      </c>
      <c r="N1343" t="s">
        <v>64</v>
      </c>
      <c r="O1343" t="s">
        <v>46</v>
      </c>
      <c r="P1343" t="s">
        <v>46</v>
      </c>
      <c r="Y1343" t="s">
        <v>4584</v>
      </c>
    </row>
    <row r="1344" spans="1:25">
      <c r="A1344" t="s">
        <v>4585</v>
      </c>
      <c r="B1344" t="s">
        <v>4586</v>
      </c>
      <c r="D1344" t="s">
        <v>40</v>
      </c>
      <c r="E1344" t="s">
        <v>41</v>
      </c>
      <c r="J1344" t="s">
        <v>62</v>
      </c>
      <c r="K1344" t="s">
        <v>63</v>
      </c>
      <c r="L1344">
        <v>11</v>
      </c>
      <c r="M1344" t="s">
        <v>4587</v>
      </c>
      <c r="N1344" t="s">
        <v>64</v>
      </c>
      <c r="O1344" t="s">
        <v>46</v>
      </c>
      <c r="P1344" t="s">
        <v>46</v>
      </c>
      <c r="Y1344" t="s">
        <v>4588</v>
      </c>
    </row>
    <row r="1345" spans="1:25">
      <c r="A1345" t="s">
        <v>4589</v>
      </c>
      <c r="B1345" t="s">
        <v>4590</v>
      </c>
      <c r="D1345" t="s">
        <v>40</v>
      </c>
      <c r="E1345" t="s">
        <v>41</v>
      </c>
      <c r="J1345" t="s">
        <v>42</v>
      </c>
      <c r="K1345" t="s">
        <v>43</v>
      </c>
      <c r="L1345">
        <v>11</v>
      </c>
      <c r="M1345" t="s">
        <v>4587</v>
      </c>
      <c r="N1345" t="s">
        <v>950</v>
      </c>
      <c r="O1345" t="s">
        <v>46</v>
      </c>
      <c r="P1345" t="s">
        <v>46</v>
      </c>
      <c r="Y1345" t="s">
        <v>4591</v>
      </c>
    </row>
    <row r="1346" spans="1:25">
      <c r="A1346" t="s">
        <v>4592</v>
      </c>
      <c r="B1346" t="s">
        <v>4593</v>
      </c>
      <c r="D1346" t="s">
        <v>40</v>
      </c>
      <c r="E1346" t="s">
        <v>41</v>
      </c>
      <c r="J1346" t="s">
        <v>68</v>
      </c>
      <c r="K1346" t="s">
        <v>69</v>
      </c>
      <c r="L1346">
        <v>11</v>
      </c>
      <c r="M1346" t="s">
        <v>4587</v>
      </c>
      <c r="N1346" t="s">
        <v>64</v>
      </c>
      <c r="O1346" t="s">
        <v>46</v>
      </c>
      <c r="P1346" t="s">
        <v>46</v>
      </c>
      <c r="Y1346" t="s">
        <v>4594</v>
      </c>
    </row>
    <row r="1347" spans="1:25">
      <c r="A1347" t="s">
        <v>4595</v>
      </c>
      <c r="B1347" t="s">
        <v>4596</v>
      </c>
      <c r="D1347" t="s">
        <v>40</v>
      </c>
      <c r="E1347" t="s">
        <v>41</v>
      </c>
      <c r="J1347" t="s">
        <v>76</v>
      </c>
      <c r="K1347" t="s">
        <v>77</v>
      </c>
      <c r="L1347">
        <v>11</v>
      </c>
      <c r="M1347" t="s">
        <v>4597</v>
      </c>
      <c r="N1347" t="s">
        <v>64</v>
      </c>
      <c r="O1347" t="s">
        <v>46</v>
      </c>
      <c r="P1347" t="s">
        <v>46</v>
      </c>
      <c r="Y1347" t="s">
        <v>4598</v>
      </c>
    </row>
    <row r="1348" spans="1:25">
      <c r="A1348" t="s">
        <v>4599</v>
      </c>
      <c r="B1348" t="s">
        <v>4600</v>
      </c>
      <c r="D1348" t="s">
        <v>40</v>
      </c>
      <c r="E1348" t="s">
        <v>41</v>
      </c>
      <c r="J1348" t="s">
        <v>68</v>
      </c>
      <c r="K1348" t="s">
        <v>69</v>
      </c>
      <c r="L1348">
        <v>11</v>
      </c>
      <c r="M1348" t="s">
        <v>4597</v>
      </c>
      <c r="N1348" t="s">
        <v>64</v>
      </c>
      <c r="O1348" t="s">
        <v>46</v>
      </c>
      <c r="P1348" t="s">
        <v>46</v>
      </c>
      <c r="Y1348" t="s">
        <v>4601</v>
      </c>
    </row>
    <row r="1349" spans="1:25">
      <c r="A1349" t="s">
        <v>4602</v>
      </c>
      <c r="B1349" t="s">
        <v>4603</v>
      </c>
      <c r="D1349" t="s">
        <v>40</v>
      </c>
      <c r="E1349" t="s">
        <v>41</v>
      </c>
      <c r="J1349" t="s">
        <v>68</v>
      </c>
      <c r="K1349" t="s">
        <v>69</v>
      </c>
      <c r="L1349">
        <v>11</v>
      </c>
      <c r="M1349" t="s">
        <v>4604</v>
      </c>
      <c r="N1349" t="s">
        <v>64</v>
      </c>
      <c r="O1349" t="s">
        <v>46</v>
      </c>
      <c r="P1349" t="s">
        <v>46</v>
      </c>
      <c r="Y1349" t="s">
        <v>4605</v>
      </c>
    </row>
    <row r="1350" spans="1:25">
      <c r="A1350" t="s">
        <v>4606</v>
      </c>
      <c r="B1350" t="s">
        <v>4607</v>
      </c>
      <c r="D1350" t="s">
        <v>40</v>
      </c>
      <c r="E1350" t="s">
        <v>41</v>
      </c>
      <c r="J1350" t="s">
        <v>182</v>
      </c>
      <c r="K1350" t="s">
        <v>183</v>
      </c>
      <c r="L1350">
        <v>11</v>
      </c>
      <c r="M1350" t="s">
        <v>4604</v>
      </c>
      <c r="N1350" t="s">
        <v>64</v>
      </c>
      <c r="O1350" t="s">
        <v>46</v>
      </c>
      <c r="P1350" t="s">
        <v>46</v>
      </c>
      <c r="Y1350" t="s">
        <v>4608</v>
      </c>
    </row>
    <row r="1351" spans="1:25">
      <c r="A1351" t="s">
        <v>4609</v>
      </c>
      <c r="B1351" t="s">
        <v>4610</v>
      </c>
      <c r="D1351" t="s">
        <v>40</v>
      </c>
      <c r="E1351" t="s">
        <v>41</v>
      </c>
      <c r="J1351" t="s">
        <v>76</v>
      </c>
      <c r="K1351" t="s">
        <v>77</v>
      </c>
      <c r="L1351">
        <v>11</v>
      </c>
      <c r="M1351" t="s">
        <v>4604</v>
      </c>
      <c r="N1351" t="s">
        <v>64</v>
      </c>
      <c r="O1351" t="s">
        <v>46</v>
      </c>
      <c r="P1351" t="s">
        <v>46</v>
      </c>
      <c r="Y1351" t="s">
        <v>4611</v>
      </c>
    </row>
    <row r="1352" spans="1:25">
      <c r="A1352" t="s">
        <v>4612</v>
      </c>
      <c r="B1352" t="s">
        <v>4613</v>
      </c>
      <c r="D1352" t="s">
        <v>40</v>
      </c>
      <c r="E1352" t="s">
        <v>41</v>
      </c>
      <c r="J1352" t="s">
        <v>42</v>
      </c>
      <c r="K1352" t="s">
        <v>43</v>
      </c>
      <c r="L1352">
        <v>11</v>
      </c>
      <c r="M1352" t="s">
        <v>4604</v>
      </c>
      <c r="N1352" t="s">
        <v>924</v>
      </c>
      <c r="O1352" t="s">
        <v>46</v>
      </c>
      <c r="P1352" t="s">
        <v>46</v>
      </c>
      <c r="Y1352" t="s">
        <v>4614</v>
      </c>
    </row>
    <row r="1353" spans="1:25">
      <c r="A1353" t="s">
        <v>4615</v>
      </c>
      <c r="B1353" t="s">
        <v>4616</v>
      </c>
      <c r="D1353" t="s">
        <v>40</v>
      </c>
      <c r="E1353" t="s">
        <v>41</v>
      </c>
      <c r="J1353" t="s">
        <v>76</v>
      </c>
      <c r="K1353" t="s">
        <v>77</v>
      </c>
      <c r="L1353">
        <v>11</v>
      </c>
      <c r="M1353" t="s">
        <v>4604</v>
      </c>
      <c r="N1353" t="s">
        <v>64</v>
      </c>
      <c r="O1353" t="s">
        <v>46</v>
      </c>
      <c r="P1353" t="s">
        <v>46</v>
      </c>
      <c r="Y1353" t="s">
        <v>4617</v>
      </c>
    </row>
    <row r="1354" spans="1:25">
      <c r="A1354" t="s">
        <v>4618</v>
      </c>
      <c r="B1354" t="s">
        <v>4619</v>
      </c>
      <c r="D1354" t="s">
        <v>40</v>
      </c>
      <c r="E1354" t="s">
        <v>41</v>
      </c>
      <c r="J1354" t="s">
        <v>182</v>
      </c>
      <c r="K1354" t="s">
        <v>183</v>
      </c>
      <c r="L1354">
        <v>11</v>
      </c>
      <c r="M1354" t="s">
        <v>4620</v>
      </c>
      <c r="N1354" t="s">
        <v>64</v>
      </c>
      <c r="O1354" t="s">
        <v>46</v>
      </c>
      <c r="P1354" t="s">
        <v>46</v>
      </c>
      <c r="Y1354" t="s">
        <v>4621</v>
      </c>
    </row>
    <row r="1355" spans="1:25">
      <c r="A1355" t="s">
        <v>4622</v>
      </c>
      <c r="B1355" t="s">
        <v>4623</v>
      </c>
      <c r="D1355" t="s">
        <v>40</v>
      </c>
      <c r="E1355" t="s">
        <v>41</v>
      </c>
      <c r="J1355" t="s">
        <v>68</v>
      </c>
      <c r="K1355" t="s">
        <v>69</v>
      </c>
      <c r="L1355">
        <v>11</v>
      </c>
      <c r="M1355" t="s">
        <v>4620</v>
      </c>
      <c r="N1355" t="s">
        <v>64</v>
      </c>
      <c r="O1355" t="s">
        <v>46</v>
      </c>
      <c r="P1355" t="s">
        <v>46</v>
      </c>
      <c r="Y1355" t="s">
        <v>4624</v>
      </c>
    </row>
    <row r="1356" spans="1:25">
      <c r="A1356" t="s">
        <v>4625</v>
      </c>
      <c r="B1356" t="s">
        <v>4626</v>
      </c>
      <c r="D1356" t="s">
        <v>40</v>
      </c>
      <c r="E1356" t="s">
        <v>41</v>
      </c>
      <c r="J1356" t="s">
        <v>182</v>
      </c>
      <c r="K1356" t="s">
        <v>183</v>
      </c>
      <c r="L1356">
        <v>11</v>
      </c>
      <c r="M1356" t="s">
        <v>4620</v>
      </c>
      <c r="N1356" t="s">
        <v>64</v>
      </c>
      <c r="O1356" t="s">
        <v>46</v>
      </c>
      <c r="P1356" t="s">
        <v>46</v>
      </c>
      <c r="Y1356" t="s">
        <v>4627</v>
      </c>
    </row>
    <row r="1357" spans="1:25">
      <c r="A1357" t="s">
        <v>4628</v>
      </c>
      <c r="B1357" t="s">
        <v>4629</v>
      </c>
      <c r="D1357" t="s">
        <v>40</v>
      </c>
      <c r="E1357" t="s">
        <v>41</v>
      </c>
      <c r="J1357" t="s">
        <v>76</v>
      </c>
      <c r="K1357" t="s">
        <v>77</v>
      </c>
      <c r="L1357">
        <v>11</v>
      </c>
      <c r="M1357" t="s">
        <v>4620</v>
      </c>
      <c r="N1357" t="s">
        <v>64</v>
      </c>
      <c r="O1357" t="s">
        <v>46</v>
      </c>
      <c r="P1357" t="s">
        <v>46</v>
      </c>
      <c r="Y1357" t="s">
        <v>4630</v>
      </c>
    </row>
    <row r="1358" spans="1:25">
      <c r="A1358" t="s">
        <v>4631</v>
      </c>
      <c r="B1358" t="s">
        <v>4632</v>
      </c>
      <c r="D1358" t="s">
        <v>40</v>
      </c>
      <c r="E1358" t="s">
        <v>41</v>
      </c>
      <c r="J1358" t="s">
        <v>76</v>
      </c>
      <c r="K1358" t="s">
        <v>77</v>
      </c>
      <c r="L1358">
        <v>11</v>
      </c>
      <c r="M1358" t="s">
        <v>4620</v>
      </c>
      <c r="N1358" t="s">
        <v>64</v>
      </c>
      <c r="O1358" t="s">
        <v>46</v>
      </c>
      <c r="P1358" t="s">
        <v>46</v>
      </c>
      <c r="Y1358" t="s">
        <v>4633</v>
      </c>
    </row>
    <row r="1359" spans="1:25">
      <c r="A1359" t="s">
        <v>4634</v>
      </c>
      <c r="B1359" t="s">
        <v>4635</v>
      </c>
      <c r="D1359" t="s">
        <v>40</v>
      </c>
      <c r="E1359" t="s">
        <v>41</v>
      </c>
      <c r="J1359" t="s">
        <v>50</v>
      </c>
      <c r="K1359" t="s">
        <v>51</v>
      </c>
      <c r="L1359">
        <v>11</v>
      </c>
      <c r="M1359" t="s">
        <v>4620</v>
      </c>
      <c r="N1359" t="s">
        <v>1276</v>
      </c>
      <c r="O1359" t="s">
        <v>46</v>
      </c>
      <c r="P1359" t="s">
        <v>46</v>
      </c>
      <c r="Y1359" t="s">
        <v>4636</v>
      </c>
    </row>
    <row r="1360" spans="1:25">
      <c r="A1360" t="s">
        <v>4637</v>
      </c>
      <c r="B1360" t="s">
        <v>4638</v>
      </c>
      <c r="D1360" t="s">
        <v>40</v>
      </c>
      <c r="E1360" t="s">
        <v>41</v>
      </c>
      <c r="J1360" t="s">
        <v>182</v>
      </c>
      <c r="K1360" t="s">
        <v>183</v>
      </c>
      <c r="L1360">
        <v>11</v>
      </c>
      <c r="M1360" t="s">
        <v>4639</v>
      </c>
      <c r="N1360" t="s">
        <v>64</v>
      </c>
      <c r="O1360" t="s">
        <v>46</v>
      </c>
      <c r="P1360" t="s">
        <v>46</v>
      </c>
      <c r="Y1360" t="s">
        <v>4640</v>
      </c>
    </row>
    <row r="1361" spans="1:25">
      <c r="A1361" t="s">
        <v>4641</v>
      </c>
      <c r="B1361" t="s">
        <v>4642</v>
      </c>
      <c r="D1361" t="s">
        <v>40</v>
      </c>
      <c r="E1361" t="s">
        <v>41</v>
      </c>
      <c r="J1361" t="s">
        <v>182</v>
      </c>
      <c r="K1361" t="s">
        <v>183</v>
      </c>
      <c r="L1361">
        <v>11</v>
      </c>
      <c r="M1361" t="s">
        <v>4639</v>
      </c>
      <c r="N1361" t="s">
        <v>64</v>
      </c>
      <c r="O1361" t="s">
        <v>46</v>
      </c>
      <c r="P1361" t="s">
        <v>46</v>
      </c>
      <c r="Y1361" t="s">
        <v>4643</v>
      </c>
    </row>
    <row r="1362" spans="1:25">
      <c r="A1362" t="s">
        <v>4644</v>
      </c>
      <c r="B1362" t="s">
        <v>4645</v>
      </c>
      <c r="D1362" t="s">
        <v>40</v>
      </c>
      <c r="E1362" t="s">
        <v>41</v>
      </c>
      <c r="J1362" t="s">
        <v>1997</v>
      </c>
      <c r="K1362" t="s">
        <v>1998</v>
      </c>
      <c r="L1362">
        <v>11</v>
      </c>
      <c r="M1362" t="s">
        <v>4639</v>
      </c>
      <c r="N1362" t="s">
        <v>1392</v>
      </c>
      <c r="O1362" t="s">
        <v>46</v>
      </c>
      <c r="P1362" t="s">
        <v>46</v>
      </c>
      <c r="Y1362" t="s">
        <v>4646</v>
      </c>
    </row>
    <row r="1363" spans="1:25">
      <c r="A1363" t="s">
        <v>4647</v>
      </c>
      <c r="B1363" t="s">
        <v>4648</v>
      </c>
      <c r="D1363" t="s">
        <v>40</v>
      </c>
      <c r="E1363" t="s">
        <v>41</v>
      </c>
      <c r="J1363" t="s">
        <v>182</v>
      </c>
      <c r="K1363" t="s">
        <v>183</v>
      </c>
      <c r="L1363">
        <v>11</v>
      </c>
      <c r="M1363" t="s">
        <v>4639</v>
      </c>
      <c r="N1363" t="s">
        <v>64</v>
      </c>
      <c r="O1363" t="s">
        <v>46</v>
      </c>
      <c r="P1363" t="s">
        <v>46</v>
      </c>
      <c r="Y1363" t="s">
        <v>4649</v>
      </c>
    </row>
    <row r="1364" spans="1:25">
      <c r="A1364" t="s">
        <v>4650</v>
      </c>
      <c r="B1364" t="s">
        <v>4651</v>
      </c>
      <c r="D1364" t="s">
        <v>40</v>
      </c>
      <c r="E1364" t="s">
        <v>41</v>
      </c>
      <c r="J1364" t="s">
        <v>68</v>
      </c>
      <c r="K1364" t="s">
        <v>69</v>
      </c>
      <c r="L1364">
        <v>11</v>
      </c>
      <c r="M1364" t="s">
        <v>4639</v>
      </c>
      <c r="N1364" t="s">
        <v>64</v>
      </c>
      <c r="O1364" t="s">
        <v>46</v>
      </c>
      <c r="P1364" t="s">
        <v>46</v>
      </c>
      <c r="Y1364" t="s">
        <v>4652</v>
      </c>
    </row>
    <row r="1365" spans="1:25">
      <c r="A1365" t="s">
        <v>4653</v>
      </c>
      <c r="B1365" t="s">
        <v>4654</v>
      </c>
      <c r="D1365" t="s">
        <v>40</v>
      </c>
      <c r="E1365" t="s">
        <v>41</v>
      </c>
      <c r="J1365" t="s">
        <v>68</v>
      </c>
      <c r="K1365" t="s">
        <v>69</v>
      </c>
      <c r="L1365">
        <v>11</v>
      </c>
      <c r="M1365" t="s">
        <v>4639</v>
      </c>
      <c r="N1365" t="s">
        <v>64</v>
      </c>
      <c r="O1365" t="s">
        <v>46</v>
      </c>
      <c r="P1365" t="s">
        <v>46</v>
      </c>
      <c r="Y1365" t="s">
        <v>4655</v>
      </c>
    </row>
    <row r="1366" spans="1:25">
      <c r="A1366" t="s">
        <v>4656</v>
      </c>
      <c r="B1366" t="s">
        <v>4657</v>
      </c>
      <c r="D1366" t="s">
        <v>40</v>
      </c>
      <c r="E1366" t="s">
        <v>41</v>
      </c>
      <c r="J1366" t="s">
        <v>182</v>
      </c>
      <c r="K1366" t="s">
        <v>183</v>
      </c>
      <c r="L1366">
        <v>11</v>
      </c>
      <c r="M1366" t="s">
        <v>4639</v>
      </c>
      <c r="N1366" t="s">
        <v>64</v>
      </c>
      <c r="O1366" t="s">
        <v>46</v>
      </c>
      <c r="P1366" t="s">
        <v>46</v>
      </c>
      <c r="Y1366" t="s">
        <v>4658</v>
      </c>
    </row>
    <row r="1367" spans="1:25">
      <c r="A1367" t="s">
        <v>4659</v>
      </c>
      <c r="B1367" t="s">
        <v>4660</v>
      </c>
      <c r="D1367" t="s">
        <v>40</v>
      </c>
      <c r="E1367" t="s">
        <v>41</v>
      </c>
      <c r="J1367" t="s">
        <v>68</v>
      </c>
      <c r="K1367" t="s">
        <v>69</v>
      </c>
      <c r="L1367">
        <v>11</v>
      </c>
      <c r="M1367" t="s">
        <v>4661</v>
      </c>
      <c r="N1367" t="s">
        <v>64</v>
      </c>
      <c r="O1367" t="s">
        <v>46</v>
      </c>
      <c r="P1367" t="s">
        <v>46</v>
      </c>
      <c r="Y1367" t="s">
        <v>4662</v>
      </c>
    </row>
    <row r="1368" spans="1:25">
      <c r="A1368" t="s">
        <v>4663</v>
      </c>
      <c r="B1368" t="s">
        <v>4664</v>
      </c>
      <c r="D1368" t="s">
        <v>40</v>
      </c>
      <c r="E1368" t="s">
        <v>41</v>
      </c>
      <c r="J1368" t="s">
        <v>182</v>
      </c>
      <c r="K1368" t="s">
        <v>183</v>
      </c>
      <c r="L1368">
        <v>11</v>
      </c>
      <c r="M1368" t="s">
        <v>4661</v>
      </c>
      <c r="N1368" t="s">
        <v>64</v>
      </c>
      <c r="O1368" t="s">
        <v>46</v>
      </c>
      <c r="P1368" t="s">
        <v>46</v>
      </c>
      <c r="Y1368" t="s">
        <v>4665</v>
      </c>
    </row>
    <row r="1369" spans="1:25">
      <c r="A1369" t="s">
        <v>4666</v>
      </c>
      <c r="B1369" t="s">
        <v>4667</v>
      </c>
      <c r="D1369" t="s">
        <v>40</v>
      </c>
      <c r="E1369" t="s">
        <v>41</v>
      </c>
      <c r="J1369" t="s">
        <v>1214</v>
      </c>
      <c r="K1369" t="s">
        <v>1215</v>
      </c>
      <c r="L1369">
        <v>11</v>
      </c>
      <c r="M1369" t="s">
        <v>4668</v>
      </c>
      <c r="N1369" t="s">
        <v>2346</v>
      </c>
      <c r="O1369" t="s">
        <v>46</v>
      </c>
      <c r="P1369" t="s">
        <v>46</v>
      </c>
      <c r="Y1369" t="s">
        <v>4669</v>
      </c>
    </row>
    <row r="1370" spans="1:25">
      <c r="A1370" t="s">
        <v>4670</v>
      </c>
      <c r="B1370" t="s">
        <v>4671</v>
      </c>
      <c r="D1370" t="s">
        <v>40</v>
      </c>
      <c r="E1370" t="s">
        <v>41</v>
      </c>
      <c r="J1370" t="s">
        <v>182</v>
      </c>
      <c r="K1370" t="s">
        <v>183</v>
      </c>
      <c r="L1370">
        <v>11</v>
      </c>
      <c r="M1370" t="s">
        <v>4672</v>
      </c>
      <c r="N1370" t="s">
        <v>64</v>
      </c>
      <c r="O1370" t="s">
        <v>46</v>
      </c>
      <c r="P1370" t="s">
        <v>46</v>
      </c>
      <c r="Y1370" t="s">
        <v>4673</v>
      </c>
    </row>
    <row r="1371" spans="1:25">
      <c r="A1371" t="s">
        <v>4674</v>
      </c>
      <c r="B1371" t="s">
        <v>4675</v>
      </c>
      <c r="D1371" t="s">
        <v>40</v>
      </c>
      <c r="E1371" t="s">
        <v>41</v>
      </c>
      <c r="J1371" t="s">
        <v>62</v>
      </c>
      <c r="K1371" t="s">
        <v>63</v>
      </c>
      <c r="L1371">
        <v>11</v>
      </c>
      <c r="M1371" t="s">
        <v>4676</v>
      </c>
      <c r="N1371" t="s">
        <v>64</v>
      </c>
      <c r="O1371" t="s">
        <v>46</v>
      </c>
      <c r="P1371" t="s">
        <v>46</v>
      </c>
      <c r="Y1371" t="s">
        <v>4677</v>
      </c>
    </row>
    <row r="1372" spans="1:25">
      <c r="A1372" t="s">
        <v>4678</v>
      </c>
      <c r="B1372" t="s">
        <v>4679</v>
      </c>
      <c r="D1372" t="s">
        <v>40</v>
      </c>
      <c r="E1372" t="s">
        <v>41</v>
      </c>
      <c r="J1372" t="s">
        <v>68</v>
      </c>
      <c r="K1372" t="s">
        <v>69</v>
      </c>
      <c r="L1372">
        <v>11</v>
      </c>
      <c r="M1372" t="s">
        <v>4680</v>
      </c>
      <c r="N1372" t="s">
        <v>64</v>
      </c>
      <c r="O1372" t="s">
        <v>46</v>
      </c>
      <c r="P1372" t="s">
        <v>46</v>
      </c>
      <c r="Y1372" t="s">
        <v>4681</v>
      </c>
    </row>
    <row r="1373" spans="1:25">
      <c r="A1373" t="s">
        <v>4682</v>
      </c>
      <c r="B1373" t="s">
        <v>4683</v>
      </c>
      <c r="D1373" t="s">
        <v>40</v>
      </c>
      <c r="E1373" t="s">
        <v>41</v>
      </c>
      <c r="J1373" t="s">
        <v>76</v>
      </c>
      <c r="K1373" t="s">
        <v>77</v>
      </c>
      <c r="L1373">
        <v>11</v>
      </c>
      <c r="M1373" t="s">
        <v>4684</v>
      </c>
      <c r="N1373" t="s">
        <v>64</v>
      </c>
      <c r="O1373" t="s">
        <v>46</v>
      </c>
      <c r="P1373" t="s">
        <v>46</v>
      </c>
      <c r="Y1373" t="s">
        <v>4685</v>
      </c>
    </row>
    <row r="1374" spans="1:25">
      <c r="A1374" t="s">
        <v>4686</v>
      </c>
      <c r="B1374" t="s">
        <v>4687</v>
      </c>
      <c r="D1374" t="s">
        <v>40</v>
      </c>
      <c r="E1374" t="s">
        <v>41</v>
      </c>
      <c r="J1374" t="s">
        <v>182</v>
      </c>
      <c r="K1374" t="s">
        <v>183</v>
      </c>
      <c r="L1374">
        <v>11</v>
      </c>
      <c r="M1374" t="s">
        <v>4684</v>
      </c>
      <c r="N1374" t="s">
        <v>64</v>
      </c>
      <c r="O1374" t="s">
        <v>46</v>
      </c>
      <c r="P1374" t="s">
        <v>46</v>
      </c>
      <c r="Y1374" t="s">
        <v>4688</v>
      </c>
    </row>
    <row r="1375" spans="1:25">
      <c r="A1375" t="s">
        <v>4689</v>
      </c>
      <c r="B1375" t="s">
        <v>4690</v>
      </c>
      <c r="D1375" t="s">
        <v>40</v>
      </c>
      <c r="E1375" t="s">
        <v>41</v>
      </c>
      <c r="J1375" t="s">
        <v>68</v>
      </c>
      <c r="K1375" t="s">
        <v>69</v>
      </c>
      <c r="L1375">
        <v>11</v>
      </c>
      <c r="M1375" t="s">
        <v>4684</v>
      </c>
      <c r="N1375" t="s">
        <v>64</v>
      </c>
      <c r="O1375" t="s">
        <v>46</v>
      </c>
      <c r="P1375" t="s">
        <v>46</v>
      </c>
      <c r="Y1375" t="s">
        <v>4691</v>
      </c>
    </row>
    <row r="1376" spans="1:25">
      <c r="A1376" t="s">
        <v>4692</v>
      </c>
      <c r="B1376" t="s">
        <v>4693</v>
      </c>
      <c r="D1376" t="s">
        <v>40</v>
      </c>
      <c r="E1376" t="s">
        <v>41</v>
      </c>
      <c r="J1376" t="s">
        <v>42</v>
      </c>
      <c r="K1376" t="s">
        <v>43</v>
      </c>
      <c r="L1376">
        <v>11</v>
      </c>
      <c r="M1376" t="s">
        <v>4684</v>
      </c>
      <c r="N1376" t="s">
        <v>509</v>
      </c>
      <c r="O1376" t="s">
        <v>46</v>
      </c>
      <c r="P1376" t="s">
        <v>46</v>
      </c>
      <c r="Y1376" t="s">
        <v>4694</v>
      </c>
    </row>
    <row r="1377" spans="1:25">
      <c r="A1377" t="s">
        <v>4695</v>
      </c>
      <c r="B1377" t="s">
        <v>4696</v>
      </c>
      <c r="D1377" t="s">
        <v>40</v>
      </c>
      <c r="E1377" t="s">
        <v>41</v>
      </c>
      <c r="J1377" t="s">
        <v>139</v>
      </c>
      <c r="K1377" t="s">
        <v>140</v>
      </c>
      <c r="L1377">
        <v>11</v>
      </c>
      <c r="M1377" t="s">
        <v>4684</v>
      </c>
      <c r="N1377" t="s">
        <v>1344</v>
      </c>
      <c r="O1377" t="s">
        <v>46</v>
      </c>
      <c r="P1377" t="s">
        <v>46</v>
      </c>
      <c r="Y1377" t="s">
        <v>4697</v>
      </c>
    </row>
    <row r="1378" spans="1:25">
      <c r="A1378" t="s">
        <v>4698</v>
      </c>
      <c r="B1378" t="s">
        <v>4699</v>
      </c>
      <c r="D1378" t="s">
        <v>40</v>
      </c>
      <c r="E1378" t="s">
        <v>41</v>
      </c>
      <c r="J1378" t="s">
        <v>182</v>
      </c>
      <c r="K1378" t="s">
        <v>183</v>
      </c>
      <c r="L1378">
        <v>11</v>
      </c>
      <c r="M1378" t="s">
        <v>4700</v>
      </c>
      <c r="N1378" t="s">
        <v>64</v>
      </c>
      <c r="O1378" t="s">
        <v>46</v>
      </c>
      <c r="P1378" t="s">
        <v>46</v>
      </c>
      <c r="Y1378" t="s">
        <v>4701</v>
      </c>
    </row>
    <row r="1379" spans="1:25">
      <c r="A1379" t="s">
        <v>4702</v>
      </c>
      <c r="B1379" t="s">
        <v>4703</v>
      </c>
      <c r="D1379" t="s">
        <v>40</v>
      </c>
      <c r="E1379" t="s">
        <v>41</v>
      </c>
      <c r="J1379" t="s">
        <v>76</v>
      </c>
      <c r="K1379" t="s">
        <v>77</v>
      </c>
      <c r="L1379">
        <v>11</v>
      </c>
      <c r="M1379" t="s">
        <v>4700</v>
      </c>
      <c r="N1379" t="s">
        <v>64</v>
      </c>
      <c r="O1379" t="s">
        <v>46</v>
      </c>
      <c r="P1379" t="s">
        <v>46</v>
      </c>
      <c r="Y1379" t="s">
        <v>4704</v>
      </c>
    </row>
    <row r="1380" spans="1:25">
      <c r="A1380" t="s">
        <v>4705</v>
      </c>
      <c r="B1380" t="s">
        <v>4706</v>
      </c>
      <c r="D1380" t="s">
        <v>40</v>
      </c>
      <c r="E1380" t="s">
        <v>41</v>
      </c>
      <c r="J1380" t="s">
        <v>62</v>
      </c>
      <c r="K1380" t="s">
        <v>63</v>
      </c>
      <c r="L1380">
        <v>11</v>
      </c>
      <c r="M1380" t="s">
        <v>4707</v>
      </c>
      <c r="N1380" t="s">
        <v>64</v>
      </c>
      <c r="O1380" t="s">
        <v>46</v>
      </c>
      <c r="P1380" t="s">
        <v>46</v>
      </c>
      <c r="Y1380" t="s">
        <v>4708</v>
      </c>
    </row>
    <row r="1381" spans="1:25">
      <c r="A1381" t="s">
        <v>4709</v>
      </c>
      <c r="B1381" t="s">
        <v>4710</v>
      </c>
      <c r="D1381" t="s">
        <v>40</v>
      </c>
      <c r="E1381" t="s">
        <v>41</v>
      </c>
      <c r="J1381" t="s">
        <v>76</v>
      </c>
      <c r="K1381" t="s">
        <v>77</v>
      </c>
      <c r="L1381">
        <v>11</v>
      </c>
      <c r="M1381" t="s">
        <v>4707</v>
      </c>
      <c r="N1381" t="s">
        <v>64</v>
      </c>
      <c r="O1381" t="s">
        <v>46</v>
      </c>
      <c r="P1381" t="s">
        <v>46</v>
      </c>
      <c r="Y1381" t="s">
        <v>4711</v>
      </c>
    </row>
    <row r="1382" spans="1:25">
      <c r="A1382" t="s">
        <v>4712</v>
      </c>
      <c r="B1382" t="s">
        <v>4713</v>
      </c>
      <c r="D1382" t="s">
        <v>40</v>
      </c>
      <c r="E1382" t="s">
        <v>41</v>
      </c>
      <c r="J1382" t="s">
        <v>68</v>
      </c>
      <c r="K1382" t="s">
        <v>69</v>
      </c>
      <c r="L1382">
        <v>11</v>
      </c>
      <c r="M1382" t="s">
        <v>4714</v>
      </c>
      <c r="N1382" t="s">
        <v>64</v>
      </c>
      <c r="O1382" t="s">
        <v>46</v>
      </c>
      <c r="P1382" t="s">
        <v>46</v>
      </c>
      <c r="Y1382" t="s">
        <v>4715</v>
      </c>
    </row>
    <row r="1383" spans="1:25">
      <c r="A1383" t="s">
        <v>4716</v>
      </c>
      <c r="B1383" t="s">
        <v>4717</v>
      </c>
      <c r="D1383" t="s">
        <v>40</v>
      </c>
      <c r="E1383" t="s">
        <v>41</v>
      </c>
      <c r="J1383" t="s">
        <v>76</v>
      </c>
      <c r="K1383" t="s">
        <v>77</v>
      </c>
      <c r="L1383">
        <v>11</v>
      </c>
      <c r="M1383" t="s">
        <v>4714</v>
      </c>
      <c r="N1383" t="s">
        <v>64</v>
      </c>
      <c r="O1383" t="s">
        <v>46</v>
      </c>
      <c r="P1383" t="s">
        <v>46</v>
      </c>
      <c r="Y1383" t="s">
        <v>4718</v>
      </c>
    </row>
    <row r="1384" spans="1:25">
      <c r="A1384" t="s">
        <v>4719</v>
      </c>
      <c r="B1384" t="s">
        <v>4720</v>
      </c>
      <c r="D1384" t="s">
        <v>40</v>
      </c>
      <c r="E1384" t="s">
        <v>41</v>
      </c>
      <c r="J1384" t="s">
        <v>62</v>
      </c>
      <c r="K1384" t="s">
        <v>63</v>
      </c>
      <c r="L1384">
        <v>11</v>
      </c>
      <c r="M1384" t="s">
        <v>4714</v>
      </c>
      <c r="N1384" t="s">
        <v>64</v>
      </c>
      <c r="O1384" t="s">
        <v>46</v>
      </c>
      <c r="P1384" t="s">
        <v>46</v>
      </c>
      <c r="Y1384" t="s">
        <v>4721</v>
      </c>
    </row>
    <row r="1385" spans="1:25">
      <c r="A1385" t="s">
        <v>4722</v>
      </c>
      <c r="B1385" t="s">
        <v>4723</v>
      </c>
      <c r="D1385" t="s">
        <v>40</v>
      </c>
      <c r="E1385" t="s">
        <v>41</v>
      </c>
      <c r="J1385" t="s">
        <v>68</v>
      </c>
      <c r="K1385" t="s">
        <v>69</v>
      </c>
      <c r="L1385">
        <v>11</v>
      </c>
      <c r="M1385" t="s">
        <v>4724</v>
      </c>
      <c r="N1385" t="s">
        <v>64</v>
      </c>
      <c r="O1385" t="s">
        <v>46</v>
      </c>
      <c r="P1385" t="s">
        <v>46</v>
      </c>
      <c r="Y1385" t="s">
        <v>4725</v>
      </c>
    </row>
    <row r="1386" spans="1:25">
      <c r="A1386" t="s">
        <v>4726</v>
      </c>
      <c r="B1386" t="s">
        <v>4727</v>
      </c>
      <c r="D1386" t="s">
        <v>40</v>
      </c>
      <c r="E1386" t="s">
        <v>41</v>
      </c>
      <c r="J1386" t="s">
        <v>68</v>
      </c>
      <c r="K1386" t="s">
        <v>69</v>
      </c>
      <c r="L1386">
        <v>11</v>
      </c>
      <c r="M1386" t="s">
        <v>4724</v>
      </c>
      <c r="N1386" t="s">
        <v>64</v>
      </c>
      <c r="O1386" t="s">
        <v>46</v>
      </c>
      <c r="P1386" t="s">
        <v>46</v>
      </c>
      <c r="Y1386" t="s">
        <v>4728</v>
      </c>
    </row>
    <row r="1387" spans="1:25">
      <c r="A1387" t="s">
        <v>4729</v>
      </c>
      <c r="B1387" t="s">
        <v>4730</v>
      </c>
      <c r="D1387" t="s">
        <v>40</v>
      </c>
      <c r="E1387" t="s">
        <v>41</v>
      </c>
      <c r="J1387" t="s">
        <v>182</v>
      </c>
      <c r="K1387" t="s">
        <v>183</v>
      </c>
      <c r="L1387">
        <v>11</v>
      </c>
      <c r="M1387" t="s">
        <v>4724</v>
      </c>
      <c r="N1387" t="s">
        <v>64</v>
      </c>
      <c r="O1387" t="s">
        <v>46</v>
      </c>
      <c r="P1387" t="s">
        <v>46</v>
      </c>
      <c r="Y1387" t="s">
        <v>4731</v>
      </c>
    </row>
    <row r="1388" spans="1:25">
      <c r="A1388" t="s">
        <v>4732</v>
      </c>
      <c r="B1388" t="s">
        <v>4733</v>
      </c>
      <c r="D1388" t="s">
        <v>40</v>
      </c>
      <c r="E1388" t="s">
        <v>41</v>
      </c>
      <c r="J1388" t="s">
        <v>182</v>
      </c>
      <c r="K1388" t="s">
        <v>183</v>
      </c>
      <c r="L1388">
        <v>11</v>
      </c>
      <c r="M1388" t="s">
        <v>4734</v>
      </c>
      <c r="N1388" t="s">
        <v>64</v>
      </c>
      <c r="O1388" t="s">
        <v>46</v>
      </c>
      <c r="P1388" t="s">
        <v>46</v>
      </c>
      <c r="Y1388" t="s">
        <v>4735</v>
      </c>
    </row>
    <row r="1389" spans="1:25">
      <c r="A1389" t="s">
        <v>4736</v>
      </c>
      <c r="B1389" t="s">
        <v>4737</v>
      </c>
      <c r="D1389" t="s">
        <v>40</v>
      </c>
      <c r="E1389" t="s">
        <v>41</v>
      </c>
      <c r="J1389" t="s">
        <v>68</v>
      </c>
      <c r="K1389" t="s">
        <v>69</v>
      </c>
      <c r="L1389">
        <v>11</v>
      </c>
      <c r="M1389" t="s">
        <v>4734</v>
      </c>
      <c r="N1389" t="s">
        <v>64</v>
      </c>
      <c r="O1389" t="s">
        <v>46</v>
      </c>
      <c r="P1389" t="s">
        <v>46</v>
      </c>
      <c r="Y1389" t="s">
        <v>4738</v>
      </c>
    </row>
    <row r="1390" spans="1:25">
      <c r="A1390" t="s">
        <v>4739</v>
      </c>
      <c r="B1390" t="s">
        <v>4740</v>
      </c>
      <c r="D1390" t="s">
        <v>40</v>
      </c>
      <c r="E1390" t="s">
        <v>41</v>
      </c>
      <c r="J1390" t="s">
        <v>248</v>
      </c>
      <c r="K1390" t="s">
        <v>249</v>
      </c>
      <c r="L1390">
        <v>9</v>
      </c>
      <c r="M1390" t="s">
        <v>4741</v>
      </c>
      <c r="N1390" t="s">
        <v>257</v>
      </c>
      <c r="O1390" t="s">
        <v>46</v>
      </c>
      <c r="P1390" t="s">
        <v>46</v>
      </c>
      <c r="Y1390" t="s">
        <v>4742</v>
      </c>
    </row>
    <row r="1391" spans="1:25">
      <c r="A1391" t="s">
        <v>4743</v>
      </c>
      <c r="B1391" t="s">
        <v>4744</v>
      </c>
      <c r="D1391" t="s">
        <v>40</v>
      </c>
      <c r="E1391" t="s">
        <v>41</v>
      </c>
      <c r="J1391" t="s">
        <v>1142</v>
      </c>
      <c r="K1391" t="s">
        <v>1143</v>
      </c>
      <c r="L1391">
        <v>11</v>
      </c>
      <c r="M1391" t="s">
        <v>4745</v>
      </c>
      <c r="N1391" t="s">
        <v>741</v>
      </c>
      <c r="O1391" t="s">
        <v>46</v>
      </c>
      <c r="P1391" t="s">
        <v>46</v>
      </c>
      <c r="Y1391" t="s">
        <v>4746</v>
      </c>
    </row>
    <row r="1392" spans="1:25">
      <c r="A1392" t="s">
        <v>4747</v>
      </c>
      <c r="B1392" t="s">
        <v>4748</v>
      </c>
      <c r="D1392" t="s">
        <v>40</v>
      </c>
      <c r="E1392" t="s">
        <v>41</v>
      </c>
      <c r="J1392" t="s">
        <v>42</v>
      </c>
      <c r="K1392" t="s">
        <v>43</v>
      </c>
      <c r="L1392">
        <v>11</v>
      </c>
      <c r="M1392" t="s">
        <v>4749</v>
      </c>
      <c r="N1392" t="s">
        <v>1047</v>
      </c>
      <c r="O1392" t="s">
        <v>46</v>
      </c>
      <c r="P1392" t="s">
        <v>46</v>
      </c>
      <c r="Y1392" t="s">
        <v>4750</v>
      </c>
    </row>
    <row r="1393" spans="1:25">
      <c r="A1393" t="s">
        <v>4751</v>
      </c>
      <c r="B1393" t="s">
        <v>4752</v>
      </c>
      <c r="D1393" t="s">
        <v>40</v>
      </c>
      <c r="E1393" t="s">
        <v>41</v>
      </c>
      <c r="J1393" t="s">
        <v>68</v>
      </c>
      <c r="K1393" t="s">
        <v>69</v>
      </c>
      <c r="L1393">
        <v>11</v>
      </c>
      <c r="M1393" t="s">
        <v>4749</v>
      </c>
      <c r="N1393" t="s">
        <v>64</v>
      </c>
      <c r="O1393" t="s">
        <v>46</v>
      </c>
      <c r="P1393" t="s">
        <v>46</v>
      </c>
      <c r="Y1393" t="s">
        <v>4753</v>
      </c>
    </row>
    <row r="1394" spans="1:25">
      <c r="A1394" t="s">
        <v>4754</v>
      </c>
      <c r="B1394" t="s">
        <v>4755</v>
      </c>
      <c r="D1394" t="s">
        <v>40</v>
      </c>
      <c r="E1394" t="s">
        <v>41</v>
      </c>
      <c r="J1394" t="s">
        <v>182</v>
      </c>
      <c r="K1394" t="s">
        <v>183</v>
      </c>
      <c r="L1394">
        <v>11</v>
      </c>
      <c r="M1394" t="s">
        <v>4749</v>
      </c>
      <c r="N1394" t="s">
        <v>64</v>
      </c>
      <c r="O1394" t="s">
        <v>46</v>
      </c>
      <c r="P1394" t="s">
        <v>46</v>
      </c>
      <c r="Y1394" t="s">
        <v>4756</v>
      </c>
    </row>
    <row r="1395" spans="1:25">
      <c r="A1395" t="s">
        <v>4757</v>
      </c>
      <c r="B1395" t="s">
        <v>4758</v>
      </c>
      <c r="D1395" t="s">
        <v>40</v>
      </c>
      <c r="E1395" t="s">
        <v>41</v>
      </c>
      <c r="J1395" t="s">
        <v>68</v>
      </c>
      <c r="K1395" t="s">
        <v>69</v>
      </c>
      <c r="L1395">
        <v>11</v>
      </c>
      <c r="M1395" t="s">
        <v>4749</v>
      </c>
      <c r="N1395" t="s">
        <v>64</v>
      </c>
      <c r="O1395" t="s">
        <v>46</v>
      </c>
      <c r="P1395" t="s">
        <v>46</v>
      </c>
      <c r="Y1395" t="s">
        <v>4759</v>
      </c>
    </row>
    <row r="1396" spans="1:25">
      <c r="A1396" t="s">
        <v>4760</v>
      </c>
      <c r="B1396" t="s">
        <v>4761</v>
      </c>
      <c r="D1396" t="s">
        <v>40</v>
      </c>
      <c r="E1396" t="s">
        <v>41</v>
      </c>
      <c r="J1396" t="s">
        <v>182</v>
      </c>
      <c r="K1396" t="s">
        <v>183</v>
      </c>
      <c r="L1396">
        <v>11</v>
      </c>
      <c r="M1396" t="s">
        <v>4749</v>
      </c>
      <c r="N1396" t="s">
        <v>64</v>
      </c>
      <c r="O1396" t="s">
        <v>46</v>
      </c>
      <c r="P1396" t="s">
        <v>46</v>
      </c>
      <c r="Y1396" t="s">
        <v>4762</v>
      </c>
    </row>
    <row r="1397" spans="1:25">
      <c r="A1397" t="s">
        <v>4763</v>
      </c>
      <c r="B1397" t="s">
        <v>4764</v>
      </c>
      <c r="D1397" t="s">
        <v>40</v>
      </c>
      <c r="E1397" t="s">
        <v>41</v>
      </c>
      <c r="J1397" t="s">
        <v>182</v>
      </c>
      <c r="K1397" t="s">
        <v>183</v>
      </c>
      <c r="L1397">
        <v>11</v>
      </c>
      <c r="M1397" t="s">
        <v>4749</v>
      </c>
      <c r="N1397" t="s">
        <v>64</v>
      </c>
      <c r="O1397" t="s">
        <v>46</v>
      </c>
      <c r="P1397" t="s">
        <v>46</v>
      </c>
      <c r="Y1397" t="s">
        <v>4765</v>
      </c>
    </row>
    <row r="1398" spans="1:25">
      <c r="A1398" t="s">
        <v>4766</v>
      </c>
      <c r="B1398" t="s">
        <v>4767</v>
      </c>
      <c r="D1398" t="s">
        <v>40</v>
      </c>
      <c r="E1398" t="s">
        <v>41</v>
      </c>
      <c r="J1398" t="s">
        <v>139</v>
      </c>
      <c r="K1398" t="s">
        <v>140</v>
      </c>
      <c r="L1398">
        <v>8</v>
      </c>
      <c r="M1398" t="s">
        <v>4768</v>
      </c>
      <c r="N1398" t="s">
        <v>1397</v>
      </c>
      <c r="O1398" t="s">
        <v>46</v>
      </c>
      <c r="P1398" t="s">
        <v>46</v>
      </c>
      <c r="Y1398" t="s">
        <v>4769</v>
      </c>
    </row>
    <row r="1399" spans="1:25">
      <c r="A1399" t="s">
        <v>4770</v>
      </c>
      <c r="B1399" t="s">
        <v>4771</v>
      </c>
      <c r="D1399" t="s">
        <v>40</v>
      </c>
      <c r="E1399" t="s">
        <v>41</v>
      </c>
      <c r="J1399" t="s">
        <v>76</v>
      </c>
      <c r="K1399" t="s">
        <v>77</v>
      </c>
      <c r="L1399">
        <v>11</v>
      </c>
      <c r="M1399" t="s">
        <v>4772</v>
      </c>
      <c r="N1399" t="s">
        <v>64</v>
      </c>
      <c r="O1399" t="s">
        <v>46</v>
      </c>
      <c r="P1399" t="s">
        <v>46</v>
      </c>
      <c r="Y1399" t="s">
        <v>4773</v>
      </c>
    </row>
    <row r="1400" spans="1:25">
      <c r="A1400" t="s">
        <v>4774</v>
      </c>
      <c r="B1400" t="s">
        <v>4775</v>
      </c>
      <c r="D1400" t="s">
        <v>40</v>
      </c>
      <c r="E1400" t="s">
        <v>41</v>
      </c>
      <c r="J1400" t="s">
        <v>68</v>
      </c>
      <c r="K1400" t="s">
        <v>69</v>
      </c>
      <c r="L1400">
        <v>11</v>
      </c>
      <c r="M1400" t="s">
        <v>4772</v>
      </c>
      <c r="N1400" t="s">
        <v>64</v>
      </c>
      <c r="O1400" t="s">
        <v>46</v>
      </c>
      <c r="P1400" t="s">
        <v>46</v>
      </c>
      <c r="Y1400" t="s">
        <v>4776</v>
      </c>
    </row>
    <row r="1401" spans="1:25">
      <c r="A1401" t="s">
        <v>4777</v>
      </c>
      <c r="B1401" t="s">
        <v>4778</v>
      </c>
      <c r="D1401" t="s">
        <v>40</v>
      </c>
      <c r="E1401" t="s">
        <v>41</v>
      </c>
      <c r="J1401" t="s">
        <v>68</v>
      </c>
      <c r="K1401" t="s">
        <v>69</v>
      </c>
      <c r="L1401">
        <v>11</v>
      </c>
      <c r="M1401" t="s">
        <v>4772</v>
      </c>
      <c r="N1401" t="s">
        <v>64</v>
      </c>
      <c r="O1401" t="s">
        <v>46</v>
      </c>
      <c r="P1401" t="s">
        <v>46</v>
      </c>
      <c r="Y1401" t="s">
        <v>4779</v>
      </c>
    </row>
    <row r="1402" spans="1:25">
      <c r="A1402" t="s">
        <v>4780</v>
      </c>
      <c r="B1402" t="s">
        <v>4781</v>
      </c>
      <c r="D1402" t="s">
        <v>40</v>
      </c>
      <c r="E1402" t="s">
        <v>41</v>
      </c>
      <c r="J1402" t="s">
        <v>68</v>
      </c>
      <c r="K1402" t="s">
        <v>69</v>
      </c>
      <c r="L1402">
        <v>11</v>
      </c>
      <c r="M1402" t="s">
        <v>4772</v>
      </c>
      <c r="N1402" t="s">
        <v>64</v>
      </c>
      <c r="O1402" t="s">
        <v>46</v>
      </c>
      <c r="P1402" t="s">
        <v>46</v>
      </c>
      <c r="Y1402" t="s">
        <v>4782</v>
      </c>
    </row>
    <row r="1403" spans="1:25">
      <c r="A1403" t="s">
        <v>4783</v>
      </c>
      <c r="B1403" t="s">
        <v>4784</v>
      </c>
      <c r="D1403" t="s">
        <v>40</v>
      </c>
      <c r="E1403" t="s">
        <v>41</v>
      </c>
      <c r="J1403" t="s">
        <v>42</v>
      </c>
      <c r="K1403" t="s">
        <v>43</v>
      </c>
      <c r="L1403">
        <v>11</v>
      </c>
      <c r="M1403" t="s">
        <v>4772</v>
      </c>
      <c r="N1403" t="s">
        <v>210</v>
      </c>
      <c r="O1403" t="s">
        <v>46</v>
      </c>
      <c r="P1403" t="s">
        <v>46</v>
      </c>
      <c r="Y1403" t="s">
        <v>4785</v>
      </c>
    </row>
    <row r="1404" spans="1:25">
      <c r="A1404" t="s">
        <v>4786</v>
      </c>
      <c r="B1404" t="s">
        <v>4787</v>
      </c>
      <c r="D1404" t="s">
        <v>40</v>
      </c>
      <c r="E1404" t="s">
        <v>41</v>
      </c>
      <c r="J1404" t="s">
        <v>182</v>
      </c>
      <c r="K1404" t="s">
        <v>183</v>
      </c>
      <c r="L1404">
        <v>11</v>
      </c>
      <c r="M1404" t="s">
        <v>4772</v>
      </c>
      <c r="N1404" t="s">
        <v>64</v>
      </c>
      <c r="O1404" t="s">
        <v>46</v>
      </c>
      <c r="P1404" t="s">
        <v>46</v>
      </c>
      <c r="Y1404" t="s">
        <v>4788</v>
      </c>
    </row>
    <row r="1405" spans="1:25">
      <c r="A1405" t="s">
        <v>4789</v>
      </c>
      <c r="B1405" t="s">
        <v>4790</v>
      </c>
      <c r="D1405" t="s">
        <v>40</v>
      </c>
      <c r="E1405" t="s">
        <v>41</v>
      </c>
      <c r="J1405" t="s">
        <v>182</v>
      </c>
      <c r="K1405" t="s">
        <v>183</v>
      </c>
      <c r="L1405">
        <v>11</v>
      </c>
      <c r="M1405" t="s">
        <v>4791</v>
      </c>
      <c r="N1405" t="s">
        <v>64</v>
      </c>
      <c r="O1405" t="s">
        <v>46</v>
      </c>
      <c r="P1405" t="s">
        <v>46</v>
      </c>
      <c r="Y1405" t="s">
        <v>4792</v>
      </c>
    </row>
    <row r="1406" spans="1:25">
      <c r="A1406" t="s">
        <v>4793</v>
      </c>
      <c r="B1406" t="s">
        <v>4794</v>
      </c>
      <c r="D1406" t="s">
        <v>40</v>
      </c>
      <c r="E1406" t="s">
        <v>41</v>
      </c>
      <c r="J1406" t="s">
        <v>42</v>
      </c>
      <c r="K1406" t="s">
        <v>43</v>
      </c>
      <c r="L1406">
        <v>11</v>
      </c>
      <c r="M1406" t="s">
        <v>4795</v>
      </c>
      <c r="N1406" t="s">
        <v>1024</v>
      </c>
      <c r="O1406" t="s">
        <v>46</v>
      </c>
      <c r="P1406" t="s">
        <v>46</v>
      </c>
      <c r="Y1406" t="s">
        <v>4796</v>
      </c>
    </row>
    <row r="1407" spans="1:25">
      <c r="A1407" t="s">
        <v>4797</v>
      </c>
      <c r="B1407" t="s">
        <v>4798</v>
      </c>
      <c r="D1407" t="s">
        <v>40</v>
      </c>
      <c r="E1407" t="s">
        <v>41</v>
      </c>
      <c r="J1407" t="s">
        <v>42</v>
      </c>
      <c r="K1407" t="s">
        <v>43</v>
      </c>
      <c r="L1407">
        <v>11</v>
      </c>
      <c r="M1407" t="s">
        <v>4795</v>
      </c>
      <c r="N1407" t="s">
        <v>1380</v>
      </c>
      <c r="O1407" t="s">
        <v>46</v>
      </c>
      <c r="P1407" t="s">
        <v>46</v>
      </c>
      <c r="Y1407" t="s">
        <v>4799</v>
      </c>
    </row>
    <row r="1408" spans="1:25">
      <c r="A1408" t="s">
        <v>4800</v>
      </c>
      <c r="B1408" t="s">
        <v>4801</v>
      </c>
      <c r="D1408" t="s">
        <v>40</v>
      </c>
      <c r="E1408" t="s">
        <v>41</v>
      </c>
      <c r="J1408" t="s">
        <v>182</v>
      </c>
      <c r="K1408" t="s">
        <v>183</v>
      </c>
      <c r="L1408">
        <v>11</v>
      </c>
      <c r="M1408" t="s">
        <v>4802</v>
      </c>
      <c r="N1408" t="s">
        <v>64</v>
      </c>
      <c r="O1408" t="s">
        <v>46</v>
      </c>
      <c r="P1408" t="s">
        <v>46</v>
      </c>
      <c r="Y1408" t="s">
        <v>4803</v>
      </c>
    </row>
    <row r="1409" spans="1:25">
      <c r="A1409" t="s">
        <v>4804</v>
      </c>
      <c r="B1409" t="s">
        <v>4805</v>
      </c>
      <c r="D1409" t="s">
        <v>40</v>
      </c>
      <c r="E1409" t="s">
        <v>41</v>
      </c>
      <c r="J1409" t="s">
        <v>182</v>
      </c>
      <c r="K1409" t="s">
        <v>183</v>
      </c>
      <c r="L1409">
        <v>11</v>
      </c>
      <c r="M1409" t="s">
        <v>4802</v>
      </c>
      <c r="N1409" t="s">
        <v>64</v>
      </c>
      <c r="O1409" t="s">
        <v>46</v>
      </c>
      <c r="P1409" t="s">
        <v>46</v>
      </c>
      <c r="Y1409" t="s">
        <v>4806</v>
      </c>
    </row>
    <row r="1410" spans="1:25">
      <c r="A1410" t="s">
        <v>4807</v>
      </c>
      <c r="B1410" t="s">
        <v>4808</v>
      </c>
      <c r="D1410" t="s">
        <v>40</v>
      </c>
      <c r="E1410" t="s">
        <v>41</v>
      </c>
      <c r="J1410" t="s">
        <v>68</v>
      </c>
      <c r="K1410" t="s">
        <v>69</v>
      </c>
      <c r="L1410">
        <v>11</v>
      </c>
      <c r="M1410" t="s">
        <v>4802</v>
      </c>
      <c r="N1410" t="s">
        <v>64</v>
      </c>
      <c r="O1410" t="s">
        <v>46</v>
      </c>
      <c r="P1410" t="s">
        <v>46</v>
      </c>
      <c r="Y1410" t="s">
        <v>4809</v>
      </c>
    </row>
    <row r="1411" spans="1:25">
      <c r="A1411" t="s">
        <v>4810</v>
      </c>
      <c r="B1411" t="s">
        <v>4811</v>
      </c>
      <c r="D1411" t="s">
        <v>40</v>
      </c>
      <c r="E1411" t="s">
        <v>41</v>
      </c>
      <c r="J1411" t="s">
        <v>62</v>
      </c>
      <c r="K1411" t="s">
        <v>63</v>
      </c>
      <c r="L1411">
        <v>11</v>
      </c>
      <c r="M1411" t="s">
        <v>4812</v>
      </c>
      <c r="N1411" t="s">
        <v>64</v>
      </c>
      <c r="O1411" t="s">
        <v>46</v>
      </c>
      <c r="P1411" t="s">
        <v>46</v>
      </c>
      <c r="Y1411" t="s">
        <v>4813</v>
      </c>
    </row>
    <row r="1412" spans="1:25">
      <c r="A1412" t="s">
        <v>4814</v>
      </c>
      <c r="B1412" t="s">
        <v>4815</v>
      </c>
      <c r="D1412" t="s">
        <v>40</v>
      </c>
      <c r="E1412" t="s">
        <v>41</v>
      </c>
      <c r="J1412" t="s">
        <v>182</v>
      </c>
      <c r="K1412" t="s">
        <v>183</v>
      </c>
      <c r="L1412">
        <v>11</v>
      </c>
      <c r="M1412" t="s">
        <v>4816</v>
      </c>
      <c r="N1412" t="s">
        <v>64</v>
      </c>
      <c r="O1412" t="s">
        <v>46</v>
      </c>
      <c r="P1412" t="s">
        <v>46</v>
      </c>
      <c r="Y1412" t="s">
        <v>4817</v>
      </c>
    </row>
    <row r="1413" spans="1:25">
      <c r="A1413" t="s">
        <v>4818</v>
      </c>
      <c r="B1413" t="s">
        <v>4819</v>
      </c>
      <c r="D1413" t="s">
        <v>40</v>
      </c>
      <c r="E1413" t="s">
        <v>41</v>
      </c>
      <c r="J1413" t="s">
        <v>182</v>
      </c>
      <c r="K1413" t="s">
        <v>183</v>
      </c>
      <c r="L1413">
        <v>11</v>
      </c>
      <c r="M1413" t="s">
        <v>4816</v>
      </c>
      <c r="N1413" t="s">
        <v>64</v>
      </c>
      <c r="O1413" t="s">
        <v>46</v>
      </c>
      <c r="P1413" t="s">
        <v>46</v>
      </c>
      <c r="Y1413" t="s">
        <v>4820</v>
      </c>
    </row>
    <row r="1414" spans="1:25">
      <c r="A1414" t="s">
        <v>4821</v>
      </c>
      <c r="B1414" t="s">
        <v>4822</v>
      </c>
      <c r="D1414" t="s">
        <v>40</v>
      </c>
      <c r="E1414" t="s">
        <v>41</v>
      </c>
      <c r="J1414" t="s">
        <v>139</v>
      </c>
      <c r="K1414" t="s">
        <v>140</v>
      </c>
      <c r="L1414">
        <v>5</v>
      </c>
      <c r="M1414" t="s">
        <v>4823</v>
      </c>
      <c r="N1414" t="s">
        <v>165</v>
      </c>
      <c r="O1414" t="s">
        <v>46</v>
      </c>
      <c r="P1414" t="s">
        <v>46</v>
      </c>
      <c r="Y1414" t="s">
        <v>4824</v>
      </c>
    </row>
    <row r="1415" spans="1:25">
      <c r="A1415" t="s">
        <v>4825</v>
      </c>
      <c r="B1415" t="s">
        <v>4826</v>
      </c>
      <c r="D1415" t="s">
        <v>40</v>
      </c>
      <c r="E1415" t="s">
        <v>41</v>
      </c>
      <c r="J1415" t="s">
        <v>42</v>
      </c>
      <c r="K1415" t="s">
        <v>43</v>
      </c>
      <c r="L1415">
        <v>11</v>
      </c>
      <c r="M1415" t="s">
        <v>4827</v>
      </c>
      <c r="N1415" t="s">
        <v>2154</v>
      </c>
      <c r="O1415" t="s">
        <v>46</v>
      </c>
      <c r="P1415" t="s">
        <v>46</v>
      </c>
      <c r="Y1415" t="s">
        <v>4828</v>
      </c>
    </row>
    <row r="1416" spans="1:25">
      <c r="A1416" t="s">
        <v>4829</v>
      </c>
      <c r="B1416" t="s">
        <v>4830</v>
      </c>
      <c r="D1416" t="s">
        <v>40</v>
      </c>
      <c r="E1416" t="s">
        <v>41</v>
      </c>
      <c r="J1416" t="s">
        <v>68</v>
      </c>
      <c r="K1416" t="s">
        <v>69</v>
      </c>
      <c r="L1416">
        <v>11</v>
      </c>
      <c r="M1416" t="s">
        <v>4827</v>
      </c>
      <c r="N1416" t="s">
        <v>64</v>
      </c>
      <c r="O1416" t="s">
        <v>46</v>
      </c>
      <c r="P1416" t="s">
        <v>46</v>
      </c>
      <c r="Y1416" t="s">
        <v>4831</v>
      </c>
    </row>
    <row r="1417" spans="1:25">
      <c r="A1417" t="s">
        <v>4832</v>
      </c>
      <c r="B1417" t="s">
        <v>4833</v>
      </c>
      <c r="D1417" t="s">
        <v>40</v>
      </c>
      <c r="E1417" t="s">
        <v>41</v>
      </c>
      <c r="J1417" t="s">
        <v>68</v>
      </c>
      <c r="K1417" t="s">
        <v>69</v>
      </c>
      <c r="L1417">
        <v>11</v>
      </c>
      <c r="M1417" t="s">
        <v>4827</v>
      </c>
      <c r="N1417" t="s">
        <v>64</v>
      </c>
      <c r="O1417" t="s">
        <v>46</v>
      </c>
      <c r="P1417" t="s">
        <v>46</v>
      </c>
      <c r="Y1417" t="s">
        <v>4834</v>
      </c>
    </row>
    <row r="1418" spans="1:25">
      <c r="A1418" t="s">
        <v>4835</v>
      </c>
      <c r="B1418" t="s">
        <v>4836</v>
      </c>
      <c r="D1418" t="s">
        <v>40</v>
      </c>
      <c r="E1418" t="s">
        <v>41</v>
      </c>
      <c r="J1418" t="s">
        <v>182</v>
      </c>
      <c r="K1418" t="s">
        <v>183</v>
      </c>
      <c r="L1418">
        <v>11</v>
      </c>
      <c r="M1418" t="s">
        <v>4827</v>
      </c>
      <c r="N1418" t="s">
        <v>64</v>
      </c>
      <c r="O1418" t="s">
        <v>46</v>
      </c>
      <c r="P1418" t="s">
        <v>46</v>
      </c>
      <c r="Y1418" t="s">
        <v>4837</v>
      </c>
    </row>
    <row r="1419" spans="1:25">
      <c r="A1419" t="s">
        <v>4838</v>
      </c>
      <c r="B1419" t="s">
        <v>4839</v>
      </c>
      <c r="D1419" t="s">
        <v>40</v>
      </c>
      <c r="E1419" t="s">
        <v>41</v>
      </c>
      <c r="J1419" t="s">
        <v>182</v>
      </c>
      <c r="K1419" t="s">
        <v>183</v>
      </c>
      <c r="L1419">
        <v>11</v>
      </c>
      <c r="M1419" t="s">
        <v>4827</v>
      </c>
      <c r="N1419" t="s">
        <v>64</v>
      </c>
      <c r="O1419" t="s">
        <v>46</v>
      </c>
      <c r="P1419" t="s">
        <v>46</v>
      </c>
      <c r="Y1419" t="s">
        <v>4840</v>
      </c>
    </row>
    <row r="1420" spans="1:25">
      <c r="A1420" t="s">
        <v>4841</v>
      </c>
      <c r="B1420" t="s">
        <v>4842</v>
      </c>
      <c r="D1420" t="s">
        <v>40</v>
      </c>
      <c r="E1420" t="s">
        <v>41</v>
      </c>
      <c r="J1420" t="s">
        <v>182</v>
      </c>
      <c r="K1420" t="s">
        <v>183</v>
      </c>
      <c r="L1420">
        <v>11</v>
      </c>
      <c r="M1420" t="s">
        <v>4843</v>
      </c>
      <c r="N1420" t="s">
        <v>64</v>
      </c>
      <c r="O1420" t="s">
        <v>46</v>
      </c>
      <c r="P1420" t="s">
        <v>46</v>
      </c>
      <c r="Y1420" t="s">
        <v>4844</v>
      </c>
    </row>
    <row r="1421" spans="1:25">
      <c r="A1421" t="s">
        <v>4845</v>
      </c>
      <c r="B1421" t="s">
        <v>4846</v>
      </c>
      <c r="D1421" t="s">
        <v>40</v>
      </c>
      <c r="E1421" t="s">
        <v>41</v>
      </c>
      <c r="J1421" t="s">
        <v>76</v>
      </c>
      <c r="K1421" t="s">
        <v>77</v>
      </c>
      <c r="L1421">
        <v>11</v>
      </c>
      <c r="M1421" t="s">
        <v>4847</v>
      </c>
      <c r="N1421" t="s">
        <v>64</v>
      </c>
      <c r="O1421" t="s">
        <v>46</v>
      </c>
      <c r="P1421" t="s">
        <v>46</v>
      </c>
      <c r="Y1421" t="s">
        <v>4848</v>
      </c>
    </row>
    <row r="1422" spans="1:25">
      <c r="A1422" t="s">
        <v>4849</v>
      </c>
      <c r="B1422" t="s">
        <v>4850</v>
      </c>
      <c r="D1422" t="s">
        <v>40</v>
      </c>
      <c r="E1422" t="s">
        <v>41</v>
      </c>
      <c r="J1422" t="s">
        <v>42</v>
      </c>
      <c r="K1422" t="s">
        <v>43</v>
      </c>
      <c r="L1422">
        <v>11</v>
      </c>
      <c r="M1422" t="s">
        <v>4847</v>
      </c>
      <c r="N1422" t="s">
        <v>296</v>
      </c>
      <c r="O1422" t="s">
        <v>46</v>
      </c>
      <c r="P1422" t="s">
        <v>46</v>
      </c>
      <c r="Y1422" t="s">
        <v>4851</v>
      </c>
    </row>
    <row r="1423" spans="1:25">
      <c r="A1423" t="s">
        <v>4852</v>
      </c>
      <c r="B1423" t="s">
        <v>4853</v>
      </c>
      <c r="D1423" t="s">
        <v>40</v>
      </c>
      <c r="E1423" t="s">
        <v>41</v>
      </c>
      <c r="J1423" t="s">
        <v>182</v>
      </c>
      <c r="K1423" t="s">
        <v>183</v>
      </c>
      <c r="L1423">
        <v>11</v>
      </c>
      <c r="M1423" t="s">
        <v>4847</v>
      </c>
      <c r="N1423" t="s">
        <v>64</v>
      </c>
      <c r="O1423" t="s">
        <v>46</v>
      </c>
      <c r="P1423" t="s">
        <v>46</v>
      </c>
      <c r="Y1423" t="s">
        <v>4854</v>
      </c>
    </row>
    <row r="1424" spans="1:25">
      <c r="A1424" t="s">
        <v>4855</v>
      </c>
      <c r="B1424" t="s">
        <v>4856</v>
      </c>
      <c r="D1424" t="s">
        <v>40</v>
      </c>
      <c r="E1424" t="s">
        <v>41</v>
      </c>
      <c r="J1424" t="s">
        <v>76</v>
      </c>
      <c r="K1424" t="s">
        <v>77</v>
      </c>
      <c r="L1424">
        <v>11</v>
      </c>
      <c r="M1424" t="s">
        <v>4847</v>
      </c>
      <c r="N1424" t="s">
        <v>64</v>
      </c>
      <c r="O1424" t="s">
        <v>46</v>
      </c>
      <c r="P1424" t="s">
        <v>46</v>
      </c>
      <c r="Y1424" t="s">
        <v>4857</v>
      </c>
    </row>
    <row r="1425" spans="1:25">
      <c r="A1425" t="s">
        <v>4858</v>
      </c>
      <c r="B1425" t="s">
        <v>4859</v>
      </c>
      <c r="D1425" t="s">
        <v>40</v>
      </c>
      <c r="E1425" t="s">
        <v>41</v>
      </c>
      <c r="J1425" t="s">
        <v>68</v>
      </c>
      <c r="K1425" t="s">
        <v>69</v>
      </c>
      <c r="L1425">
        <v>11</v>
      </c>
      <c r="M1425" t="s">
        <v>4847</v>
      </c>
      <c r="N1425" t="s">
        <v>64</v>
      </c>
      <c r="O1425" t="s">
        <v>46</v>
      </c>
      <c r="P1425" t="s">
        <v>46</v>
      </c>
      <c r="Y1425" t="s">
        <v>4860</v>
      </c>
    </row>
    <row r="1426" spans="1:25">
      <c r="A1426" t="s">
        <v>4861</v>
      </c>
      <c r="B1426" t="s">
        <v>4862</v>
      </c>
      <c r="D1426" t="s">
        <v>40</v>
      </c>
      <c r="E1426" t="s">
        <v>41</v>
      </c>
      <c r="J1426" t="s">
        <v>182</v>
      </c>
      <c r="K1426" t="s">
        <v>183</v>
      </c>
      <c r="L1426">
        <v>11</v>
      </c>
      <c r="M1426" t="s">
        <v>4863</v>
      </c>
      <c r="N1426" t="s">
        <v>64</v>
      </c>
      <c r="O1426" t="s">
        <v>46</v>
      </c>
      <c r="P1426" t="s">
        <v>46</v>
      </c>
      <c r="Y1426" t="s">
        <v>4864</v>
      </c>
    </row>
    <row r="1427" spans="1:25">
      <c r="A1427" t="s">
        <v>4865</v>
      </c>
      <c r="B1427" t="s">
        <v>4866</v>
      </c>
      <c r="D1427" t="s">
        <v>40</v>
      </c>
      <c r="E1427" t="s">
        <v>41</v>
      </c>
      <c r="J1427" t="s">
        <v>182</v>
      </c>
      <c r="K1427" t="s">
        <v>183</v>
      </c>
      <c r="L1427">
        <v>11</v>
      </c>
      <c r="M1427" t="s">
        <v>4867</v>
      </c>
      <c r="N1427" t="s">
        <v>64</v>
      </c>
      <c r="O1427" t="s">
        <v>46</v>
      </c>
      <c r="P1427" t="s">
        <v>46</v>
      </c>
      <c r="Y1427" t="s">
        <v>4868</v>
      </c>
    </row>
    <row r="1428" spans="1:25">
      <c r="A1428" t="s">
        <v>4869</v>
      </c>
      <c r="B1428" t="s">
        <v>4870</v>
      </c>
      <c r="D1428" t="s">
        <v>40</v>
      </c>
      <c r="E1428" t="s">
        <v>41</v>
      </c>
      <c r="J1428" t="s">
        <v>50</v>
      </c>
      <c r="K1428" t="s">
        <v>51</v>
      </c>
      <c r="L1428">
        <v>11</v>
      </c>
      <c r="M1428" t="s">
        <v>4871</v>
      </c>
      <c r="N1428" t="s">
        <v>53</v>
      </c>
      <c r="O1428" t="s">
        <v>46</v>
      </c>
      <c r="P1428" t="s">
        <v>46</v>
      </c>
      <c r="Y1428" t="s">
        <v>4872</v>
      </c>
    </row>
    <row r="1429" spans="1:25">
      <c r="A1429" t="s">
        <v>4873</v>
      </c>
      <c r="B1429" t="s">
        <v>4874</v>
      </c>
      <c r="D1429" t="s">
        <v>40</v>
      </c>
      <c r="E1429" t="s">
        <v>41</v>
      </c>
      <c r="J1429" t="s">
        <v>182</v>
      </c>
      <c r="K1429" t="s">
        <v>183</v>
      </c>
      <c r="L1429">
        <v>11</v>
      </c>
      <c r="M1429" t="s">
        <v>4875</v>
      </c>
      <c r="N1429" t="s">
        <v>64</v>
      </c>
      <c r="O1429" t="s">
        <v>46</v>
      </c>
      <c r="P1429" t="s">
        <v>46</v>
      </c>
      <c r="Y1429" t="s">
        <v>4876</v>
      </c>
    </row>
    <row r="1430" spans="1:25">
      <c r="A1430" t="s">
        <v>4877</v>
      </c>
      <c r="B1430" t="s">
        <v>4878</v>
      </c>
      <c r="D1430" t="s">
        <v>40</v>
      </c>
      <c r="E1430" t="s">
        <v>41</v>
      </c>
      <c r="J1430" t="s">
        <v>42</v>
      </c>
      <c r="K1430" t="s">
        <v>43</v>
      </c>
      <c r="L1430">
        <v>11</v>
      </c>
      <c r="M1430" t="s">
        <v>4875</v>
      </c>
      <c r="N1430" t="s">
        <v>2621</v>
      </c>
      <c r="O1430" t="s">
        <v>46</v>
      </c>
      <c r="P1430" t="s">
        <v>46</v>
      </c>
      <c r="Y1430" t="s">
        <v>4879</v>
      </c>
    </row>
    <row r="1431" spans="1:25">
      <c r="A1431" t="s">
        <v>4880</v>
      </c>
      <c r="B1431" t="s">
        <v>4881</v>
      </c>
      <c r="D1431" t="s">
        <v>40</v>
      </c>
      <c r="E1431" t="s">
        <v>41</v>
      </c>
      <c r="J1431" t="s">
        <v>68</v>
      </c>
      <c r="K1431" t="s">
        <v>69</v>
      </c>
      <c r="L1431">
        <v>11</v>
      </c>
      <c r="M1431" t="s">
        <v>4875</v>
      </c>
      <c r="N1431" t="s">
        <v>64</v>
      </c>
      <c r="O1431" t="s">
        <v>46</v>
      </c>
      <c r="P1431" t="s">
        <v>46</v>
      </c>
      <c r="Y1431" t="s">
        <v>4882</v>
      </c>
    </row>
    <row r="1432" spans="1:25">
      <c r="A1432" t="s">
        <v>4883</v>
      </c>
      <c r="B1432" t="s">
        <v>4884</v>
      </c>
      <c r="D1432" t="s">
        <v>40</v>
      </c>
      <c r="E1432" t="s">
        <v>41</v>
      </c>
      <c r="J1432" t="s">
        <v>182</v>
      </c>
      <c r="K1432" t="s">
        <v>183</v>
      </c>
      <c r="L1432">
        <v>11</v>
      </c>
      <c r="M1432" t="s">
        <v>4885</v>
      </c>
      <c r="N1432" t="s">
        <v>64</v>
      </c>
      <c r="O1432" t="s">
        <v>46</v>
      </c>
      <c r="P1432" t="s">
        <v>46</v>
      </c>
      <c r="Y1432" t="s">
        <v>4886</v>
      </c>
    </row>
    <row r="1433" spans="1:25">
      <c r="A1433" t="s">
        <v>4887</v>
      </c>
      <c r="B1433" t="s">
        <v>4888</v>
      </c>
      <c r="D1433" t="s">
        <v>40</v>
      </c>
      <c r="E1433" t="s">
        <v>41</v>
      </c>
      <c r="J1433" t="s">
        <v>68</v>
      </c>
      <c r="K1433" t="s">
        <v>69</v>
      </c>
      <c r="L1433">
        <v>11</v>
      </c>
      <c r="M1433" t="s">
        <v>4885</v>
      </c>
      <c r="N1433" t="s">
        <v>64</v>
      </c>
      <c r="O1433" t="s">
        <v>46</v>
      </c>
      <c r="P1433" t="s">
        <v>46</v>
      </c>
      <c r="Y1433" t="s">
        <v>4889</v>
      </c>
    </row>
    <row r="1434" spans="1:25">
      <c r="A1434" t="s">
        <v>4890</v>
      </c>
      <c r="B1434" t="s">
        <v>4891</v>
      </c>
      <c r="D1434" t="s">
        <v>40</v>
      </c>
      <c r="E1434" t="s">
        <v>41</v>
      </c>
      <c r="J1434" t="s">
        <v>68</v>
      </c>
      <c r="K1434" t="s">
        <v>69</v>
      </c>
      <c r="L1434">
        <v>10</v>
      </c>
      <c r="M1434" t="s">
        <v>4885</v>
      </c>
      <c r="N1434" t="s">
        <v>64</v>
      </c>
      <c r="O1434" t="s">
        <v>46</v>
      </c>
      <c r="P1434" t="s">
        <v>46</v>
      </c>
      <c r="Y1434" t="s">
        <v>4892</v>
      </c>
    </row>
    <row r="1435" spans="1:25">
      <c r="A1435" t="s">
        <v>4893</v>
      </c>
      <c r="B1435" t="s">
        <v>4894</v>
      </c>
      <c r="D1435" t="s">
        <v>40</v>
      </c>
      <c r="E1435" t="s">
        <v>41</v>
      </c>
      <c r="J1435" t="s">
        <v>248</v>
      </c>
      <c r="K1435" t="s">
        <v>249</v>
      </c>
      <c r="L1435">
        <v>11</v>
      </c>
      <c r="M1435" t="s">
        <v>4895</v>
      </c>
      <c r="N1435" t="s">
        <v>173</v>
      </c>
      <c r="O1435" t="s">
        <v>46</v>
      </c>
      <c r="P1435" t="s">
        <v>46</v>
      </c>
      <c r="Y1435" t="s">
        <v>4896</v>
      </c>
    </row>
    <row r="1436" spans="1:25">
      <c r="A1436" t="s">
        <v>4897</v>
      </c>
      <c r="B1436" t="s">
        <v>4898</v>
      </c>
      <c r="D1436" t="s">
        <v>40</v>
      </c>
      <c r="E1436" t="s">
        <v>41</v>
      </c>
      <c r="J1436" t="s">
        <v>182</v>
      </c>
      <c r="K1436" t="s">
        <v>183</v>
      </c>
      <c r="L1436">
        <v>11</v>
      </c>
      <c r="M1436" t="s">
        <v>4899</v>
      </c>
      <c r="N1436" t="s">
        <v>64</v>
      </c>
      <c r="O1436" t="s">
        <v>46</v>
      </c>
      <c r="P1436" t="s">
        <v>46</v>
      </c>
      <c r="Y1436" t="s">
        <v>4900</v>
      </c>
    </row>
    <row r="1437" spans="1:25">
      <c r="A1437" t="s">
        <v>4901</v>
      </c>
      <c r="B1437" t="s">
        <v>4902</v>
      </c>
      <c r="D1437" t="s">
        <v>40</v>
      </c>
      <c r="E1437" t="s">
        <v>41</v>
      </c>
      <c r="J1437" t="s">
        <v>182</v>
      </c>
      <c r="K1437" t="s">
        <v>183</v>
      </c>
      <c r="L1437">
        <v>11</v>
      </c>
      <c r="M1437" t="s">
        <v>4899</v>
      </c>
      <c r="N1437" t="s">
        <v>64</v>
      </c>
      <c r="O1437" t="s">
        <v>46</v>
      </c>
      <c r="P1437" t="s">
        <v>46</v>
      </c>
      <c r="Y1437" t="s">
        <v>4903</v>
      </c>
    </row>
    <row r="1438" spans="1:25">
      <c r="A1438" t="s">
        <v>4904</v>
      </c>
      <c r="B1438" t="s">
        <v>4905</v>
      </c>
      <c r="D1438" t="s">
        <v>40</v>
      </c>
      <c r="E1438" t="s">
        <v>41</v>
      </c>
      <c r="J1438" t="s">
        <v>76</v>
      </c>
      <c r="K1438" t="s">
        <v>77</v>
      </c>
      <c r="L1438">
        <v>11</v>
      </c>
      <c r="M1438" t="s">
        <v>4899</v>
      </c>
      <c r="N1438" t="s">
        <v>64</v>
      </c>
      <c r="O1438" t="s">
        <v>46</v>
      </c>
      <c r="P1438" t="s">
        <v>46</v>
      </c>
      <c r="Y1438" t="s">
        <v>4906</v>
      </c>
    </row>
    <row r="1439" spans="1:25">
      <c r="A1439" t="s">
        <v>4907</v>
      </c>
      <c r="B1439" t="s">
        <v>4908</v>
      </c>
      <c r="D1439" t="s">
        <v>40</v>
      </c>
      <c r="E1439" t="s">
        <v>41</v>
      </c>
      <c r="J1439" t="s">
        <v>76</v>
      </c>
      <c r="K1439" t="s">
        <v>77</v>
      </c>
      <c r="L1439">
        <v>11</v>
      </c>
      <c r="M1439" t="s">
        <v>4899</v>
      </c>
      <c r="N1439" t="s">
        <v>64</v>
      </c>
      <c r="O1439" t="s">
        <v>46</v>
      </c>
      <c r="P1439" t="s">
        <v>46</v>
      </c>
      <c r="Y1439" t="s">
        <v>4909</v>
      </c>
    </row>
    <row r="1440" spans="1:25">
      <c r="A1440" t="s">
        <v>4910</v>
      </c>
      <c r="B1440" t="s">
        <v>4911</v>
      </c>
      <c r="D1440" t="s">
        <v>40</v>
      </c>
      <c r="E1440" t="s">
        <v>41</v>
      </c>
      <c r="J1440" t="s">
        <v>62</v>
      </c>
      <c r="K1440" t="s">
        <v>63</v>
      </c>
      <c r="L1440">
        <v>11</v>
      </c>
      <c r="M1440" t="s">
        <v>4899</v>
      </c>
      <c r="N1440" t="s">
        <v>64</v>
      </c>
      <c r="O1440" t="s">
        <v>46</v>
      </c>
      <c r="P1440" t="s">
        <v>46</v>
      </c>
      <c r="Y1440" t="s">
        <v>4912</v>
      </c>
    </row>
    <row r="1441" spans="1:25">
      <c r="A1441" t="s">
        <v>4913</v>
      </c>
      <c r="B1441" t="s">
        <v>4914</v>
      </c>
      <c r="D1441" t="s">
        <v>40</v>
      </c>
      <c r="E1441" t="s">
        <v>41</v>
      </c>
      <c r="J1441" t="s">
        <v>68</v>
      </c>
      <c r="K1441" t="s">
        <v>69</v>
      </c>
      <c r="L1441">
        <v>11</v>
      </c>
      <c r="M1441" t="s">
        <v>4915</v>
      </c>
      <c r="N1441" t="s">
        <v>64</v>
      </c>
      <c r="O1441" t="s">
        <v>46</v>
      </c>
      <c r="P1441" t="s">
        <v>46</v>
      </c>
      <c r="Y1441" t="s">
        <v>4916</v>
      </c>
    </row>
    <row r="1442" spans="1:25">
      <c r="A1442" t="s">
        <v>4917</v>
      </c>
      <c r="B1442" t="s">
        <v>4918</v>
      </c>
      <c r="D1442" t="s">
        <v>40</v>
      </c>
      <c r="E1442" t="s">
        <v>41</v>
      </c>
      <c r="J1442" t="s">
        <v>68</v>
      </c>
      <c r="K1442" t="s">
        <v>69</v>
      </c>
      <c r="L1442">
        <v>11</v>
      </c>
      <c r="M1442" t="s">
        <v>4915</v>
      </c>
      <c r="N1442" t="s">
        <v>64</v>
      </c>
      <c r="O1442" t="s">
        <v>46</v>
      </c>
      <c r="P1442" t="s">
        <v>46</v>
      </c>
      <c r="Y1442" t="s">
        <v>4919</v>
      </c>
    </row>
    <row r="1443" spans="1:25">
      <c r="A1443" t="s">
        <v>4920</v>
      </c>
      <c r="B1443" t="s">
        <v>4921</v>
      </c>
      <c r="D1443" t="s">
        <v>40</v>
      </c>
      <c r="E1443" t="s">
        <v>41</v>
      </c>
      <c r="J1443" t="s">
        <v>42</v>
      </c>
      <c r="K1443" t="s">
        <v>43</v>
      </c>
      <c r="L1443">
        <v>11</v>
      </c>
      <c r="M1443" t="s">
        <v>4915</v>
      </c>
      <c r="N1443" t="s">
        <v>1478</v>
      </c>
      <c r="O1443" t="s">
        <v>46</v>
      </c>
      <c r="P1443" t="s">
        <v>46</v>
      </c>
      <c r="Y1443" t="s">
        <v>4922</v>
      </c>
    </row>
    <row r="1444" spans="1:25">
      <c r="A1444" t="s">
        <v>4923</v>
      </c>
      <c r="B1444" t="s">
        <v>4924</v>
      </c>
      <c r="D1444" t="s">
        <v>40</v>
      </c>
      <c r="E1444" t="s">
        <v>41</v>
      </c>
      <c r="J1444" t="s">
        <v>182</v>
      </c>
      <c r="K1444" t="s">
        <v>183</v>
      </c>
      <c r="L1444">
        <v>11</v>
      </c>
      <c r="M1444" t="s">
        <v>4915</v>
      </c>
      <c r="N1444" t="s">
        <v>64</v>
      </c>
      <c r="O1444" t="s">
        <v>46</v>
      </c>
      <c r="P1444" t="s">
        <v>46</v>
      </c>
      <c r="Y1444" t="s">
        <v>4925</v>
      </c>
    </row>
    <row r="1445" spans="1:25">
      <c r="A1445" t="s">
        <v>4926</v>
      </c>
      <c r="B1445" t="s">
        <v>4927</v>
      </c>
      <c r="D1445" t="s">
        <v>40</v>
      </c>
      <c r="E1445" t="s">
        <v>41</v>
      </c>
      <c r="J1445" t="s">
        <v>50</v>
      </c>
      <c r="K1445" t="s">
        <v>51</v>
      </c>
      <c r="L1445">
        <v>4</v>
      </c>
      <c r="M1445" t="s">
        <v>4928</v>
      </c>
      <c r="N1445" t="s">
        <v>350</v>
      </c>
      <c r="O1445" t="s">
        <v>46</v>
      </c>
      <c r="P1445" t="s">
        <v>46</v>
      </c>
      <c r="Y1445" t="s">
        <v>4929</v>
      </c>
    </row>
    <row r="1446" spans="1:25">
      <c r="A1446" t="s">
        <v>4930</v>
      </c>
      <c r="B1446" t="s">
        <v>4931</v>
      </c>
      <c r="D1446" t="s">
        <v>40</v>
      </c>
      <c r="E1446" t="s">
        <v>41</v>
      </c>
      <c r="J1446" t="s">
        <v>264</v>
      </c>
      <c r="K1446" t="s">
        <v>265</v>
      </c>
      <c r="L1446">
        <v>11</v>
      </c>
      <c r="M1446" t="s">
        <v>4932</v>
      </c>
      <c r="N1446" t="s">
        <v>1380</v>
      </c>
      <c r="O1446" t="s">
        <v>46</v>
      </c>
      <c r="P1446" t="s">
        <v>46</v>
      </c>
      <c r="Y1446" t="s">
        <v>4933</v>
      </c>
    </row>
    <row r="1447" spans="1:25">
      <c r="A1447" t="s">
        <v>4934</v>
      </c>
      <c r="B1447" t="s">
        <v>4935</v>
      </c>
      <c r="D1447" t="s">
        <v>40</v>
      </c>
      <c r="E1447" t="s">
        <v>41</v>
      </c>
      <c r="J1447" t="s">
        <v>182</v>
      </c>
      <c r="K1447" t="s">
        <v>183</v>
      </c>
      <c r="L1447">
        <v>11</v>
      </c>
      <c r="M1447" t="s">
        <v>4936</v>
      </c>
      <c r="N1447" t="s">
        <v>64</v>
      </c>
      <c r="O1447" t="s">
        <v>46</v>
      </c>
      <c r="P1447" t="s">
        <v>46</v>
      </c>
      <c r="Y1447" t="s">
        <v>4937</v>
      </c>
    </row>
    <row r="1448" spans="1:25">
      <c r="A1448" t="s">
        <v>4938</v>
      </c>
      <c r="B1448" t="s">
        <v>4939</v>
      </c>
      <c r="D1448" t="s">
        <v>40</v>
      </c>
      <c r="E1448" t="s">
        <v>41</v>
      </c>
      <c r="J1448" t="s">
        <v>68</v>
      </c>
      <c r="K1448" t="s">
        <v>69</v>
      </c>
      <c r="L1448">
        <v>11</v>
      </c>
      <c r="M1448" t="s">
        <v>4936</v>
      </c>
      <c r="N1448" t="s">
        <v>64</v>
      </c>
      <c r="O1448" t="s">
        <v>46</v>
      </c>
      <c r="P1448" t="s">
        <v>46</v>
      </c>
      <c r="Y1448" t="s">
        <v>4940</v>
      </c>
    </row>
    <row r="1449" spans="1:25">
      <c r="A1449" t="s">
        <v>4941</v>
      </c>
      <c r="B1449" t="s">
        <v>4942</v>
      </c>
      <c r="D1449" t="s">
        <v>40</v>
      </c>
      <c r="E1449" t="s">
        <v>41</v>
      </c>
      <c r="J1449" t="s">
        <v>62</v>
      </c>
      <c r="K1449" t="s">
        <v>63</v>
      </c>
      <c r="L1449">
        <v>11</v>
      </c>
      <c r="M1449" t="s">
        <v>4936</v>
      </c>
      <c r="N1449" t="s">
        <v>64</v>
      </c>
      <c r="O1449" t="s">
        <v>46</v>
      </c>
      <c r="P1449" t="s">
        <v>46</v>
      </c>
      <c r="Y1449" t="s">
        <v>4943</v>
      </c>
    </row>
    <row r="1450" spans="1:25">
      <c r="A1450" t="s">
        <v>4944</v>
      </c>
      <c r="B1450" t="s">
        <v>4945</v>
      </c>
      <c r="D1450" t="s">
        <v>40</v>
      </c>
      <c r="E1450" t="s">
        <v>41</v>
      </c>
      <c r="J1450" t="s">
        <v>62</v>
      </c>
      <c r="K1450" t="s">
        <v>63</v>
      </c>
      <c r="L1450">
        <v>11</v>
      </c>
      <c r="M1450" t="s">
        <v>4946</v>
      </c>
      <c r="N1450" t="s">
        <v>64</v>
      </c>
      <c r="O1450" t="s">
        <v>46</v>
      </c>
      <c r="P1450" t="s">
        <v>46</v>
      </c>
      <c r="Y1450" t="s">
        <v>4947</v>
      </c>
    </row>
    <row r="1451" spans="1:25">
      <c r="A1451" t="s">
        <v>4948</v>
      </c>
      <c r="B1451" t="s">
        <v>4949</v>
      </c>
      <c r="D1451" t="s">
        <v>40</v>
      </c>
      <c r="E1451" t="s">
        <v>41</v>
      </c>
      <c r="J1451" t="s">
        <v>182</v>
      </c>
      <c r="K1451" t="s">
        <v>183</v>
      </c>
      <c r="L1451">
        <v>11</v>
      </c>
      <c r="M1451" t="s">
        <v>4946</v>
      </c>
      <c r="N1451" t="s">
        <v>64</v>
      </c>
      <c r="O1451" t="s">
        <v>46</v>
      </c>
      <c r="P1451" t="s">
        <v>46</v>
      </c>
      <c r="Y1451" t="s">
        <v>4950</v>
      </c>
    </row>
    <row r="1452" spans="1:25">
      <c r="A1452" t="s">
        <v>4951</v>
      </c>
      <c r="B1452" t="s">
        <v>4952</v>
      </c>
      <c r="D1452" t="s">
        <v>40</v>
      </c>
      <c r="E1452" t="s">
        <v>41</v>
      </c>
      <c r="J1452" t="s">
        <v>62</v>
      </c>
      <c r="K1452" t="s">
        <v>63</v>
      </c>
      <c r="L1452">
        <v>11</v>
      </c>
      <c r="M1452" t="s">
        <v>4946</v>
      </c>
      <c r="N1452" t="s">
        <v>64</v>
      </c>
      <c r="O1452" t="s">
        <v>46</v>
      </c>
      <c r="P1452" t="s">
        <v>46</v>
      </c>
      <c r="Y1452" t="s">
        <v>4953</v>
      </c>
    </row>
    <row r="1453" spans="1:25">
      <c r="A1453" t="s">
        <v>4954</v>
      </c>
      <c r="B1453" t="s">
        <v>4955</v>
      </c>
      <c r="D1453" t="s">
        <v>40</v>
      </c>
      <c r="E1453" t="s">
        <v>41</v>
      </c>
      <c r="J1453" t="s">
        <v>76</v>
      </c>
      <c r="K1453" t="s">
        <v>77</v>
      </c>
      <c r="L1453">
        <v>11</v>
      </c>
      <c r="M1453" t="s">
        <v>4946</v>
      </c>
      <c r="N1453" t="s">
        <v>64</v>
      </c>
      <c r="O1453" t="s">
        <v>46</v>
      </c>
      <c r="P1453" t="s">
        <v>46</v>
      </c>
      <c r="Y1453" t="s">
        <v>4956</v>
      </c>
    </row>
    <row r="1454" spans="1:25">
      <c r="A1454" t="s">
        <v>4957</v>
      </c>
      <c r="B1454" t="s">
        <v>4958</v>
      </c>
      <c r="D1454" t="s">
        <v>40</v>
      </c>
      <c r="E1454" t="s">
        <v>41</v>
      </c>
      <c r="J1454" t="s">
        <v>68</v>
      </c>
      <c r="K1454" t="s">
        <v>69</v>
      </c>
      <c r="L1454">
        <v>11</v>
      </c>
      <c r="M1454" t="s">
        <v>4946</v>
      </c>
      <c r="N1454" t="s">
        <v>64</v>
      </c>
      <c r="O1454" t="s">
        <v>46</v>
      </c>
      <c r="P1454" t="s">
        <v>46</v>
      </c>
      <c r="Y1454" t="s">
        <v>4959</v>
      </c>
    </row>
    <row r="1455" spans="1:25">
      <c r="A1455" t="s">
        <v>4960</v>
      </c>
      <c r="B1455" t="s">
        <v>4961</v>
      </c>
      <c r="D1455" t="s">
        <v>40</v>
      </c>
      <c r="E1455" t="s">
        <v>41</v>
      </c>
      <c r="J1455" t="s">
        <v>68</v>
      </c>
      <c r="K1455" t="s">
        <v>69</v>
      </c>
      <c r="L1455">
        <v>11</v>
      </c>
      <c r="M1455" t="s">
        <v>4946</v>
      </c>
      <c r="N1455" t="s">
        <v>64</v>
      </c>
      <c r="O1455" t="s">
        <v>46</v>
      </c>
      <c r="P1455" t="s">
        <v>46</v>
      </c>
      <c r="Y1455" t="s">
        <v>4962</v>
      </c>
    </row>
    <row r="1456" spans="1:25">
      <c r="A1456" t="s">
        <v>4963</v>
      </c>
      <c r="B1456" t="s">
        <v>4964</v>
      </c>
      <c r="D1456" t="s">
        <v>40</v>
      </c>
      <c r="E1456" t="s">
        <v>41</v>
      </c>
      <c r="J1456" t="s">
        <v>76</v>
      </c>
      <c r="K1456" t="s">
        <v>77</v>
      </c>
      <c r="L1456">
        <v>11</v>
      </c>
      <c r="M1456" t="s">
        <v>4946</v>
      </c>
      <c r="N1456" t="s">
        <v>64</v>
      </c>
      <c r="O1456" t="s">
        <v>46</v>
      </c>
      <c r="P1456" t="s">
        <v>46</v>
      </c>
      <c r="Y1456" t="s">
        <v>4965</v>
      </c>
    </row>
    <row r="1457" spans="1:25">
      <c r="A1457" t="s">
        <v>4966</v>
      </c>
      <c r="B1457" t="s">
        <v>4967</v>
      </c>
      <c r="D1457" t="s">
        <v>40</v>
      </c>
      <c r="E1457" t="s">
        <v>41</v>
      </c>
      <c r="J1457" t="s">
        <v>68</v>
      </c>
      <c r="K1457" t="s">
        <v>69</v>
      </c>
      <c r="L1457">
        <v>11</v>
      </c>
      <c r="M1457" t="s">
        <v>4946</v>
      </c>
      <c r="N1457" t="s">
        <v>64</v>
      </c>
      <c r="O1457" t="s">
        <v>46</v>
      </c>
      <c r="P1457" t="s">
        <v>46</v>
      </c>
      <c r="Y1457" t="s">
        <v>4968</v>
      </c>
    </row>
    <row r="1458" spans="1:25">
      <c r="A1458" t="s">
        <v>4969</v>
      </c>
      <c r="B1458" t="s">
        <v>4970</v>
      </c>
      <c r="D1458" t="s">
        <v>40</v>
      </c>
      <c r="E1458" t="s">
        <v>41</v>
      </c>
      <c r="J1458" t="s">
        <v>248</v>
      </c>
      <c r="K1458" t="s">
        <v>249</v>
      </c>
      <c r="L1458">
        <v>11</v>
      </c>
      <c r="M1458" t="s">
        <v>4971</v>
      </c>
      <c r="N1458" t="s">
        <v>1024</v>
      </c>
      <c r="O1458" t="s">
        <v>46</v>
      </c>
      <c r="P1458" t="s">
        <v>46</v>
      </c>
      <c r="Y1458" t="s">
        <v>4972</v>
      </c>
    </row>
    <row r="1459" spans="1:25">
      <c r="A1459" t="s">
        <v>4973</v>
      </c>
      <c r="B1459" t="s">
        <v>4974</v>
      </c>
      <c r="D1459" t="s">
        <v>40</v>
      </c>
      <c r="E1459" t="s">
        <v>41</v>
      </c>
      <c r="J1459" t="s">
        <v>68</v>
      </c>
      <c r="K1459" t="s">
        <v>69</v>
      </c>
      <c r="L1459">
        <v>11</v>
      </c>
      <c r="M1459" t="s">
        <v>4971</v>
      </c>
      <c r="N1459" t="s">
        <v>64</v>
      </c>
      <c r="O1459" t="s">
        <v>46</v>
      </c>
      <c r="P1459" t="s">
        <v>46</v>
      </c>
      <c r="Y1459" t="s">
        <v>4975</v>
      </c>
    </row>
    <row r="1460" spans="1:25">
      <c r="A1460" t="s">
        <v>4976</v>
      </c>
      <c r="B1460" t="s">
        <v>4977</v>
      </c>
      <c r="D1460" t="s">
        <v>40</v>
      </c>
      <c r="E1460" t="s">
        <v>41</v>
      </c>
      <c r="J1460" t="s">
        <v>182</v>
      </c>
      <c r="K1460" t="s">
        <v>183</v>
      </c>
      <c r="L1460">
        <v>11</v>
      </c>
      <c r="M1460" t="s">
        <v>4971</v>
      </c>
      <c r="N1460" t="s">
        <v>64</v>
      </c>
      <c r="O1460" t="s">
        <v>46</v>
      </c>
      <c r="P1460" t="s">
        <v>46</v>
      </c>
      <c r="Y1460" t="s">
        <v>4978</v>
      </c>
    </row>
    <row r="1461" spans="1:25">
      <c r="A1461" t="s">
        <v>4979</v>
      </c>
      <c r="B1461" t="s">
        <v>4980</v>
      </c>
      <c r="D1461" t="s">
        <v>40</v>
      </c>
      <c r="E1461" t="s">
        <v>41</v>
      </c>
      <c r="J1461" t="s">
        <v>62</v>
      </c>
      <c r="K1461" t="s">
        <v>63</v>
      </c>
      <c r="L1461">
        <v>11</v>
      </c>
      <c r="M1461" t="s">
        <v>4971</v>
      </c>
      <c r="N1461" t="s">
        <v>64</v>
      </c>
      <c r="O1461" t="s">
        <v>46</v>
      </c>
      <c r="P1461" t="s">
        <v>46</v>
      </c>
      <c r="Y1461" t="s">
        <v>4981</v>
      </c>
    </row>
    <row r="1462" spans="1:25">
      <c r="A1462" t="s">
        <v>4982</v>
      </c>
      <c r="B1462" t="s">
        <v>4983</v>
      </c>
      <c r="D1462" t="s">
        <v>40</v>
      </c>
      <c r="E1462" t="s">
        <v>41</v>
      </c>
      <c r="J1462" t="s">
        <v>182</v>
      </c>
      <c r="K1462" t="s">
        <v>183</v>
      </c>
      <c r="L1462">
        <v>11</v>
      </c>
      <c r="M1462" t="s">
        <v>4971</v>
      </c>
      <c r="N1462" t="s">
        <v>64</v>
      </c>
      <c r="O1462" t="s">
        <v>46</v>
      </c>
      <c r="P1462" t="s">
        <v>46</v>
      </c>
      <c r="Y1462" t="s">
        <v>4984</v>
      </c>
    </row>
    <row r="1463" spans="1:25">
      <c r="A1463" t="s">
        <v>4985</v>
      </c>
      <c r="B1463" t="s">
        <v>4986</v>
      </c>
      <c r="D1463" t="s">
        <v>40</v>
      </c>
      <c r="E1463" t="s">
        <v>41</v>
      </c>
      <c r="J1463" t="s">
        <v>182</v>
      </c>
      <c r="K1463" t="s">
        <v>183</v>
      </c>
      <c r="L1463">
        <v>11</v>
      </c>
      <c r="M1463" t="s">
        <v>4971</v>
      </c>
      <c r="N1463" t="s">
        <v>64</v>
      </c>
      <c r="O1463" t="s">
        <v>46</v>
      </c>
      <c r="P1463" t="s">
        <v>46</v>
      </c>
      <c r="Y1463" t="s">
        <v>4987</v>
      </c>
    </row>
    <row r="1464" spans="1:25">
      <c r="A1464" t="s">
        <v>4988</v>
      </c>
      <c r="B1464" t="s">
        <v>4989</v>
      </c>
      <c r="D1464" t="s">
        <v>40</v>
      </c>
      <c r="E1464" t="s">
        <v>41</v>
      </c>
      <c r="J1464" t="s">
        <v>182</v>
      </c>
      <c r="K1464" t="s">
        <v>183</v>
      </c>
      <c r="L1464">
        <v>11</v>
      </c>
      <c r="M1464" t="s">
        <v>4971</v>
      </c>
      <c r="N1464" t="s">
        <v>64</v>
      </c>
      <c r="O1464" t="s">
        <v>46</v>
      </c>
      <c r="P1464" t="s">
        <v>46</v>
      </c>
      <c r="Y1464" t="s">
        <v>4990</v>
      </c>
    </row>
    <row r="1465" spans="1:25">
      <c r="A1465" t="s">
        <v>4991</v>
      </c>
      <c r="B1465" t="s">
        <v>4992</v>
      </c>
      <c r="D1465" t="s">
        <v>40</v>
      </c>
      <c r="E1465" t="s">
        <v>41</v>
      </c>
      <c r="G1465" t="s">
        <v>4993</v>
      </c>
      <c r="J1465" t="s">
        <v>42</v>
      </c>
      <c r="K1465" t="s">
        <v>43</v>
      </c>
      <c r="L1465">
        <v>11</v>
      </c>
      <c r="M1465" t="s">
        <v>4971</v>
      </c>
      <c r="N1465" t="s">
        <v>1344</v>
      </c>
      <c r="O1465" t="s">
        <v>46</v>
      </c>
      <c r="P1465" t="s">
        <v>4994</v>
      </c>
      <c r="Y1465" t="s">
        <v>4995</v>
      </c>
    </row>
    <row r="1466" spans="1:25">
      <c r="A1466" t="s">
        <v>4996</v>
      </c>
      <c r="B1466" t="s">
        <v>4997</v>
      </c>
      <c r="D1466" t="s">
        <v>40</v>
      </c>
      <c r="E1466" t="s">
        <v>41</v>
      </c>
      <c r="J1466" t="s">
        <v>62</v>
      </c>
      <c r="K1466" t="s">
        <v>63</v>
      </c>
      <c r="L1466">
        <v>11</v>
      </c>
      <c r="M1466" t="s">
        <v>4971</v>
      </c>
      <c r="N1466" t="s">
        <v>64</v>
      </c>
      <c r="O1466" t="s">
        <v>46</v>
      </c>
      <c r="P1466" t="s">
        <v>46</v>
      </c>
      <c r="Y1466" t="s">
        <v>4998</v>
      </c>
    </row>
    <row r="1467" spans="1:25">
      <c r="A1467" t="s">
        <v>4999</v>
      </c>
      <c r="B1467" t="s">
        <v>5000</v>
      </c>
      <c r="D1467" t="s">
        <v>40</v>
      </c>
      <c r="E1467" t="s">
        <v>41</v>
      </c>
      <c r="J1467" t="s">
        <v>68</v>
      </c>
      <c r="K1467" t="s">
        <v>69</v>
      </c>
      <c r="L1467">
        <v>11</v>
      </c>
      <c r="M1467" t="s">
        <v>4971</v>
      </c>
      <c r="N1467" t="s">
        <v>64</v>
      </c>
      <c r="O1467" t="s">
        <v>46</v>
      </c>
      <c r="P1467" t="s">
        <v>46</v>
      </c>
      <c r="Y1467" t="s">
        <v>5001</v>
      </c>
    </row>
    <row r="1468" spans="1:25">
      <c r="A1468" t="s">
        <v>5002</v>
      </c>
      <c r="B1468" t="s">
        <v>5003</v>
      </c>
      <c r="D1468" t="s">
        <v>40</v>
      </c>
      <c r="E1468" t="s">
        <v>41</v>
      </c>
      <c r="J1468" t="s">
        <v>42</v>
      </c>
      <c r="K1468" t="s">
        <v>43</v>
      </c>
      <c r="L1468">
        <v>11</v>
      </c>
      <c r="M1468" t="s">
        <v>4971</v>
      </c>
      <c r="N1468" t="s">
        <v>1814</v>
      </c>
      <c r="O1468" t="s">
        <v>46</v>
      </c>
      <c r="P1468" t="s">
        <v>46</v>
      </c>
      <c r="Y1468" t="s">
        <v>5004</v>
      </c>
    </row>
    <row r="1469" spans="1:25">
      <c r="A1469" t="s">
        <v>5005</v>
      </c>
      <c r="B1469" t="s">
        <v>5006</v>
      </c>
      <c r="D1469" t="s">
        <v>40</v>
      </c>
      <c r="E1469" t="s">
        <v>41</v>
      </c>
      <c r="J1469" t="s">
        <v>182</v>
      </c>
      <c r="K1469" t="s">
        <v>183</v>
      </c>
      <c r="L1469">
        <v>11</v>
      </c>
      <c r="M1469" t="s">
        <v>4971</v>
      </c>
      <c r="N1469" t="s">
        <v>64</v>
      </c>
      <c r="O1469" t="s">
        <v>46</v>
      </c>
      <c r="P1469" t="s">
        <v>46</v>
      </c>
      <c r="Y1469" t="s">
        <v>5007</v>
      </c>
    </row>
    <row r="1470" spans="1:25">
      <c r="A1470" t="s">
        <v>5008</v>
      </c>
      <c r="B1470" t="s">
        <v>5009</v>
      </c>
      <c r="D1470" t="s">
        <v>40</v>
      </c>
      <c r="E1470" t="s">
        <v>41</v>
      </c>
      <c r="J1470" t="s">
        <v>42</v>
      </c>
      <c r="K1470" t="s">
        <v>43</v>
      </c>
      <c r="L1470">
        <v>10</v>
      </c>
      <c r="M1470" t="s">
        <v>5010</v>
      </c>
      <c r="N1470" t="s">
        <v>1047</v>
      </c>
      <c r="O1470" t="s">
        <v>46</v>
      </c>
      <c r="P1470" t="s">
        <v>46</v>
      </c>
      <c r="Y1470" t="s">
        <v>5011</v>
      </c>
    </row>
    <row r="1471" spans="1:25">
      <c r="A1471" t="s">
        <v>5012</v>
      </c>
      <c r="B1471" t="s">
        <v>5013</v>
      </c>
      <c r="D1471" t="s">
        <v>40</v>
      </c>
      <c r="E1471" t="s">
        <v>41</v>
      </c>
      <c r="J1471" t="s">
        <v>68</v>
      </c>
      <c r="K1471" t="s">
        <v>69</v>
      </c>
      <c r="L1471">
        <v>10</v>
      </c>
      <c r="M1471" t="s">
        <v>5010</v>
      </c>
      <c r="N1471" t="s">
        <v>64</v>
      </c>
      <c r="O1471" t="s">
        <v>46</v>
      </c>
      <c r="P1471" t="s">
        <v>46</v>
      </c>
      <c r="Y1471" t="s">
        <v>5014</v>
      </c>
    </row>
    <row r="1472" spans="1:25">
      <c r="A1472" t="s">
        <v>5015</v>
      </c>
      <c r="B1472" t="s">
        <v>5016</v>
      </c>
      <c r="D1472" t="s">
        <v>40</v>
      </c>
      <c r="E1472" t="s">
        <v>41</v>
      </c>
      <c r="J1472" t="s">
        <v>76</v>
      </c>
      <c r="K1472" t="s">
        <v>77</v>
      </c>
      <c r="L1472">
        <v>10</v>
      </c>
      <c r="M1472" t="s">
        <v>5010</v>
      </c>
      <c r="N1472" t="s">
        <v>64</v>
      </c>
      <c r="O1472" t="s">
        <v>46</v>
      </c>
      <c r="P1472" t="s">
        <v>46</v>
      </c>
      <c r="Y1472" t="s">
        <v>5017</v>
      </c>
    </row>
    <row r="1473" spans="1:25">
      <c r="A1473" t="s">
        <v>5018</v>
      </c>
      <c r="B1473" t="s">
        <v>5019</v>
      </c>
      <c r="D1473" t="s">
        <v>40</v>
      </c>
      <c r="E1473" t="s">
        <v>41</v>
      </c>
      <c r="J1473" t="s">
        <v>182</v>
      </c>
      <c r="K1473" t="s">
        <v>183</v>
      </c>
      <c r="L1473">
        <v>10</v>
      </c>
      <c r="M1473" t="s">
        <v>5010</v>
      </c>
      <c r="N1473" t="s">
        <v>64</v>
      </c>
      <c r="O1473" t="s">
        <v>46</v>
      </c>
      <c r="P1473" t="s">
        <v>46</v>
      </c>
      <c r="Y1473" t="s">
        <v>5020</v>
      </c>
    </row>
    <row r="1474" spans="1:25">
      <c r="A1474" t="s">
        <v>5021</v>
      </c>
      <c r="B1474" t="s">
        <v>5022</v>
      </c>
      <c r="D1474" t="s">
        <v>40</v>
      </c>
      <c r="E1474" t="s">
        <v>41</v>
      </c>
      <c r="J1474" t="s">
        <v>1214</v>
      </c>
      <c r="K1474" t="s">
        <v>1215</v>
      </c>
      <c r="L1474">
        <v>10</v>
      </c>
      <c r="M1474" t="s">
        <v>5010</v>
      </c>
      <c r="N1474" t="s">
        <v>165</v>
      </c>
      <c r="O1474" t="s">
        <v>46</v>
      </c>
      <c r="P1474" t="s">
        <v>46</v>
      </c>
      <c r="Y1474" t="s">
        <v>5023</v>
      </c>
    </row>
    <row r="1475" spans="1:25">
      <c r="A1475" t="s">
        <v>5024</v>
      </c>
      <c r="B1475" t="s">
        <v>5025</v>
      </c>
      <c r="D1475" t="s">
        <v>40</v>
      </c>
      <c r="E1475" t="s">
        <v>41</v>
      </c>
      <c r="J1475" t="s">
        <v>182</v>
      </c>
      <c r="K1475" t="s">
        <v>183</v>
      </c>
      <c r="L1475">
        <v>10</v>
      </c>
      <c r="M1475" t="s">
        <v>5026</v>
      </c>
      <c r="N1475" t="s">
        <v>64</v>
      </c>
      <c r="O1475" t="s">
        <v>46</v>
      </c>
      <c r="P1475" t="s">
        <v>46</v>
      </c>
      <c r="Y1475" t="s">
        <v>5027</v>
      </c>
    </row>
    <row r="1476" spans="1:25">
      <c r="A1476" t="s">
        <v>5028</v>
      </c>
      <c r="B1476" t="s">
        <v>5029</v>
      </c>
      <c r="D1476" t="s">
        <v>40</v>
      </c>
      <c r="E1476" t="s">
        <v>41</v>
      </c>
      <c r="J1476" t="s">
        <v>68</v>
      </c>
      <c r="K1476" t="s">
        <v>69</v>
      </c>
      <c r="L1476">
        <v>10</v>
      </c>
      <c r="M1476" t="s">
        <v>5026</v>
      </c>
      <c r="N1476" t="s">
        <v>64</v>
      </c>
      <c r="O1476" t="s">
        <v>46</v>
      </c>
      <c r="P1476" t="s">
        <v>46</v>
      </c>
      <c r="Y1476" t="s">
        <v>5030</v>
      </c>
    </row>
    <row r="1477" spans="1:25">
      <c r="A1477" t="s">
        <v>5031</v>
      </c>
      <c r="B1477" t="s">
        <v>5032</v>
      </c>
      <c r="D1477" t="s">
        <v>40</v>
      </c>
      <c r="E1477" t="s">
        <v>41</v>
      </c>
      <c r="J1477" t="s">
        <v>182</v>
      </c>
      <c r="K1477" t="s">
        <v>183</v>
      </c>
      <c r="L1477">
        <v>10</v>
      </c>
      <c r="M1477" t="s">
        <v>5026</v>
      </c>
      <c r="N1477" t="s">
        <v>64</v>
      </c>
      <c r="O1477" t="s">
        <v>46</v>
      </c>
      <c r="P1477" t="s">
        <v>46</v>
      </c>
      <c r="Y1477" t="s">
        <v>5033</v>
      </c>
    </row>
    <row r="1478" spans="1:25">
      <c r="A1478" t="s">
        <v>5034</v>
      </c>
      <c r="B1478" t="s">
        <v>5035</v>
      </c>
      <c r="D1478" t="s">
        <v>40</v>
      </c>
      <c r="E1478" t="s">
        <v>41</v>
      </c>
      <c r="J1478" t="s">
        <v>68</v>
      </c>
      <c r="K1478" t="s">
        <v>69</v>
      </c>
      <c r="L1478">
        <v>10</v>
      </c>
      <c r="M1478" t="s">
        <v>5026</v>
      </c>
      <c r="N1478" t="s">
        <v>64</v>
      </c>
      <c r="O1478" t="s">
        <v>46</v>
      </c>
      <c r="P1478" t="s">
        <v>46</v>
      </c>
      <c r="Y1478" t="s">
        <v>5036</v>
      </c>
    </row>
    <row r="1479" spans="1:25">
      <c r="A1479" t="s">
        <v>5037</v>
      </c>
      <c r="B1479" t="s">
        <v>5038</v>
      </c>
      <c r="D1479" t="s">
        <v>40</v>
      </c>
      <c r="E1479" t="s">
        <v>41</v>
      </c>
      <c r="J1479" t="s">
        <v>68</v>
      </c>
      <c r="K1479" t="s">
        <v>69</v>
      </c>
      <c r="L1479">
        <v>10</v>
      </c>
      <c r="M1479" t="s">
        <v>5026</v>
      </c>
      <c r="N1479" t="s">
        <v>64</v>
      </c>
      <c r="O1479" t="s">
        <v>46</v>
      </c>
      <c r="P1479" t="s">
        <v>46</v>
      </c>
      <c r="Y1479" t="s">
        <v>5039</v>
      </c>
    </row>
    <row r="1480" spans="1:25">
      <c r="A1480" t="s">
        <v>5040</v>
      </c>
      <c r="B1480" t="s">
        <v>5041</v>
      </c>
      <c r="D1480" t="s">
        <v>40</v>
      </c>
      <c r="E1480" t="s">
        <v>41</v>
      </c>
      <c r="J1480" t="s">
        <v>68</v>
      </c>
      <c r="K1480" t="s">
        <v>69</v>
      </c>
      <c r="L1480">
        <v>10</v>
      </c>
      <c r="M1480" t="s">
        <v>5042</v>
      </c>
      <c r="N1480" t="s">
        <v>64</v>
      </c>
      <c r="O1480" t="s">
        <v>46</v>
      </c>
      <c r="P1480" t="s">
        <v>46</v>
      </c>
      <c r="Y1480" t="s">
        <v>5043</v>
      </c>
    </row>
    <row r="1481" spans="1:25">
      <c r="A1481" t="s">
        <v>5044</v>
      </c>
      <c r="B1481" t="s">
        <v>5045</v>
      </c>
      <c r="D1481" t="s">
        <v>40</v>
      </c>
      <c r="E1481" t="s">
        <v>41</v>
      </c>
      <c r="J1481" t="s">
        <v>182</v>
      </c>
      <c r="K1481" t="s">
        <v>183</v>
      </c>
      <c r="L1481">
        <v>10</v>
      </c>
      <c r="M1481" t="s">
        <v>5042</v>
      </c>
      <c r="N1481" t="s">
        <v>64</v>
      </c>
      <c r="O1481" t="s">
        <v>46</v>
      </c>
      <c r="P1481" t="s">
        <v>46</v>
      </c>
      <c r="Y1481" t="s">
        <v>5046</v>
      </c>
    </row>
    <row r="1482" spans="1:25">
      <c r="A1482" t="s">
        <v>5047</v>
      </c>
      <c r="B1482" t="s">
        <v>5048</v>
      </c>
      <c r="D1482" t="s">
        <v>40</v>
      </c>
      <c r="E1482" t="s">
        <v>41</v>
      </c>
      <c r="J1482" t="s">
        <v>182</v>
      </c>
      <c r="K1482" t="s">
        <v>183</v>
      </c>
      <c r="L1482">
        <v>10</v>
      </c>
      <c r="M1482" t="s">
        <v>5049</v>
      </c>
      <c r="N1482" t="s">
        <v>64</v>
      </c>
      <c r="O1482" t="s">
        <v>46</v>
      </c>
      <c r="P1482" t="s">
        <v>46</v>
      </c>
      <c r="Y1482" t="s">
        <v>5050</v>
      </c>
    </row>
    <row r="1483" spans="1:25">
      <c r="A1483" t="s">
        <v>5051</v>
      </c>
      <c r="B1483" t="s">
        <v>5052</v>
      </c>
      <c r="D1483" t="s">
        <v>40</v>
      </c>
      <c r="E1483" t="s">
        <v>41</v>
      </c>
      <c r="J1483" t="s">
        <v>182</v>
      </c>
      <c r="K1483" t="s">
        <v>183</v>
      </c>
      <c r="L1483">
        <v>10</v>
      </c>
      <c r="M1483" t="s">
        <v>5049</v>
      </c>
      <c r="N1483" t="s">
        <v>64</v>
      </c>
      <c r="O1483" t="s">
        <v>46</v>
      </c>
      <c r="P1483" t="s">
        <v>46</v>
      </c>
      <c r="Y1483" t="s">
        <v>5053</v>
      </c>
    </row>
    <row r="1484" spans="1:25">
      <c r="A1484" t="s">
        <v>5054</v>
      </c>
      <c r="B1484" t="s">
        <v>5055</v>
      </c>
      <c r="D1484" t="s">
        <v>40</v>
      </c>
      <c r="E1484" t="s">
        <v>41</v>
      </c>
      <c r="J1484" t="s">
        <v>182</v>
      </c>
      <c r="K1484" t="s">
        <v>183</v>
      </c>
      <c r="L1484">
        <v>10</v>
      </c>
      <c r="M1484" t="s">
        <v>5049</v>
      </c>
      <c r="N1484" t="s">
        <v>64</v>
      </c>
      <c r="O1484" t="s">
        <v>46</v>
      </c>
      <c r="P1484" t="s">
        <v>46</v>
      </c>
      <c r="Y1484" t="s">
        <v>5056</v>
      </c>
    </row>
    <row r="1485" spans="1:25">
      <c r="A1485" t="s">
        <v>5057</v>
      </c>
      <c r="B1485" t="s">
        <v>5058</v>
      </c>
      <c r="D1485" t="s">
        <v>40</v>
      </c>
      <c r="E1485" t="s">
        <v>41</v>
      </c>
      <c r="J1485" t="s">
        <v>182</v>
      </c>
      <c r="K1485" t="s">
        <v>183</v>
      </c>
      <c r="L1485">
        <v>10</v>
      </c>
      <c r="M1485" t="s">
        <v>5049</v>
      </c>
      <c r="N1485" t="s">
        <v>64</v>
      </c>
      <c r="O1485" t="s">
        <v>46</v>
      </c>
      <c r="P1485" t="s">
        <v>46</v>
      </c>
      <c r="Y1485" t="s">
        <v>5059</v>
      </c>
    </row>
    <row r="1486" spans="1:25">
      <c r="A1486" t="s">
        <v>5060</v>
      </c>
      <c r="B1486" t="s">
        <v>5061</v>
      </c>
      <c r="D1486" t="s">
        <v>40</v>
      </c>
      <c r="E1486" t="s">
        <v>41</v>
      </c>
      <c r="J1486" t="s">
        <v>182</v>
      </c>
      <c r="K1486" t="s">
        <v>183</v>
      </c>
      <c r="L1486">
        <v>10</v>
      </c>
      <c r="M1486" t="s">
        <v>5049</v>
      </c>
      <c r="N1486" t="s">
        <v>64</v>
      </c>
      <c r="O1486" t="s">
        <v>46</v>
      </c>
      <c r="P1486" t="s">
        <v>46</v>
      </c>
      <c r="Y1486" t="s">
        <v>5062</v>
      </c>
    </row>
    <row r="1487" spans="1:25">
      <c r="A1487" t="s">
        <v>5063</v>
      </c>
      <c r="B1487" t="s">
        <v>5064</v>
      </c>
      <c r="D1487" t="s">
        <v>40</v>
      </c>
      <c r="E1487" t="s">
        <v>41</v>
      </c>
      <c r="J1487" t="s">
        <v>76</v>
      </c>
      <c r="K1487" t="s">
        <v>77</v>
      </c>
      <c r="L1487">
        <v>10</v>
      </c>
      <c r="M1487" t="s">
        <v>5065</v>
      </c>
      <c r="N1487" t="s">
        <v>64</v>
      </c>
      <c r="O1487" t="s">
        <v>46</v>
      </c>
      <c r="P1487" t="s">
        <v>46</v>
      </c>
      <c r="Y1487" t="s">
        <v>5066</v>
      </c>
    </row>
    <row r="1488" spans="1:25">
      <c r="A1488" t="s">
        <v>5067</v>
      </c>
      <c r="B1488" t="s">
        <v>5068</v>
      </c>
      <c r="D1488" t="s">
        <v>40</v>
      </c>
      <c r="E1488" t="s">
        <v>41</v>
      </c>
      <c r="J1488" t="s">
        <v>76</v>
      </c>
      <c r="K1488" t="s">
        <v>77</v>
      </c>
      <c r="L1488">
        <v>10</v>
      </c>
      <c r="M1488" t="s">
        <v>5065</v>
      </c>
      <c r="N1488" t="s">
        <v>64</v>
      </c>
      <c r="O1488" t="s">
        <v>46</v>
      </c>
      <c r="P1488" t="s">
        <v>46</v>
      </c>
      <c r="Y1488" t="s">
        <v>5069</v>
      </c>
    </row>
    <row r="1489" spans="1:25">
      <c r="A1489" t="s">
        <v>5070</v>
      </c>
      <c r="B1489" t="s">
        <v>5071</v>
      </c>
      <c r="D1489" t="s">
        <v>40</v>
      </c>
      <c r="E1489" t="s">
        <v>41</v>
      </c>
      <c r="J1489" t="s">
        <v>76</v>
      </c>
      <c r="K1489" t="s">
        <v>77</v>
      </c>
      <c r="L1489">
        <v>10</v>
      </c>
      <c r="M1489" t="s">
        <v>5065</v>
      </c>
      <c r="N1489" t="s">
        <v>64</v>
      </c>
      <c r="O1489" t="s">
        <v>46</v>
      </c>
      <c r="P1489" t="s">
        <v>46</v>
      </c>
      <c r="Y1489" t="s">
        <v>5072</v>
      </c>
    </row>
    <row r="1490" spans="1:25">
      <c r="A1490" t="s">
        <v>5073</v>
      </c>
      <c r="B1490" t="s">
        <v>5074</v>
      </c>
      <c r="D1490" t="s">
        <v>40</v>
      </c>
      <c r="E1490" t="s">
        <v>41</v>
      </c>
      <c r="J1490" t="s">
        <v>182</v>
      </c>
      <c r="K1490" t="s">
        <v>183</v>
      </c>
      <c r="L1490">
        <v>10</v>
      </c>
      <c r="M1490" t="s">
        <v>5065</v>
      </c>
      <c r="N1490" t="s">
        <v>64</v>
      </c>
      <c r="O1490" t="s">
        <v>46</v>
      </c>
      <c r="P1490" t="s">
        <v>46</v>
      </c>
      <c r="Y1490" t="s">
        <v>5075</v>
      </c>
    </row>
    <row r="1491" spans="1:25">
      <c r="A1491" t="s">
        <v>5076</v>
      </c>
      <c r="B1491" t="s">
        <v>5077</v>
      </c>
      <c r="D1491" t="s">
        <v>40</v>
      </c>
      <c r="E1491" t="s">
        <v>41</v>
      </c>
      <c r="J1491" t="s">
        <v>42</v>
      </c>
      <c r="K1491" t="s">
        <v>43</v>
      </c>
      <c r="L1491">
        <v>10</v>
      </c>
      <c r="M1491" t="s">
        <v>5065</v>
      </c>
      <c r="N1491" t="s">
        <v>310</v>
      </c>
      <c r="O1491" t="s">
        <v>46</v>
      </c>
      <c r="P1491" t="s">
        <v>46</v>
      </c>
      <c r="Y1491" t="s">
        <v>5078</v>
      </c>
    </row>
    <row r="1492" spans="1:25">
      <c r="A1492" t="s">
        <v>5079</v>
      </c>
      <c r="B1492" t="s">
        <v>5080</v>
      </c>
      <c r="D1492" t="s">
        <v>40</v>
      </c>
      <c r="E1492" t="s">
        <v>41</v>
      </c>
      <c r="J1492" t="s">
        <v>68</v>
      </c>
      <c r="K1492" t="s">
        <v>69</v>
      </c>
      <c r="L1492">
        <v>10</v>
      </c>
      <c r="M1492" t="s">
        <v>5081</v>
      </c>
      <c r="N1492" t="s">
        <v>64</v>
      </c>
      <c r="O1492" t="s">
        <v>46</v>
      </c>
      <c r="P1492" t="s">
        <v>46</v>
      </c>
      <c r="Y1492" t="s">
        <v>5082</v>
      </c>
    </row>
    <row r="1493" spans="1:25">
      <c r="A1493" t="s">
        <v>5083</v>
      </c>
      <c r="B1493" t="s">
        <v>5084</v>
      </c>
      <c r="D1493" t="s">
        <v>40</v>
      </c>
      <c r="E1493" t="s">
        <v>41</v>
      </c>
      <c r="J1493" t="s">
        <v>182</v>
      </c>
      <c r="K1493" t="s">
        <v>183</v>
      </c>
      <c r="L1493">
        <v>10</v>
      </c>
      <c r="M1493" t="s">
        <v>5081</v>
      </c>
      <c r="N1493" t="s">
        <v>64</v>
      </c>
      <c r="O1493" t="s">
        <v>46</v>
      </c>
      <c r="P1493" t="s">
        <v>46</v>
      </c>
      <c r="Y1493" t="s">
        <v>5085</v>
      </c>
    </row>
    <row r="1494" spans="1:25">
      <c r="A1494" t="s">
        <v>5086</v>
      </c>
      <c r="B1494" t="s">
        <v>5087</v>
      </c>
      <c r="D1494" t="s">
        <v>40</v>
      </c>
      <c r="E1494" t="s">
        <v>41</v>
      </c>
      <c r="J1494" t="s">
        <v>182</v>
      </c>
      <c r="K1494" t="s">
        <v>183</v>
      </c>
      <c r="L1494">
        <v>10</v>
      </c>
      <c r="M1494" t="s">
        <v>5081</v>
      </c>
      <c r="N1494" t="s">
        <v>64</v>
      </c>
      <c r="O1494" t="s">
        <v>46</v>
      </c>
      <c r="P1494" t="s">
        <v>46</v>
      </c>
      <c r="Y1494" t="s">
        <v>5088</v>
      </c>
    </row>
    <row r="1495" spans="1:25">
      <c r="A1495" t="s">
        <v>5089</v>
      </c>
      <c r="B1495" t="s">
        <v>5090</v>
      </c>
      <c r="D1495" t="s">
        <v>40</v>
      </c>
      <c r="E1495" t="s">
        <v>41</v>
      </c>
      <c r="J1495" t="s">
        <v>76</v>
      </c>
      <c r="K1495" t="s">
        <v>77</v>
      </c>
      <c r="L1495">
        <v>10</v>
      </c>
      <c r="M1495" t="s">
        <v>5091</v>
      </c>
      <c r="N1495" t="s">
        <v>64</v>
      </c>
      <c r="O1495" t="s">
        <v>46</v>
      </c>
      <c r="P1495" t="s">
        <v>46</v>
      </c>
      <c r="Y1495" t="s">
        <v>5092</v>
      </c>
    </row>
    <row r="1496" spans="1:25">
      <c r="A1496" t="s">
        <v>5093</v>
      </c>
      <c r="B1496" t="s">
        <v>5094</v>
      </c>
      <c r="D1496" t="s">
        <v>40</v>
      </c>
      <c r="E1496" t="s">
        <v>41</v>
      </c>
      <c r="J1496" t="s">
        <v>68</v>
      </c>
      <c r="K1496" t="s">
        <v>69</v>
      </c>
      <c r="L1496">
        <v>10</v>
      </c>
      <c r="M1496" t="s">
        <v>5091</v>
      </c>
      <c r="N1496" t="s">
        <v>64</v>
      </c>
      <c r="O1496" t="s">
        <v>46</v>
      </c>
      <c r="P1496" t="s">
        <v>46</v>
      </c>
      <c r="Y1496" t="s">
        <v>5095</v>
      </c>
    </row>
    <row r="1497" spans="1:25">
      <c r="A1497" t="s">
        <v>5096</v>
      </c>
      <c r="B1497" t="s">
        <v>5097</v>
      </c>
      <c r="D1497" t="s">
        <v>40</v>
      </c>
      <c r="E1497" t="s">
        <v>41</v>
      </c>
      <c r="J1497" t="s">
        <v>68</v>
      </c>
      <c r="K1497" t="s">
        <v>69</v>
      </c>
      <c r="L1497">
        <v>10</v>
      </c>
      <c r="M1497" t="s">
        <v>5091</v>
      </c>
      <c r="N1497" t="s">
        <v>64</v>
      </c>
      <c r="O1497" t="s">
        <v>46</v>
      </c>
      <c r="P1497" t="s">
        <v>46</v>
      </c>
      <c r="Y1497" t="s">
        <v>5098</v>
      </c>
    </row>
    <row r="1498" spans="1:25">
      <c r="A1498" t="s">
        <v>5099</v>
      </c>
      <c r="B1498" t="s">
        <v>5100</v>
      </c>
      <c r="D1498" t="s">
        <v>40</v>
      </c>
      <c r="E1498" t="s">
        <v>41</v>
      </c>
      <c r="J1498" t="s">
        <v>68</v>
      </c>
      <c r="K1498" t="s">
        <v>69</v>
      </c>
      <c r="L1498">
        <v>11</v>
      </c>
      <c r="M1498" t="s">
        <v>5101</v>
      </c>
      <c r="N1498" t="s">
        <v>64</v>
      </c>
      <c r="O1498" t="s">
        <v>46</v>
      </c>
      <c r="P1498" t="s">
        <v>46</v>
      </c>
      <c r="Y1498" t="s">
        <v>5102</v>
      </c>
    </row>
    <row r="1499" spans="1:25">
      <c r="A1499" t="s">
        <v>5103</v>
      </c>
      <c r="B1499" t="s">
        <v>5104</v>
      </c>
      <c r="D1499" t="s">
        <v>40</v>
      </c>
      <c r="E1499" t="s">
        <v>41</v>
      </c>
      <c r="J1499" t="s">
        <v>76</v>
      </c>
      <c r="K1499" t="s">
        <v>77</v>
      </c>
      <c r="L1499">
        <v>11</v>
      </c>
      <c r="M1499" t="s">
        <v>5101</v>
      </c>
      <c r="N1499" t="s">
        <v>64</v>
      </c>
      <c r="O1499" t="s">
        <v>46</v>
      </c>
      <c r="P1499" t="s">
        <v>46</v>
      </c>
      <c r="Y1499" t="s">
        <v>5105</v>
      </c>
    </row>
    <row r="1500" spans="1:25">
      <c r="A1500" t="s">
        <v>5106</v>
      </c>
      <c r="B1500" t="s">
        <v>5107</v>
      </c>
      <c r="D1500" t="s">
        <v>40</v>
      </c>
      <c r="E1500" t="s">
        <v>41</v>
      </c>
      <c r="J1500" t="s">
        <v>50</v>
      </c>
      <c r="K1500" t="s">
        <v>51</v>
      </c>
      <c r="L1500">
        <v>11</v>
      </c>
      <c r="M1500" t="s">
        <v>5108</v>
      </c>
      <c r="N1500" t="s">
        <v>1446</v>
      </c>
      <c r="O1500" t="s">
        <v>46</v>
      </c>
      <c r="P1500" t="s">
        <v>46</v>
      </c>
      <c r="Y1500" t="s">
        <v>5109</v>
      </c>
    </row>
    <row r="1501" spans="1:25">
      <c r="A1501" t="s">
        <v>5110</v>
      </c>
      <c r="B1501" t="s">
        <v>5111</v>
      </c>
      <c r="D1501" t="s">
        <v>40</v>
      </c>
      <c r="E1501" t="s">
        <v>41</v>
      </c>
      <c r="J1501" t="s">
        <v>1214</v>
      </c>
      <c r="K1501" t="s">
        <v>1215</v>
      </c>
      <c r="L1501">
        <v>10</v>
      </c>
      <c r="M1501" t="s">
        <v>5112</v>
      </c>
      <c r="N1501" t="s">
        <v>1258</v>
      </c>
      <c r="O1501" t="s">
        <v>46</v>
      </c>
      <c r="P1501" t="s">
        <v>46</v>
      </c>
      <c r="Y1501" t="s">
        <v>5113</v>
      </c>
    </row>
    <row r="1502" spans="1:25">
      <c r="A1502" t="s">
        <v>5114</v>
      </c>
      <c r="B1502" t="s">
        <v>5115</v>
      </c>
      <c r="D1502" t="s">
        <v>40</v>
      </c>
      <c r="E1502" t="s">
        <v>41</v>
      </c>
      <c r="J1502" t="s">
        <v>42</v>
      </c>
      <c r="K1502" t="s">
        <v>43</v>
      </c>
      <c r="L1502">
        <v>10</v>
      </c>
      <c r="M1502" t="s">
        <v>5116</v>
      </c>
      <c r="N1502" t="s">
        <v>296</v>
      </c>
      <c r="O1502" t="s">
        <v>46</v>
      </c>
      <c r="P1502" t="s">
        <v>46</v>
      </c>
      <c r="Y1502" t="s">
        <v>5117</v>
      </c>
    </row>
    <row r="1503" spans="1:25">
      <c r="A1503" t="s">
        <v>5118</v>
      </c>
      <c r="B1503" t="s">
        <v>5119</v>
      </c>
      <c r="D1503" t="s">
        <v>40</v>
      </c>
      <c r="E1503" t="s">
        <v>41</v>
      </c>
      <c r="J1503" t="s">
        <v>42</v>
      </c>
      <c r="K1503" t="s">
        <v>43</v>
      </c>
      <c r="L1503">
        <v>10</v>
      </c>
      <c r="M1503" t="s">
        <v>5120</v>
      </c>
      <c r="N1503" t="s">
        <v>142</v>
      </c>
      <c r="O1503" t="s">
        <v>46</v>
      </c>
      <c r="P1503" t="s">
        <v>46</v>
      </c>
      <c r="Y1503" t="s">
        <v>5121</v>
      </c>
    </row>
    <row r="1504" spans="1:25">
      <c r="A1504" t="s">
        <v>5122</v>
      </c>
      <c r="B1504" t="s">
        <v>5123</v>
      </c>
      <c r="D1504" t="s">
        <v>40</v>
      </c>
      <c r="E1504" t="s">
        <v>41</v>
      </c>
      <c r="J1504" t="s">
        <v>76</v>
      </c>
      <c r="K1504" t="s">
        <v>77</v>
      </c>
      <c r="L1504">
        <v>10</v>
      </c>
      <c r="M1504" t="s">
        <v>5120</v>
      </c>
      <c r="N1504" t="s">
        <v>64</v>
      </c>
      <c r="O1504" t="s">
        <v>46</v>
      </c>
      <c r="P1504" t="s">
        <v>46</v>
      </c>
      <c r="Y1504" t="s">
        <v>5124</v>
      </c>
    </row>
    <row r="1505" spans="1:25">
      <c r="A1505" t="s">
        <v>5125</v>
      </c>
      <c r="B1505" t="s">
        <v>5126</v>
      </c>
      <c r="D1505" t="s">
        <v>40</v>
      </c>
      <c r="E1505" t="s">
        <v>41</v>
      </c>
      <c r="J1505" t="s">
        <v>68</v>
      </c>
      <c r="K1505" t="s">
        <v>69</v>
      </c>
      <c r="L1505">
        <v>10</v>
      </c>
      <c r="M1505" t="s">
        <v>5120</v>
      </c>
      <c r="N1505" t="s">
        <v>64</v>
      </c>
      <c r="O1505" t="s">
        <v>46</v>
      </c>
      <c r="P1505" t="s">
        <v>46</v>
      </c>
      <c r="Y1505" t="s">
        <v>5127</v>
      </c>
    </row>
    <row r="1506" spans="1:25">
      <c r="A1506" t="s">
        <v>5128</v>
      </c>
      <c r="B1506" t="s">
        <v>5129</v>
      </c>
      <c r="D1506" t="s">
        <v>40</v>
      </c>
      <c r="E1506" t="s">
        <v>41</v>
      </c>
      <c r="J1506" t="s">
        <v>76</v>
      </c>
      <c r="K1506" t="s">
        <v>77</v>
      </c>
      <c r="L1506">
        <v>10</v>
      </c>
      <c r="M1506" t="s">
        <v>5130</v>
      </c>
      <c r="N1506" t="s">
        <v>64</v>
      </c>
      <c r="O1506" t="s">
        <v>46</v>
      </c>
      <c r="P1506" t="s">
        <v>46</v>
      </c>
      <c r="Y1506" t="s">
        <v>5131</v>
      </c>
    </row>
    <row r="1507" spans="1:25">
      <c r="A1507" t="s">
        <v>5132</v>
      </c>
      <c r="B1507" t="s">
        <v>5133</v>
      </c>
      <c r="D1507" t="s">
        <v>40</v>
      </c>
      <c r="E1507" t="s">
        <v>41</v>
      </c>
      <c r="J1507" t="s">
        <v>1214</v>
      </c>
      <c r="K1507" t="s">
        <v>1215</v>
      </c>
      <c r="L1507">
        <v>10</v>
      </c>
      <c r="M1507" t="s">
        <v>5130</v>
      </c>
      <c r="N1507" t="s">
        <v>1189</v>
      </c>
      <c r="O1507" t="s">
        <v>46</v>
      </c>
      <c r="P1507" t="s">
        <v>46</v>
      </c>
      <c r="Y1507" t="s">
        <v>5134</v>
      </c>
    </row>
    <row r="1508" spans="1:25">
      <c r="A1508" t="s">
        <v>5135</v>
      </c>
      <c r="B1508" t="s">
        <v>5136</v>
      </c>
      <c r="D1508" t="s">
        <v>40</v>
      </c>
      <c r="E1508" t="s">
        <v>41</v>
      </c>
      <c r="J1508" t="s">
        <v>68</v>
      </c>
      <c r="K1508" t="s">
        <v>69</v>
      </c>
      <c r="L1508">
        <v>10</v>
      </c>
      <c r="M1508" t="s">
        <v>5130</v>
      </c>
      <c r="N1508" t="s">
        <v>64</v>
      </c>
      <c r="O1508" t="s">
        <v>46</v>
      </c>
      <c r="P1508" t="s">
        <v>46</v>
      </c>
      <c r="Y1508" t="s">
        <v>5137</v>
      </c>
    </row>
    <row r="1509" spans="1:25">
      <c r="A1509" t="s">
        <v>5138</v>
      </c>
      <c r="B1509" t="s">
        <v>5139</v>
      </c>
      <c r="D1509" t="s">
        <v>40</v>
      </c>
      <c r="E1509" t="s">
        <v>41</v>
      </c>
      <c r="J1509" t="s">
        <v>248</v>
      </c>
      <c r="K1509" t="s">
        <v>249</v>
      </c>
      <c r="L1509">
        <v>10</v>
      </c>
      <c r="M1509" t="s">
        <v>5130</v>
      </c>
      <c r="N1509" t="s">
        <v>741</v>
      </c>
      <c r="O1509" t="s">
        <v>46</v>
      </c>
      <c r="P1509" t="s">
        <v>46</v>
      </c>
      <c r="Y1509" t="s">
        <v>5140</v>
      </c>
    </row>
    <row r="1510" spans="1:25">
      <c r="A1510" t="s">
        <v>5141</v>
      </c>
      <c r="B1510" t="s">
        <v>5142</v>
      </c>
      <c r="D1510" t="s">
        <v>40</v>
      </c>
      <c r="E1510" t="s">
        <v>41</v>
      </c>
      <c r="J1510" t="s">
        <v>76</v>
      </c>
      <c r="K1510" t="s">
        <v>77</v>
      </c>
      <c r="L1510">
        <v>10</v>
      </c>
      <c r="M1510" t="s">
        <v>5143</v>
      </c>
      <c r="N1510" t="s">
        <v>64</v>
      </c>
      <c r="O1510" t="s">
        <v>46</v>
      </c>
      <c r="P1510" t="s">
        <v>46</v>
      </c>
      <c r="Y1510" t="s">
        <v>5144</v>
      </c>
    </row>
    <row r="1511" spans="1:25">
      <c r="A1511" t="s">
        <v>5145</v>
      </c>
      <c r="B1511" t="s">
        <v>5146</v>
      </c>
      <c r="D1511" t="s">
        <v>40</v>
      </c>
      <c r="E1511" t="s">
        <v>41</v>
      </c>
      <c r="J1511" t="s">
        <v>182</v>
      </c>
      <c r="K1511" t="s">
        <v>183</v>
      </c>
      <c r="L1511">
        <v>10</v>
      </c>
      <c r="M1511" t="s">
        <v>5143</v>
      </c>
      <c r="N1511" t="s">
        <v>64</v>
      </c>
      <c r="O1511" t="s">
        <v>46</v>
      </c>
      <c r="P1511" t="s">
        <v>46</v>
      </c>
      <c r="Y1511" t="s">
        <v>5147</v>
      </c>
    </row>
    <row r="1512" spans="1:25">
      <c r="A1512" t="s">
        <v>5148</v>
      </c>
      <c r="B1512" t="s">
        <v>5149</v>
      </c>
      <c r="D1512" t="s">
        <v>40</v>
      </c>
      <c r="E1512" t="s">
        <v>41</v>
      </c>
      <c r="J1512" t="s">
        <v>42</v>
      </c>
      <c r="K1512" t="s">
        <v>43</v>
      </c>
      <c r="L1512">
        <v>10</v>
      </c>
      <c r="M1512" t="s">
        <v>5143</v>
      </c>
      <c r="N1512" t="s">
        <v>2621</v>
      </c>
      <c r="O1512" t="s">
        <v>46</v>
      </c>
      <c r="P1512" t="s">
        <v>46</v>
      </c>
      <c r="Y1512" t="s">
        <v>5150</v>
      </c>
    </row>
    <row r="1513" spans="1:25">
      <c r="A1513" t="s">
        <v>5151</v>
      </c>
      <c r="B1513" t="s">
        <v>5152</v>
      </c>
      <c r="D1513" t="s">
        <v>40</v>
      </c>
      <c r="E1513" t="s">
        <v>41</v>
      </c>
      <c r="J1513" t="s">
        <v>182</v>
      </c>
      <c r="K1513" t="s">
        <v>183</v>
      </c>
      <c r="L1513">
        <v>10</v>
      </c>
      <c r="M1513" t="s">
        <v>5143</v>
      </c>
      <c r="N1513" t="s">
        <v>64</v>
      </c>
      <c r="O1513" t="s">
        <v>46</v>
      </c>
      <c r="P1513" t="s">
        <v>46</v>
      </c>
      <c r="Y1513" t="s">
        <v>5153</v>
      </c>
    </row>
    <row r="1514" spans="1:25">
      <c r="A1514" t="s">
        <v>5154</v>
      </c>
      <c r="B1514" t="s">
        <v>5155</v>
      </c>
      <c r="D1514" t="s">
        <v>40</v>
      </c>
      <c r="E1514" t="s">
        <v>41</v>
      </c>
      <c r="J1514" t="s">
        <v>248</v>
      </c>
      <c r="K1514" t="s">
        <v>249</v>
      </c>
      <c r="L1514">
        <v>10</v>
      </c>
      <c r="M1514" t="s">
        <v>5143</v>
      </c>
      <c r="N1514" t="s">
        <v>950</v>
      </c>
      <c r="O1514" t="s">
        <v>46</v>
      </c>
      <c r="P1514" t="s">
        <v>46</v>
      </c>
      <c r="Y1514" t="s">
        <v>5156</v>
      </c>
    </row>
    <row r="1515" spans="1:25">
      <c r="A1515" t="s">
        <v>5157</v>
      </c>
      <c r="B1515" t="s">
        <v>5158</v>
      </c>
      <c r="D1515" t="s">
        <v>40</v>
      </c>
      <c r="E1515" t="s">
        <v>41</v>
      </c>
      <c r="J1515" t="s">
        <v>182</v>
      </c>
      <c r="K1515" t="s">
        <v>183</v>
      </c>
      <c r="L1515">
        <v>10</v>
      </c>
      <c r="M1515" t="s">
        <v>5143</v>
      </c>
      <c r="N1515" t="s">
        <v>64</v>
      </c>
      <c r="O1515" t="s">
        <v>46</v>
      </c>
      <c r="P1515" t="s">
        <v>46</v>
      </c>
      <c r="Y1515" t="s">
        <v>5159</v>
      </c>
    </row>
    <row r="1516" spans="1:25">
      <c r="A1516" t="s">
        <v>5160</v>
      </c>
      <c r="B1516" t="s">
        <v>5161</v>
      </c>
      <c r="D1516" t="s">
        <v>40</v>
      </c>
      <c r="E1516" t="s">
        <v>41</v>
      </c>
      <c r="J1516" t="s">
        <v>182</v>
      </c>
      <c r="K1516" t="s">
        <v>183</v>
      </c>
      <c r="L1516">
        <v>10</v>
      </c>
      <c r="M1516" t="s">
        <v>5143</v>
      </c>
      <c r="N1516" t="s">
        <v>64</v>
      </c>
      <c r="O1516" t="s">
        <v>46</v>
      </c>
      <c r="P1516" t="s">
        <v>46</v>
      </c>
      <c r="Y1516" t="s">
        <v>5162</v>
      </c>
    </row>
    <row r="1517" spans="1:25">
      <c r="A1517" t="s">
        <v>5163</v>
      </c>
      <c r="B1517" t="s">
        <v>5164</v>
      </c>
      <c r="D1517" t="s">
        <v>40</v>
      </c>
      <c r="E1517" t="s">
        <v>41</v>
      </c>
      <c r="J1517" t="s">
        <v>76</v>
      </c>
      <c r="K1517" t="s">
        <v>77</v>
      </c>
      <c r="L1517">
        <v>10</v>
      </c>
      <c r="M1517" t="s">
        <v>5165</v>
      </c>
      <c r="N1517" t="s">
        <v>64</v>
      </c>
      <c r="O1517" t="s">
        <v>46</v>
      </c>
      <c r="P1517" t="s">
        <v>46</v>
      </c>
      <c r="Y1517" t="s">
        <v>5166</v>
      </c>
    </row>
    <row r="1518" spans="1:25">
      <c r="A1518" t="s">
        <v>5167</v>
      </c>
      <c r="B1518" t="s">
        <v>5168</v>
      </c>
      <c r="D1518" t="s">
        <v>40</v>
      </c>
      <c r="E1518" t="s">
        <v>41</v>
      </c>
      <c r="J1518" t="s">
        <v>68</v>
      </c>
      <c r="K1518" t="s">
        <v>69</v>
      </c>
      <c r="L1518">
        <v>10</v>
      </c>
      <c r="M1518" t="s">
        <v>5165</v>
      </c>
      <c r="N1518" t="s">
        <v>64</v>
      </c>
      <c r="O1518" t="s">
        <v>46</v>
      </c>
      <c r="P1518" t="s">
        <v>46</v>
      </c>
      <c r="Y1518" t="s">
        <v>5169</v>
      </c>
    </row>
    <row r="1519" spans="1:25">
      <c r="A1519" t="s">
        <v>5170</v>
      </c>
      <c r="B1519" t="s">
        <v>5171</v>
      </c>
      <c r="D1519" t="s">
        <v>40</v>
      </c>
      <c r="E1519" t="s">
        <v>41</v>
      </c>
      <c r="J1519" t="s">
        <v>62</v>
      </c>
      <c r="K1519" t="s">
        <v>63</v>
      </c>
      <c r="L1519">
        <v>10</v>
      </c>
      <c r="M1519" t="s">
        <v>5172</v>
      </c>
      <c r="N1519" t="s">
        <v>64</v>
      </c>
      <c r="O1519" t="s">
        <v>46</v>
      </c>
      <c r="P1519" t="s">
        <v>46</v>
      </c>
      <c r="Y1519" t="s">
        <v>5173</v>
      </c>
    </row>
    <row r="1520" spans="1:25">
      <c r="A1520" t="s">
        <v>5174</v>
      </c>
      <c r="B1520" t="s">
        <v>5175</v>
      </c>
      <c r="D1520" t="s">
        <v>40</v>
      </c>
      <c r="E1520" t="s">
        <v>41</v>
      </c>
      <c r="J1520" t="s">
        <v>182</v>
      </c>
      <c r="K1520" t="s">
        <v>183</v>
      </c>
      <c r="L1520">
        <v>10</v>
      </c>
      <c r="M1520" t="s">
        <v>5172</v>
      </c>
      <c r="N1520" t="s">
        <v>64</v>
      </c>
      <c r="O1520" t="s">
        <v>46</v>
      </c>
      <c r="P1520" t="s">
        <v>46</v>
      </c>
      <c r="Y1520" t="s">
        <v>5176</v>
      </c>
    </row>
    <row r="1521" spans="1:25">
      <c r="A1521" t="s">
        <v>5177</v>
      </c>
      <c r="B1521" t="s">
        <v>5178</v>
      </c>
      <c r="D1521" t="s">
        <v>40</v>
      </c>
      <c r="E1521" t="s">
        <v>41</v>
      </c>
      <c r="J1521" t="s">
        <v>76</v>
      </c>
      <c r="K1521" t="s">
        <v>77</v>
      </c>
      <c r="L1521">
        <v>10</v>
      </c>
      <c r="M1521" t="s">
        <v>5172</v>
      </c>
      <c r="N1521" t="s">
        <v>64</v>
      </c>
      <c r="O1521" t="s">
        <v>46</v>
      </c>
      <c r="P1521" t="s">
        <v>46</v>
      </c>
      <c r="Y1521" t="s">
        <v>5179</v>
      </c>
    </row>
    <row r="1522" spans="1:25">
      <c r="A1522" t="s">
        <v>5180</v>
      </c>
      <c r="B1522" t="s">
        <v>5181</v>
      </c>
      <c r="D1522" t="s">
        <v>40</v>
      </c>
      <c r="E1522" t="s">
        <v>41</v>
      </c>
      <c r="J1522" t="s">
        <v>182</v>
      </c>
      <c r="K1522" t="s">
        <v>183</v>
      </c>
      <c r="L1522">
        <v>10</v>
      </c>
      <c r="M1522" t="s">
        <v>5172</v>
      </c>
      <c r="N1522" t="s">
        <v>64</v>
      </c>
      <c r="O1522" t="s">
        <v>46</v>
      </c>
      <c r="P1522" t="s">
        <v>46</v>
      </c>
      <c r="Y1522" t="s">
        <v>5182</v>
      </c>
    </row>
    <row r="1523" spans="1:25">
      <c r="A1523" t="s">
        <v>5183</v>
      </c>
      <c r="B1523" t="s">
        <v>5184</v>
      </c>
      <c r="D1523" t="s">
        <v>40</v>
      </c>
      <c r="E1523" t="s">
        <v>41</v>
      </c>
      <c r="J1523" t="s">
        <v>182</v>
      </c>
      <c r="K1523" t="s">
        <v>183</v>
      </c>
      <c r="L1523">
        <v>10</v>
      </c>
      <c r="M1523" t="s">
        <v>5185</v>
      </c>
      <c r="N1523" t="s">
        <v>64</v>
      </c>
      <c r="O1523" t="s">
        <v>46</v>
      </c>
      <c r="P1523" t="s">
        <v>46</v>
      </c>
      <c r="Y1523" t="s">
        <v>5186</v>
      </c>
    </row>
    <row r="1524" spans="1:25">
      <c r="A1524" t="s">
        <v>5187</v>
      </c>
      <c r="B1524" t="s">
        <v>5188</v>
      </c>
      <c r="D1524" t="s">
        <v>40</v>
      </c>
      <c r="E1524" t="s">
        <v>41</v>
      </c>
      <c r="J1524" t="s">
        <v>50</v>
      </c>
      <c r="K1524" t="s">
        <v>51</v>
      </c>
      <c r="L1524">
        <v>9</v>
      </c>
      <c r="M1524" t="s">
        <v>5189</v>
      </c>
      <c r="N1524" t="s">
        <v>350</v>
      </c>
      <c r="O1524" t="s">
        <v>46</v>
      </c>
      <c r="P1524" t="s">
        <v>46</v>
      </c>
      <c r="Y1524" t="s">
        <v>5190</v>
      </c>
    </row>
    <row r="1525" spans="1:25">
      <c r="A1525" t="s">
        <v>5191</v>
      </c>
      <c r="B1525" t="s">
        <v>5192</v>
      </c>
      <c r="D1525" t="s">
        <v>40</v>
      </c>
      <c r="E1525" t="s">
        <v>41</v>
      </c>
      <c r="J1525" t="s">
        <v>76</v>
      </c>
      <c r="K1525" t="s">
        <v>77</v>
      </c>
      <c r="L1525">
        <v>10</v>
      </c>
      <c r="M1525" t="s">
        <v>5193</v>
      </c>
      <c r="N1525" t="s">
        <v>64</v>
      </c>
      <c r="O1525" t="s">
        <v>46</v>
      </c>
      <c r="P1525" t="s">
        <v>46</v>
      </c>
      <c r="Y1525" t="s">
        <v>5194</v>
      </c>
    </row>
    <row r="1526" spans="1:25">
      <c r="A1526" t="s">
        <v>5195</v>
      </c>
      <c r="B1526" t="s">
        <v>5196</v>
      </c>
      <c r="D1526" t="s">
        <v>40</v>
      </c>
      <c r="E1526" t="s">
        <v>41</v>
      </c>
      <c r="J1526" t="s">
        <v>76</v>
      </c>
      <c r="K1526" t="s">
        <v>77</v>
      </c>
      <c r="L1526">
        <v>10</v>
      </c>
      <c r="M1526" t="s">
        <v>5193</v>
      </c>
      <c r="N1526" t="s">
        <v>64</v>
      </c>
      <c r="O1526" t="s">
        <v>46</v>
      </c>
      <c r="P1526" t="s">
        <v>46</v>
      </c>
      <c r="Y1526" t="s">
        <v>5197</v>
      </c>
    </row>
    <row r="1527" spans="1:25">
      <c r="A1527" t="s">
        <v>5198</v>
      </c>
      <c r="B1527" t="s">
        <v>5199</v>
      </c>
      <c r="D1527" t="s">
        <v>40</v>
      </c>
      <c r="E1527" t="s">
        <v>41</v>
      </c>
      <c r="J1527" t="s">
        <v>42</v>
      </c>
      <c r="K1527" t="s">
        <v>43</v>
      </c>
      <c r="L1527">
        <v>10</v>
      </c>
      <c r="M1527" t="s">
        <v>5193</v>
      </c>
      <c r="N1527" t="s">
        <v>291</v>
      </c>
      <c r="O1527" t="s">
        <v>46</v>
      </c>
      <c r="P1527" t="s">
        <v>46</v>
      </c>
      <c r="Y1527" t="s">
        <v>5200</v>
      </c>
    </row>
    <row r="1528" spans="1:25">
      <c r="A1528" t="s">
        <v>5201</v>
      </c>
      <c r="B1528" t="s">
        <v>5202</v>
      </c>
      <c r="D1528" t="s">
        <v>40</v>
      </c>
      <c r="E1528" t="s">
        <v>41</v>
      </c>
      <c r="J1528" t="s">
        <v>182</v>
      </c>
      <c r="K1528" t="s">
        <v>183</v>
      </c>
      <c r="L1528">
        <v>10</v>
      </c>
      <c r="M1528" t="s">
        <v>5193</v>
      </c>
      <c r="N1528" t="s">
        <v>64</v>
      </c>
      <c r="O1528" t="s">
        <v>46</v>
      </c>
      <c r="P1528" t="s">
        <v>46</v>
      </c>
      <c r="Y1528" t="s">
        <v>5203</v>
      </c>
    </row>
    <row r="1529" spans="1:25">
      <c r="A1529" t="s">
        <v>5204</v>
      </c>
      <c r="B1529" t="s">
        <v>5205</v>
      </c>
      <c r="D1529" t="s">
        <v>40</v>
      </c>
      <c r="E1529" t="s">
        <v>41</v>
      </c>
      <c r="J1529" t="s">
        <v>68</v>
      </c>
      <c r="K1529" t="s">
        <v>69</v>
      </c>
      <c r="L1529">
        <v>10</v>
      </c>
      <c r="M1529" t="s">
        <v>5193</v>
      </c>
      <c r="N1529" t="s">
        <v>64</v>
      </c>
      <c r="O1529" t="s">
        <v>46</v>
      </c>
      <c r="P1529" t="s">
        <v>46</v>
      </c>
      <c r="Y1529" t="s">
        <v>5206</v>
      </c>
    </row>
    <row r="1530" spans="1:25">
      <c r="A1530" t="s">
        <v>5207</v>
      </c>
      <c r="B1530" t="s">
        <v>5208</v>
      </c>
      <c r="D1530" t="s">
        <v>40</v>
      </c>
      <c r="E1530" t="s">
        <v>41</v>
      </c>
      <c r="J1530" t="s">
        <v>76</v>
      </c>
      <c r="K1530" t="s">
        <v>77</v>
      </c>
      <c r="L1530">
        <v>10</v>
      </c>
      <c r="M1530" t="s">
        <v>5193</v>
      </c>
      <c r="N1530" t="s">
        <v>64</v>
      </c>
      <c r="O1530" t="s">
        <v>46</v>
      </c>
      <c r="P1530" t="s">
        <v>46</v>
      </c>
      <c r="Y1530" t="s">
        <v>5209</v>
      </c>
    </row>
    <row r="1531" spans="1:25">
      <c r="A1531" t="s">
        <v>5210</v>
      </c>
      <c r="B1531" t="s">
        <v>5211</v>
      </c>
      <c r="D1531" t="s">
        <v>40</v>
      </c>
      <c r="E1531" t="s">
        <v>41</v>
      </c>
      <c r="J1531" t="s">
        <v>76</v>
      </c>
      <c r="K1531" t="s">
        <v>77</v>
      </c>
      <c r="L1531">
        <v>10</v>
      </c>
      <c r="M1531" t="s">
        <v>5193</v>
      </c>
      <c r="N1531" t="s">
        <v>64</v>
      </c>
      <c r="O1531" t="s">
        <v>46</v>
      </c>
      <c r="P1531" t="s">
        <v>46</v>
      </c>
      <c r="Y1531" t="s">
        <v>5212</v>
      </c>
    </row>
    <row r="1532" spans="1:25">
      <c r="A1532" t="s">
        <v>5213</v>
      </c>
      <c r="B1532" t="s">
        <v>5214</v>
      </c>
      <c r="D1532" t="s">
        <v>40</v>
      </c>
      <c r="E1532" t="s">
        <v>41</v>
      </c>
      <c r="J1532" t="s">
        <v>42</v>
      </c>
      <c r="K1532" t="s">
        <v>43</v>
      </c>
      <c r="L1532">
        <v>9</v>
      </c>
      <c r="M1532" t="s">
        <v>5193</v>
      </c>
      <c r="N1532" t="s">
        <v>165</v>
      </c>
      <c r="O1532" t="s">
        <v>46</v>
      </c>
      <c r="P1532" t="s">
        <v>46</v>
      </c>
      <c r="Y1532" t="s">
        <v>5215</v>
      </c>
    </row>
    <row r="1533" spans="1:25">
      <c r="A1533" t="s">
        <v>5216</v>
      </c>
      <c r="B1533" t="s">
        <v>5217</v>
      </c>
      <c r="D1533" t="s">
        <v>40</v>
      </c>
      <c r="E1533" t="s">
        <v>41</v>
      </c>
      <c r="J1533" t="s">
        <v>182</v>
      </c>
      <c r="K1533" t="s">
        <v>183</v>
      </c>
      <c r="L1533">
        <v>10</v>
      </c>
      <c r="M1533" t="s">
        <v>5218</v>
      </c>
      <c r="N1533" t="s">
        <v>64</v>
      </c>
      <c r="O1533" t="s">
        <v>46</v>
      </c>
      <c r="P1533" t="s">
        <v>46</v>
      </c>
      <c r="Y1533" t="s">
        <v>5219</v>
      </c>
    </row>
    <row r="1534" spans="1:25">
      <c r="A1534" t="s">
        <v>5220</v>
      </c>
      <c r="B1534" t="s">
        <v>5221</v>
      </c>
      <c r="D1534" t="s">
        <v>40</v>
      </c>
      <c r="E1534" t="s">
        <v>41</v>
      </c>
      <c r="J1534" t="s">
        <v>76</v>
      </c>
      <c r="K1534" t="s">
        <v>77</v>
      </c>
      <c r="L1534">
        <v>10</v>
      </c>
      <c r="M1534" t="s">
        <v>5218</v>
      </c>
      <c r="N1534" t="s">
        <v>64</v>
      </c>
      <c r="O1534" t="s">
        <v>46</v>
      </c>
      <c r="P1534" t="s">
        <v>46</v>
      </c>
      <c r="Y1534" t="s">
        <v>5222</v>
      </c>
    </row>
    <row r="1535" spans="1:25">
      <c r="A1535" t="s">
        <v>5223</v>
      </c>
      <c r="B1535" t="s">
        <v>5224</v>
      </c>
      <c r="D1535" t="s">
        <v>40</v>
      </c>
      <c r="E1535" t="s">
        <v>41</v>
      </c>
      <c r="J1535" t="s">
        <v>182</v>
      </c>
      <c r="K1535" t="s">
        <v>183</v>
      </c>
      <c r="L1535">
        <v>10</v>
      </c>
      <c r="M1535" t="s">
        <v>5218</v>
      </c>
      <c r="N1535" t="s">
        <v>64</v>
      </c>
      <c r="O1535" t="s">
        <v>46</v>
      </c>
      <c r="P1535" t="s">
        <v>46</v>
      </c>
      <c r="Y1535" t="s">
        <v>5225</v>
      </c>
    </row>
    <row r="1536" spans="1:25">
      <c r="A1536" t="s">
        <v>5226</v>
      </c>
      <c r="B1536" t="s">
        <v>5227</v>
      </c>
      <c r="D1536" t="s">
        <v>40</v>
      </c>
      <c r="E1536" t="s">
        <v>41</v>
      </c>
      <c r="J1536" t="s">
        <v>42</v>
      </c>
      <c r="K1536" t="s">
        <v>43</v>
      </c>
      <c r="L1536">
        <v>10</v>
      </c>
      <c r="M1536" t="s">
        <v>5218</v>
      </c>
      <c r="N1536" t="s">
        <v>4037</v>
      </c>
      <c r="O1536" t="s">
        <v>46</v>
      </c>
      <c r="P1536" t="s">
        <v>46</v>
      </c>
      <c r="Y1536" t="s">
        <v>5228</v>
      </c>
    </row>
    <row r="1537" spans="1:25">
      <c r="A1537" t="s">
        <v>5229</v>
      </c>
      <c r="B1537" t="s">
        <v>5230</v>
      </c>
      <c r="D1537" t="s">
        <v>40</v>
      </c>
      <c r="E1537" t="s">
        <v>41</v>
      </c>
      <c r="J1537" t="s">
        <v>182</v>
      </c>
      <c r="K1537" t="s">
        <v>183</v>
      </c>
      <c r="L1537">
        <v>10</v>
      </c>
      <c r="M1537" t="s">
        <v>5218</v>
      </c>
      <c r="N1537" t="s">
        <v>64</v>
      </c>
      <c r="O1537" t="s">
        <v>46</v>
      </c>
      <c r="P1537" t="s">
        <v>46</v>
      </c>
      <c r="Y1537" t="s">
        <v>5231</v>
      </c>
    </row>
    <row r="1538" spans="1:25">
      <c r="A1538" t="s">
        <v>5232</v>
      </c>
      <c r="B1538" t="s">
        <v>5233</v>
      </c>
      <c r="D1538" t="s">
        <v>40</v>
      </c>
      <c r="E1538" t="s">
        <v>41</v>
      </c>
      <c r="J1538" t="s">
        <v>182</v>
      </c>
      <c r="K1538" t="s">
        <v>183</v>
      </c>
      <c r="L1538">
        <v>10</v>
      </c>
      <c r="M1538" t="s">
        <v>5218</v>
      </c>
      <c r="N1538" t="s">
        <v>64</v>
      </c>
      <c r="O1538" t="s">
        <v>46</v>
      </c>
      <c r="P1538" t="s">
        <v>46</v>
      </c>
      <c r="Y1538" t="s">
        <v>5234</v>
      </c>
    </row>
    <row r="1539" spans="1:25">
      <c r="A1539" t="s">
        <v>5235</v>
      </c>
      <c r="B1539" t="s">
        <v>5236</v>
      </c>
      <c r="D1539" t="s">
        <v>40</v>
      </c>
      <c r="E1539" t="s">
        <v>41</v>
      </c>
      <c r="J1539" t="s">
        <v>182</v>
      </c>
      <c r="K1539" t="s">
        <v>183</v>
      </c>
      <c r="L1539">
        <v>10</v>
      </c>
      <c r="M1539" t="s">
        <v>5218</v>
      </c>
      <c r="N1539" t="s">
        <v>64</v>
      </c>
      <c r="O1539" t="s">
        <v>46</v>
      </c>
      <c r="P1539" t="s">
        <v>46</v>
      </c>
      <c r="Y1539" t="s">
        <v>5237</v>
      </c>
    </row>
    <row r="1540" spans="1:25">
      <c r="A1540" t="s">
        <v>5238</v>
      </c>
      <c r="B1540" t="s">
        <v>5239</v>
      </c>
      <c r="D1540" t="s">
        <v>40</v>
      </c>
      <c r="E1540" t="s">
        <v>41</v>
      </c>
      <c r="J1540" t="s">
        <v>182</v>
      </c>
      <c r="K1540" t="s">
        <v>183</v>
      </c>
      <c r="L1540">
        <v>10</v>
      </c>
      <c r="M1540" t="s">
        <v>5218</v>
      </c>
      <c r="N1540" t="s">
        <v>64</v>
      </c>
      <c r="O1540" t="s">
        <v>46</v>
      </c>
      <c r="P1540" t="s">
        <v>46</v>
      </c>
      <c r="Y1540" t="s">
        <v>5240</v>
      </c>
    </row>
    <row r="1541" spans="1:25">
      <c r="A1541" t="s">
        <v>5241</v>
      </c>
      <c r="B1541" t="s">
        <v>5242</v>
      </c>
      <c r="D1541" t="s">
        <v>40</v>
      </c>
      <c r="E1541" t="s">
        <v>41</v>
      </c>
      <c r="J1541" t="s">
        <v>182</v>
      </c>
      <c r="K1541" t="s">
        <v>183</v>
      </c>
      <c r="L1541">
        <v>10</v>
      </c>
      <c r="M1541" t="s">
        <v>5218</v>
      </c>
      <c r="N1541" t="s">
        <v>64</v>
      </c>
      <c r="O1541" t="s">
        <v>46</v>
      </c>
      <c r="P1541" t="s">
        <v>46</v>
      </c>
      <c r="Y1541" t="s">
        <v>5243</v>
      </c>
    </row>
    <row r="1542" spans="1:25">
      <c r="A1542" t="s">
        <v>5244</v>
      </c>
      <c r="B1542" t="s">
        <v>5245</v>
      </c>
      <c r="D1542" t="s">
        <v>40</v>
      </c>
      <c r="E1542" t="s">
        <v>41</v>
      </c>
      <c r="J1542" t="s">
        <v>182</v>
      </c>
      <c r="K1542" t="s">
        <v>183</v>
      </c>
      <c r="L1542">
        <v>10</v>
      </c>
      <c r="M1542" t="s">
        <v>5246</v>
      </c>
      <c r="N1542" t="s">
        <v>64</v>
      </c>
      <c r="O1542" t="s">
        <v>46</v>
      </c>
      <c r="P1542" t="s">
        <v>46</v>
      </c>
      <c r="Y1542" t="s">
        <v>5247</v>
      </c>
    </row>
    <row r="1543" spans="1:25">
      <c r="A1543" t="s">
        <v>5248</v>
      </c>
      <c r="B1543" t="s">
        <v>5249</v>
      </c>
      <c r="D1543" t="s">
        <v>40</v>
      </c>
      <c r="E1543" t="s">
        <v>41</v>
      </c>
      <c r="J1543" t="s">
        <v>182</v>
      </c>
      <c r="K1543" t="s">
        <v>183</v>
      </c>
      <c r="L1543">
        <v>10</v>
      </c>
      <c r="M1543" t="s">
        <v>5246</v>
      </c>
      <c r="N1543" t="s">
        <v>64</v>
      </c>
      <c r="O1543" t="s">
        <v>46</v>
      </c>
      <c r="P1543" t="s">
        <v>46</v>
      </c>
      <c r="Y1543" t="s">
        <v>5250</v>
      </c>
    </row>
    <row r="1544" spans="1:25">
      <c r="A1544" t="s">
        <v>5251</v>
      </c>
      <c r="B1544" t="s">
        <v>5252</v>
      </c>
      <c r="D1544" t="s">
        <v>40</v>
      </c>
      <c r="E1544" t="s">
        <v>41</v>
      </c>
      <c r="J1544" t="s">
        <v>182</v>
      </c>
      <c r="K1544" t="s">
        <v>183</v>
      </c>
      <c r="L1544">
        <v>10</v>
      </c>
      <c r="M1544" t="s">
        <v>5246</v>
      </c>
      <c r="N1544" t="s">
        <v>64</v>
      </c>
      <c r="O1544" t="s">
        <v>46</v>
      </c>
      <c r="P1544" t="s">
        <v>46</v>
      </c>
      <c r="Y1544" t="s">
        <v>5253</v>
      </c>
    </row>
    <row r="1545" spans="1:25">
      <c r="A1545" t="s">
        <v>5254</v>
      </c>
      <c r="B1545" t="s">
        <v>5255</v>
      </c>
      <c r="D1545" t="s">
        <v>40</v>
      </c>
      <c r="E1545" t="s">
        <v>41</v>
      </c>
      <c r="J1545" t="s">
        <v>248</v>
      </c>
      <c r="K1545" t="s">
        <v>249</v>
      </c>
      <c r="L1545">
        <v>10</v>
      </c>
      <c r="M1545" t="s">
        <v>5246</v>
      </c>
      <c r="N1545" t="s">
        <v>1276</v>
      </c>
      <c r="O1545" t="s">
        <v>46</v>
      </c>
      <c r="P1545" t="s">
        <v>46</v>
      </c>
      <c r="Y1545" t="s">
        <v>5256</v>
      </c>
    </row>
    <row r="1546" spans="1:25">
      <c r="A1546" t="s">
        <v>5257</v>
      </c>
      <c r="B1546" t="s">
        <v>5258</v>
      </c>
      <c r="D1546" t="s">
        <v>40</v>
      </c>
      <c r="E1546" t="s">
        <v>41</v>
      </c>
      <c r="J1546" t="s">
        <v>182</v>
      </c>
      <c r="K1546" t="s">
        <v>183</v>
      </c>
      <c r="L1546">
        <v>10</v>
      </c>
      <c r="M1546" t="s">
        <v>5246</v>
      </c>
      <c r="N1546" t="s">
        <v>64</v>
      </c>
      <c r="O1546" t="s">
        <v>46</v>
      </c>
      <c r="P1546" t="s">
        <v>46</v>
      </c>
      <c r="Y1546" t="s">
        <v>5259</v>
      </c>
    </row>
    <row r="1547" spans="1:25">
      <c r="A1547" t="s">
        <v>5260</v>
      </c>
      <c r="B1547" t="s">
        <v>5261</v>
      </c>
      <c r="D1547" t="s">
        <v>40</v>
      </c>
      <c r="E1547" t="s">
        <v>41</v>
      </c>
      <c r="J1547" t="s">
        <v>76</v>
      </c>
      <c r="K1547" t="s">
        <v>77</v>
      </c>
      <c r="L1547">
        <v>10</v>
      </c>
      <c r="M1547" t="s">
        <v>5246</v>
      </c>
      <c r="N1547" t="s">
        <v>64</v>
      </c>
      <c r="O1547" t="s">
        <v>46</v>
      </c>
      <c r="P1547" t="s">
        <v>46</v>
      </c>
      <c r="Y1547" t="s">
        <v>5262</v>
      </c>
    </row>
    <row r="1548" spans="1:25">
      <c r="A1548" t="s">
        <v>5263</v>
      </c>
      <c r="B1548" t="s">
        <v>5264</v>
      </c>
      <c r="D1548" t="s">
        <v>40</v>
      </c>
      <c r="E1548" t="s">
        <v>41</v>
      </c>
      <c r="J1548" t="s">
        <v>1214</v>
      </c>
      <c r="K1548" t="s">
        <v>1215</v>
      </c>
      <c r="L1548">
        <v>10</v>
      </c>
      <c r="M1548" t="s">
        <v>5246</v>
      </c>
      <c r="N1548" t="s">
        <v>1189</v>
      </c>
      <c r="O1548" t="s">
        <v>46</v>
      </c>
      <c r="P1548" t="s">
        <v>46</v>
      </c>
      <c r="Y1548" t="s">
        <v>5265</v>
      </c>
    </row>
    <row r="1549" spans="1:25">
      <c r="A1549" t="s">
        <v>5266</v>
      </c>
      <c r="B1549" t="s">
        <v>5267</v>
      </c>
      <c r="D1549" t="s">
        <v>40</v>
      </c>
      <c r="E1549" t="s">
        <v>41</v>
      </c>
      <c r="J1549" t="s">
        <v>182</v>
      </c>
      <c r="K1549" t="s">
        <v>183</v>
      </c>
      <c r="L1549">
        <v>10</v>
      </c>
      <c r="M1549" t="s">
        <v>5268</v>
      </c>
      <c r="N1549" t="s">
        <v>64</v>
      </c>
      <c r="O1549" t="s">
        <v>46</v>
      </c>
      <c r="P1549" t="s">
        <v>46</v>
      </c>
      <c r="Y1549" t="s">
        <v>5269</v>
      </c>
    </row>
    <row r="1550" spans="1:25">
      <c r="A1550" t="s">
        <v>5270</v>
      </c>
      <c r="B1550" t="s">
        <v>5271</v>
      </c>
      <c r="D1550" t="s">
        <v>40</v>
      </c>
      <c r="E1550" t="s">
        <v>41</v>
      </c>
      <c r="J1550" t="s">
        <v>182</v>
      </c>
      <c r="K1550" t="s">
        <v>183</v>
      </c>
      <c r="L1550">
        <v>10</v>
      </c>
      <c r="M1550" t="s">
        <v>5268</v>
      </c>
      <c r="N1550" t="s">
        <v>64</v>
      </c>
      <c r="O1550" t="s">
        <v>46</v>
      </c>
      <c r="P1550" t="s">
        <v>46</v>
      </c>
      <c r="Y1550" t="s">
        <v>5272</v>
      </c>
    </row>
    <row r="1551" spans="1:25">
      <c r="A1551" t="s">
        <v>5273</v>
      </c>
      <c r="B1551" t="s">
        <v>5274</v>
      </c>
      <c r="D1551" t="s">
        <v>40</v>
      </c>
      <c r="E1551" t="s">
        <v>41</v>
      </c>
      <c r="J1551" t="s">
        <v>76</v>
      </c>
      <c r="K1551" t="s">
        <v>77</v>
      </c>
      <c r="L1551">
        <v>10</v>
      </c>
      <c r="M1551" t="s">
        <v>5268</v>
      </c>
      <c r="N1551" t="s">
        <v>64</v>
      </c>
      <c r="O1551" t="s">
        <v>46</v>
      </c>
      <c r="P1551" t="s">
        <v>46</v>
      </c>
      <c r="Y1551" t="s">
        <v>5275</v>
      </c>
    </row>
    <row r="1552" spans="1:25">
      <c r="A1552" t="s">
        <v>5276</v>
      </c>
      <c r="B1552" t="s">
        <v>5277</v>
      </c>
      <c r="D1552" t="s">
        <v>40</v>
      </c>
      <c r="E1552" t="s">
        <v>41</v>
      </c>
      <c r="J1552" t="s">
        <v>139</v>
      </c>
      <c r="K1552" t="s">
        <v>140</v>
      </c>
      <c r="L1552">
        <v>10</v>
      </c>
      <c r="M1552" t="s">
        <v>5268</v>
      </c>
      <c r="N1552" t="s">
        <v>257</v>
      </c>
      <c r="O1552" t="s">
        <v>46</v>
      </c>
      <c r="P1552" t="s">
        <v>46</v>
      </c>
      <c r="Y1552" t="s">
        <v>5278</v>
      </c>
    </row>
    <row r="1553" spans="1:25">
      <c r="A1553" t="s">
        <v>5279</v>
      </c>
      <c r="B1553" t="s">
        <v>5280</v>
      </c>
      <c r="D1553" t="s">
        <v>40</v>
      </c>
      <c r="E1553" t="s">
        <v>41</v>
      </c>
      <c r="J1553" t="s">
        <v>182</v>
      </c>
      <c r="K1553" t="s">
        <v>183</v>
      </c>
      <c r="L1553">
        <v>10</v>
      </c>
      <c r="M1553" t="s">
        <v>5281</v>
      </c>
      <c r="N1553" t="s">
        <v>64</v>
      </c>
      <c r="O1553" t="s">
        <v>46</v>
      </c>
      <c r="P1553" t="s">
        <v>46</v>
      </c>
      <c r="Y1553" t="s">
        <v>5282</v>
      </c>
    </row>
    <row r="1554" spans="1:25">
      <c r="A1554" t="s">
        <v>5283</v>
      </c>
      <c r="B1554" t="s">
        <v>5284</v>
      </c>
      <c r="D1554" t="s">
        <v>40</v>
      </c>
      <c r="E1554" t="s">
        <v>41</v>
      </c>
      <c r="J1554" t="s">
        <v>68</v>
      </c>
      <c r="K1554" t="s">
        <v>69</v>
      </c>
      <c r="L1554">
        <v>10</v>
      </c>
      <c r="M1554" t="s">
        <v>5281</v>
      </c>
      <c r="N1554" t="s">
        <v>64</v>
      </c>
      <c r="O1554" t="s">
        <v>46</v>
      </c>
      <c r="P1554" t="s">
        <v>46</v>
      </c>
      <c r="Y1554" t="s">
        <v>5285</v>
      </c>
    </row>
    <row r="1555" spans="1:25">
      <c r="A1555" t="s">
        <v>5286</v>
      </c>
      <c r="B1555" t="s">
        <v>5287</v>
      </c>
      <c r="D1555" t="s">
        <v>40</v>
      </c>
      <c r="E1555" t="s">
        <v>41</v>
      </c>
      <c r="J1555" t="s">
        <v>68</v>
      </c>
      <c r="K1555" t="s">
        <v>69</v>
      </c>
      <c r="L1555">
        <v>10</v>
      </c>
      <c r="M1555" t="s">
        <v>5281</v>
      </c>
      <c r="N1555" t="s">
        <v>64</v>
      </c>
      <c r="O1555" t="s">
        <v>46</v>
      </c>
      <c r="P1555" t="s">
        <v>46</v>
      </c>
      <c r="Y1555" t="s">
        <v>5288</v>
      </c>
    </row>
    <row r="1556" spans="1:25">
      <c r="A1556" t="s">
        <v>5289</v>
      </c>
      <c r="B1556" t="s">
        <v>5290</v>
      </c>
      <c r="D1556" t="s">
        <v>40</v>
      </c>
      <c r="E1556" t="s">
        <v>41</v>
      </c>
      <c r="J1556" t="s">
        <v>76</v>
      </c>
      <c r="K1556" t="s">
        <v>77</v>
      </c>
      <c r="L1556">
        <v>10</v>
      </c>
      <c r="M1556" t="s">
        <v>5281</v>
      </c>
      <c r="N1556" t="s">
        <v>64</v>
      </c>
      <c r="O1556" t="s">
        <v>46</v>
      </c>
      <c r="P1556" t="s">
        <v>46</v>
      </c>
      <c r="Y1556" t="s">
        <v>5291</v>
      </c>
    </row>
    <row r="1557" spans="1:25">
      <c r="A1557" t="s">
        <v>5292</v>
      </c>
      <c r="B1557" t="s">
        <v>5293</v>
      </c>
      <c r="D1557" t="s">
        <v>40</v>
      </c>
      <c r="E1557" t="s">
        <v>41</v>
      </c>
      <c r="J1557" t="s">
        <v>182</v>
      </c>
      <c r="K1557" t="s">
        <v>183</v>
      </c>
      <c r="L1557">
        <v>10</v>
      </c>
      <c r="M1557" t="s">
        <v>5281</v>
      </c>
      <c r="N1557" t="s">
        <v>64</v>
      </c>
      <c r="O1557" t="s">
        <v>46</v>
      </c>
      <c r="P1557" t="s">
        <v>46</v>
      </c>
      <c r="Y1557" t="s">
        <v>5294</v>
      </c>
    </row>
    <row r="1558" spans="1:25">
      <c r="A1558" t="s">
        <v>5295</v>
      </c>
      <c r="B1558" t="s">
        <v>5296</v>
      </c>
      <c r="D1558" t="s">
        <v>40</v>
      </c>
      <c r="E1558" t="s">
        <v>41</v>
      </c>
      <c r="J1558" t="s">
        <v>182</v>
      </c>
      <c r="K1558" t="s">
        <v>183</v>
      </c>
      <c r="L1558">
        <v>10</v>
      </c>
      <c r="M1558" t="s">
        <v>5297</v>
      </c>
      <c r="N1558" t="s">
        <v>64</v>
      </c>
      <c r="O1558" t="s">
        <v>46</v>
      </c>
      <c r="P1558" t="s">
        <v>46</v>
      </c>
      <c r="Y1558" t="s">
        <v>5298</v>
      </c>
    </row>
    <row r="1559" spans="1:25">
      <c r="A1559" t="s">
        <v>5299</v>
      </c>
      <c r="B1559" t="s">
        <v>5300</v>
      </c>
      <c r="D1559" t="s">
        <v>40</v>
      </c>
      <c r="E1559" t="s">
        <v>41</v>
      </c>
      <c r="J1559" t="s">
        <v>182</v>
      </c>
      <c r="K1559" t="s">
        <v>183</v>
      </c>
      <c r="L1559">
        <v>10</v>
      </c>
      <c r="M1559" t="s">
        <v>5297</v>
      </c>
      <c r="N1559" t="s">
        <v>64</v>
      </c>
      <c r="O1559" t="s">
        <v>46</v>
      </c>
      <c r="P1559" t="s">
        <v>46</v>
      </c>
      <c r="Y1559" t="s">
        <v>5301</v>
      </c>
    </row>
    <row r="1560" spans="1:25">
      <c r="A1560" t="s">
        <v>5302</v>
      </c>
      <c r="B1560" t="s">
        <v>5303</v>
      </c>
      <c r="D1560" t="s">
        <v>40</v>
      </c>
      <c r="E1560" t="s">
        <v>41</v>
      </c>
      <c r="J1560" t="s">
        <v>76</v>
      </c>
      <c r="K1560" t="s">
        <v>77</v>
      </c>
      <c r="L1560">
        <v>10</v>
      </c>
      <c r="M1560" t="s">
        <v>5304</v>
      </c>
      <c r="N1560" t="s">
        <v>64</v>
      </c>
      <c r="O1560" t="s">
        <v>46</v>
      </c>
      <c r="P1560" t="s">
        <v>46</v>
      </c>
      <c r="Y1560" t="s">
        <v>5305</v>
      </c>
    </row>
    <row r="1561" spans="1:25">
      <c r="A1561" t="s">
        <v>5306</v>
      </c>
      <c r="B1561" t="s">
        <v>5307</v>
      </c>
      <c r="D1561" t="s">
        <v>40</v>
      </c>
      <c r="E1561" t="s">
        <v>41</v>
      </c>
      <c r="J1561" t="s">
        <v>76</v>
      </c>
      <c r="K1561" t="s">
        <v>77</v>
      </c>
      <c r="L1561">
        <v>10</v>
      </c>
      <c r="M1561" t="s">
        <v>5304</v>
      </c>
      <c r="N1561" t="s">
        <v>64</v>
      </c>
      <c r="O1561" t="s">
        <v>46</v>
      </c>
      <c r="P1561" t="s">
        <v>46</v>
      </c>
      <c r="Y1561" t="s">
        <v>5308</v>
      </c>
    </row>
    <row r="1562" spans="1:25">
      <c r="A1562" t="s">
        <v>5309</v>
      </c>
      <c r="B1562" t="s">
        <v>5310</v>
      </c>
      <c r="D1562" t="s">
        <v>40</v>
      </c>
      <c r="E1562" t="s">
        <v>41</v>
      </c>
      <c r="J1562" t="s">
        <v>139</v>
      </c>
      <c r="K1562" t="s">
        <v>140</v>
      </c>
      <c r="L1562">
        <v>12</v>
      </c>
      <c r="M1562" t="s">
        <v>5311</v>
      </c>
      <c r="N1562" t="s">
        <v>1380</v>
      </c>
      <c r="O1562" t="s">
        <v>46</v>
      </c>
      <c r="P1562" t="s">
        <v>46</v>
      </c>
      <c r="Y1562" t="s">
        <v>5312</v>
      </c>
    </row>
    <row r="1563" spans="1:25">
      <c r="A1563" t="s">
        <v>5313</v>
      </c>
      <c r="B1563" t="s">
        <v>5314</v>
      </c>
      <c r="D1563" t="s">
        <v>40</v>
      </c>
      <c r="E1563" t="s">
        <v>41</v>
      </c>
      <c r="J1563" t="s">
        <v>68</v>
      </c>
      <c r="K1563" t="s">
        <v>69</v>
      </c>
      <c r="L1563">
        <v>10</v>
      </c>
      <c r="M1563" t="s">
        <v>5315</v>
      </c>
      <c r="N1563" t="s">
        <v>64</v>
      </c>
      <c r="O1563" t="s">
        <v>46</v>
      </c>
      <c r="P1563" t="s">
        <v>46</v>
      </c>
      <c r="Y1563" t="s">
        <v>5316</v>
      </c>
    </row>
    <row r="1564" spans="1:25">
      <c r="A1564" t="s">
        <v>5317</v>
      </c>
      <c r="B1564" t="s">
        <v>5318</v>
      </c>
      <c r="D1564" t="s">
        <v>40</v>
      </c>
      <c r="E1564" t="s">
        <v>41</v>
      </c>
      <c r="J1564" t="s">
        <v>76</v>
      </c>
      <c r="K1564" t="s">
        <v>77</v>
      </c>
      <c r="L1564">
        <v>10</v>
      </c>
      <c r="M1564" t="s">
        <v>5315</v>
      </c>
      <c r="N1564" t="s">
        <v>64</v>
      </c>
      <c r="O1564" t="s">
        <v>46</v>
      </c>
      <c r="P1564" t="s">
        <v>46</v>
      </c>
      <c r="Y1564" t="s">
        <v>5319</v>
      </c>
    </row>
    <row r="1565" spans="1:25">
      <c r="A1565" t="s">
        <v>5320</v>
      </c>
      <c r="B1565" t="s">
        <v>5321</v>
      </c>
      <c r="D1565" t="s">
        <v>40</v>
      </c>
      <c r="E1565" t="s">
        <v>41</v>
      </c>
      <c r="J1565" t="s">
        <v>182</v>
      </c>
      <c r="K1565" t="s">
        <v>183</v>
      </c>
      <c r="L1565">
        <v>10</v>
      </c>
      <c r="M1565" t="s">
        <v>5315</v>
      </c>
      <c r="N1565" t="s">
        <v>64</v>
      </c>
      <c r="O1565" t="s">
        <v>46</v>
      </c>
      <c r="P1565" t="s">
        <v>46</v>
      </c>
      <c r="Y1565" t="s">
        <v>5322</v>
      </c>
    </row>
    <row r="1566" spans="1:25">
      <c r="A1566" t="s">
        <v>5323</v>
      </c>
      <c r="B1566" t="s">
        <v>5324</v>
      </c>
      <c r="D1566" t="s">
        <v>40</v>
      </c>
      <c r="E1566" t="s">
        <v>41</v>
      </c>
      <c r="J1566" t="s">
        <v>76</v>
      </c>
      <c r="K1566" t="s">
        <v>77</v>
      </c>
      <c r="L1566">
        <v>10</v>
      </c>
      <c r="M1566" t="s">
        <v>5315</v>
      </c>
      <c r="N1566" t="s">
        <v>64</v>
      </c>
      <c r="O1566" t="s">
        <v>46</v>
      </c>
      <c r="P1566" t="s">
        <v>46</v>
      </c>
      <c r="Y1566" t="s">
        <v>5325</v>
      </c>
    </row>
    <row r="1567" spans="1:25">
      <c r="A1567" t="s">
        <v>5326</v>
      </c>
      <c r="B1567" t="s">
        <v>5327</v>
      </c>
      <c r="D1567" t="s">
        <v>40</v>
      </c>
      <c r="E1567" t="s">
        <v>41</v>
      </c>
      <c r="J1567" t="s">
        <v>1554</v>
      </c>
      <c r="K1567" t="s">
        <v>1555</v>
      </c>
      <c r="L1567">
        <v>10</v>
      </c>
      <c r="M1567" t="s">
        <v>5328</v>
      </c>
      <c r="N1567" t="s">
        <v>218</v>
      </c>
      <c r="O1567" t="s">
        <v>46</v>
      </c>
      <c r="P1567" t="s">
        <v>46</v>
      </c>
      <c r="Y1567" t="s">
        <v>5329</v>
      </c>
    </row>
    <row r="1568" spans="1:25">
      <c r="A1568" t="s">
        <v>5330</v>
      </c>
      <c r="B1568" t="s">
        <v>5331</v>
      </c>
      <c r="D1568" t="s">
        <v>40</v>
      </c>
      <c r="E1568" t="s">
        <v>41</v>
      </c>
      <c r="J1568" t="s">
        <v>1214</v>
      </c>
      <c r="K1568" t="s">
        <v>1215</v>
      </c>
      <c r="L1568">
        <v>10</v>
      </c>
      <c r="M1568" t="s">
        <v>5332</v>
      </c>
      <c r="N1568" t="s">
        <v>165</v>
      </c>
      <c r="O1568" t="s">
        <v>46</v>
      </c>
      <c r="P1568" t="s">
        <v>46</v>
      </c>
      <c r="Y1568" t="s">
        <v>5333</v>
      </c>
    </row>
    <row r="1569" spans="1:25">
      <c r="A1569" t="s">
        <v>5334</v>
      </c>
      <c r="B1569" t="s">
        <v>5335</v>
      </c>
      <c r="D1569" t="s">
        <v>40</v>
      </c>
      <c r="E1569" t="s">
        <v>41</v>
      </c>
      <c r="J1569" t="s">
        <v>62</v>
      </c>
      <c r="K1569" t="s">
        <v>63</v>
      </c>
      <c r="L1569">
        <v>10</v>
      </c>
      <c r="M1569" t="s">
        <v>5332</v>
      </c>
      <c r="N1569" t="s">
        <v>64</v>
      </c>
      <c r="O1569" t="s">
        <v>46</v>
      </c>
      <c r="P1569" t="s">
        <v>46</v>
      </c>
      <c r="Y1569" t="s">
        <v>5336</v>
      </c>
    </row>
    <row r="1570" spans="1:25">
      <c r="A1570" t="s">
        <v>5337</v>
      </c>
      <c r="B1570" t="s">
        <v>5338</v>
      </c>
      <c r="D1570" t="s">
        <v>40</v>
      </c>
      <c r="E1570" t="s">
        <v>41</v>
      </c>
      <c r="J1570" t="s">
        <v>68</v>
      </c>
      <c r="K1570" t="s">
        <v>69</v>
      </c>
      <c r="L1570">
        <v>10</v>
      </c>
      <c r="M1570" t="s">
        <v>5332</v>
      </c>
      <c r="N1570" t="s">
        <v>64</v>
      </c>
      <c r="O1570" t="s">
        <v>46</v>
      </c>
      <c r="P1570" t="s">
        <v>46</v>
      </c>
      <c r="Y1570" t="s">
        <v>5339</v>
      </c>
    </row>
    <row r="1571" spans="1:25">
      <c r="A1571" t="s">
        <v>5340</v>
      </c>
      <c r="B1571" t="s">
        <v>5341</v>
      </c>
      <c r="D1571" t="s">
        <v>40</v>
      </c>
      <c r="E1571" t="s">
        <v>41</v>
      </c>
      <c r="J1571" t="s">
        <v>182</v>
      </c>
      <c r="K1571" t="s">
        <v>183</v>
      </c>
      <c r="L1571">
        <v>10</v>
      </c>
      <c r="M1571" t="s">
        <v>5342</v>
      </c>
      <c r="N1571" t="s">
        <v>64</v>
      </c>
      <c r="O1571" t="s">
        <v>46</v>
      </c>
      <c r="P1571" t="s">
        <v>46</v>
      </c>
      <c r="Y1571" t="s">
        <v>5343</v>
      </c>
    </row>
    <row r="1572" spans="1:25">
      <c r="A1572" t="s">
        <v>5344</v>
      </c>
      <c r="B1572" t="s">
        <v>5345</v>
      </c>
      <c r="D1572" t="s">
        <v>40</v>
      </c>
      <c r="E1572" t="s">
        <v>41</v>
      </c>
      <c r="J1572" t="s">
        <v>182</v>
      </c>
      <c r="K1572" t="s">
        <v>183</v>
      </c>
      <c r="L1572">
        <v>10</v>
      </c>
      <c r="M1572" t="s">
        <v>5342</v>
      </c>
      <c r="N1572" t="s">
        <v>64</v>
      </c>
      <c r="O1572" t="s">
        <v>46</v>
      </c>
      <c r="P1572" t="s">
        <v>46</v>
      </c>
      <c r="Y1572" t="s">
        <v>5346</v>
      </c>
    </row>
    <row r="1573" spans="1:25">
      <c r="A1573" t="s">
        <v>5347</v>
      </c>
      <c r="B1573" t="s">
        <v>5348</v>
      </c>
      <c r="D1573" t="s">
        <v>40</v>
      </c>
      <c r="E1573" t="s">
        <v>41</v>
      </c>
      <c r="J1573" t="s">
        <v>182</v>
      </c>
      <c r="K1573" t="s">
        <v>183</v>
      </c>
      <c r="L1573">
        <v>10</v>
      </c>
      <c r="M1573" t="s">
        <v>5342</v>
      </c>
      <c r="N1573" t="s">
        <v>64</v>
      </c>
      <c r="O1573" t="s">
        <v>46</v>
      </c>
      <c r="P1573" t="s">
        <v>46</v>
      </c>
      <c r="Y1573" t="s">
        <v>5349</v>
      </c>
    </row>
    <row r="1574" spans="1:25">
      <c r="A1574" t="s">
        <v>5350</v>
      </c>
      <c r="B1574" t="s">
        <v>5351</v>
      </c>
      <c r="D1574" t="s">
        <v>40</v>
      </c>
      <c r="E1574" t="s">
        <v>41</v>
      </c>
      <c r="J1574" t="s">
        <v>76</v>
      </c>
      <c r="K1574" t="s">
        <v>77</v>
      </c>
      <c r="L1574">
        <v>10</v>
      </c>
      <c r="M1574" t="s">
        <v>5352</v>
      </c>
      <c r="N1574" t="s">
        <v>64</v>
      </c>
      <c r="O1574" t="s">
        <v>46</v>
      </c>
      <c r="P1574" t="s">
        <v>46</v>
      </c>
      <c r="Y1574" t="s">
        <v>5353</v>
      </c>
    </row>
    <row r="1575" spans="1:25">
      <c r="A1575" t="s">
        <v>5354</v>
      </c>
      <c r="B1575" t="s">
        <v>5355</v>
      </c>
      <c r="D1575" t="s">
        <v>40</v>
      </c>
      <c r="E1575" t="s">
        <v>41</v>
      </c>
      <c r="J1575" t="s">
        <v>182</v>
      </c>
      <c r="K1575" t="s">
        <v>183</v>
      </c>
      <c r="L1575">
        <v>10</v>
      </c>
      <c r="M1575" t="s">
        <v>5352</v>
      </c>
      <c r="N1575" t="s">
        <v>64</v>
      </c>
      <c r="O1575" t="s">
        <v>46</v>
      </c>
      <c r="P1575" t="s">
        <v>46</v>
      </c>
      <c r="Y1575" t="s">
        <v>5356</v>
      </c>
    </row>
    <row r="1576" spans="1:25">
      <c r="A1576" t="s">
        <v>5357</v>
      </c>
      <c r="B1576" t="s">
        <v>5358</v>
      </c>
      <c r="D1576" t="s">
        <v>40</v>
      </c>
      <c r="E1576" t="s">
        <v>41</v>
      </c>
      <c r="J1576" t="s">
        <v>139</v>
      </c>
      <c r="K1576" t="s">
        <v>140</v>
      </c>
      <c r="L1576">
        <v>10</v>
      </c>
      <c r="M1576" t="s">
        <v>5352</v>
      </c>
      <c r="N1576" t="s">
        <v>142</v>
      </c>
      <c r="O1576" t="s">
        <v>46</v>
      </c>
      <c r="P1576" t="s">
        <v>46</v>
      </c>
      <c r="Y1576" t="s">
        <v>5359</v>
      </c>
    </row>
    <row r="1577" spans="1:25">
      <c r="A1577" t="s">
        <v>5360</v>
      </c>
      <c r="B1577" t="s">
        <v>5361</v>
      </c>
      <c r="D1577" t="s">
        <v>40</v>
      </c>
      <c r="E1577" t="s">
        <v>41</v>
      </c>
      <c r="J1577" t="s">
        <v>182</v>
      </c>
      <c r="K1577" t="s">
        <v>183</v>
      </c>
      <c r="L1577">
        <v>10</v>
      </c>
      <c r="M1577" t="s">
        <v>5352</v>
      </c>
      <c r="N1577" t="s">
        <v>64</v>
      </c>
      <c r="O1577" t="s">
        <v>46</v>
      </c>
      <c r="P1577" t="s">
        <v>46</v>
      </c>
      <c r="Y1577" t="s">
        <v>5362</v>
      </c>
    </row>
    <row r="1578" spans="1:25">
      <c r="A1578" t="s">
        <v>5363</v>
      </c>
      <c r="B1578" t="s">
        <v>5364</v>
      </c>
      <c r="D1578" t="s">
        <v>40</v>
      </c>
      <c r="E1578" t="s">
        <v>41</v>
      </c>
      <c r="J1578" t="s">
        <v>182</v>
      </c>
      <c r="K1578" t="s">
        <v>183</v>
      </c>
      <c r="L1578">
        <v>10</v>
      </c>
      <c r="M1578" t="s">
        <v>5352</v>
      </c>
      <c r="N1578" t="s">
        <v>64</v>
      </c>
      <c r="O1578" t="s">
        <v>46</v>
      </c>
      <c r="P1578" t="s">
        <v>46</v>
      </c>
      <c r="Y1578" t="s">
        <v>5365</v>
      </c>
    </row>
    <row r="1579" spans="1:25">
      <c r="A1579" t="s">
        <v>5366</v>
      </c>
      <c r="B1579" t="s">
        <v>5367</v>
      </c>
      <c r="D1579" t="s">
        <v>40</v>
      </c>
      <c r="E1579" t="s">
        <v>41</v>
      </c>
      <c r="J1579" t="s">
        <v>62</v>
      </c>
      <c r="K1579" t="s">
        <v>63</v>
      </c>
      <c r="L1579">
        <v>10</v>
      </c>
      <c r="M1579" t="s">
        <v>5352</v>
      </c>
      <c r="N1579" t="s">
        <v>64</v>
      </c>
      <c r="O1579" t="s">
        <v>46</v>
      </c>
      <c r="P1579" t="s">
        <v>46</v>
      </c>
      <c r="Y1579" t="s">
        <v>5368</v>
      </c>
    </row>
    <row r="1580" spans="1:25">
      <c r="A1580" t="s">
        <v>5369</v>
      </c>
      <c r="B1580" t="s">
        <v>5370</v>
      </c>
      <c r="D1580" t="s">
        <v>40</v>
      </c>
      <c r="E1580" t="s">
        <v>41</v>
      </c>
      <c r="J1580" t="s">
        <v>42</v>
      </c>
      <c r="K1580" t="s">
        <v>43</v>
      </c>
      <c r="L1580">
        <v>10</v>
      </c>
      <c r="M1580" t="s">
        <v>5371</v>
      </c>
      <c r="N1580" t="s">
        <v>2621</v>
      </c>
      <c r="O1580" t="s">
        <v>46</v>
      </c>
      <c r="P1580" t="s">
        <v>46</v>
      </c>
      <c r="Y1580" t="s">
        <v>5372</v>
      </c>
    </row>
    <row r="1581" spans="1:25">
      <c r="A1581" t="s">
        <v>5373</v>
      </c>
      <c r="B1581" t="s">
        <v>5374</v>
      </c>
      <c r="D1581" t="s">
        <v>40</v>
      </c>
      <c r="E1581" t="s">
        <v>41</v>
      </c>
      <c r="J1581" t="s">
        <v>76</v>
      </c>
      <c r="K1581" t="s">
        <v>77</v>
      </c>
      <c r="L1581">
        <v>10</v>
      </c>
      <c r="M1581" t="s">
        <v>5371</v>
      </c>
      <c r="N1581" t="s">
        <v>64</v>
      </c>
      <c r="O1581" t="s">
        <v>46</v>
      </c>
      <c r="P1581" t="s">
        <v>46</v>
      </c>
      <c r="Y1581" t="s">
        <v>5375</v>
      </c>
    </row>
    <row r="1582" spans="1:25">
      <c r="A1582" t="s">
        <v>5376</v>
      </c>
      <c r="B1582" t="s">
        <v>5377</v>
      </c>
      <c r="D1582" t="s">
        <v>40</v>
      </c>
      <c r="E1582" t="s">
        <v>41</v>
      </c>
      <c r="J1582" t="s">
        <v>182</v>
      </c>
      <c r="K1582" t="s">
        <v>183</v>
      </c>
      <c r="L1582">
        <v>10</v>
      </c>
      <c r="M1582" t="s">
        <v>5371</v>
      </c>
      <c r="N1582" t="s">
        <v>64</v>
      </c>
      <c r="O1582" t="s">
        <v>46</v>
      </c>
      <c r="P1582" t="s">
        <v>46</v>
      </c>
      <c r="Y1582" t="s">
        <v>5378</v>
      </c>
    </row>
    <row r="1583" spans="1:25">
      <c r="A1583" t="s">
        <v>5379</v>
      </c>
      <c r="B1583" t="s">
        <v>5380</v>
      </c>
      <c r="D1583" t="s">
        <v>40</v>
      </c>
      <c r="E1583" t="s">
        <v>41</v>
      </c>
      <c r="J1583" t="s">
        <v>182</v>
      </c>
      <c r="K1583" t="s">
        <v>183</v>
      </c>
      <c r="L1583">
        <v>10</v>
      </c>
      <c r="M1583" t="s">
        <v>5381</v>
      </c>
      <c r="N1583" t="s">
        <v>64</v>
      </c>
      <c r="O1583" t="s">
        <v>46</v>
      </c>
      <c r="P1583" t="s">
        <v>46</v>
      </c>
      <c r="Y1583" t="s">
        <v>5382</v>
      </c>
    </row>
    <row r="1584" spans="1:25">
      <c r="A1584" t="s">
        <v>5383</v>
      </c>
      <c r="B1584" t="s">
        <v>5384</v>
      </c>
      <c r="D1584" t="s">
        <v>40</v>
      </c>
      <c r="E1584" t="s">
        <v>41</v>
      </c>
      <c r="J1584" t="s">
        <v>62</v>
      </c>
      <c r="K1584" t="s">
        <v>63</v>
      </c>
      <c r="L1584">
        <v>10</v>
      </c>
      <c r="M1584" t="s">
        <v>5381</v>
      </c>
      <c r="N1584" t="s">
        <v>64</v>
      </c>
      <c r="O1584" t="s">
        <v>46</v>
      </c>
      <c r="P1584" t="s">
        <v>46</v>
      </c>
      <c r="Y1584" t="s">
        <v>5385</v>
      </c>
    </row>
    <row r="1585" spans="1:25">
      <c r="A1585" t="s">
        <v>5386</v>
      </c>
      <c r="B1585" t="s">
        <v>5387</v>
      </c>
      <c r="D1585" t="s">
        <v>40</v>
      </c>
      <c r="E1585" t="s">
        <v>41</v>
      </c>
      <c r="J1585" t="s">
        <v>76</v>
      </c>
      <c r="K1585" t="s">
        <v>77</v>
      </c>
      <c r="L1585">
        <v>10</v>
      </c>
      <c r="M1585" t="s">
        <v>5381</v>
      </c>
      <c r="N1585" t="s">
        <v>64</v>
      </c>
      <c r="O1585" t="s">
        <v>46</v>
      </c>
      <c r="P1585" t="s">
        <v>46</v>
      </c>
      <c r="Y1585" t="s">
        <v>5388</v>
      </c>
    </row>
    <row r="1586" spans="1:25">
      <c r="A1586" t="s">
        <v>5389</v>
      </c>
      <c r="B1586" t="s">
        <v>5390</v>
      </c>
      <c r="D1586" t="s">
        <v>40</v>
      </c>
      <c r="E1586" t="s">
        <v>41</v>
      </c>
      <c r="J1586" t="s">
        <v>182</v>
      </c>
      <c r="K1586" t="s">
        <v>183</v>
      </c>
      <c r="L1586">
        <v>10</v>
      </c>
      <c r="M1586" t="s">
        <v>5381</v>
      </c>
      <c r="N1586" t="s">
        <v>64</v>
      </c>
      <c r="O1586" t="s">
        <v>46</v>
      </c>
      <c r="P1586" t="s">
        <v>46</v>
      </c>
      <c r="Y1586" t="s">
        <v>5391</v>
      </c>
    </row>
    <row r="1587" spans="1:25">
      <c r="A1587" t="s">
        <v>5392</v>
      </c>
      <c r="B1587" t="s">
        <v>5393</v>
      </c>
      <c r="D1587" t="s">
        <v>40</v>
      </c>
      <c r="E1587" t="s">
        <v>41</v>
      </c>
      <c r="J1587" t="s">
        <v>182</v>
      </c>
      <c r="K1587" t="s">
        <v>183</v>
      </c>
      <c r="L1587">
        <v>10</v>
      </c>
      <c r="M1587" t="s">
        <v>5394</v>
      </c>
      <c r="N1587" t="s">
        <v>64</v>
      </c>
      <c r="O1587" t="s">
        <v>46</v>
      </c>
      <c r="P1587" t="s">
        <v>46</v>
      </c>
      <c r="Y1587" t="s">
        <v>5395</v>
      </c>
    </row>
    <row r="1588" spans="1:25">
      <c r="A1588" t="s">
        <v>5396</v>
      </c>
      <c r="B1588" t="s">
        <v>5397</v>
      </c>
      <c r="D1588" t="s">
        <v>40</v>
      </c>
      <c r="E1588" t="s">
        <v>41</v>
      </c>
      <c r="J1588" t="s">
        <v>182</v>
      </c>
      <c r="K1588" t="s">
        <v>183</v>
      </c>
      <c r="L1588">
        <v>10</v>
      </c>
      <c r="M1588" t="s">
        <v>5394</v>
      </c>
      <c r="N1588" t="s">
        <v>64</v>
      </c>
      <c r="O1588" t="s">
        <v>46</v>
      </c>
      <c r="P1588" t="s">
        <v>46</v>
      </c>
      <c r="Y1588" t="s">
        <v>5398</v>
      </c>
    </row>
    <row r="1589" spans="1:25">
      <c r="A1589" t="s">
        <v>5399</v>
      </c>
      <c r="B1589" t="s">
        <v>5400</v>
      </c>
      <c r="D1589" t="s">
        <v>40</v>
      </c>
      <c r="E1589" t="s">
        <v>41</v>
      </c>
      <c r="J1589" t="s">
        <v>182</v>
      </c>
      <c r="K1589" t="s">
        <v>183</v>
      </c>
      <c r="L1589">
        <v>10</v>
      </c>
      <c r="M1589" t="s">
        <v>5401</v>
      </c>
      <c r="N1589" t="s">
        <v>64</v>
      </c>
      <c r="O1589" t="s">
        <v>46</v>
      </c>
      <c r="P1589" t="s">
        <v>46</v>
      </c>
      <c r="Y1589" t="s">
        <v>5402</v>
      </c>
    </row>
    <row r="1590" spans="1:25">
      <c r="A1590" t="s">
        <v>5403</v>
      </c>
      <c r="B1590" t="s">
        <v>5404</v>
      </c>
      <c r="D1590" t="s">
        <v>40</v>
      </c>
      <c r="E1590" t="s">
        <v>41</v>
      </c>
      <c r="J1590" t="s">
        <v>76</v>
      </c>
      <c r="K1590" t="s">
        <v>77</v>
      </c>
      <c r="L1590">
        <v>10</v>
      </c>
      <c r="M1590" t="s">
        <v>5401</v>
      </c>
      <c r="N1590" t="s">
        <v>64</v>
      </c>
      <c r="O1590" t="s">
        <v>46</v>
      </c>
      <c r="P1590" t="s">
        <v>46</v>
      </c>
      <c r="Y1590" t="s">
        <v>5405</v>
      </c>
    </row>
    <row r="1591" spans="1:25">
      <c r="A1591" t="s">
        <v>5406</v>
      </c>
      <c r="B1591" t="s">
        <v>5407</v>
      </c>
      <c r="D1591" t="s">
        <v>40</v>
      </c>
      <c r="E1591" t="s">
        <v>41</v>
      </c>
      <c r="J1591" t="s">
        <v>68</v>
      </c>
      <c r="K1591" t="s">
        <v>69</v>
      </c>
      <c r="L1591">
        <v>10</v>
      </c>
      <c r="M1591" t="s">
        <v>5401</v>
      </c>
      <c r="N1591" t="s">
        <v>64</v>
      </c>
      <c r="O1591" t="s">
        <v>46</v>
      </c>
      <c r="P1591" t="s">
        <v>46</v>
      </c>
      <c r="Y1591" t="s">
        <v>5408</v>
      </c>
    </row>
    <row r="1592" spans="1:25">
      <c r="A1592" t="s">
        <v>5409</v>
      </c>
      <c r="B1592" t="s">
        <v>5410</v>
      </c>
      <c r="D1592" t="s">
        <v>40</v>
      </c>
      <c r="E1592" t="s">
        <v>41</v>
      </c>
      <c r="J1592" t="s">
        <v>182</v>
      </c>
      <c r="K1592" t="s">
        <v>183</v>
      </c>
      <c r="L1592">
        <v>10</v>
      </c>
      <c r="M1592" t="s">
        <v>5411</v>
      </c>
      <c r="N1592" t="s">
        <v>64</v>
      </c>
      <c r="O1592" t="s">
        <v>46</v>
      </c>
      <c r="P1592" t="s">
        <v>46</v>
      </c>
      <c r="Y1592" t="s">
        <v>5412</v>
      </c>
    </row>
    <row r="1593" spans="1:25">
      <c r="A1593" t="s">
        <v>5413</v>
      </c>
      <c r="B1593" t="s">
        <v>5414</v>
      </c>
      <c r="D1593" t="s">
        <v>40</v>
      </c>
      <c r="E1593" t="s">
        <v>41</v>
      </c>
      <c r="J1593" t="s">
        <v>68</v>
      </c>
      <c r="K1593" t="s">
        <v>69</v>
      </c>
      <c r="L1593">
        <v>10</v>
      </c>
      <c r="M1593" t="s">
        <v>5415</v>
      </c>
      <c r="N1593" t="s">
        <v>64</v>
      </c>
      <c r="O1593" t="s">
        <v>46</v>
      </c>
      <c r="P1593" t="s">
        <v>46</v>
      </c>
      <c r="Y1593" t="s">
        <v>5416</v>
      </c>
    </row>
    <row r="1594" spans="1:25">
      <c r="A1594" t="s">
        <v>5417</v>
      </c>
      <c r="B1594" t="s">
        <v>5418</v>
      </c>
      <c r="D1594" t="s">
        <v>40</v>
      </c>
      <c r="E1594" t="s">
        <v>41</v>
      </c>
      <c r="J1594" t="s">
        <v>76</v>
      </c>
      <c r="K1594" t="s">
        <v>77</v>
      </c>
      <c r="L1594">
        <v>10</v>
      </c>
      <c r="M1594" t="s">
        <v>5415</v>
      </c>
      <c r="N1594" t="s">
        <v>64</v>
      </c>
      <c r="O1594" t="s">
        <v>46</v>
      </c>
      <c r="P1594" t="s">
        <v>46</v>
      </c>
      <c r="Y1594" t="s">
        <v>5419</v>
      </c>
    </row>
    <row r="1595" spans="1:25">
      <c r="A1595" t="s">
        <v>5420</v>
      </c>
      <c r="B1595" t="s">
        <v>5421</v>
      </c>
      <c r="D1595" t="s">
        <v>40</v>
      </c>
      <c r="E1595" t="s">
        <v>41</v>
      </c>
      <c r="J1595" t="s">
        <v>68</v>
      </c>
      <c r="K1595" t="s">
        <v>69</v>
      </c>
      <c r="L1595">
        <v>10</v>
      </c>
      <c r="M1595" t="s">
        <v>5415</v>
      </c>
      <c r="N1595" t="s">
        <v>64</v>
      </c>
      <c r="O1595" t="s">
        <v>46</v>
      </c>
      <c r="P1595" t="s">
        <v>46</v>
      </c>
      <c r="Y1595" t="s">
        <v>5422</v>
      </c>
    </row>
    <row r="1596" spans="1:25">
      <c r="A1596" t="s">
        <v>5423</v>
      </c>
      <c r="B1596" t="s">
        <v>5424</v>
      </c>
      <c r="D1596" t="s">
        <v>40</v>
      </c>
      <c r="E1596" t="s">
        <v>41</v>
      </c>
      <c r="J1596" t="s">
        <v>76</v>
      </c>
      <c r="K1596" t="s">
        <v>77</v>
      </c>
      <c r="L1596">
        <v>10</v>
      </c>
      <c r="M1596" t="s">
        <v>5415</v>
      </c>
      <c r="N1596" t="s">
        <v>64</v>
      </c>
      <c r="O1596" t="s">
        <v>46</v>
      </c>
      <c r="P1596" t="s">
        <v>46</v>
      </c>
      <c r="Y1596" t="s">
        <v>5425</v>
      </c>
    </row>
    <row r="1597" spans="1:25">
      <c r="A1597" t="s">
        <v>5426</v>
      </c>
      <c r="B1597" t="s">
        <v>5427</v>
      </c>
      <c r="D1597" t="s">
        <v>40</v>
      </c>
      <c r="E1597" t="s">
        <v>41</v>
      </c>
      <c r="J1597" t="s">
        <v>182</v>
      </c>
      <c r="K1597" t="s">
        <v>183</v>
      </c>
      <c r="L1597">
        <v>10</v>
      </c>
      <c r="M1597" t="s">
        <v>5415</v>
      </c>
      <c r="N1597" t="s">
        <v>64</v>
      </c>
      <c r="O1597" t="s">
        <v>46</v>
      </c>
      <c r="P1597" t="s">
        <v>46</v>
      </c>
      <c r="Y1597" t="s">
        <v>5428</v>
      </c>
    </row>
    <row r="1598" spans="1:25">
      <c r="A1598" t="s">
        <v>5429</v>
      </c>
      <c r="B1598" t="s">
        <v>5430</v>
      </c>
      <c r="D1598" t="s">
        <v>40</v>
      </c>
      <c r="E1598" t="s">
        <v>41</v>
      </c>
      <c r="J1598" t="s">
        <v>182</v>
      </c>
      <c r="K1598" t="s">
        <v>183</v>
      </c>
      <c r="L1598">
        <v>10</v>
      </c>
      <c r="M1598" t="s">
        <v>5415</v>
      </c>
      <c r="N1598" t="s">
        <v>64</v>
      </c>
      <c r="O1598" t="s">
        <v>46</v>
      </c>
      <c r="P1598" t="s">
        <v>46</v>
      </c>
      <c r="Y1598" t="s">
        <v>5431</v>
      </c>
    </row>
    <row r="1599" spans="1:25">
      <c r="A1599" t="s">
        <v>5432</v>
      </c>
      <c r="B1599" t="s">
        <v>5433</v>
      </c>
      <c r="D1599" t="s">
        <v>40</v>
      </c>
      <c r="E1599" t="s">
        <v>41</v>
      </c>
      <c r="J1599" t="s">
        <v>42</v>
      </c>
      <c r="K1599" t="s">
        <v>43</v>
      </c>
      <c r="L1599">
        <v>8</v>
      </c>
      <c r="M1599" t="s">
        <v>5434</v>
      </c>
      <c r="N1599" t="s">
        <v>291</v>
      </c>
      <c r="O1599" t="s">
        <v>46</v>
      </c>
      <c r="P1599" t="s">
        <v>46</v>
      </c>
      <c r="Y1599" t="s">
        <v>5435</v>
      </c>
    </row>
    <row r="1600" spans="1:25">
      <c r="A1600" t="s">
        <v>5436</v>
      </c>
      <c r="B1600" t="s">
        <v>5437</v>
      </c>
      <c r="D1600" t="s">
        <v>40</v>
      </c>
      <c r="E1600" t="s">
        <v>41</v>
      </c>
      <c r="J1600" t="s">
        <v>182</v>
      </c>
      <c r="K1600" t="s">
        <v>183</v>
      </c>
      <c r="L1600">
        <v>10</v>
      </c>
      <c r="M1600" t="s">
        <v>5434</v>
      </c>
      <c r="N1600" t="s">
        <v>64</v>
      </c>
      <c r="O1600" t="s">
        <v>46</v>
      </c>
      <c r="P1600" t="s">
        <v>46</v>
      </c>
      <c r="Y1600" t="s">
        <v>5438</v>
      </c>
    </row>
    <row r="1601" spans="1:25">
      <c r="A1601" t="s">
        <v>5439</v>
      </c>
      <c r="B1601" t="s">
        <v>5440</v>
      </c>
      <c r="D1601" t="s">
        <v>40</v>
      </c>
      <c r="E1601" t="s">
        <v>41</v>
      </c>
      <c r="J1601" t="s">
        <v>76</v>
      </c>
      <c r="K1601" t="s">
        <v>77</v>
      </c>
      <c r="L1601">
        <v>10</v>
      </c>
      <c r="M1601" t="s">
        <v>5434</v>
      </c>
      <c r="N1601" t="s">
        <v>64</v>
      </c>
      <c r="O1601" t="s">
        <v>46</v>
      </c>
      <c r="P1601" t="s">
        <v>46</v>
      </c>
      <c r="Y1601" t="s">
        <v>5441</v>
      </c>
    </row>
    <row r="1602" spans="1:25">
      <c r="A1602" t="s">
        <v>5442</v>
      </c>
      <c r="B1602" t="s">
        <v>5443</v>
      </c>
      <c r="D1602" t="s">
        <v>40</v>
      </c>
      <c r="E1602" t="s">
        <v>41</v>
      </c>
      <c r="J1602" t="s">
        <v>182</v>
      </c>
      <c r="K1602" t="s">
        <v>183</v>
      </c>
      <c r="L1602">
        <v>10</v>
      </c>
      <c r="M1602" t="s">
        <v>5434</v>
      </c>
      <c r="N1602" t="s">
        <v>64</v>
      </c>
      <c r="O1602" t="s">
        <v>46</v>
      </c>
      <c r="P1602" t="s">
        <v>46</v>
      </c>
      <c r="Y1602" t="s">
        <v>5444</v>
      </c>
    </row>
    <row r="1603" spans="1:25">
      <c r="A1603" t="s">
        <v>5445</v>
      </c>
      <c r="B1603" t="s">
        <v>5446</v>
      </c>
      <c r="D1603" t="s">
        <v>40</v>
      </c>
      <c r="E1603" t="s">
        <v>41</v>
      </c>
      <c r="J1603" t="s">
        <v>182</v>
      </c>
      <c r="K1603" t="s">
        <v>183</v>
      </c>
      <c r="L1603">
        <v>10</v>
      </c>
      <c r="M1603" t="s">
        <v>5447</v>
      </c>
      <c r="N1603" t="s">
        <v>64</v>
      </c>
      <c r="O1603" t="s">
        <v>46</v>
      </c>
      <c r="P1603" t="s">
        <v>46</v>
      </c>
      <c r="Y1603" t="s">
        <v>5448</v>
      </c>
    </row>
    <row r="1604" spans="1:25">
      <c r="A1604" t="s">
        <v>5449</v>
      </c>
      <c r="B1604" t="s">
        <v>5450</v>
      </c>
      <c r="D1604" t="s">
        <v>40</v>
      </c>
      <c r="E1604" t="s">
        <v>41</v>
      </c>
      <c r="J1604" t="s">
        <v>42</v>
      </c>
      <c r="K1604" t="s">
        <v>43</v>
      </c>
      <c r="L1604">
        <v>10</v>
      </c>
      <c r="M1604" t="s">
        <v>5447</v>
      </c>
      <c r="N1604" t="s">
        <v>373</v>
      </c>
      <c r="O1604" t="s">
        <v>46</v>
      </c>
      <c r="P1604" t="s">
        <v>46</v>
      </c>
      <c r="Y1604" t="s">
        <v>5451</v>
      </c>
    </row>
    <row r="1605" spans="1:25">
      <c r="A1605" t="s">
        <v>5452</v>
      </c>
      <c r="B1605" t="s">
        <v>5453</v>
      </c>
      <c r="D1605" t="s">
        <v>40</v>
      </c>
      <c r="E1605" t="s">
        <v>41</v>
      </c>
      <c r="J1605" t="s">
        <v>182</v>
      </c>
      <c r="K1605" t="s">
        <v>183</v>
      </c>
      <c r="L1605">
        <v>10</v>
      </c>
      <c r="M1605" t="s">
        <v>5447</v>
      </c>
      <c r="N1605" t="s">
        <v>64</v>
      </c>
      <c r="O1605" t="s">
        <v>46</v>
      </c>
      <c r="P1605" t="s">
        <v>46</v>
      </c>
      <c r="Y1605" t="s">
        <v>5454</v>
      </c>
    </row>
    <row r="1606" spans="1:25">
      <c r="A1606" t="s">
        <v>5455</v>
      </c>
      <c r="B1606" t="s">
        <v>5456</v>
      </c>
      <c r="D1606" t="s">
        <v>40</v>
      </c>
      <c r="E1606" t="s">
        <v>41</v>
      </c>
      <c r="J1606" t="s">
        <v>182</v>
      </c>
      <c r="K1606" t="s">
        <v>183</v>
      </c>
      <c r="L1606">
        <v>10</v>
      </c>
      <c r="M1606" t="s">
        <v>5457</v>
      </c>
      <c r="N1606" t="s">
        <v>64</v>
      </c>
      <c r="O1606" t="s">
        <v>46</v>
      </c>
      <c r="P1606" t="s">
        <v>46</v>
      </c>
      <c r="Y1606" t="s">
        <v>5458</v>
      </c>
    </row>
    <row r="1607" spans="1:25">
      <c r="A1607" t="s">
        <v>5459</v>
      </c>
      <c r="B1607" t="s">
        <v>5460</v>
      </c>
      <c r="D1607" t="s">
        <v>40</v>
      </c>
      <c r="E1607" t="s">
        <v>41</v>
      </c>
      <c r="J1607" t="s">
        <v>76</v>
      </c>
      <c r="K1607" t="s">
        <v>77</v>
      </c>
      <c r="L1607">
        <v>10</v>
      </c>
      <c r="M1607" t="s">
        <v>5461</v>
      </c>
      <c r="N1607" t="s">
        <v>64</v>
      </c>
      <c r="O1607" t="s">
        <v>46</v>
      </c>
      <c r="P1607" t="s">
        <v>46</v>
      </c>
      <c r="Y1607" t="s">
        <v>5462</v>
      </c>
    </row>
    <row r="1608" spans="1:25">
      <c r="A1608" t="s">
        <v>5463</v>
      </c>
      <c r="B1608" t="s">
        <v>5464</v>
      </c>
      <c r="D1608" t="s">
        <v>40</v>
      </c>
      <c r="E1608" t="s">
        <v>41</v>
      </c>
      <c r="J1608" t="s">
        <v>1214</v>
      </c>
      <c r="K1608" t="s">
        <v>1215</v>
      </c>
      <c r="L1608">
        <v>10</v>
      </c>
      <c r="M1608" t="s">
        <v>5461</v>
      </c>
      <c r="N1608" t="s">
        <v>1258</v>
      </c>
      <c r="O1608" t="s">
        <v>46</v>
      </c>
      <c r="P1608" t="s">
        <v>46</v>
      </c>
      <c r="Y1608" t="s">
        <v>5465</v>
      </c>
    </row>
    <row r="1609" spans="1:25">
      <c r="A1609" t="s">
        <v>5466</v>
      </c>
      <c r="B1609" t="s">
        <v>5467</v>
      </c>
      <c r="D1609" t="s">
        <v>40</v>
      </c>
      <c r="E1609" t="s">
        <v>41</v>
      </c>
      <c r="J1609" t="s">
        <v>76</v>
      </c>
      <c r="K1609" t="s">
        <v>77</v>
      </c>
      <c r="L1609">
        <v>10</v>
      </c>
      <c r="M1609" t="s">
        <v>5461</v>
      </c>
      <c r="N1609" t="s">
        <v>64</v>
      </c>
      <c r="O1609" t="s">
        <v>46</v>
      </c>
      <c r="P1609" t="s">
        <v>46</v>
      </c>
      <c r="Y1609" t="s">
        <v>5468</v>
      </c>
    </row>
    <row r="1610" spans="1:25">
      <c r="A1610" t="s">
        <v>5469</v>
      </c>
      <c r="B1610" t="s">
        <v>5470</v>
      </c>
      <c r="D1610" t="s">
        <v>40</v>
      </c>
      <c r="E1610" t="s">
        <v>41</v>
      </c>
      <c r="J1610" t="s">
        <v>182</v>
      </c>
      <c r="K1610" t="s">
        <v>183</v>
      </c>
      <c r="L1610">
        <v>10</v>
      </c>
      <c r="M1610" t="s">
        <v>5471</v>
      </c>
      <c r="N1610" t="s">
        <v>64</v>
      </c>
      <c r="O1610" t="s">
        <v>46</v>
      </c>
      <c r="P1610" t="s">
        <v>46</v>
      </c>
      <c r="Y1610" t="s">
        <v>5472</v>
      </c>
    </row>
    <row r="1611" spans="1:25">
      <c r="A1611" t="s">
        <v>5473</v>
      </c>
      <c r="B1611" t="s">
        <v>5474</v>
      </c>
      <c r="D1611" t="s">
        <v>40</v>
      </c>
      <c r="E1611" t="s">
        <v>41</v>
      </c>
      <c r="J1611" t="s">
        <v>62</v>
      </c>
      <c r="K1611" t="s">
        <v>63</v>
      </c>
      <c r="L1611">
        <v>10</v>
      </c>
      <c r="M1611" t="s">
        <v>5471</v>
      </c>
      <c r="N1611" t="s">
        <v>64</v>
      </c>
      <c r="O1611" t="s">
        <v>46</v>
      </c>
      <c r="P1611" t="s">
        <v>46</v>
      </c>
      <c r="Y1611" t="s">
        <v>5475</v>
      </c>
    </row>
    <row r="1612" spans="1:25">
      <c r="A1612" t="s">
        <v>5476</v>
      </c>
      <c r="B1612" t="s">
        <v>5477</v>
      </c>
      <c r="D1612" t="s">
        <v>40</v>
      </c>
      <c r="E1612" t="s">
        <v>41</v>
      </c>
      <c r="J1612" t="s">
        <v>62</v>
      </c>
      <c r="K1612" t="s">
        <v>63</v>
      </c>
      <c r="L1612">
        <v>10</v>
      </c>
      <c r="M1612" t="s">
        <v>5471</v>
      </c>
      <c r="N1612" t="s">
        <v>64</v>
      </c>
      <c r="O1612" t="s">
        <v>46</v>
      </c>
      <c r="P1612" t="s">
        <v>46</v>
      </c>
      <c r="Y1612" t="s">
        <v>5478</v>
      </c>
    </row>
    <row r="1613" spans="1:25">
      <c r="A1613" t="s">
        <v>5479</v>
      </c>
      <c r="B1613" t="s">
        <v>5480</v>
      </c>
      <c r="D1613" t="s">
        <v>40</v>
      </c>
      <c r="E1613" t="s">
        <v>41</v>
      </c>
      <c r="J1613" t="s">
        <v>182</v>
      </c>
      <c r="K1613" t="s">
        <v>183</v>
      </c>
      <c r="L1613">
        <v>10</v>
      </c>
      <c r="M1613" t="s">
        <v>5471</v>
      </c>
      <c r="N1613" t="s">
        <v>64</v>
      </c>
      <c r="O1613" t="s">
        <v>46</v>
      </c>
      <c r="P1613" t="s">
        <v>46</v>
      </c>
      <c r="Y1613" t="s">
        <v>5481</v>
      </c>
    </row>
    <row r="1614" spans="1:25">
      <c r="A1614" t="s">
        <v>5482</v>
      </c>
      <c r="B1614" t="s">
        <v>5483</v>
      </c>
      <c r="D1614" t="s">
        <v>40</v>
      </c>
      <c r="E1614" t="s">
        <v>41</v>
      </c>
      <c r="J1614" t="s">
        <v>182</v>
      </c>
      <c r="K1614" t="s">
        <v>183</v>
      </c>
      <c r="L1614">
        <v>10</v>
      </c>
      <c r="M1614" t="s">
        <v>5471</v>
      </c>
      <c r="N1614" t="s">
        <v>64</v>
      </c>
      <c r="O1614" t="s">
        <v>46</v>
      </c>
      <c r="P1614" t="s">
        <v>46</v>
      </c>
      <c r="Y1614" t="s">
        <v>5484</v>
      </c>
    </row>
    <row r="1615" spans="1:25">
      <c r="A1615" t="s">
        <v>5485</v>
      </c>
      <c r="B1615" t="s">
        <v>5486</v>
      </c>
      <c r="D1615" t="s">
        <v>40</v>
      </c>
      <c r="E1615" t="s">
        <v>41</v>
      </c>
      <c r="J1615" t="s">
        <v>182</v>
      </c>
      <c r="K1615" t="s">
        <v>183</v>
      </c>
      <c r="L1615">
        <v>10</v>
      </c>
      <c r="M1615" t="s">
        <v>5487</v>
      </c>
      <c r="N1615" t="s">
        <v>64</v>
      </c>
      <c r="O1615" t="s">
        <v>46</v>
      </c>
      <c r="P1615" t="s">
        <v>46</v>
      </c>
      <c r="Y1615" t="s">
        <v>5488</v>
      </c>
    </row>
    <row r="1616" spans="1:25">
      <c r="A1616" t="s">
        <v>5489</v>
      </c>
      <c r="B1616" t="s">
        <v>5490</v>
      </c>
      <c r="D1616" t="s">
        <v>40</v>
      </c>
      <c r="E1616" t="s">
        <v>41</v>
      </c>
      <c r="J1616" t="s">
        <v>42</v>
      </c>
      <c r="K1616" t="s">
        <v>43</v>
      </c>
      <c r="L1616">
        <v>10</v>
      </c>
      <c r="M1616" t="s">
        <v>5487</v>
      </c>
      <c r="N1616" t="s">
        <v>1344</v>
      </c>
      <c r="O1616" t="s">
        <v>46</v>
      </c>
      <c r="P1616" t="s">
        <v>46</v>
      </c>
      <c r="Y1616" t="s">
        <v>5491</v>
      </c>
    </row>
    <row r="1617" spans="1:25">
      <c r="A1617" t="s">
        <v>5492</v>
      </c>
      <c r="B1617" t="s">
        <v>5493</v>
      </c>
      <c r="D1617" t="s">
        <v>40</v>
      </c>
      <c r="E1617" t="s">
        <v>41</v>
      </c>
      <c r="J1617" t="s">
        <v>42</v>
      </c>
      <c r="K1617" t="s">
        <v>43</v>
      </c>
      <c r="L1617">
        <v>10</v>
      </c>
      <c r="M1617" t="s">
        <v>5487</v>
      </c>
      <c r="N1617" t="s">
        <v>350</v>
      </c>
      <c r="O1617" t="s">
        <v>46</v>
      </c>
      <c r="P1617" t="s">
        <v>46</v>
      </c>
      <c r="Y1617" t="s">
        <v>5494</v>
      </c>
    </row>
    <row r="1618" spans="1:25">
      <c r="A1618" t="s">
        <v>5495</v>
      </c>
      <c r="B1618" t="s">
        <v>5496</v>
      </c>
      <c r="D1618" t="s">
        <v>40</v>
      </c>
      <c r="E1618" t="s">
        <v>41</v>
      </c>
      <c r="J1618" t="s">
        <v>182</v>
      </c>
      <c r="K1618" t="s">
        <v>183</v>
      </c>
      <c r="L1618">
        <v>10</v>
      </c>
      <c r="M1618" t="s">
        <v>5487</v>
      </c>
      <c r="N1618" t="s">
        <v>64</v>
      </c>
      <c r="O1618" t="s">
        <v>46</v>
      </c>
      <c r="P1618" t="s">
        <v>46</v>
      </c>
      <c r="Y1618" t="s">
        <v>5497</v>
      </c>
    </row>
    <row r="1619" spans="1:25">
      <c r="A1619" t="s">
        <v>5498</v>
      </c>
      <c r="B1619" t="s">
        <v>5499</v>
      </c>
      <c r="D1619" t="s">
        <v>40</v>
      </c>
      <c r="E1619" t="s">
        <v>41</v>
      </c>
      <c r="J1619" t="s">
        <v>182</v>
      </c>
      <c r="K1619" t="s">
        <v>183</v>
      </c>
      <c r="L1619">
        <v>10</v>
      </c>
      <c r="M1619" t="s">
        <v>5487</v>
      </c>
      <c r="N1619" t="s">
        <v>64</v>
      </c>
      <c r="O1619" t="s">
        <v>46</v>
      </c>
      <c r="P1619" t="s">
        <v>46</v>
      </c>
      <c r="Y1619" t="s">
        <v>5500</v>
      </c>
    </row>
    <row r="1620" spans="1:25">
      <c r="A1620" t="s">
        <v>5501</v>
      </c>
      <c r="B1620" t="s">
        <v>5502</v>
      </c>
      <c r="D1620" t="s">
        <v>40</v>
      </c>
      <c r="E1620" t="s">
        <v>41</v>
      </c>
      <c r="J1620" t="s">
        <v>76</v>
      </c>
      <c r="K1620" t="s">
        <v>77</v>
      </c>
      <c r="L1620">
        <v>10</v>
      </c>
      <c r="M1620" t="s">
        <v>5487</v>
      </c>
      <c r="N1620" t="s">
        <v>64</v>
      </c>
      <c r="O1620" t="s">
        <v>46</v>
      </c>
      <c r="P1620" t="s">
        <v>46</v>
      </c>
      <c r="Y1620" t="s">
        <v>5503</v>
      </c>
    </row>
    <row r="1621" spans="1:25">
      <c r="A1621" t="s">
        <v>5504</v>
      </c>
      <c r="B1621" t="s">
        <v>5505</v>
      </c>
      <c r="D1621" t="s">
        <v>40</v>
      </c>
      <c r="E1621" t="s">
        <v>41</v>
      </c>
      <c r="J1621" t="s">
        <v>76</v>
      </c>
      <c r="K1621" t="s">
        <v>77</v>
      </c>
      <c r="L1621">
        <v>10</v>
      </c>
      <c r="M1621" t="s">
        <v>5487</v>
      </c>
      <c r="N1621" t="s">
        <v>64</v>
      </c>
      <c r="O1621" t="s">
        <v>46</v>
      </c>
      <c r="P1621" t="s">
        <v>46</v>
      </c>
      <c r="Y1621" t="s">
        <v>5506</v>
      </c>
    </row>
    <row r="1622" spans="1:25">
      <c r="A1622" t="s">
        <v>5507</v>
      </c>
      <c r="B1622" t="s">
        <v>5508</v>
      </c>
      <c r="D1622" t="s">
        <v>40</v>
      </c>
      <c r="E1622" t="s">
        <v>41</v>
      </c>
      <c r="J1622" t="s">
        <v>76</v>
      </c>
      <c r="K1622" t="s">
        <v>77</v>
      </c>
      <c r="L1622">
        <v>10</v>
      </c>
      <c r="M1622" t="s">
        <v>5487</v>
      </c>
      <c r="N1622" t="s">
        <v>64</v>
      </c>
      <c r="O1622" t="s">
        <v>46</v>
      </c>
      <c r="P1622" t="s">
        <v>46</v>
      </c>
      <c r="Y1622" t="s">
        <v>5509</v>
      </c>
    </row>
    <row r="1623" spans="1:25">
      <c r="A1623" t="s">
        <v>5510</v>
      </c>
      <c r="B1623" t="s">
        <v>5511</v>
      </c>
      <c r="D1623" t="s">
        <v>40</v>
      </c>
      <c r="E1623" t="s">
        <v>41</v>
      </c>
      <c r="J1623" t="s">
        <v>182</v>
      </c>
      <c r="K1623" t="s">
        <v>183</v>
      </c>
      <c r="L1623">
        <v>10</v>
      </c>
      <c r="M1623" t="s">
        <v>5487</v>
      </c>
      <c r="N1623" t="s">
        <v>64</v>
      </c>
      <c r="O1623" t="s">
        <v>46</v>
      </c>
      <c r="P1623" t="s">
        <v>46</v>
      </c>
      <c r="Y1623" t="s">
        <v>5512</v>
      </c>
    </row>
    <row r="1624" spans="1:25">
      <c r="A1624" t="s">
        <v>5513</v>
      </c>
      <c r="B1624" t="s">
        <v>5514</v>
      </c>
      <c r="D1624" t="s">
        <v>40</v>
      </c>
      <c r="E1624" t="s">
        <v>41</v>
      </c>
      <c r="J1624" t="s">
        <v>76</v>
      </c>
      <c r="K1624" t="s">
        <v>77</v>
      </c>
      <c r="L1624">
        <v>10</v>
      </c>
      <c r="M1624" t="s">
        <v>5487</v>
      </c>
      <c r="N1624" t="s">
        <v>64</v>
      </c>
      <c r="O1624" t="s">
        <v>46</v>
      </c>
      <c r="P1624" t="s">
        <v>46</v>
      </c>
      <c r="Y1624" t="s">
        <v>5515</v>
      </c>
    </row>
    <row r="1625" spans="1:25">
      <c r="A1625" t="s">
        <v>5516</v>
      </c>
      <c r="B1625" t="s">
        <v>5517</v>
      </c>
      <c r="D1625" t="s">
        <v>40</v>
      </c>
      <c r="E1625" t="s">
        <v>41</v>
      </c>
      <c r="J1625" t="s">
        <v>182</v>
      </c>
      <c r="K1625" t="s">
        <v>183</v>
      </c>
      <c r="L1625">
        <v>10</v>
      </c>
      <c r="M1625" t="s">
        <v>5518</v>
      </c>
      <c r="N1625" t="s">
        <v>64</v>
      </c>
      <c r="O1625" t="s">
        <v>46</v>
      </c>
      <c r="P1625" t="s">
        <v>46</v>
      </c>
      <c r="Y1625" t="s">
        <v>5519</v>
      </c>
    </row>
    <row r="1626" spans="1:25">
      <c r="A1626" t="s">
        <v>5520</v>
      </c>
      <c r="B1626" t="s">
        <v>5521</v>
      </c>
      <c r="D1626" t="s">
        <v>40</v>
      </c>
      <c r="E1626" t="s">
        <v>41</v>
      </c>
      <c r="J1626" t="s">
        <v>264</v>
      </c>
      <c r="K1626" t="s">
        <v>265</v>
      </c>
      <c r="L1626">
        <v>10</v>
      </c>
      <c r="M1626" t="s">
        <v>5522</v>
      </c>
      <c r="N1626" t="s">
        <v>1189</v>
      </c>
      <c r="O1626" t="s">
        <v>46</v>
      </c>
      <c r="P1626" t="s">
        <v>46</v>
      </c>
      <c r="Y1626" t="s">
        <v>5523</v>
      </c>
    </row>
    <row r="1627" spans="1:25">
      <c r="A1627" t="s">
        <v>5524</v>
      </c>
      <c r="B1627" t="s">
        <v>5525</v>
      </c>
      <c r="D1627" t="s">
        <v>40</v>
      </c>
      <c r="E1627" t="s">
        <v>41</v>
      </c>
      <c r="J1627" t="s">
        <v>76</v>
      </c>
      <c r="K1627" t="s">
        <v>77</v>
      </c>
      <c r="L1627">
        <v>10</v>
      </c>
      <c r="M1627" t="s">
        <v>5526</v>
      </c>
      <c r="N1627" t="s">
        <v>64</v>
      </c>
      <c r="O1627" t="s">
        <v>46</v>
      </c>
      <c r="P1627" t="s">
        <v>46</v>
      </c>
      <c r="Y1627" t="s">
        <v>5527</v>
      </c>
    </row>
    <row r="1628" spans="1:25">
      <c r="A1628" t="s">
        <v>5528</v>
      </c>
      <c r="B1628" t="s">
        <v>5529</v>
      </c>
      <c r="D1628" t="s">
        <v>40</v>
      </c>
      <c r="E1628" t="s">
        <v>41</v>
      </c>
      <c r="J1628" t="s">
        <v>76</v>
      </c>
      <c r="K1628" t="s">
        <v>77</v>
      </c>
      <c r="L1628">
        <v>10</v>
      </c>
      <c r="M1628" t="s">
        <v>5526</v>
      </c>
      <c r="N1628" t="s">
        <v>64</v>
      </c>
      <c r="O1628" t="s">
        <v>46</v>
      </c>
      <c r="P1628" t="s">
        <v>46</v>
      </c>
      <c r="Y1628" t="s">
        <v>5530</v>
      </c>
    </row>
    <row r="1629" spans="1:25">
      <c r="A1629" t="s">
        <v>5531</v>
      </c>
      <c r="B1629" t="s">
        <v>5532</v>
      </c>
      <c r="D1629" t="s">
        <v>40</v>
      </c>
      <c r="E1629" t="s">
        <v>41</v>
      </c>
      <c r="J1629" t="s">
        <v>264</v>
      </c>
      <c r="K1629" t="s">
        <v>265</v>
      </c>
      <c r="L1629">
        <v>12</v>
      </c>
      <c r="M1629" t="s">
        <v>5526</v>
      </c>
      <c r="N1629" t="s">
        <v>373</v>
      </c>
      <c r="O1629" t="s">
        <v>46</v>
      </c>
      <c r="P1629" t="s">
        <v>46</v>
      </c>
      <c r="Y1629" t="s">
        <v>5533</v>
      </c>
    </row>
    <row r="1630" spans="1:25">
      <c r="A1630" t="s">
        <v>5534</v>
      </c>
      <c r="B1630" t="s">
        <v>5535</v>
      </c>
      <c r="D1630" t="s">
        <v>40</v>
      </c>
      <c r="E1630" t="s">
        <v>41</v>
      </c>
      <c r="J1630" t="s">
        <v>68</v>
      </c>
      <c r="K1630" t="s">
        <v>69</v>
      </c>
      <c r="L1630">
        <v>10</v>
      </c>
      <c r="M1630" t="s">
        <v>5526</v>
      </c>
      <c r="N1630" t="s">
        <v>64</v>
      </c>
      <c r="O1630" t="s">
        <v>46</v>
      </c>
      <c r="P1630" t="s">
        <v>46</v>
      </c>
      <c r="Y1630" t="s">
        <v>5536</v>
      </c>
    </row>
    <row r="1631" spans="1:25">
      <c r="A1631" t="s">
        <v>5537</v>
      </c>
      <c r="B1631" t="s">
        <v>5538</v>
      </c>
      <c r="D1631" t="s">
        <v>40</v>
      </c>
      <c r="E1631" t="s">
        <v>41</v>
      </c>
      <c r="J1631" t="s">
        <v>62</v>
      </c>
      <c r="K1631" t="s">
        <v>63</v>
      </c>
      <c r="L1631">
        <v>10</v>
      </c>
      <c r="M1631" t="s">
        <v>5526</v>
      </c>
      <c r="N1631" t="s">
        <v>64</v>
      </c>
      <c r="O1631" t="s">
        <v>46</v>
      </c>
      <c r="P1631" t="s">
        <v>46</v>
      </c>
      <c r="Y1631" t="s">
        <v>5539</v>
      </c>
    </row>
    <row r="1632" spans="1:25">
      <c r="A1632" t="s">
        <v>5540</v>
      </c>
      <c r="B1632" t="s">
        <v>5541</v>
      </c>
      <c r="D1632" t="s">
        <v>40</v>
      </c>
      <c r="E1632" t="s">
        <v>41</v>
      </c>
      <c r="J1632" t="s">
        <v>42</v>
      </c>
      <c r="K1632" t="s">
        <v>43</v>
      </c>
      <c r="L1632">
        <v>10</v>
      </c>
      <c r="M1632" t="s">
        <v>5526</v>
      </c>
      <c r="N1632" t="s">
        <v>218</v>
      </c>
      <c r="O1632" t="s">
        <v>46</v>
      </c>
      <c r="P1632" t="s">
        <v>46</v>
      </c>
      <c r="Y1632" t="s">
        <v>5542</v>
      </c>
    </row>
    <row r="1633" spans="1:25">
      <c r="A1633" t="s">
        <v>5543</v>
      </c>
      <c r="B1633" t="s">
        <v>5544</v>
      </c>
      <c r="D1633" t="s">
        <v>40</v>
      </c>
      <c r="E1633" t="s">
        <v>41</v>
      </c>
      <c r="J1633" t="s">
        <v>182</v>
      </c>
      <c r="K1633" t="s">
        <v>183</v>
      </c>
      <c r="L1633">
        <v>10</v>
      </c>
      <c r="M1633" t="s">
        <v>5526</v>
      </c>
      <c r="N1633" t="s">
        <v>64</v>
      </c>
      <c r="O1633" t="s">
        <v>46</v>
      </c>
      <c r="P1633" t="s">
        <v>46</v>
      </c>
      <c r="Y1633" t="s">
        <v>5545</v>
      </c>
    </row>
    <row r="1634" spans="1:25">
      <c r="A1634" t="s">
        <v>5546</v>
      </c>
      <c r="B1634" t="s">
        <v>5547</v>
      </c>
      <c r="D1634" t="s">
        <v>40</v>
      </c>
      <c r="E1634" t="s">
        <v>41</v>
      </c>
      <c r="J1634" t="s">
        <v>76</v>
      </c>
      <c r="K1634" t="s">
        <v>77</v>
      </c>
      <c r="L1634">
        <v>10</v>
      </c>
      <c r="M1634" t="s">
        <v>5526</v>
      </c>
      <c r="N1634" t="s">
        <v>64</v>
      </c>
      <c r="O1634" t="s">
        <v>46</v>
      </c>
      <c r="P1634" t="s">
        <v>46</v>
      </c>
      <c r="Y1634" t="s">
        <v>5548</v>
      </c>
    </row>
    <row r="1635" spans="1:25">
      <c r="A1635" t="s">
        <v>5549</v>
      </c>
      <c r="B1635" t="s">
        <v>5550</v>
      </c>
      <c r="D1635" t="s">
        <v>40</v>
      </c>
      <c r="E1635" t="s">
        <v>41</v>
      </c>
      <c r="J1635" t="s">
        <v>42</v>
      </c>
      <c r="K1635" t="s">
        <v>43</v>
      </c>
      <c r="L1635">
        <v>10</v>
      </c>
      <c r="M1635" t="s">
        <v>5526</v>
      </c>
      <c r="N1635" t="s">
        <v>1550</v>
      </c>
      <c r="O1635" t="s">
        <v>46</v>
      </c>
      <c r="P1635" t="s">
        <v>46</v>
      </c>
      <c r="Y1635" t="s">
        <v>5551</v>
      </c>
    </row>
    <row r="1636" spans="1:25">
      <c r="A1636" t="s">
        <v>5552</v>
      </c>
      <c r="B1636" t="s">
        <v>5553</v>
      </c>
      <c r="D1636" t="s">
        <v>40</v>
      </c>
      <c r="E1636" t="s">
        <v>41</v>
      </c>
      <c r="J1636" t="s">
        <v>182</v>
      </c>
      <c r="K1636" t="s">
        <v>183</v>
      </c>
      <c r="L1636">
        <v>10</v>
      </c>
      <c r="M1636" t="s">
        <v>5554</v>
      </c>
      <c r="N1636" t="s">
        <v>64</v>
      </c>
      <c r="O1636" t="s">
        <v>46</v>
      </c>
      <c r="P1636" t="s">
        <v>46</v>
      </c>
      <c r="Y1636" t="s">
        <v>5555</v>
      </c>
    </row>
    <row r="1637" spans="1:25">
      <c r="A1637" t="s">
        <v>5556</v>
      </c>
      <c r="B1637" t="s">
        <v>5557</v>
      </c>
      <c r="D1637" t="s">
        <v>40</v>
      </c>
      <c r="E1637" t="s">
        <v>41</v>
      </c>
      <c r="J1637" t="s">
        <v>68</v>
      </c>
      <c r="K1637" t="s">
        <v>69</v>
      </c>
      <c r="L1637">
        <v>10</v>
      </c>
      <c r="M1637" t="s">
        <v>5554</v>
      </c>
      <c r="N1637" t="s">
        <v>64</v>
      </c>
      <c r="O1637" t="s">
        <v>46</v>
      </c>
      <c r="P1637" t="s">
        <v>46</v>
      </c>
      <c r="Y1637" t="s">
        <v>5558</v>
      </c>
    </row>
    <row r="1638" spans="1:25">
      <c r="A1638" t="s">
        <v>5559</v>
      </c>
      <c r="B1638" t="s">
        <v>5560</v>
      </c>
      <c r="D1638" t="s">
        <v>40</v>
      </c>
      <c r="E1638" t="s">
        <v>41</v>
      </c>
      <c r="J1638" t="s">
        <v>68</v>
      </c>
      <c r="K1638" t="s">
        <v>69</v>
      </c>
      <c r="L1638">
        <v>10</v>
      </c>
      <c r="M1638" t="s">
        <v>5561</v>
      </c>
      <c r="N1638" t="s">
        <v>64</v>
      </c>
      <c r="O1638" t="s">
        <v>46</v>
      </c>
      <c r="P1638" t="s">
        <v>46</v>
      </c>
      <c r="Y1638" t="s">
        <v>5562</v>
      </c>
    </row>
    <row r="1639" spans="1:25">
      <c r="A1639" t="s">
        <v>5563</v>
      </c>
      <c r="B1639" t="s">
        <v>5564</v>
      </c>
      <c r="D1639" t="s">
        <v>40</v>
      </c>
      <c r="E1639" t="s">
        <v>41</v>
      </c>
      <c r="J1639" t="s">
        <v>182</v>
      </c>
      <c r="K1639" t="s">
        <v>183</v>
      </c>
      <c r="L1639">
        <v>10</v>
      </c>
      <c r="M1639" t="s">
        <v>5561</v>
      </c>
      <c r="N1639" t="s">
        <v>64</v>
      </c>
      <c r="O1639" t="s">
        <v>46</v>
      </c>
      <c r="P1639" t="s">
        <v>46</v>
      </c>
      <c r="Y1639" t="s">
        <v>5565</v>
      </c>
    </row>
    <row r="1640" spans="1:25">
      <c r="A1640" t="s">
        <v>5566</v>
      </c>
      <c r="B1640" t="s">
        <v>5567</v>
      </c>
      <c r="D1640" t="s">
        <v>40</v>
      </c>
      <c r="E1640" t="s">
        <v>41</v>
      </c>
      <c r="J1640" t="s">
        <v>182</v>
      </c>
      <c r="K1640" t="s">
        <v>183</v>
      </c>
      <c r="L1640">
        <v>10</v>
      </c>
      <c r="M1640" t="s">
        <v>5561</v>
      </c>
      <c r="N1640" t="s">
        <v>64</v>
      </c>
      <c r="O1640" t="s">
        <v>46</v>
      </c>
      <c r="P1640" t="s">
        <v>46</v>
      </c>
      <c r="Y1640" t="s">
        <v>5568</v>
      </c>
    </row>
    <row r="1641" spans="1:25">
      <c r="A1641" t="s">
        <v>5569</v>
      </c>
      <c r="B1641" t="s">
        <v>5570</v>
      </c>
      <c r="D1641" t="s">
        <v>40</v>
      </c>
      <c r="E1641" t="s">
        <v>41</v>
      </c>
      <c r="J1641" t="s">
        <v>182</v>
      </c>
      <c r="K1641" t="s">
        <v>183</v>
      </c>
      <c r="L1641">
        <v>10</v>
      </c>
      <c r="M1641" t="s">
        <v>5571</v>
      </c>
      <c r="N1641" t="s">
        <v>64</v>
      </c>
      <c r="O1641" t="s">
        <v>46</v>
      </c>
      <c r="P1641" t="s">
        <v>46</v>
      </c>
      <c r="Y1641" t="s">
        <v>5572</v>
      </c>
    </row>
    <row r="1642" spans="1:25">
      <c r="A1642" t="s">
        <v>5573</v>
      </c>
      <c r="B1642" t="s">
        <v>5574</v>
      </c>
      <c r="D1642" t="s">
        <v>40</v>
      </c>
      <c r="E1642" t="s">
        <v>41</v>
      </c>
      <c r="J1642" t="s">
        <v>42</v>
      </c>
      <c r="K1642" t="s">
        <v>43</v>
      </c>
      <c r="L1642">
        <v>10</v>
      </c>
      <c r="M1642" t="s">
        <v>5571</v>
      </c>
      <c r="N1642" t="s">
        <v>45</v>
      </c>
      <c r="O1642" t="s">
        <v>46</v>
      </c>
      <c r="P1642" t="s">
        <v>46</v>
      </c>
      <c r="Y1642" t="s">
        <v>5575</v>
      </c>
    </row>
    <row r="1643" spans="1:25">
      <c r="A1643" t="s">
        <v>5576</v>
      </c>
      <c r="B1643" t="s">
        <v>5577</v>
      </c>
      <c r="D1643" t="s">
        <v>40</v>
      </c>
      <c r="E1643" t="s">
        <v>41</v>
      </c>
      <c r="J1643" t="s">
        <v>42</v>
      </c>
      <c r="K1643" t="s">
        <v>43</v>
      </c>
      <c r="L1643">
        <v>10</v>
      </c>
      <c r="M1643" t="s">
        <v>5571</v>
      </c>
      <c r="N1643" t="s">
        <v>165</v>
      </c>
      <c r="O1643" t="s">
        <v>46</v>
      </c>
      <c r="P1643" t="s">
        <v>46</v>
      </c>
      <c r="Y1643" t="s">
        <v>5578</v>
      </c>
    </row>
    <row r="1644" spans="1:25">
      <c r="A1644" t="s">
        <v>5579</v>
      </c>
      <c r="B1644" t="s">
        <v>5580</v>
      </c>
      <c r="D1644" t="s">
        <v>40</v>
      </c>
      <c r="E1644" t="s">
        <v>41</v>
      </c>
      <c r="J1644" t="s">
        <v>68</v>
      </c>
      <c r="K1644" t="s">
        <v>69</v>
      </c>
      <c r="L1644">
        <v>10</v>
      </c>
      <c r="M1644" t="s">
        <v>5571</v>
      </c>
      <c r="N1644" t="s">
        <v>64</v>
      </c>
      <c r="O1644" t="s">
        <v>46</v>
      </c>
      <c r="P1644" t="s">
        <v>46</v>
      </c>
      <c r="Y1644" t="s">
        <v>5581</v>
      </c>
    </row>
    <row r="1645" spans="1:25">
      <c r="A1645" t="s">
        <v>5582</v>
      </c>
      <c r="B1645" t="s">
        <v>5583</v>
      </c>
      <c r="D1645" t="s">
        <v>40</v>
      </c>
      <c r="E1645" t="s">
        <v>41</v>
      </c>
      <c r="J1645" t="s">
        <v>68</v>
      </c>
      <c r="K1645" t="s">
        <v>69</v>
      </c>
      <c r="L1645">
        <v>10</v>
      </c>
      <c r="M1645" t="s">
        <v>5571</v>
      </c>
      <c r="N1645" t="s">
        <v>64</v>
      </c>
      <c r="O1645" t="s">
        <v>46</v>
      </c>
      <c r="P1645" t="s">
        <v>46</v>
      </c>
      <c r="Y1645" t="s">
        <v>5584</v>
      </c>
    </row>
    <row r="1646" spans="1:25">
      <c r="A1646" t="s">
        <v>5585</v>
      </c>
      <c r="B1646" t="s">
        <v>5586</v>
      </c>
      <c r="D1646" t="s">
        <v>40</v>
      </c>
      <c r="E1646" t="s">
        <v>41</v>
      </c>
      <c r="J1646" t="s">
        <v>68</v>
      </c>
      <c r="K1646" t="s">
        <v>69</v>
      </c>
      <c r="L1646">
        <v>10</v>
      </c>
      <c r="M1646" t="s">
        <v>5587</v>
      </c>
      <c r="N1646" t="s">
        <v>64</v>
      </c>
      <c r="O1646" t="s">
        <v>46</v>
      </c>
      <c r="P1646" t="s">
        <v>46</v>
      </c>
      <c r="Y1646" t="s">
        <v>5588</v>
      </c>
    </row>
    <row r="1647" spans="1:25">
      <c r="A1647" t="s">
        <v>5589</v>
      </c>
      <c r="B1647" t="s">
        <v>5590</v>
      </c>
      <c r="D1647" t="s">
        <v>40</v>
      </c>
      <c r="E1647" t="s">
        <v>41</v>
      </c>
      <c r="J1647" t="s">
        <v>68</v>
      </c>
      <c r="K1647" t="s">
        <v>69</v>
      </c>
      <c r="L1647">
        <v>10</v>
      </c>
      <c r="M1647" t="s">
        <v>5591</v>
      </c>
      <c r="N1647" t="s">
        <v>64</v>
      </c>
      <c r="O1647" t="s">
        <v>46</v>
      </c>
      <c r="P1647" t="s">
        <v>46</v>
      </c>
      <c r="Y1647" t="s">
        <v>5592</v>
      </c>
    </row>
    <row r="1648" spans="1:25">
      <c r="A1648" t="s">
        <v>5593</v>
      </c>
      <c r="B1648" t="s">
        <v>5594</v>
      </c>
      <c r="D1648" t="s">
        <v>40</v>
      </c>
      <c r="E1648" t="s">
        <v>41</v>
      </c>
      <c r="J1648" t="s">
        <v>182</v>
      </c>
      <c r="K1648" t="s">
        <v>183</v>
      </c>
      <c r="L1648">
        <v>10</v>
      </c>
      <c r="M1648" t="s">
        <v>5591</v>
      </c>
      <c r="N1648" t="s">
        <v>64</v>
      </c>
      <c r="O1648" t="s">
        <v>46</v>
      </c>
      <c r="P1648" t="s">
        <v>46</v>
      </c>
      <c r="Y1648" t="s">
        <v>5595</v>
      </c>
    </row>
    <row r="1649" spans="1:25">
      <c r="A1649" t="s">
        <v>5596</v>
      </c>
      <c r="B1649" t="s">
        <v>5597</v>
      </c>
      <c r="D1649" t="s">
        <v>40</v>
      </c>
      <c r="E1649" t="s">
        <v>41</v>
      </c>
      <c r="J1649" t="s">
        <v>182</v>
      </c>
      <c r="K1649" t="s">
        <v>183</v>
      </c>
      <c r="L1649">
        <v>10</v>
      </c>
      <c r="M1649" t="s">
        <v>5591</v>
      </c>
      <c r="N1649" t="s">
        <v>64</v>
      </c>
      <c r="O1649" t="s">
        <v>46</v>
      </c>
      <c r="P1649" t="s">
        <v>46</v>
      </c>
      <c r="Y1649" t="s">
        <v>5598</v>
      </c>
    </row>
    <row r="1650" spans="1:25">
      <c r="A1650" t="s">
        <v>5599</v>
      </c>
      <c r="B1650" t="s">
        <v>5600</v>
      </c>
      <c r="D1650" t="s">
        <v>40</v>
      </c>
      <c r="E1650" t="s">
        <v>41</v>
      </c>
      <c r="J1650" t="s">
        <v>76</v>
      </c>
      <c r="K1650" t="s">
        <v>77</v>
      </c>
      <c r="L1650">
        <v>10</v>
      </c>
      <c r="M1650" t="s">
        <v>5591</v>
      </c>
      <c r="N1650" t="s">
        <v>64</v>
      </c>
      <c r="O1650" t="s">
        <v>46</v>
      </c>
      <c r="P1650" t="s">
        <v>46</v>
      </c>
      <c r="Y1650" t="s">
        <v>5601</v>
      </c>
    </row>
    <row r="1651" spans="1:25">
      <c r="A1651" t="s">
        <v>5602</v>
      </c>
      <c r="B1651" t="s">
        <v>5603</v>
      </c>
      <c r="D1651" t="s">
        <v>40</v>
      </c>
      <c r="E1651" t="s">
        <v>41</v>
      </c>
      <c r="J1651" t="s">
        <v>76</v>
      </c>
      <c r="K1651" t="s">
        <v>77</v>
      </c>
      <c r="L1651">
        <v>10</v>
      </c>
      <c r="M1651" t="s">
        <v>5591</v>
      </c>
      <c r="N1651" t="s">
        <v>64</v>
      </c>
      <c r="O1651" t="s">
        <v>46</v>
      </c>
      <c r="P1651" t="s">
        <v>46</v>
      </c>
      <c r="Y1651" t="s">
        <v>5604</v>
      </c>
    </row>
    <row r="1652" spans="1:25">
      <c r="A1652" t="s">
        <v>5605</v>
      </c>
      <c r="B1652" t="s">
        <v>5606</v>
      </c>
      <c r="D1652" t="s">
        <v>40</v>
      </c>
      <c r="E1652" t="s">
        <v>41</v>
      </c>
      <c r="J1652" t="s">
        <v>264</v>
      </c>
      <c r="K1652" t="s">
        <v>265</v>
      </c>
      <c r="L1652">
        <v>10</v>
      </c>
      <c r="M1652" t="s">
        <v>5607</v>
      </c>
      <c r="N1652" t="s">
        <v>741</v>
      </c>
      <c r="O1652" t="s">
        <v>46</v>
      </c>
      <c r="P1652" t="s">
        <v>46</v>
      </c>
      <c r="Y1652" t="s">
        <v>5608</v>
      </c>
    </row>
    <row r="1653" spans="1:25">
      <c r="A1653" t="s">
        <v>5609</v>
      </c>
      <c r="B1653" t="s">
        <v>5610</v>
      </c>
      <c r="D1653" t="s">
        <v>40</v>
      </c>
      <c r="E1653" t="s">
        <v>41</v>
      </c>
      <c r="J1653" t="s">
        <v>139</v>
      </c>
      <c r="K1653" t="s">
        <v>140</v>
      </c>
      <c r="L1653">
        <v>10</v>
      </c>
      <c r="M1653" t="s">
        <v>5611</v>
      </c>
      <c r="N1653" t="s">
        <v>617</v>
      </c>
      <c r="O1653" t="s">
        <v>46</v>
      </c>
      <c r="P1653" t="s">
        <v>46</v>
      </c>
      <c r="Y1653" t="s">
        <v>5612</v>
      </c>
    </row>
    <row r="1654" spans="1:25">
      <c r="A1654" t="s">
        <v>5613</v>
      </c>
      <c r="B1654" t="s">
        <v>5614</v>
      </c>
      <c r="D1654" t="s">
        <v>40</v>
      </c>
      <c r="E1654" t="s">
        <v>41</v>
      </c>
      <c r="J1654" t="s">
        <v>182</v>
      </c>
      <c r="K1654" t="s">
        <v>183</v>
      </c>
      <c r="L1654">
        <v>10</v>
      </c>
      <c r="M1654" t="s">
        <v>5611</v>
      </c>
      <c r="N1654" t="s">
        <v>64</v>
      </c>
      <c r="O1654" t="s">
        <v>46</v>
      </c>
      <c r="P1654" t="s">
        <v>46</v>
      </c>
      <c r="Y1654" t="s">
        <v>5615</v>
      </c>
    </row>
    <row r="1655" spans="1:25">
      <c r="A1655" t="s">
        <v>5616</v>
      </c>
      <c r="B1655" t="s">
        <v>5617</v>
      </c>
      <c r="D1655" t="s">
        <v>40</v>
      </c>
      <c r="E1655" t="s">
        <v>41</v>
      </c>
      <c r="J1655" t="s">
        <v>182</v>
      </c>
      <c r="K1655" t="s">
        <v>183</v>
      </c>
      <c r="L1655">
        <v>10</v>
      </c>
      <c r="M1655" t="s">
        <v>5618</v>
      </c>
      <c r="N1655" t="s">
        <v>64</v>
      </c>
      <c r="O1655" t="s">
        <v>46</v>
      </c>
      <c r="P1655" t="s">
        <v>46</v>
      </c>
      <c r="Y1655" t="s">
        <v>5619</v>
      </c>
    </row>
    <row r="1656" spans="1:25">
      <c r="A1656" t="s">
        <v>5620</v>
      </c>
      <c r="B1656" t="s">
        <v>5621</v>
      </c>
      <c r="D1656" t="s">
        <v>40</v>
      </c>
      <c r="E1656" t="s">
        <v>41</v>
      </c>
      <c r="J1656" t="s">
        <v>182</v>
      </c>
      <c r="K1656" t="s">
        <v>183</v>
      </c>
      <c r="L1656">
        <v>10</v>
      </c>
      <c r="M1656" t="s">
        <v>5622</v>
      </c>
      <c r="N1656" t="s">
        <v>64</v>
      </c>
      <c r="O1656" t="s">
        <v>46</v>
      </c>
      <c r="P1656" t="s">
        <v>46</v>
      </c>
      <c r="Y1656" t="s">
        <v>5623</v>
      </c>
    </row>
    <row r="1657" spans="1:25">
      <c r="A1657" t="s">
        <v>5624</v>
      </c>
      <c r="B1657" t="s">
        <v>5625</v>
      </c>
      <c r="D1657" t="s">
        <v>40</v>
      </c>
      <c r="E1657" t="s">
        <v>41</v>
      </c>
      <c r="J1657" t="s">
        <v>76</v>
      </c>
      <c r="K1657" t="s">
        <v>77</v>
      </c>
      <c r="L1657">
        <v>10</v>
      </c>
      <c r="M1657" t="s">
        <v>5622</v>
      </c>
      <c r="N1657" t="s">
        <v>64</v>
      </c>
      <c r="O1657" t="s">
        <v>46</v>
      </c>
      <c r="P1657" t="s">
        <v>46</v>
      </c>
      <c r="Y1657" t="s">
        <v>5626</v>
      </c>
    </row>
    <row r="1658" spans="1:25">
      <c r="A1658" t="s">
        <v>5627</v>
      </c>
      <c r="B1658" t="s">
        <v>5628</v>
      </c>
      <c r="D1658" t="s">
        <v>40</v>
      </c>
      <c r="E1658" t="s">
        <v>41</v>
      </c>
      <c r="J1658" t="s">
        <v>68</v>
      </c>
      <c r="K1658" t="s">
        <v>69</v>
      </c>
      <c r="L1658">
        <v>10</v>
      </c>
      <c r="M1658" t="s">
        <v>5622</v>
      </c>
      <c r="N1658" t="s">
        <v>64</v>
      </c>
      <c r="O1658" t="s">
        <v>46</v>
      </c>
      <c r="P1658" t="s">
        <v>46</v>
      </c>
      <c r="Y1658" t="s">
        <v>5629</v>
      </c>
    </row>
    <row r="1659" spans="1:25">
      <c r="A1659" t="s">
        <v>5630</v>
      </c>
      <c r="B1659" t="s">
        <v>5631</v>
      </c>
      <c r="D1659" t="s">
        <v>40</v>
      </c>
      <c r="E1659" t="s">
        <v>41</v>
      </c>
      <c r="J1659" t="s">
        <v>76</v>
      </c>
      <c r="K1659" t="s">
        <v>77</v>
      </c>
      <c r="L1659">
        <v>10</v>
      </c>
      <c r="M1659" t="s">
        <v>5622</v>
      </c>
      <c r="N1659" t="s">
        <v>64</v>
      </c>
      <c r="O1659" t="s">
        <v>46</v>
      </c>
      <c r="P1659" t="s">
        <v>46</v>
      </c>
      <c r="Y1659" t="s">
        <v>5632</v>
      </c>
    </row>
    <row r="1660" spans="1:25">
      <c r="A1660" t="s">
        <v>5633</v>
      </c>
      <c r="B1660" t="s">
        <v>5634</v>
      </c>
      <c r="D1660" t="s">
        <v>40</v>
      </c>
      <c r="E1660" t="s">
        <v>41</v>
      </c>
      <c r="J1660" t="s">
        <v>248</v>
      </c>
      <c r="K1660" t="s">
        <v>249</v>
      </c>
      <c r="L1660">
        <v>10</v>
      </c>
      <c r="M1660" t="s">
        <v>5622</v>
      </c>
      <c r="N1660" t="s">
        <v>53</v>
      </c>
      <c r="O1660" t="s">
        <v>46</v>
      </c>
      <c r="P1660" t="s">
        <v>46</v>
      </c>
      <c r="Y1660" t="s">
        <v>5635</v>
      </c>
    </row>
    <row r="1661" spans="1:25">
      <c r="A1661" t="s">
        <v>5636</v>
      </c>
      <c r="B1661" t="s">
        <v>5637</v>
      </c>
      <c r="D1661" t="s">
        <v>40</v>
      </c>
      <c r="E1661" t="s">
        <v>41</v>
      </c>
      <c r="J1661" t="s">
        <v>182</v>
      </c>
      <c r="K1661" t="s">
        <v>183</v>
      </c>
      <c r="L1661">
        <v>10</v>
      </c>
      <c r="M1661" t="s">
        <v>5622</v>
      </c>
      <c r="N1661" t="s">
        <v>64</v>
      </c>
      <c r="O1661" t="s">
        <v>46</v>
      </c>
      <c r="P1661" t="s">
        <v>46</v>
      </c>
      <c r="Y1661" t="s">
        <v>5638</v>
      </c>
    </row>
    <row r="1662" spans="1:25">
      <c r="A1662" t="s">
        <v>5639</v>
      </c>
      <c r="B1662" t="s">
        <v>5640</v>
      </c>
      <c r="D1662" t="s">
        <v>40</v>
      </c>
      <c r="E1662" t="s">
        <v>41</v>
      </c>
      <c r="J1662" t="s">
        <v>182</v>
      </c>
      <c r="K1662" t="s">
        <v>183</v>
      </c>
      <c r="L1662">
        <v>10</v>
      </c>
      <c r="M1662" t="s">
        <v>5622</v>
      </c>
      <c r="N1662" t="s">
        <v>64</v>
      </c>
      <c r="O1662" t="s">
        <v>46</v>
      </c>
      <c r="P1662" t="s">
        <v>46</v>
      </c>
      <c r="Y1662" t="s">
        <v>5641</v>
      </c>
    </row>
    <row r="1663" spans="1:25">
      <c r="A1663" t="s">
        <v>5642</v>
      </c>
      <c r="B1663" t="s">
        <v>5643</v>
      </c>
      <c r="D1663" t="s">
        <v>40</v>
      </c>
      <c r="E1663" t="s">
        <v>41</v>
      </c>
      <c r="J1663" t="s">
        <v>42</v>
      </c>
      <c r="K1663" t="s">
        <v>43</v>
      </c>
      <c r="L1663">
        <v>10</v>
      </c>
      <c r="M1663" t="s">
        <v>5644</v>
      </c>
      <c r="N1663" t="s">
        <v>1380</v>
      </c>
      <c r="O1663" t="s">
        <v>46</v>
      </c>
      <c r="P1663" t="s">
        <v>46</v>
      </c>
      <c r="Y1663" t="s">
        <v>5645</v>
      </c>
    </row>
    <row r="1664" spans="1:25">
      <c r="A1664" t="s">
        <v>5646</v>
      </c>
      <c r="B1664" t="s">
        <v>5647</v>
      </c>
      <c r="D1664" t="s">
        <v>40</v>
      </c>
      <c r="E1664" t="s">
        <v>41</v>
      </c>
      <c r="J1664" t="s">
        <v>42</v>
      </c>
      <c r="K1664" t="s">
        <v>43</v>
      </c>
      <c r="L1664">
        <v>10</v>
      </c>
      <c r="M1664" t="s">
        <v>5648</v>
      </c>
      <c r="N1664" t="s">
        <v>210</v>
      </c>
      <c r="O1664" t="s">
        <v>46</v>
      </c>
      <c r="P1664" t="s">
        <v>46</v>
      </c>
      <c r="Y1664" t="s">
        <v>5649</v>
      </c>
    </row>
    <row r="1665" spans="1:25">
      <c r="A1665" t="s">
        <v>5650</v>
      </c>
      <c r="B1665" t="s">
        <v>5651</v>
      </c>
      <c r="D1665" t="s">
        <v>40</v>
      </c>
      <c r="E1665" t="s">
        <v>41</v>
      </c>
      <c r="J1665" t="s">
        <v>68</v>
      </c>
      <c r="K1665" t="s">
        <v>69</v>
      </c>
      <c r="L1665">
        <v>10</v>
      </c>
      <c r="M1665" t="s">
        <v>5652</v>
      </c>
      <c r="N1665" t="s">
        <v>64</v>
      </c>
      <c r="O1665" t="s">
        <v>46</v>
      </c>
      <c r="P1665" t="s">
        <v>46</v>
      </c>
      <c r="Y1665" t="s">
        <v>5653</v>
      </c>
    </row>
    <row r="1666" spans="1:25">
      <c r="A1666" t="s">
        <v>5654</v>
      </c>
      <c r="B1666" t="s">
        <v>5655</v>
      </c>
      <c r="D1666" t="s">
        <v>40</v>
      </c>
      <c r="E1666" t="s">
        <v>41</v>
      </c>
      <c r="J1666" t="s">
        <v>182</v>
      </c>
      <c r="K1666" t="s">
        <v>183</v>
      </c>
      <c r="L1666">
        <v>10</v>
      </c>
      <c r="M1666" t="s">
        <v>5652</v>
      </c>
      <c r="N1666" t="s">
        <v>64</v>
      </c>
      <c r="O1666" t="s">
        <v>46</v>
      </c>
      <c r="P1666" t="s">
        <v>46</v>
      </c>
      <c r="Y1666" t="s">
        <v>5656</v>
      </c>
    </row>
    <row r="1667" spans="1:25">
      <c r="A1667" t="s">
        <v>5657</v>
      </c>
      <c r="B1667" t="s">
        <v>5658</v>
      </c>
      <c r="D1667" t="s">
        <v>40</v>
      </c>
      <c r="E1667" t="s">
        <v>41</v>
      </c>
      <c r="J1667" t="s">
        <v>68</v>
      </c>
      <c r="K1667" t="s">
        <v>69</v>
      </c>
      <c r="L1667">
        <v>10</v>
      </c>
      <c r="M1667" t="s">
        <v>5652</v>
      </c>
      <c r="N1667" t="s">
        <v>64</v>
      </c>
      <c r="O1667" t="s">
        <v>46</v>
      </c>
      <c r="P1667" t="s">
        <v>46</v>
      </c>
      <c r="Y1667" t="s">
        <v>5659</v>
      </c>
    </row>
    <row r="1668" spans="1:25">
      <c r="A1668" t="s">
        <v>5660</v>
      </c>
      <c r="B1668" t="s">
        <v>5661</v>
      </c>
      <c r="D1668" t="s">
        <v>40</v>
      </c>
      <c r="E1668" t="s">
        <v>41</v>
      </c>
      <c r="J1668" t="s">
        <v>182</v>
      </c>
      <c r="K1668" t="s">
        <v>183</v>
      </c>
      <c r="L1668">
        <v>10</v>
      </c>
      <c r="M1668" t="s">
        <v>5652</v>
      </c>
      <c r="N1668" t="s">
        <v>64</v>
      </c>
      <c r="O1668" t="s">
        <v>46</v>
      </c>
      <c r="P1668" t="s">
        <v>46</v>
      </c>
      <c r="Y1668" t="s">
        <v>5662</v>
      </c>
    </row>
    <row r="1669" spans="1:25">
      <c r="A1669" t="s">
        <v>5663</v>
      </c>
      <c r="B1669" t="s">
        <v>5664</v>
      </c>
      <c r="D1669" t="s">
        <v>40</v>
      </c>
      <c r="E1669" t="s">
        <v>41</v>
      </c>
      <c r="J1669" t="s">
        <v>182</v>
      </c>
      <c r="K1669" t="s">
        <v>183</v>
      </c>
      <c r="L1669">
        <v>10</v>
      </c>
      <c r="M1669" t="s">
        <v>5652</v>
      </c>
      <c r="N1669" t="s">
        <v>64</v>
      </c>
      <c r="O1669" t="s">
        <v>46</v>
      </c>
      <c r="P1669" t="s">
        <v>46</v>
      </c>
      <c r="Y1669" t="s">
        <v>5665</v>
      </c>
    </row>
    <row r="1670" spans="1:25">
      <c r="A1670" t="s">
        <v>5666</v>
      </c>
      <c r="B1670" t="s">
        <v>5667</v>
      </c>
      <c r="D1670" t="s">
        <v>40</v>
      </c>
      <c r="E1670" t="s">
        <v>41</v>
      </c>
      <c r="J1670" t="s">
        <v>68</v>
      </c>
      <c r="K1670" t="s">
        <v>69</v>
      </c>
      <c r="L1670">
        <v>10</v>
      </c>
      <c r="M1670" t="s">
        <v>5652</v>
      </c>
      <c r="N1670" t="s">
        <v>64</v>
      </c>
      <c r="O1670" t="s">
        <v>46</v>
      </c>
      <c r="P1670" t="s">
        <v>46</v>
      </c>
      <c r="Y1670" t="s">
        <v>5668</v>
      </c>
    </row>
    <row r="1671" spans="1:25">
      <c r="A1671" t="s">
        <v>5669</v>
      </c>
      <c r="B1671" t="s">
        <v>5670</v>
      </c>
      <c r="D1671" t="s">
        <v>40</v>
      </c>
      <c r="E1671" t="s">
        <v>41</v>
      </c>
      <c r="J1671" t="s">
        <v>182</v>
      </c>
      <c r="K1671" t="s">
        <v>183</v>
      </c>
      <c r="L1671">
        <v>10</v>
      </c>
      <c r="M1671" t="s">
        <v>5671</v>
      </c>
      <c r="N1671" t="s">
        <v>64</v>
      </c>
      <c r="O1671" t="s">
        <v>46</v>
      </c>
      <c r="P1671" t="s">
        <v>46</v>
      </c>
      <c r="Y1671" t="s">
        <v>5672</v>
      </c>
    </row>
    <row r="1672" spans="1:25">
      <c r="A1672" t="s">
        <v>5673</v>
      </c>
      <c r="B1672" t="s">
        <v>5674</v>
      </c>
      <c r="D1672" t="s">
        <v>40</v>
      </c>
      <c r="E1672" t="s">
        <v>41</v>
      </c>
      <c r="J1672" t="s">
        <v>139</v>
      </c>
      <c r="K1672" t="s">
        <v>140</v>
      </c>
      <c r="L1672">
        <v>10</v>
      </c>
      <c r="M1672" t="s">
        <v>5675</v>
      </c>
      <c r="N1672" t="s">
        <v>305</v>
      </c>
      <c r="O1672" t="s">
        <v>46</v>
      </c>
      <c r="P1672" t="s">
        <v>46</v>
      </c>
      <c r="Y1672" t="s">
        <v>5676</v>
      </c>
    </row>
    <row r="1673" spans="1:25">
      <c r="A1673" t="s">
        <v>5677</v>
      </c>
      <c r="B1673" t="s">
        <v>5678</v>
      </c>
      <c r="D1673" t="s">
        <v>40</v>
      </c>
      <c r="E1673" t="s">
        <v>41</v>
      </c>
      <c r="J1673" t="s">
        <v>182</v>
      </c>
      <c r="K1673" t="s">
        <v>183</v>
      </c>
      <c r="L1673">
        <v>10</v>
      </c>
      <c r="M1673" t="s">
        <v>5675</v>
      </c>
      <c r="N1673" t="s">
        <v>64</v>
      </c>
      <c r="O1673" t="s">
        <v>46</v>
      </c>
      <c r="P1673" t="s">
        <v>46</v>
      </c>
      <c r="Y1673" t="s">
        <v>5679</v>
      </c>
    </row>
    <row r="1674" spans="1:25">
      <c r="A1674" t="s">
        <v>5680</v>
      </c>
      <c r="B1674" t="s">
        <v>5681</v>
      </c>
      <c r="D1674" t="s">
        <v>40</v>
      </c>
      <c r="E1674" t="s">
        <v>41</v>
      </c>
      <c r="G1674" t="s">
        <v>5682</v>
      </c>
      <c r="J1674" t="s">
        <v>182</v>
      </c>
      <c r="K1674" t="s">
        <v>183</v>
      </c>
      <c r="L1674">
        <v>10</v>
      </c>
      <c r="M1674" t="s">
        <v>5675</v>
      </c>
      <c r="N1674" t="s">
        <v>64</v>
      </c>
      <c r="O1674" t="s">
        <v>46</v>
      </c>
      <c r="P1674" t="s">
        <v>5683</v>
      </c>
      <c r="Y1674" t="s">
        <v>5684</v>
      </c>
    </row>
    <row r="1675" spans="1:25">
      <c r="A1675" t="s">
        <v>5685</v>
      </c>
      <c r="B1675" t="s">
        <v>5686</v>
      </c>
      <c r="D1675" t="s">
        <v>40</v>
      </c>
      <c r="E1675" t="s">
        <v>41</v>
      </c>
      <c r="J1675" t="s">
        <v>182</v>
      </c>
      <c r="K1675" t="s">
        <v>183</v>
      </c>
      <c r="L1675">
        <v>10</v>
      </c>
      <c r="M1675" t="s">
        <v>5675</v>
      </c>
      <c r="N1675" t="s">
        <v>64</v>
      </c>
      <c r="O1675" t="s">
        <v>46</v>
      </c>
      <c r="P1675" t="s">
        <v>46</v>
      </c>
      <c r="Y1675" t="s">
        <v>5687</v>
      </c>
    </row>
    <row r="1676" spans="1:25">
      <c r="A1676" t="s">
        <v>5688</v>
      </c>
      <c r="B1676" t="s">
        <v>5689</v>
      </c>
      <c r="D1676" t="s">
        <v>40</v>
      </c>
      <c r="E1676" t="s">
        <v>41</v>
      </c>
      <c r="J1676" t="s">
        <v>62</v>
      </c>
      <c r="K1676" t="s">
        <v>63</v>
      </c>
      <c r="L1676">
        <v>10</v>
      </c>
      <c r="M1676" t="s">
        <v>5675</v>
      </c>
      <c r="N1676" t="s">
        <v>64</v>
      </c>
      <c r="O1676" t="s">
        <v>46</v>
      </c>
      <c r="P1676" t="s">
        <v>46</v>
      </c>
      <c r="Y1676" t="s">
        <v>5690</v>
      </c>
    </row>
    <row r="1677" spans="1:25">
      <c r="A1677" t="s">
        <v>5691</v>
      </c>
      <c r="B1677" t="s">
        <v>5692</v>
      </c>
      <c r="D1677" t="s">
        <v>40</v>
      </c>
      <c r="E1677" t="s">
        <v>41</v>
      </c>
      <c r="J1677" t="s">
        <v>68</v>
      </c>
      <c r="K1677" t="s">
        <v>69</v>
      </c>
      <c r="L1677">
        <v>10</v>
      </c>
      <c r="M1677" t="s">
        <v>5693</v>
      </c>
      <c r="N1677" t="s">
        <v>64</v>
      </c>
      <c r="O1677" t="s">
        <v>46</v>
      </c>
      <c r="P1677" t="s">
        <v>46</v>
      </c>
      <c r="Y1677" t="s">
        <v>5694</v>
      </c>
    </row>
    <row r="1678" spans="1:25">
      <c r="A1678" t="s">
        <v>5695</v>
      </c>
      <c r="B1678" t="s">
        <v>5696</v>
      </c>
      <c r="D1678" t="s">
        <v>40</v>
      </c>
      <c r="E1678" t="s">
        <v>41</v>
      </c>
      <c r="J1678" t="s">
        <v>68</v>
      </c>
      <c r="K1678" t="s">
        <v>69</v>
      </c>
      <c r="L1678">
        <v>10</v>
      </c>
      <c r="M1678" t="s">
        <v>5693</v>
      </c>
      <c r="N1678" t="s">
        <v>64</v>
      </c>
      <c r="O1678" t="s">
        <v>46</v>
      </c>
      <c r="P1678" t="s">
        <v>46</v>
      </c>
      <c r="Y1678" t="s">
        <v>5697</v>
      </c>
    </row>
    <row r="1679" spans="1:25">
      <c r="A1679" t="s">
        <v>5698</v>
      </c>
      <c r="B1679" t="s">
        <v>5699</v>
      </c>
      <c r="D1679" t="s">
        <v>40</v>
      </c>
      <c r="E1679" t="s">
        <v>41</v>
      </c>
      <c r="J1679" t="s">
        <v>182</v>
      </c>
      <c r="K1679" t="s">
        <v>183</v>
      </c>
      <c r="L1679">
        <v>10</v>
      </c>
      <c r="M1679" t="s">
        <v>5693</v>
      </c>
      <c r="N1679" t="s">
        <v>64</v>
      </c>
      <c r="O1679" t="s">
        <v>46</v>
      </c>
      <c r="P1679" t="s">
        <v>46</v>
      </c>
      <c r="Y1679" t="s">
        <v>5700</v>
      </c>
    </row>
    <row r="1680" spans="1:25">
      <c r="A1680" t="s">
        <v>5701</v>
      </c>
      <c r="B1680" t="s">
        <v>5702</v>
      </c>
      <c r="D1680" t="s">
        <v>40</v>
      </c>
      <c r="E1680" t="s">
        <v>41</v>
      </c>
      <c r="J1680" t="s">
        <v>42</v>
      </c>
      <c r="K1680" t="s">
        <v>43</v>
      </c>
      <c r="L1680">
        <v>12</v>
      </c>
      <c r="M1680" t="s">
        <v>5703</v>
      </c>
      <c r="N1680" t="s">
        <v>310</v>
      </c>
      <c r="O1680" t="s">
        <v>46</v>
      </c>
      <c r="P1680" t="s">
        <v>46</v>
      </c>
      <c r="Y1680" t="s">
        <v>5704</v>
      </c>
    </row>
    <row r="1681" spans="1:25">
      <c r="A1681" t="s">
        <v>5705</v>
      </c>
      <c r="B1681" t="s">
        <v>5706</v>
      </c>
      <c r="D1681" t="s">
        <v>40</v>
      </c>
      <c r="E1681" t="s">
        <v>41</v>
      </c>
      <c r="J1681" t="s">
        <v>62</v>
      </c>
      <c r="K1681" t="s">
        <v>63</v>
      </c>
      <c r="L1681">
        <v>12</v>
      </c>
      <c r="M1681" t="s">
        <v>5707</v>
      </c>
      <c r="N1681" t="s">
        <v>64</v>
      </c>
      <c r="O1681" t="s">
        <v>46</v>
      </c>
      <c r="P1681" t="s">
        <v>46</v>
      </c>
      <c r="Y1681" t="s">
        <v>5708</v>
      </c>
    </row>
    <row r="1682" spans="1:25">
      <c r="A1682" t="s">
        <v>5709</v>
      </c>
      <c r="B1682" t="s">
        <v>5710</v>
      </c>
      <c r="D1682" t="s">
        <v>40</v>
      </c>
      <c r="E1682" t="s">
        <v>41</v>
      </c>
      <c r="J1682" t="s">
        <v>182</v>
      </c>
      <c r="K1682" t="s">
        <v>183</v>
      </c>
      <c r="L1682">
        <v>12</v>
      </c>
      <c r="M1682" t="s">
        <v>5707</v>
      </c>
      <c r="N1682" t="s">
        <v>64</v>
      </c>
      <c r="O1682" t="s">
        <v>46</v>
      </c>
      <c r="P1682" t="s">
        <v>46</v>
      </c>
      <c r="Y1682" t="s">
        <v>5711</v>
      </c>
    </row>
    <row r="1683" spans="1:25">
      <c r="A1683" t="s">
        <v>5712</v>
      </c>
      <c r="B1683" t="s">
        <v>5713</v>
      </c>
      <c r="D1683" t="s">
        <v>40</v>
      </c>
      <c r="E1683" t="s">
        <v>41</v>
      </c>
      <c r="J1683" t="s">
        <v>62</v>
      </c>
      <c r="K1683" t="s">
        <v>63</v>
      </c>
      <c r="L1683">
        <v>12</v>
      </c>
      <c r="M1683" t="s">
        <v>5707</v>
      </c>
      <c r="N1683" t="s">
        <v>64</v>
      </c>
      <c r="O1683" t="s">
        <v>46</v>
      </c>
      <c r="P1683" t="s">
        <v>46</v>
      </c>
      <c r="Y1683" t="s">
        <v>5714</v>
      </c>
    </row>
    <row r="1684" spans="1:25">
      <c r="A1684" t="s">
        <v>5715</v>
      </c>
      <c r="B1684" t="s">
        <v>5716</v>
      </c>
      <c r="D1684" t="s">
        <v>40</v>
      </c>
      <c r="E1684" t="s">
        <v>41</v>
      </c>
      <c r="J1684" t="s">
        <v>68</v>
      </c>
      <c r="K1684" t="s">
        <v>69</v>
      </c>
      <c r="L1684">
        <v>12</v>
      </c>
      <c r="M1684" t="s">
        <v>5707</v>
      </c>
      <c r="N1684" t="s">
        <v>64</v>
      </c>
      <c r="O1684" t="s">
        <v>46</v>
      </c>
      <c r="P1684" t="s">
        <v>46</v>
      </c>
      <c r="Y1684" t="s">
        <v>5717</v>
      </c>
    </row>
    <row r="1685" spans="1:25">
      <c r="A1685" t="s">
        <v>5718</v>
      </c>
      <c r="B1685" t="s">
        <v>5719</v>
      </c>
      <c r="D1685" t="s">
        <v>40</v>
      </c>
      <c r="E1685" t="s">
        <v>41</v>
      </c>
      <c r="J1685" t="s">
        <v>182</v>
      </c>
      <c r="K1685" t="s">
        <v>183</v>
      </c>
      <c r="L1685">
        <v>12</v>
      </c>
      <c r="M1685" t="s">
        <v>5720</v>
      </c>
      <c r="N1685" t="s">
        <v>64</v>
      </c>
      <c r="O1685" t="s">
        <v>46</v>
      </c>
      <c r="P1685" t="s">
        <v>46</v>
      </c>
      <c r="Y1685" t="s">
        <v>5721</v>
      </c>
    </row>
    <row r="1686" spans="1:25">
      <c r="A1686" t="s">
        <v>5722</v>
      </c>
      <c r="B1686" t="s">
        <v>5723</v>
      </c>
      <c r="D1686" t="s">
        <v>40</v>
      </c>
      <c r="E1686" t="s">
        <v>41</v>
      </c>
      <c r="J1686" t="s">
        <v>182</v>
      </c>
      <c r="K1686" t="s">
        <v>183</v>
      </c>
      <c r="L1686">
        <v>10</v>
      </c>
      <c r="M1686" t="s">
        <v>5724</v>
      </c>
      <c r="N1686" t="s">
        <v>64</v>
      </c>
      <c r="O1686" t="s">
        <v>46</v>
      </c>
      <c r="P1686" t="s">
        <v>46</v>
      </c>
      <c r="Y1686" t="s">
        <v>5725</v>
      </c>
    </row>
    <row r="1687" spans="1:25">
      <c r="A1687" t="s">
        <v>5726</v>
      </c>
      <c r="B1687" t="s">
        <v>5727</v>
      </c>
      <c r="D1687" t="s">
        <v>40</v>
      </c>
      <c r="E1687" t="s">
        <v>41</v>
      </c>
      <c r="J1687" t="s">
        <v>42</v>
      </c>
      <c r="K1687" t="s">
        <v>43</v>
      </c>
      <c r="L1687">
        <v>10</v>
      </c>
      <c r="M1687" t="s">
        <v>5728</v>
      </c>
      <c r="N1687" t="s">
        <v>373</v>
      </c>
      <c r="O1687" t="s">
        <v>46</v>
      </c>
      <c r="P1687" t="s">
        <v>46</v>
      </c>
      <c r="Y1687" t="s">
        <v>5729</v>
      </c>
    </row>
    <row r="1688" spans="1:25">
      <c r="A1688" t="s">
        <v>5730</v>
      </c>
      <c r="B1688" t="s">
        <v>5731</v>
      </c>
      <c r="D1688" t="s">
        <v>40</v>
      </c>
      <c r="E1688" t="s">
        <v>41</v>
      </c>
      <c r="J1688" t="s">
        <v>248</v>
      </c>
      <c r="K1688" t="s">
        <v>249</v>
      </c>
      <c r="L1688">
        <v>10</v>
      </c>
      <c r="M1688" t="s">
        <v>5732</v>
      </c>
      <c r="N1688" t="s">
        <v>1276</v>
      </c>
      <c r="O1688" t="s">
        <v>46</v>
      </c>
      <c r="P1688" t="s">
        <v>46</v>
      </c>
      <c r="Y1688" t="s">
        <v>5733</v>
      </c>
    </row>
    <row r="1689" spans="1:25">
      <c r="A1689" t="s">
        <v>5734</v>
      </c>
      <c r="B1689" t="s">
        <v>5735</v>
      </c>
      <c r="D1689" t="s">
        <v>40</v>
      </c>
      <c r="E1689" t="s">
        <v>41</v>
      </c>
      <c r="J1689" t="s">
        <v>76</v>
      </c>
      <c r="K1689" t="s">
        <v>77</v>
      </c>
      <c r="L1689">
        <v>10</v>
      </c>
      <c r="M1689" t="s">
        <v>5732</v>
      </c>
      <c r="N1689" t="s">
        <v>64</v>
      </c>
      <c r="O1689" t="s">
        <v>46</v>
      </c>
      <c r="P1689" t="s">
        <v>46</v>
      </c>
      <c r="Y1689" t="s">
        <v>5736</v>
      </c>
    </row>
    <row r="1690" spans="1:25">
      <c r="A1690" t="s">
        <v>5737</v>
      </c>
      <c r="B1690" t="s">
        <v>5738</v>
      </c>
      <c r="D1690" t="s">
        <v>40</v>
      </c>
      <c r="E1690" t="s">
        <v>41</v>
      </c>
      <c r="J1690" t="s">
        <v>182</v>
      </c>
      <c r="K1690" t="s">
        <v>183</v>
      </c>
      <c r="L1690">
        <v>10</v>
      </c>
      <c r="M1690" t="s">
        <v>5732</v>
      </c>
      <c r="N1690" t="s">
        <v>64</v>
      </c>
      <c r="O1690" t="s">
        <v>46</v>
      </c>
      <c r="P1690" t="s">
        <v>46</v>
      </c>
      <c r="Y1690" t="s">
        <v>5739</v>
      </c>
    </row>
    <row r="1691" spans="1:25">
      <c r="A1691" t="s">
        <v>5740</v>
      </c>
      <c r="B1691" t="s">
        <v>5741</v>
      </c>
      <c r="D1691" t="s">
        <v>40</v>
      </c>
      <c r="E1691" t="s">
        <v>41</v>
      </c>
      <c r="J1691" t="s">
        <v>50</v>
      </c>
      <c r="K1691" t="s">
        <v>51</v>
      </c>
      <c r="L1691">
        <v>10</v>
      </c>
      <c r="M1691" t="s">
        <v>5742</v>
      </c>
      <c r="N1691" t="s">
        <v>350</v>
      </c>
      <c r="O1691" t="s">
        <v>46</v>
      </c>
      <c r="P1691" t="s">
        <v>46</v>
      </c>
      <c r="Y1691" t="s">
        <v>5743</v>
      </c>
    </row>
    <row r="1692" spans="1:25">
      <c r="A1692" t="s">
        <v>5744</v>
      </c>
      <c r="B1692" t="s">
        <v>5745</v>
      </c>
      <c r="D1692" t="s">
        <v>40</v>
      </c>
      <c r="E1692" t="s">
        <v>41</v>
      </c>
      <c r="J1692" t="s">
        <v>182</v>
      </c>
      <c r="K1692" t="s">
        <v>183</v>
      </c>
      <c r="L1692">
        <v>10</v>
      </c>
      <c r="M1692" t="s">
        <v>5746</v>
      </c>
      <c r="N1692" t="s">
        <v>64</v>
      </c>
      <c r="O1692" t="s">
        <v>46</v>
      </c>
      <c r="P1692" t="s">
        <v>46</v>
      </c>
      <c r="Y1692" t="s">
        <v>5747</v>
      </c>
    </row>
    <row r="1693" spans="1:25">
      <c r="A1693" t="s">
        <v>5748</v>
      </c>
      <c r="B1693" t="s">
        <v>5749</v>
      </c>
      <c r="D1693" t="s">
        <v>40</v>
      </c>
      <c r="E1693" t="s">
        <v>41</v>
      </c>
      <c r="J1693" t="s">
        <v>42</v>
      </c>
      <c r="K1693" t="s">
        <v>43</v>
      </c>
      <c r="L1693">
        <v>10</v>
      </c>
      <c r="M1693" t="s">
        <v>5746</v>
      </c>
      <c r="N1693" t="s">
        <v>315</v>
      </c>
      <c r="O1693" t="s">
        <v>46</v>
      </c>
      <c r="P1693" t="s">
        <v>46</v>
      </c>
      <c r="Y1693" t="s">
        <v>5750</v>
      </c>
    </row>
    <row r="1694" spans="1:25">
      <c r="A1694" t="s">
        <v>5751</v>
      </c>
      <c r="B1694" t="s">
        <v>5752</v>
      </c>
      <c r="D1694" t="s">
        <v>40</v>
      </c>
      <c r="E1694" t="s">
        <v>41</v>
      </c>
      <c r="J1694" t="s">
        <v>182</v>
      </c>
      <c r="K1694" t="s">
        <v>183</v>
      </c>
      <c r="L1694">
        <v>10</v>
      </c>
      <c r="M1694" t="s">
        <v>5746</v>
      </c>
      <c r="N1694" t="s">
        <v>64</v>
      </c>
      <c r="O1694" t="s">
        <v>46</v>
      </c>
      <c r="P1694" t="s">
        <v>46</v>
      </c>
      <c r="Y1694" t="s">
        <v>5753</v>
      </c>
    </row>
    <row r="1695" spans="1:25">
      <c r="A1695" t="s">
        <v>5754</v>
      </c>
      <c r="B1695" t="s">
        <v>5755</v>
      </c>
      <c r="D1695" t="s">
        <v>40</v>
      </c>
      <c r="E1695" t="s">
        <v>41</v>
      </c>
      <c r="J1695" t="s">
        <v>182</v>
      </c>
      <c r="K1695" t="s">
        <v>183</v>
      </c>
      <c r="L1695">
        <v>10</v>
      </c>
      <c r="M1695" t="s">
        <v>5746</v>
      </c>
      <c r="N1695" t="s">
        <v>64</v>
      </c>
      <c r="O1695" t="s">
        <v>46</v>
      </c>
      <c r="P1695" t="s">
        <v>46</v>
      </c>
      <c r="Y1695" t="s">
        <v>5756</v>
      </c>
    </row>
    <row r="1696" spans="1:25">
      <c r="A1696" t="s">
        <v>5757</v>
      </c>
      <c r="B1696" t="s">
        <v>5758</v>
      </c>
      <c r="D1696" t="s">
        <v>40</v>
      </c>
      <c r="E1696" t="s">
        <v>41</v>
      </c>
      <c r="J1696" t="s">
        <v>76</v>
      </c>
      <c r="K1696" t="s">
        <v>77</v>
      </c>
      <c r="L1696">
        <v>10</v>
      </c>
      <c r="M1696" t="s">
        <v>5746</v>
      </c>
      <c r="N1696" t="s">
        <v>64</v>
      </c>
      <c r="O1696" t="s">
        <v>46</v>
      </c>
      <c r="P1696" t="s">
        <v>46</v>
      </c>
      <c r="Y1696" t="s">
        <v>5759</v>
      </c>
    </row>
    <row r="1697" spans="1:25">
      <c r="A1697" t="s">
        <v>5760</v>
      </c>
      <c r="B1697" t="s">
        <v>5761</v>
      </c>
      <c r="D1697" t="s">
        <v>40</v>
      </c>
      <c r="E1697" t="s">
        <v>41</v>
      </c>
      <c r="J1697" t="s">
        <v>76</v>
      </c>
      <c r="K1697" t="s">
        <v>77</v>
      </c>
      <c r="L1697">
        <v>10</v>
      </c>
      <c r="M1697" t="s">
        <v>5746</v>
      </c>
      <c r="N1697" t="s">
        <v>64</v>
      </c>
      <c r="O1697" t="s">
        <v>46</v>
      </c>
      <c r="P1697" t="s">
        <v>46</v>
      </c>
      <c r="Y1697" t="s">
        <v>5762</v>
      </c>
    </row>
    <row r="1698" spans="1:25">
      <c r="A1698" t="s">
        <v>5763</v>
      </c>
      <c r="B1698" t="s">
        <v>5764</v>
      </c>
      <c r="D1698" t="s">
        <v>40</v>
      </c>
      <c r="E1698" t="s">
        <v>41</v>
      </c>
      <c r="J1698" t="s">
        <v>182</v>
      </c>
      <c r="K1698" t="s">
        <v>183</v>
      </c>
      <c r="L1698">
        <v>10</v>
      </c>
      <c r="M1698" t="s">
        <v>5746</v>
      </c>
      <c r="N1698" t="s">
        <v>64</v>
      </c>
      <c r="O1698" t="s">
        <v>46</v>
      </c>
      <c r="P1698" t="s">
        <v>46</v>
      </c>
      <c r="Y1698" t="s">
        <v>5765</v>
      </c>
    </row>
    <row r="1699" spans="1:25">
      <c r="A1699" t="s">
        <v>5766</v>
      </c>
      <c r="B1699" t="s">
        <v>5767</v>
      </c>
      <c r="D1699" t="s">
        <v>40</v>
      </c>
      <c r="E1699" t="s">
        <v>41</v>
      </c>
      <c r="J1699" t="s">
        <v>182</v>
      </c>
      <c r="K1699" t="s">
        <v>183</v>
      </c>
      <c r="L1699">
        <v>10</v>
      </c>
      <c r="M1699" t="s">
        <v>5746</v>
      </c>
      <c r="N1699" t="s">
        <v>64</v>
      </c>
      <c r="O1699" t="s">
        <v>46</v>
      </c>
      <c r="P1699" t="s">
        <v>46</v>
      </c>
      <c r="Y1699" t="s">
        <v>5768</v>
      </c>
    </row>
    <row r="1700" spans="1:25">
      <c r="A1700" t="s">
        <v>5769</v>
      </c>
      <c r="B1700" t="s">
        <v>5770</v>
      </c>
      <c r="D1700" t="s">
        <v>40</v>
      </c>
      <c r="E1700" t="s">
        <v>41</v>
      </c>
      <c r="J1700" t="s">
        <v>182</v>
      </c>
      <c r="K1700" t="s">
        <v>183</v>
      </c>
      <c r="L1700">
        <v>10</v>
      </c>
      <c r="M1700" t="s">
        <v>5746</v>
      </c>
      <c r="N1700" t="s">
        <v>64</v>
      </c>
      <c r="O1700" t="s">
        <v>46</v>
      </c>
      <c r="P1700" t="s">
        <v>46</v>
      </c>
      <c r="Y1700" t="s">
        <v>5771</v>
      </c>
    </row>
    <row r="1701" spans="1:25">
      <c r="A1701" t="s">
        <v>5772</v>
      </c>
      <c r="B1701" t="s">
        <v>5773</v>
      </c>
      <c r="D1701" t="s">
        <v>40</v>
      </c>
      <c r="E1701" t="s">
        <v>41</v>
      </c>
      <c r="J1701" t="s">
        <v>76</v>
      </c>
      <c r="K1701" t="s">
        <v>77</v>
      </c>
      <c r="L1701">
        <v>10</v>
      </c>
      <c r="M1701" t="s">
        <v>5746</v>
      </c>
      <c r="N1701" t="s">
        <v>64</v>
      </c>
      <c r="O1701" t="s">
        <v>46</v>
      </c>
      <c r="P1701" t="s">
        <v>46</v>
      </c>
      <c r="Y1701" t="s">
        <v>5774</v>
      </c>
    </row>
    <row r="1702" spans="1:25">
      <c r="A1702" t="s">
        <v>5775</v>
      </c>
      <c r="B1702" t="s">
        <v>5776</v>
      </c>
      <c r="D1702" t="s">
        <v>40</v>
      </c>
      <c r="E1702" t="s">
        <v>41</v>
      </c>
      <c r="J1702" t="s">
        <v>68</v>
      </c>
      <c r="K1702" t="s">
        <v>69</v>
      </c>
      <c r="L1702">
        <v>10</v>
      </c>
      <c r="M1702" t="s">
        <v>5777</v>
      </c>
      <c r="N1702" t="s">
        <v>64</v>
      </c>
      <c r="O1702" t="s">
        <v>46</v>
      </c>
      <c r="P1702" t="s">
        <v>46</v>
      </c>
      <c r="Y1702" t="s">
        <v>5778</v>
      </c>
    </row>
    <row r="1703" spans="1:25">
      <c r="A1703" t="s">
        <v>5779</v>
      </c>
      <c r="B1703" t="s">
        <v>5780</v>
      </c>
      <c r="D1703" t="s">
        <v>40</v>
      </c>
      <c r="E1703" t="s">
        <v>41</v>
      </c>
      <c r="J1703" t="s">
        <v>68</v>
      </c>
      <c r="K1703" t="s">
        <v>69</v>
      </c>
      <c r="L1703">
        <v>10</v>
      </c>
      <c r="M1703" t="s">
        <v>5777</v>
      </c>
      <c r="N1703" t="s">
        <v>64</v>
      </c>
      <c r="O1703" t="s">
        <v>46</v>
      </c>
      <c r="P1703" t="s">
        <v>46</v>
      </c>
      <c r="Y1703" t="s">
        <v>5781</v>
      </c>
    </row>
    <row r="1704" spans="1:25">
      <c r="A1704" t="s">
        <v>5782</v>
      </c>
      <c r="B1704" t="s">
        <v>5783</v>
      </c>
      <c r="D1704" t="s">
        <v>40</v>
      </c>
      <c r="E1704" t="s">
        <v>41</v>
      </c>
      <c r="J1704" t="s">
        <v>182</v>
      </c>
      <c r="K1704" t="s">
        <v>183</v>
      </c>
      <c r="L1704">
        <v>10</v>
      </c>
      <c r="M1704" t="s">
        <v>5777</v>
      </c>
      <c r="N1704" t="s">
        <v>64</v>
      </c>
      <c r="O1704" t="s">
        <v>46</v>
      </c>
      <c r="P1704" t="s">
        <v>46</v>
      </c>
      <c r="Y1704" t="s">
        <v>5784</v>
      </c>
    </row>
    <row r="1705" spans="1:25">
      <c r="A1705" t="s">
        <v>5785</v>
      </c>
      <c r="B1705" t="s">
        <v>5786</v>
      </c>
      <c r="D1705" t="s">
        <v>40</v>
      </c>
      <c r="E1705" t="s">
        <v>41</v>
      </c>
      <c r="J1705" t="s">
        <v>68</v>
      </c>
      <c r="K1705" t="s">
        <v>69</v>
      </c>
      <c r="L1705">
        <v>10</v>
      </c>
      <c r="M1705" t="s">
        <v>5777</v>
      </c>
      <c r="N1705" t="s">
        <v>64</v>
      </c>
      <c r="O1705" t="s">
        <v>46</v>
      </c>
      <c r="P1705" t="s">
        <v>46</v>
      </c>
      <c r="Y1705" t="s">
        <v>5787</v>
      </c>
    </row>
    <row r="1706" spans="1:25">
      <c r="A1706" t="s">
        <v>5788</v>
      </c>
      <c r="B1706" t="s">
        <v>5789</v>
      </c>
      <c r="D1706" t="s">
        <v>40</v>
      </c>
      <c r="E1706" t="s">
        <v>41</v>
      </c>
      <c r="J1706" t="s">
        <v>68</v>
      </c>
      <c r="K1706" t="s">
        <v>69</v>
      </c>
      <c r="L1706">
        <v>10</v>
      </c>
      <c r="M1706" t="s">
        <v>5777</v>
      </c>
      <c r="N1706" t="s">
        <v>64</v>
      </c>
      <c r="O1706" t="s">
        <v>46</v>
      </c>
      <c r="P1706" t="s">
        <v>46</v>
      </c>
      <c r="Y1706" t="s">
        <v>5790</v>
      </c>
    </row>
    <row r="1707" spans="1:25">
      <c r="A1707" t="s">
        <v>5791</v>
      </c>
      <c r="B1707" t="s">
        <v>5792</v>
      </c>
      <c r="D1707" t="s">
        <v>40</v>
      </c>
      <c r="E1707" t="s">
        <v>41</v>
      </c>
      <c r="J1707" t="s">
        <v>182</v>
      </c>
      <c r="K1707" t="s">
        <v>183</v>
      </c>
      <c r="L1707">
        <v>10</v>
      </c>
      <c r="M1707" t="s">
        <v>5777</v>
      </c>
      <c r="N1707" t="s">
        <v>64</v>
      </c>
      <c r="O1707" t="s">
        <v>46</v>
      </c>
      <c r="P1707" t="s">
        <v>46</v>
      </c>
      <c r="Y1707" t="s">
        <v>5793</v>
      </c>
    </row>
    <row r="1708" spans="1:25">
      <c r="A1708" t="s">
        <v>5794</v>
      </c>
      <c r="B1708" t="s">
        <v>5795</v>
      </c>
      <c r="D1708" t="s">
        <v>40</v>
      </c>
      <c r="E1708" t="s">
        <v>41</v>
      </c>
      <c r="J1708" t="s">
        <v>76</v>
      </c>
      <c r="K1708" t="s">
        <v>77</v>
      </c>
      <c r="L1708">
        <v>10</v>
      </c>
      <c r="M1708" t="s">
        <v>5777</v>
      </c>
      <c r="N1708" t="s">
        <v>64</v>
      </c>
      <c r="O1708" t="s">
        <v>46</v>
      </c>
      <c r="P1708" t="s">
        <v>46</v>
      </c>
      <c r="Y1708" t="s">
        <v>5796</v>
      </c>
    </row>
    <row r="1709" spans="1:25">
      <c r="A1709" t="s">
        <v>5797</v>
      </c>
      <c r="B1709" t="s">
        <v>5798</v>
      </c>
      <c r="D1709" t="s">
        <v>40</v>
      </c>
      <c r="E1709" t="s">
        <v>41</v>
      </c>
      <c r="J1709" t="s">
        <v>182</v>
      </c>
      <c r="K1709" t="s">
        <v>183</v>
      </c>
      <c r="L1709">
        <v>10</v>
      </c>
      <c r="M1709" t="s">
        <v>5777</v>
      </c>
      <c r="N1709" t="s">
        <v>64</v>
      </c>
      <c r="O1709" t="s">
        <v>46</v>
      </c>
      <c r="P1709" t="s">
        <v>46</v>
      </c>
      <c r="Y1709" t="s">
        <v>5799</v>
      </c>
    </row>
    <row r="1710" spans="1:25">
      <c r="A1710" t="s">
        <v>5800</v>
      </c>
      <c r="B1710" t="s">
        <v>5801</v>
      </c>
      <c r="D1710" t="s">
        <v>40</v>
      </c>
      <c r="E1710" t="s">
        <v>41</v>
      </c>
      <c r="J1710" t="s">
        <v>76</v>
      </c>
      <c r="K1710" t="s">
        <v>77</v>
      </c>
      <c r="L1710">
        <v>10</v>
      </c>
      <c r="M1710" t="s">
        <v>5777</v>
      </c>
      <c r="N1710" t="s">
        <v>64</v>
      </c>
      <c r="O1710" t="s">
        <v>46</v>
      </c>
      <c r="P1710" t="s">
        <v>46</v>
      </c>
      <c r="Y1710" t="s">
        <v>5802</v>
      </c>
    </row>
    <row r="1711" spans="1:25">
      <c r="A1711" t="s">
        <v>5803</v>
      </c>
      <c r="B1711" t="s">
        <v>5804</v>
      </c>
      <c r="D1711" t="s">
        <v>40</v>
      </c>
      <c r="E1711" t="s">
        <v>41</v>
      </c>
      <c r="J1711" t="s">
        <v>182</v>
      </c>
      <c r="K1711" t="s">
        <v>183</v>
      </c>
      <c r="L1711">
        <v>10</v>
      </c>
      <c r="M1711" t="s">
        <v>5805</v>
      </c>
      <c r="N1711" t="s">
        <v>64</v>
      </c>
      <c r="O1711" t="s">
        <v>46</v>
      </c>
      <c r="P1711" t="s">
        <v>46</v>
      </c>
      <c r="Y1711" t="s">
        <v>5806</v>
      </c>
    </row>
    <row r="1712" spans="1:25">
      <c r="A1712" t="s">
        <v>5807</v>
      </c>
      <c r="B1712" t="s">
        <v>5808</v>
      </c>
      <c r="D1712" t="s">
        <v>40</v>
      </c>
      <c r="E1712" t="s">
        <v>41</v>
      </c>
      <c r="J1712" t="s">
        <v>182</v>
      </c>
      <c r="K1712" t="s">
        <v>183</v>
      </c>
      <c r="L1712">
        <v>10</v>
      </c>
      <c r="M1712" t="s">
        <v>5805</v>
      </c>
      <c r="N1712" t="s">
        <v>64</v>
      </c>
      <c r="O1712" t="s">
        <v>46</v>
      </c>
      <c r="P1712" t="s">
        <v>46</v>
      </c>
      <c r="Y1712" t="s">
        <v>5809</v>
      </c>
    </row>
    <row r="1713" spans="1:25">
      <c r="A1713" t="s">
        <v>5810</v>
      </c>
      <c r="B1713" t="s">
        <v>5811</v>
      </c>
      <c r="D1713" t="s">
        <v>40</v>
      </c>
      <c r="E1713" t="s">
        <v>41</v>
      </c>
      <c r="J1713" t="s">
        <v>68</v>
      </c>
      <c r="K1713" t="s">
        <v>69</v>
      </c>
      <c r="L1713">
        <v>10</v>
      </c>
      <c r="M1713" t="s">
        <v>5805</v>
      </c>
      <c r="N1713" t="s">
        <v>64</v>
      </c>
      <c r="O1713" t="s">
        <v>46</v>
      </c>
      <c r="P1713" t="s">
        <v>46</v>
      </c>
      <c r="Y1713" t="s">
        <v>5812</v>
      </c>
    </row>
    <row r="1714" spans="1:25">
      <c r="A1714" t="s">
        <v>5813</v>
      </c>
      <c r="B1714" t="s">
        <v>5814</v>
      </c>
      <c r="D1714" t="s">
        <v>40</v>
      </c>
      <c r="E1714" t="s">
        <v>41</v>
      </c>
      <c r="J1714" t="s">
        <v>68</v>
      </c>
      <c r="K1714" t="s">
        <v>69</v>
      </c>
      <c r="L1714">
        <v>10</v>
      </c>
      <c r="M1714" t="s">
        <v>5805</v>
      </c>
      <c r="N1714" t="s">
        <v>64</v>
      </c>
      <c r="O1714" t="s">
        <v>46</v>
      </c>
      <c r="P1714" t="s">
        <v>46</v>
      </c>
      <c r="Y1714" t="s">
        <v>5815</v>
      </c>
    </row>
    <row r="1715" spans="1:25">
      <c r="A1715" t="s">
        <v>5816</v>
      </c>
      <c r="B1715" t="s">
        <v>5817</v>
      </c>
      <c r="D1715" t="s">
        <v>40</v>
      </c>
      <c r="E1715" t="s">
        <v>41</v>
      </c>
      <c r="J1715" t="s">
        <v>182</v>
      </c>
      <c r="K1715" t="s">
        <v>183</v>
      </c>
      <c r="L1715">
        <v>10</v>
      </c>
      <c r="M1715" t="s">
        <v>5805</v>
      </c>
      <c r="N1715" t="s">
        <v>64</v>
      </c>
      <c r="O1715" t="s">
        <v>46</v>
      </c>
      <c r="P1715" t="s">
        <v>46</v>
      </c>
      <c r="Y1715" t="s">
        <v>5818</v>
      </c>
    </row>
    <row r="1716" spans="1:25">
      <c r="A1716" t="s">
        <v>5819</v>
      </c>
      <c r="B1716" t="s">
        <v>5820</v>
      </c>
      <c r="D1716" t="s">
        <v>40</v>
      </c>
      <c r="E1716" t="s">
        <v>41</v>
      </c>
      <c r="J1716" t="s">
        <v>42</v>
      </c>
      <c r="K1716" t="s">
        <v>43</v>
      </c>
      <c r="L1716">
        <v>10</v>
      </c>
      <c r="M1716" t="s">
        <v>5805</v>
      </c>
      <c r="N1716" t="s">
        <v>1550</v>
      </c>
      <c r="O1716" t="s">
        <v>46</v>
      </c>
      <c r="P1716" t="s">
        <v>46</v>
      </c>
      <c r="Y1716" t="s">
        <v>5821</v>
      </c>
    </row>
    <row r="1717" spans="1:25">
      <c r="A1717" t="s">
        <v>5822</v>
      </c>
      <c r="B1717" t="s">
        <v>5823</v>
      </c>
      <c r="D1717" t="s">
        <v>40</v>
      </c>
      <c r="E1717" t="s">
        <v>41</v>
      </c>
      <c r="J1717" t="s">
        <v>182</v>
      </c>
      <c r="K1717" t="s">
        <v>183</v>
      </c>
      <c r="L1717">
        <v>10</v>
      </c>
      <c r="M1717" t="s">
        <v>5805</v>
      </c>
      <c r="N1717" t="s">
        <v>64</v>
      </c>
      <c r="O1717" t="s">
        <v>46</v>
      </c>
      <c r="P1717" t="s">
        <v>46</v>
      </c>
      <c r="Y1717" t="s">
        <v>5824</v>
      </c>
    </row>
    <row r="1718" spans="1:25">
      <c r="A1718" t="s">
        <v>5825</v>
      </c>
      <c r="B1718" t="s">
        <v>5826</v>
      </c>
      <c r="D1718" t="s">
        <v>40</v>
      </c>
      <c r="E1718" t="s">
        <v>41</v>
      </c>
      <c r="J1718" t="s">
        <v>182</v>
      </c>
      <c r="K1718" t="s">
        <v>183</v>
      </c>
      <c r="L1718">
        <v>10</v>
      </c>
      <c r="M1718" t="s">
        <v>5827</v>
      </c>
      <c r="N1718" t="s">
        <v>64</v>
      </c>
      <c r="O1718" t="s">
        <v>46</v>
      </c>
      <c r="P1718" t="s">
        <v>46</v>
      </c>
      <c r="Y1718" t="s">
        <v>5828</v>
      </c>
    </row>
    <row r="1719" spans="1:25">
      <c r="A1719" t="s">
        <v>5829</v>
      </c>
      <c r="B1719" t="s">
        <v>5830</v>
      </c>
      <c r="D1719" t="s">
        <v>40</v>
      </c>
      <c r="E1719" t="s">
        <v>41</v>
      </c>
      <c r="J1719" t="s">
        <v>68</v>
      </c>
      <c r="K1719" t="s">
        <v>69</v>
      </c>
      <c r="L1719">
        <v>10</v>
      </c>
      <c r="M1719" t="s">
        <v>5827</v>
      </c>
      <c r="N1719" t="s">
        <v>64</v>
      </c>
      <c r="O1719" t="s">
        <v>46</v>
      </c>
      <c r="P1719" t="s">
        <v>46</v>
      </c>
      <c r="Y1719" t="s">
        <v>5831</v>
      </c>
    </row>
    <row r="1720" spans="1:25">
      <c r="A1720" t="s">
        <v>5832</v>
      </c>
      <c r="B1720" t="s">
        <v>5833</v>
      </c>
      <c r="D1720" t="s">
        <v>40</v>
      </c>
      <c r="E1720" t="s">
        <v>41</v>
      </c>
      <c r="J1720" t="s">
        <v>182</v>
      </c>
      <c r="K1720" t="s">
        <v>183</v>
      </c>
      <c r="L1720">
        <v>10</v>
      </c>
      <c r="M1720" t="s">
        <v>5827</v>
      </c>
      <c r="N1720" t="s">
        <v>64</v>
      </c>
      <c r="O1720" t="s">
        <v>46</v>
      </c>
      <c r="P1720" t="s">
        <v>46</v>
      </c>
      <c r="Y1720" t="s">
        <v>5834</v>
      </c>
    </row>
    <row r="1721" spans="1:25">
      <c r="A1721" t="s">
        <v>5835</v>
      </c>
      <c r="B1721" t="s">
        <v>5836</v>
      </c>
      <c r="D1721" t="s">
        <v>40</v>
      </c>
      <c r="E1721" t="s">
        <v>41</v>
      </c>
      <c r="J1721" t="s">
        <v>182</v>
      </c>
      <c r="K1721" t="s">
        <v>183</v>
      </c>
      <c r="L1721">
        <v>10</v>
      </c>
      <c r="M1721" t="s">
        <v>5827</v>
      </c>
      <c r="N1721" t="s">
        <v>64</v>
      </c>
      <c r="O1721" t="s">
        <v>46</v>
      </c>
      <c r="P1721" t="s">
        <v>46</v>
      </c>
      <c r="Y1721" t="s">
        <v>5837</v>
      </c>
    </row>
    <row r="1722" spans="1:25">
      <c r="A1722" t="s">
        <v>5838</v>
      </c>
      <c r="B1722" t="s">
        <v>5839</v>
      </c>
      <c r="D1722" t="s">
        <v>40</v>
      </c>
      <c r="E1722" t="s">
        <v>41</v>
      </c>
      <c r="J1722" t="s">
        <v>68</v>
      </c>
      <c r="K1722" t="s">
        <v>69</v>
      </c>
      <c r="L1722">
        <v>10</v>
      </c>
      <c r="M1722" t="s">
        <v>5840</v>
      </c>
      <c r="N1722" t="s">
        <v>64</v>
      </c>
      <c r="O1722" t="s">
        <v>46</v>
      </c>
      <c r="P1722" t="s">
        <v>46</v>
      </c>
      <c r="Y1722" t="s">
        <v>5841</v>
      </c>
    </row>
    <row r="1723" spans="1:25">
      <c r="A1723" t="s">
        <v>5842</v>
      </c>
      <c r="B1723" t="s">
        <v>5843</v>
      </c>
      <c r="D1723" t="s">
        <v>40</v>
      </c>
      <c r="E1723" t="s">
        <v>41</v>
      </c>
      <c r="J1723" t="s">
        <v>76</v>
      </c>
      <c r="K1723" t="s">
        <v>77</v>
      </c>
      <c r="L1723">
        <v>10</v>
      </c>
      <c r="M1723" t="s">
        <v>5840</v>
      </c>
      <c r="N1723" t="s">
        <v>64</v>
      </c>
      <c r="O1723" t="s">
        <v>46</v>
      </c>
      <c r="P1723" t="s">
        <v>46</v>
      </c>
      <c r="Y1723" t="s">
        <v>5844</v>
      </c>
    </row>
    <row r="1724" spans="1:25">
      <c r="A1724" t="s">
        <v>5845</v>
      </c>
      <c r="B1724" t="s">
        <v>5846</v>
      </c>
      <c r="D1724" t="s">
        <v>40</v>
      </c>
      <c r="E1724" t="s">
        <v>41</v>
      </c>
      <c r="J1724" t="s">
        <v>76</v>
      </c>
      <c r="K1724" t="s">
        <v>77</v>
      </c>
      <c r="L1724">
        <v>10</v>
      </c>
      <c r="M1724" t="s">
        <v>5840</v>
      </c>
      <c r="N1724" t="s">
        <v>64</v>
      </c>
      <c r="O1724" t="s">
        <v>46</v>
      </c>
      <c r="P1724" t="s">
        <v>46</v>
      </c>
      <c r="Y1724" t="s">
        <v>5847</v>
      </c>
    </row>
    <row r="1725" spans="1:25">
      <c r="A1725" t="s">
        <v>5848</v>
      </c>
      <c r="B1725" t="s">
        <v>5849</v>
      </c>
      <c r="D1725" t="s">
        <v>40</v>
      </c>
      <c r="E1725" t="s">
        <v>41</v>
      </c>
      <c r="J1725" t="s">
        <v>42</v>
      </c>
      <c r="K1725" t="s">
        <v>43</v>
      </c>
      <c r="L1725">
        <v>10</v>
      </c>
      <c r="M1725" t="s">
        <v>5840</v>
      </c>
      <c r="N1725" t="s">
        <v>291</v>
      </c>
      <c r="O1725" t="s">
        <v>46</v>
      </c>
      <c r="P1725" t="s">
        <v>46</v>
      </c>
      <c r="Y1725" t="s">
        <v>5850</v>
      </c>
    </row>
    <row r="1726" spans="1:25">
      <c r="A1726" t="s">
        <v>5851</v>
      </c>
      <c r="B1726" t="s">
        <v>5852</v>
      </c>
      <c r="D1726" t="s">
        <v>40</v>
      </c>
      <c r="E1726" t="s">
        <v>41</v>
      </c>
      <c r="J1726" t="s">
        <v>182</v>
      </c>
      <c r="K1726" t="s">
        <v>183</v>
      </c>
      <c r="L1726">
        <v>10</v>
      </c>
      <c r="M1726" t="s">
        <v>5853</v>
      </c>
      <c r="N1726" t="s">
        <v>64</v>
      </c>
      <c r="O1726" t="s">
        <v>46</v>
      </c>
      <c r="P1726" t="s">
        <v>46</v>
      </c>
      <c r="Y1726" t="s">
        <v>5854</v>
      </c>
    </row>
    <row r="1727" spans="1:25">
      <c r="A1727" t="s">
        <v>5855</v>
      </c>
      <c r="B1727" t="s">
        <v>5856</v>
      </c>
      <c r="D1727" t="s">
        <v>40</v>
      </c>
      <c r="E1727" t="s">
        <v>41</v>
      </c>
      <c r="J1727" t="s">
        <v>76</v>
      </c>
      <c r="K1727" t="s">
        <v>77</v>
      </c>
      <c r="L1727">
        <v>10</v>
      </c>
      <c r="M1727" t="s">
        <v>5857</v>
      </c>
      <c r="N1727" t="s">
        <v>64</v>
      </c>
      <c r="O1727" t="s">
        <v>46</v>
      </c>
      <c r="P1727" t="s">
        <v>46</v>
      </c>
      <c r="Y1727" t="s">
        <v>5858</v>
      </c>
    </row>
    <row r="1728" spans="1:25">
      <c r="A1728" t="s">
        <v>5859</v>
      </c>
      <c r="B1728" t="s">
        <v>5860</v>
      </c>
      <c r="D1728" t="s">
        <v>40</v>
      </c>
      <c r="E1728" t="s">
        <v>41</v>
      </c>
      <c r="J1728" t="s">
        <v>76</v>
      </c>
      <c r="K1728" t="s">
        <v>77</v>
      </c>
      <c r="L1728">
        <v>10</v>
      </c>
      <c r="M1728" t="s">
        <v>5861</v>
      </c>
      <c r="N1728" t="s">
        <v>64</v>
      </c>
      <c r="O1728" t="s">
        <v>46</v>
      </c>
      <c r="P1728" t="s">
        <v>46</v>
      </c>
      <c r="Y1728" t="s">
        <v>5862</v>
      </c>
    </row>
    <row r="1729" spans="1:25">
      <c r="A1729" t="s">
        <v>5863</v>
      </c>
      <c r="B1729" t="s">
        <v>5864</v>
      </c>
      <c r="D1729" t="s">
        <v>40</v>
      </c>
      <c r="E1729" t="s">
        <v>41</v>
      </c>
      <c r="J1729" t="s">
        <v>182</v>
      </c>
      <c r="K1729" t="s">
        <v>183</v>
      </c>
      <c r="L1729">
        <v>10</v>
      </c>
      <c r="M1729" t="s">
        <v>5861</v>
      </c>
      <c r="N1729" t="s">
        <v>64</v>
      </c>
      <c r="O1729" t="s">
        <v>46</v>
      </c>
      <c r="P1729" t="s">
        <v>46</v>
      </c>
      <c r="Y1729" t="s">
        <v>5865</v>
      </c>
    </row>
    <row r="1730" spans="1:25">
      <c r="A1730" t="s">
        <v>5866</v>
      </c>
      <c r="B1730" t="s">
        <v>5867</v>
      </c>
      <c r="D1730" t="s">
        <v>40</v>
      </c>
      <c r="E1730" t="s">
        <v>41</v>
      </c>
      <c r="J1730" t="s">
        <v>42</v>
      </c>
      <c r="K1730" t="s">
        <v>43</v>
      </c>
      <c r="L1730">
        <v>10</v>
      </c>
      <c r="M1730" t="s">
        <v>5861</v>
      </c>
      <c r="N1730" t="s">
        <v>45</v>
      </c>
      <c r="O1730" t="s">
        <v>46</v>
      </c>
      <c r="P1730" t="s">
        <v>46</v>
      </c>
      <c r="Y1730" t="s">
        <v>5868</v>
      </c>
    </row>
    <row r="1731" spans="1:25">
      <c r="A1731" t="s">
        <v>5869</v>
      </c>
      <c r="B1731" t="s">
        <v>5870</v>
      </c>
      <c r="D1731" t="s">
        <v>40</v>
      </c>
      <c r="E1731" t="s">
        <v>41</v>
      </c>
      <c r="J1731" t="s">
        <v>68</v>
      </c>
      <c r="K1731" t="s">
        <v>69</v>
      </c>
      <c r="L1731">
        <v>10</v>
      </c>
      <c r="M1731" t="s">
        <v>5861</v>
      </c>
      <c r="N1731" t="s">
        <v>64</v>
      </c>
      <c r="O1731" t="s">
        <v>46</v>
      </c>
      <c r="P1731" t="s">
        <v>46</v>
      </c>
      <c r="Y1731" t="s">
        <v>5871</v>
      </c>
    </row>
    <row r="1732" spans="1:25">
      <c r="A1732" t="s">
        <v>5872</v>
      </c>
      <c r="B1732" t="s">
        <v>5873</v>
      </c>
      <c r="D1732" t="s">
        <v>40</v>
      </c>
      <c r="E1732" t="s">
        <v>41</v>
      </c>
      <c r="J1732" t="s">
        <v>182</v>
      </c>
      <c r="K1732" t="s">
        <v>183</v>
      </c>
      <c r="L1732">
        <v>10</v>
      </c>
      <c r="M1732" t="s">
        <v>5861</v>
      </c>
      <c r="N1732" t="s">
        <v>64</v>
      </c>
      <c r="O1732" t="s">
        <v>46</v>
      </c>
      <c r="P1732" t="s">
        <v>46</v>
      </c>
      <c r="Y1732" t="s">
        <v>5874</v>
      </c>
    </row>
    <row r="1733" spans="1:25">
      <c r="A1733" t="s">
        <v>5875</v>
      </c>
      <c r="B1733" t="s">
        <v>5876</v>
      </c>
      <c r="D1733" t="s">
        <v>40</v>
      </c>
      <c r="E1733" t="s">
        <v>41</v>
      </c>
      <c r="J1733" t="s">
        <v>76</v>
      </c>
      <c r="K1733" t="s">
        <v>77</v>
      </c>
      <c r="L1733">
        <v>10</v>
      </c>
      <c r="M1733" t="s">
        <v>5877</v>
      </c>
      <c r="N1733" t="s">
        <v>64</v>
      </c>
      <c r="O1733" t="s">
        <v>46</v>
      </c>
      <c r="P1733" t="s">
        <v>46</v>
      </c>
      <c r="Y1733" t="s">
        <v>5878</v>
      </c>
    </row>
    <row r="1734" spans="1:25">
      <c r="A1734" t="s">
        <v>5879</v>
      </c>
      <c r="B1734" t="s">
        <v>5880</v>
      </c>
      <c r="D1734" t="s">
        <v>40</v>
      </c>
      <c r="E1734" t="s">
        <v>41</v>
      </c>
      <c r="J1734" t="s">
        <v>182</v>
      </c>
      <c r="K1734" t="s">
        <v>183</v>
      </c>
      <c r="L1734">
        <v>10</v>
      </c>
      <c r="M1734" t="s">
        <v>5881</v>
      </c>
      <c r="N1734" t="s">
        <v>64</v>
      </c>
      <c r="O1734" t="s">
        <v>46</v>
      </c>
      <c r="P1734" t="s">
        <v>46</v>
      </c>
      <c r="Y1734" t="s">
        <v>5882</v>
      </c>
    </row>
    <row r="1735" spans="1:25">
      <c r="A1735" t="s">
        <v>5883</v>
      </c>
      <c r="B1735" t="s">
        <v>5884</v>
      </c>
      <c r="D1735" t="s">
        <v>40</v>
      </c>
      <c r="E1735" t="s">
        <v>41</v>
      </c>
      <c r="J1735" t="s">
        <v>50</v>
      </c>
      <c r="K1735" t="s">
        <v>51</v>
      </c>
      <c r="L1735">
        <v>10</v>
      </c>
      <c r="M1735" t="s">
        <v>5881</v>
      </c>
      <c r="N1735" t="s">
        <v>617</v>
      </c>
      <c r="O1735" t="s">
        <v>46</v>
      </c>
      <c r="P1735" t="s">
        <v>46</v>
      </c>
      <c r="Y1735" t="s">
        <v>5885</v>
      </c>
    </row>
    <row r="1736" spans="1:25">
      <c r="A1736" t="s">
        <v>5886</v>
      </c>
      <c r="B1736" t="s">
        <v>5887</v>
      </c>
      <c r="D1736" t="s">
        <v>40</v>
      </c>
      <c r="E1736" t="s">
        <v>41</v>
      </c>
      <c r="J1736" t="s">
        <v>76</v>
      </c>
      <c r="K1736" t="s">
        <v>77</v>
      </c>
      <c r="L1736">
        <v>10</v>
      </c>
      <c r="M1736" t="s">
        <v>5888</v>
      </c>
      <c r="N1736" t="s">
        <v>64</v>
      </c>
      <c r="O1736" t="s">
        <v>46</v>
      </c>
      <c r="P1736" t="s">
        <v>46</v>
      </c>
      <c r="Y1736" t="s">
        <v>5889</v>
      </c>
    </row>
    <row r="1737" spans="1:25">
      <c r="A1737" t="s">
        <v>5890</v>
      </c>
      <c r="B1737" t="s">
        <v>5891</v>
      </c>
      <c r="D1737" t="s">
        <v>40</v>
      </c>
      <c r="E1737" t="s">
        <v>41</v>
      </c>
      <c r="J1737" t="s">
        <v>76</v>
      </c>
      <c r="K1737" t="s">
        <v>77</v>
      </c>
      <c r="L1737">
        <v>10</v>
      </c>
      <c r="M1737" t="s">
        <v>5888</v>
      </c>
      <c r="N1737" t="s">
        <v>64</v>
      </c>
      <c r="O1737" t="s">
        <v>46</v>
      </c>
      <c r="P1737" t="s">
        <v>46</v>
      </c>
      <c r="Y1737" t="s">
        <v>5892</v>
      </c>
    </row>
    <row r="1738" spans="1:25">
      <c r="A1738" t="s">
        <v>5893</v>
      </c>
      <c r="B1738" t="s">
        <v>5894</v>
      </c>
      <c r="D1738" t="s">
        <v>40</v>
      </c>
      <c r="E1738" t="s">
        <v>41</v>
      </c>
      <c r="J1738" t="s">
        <v>76</v>
      </c>
      <c r="K1738" t="s">
        <v>77</v>
      </c>
      <c r="L1738">
        <v>10</v>
      </c>
      <c r="M1738" t="s">
        <v>5888</v>
      </c>
      <c r="N1738" t="s">
        <v>64</v>
      </c>
      <c r="O1738" t="s">
        <v>46</v>
      </c>
      <c r="P1738" t="s">
        <v>46</v>
      </c>
      <c r="Y1738" t="s">
        <v>5895</v>
      </c>
    </row>
    <row r="1739" spans="1:25">
      <c r="A1739" t="s">
        <v>5896</v>
      </c>
      <c r="B1739" t="s">
        <v>5897</v>
      </c>
      <c r="D1739" t="s">
        <v>40</v>
      </c>
      <c r="E1739" t="s">
        <v>41</v>
      </c>
      <c r="J1739" t="s">
        <v>182</v>
      </c>
      <c r="K1739" t="s">
        <v>183</v>
      </c>
      <c r="L1739">
        <v>10</v>
      </c>
      <c r="M1739" t="s">
        <v>5888</v>
      </c>
      <c r="N1739" t="s">
        <v>64</v>
      </c>
      <c r="O1739" t="s">
        <v>46</v>
      </c>
      <c r="P1739" t="s">
        <v>46</v>
      </c>
      <c r="Y1739" t="s">
        <v>5898</v>
      </c>
    </row>
    <row r="1740" spans="1:25">
      <c r="A1740" t="s">
        <v>5899</v>
      </c>
      <c r="B1740" t="s">
        <v>5900</v>
      </c>
      <c r="D1740" t="s">
        <v>40</v>
      </c>
      <c r="E1740" t="s">
        <v>41</v>
      </c>
      <c r="J1740" t="s">
        <v>182</v>
      </c>
      <c r="K1740" t="s">
        <v>183</v>
      </c>
      <c r="L1740">
        <v>10</v>
      </c>
      <c r="M1740" t="s">
        <v>5888</v>
      </c>
      <c r="N1740" t="s">
        <v>64</v>
      </c>
      <c r="O1740" t="s">
        <v>46</v>
      </c>
      <c r="P1740" t="s">
        <v>46</v>
      </c>
      <c r="Y1740" t="s">
        <v>5901</v>
      </c>
    </row>
    <row r="1741" spans="1:25">
      <c r="A1741" t="s">
        <v>5902</v>
      </c>
      <c r="B1741" t="s">
        <v>5903</v>
      </c>
      <c r="D1741" t="s">
        <v>40</v>
      </c>
      <c r="E1741" t="s">
        <v>41</v>
      </c>
      <c r="J1741" t="s">
        <v>76</v>
      </c>
      <c r="K1741" t="s">
        <v>77</v>
      </c>
      <c r="L1741">
        <v>10</v>
      </c>
      <c r="M1741" t="s">
        <v>5904</v>
      </c>
      <c r="N1741" t="s">
        <v>64</v>
      </c>
      <c r="O1741" t="s">
        <v>46</v>
      </c>
      <c r="P1741" t="s">
        <v>46</v>
      </c>
      <c r="Y1741" t="s">
        <v>5905</v>
      </c>
    </row>
    <row r="1742" spans="1:25">
      <c r="A1742" t="s">
        <v>5906</v>
      </c>
      <c r="B1742" t="s">
        <v>5907</v>
      </c>
      <c r="D1742" t="s">
        <v>40</v>
      </c>
      <c r="E1742" t="s">
        <v>41</v>
      </c>
      <c r="J1742" t="s">
        <v>182</v>
      </c>
      <c r="K1742" t="s">
        <v>183</v>
      </c>
      <c r="L1742">
        <v>10</v>
      </c>
      <c r="M1742" t="s">
        <v>5904</v>
      </c>
      <c r="N1742" t="s">
        <v>64</v>
      </c>
      <c r="O1742" t="s">
        <v>46</v>
      </c>
      <c r="P1742" t="s">
        <v>46</v>
      </c>
      <c r="Y1742" t="s">
        <v>5908</v>
      </c>
    </row>
    <row r="1743" spans="1:25">
      <c r="A1743" t="s">
        <v>5909</v>
      </c>
      <c r="B1743" t="s">
        <v>5910</v>
      </c>
      <c r="D1743" t="s">
        <v>40</v>
      </c>
      <c r="E1743" t="s">
        <v>41</v>
      </c>
      <c r="J1743" t="s">
        <v>182</v>
      </c>
      <c r="K1743" t="s">
        <v>183</v>
      </c>
      <c r="L1743">
        <v>10</v>
      </c>
      <c r="M1743" t="s">
        <v>5904</v>
      </c>
      <c r="N1743" t="s">
        <v>64</v>
      </c>
      <c r="O1743" t="s">
        <v>46</v>
      </c>
      <c r="P1743" t="s">
        <v>46</v>
      </c>
      <c r="Y1743" t="s">
        <v>5911</v>
      </c>
    </row>
    <row r="1744" spans="1:25">
      <c r="A1744" t="s">
        <v>5912</v>
      </c>
      <c r="B1744" t="s">
        <v>5913</v>
      </c>
      <c r="D1744" t="s">
        <v>40</v>
      </c>
      <c r="E1744" t="s">
        <v>41</v>
      </c>
      <c r="J1744" t="s">
        <v>182</v>
      </c>
      <c r="K1744" t="s">
        <v>183</v>
      </c>
      <c r="L1744">
        <v>10</v>
      </c>
      <c r="M1744" t="s">
        <v>5904</v>
      </c>
      <c r="N1744" t="s">
        <v>64</v>
      </c>
      <c r="O1744" t="s">
        <v>46</v>
      </c>
      <c r="P1744" t="s">
        <v>46</v>
      </c>
      <c r="Y1744" t="s">
        <v>5914</v>
      </c>
    </row>
    <row r="1745" spans="1:25">
      <c r="A1745" t="s">
        <v>5915</v>
      </c>
      <c r="B1745" t="s">
        <v>5916</v>
      </c>
      <c r="D1745" t="s">
        <v>40</v>
      </c>
      <c r="E1745" t="s">
        <v>41</v>
      </c>
      <c r="J1745" t="s">
        <v>182</v>
      </c>
      <c r="K1745" t="s">
        <v>183</v>
      </c>
      <c r="L1745">
        <v>10</v>
      </c>
      <c r="M1745" t="s">
        <v>5904</v>
      </c>
      <c r="N1745" t="s">
        <v>64</v>
      </c>
      <c r="O1745" t="s">
        <v>46</v>
      </c>
      <c r="P1745" t="s">
        <v>46</v>
      </c>
      <c r="Y1745" t="s">
        <v>5917</v>
      </c>
    </row>
    <row r="1746" spans="1:25">
      <c r="A1746" t="s">
        <v>5918</v>
      </c>
      <c r="B1746" t="s">
        <v>5919</v>
      </c>
      <c r="D1746" t="s">
        <v>40</v>
      </c>
      <c r="E1746" t="s">
        <v>41</v>
      </c>
      <c r="J1746" t="s">
        <v>68</v>
      </c>
      <c r="K1746" t="s">
        <v>69</v>
      </c>
      <c r="L1746">
        <v>10</v>
      </c>
      <c r="M1746" t="s">
        <v>5904</v>
      </c>
      <c r="N1746" t="s">
        <v>64</v>
      </c>
      <c r="O1746" t="s">
        <v>46</v>
      </c>
      <c r="P1746" t="s">
        <v>46</v>
      </c>
      <c r="Y1746" t="s">
        <v>5920</v>
      </c>
    </row>
    <row r="1747" spans="1:25">
      <c r="A1747" t="s">
        <v>5921</v>
      </c>
      <c r="B1747" t="s">
        <v>5922</v>
      </c>
      <c r="D1747" t="s">
        <v>40</v>
      </c>
      <c r="E1747" t="s">
        <v>41</v>
      </c>
      <c r="J1747" t="s">
        <v>182</v>
      </c>
      <c r="K1747" t="s">
        <v>183</v>
      </c>
      <c r="L1747">
        <v>10</v>
      </c>
      <c r="M1747" t="s">
        <v>5923</v>
      </c>
      <c r="N1747" t="s">
        <v>64</v>
      </c>
      <c r="O1747" t="s">
        <v>46</v>
      </c>
      <c r="P1747" t="s">
        <v>46</v>
      </c>
      <c r="Y1747" t="s">
        <v>5924</v>
      </c>
    </row>
    <row r="1748" spans="1:25">
      <c r="A1748" t="s">
        <v>5925</v>
      </c>
      <c r="B1748" t="s">
        <v>5926</v>
      </c>
      <c r="D1748" t="s">
        <v>40</v>
      </c>
      <c r="E1748" t="s">
        <v>41</v>
      </c>
      <c r="J1748" t="s">
        <v>76</v>
      </c>
      <c r="K1748" t="s">
        <v>77</v>
      </c>
      <c r="L1748">
        <v>10</v>
      </c>
      <c r="M1748" t="s">
        <v>5923</v>
      </c>
      <c r="N1748" t="s">
        <v>64</v>
      </c>
      <c r="O1748" t="s">
        <v>46</v>
      </c>
      <c r="P1748" t="s">
        <v>46</v>
      </c>
      <c r="Y1748" t="s">
        <v>5927</v>
      </c>
    </row>
    <row r="1749" spans="1:25">
      <c r="A1749" t="s">
        <v>5928</v>
      </c>
      <c r="B1749" t="s">
        <v>5929</v>
      </c>
      <c r="D1749" t="s">
        <v>40</v>
      </c>
      <c r="E1749" t="s">
        <v>41</v>
      </c>
      <c r="J1749" t="s">
        <v>1214</v>
      </c>
      <c r="K1749" t="s">
        <v>1215</v>
      </c>
      <c r="L1749">
        <v>10</v>
      </c>
      <c r="M1749" t="s">
        <v>5923</v>
      </c>
      <c r="N1749" t="s">
        <v>218</v>
      </c>
      <c r="O1749" t="s">
        <v>46</v>
      </c>
      <c r="P1749" t="s">
        <v>46</v>
      </c>
      <c r="Y1749" t="s">
        <v>5930</v>
      </c>
    </row>
    <row r="1750" spans="1:25">
      <c r="A1750" t="s">
        <v>5931</v>
      </c>
      <c r="B1750" t="s">
        <v>5932</v>
      </c>
      <c r="D1750" t="s">
        <v>40</v>
      </c>
      <c r="E1750" t="s">
        <v>41</v>
      </c>
      <c r="J1750" t="s">
        <v>182</v>
      </c>
      <c r="K1750" t="s">
        <v>183</v>
      </c>
      <c r="L1750">
        <v>10</v>
      </c>
      <c r="M1750" t="s">
        <v>5923</v>
      </c>
      <c r="N1750" t="s">
        <v>64</v>
      </c>
      <c r="O1750" t="s">
        <v>46</v>
      </c>
      <c r="P1750" t="s">
        <v>46</v>
      </c>
      <c r="Y1750" t="s">
        <v>5933</v>
      </c>
    </row>
    <row r="1751" spans="1:25">
      <c r="A1751" t="s">
        <v>5934</v>
      </c>
      <c r="B1751" t="s">
        <v>5935</v>
      </c>
      <c r="D1751" t="s">
        <v>40</v>
      </c>
      <c r="E1751" t="s">
        <v>41</v>
      </c>
      <c r="J1751" t="s">
        <v>76</v>
      </c>
      <c r="K1751" t="s">
        <v>77</v>
      </c>
      <c r="L1751">
        <v>10</v>
      </c>
      <c r="M1751" t="s">
        <v>5923</v>
      </c>
      <c r="N1751" t="s">
        <v>64</v>
      </c>
      <c r="O1751" t="s">
        <v>46</v>
      </c>
      <c r="P1751" t="s">
        <v>46</v>
      </c>
      <c r="Y1751" t="s">
        <v>5936</v>
      </c>
    </row>
    <row r="1752" spans="1:25">
      <c r="A1752" t="s">
        <v>5937</v>
      </c>
      <c r="B1752" t="s">
        <v>5938</v>
      </c>
      <c r="D1752" t="s">
        <v>40</v>
      </c>
      <c r="E1752" t="s">
        <v>41</v>
      </c>
      <c r="J1752" t="s">
        <v>76</v>
      </c>
      <c r="K1752" t="s">
        <v>77</v>
      </c>
      <c r="L1752">
        <v>10</v>
      </c>
      <c r="M1752" t="s">
        <v>5923</v>
      </c>
      <c r="N1752" t="s">
        <v>64</v>
      </c>
      <c r="O1752" t="s">
        <v>46</v>
      </c>
      <c r="P1752" t="s">
        <v>46</v>
      </c>
      <c r="Y1752" t="s">
        <v>5939</v>
      </c>
    </row>
    <row r="1753" spans="1:25">
      <c r="A1753" t="s">
        <v>5940</v>
      </c>
      <c r="B1753" t="s">
        <v>5941</v>
      </c>
      <c r="D1753" t="s">
        <v>40</v>
      </c>
      <c r="E1753" t="s">
        <v>41</v>
      </c>
      <c r="J1753" t="s">
        <v>42</v>
      </c>
      <c r="K1753" t="s">
        <v>43</v>
      </c>
      <c r="L1753">
        <v>10</v>
      </c>
      <c r="M1753" t="s">
        <v>5942</v>
      </c>
      <c r="N1753" t="s">
        <v>45</v>
      </c>
      <c r="O1753" t="s">
        <v>46</v>
      </c>
      <c r="P1753" t="s">
        <v>46</v>
      </c>
      <c r="Y1753" t="s">
        <v>5943</v>
      </c>
    </row>
    <row r="1754" spans="1:25">
      <c r="A1754" t="s">
        <v>5944</v>
      </c>
      <c r="B1754" t="s">
        <v>5945</v>
      </c>
      <c r="D1754" t="s">
        <v>40</v>
      </c>
      <c r="E1754" t="s">
        <v>41</v>
      </c>
      <c r="J1754" t="s">
        <v>248</v>
      </c>
      <c r="K1754" t="s">
        <v>249</v>
      </c>
      <c r="L1754">
        <v>10</v>
      </c>
      <c r="M1754" t="s">
        <v>5942</v>
      </c>
      <c r="N1754" t="s">
        <v>1024</v>
      </c>
      <c r="O1754" t="s">
        <v>46</v>
      </c>
      <c r="P1754" t="s">
        <v>46</v>
      </c>
      <c r="Y1754" t="s">
        <v>5946</v>
      </c>
    </row>
    <row r="1755" spans="1:25">
      <c r="A1755" t="s">
        <v>5947</v>
      </c>
      <c r="B1755" t="s">
        <v>5948</v>
      </c>
      <c r="D1755" t="s">
        <v>40</v>
      </c>
      <c r="E1755" t="s">
        <v>41</v>
      </c>
      <c r="J1755" t="s">
        <v>76</v>
      </c>
      <c r="K1755" t="s">
        <v>77</v>
      </c>
      <c r="L1755">
        <v>10</v>
      </c>
      <c r="M1755" t="s">
        <v>5942</v>
      </c>
      <c r="N1755" t="s">
        <v>64</v>
      </c>
      <c r="O1755" t="s">
        <v>46</v>
      </c>
      <c r="P1755" t="s">
        <v>46</v>
      </c>
      <c r="Y1755" t="s">
        <v>5949</v>
      </c>
    </row>
    <row r="1756" spans="1:25">
      <c r="A1756" t="s">
        <v>5950</v>
      </c>
      <c r="B1756" t="s">
        <v>5951</v>
      </c>
      <c r="D1756" t="s">
        <v>40</v>
      </c>
      <c r="E1756" t="s">
        <v>41</v>
      </c>
      <c r="J1756" t="s">
        <v>68</v>
      </c>
      <c r="K1756" t="s">
        <v>69</v>
      </c>
      <c r="L1756">
        <v>10</v>
      </c>
      <c r="M1756" t="s">
        <v>5942</v>
      </c>
      <c r="N1756" t="s">
        <v>64</v>
      </c>
      <c r="O1756" t="s">
        <v>46</v>
      </c>
      <c r="P1756" t="s">
        <v>46</v>
      </c>
      <c r="Y1756" t="s">
        <v>5952</v>
      </c>
    </row>
    <row r="1757" spans="1:25">
      <c r="A1757" t="s">
        <v>5953</v>
      </c>
      <c r="B1757" t="s">
        <v>5954</v>
      </c>
      <c r="D1757" t="s">
        <v>40</v>
      </c>
      <c r="E1757" t="s">
        <v>41</v>
      </c>
      <c r="J1757" t="s">
        <v>182</v>
      </c>
      <c r="K1757" t="s">
        <v>183</v>
      </c>
      <c r="L1757">
        <v>10</v>
      </c>
      <c r="M1757" t="s">
        <v>5942</v>
      </c>
      <c r="N1757" t="s">
        <v>64</v>
      </c>
      <c r="O1757" t="s">
        <v>46</v>
      </c>
      <c r="P1757" t="s">
        <v>46</v>
      </c>
      <c r="Y1757" t="s">
        <v>5955</v>
      </c>
    </row>
    <row r="1758" spans="1:25">
      <c r="A1758" t="s">
        <v>5956</v>
      </c>
      <c r="B1758" t="s">
        <v>5957</v>
      </c>
      <c r="D1758" t="s">
        <v>40</v>
      </c>
      <c r="E1758" t="s">
        <v>41</v>
      </c>
      <c r="J1758" t="s">
        <v>182</v>
      </c>
      <c r="K1758" t="s">
        <v>183</v>
      </c>
      <c r="L1758">
        <v>10</v>
      </c>
      <c r="M1758" t="s">
        <v>5942</v>
      </c>
      <c r="N1758" t="s">
        <v>64</v>
      </c>
      <c r="O1758" t="s">
        <v>46</v>
      </c>
      <c r="P1758" t="s">
        <v>46</v>
      </c>
      <c r="Y1758" t="s">
        <v>5958</v>
      </c>
    </row>
    <row r="1759" spans="1:25">
      <c r="A1759" t="s">
        <v>5959</v>
      </c>
      <c r="B1759" t="s">
        <v>5960</v>
      </c>
      <c r="D1759" t="s">
        <v>40</v>
      </c>
      <c r="E1759" t="s">
        <v>41</v>
      </c>
      <c r="J1759" t="s">
        <v>68</v>
      </c>
      <c r="K1759" t="s">
        <v>69</v>
      </c>
      <c r="L1759">
        <v>9</v>
      </c>
      <c r="M1759" t="s">
        <v>5961</v>
      </c>
      <c r="N1759" t="s">
        <v>64</v>
      </c>
      <c r="O1759" t="s">
        <v>46</v>
      </c>
      <c r="P1759" t="s">
        <v>46</v>
      </c>
      <c r="Y1759" t="s">
        <v>5962</v>
      </c>
    </row>
    <row r="1760" spans="1:25">
      <c r="A1760" t="s">
        <v>5963</v>
      </c>
      <c r="B1760" t="s">
        <v>5964</v>
      </c>
      <c r="D1760" t="s">
        <v>40</v>
      </c>
      <c r="E1760" t="s">
        <v>41</v>
      </c>
      <c r="J1760" t="s">
        <v>182</v>
      </c>
      <c r="K1760" t="s">
        <v>183</v>
      </c>
      <c r="L1760">
        <v>10</v>
      </c>
      <c r="M1760" t="s">
        <v>5961</v>
      </c>
      <c r="N1760" t="s">
        <v>64</v>
      </c>
      <c r="O1760" t="s">
        <v>46</v>
      </c>
      <c r="P1760" t="s">
        <v>46</v>
      </c>
      <c r="Y1760" t="s">
        <v>5965</v>
      </c>
    </row>
    <row r="1761" spans="1:25">
      <c r="A1761" t="s">
        <v>5966</v>
      </c>
      <c r="B1761" t="s">
        <v>5967</v>
      </c>
      <c r="D1761" t="s">
        <v>40</v>
      </c>
      <c r="E1761" t="s">
        <v>41</v>
      </c>
      <c r="J1761" t="s">
        <v>264</v>
      </c>
      <c r="K1761" t="s">
        <v>265</v>
      </c>
      <c r="L1761">
        <v>11</v>
      </c>
      <c r="M1761" t="s">
        <v>5968</v>
      </c>
      <c r="N1761" t="s">
        <v>218</v>
      </c>
      <c r="O1761" t="s">
        <v>46</v>
      </c>
      <c r="P1761" t="s">
        <v>46</v>
      </c>
      <c r="Y1761" t="s">
        <v>5969</v>
      </c>
    </row>
    <row r="1762" spans="1:25">
      <c r="A1762" t="s">
        <v>5970</v>
      </c>
      <c r="B1762" t="s">
        <v>5971</v>
      </c>
      <c r="D1762" t="s">
        <v>40</v>
      </c>
      <c r="E1762" t="s">
        <v>41</v>
      </c>
      <c r="J1762" t="s">
        <v>76</v>
      </c>
      <c r="K1762" t="s">
        <v>77</v>
      </c>
      <c r="L1762">
        <v>10</v>
      </c>
      <c r="M1762" t="s">
        <v>5972</v>
      </c>
      <c r="N1762" t="s">
        <v>64</v>
      </c>
      <c r="O1762" t="s">
        <v>46</v>
      </c>
      <c r="P1762" t="s">
        <v>46</v>
      </c>
      <c r="Y1762" t="s">
        <v>5973</v>
      </c>
    </row>
    <row r="1763" spans="1:25">
      <c r="A1763" t="s">
        <v>5974</v>
      </c>
      <c r="B1763" t="s">
        <v>5975</v>
      </c>
      <c r="D1763" t="s">
        <v>40</v>
      </c>
      <c r="E1763" t="s">
        <v>41</v>
      </c>
      <c r="J1763" t="s">
        <v>182</v>
      </c>
      <c r="K1763" t="s">
        <v>183</v>
      </c>
      <c r="L1763">
        <v>10</v>
      </c>
      <c r="M1763" t="s">
        <v>5976</v>
      </c>
      <c r="N1763" t="s">
        <v>64</v>
      </c>
      <c r="O1763" t="s">
        <v>46</v>
      </c>
      <c r="P1763" t="s">
        <v>46</v>
      </c>
      <c r="Y1763" t="s">
        <v>5977</v>
      </c>
    </row>
    <row r="1764" spans="1:25">
      <c r="A1764" t="s">
        <v>5978</v>
      </c>
      <c r="B1764" t="s">
        <v>5979</v>
      </c>
      <c r="D1764" t="s">
        <v>40</v>
      </c>
      <c r="E1764" t="s">
        <v>41</v>
      </c>
      <c r="J1764" t="s">
        <v>76</v>
      </c>
      <c r="K1764" t="s">
        <v>77</v>
      </c>
      <c r="L1764">
        <v>10</v>
      </c>
      <c r="M1764" t="s">
        <v>5980</v>
      </c>
      <c r="N1764" t="s">
        <v>64</v>
      </c>
      <c r="O1764" t="s">
        <v>46</v>
      </c>
      <c r="P1764" t="s">
        <v>46</v>
      </c>
      <c r="Y1764" t="s">
        <v>5981</v>
      </c>
    </row>
    <row r="1765" spans="1:25">
      <c r="A1765" t="s">
        <v>5982</v>
      </c>
      <c r="B1765" t="s">
        <v>5983</v>
      </c>
      <c r="D1765" t="s">
        <v>40</v>
      </c>
      <c r="E1765" t="s">
        <v>41</v>
      </c>
      <c r="J1765" t="s">
        <v>182</v>
      </c>
      <c r="K1765" t="s">
        <v>183</v>
      </c>
      <c r="L1765">
        <v>10</v>
      </c>
      <c r="M1765" t="s">
        <v>5980</v>
      </c>
      <c r="N1765" t="s">
        <v>64</v>
      </c>
      <c r="O1765" t="s">
        <v>46</v>
      </c>
      <c r="P1765" t="s">
        <v>46</v>
      </c>
      <c r="Y1765" t="s">
        <v>5984</v>
      </c>
    </row>
    <row r="1766" spans="1:25">
      <c r="A1766" t="s">
        <v>5985</v>
      </c>
      <c r="B1766" t="s">
        <v>5986</v>
      </c>
      <c r="D1766" t="s">
        <v>40</v>
      </c>
      <c r="E1766" t="s">
        <v>41</v>
      </c>
      <c r="J1766" t="s">
        <v>182</v>
      </c>
      <c r="K1766" t="s">
        <v>183</v>
      </c>
      <c r="L1766">
        <v>10</v>
      </c>
      <c r="M1766" t="s">
        <v>5980</v>
      </c>
      <c r="N1766" t="s">
        <v>64</v>
      </c>
      <c r="O1766" t="s">
        <v>46</v>
      </c>
      <c r="P1766" t="s">
        <v>46</v>
      </c>
      <c r="Y1766" t="s">
        <v>5987</v>
      </c>
    </row>
    <row r="1767" spans="1:25">
      <c r="A1767" t="s">
        <v>5988</v>
      </c>
      <c r="B1767" t="s">
        <v>5989</v>
      </c>
      <c r="D1767" t="s">
        <v>40</v>
      </c>
      <c r="E1767" t="s">
        <v>41</v>
      </c>
      <c r="J1767" t="s">
        <v>139</v>
      </c>
      <c r="K1767" t="s">
        <v>140</v>
      </c>
      <c r="L1767">
        <v>6</v>
      </c>
      <c r="M1767" t="s">
        <v>5990</v>
      </c>
      <c r="N1767" t="s">
        <v>1024</v>
      </c>
      <c r="O1767" t="s">
        <v>46</v>
      </c>
      <c r="P1767" t="s">
        <v>46</v>
      </c>
      <c r="Y1767" t="s">
        <v>5991</v>
      </c>
    </row>
    <row r="1768" spans="1:25">
      <c r="A1768" t="s">
        <v>5992</v>
      </c>
      <c r="B1768" t="s">
        <v>5993</v>
      </c>
      <c r="D1768" t="s">
        <v>40</v>
      </c>
      <c r="E1768" t="s">
        <v>41</v>
      </c>
      <c r="J1768" t="s">
        <v>264</v>
      </c>
      <c r="K1768" t="s">
        <v>265</v>
      </c>
      <c r="L1768">
        <v>8</v>
      </c>
      <c r="M1768" t="s">
        <v>5994</v>
      </c>
      <c r="N1768" t="s">
        <v>5995</v>
      </c>
      <c r="O1768" t="s">
        <v>46</v>
      </c>
      <c r="P1768" t="s">
        <v>46</v>
      </c>
      <c r="Y1768" t="s">
        <v>5996</v>
      </c>
    </row>
    <row r="1769" spans="1:25">
      <c r="A1769" t="s">
        <v>5997</v>
      </c>
      <c r="B1769" t="s">
        <v>5998</v>
      </c>
      <c r="D1769" t="s">
        <v>40</v>
      </c>
      <c r="E1769" t="s">
        <v>41</v>
      </c>
      <c r="J1769" t="s">
        <v>62</v>
      </c>
      <c r="K1769" t="s">
        <v>63</v>
      </c>
      <c r="L1769">
        <v>12</v>
      </c>
      <c r="M1769" t="s">
        <v>5999</v>
      </c>
      <c r="N1769" t="s">
        <v>64</v>
      </c>
      <c r="O1769" t="s">
        <v>46</v>
      </c>
      <c r="P1769" t="s">
        <v>46</v>
      </c>
      <c r="Y1769" t="s">
        <v>6000</v>
      </c>
    </row>
    <row r="1770" spans="1:25">
      <c r="A1770" t="s">
        <v>6001</v>
      </c>
      <c r="B1770" t="s">
        <v>6002</v>
      </c>
      <c r="D1770" t="s">
        <v>40</v>
      </c>
      <c r="E1770" t="s">
        <v>41</v>
      </c>
      <c r="J1770" t="s">
        <v>182</v>
      </c>
      <c r="K1770" t="s">
        <v>183</v>
      </c>
      <c r="L1770">
        <v>12</v>
      </c>
      <c r="M1770" t="s">
        <v>6003</v>
      </c>
      <c r="N1770" t="s">
        <v>64</v>
      </c>
      <c r="O1770" t="s">
        <v>46</v>
      </c>
      <c r="P1770" t="s">
        <v>46</v>
      </c>
      <c r="Y1770" t="s">
        <v>6004</v>
      </c>
    </row>
    <row r="1771" spans="1:25">
      <c r="A1771" t="s">
        <v>6005</v>
      </c>
      <c r="B1771" t="s">
        <v>6006</v>
      </c>
      <c r="D1771" t="s">
        <v>40</v>
      </c>
      <c r="E1771" t="s">
        <v>41</v>
      </c>
      <c r="J1771" t="s">
        <v>62</v>
      </c>
      <c r="K1771" t="s">
        <v>63</v>
      </c>
      <c r="L1771">
        <v>12</v>
      </c>
      <c r="M1771" t="s">
        <v>6003</v>
      </c>
      <c r="N1771" t="s">
        <v>64</v>
      </c>
      <c r="O1771" t="s">
        <v>46</v>
      </c>
      <c r="P1771" t="s">
        <v>46</v>
      </c>
      <c r="Y1771" t="s">
        <v>6007</v>
      </c>
    </row>
    <row r="1772" spans="1:25">
      <c r="A1772" t="s">
        <v>6008</v>
      </c>
      <c r="B1772" t="s">
        <v>6009</v>
      </c>
      <c r="D1772" t="s">
        <v>40</v>
      </c>
      <c r="E1772" t="s">
        <v>41</v>
      </c>
      <c r="J1772" t="s">
        <v>264</v>
      </c>
      <c r="K1772" t="s">
        <v>265</v>
      </c>
      <c r="L1772">
        <v>12</v>
      </c>
      <c r="M1772" t="s">
        <v>6010</v>
      </c>
      <c r="N1772" t="s">
        <v>315</v>
      </c>
      <c r="O1772" t="s">
        <v>46</v>
      </c>
      <c r="P1772" t="s">
        <v>46</v>
      </c>
      <c r="Y1772" t="s">
        <v>6011</v>
      </c>
    </row>
    <row r="1773" spans="1:25">
      <c r="A1773" t="s">
        <v>6012</v>
      </c>
      <c r="B1773" t="s">
        <v>6013</v>
      </c>
      <c r="D1773" t="s">
        <v>40</v>
      </c>
      <c r="E1773" t="s">
        <v>41</v>
      </c>
      <c r="J1773" t="s">
        <v>42</v>
      </c>
      <c r="K1773" t="s">
        <v>43</v>
      </c>
      <c r="L1773">
        <v>10</v>
      </c>
      <c r="M1773" t="s">
        <v>6014</v>
      </c>
      <c r="N1773" t="s">
        <v>315</v>
      </c>
      <c r="O1773" t="s">
        <v>46</v>
      </c>
      <c r="P1773" t="s">
        <v>46</v>
      </c>
      <c r="Y1773" t="s">
        <v>6015</v>
      </c>
    </row>
    <row r="1774" spans="1:25">
      <c r="A1774" t="s">
        <v>6016</v>
      </c>
      <c r="B1774" t="s">
        <v>6017</v>
      </c>
      <c r="D1774" t="s">
        <v>40</v>
      </c>
      <c r="E1774" t="s">
        <v>41</v>
      </c>
      <c r="J1774" t="s">
        <v>76</v>
      </c>
      <c r="K1774" t="s">
        <v>77</v>
      </c>
      <c r="L1774">
        <v>10</v>
      </c>
      <c r="M1774" t="s">
        <v>6014</v>
      </c>
      <c r="N1774" t="s">
        <v>64</v>
      </c>
      <c r="O1774" t="s">
        <v>46</v>
      </c>
      <c r="P1774" t="s">
        <v>46</v>
      </c>
      <c r="Y1774" t="s">
        <v>6018</v>
      </c>
    </row>
    <row r="1775" spans="1:25">
      <c r="A1775" t="s">
        <v>6019</v>
      </c>
      <c r="B1775" t="s">
        <v>6020</v>
      </c>
      <c r="D1775" t="s">
        <v>40</v>
      </c>
      <c r="E1775" t="s">
        <v>41</v>
      </c>
      <c r="J1775" t="s">
        <v>68</v>
      </c>
      <c r="K1775" t="s">
        <v>69</v>
      </c>
      <c r="L1775">
        <v>10</v>
      </c>
      <c r="M1775" t="s">
        <v>6014</v>
      </c>
      <c r="N1775" t="s">
        <v>64</v>
      </c>
      <c r="O1775" t="s">
        <v>46</v>
      </c>
      <c r="P1775" t="s">
        <v>46</v>
      </c>
      <c r="Y1775" t="s">
        <v>6021</v>
      </c>
    </row>
    <row r="1776" spans="1:25">
      <c r="A1776" t="s">
        <v>6022</v>
      </c>
      <c r="B1776" t="s">
        <v>6023</v>
      </c>
      <c r="D1776" t="s">
        <v>40</v>
      </c>
      <c r="E1776" t="s">
        <v>41</v>
      </c>
      <c r="J1776" t="s">
        <v>182</v>
      </c>
      <c r="K1776" t="s">
        <v>183</v>
      </c>
      <c r="L1776">
        <v>10</v>
      </c>
      <c r="M1776" t="s">
        <v>6014</v>
      </c>
      <c r="N1776" t="s">
        <v>64</v>
      </c>
      <c r="O1776" t="s">
        <v>46</v>
      </c>
      <c r="P1776" t="s">
        <v>46</v>
      </c>
      <c r="Y1776" t="s">
        <v>6024</v>
      </c>
    </row>
    <row r="1777" spans="1:25">
      <c r="A1777" t="s">
        <v>6025</v>
      </c>
      <c r="B1777" t="s">
        <v>6026</v>
      </c>
      <c r="D1777" t="s">
        <v>40</v>
      </c>
      <c r="E1777" t="s">
        <v>41</v>
      </c>
      <c r="J1777" t="s">
        <v>76</v>
      </c>
      <c r="K1777" t="s">
        <v>77</v>
      </c>
      <c r="L1777">
        <v>10</v>
      </c>
      <c r="M1777" t="s">
        <v>6014</v>
      </c>
      <c r="N1777" t="s">
        <v>64</v>
      </c>
      <c r="O1777" t="s">
        <v>46</v>
      </c>
      <c r="P1777" t="s">
        <v>46</v>
      </c>
      <c r="Y1777" t="s">
        <v>6027</v>
      </c>
    </row>
    <row r="1778" spans="1:25">
      <c r="A1778" t="s">
        <v>6028</v>
      </c>
      <c r="B1778" t="s">
        <v>6029</v>
      </c>
      <c r="D1778" t="s">
        <v>40</v>
      </c>
      <c r="E1778" t="s">
        <v>41</v>
      </c>
      <c r="J1778" t="s">
        <v>182</v>
      </c>
      <c r="K1778" t="s">
        <v>183</v>
      </c>
      <c r="L1778">
        <v>10</v>
      </c>
      <c r="M1778" t="s">
        <v>6014</v>
      </c>
      <c r="N1778" t="s">
        <v>64</v>
      </c>
      <c r="O1778" t="s">
        <v>46</v>
      </c>
      <c r="P1778" t="s">
        <v>46</v>
      </c>
      <c r="Y1778" t="s">
        <v>6030</v>
      </c>
    </row>
    <row r="1779" spans="1:25">
      <c r="A1779" t="s">
        <v>6031</v>
      </c>
      <c r="B1779" t="s">
        <v>6032</v>
      </c>
      <c r="D1779" t="s">
        <v>40</v>
      </c>
      <c r="E1779" t="s">
        <v>41</v>
      </c>
      <c r="J1779" t="s">
        <v>68</v>
      </c>
      <c r="K1779" t="s">
        <v>69</v>
      </c>
      <c r="L1779">
        <v>10</v>
      </c>
      <c r="M1779" t="s">
        <v>6014</v>
      </c>
      <c r="N1779" t="s">
        <v>64</v>
      </c>
      <c r="O1779" t="s">
        <v>46</v>
      </c>
      <c r="P1779" t="s">
        <v>46</v>
      </c>
      <c r="Y1779" t="s">
        <v>6033</v>
      </c>
    </row>
    <row r="1780" spans="1:25">
      <c r="A1780" t="s">
        <v>6034</v>
      </c>
      <c r="B1780" t="s">
        <v>6035</v>
      </c>
      <c r="D1780" t="s">
        <v>40</v>
      </c>
      <c r="E1780" t="s">
        <v>41</v>
      </c>
      <c r="J1780" t="s">
        <v>76</v>
      </c>
      <c r="K1780" t="s">
        <v>77</v>
      </c>
      <c r="L1780">
        <v>10</v>
      </c>
      <c r="M1780" t="s">
        <v>6036</v>
      </c>
      <c r="N1780" t="s">
        <v>64</v>
      </c>
      <c r="O1780" t="s">
        <v>46</v>
      </c>
      <c r="P1780" t="s">
        <v>46</v>
      </c>
      <c r="Y1780" t="s">
        <v>6037</v>
      </c>
    </row>
    <row r="1781" spans="1:25">
      <c r="A1781" t="s">
        <v>6038</v>
      </c>
      <c r="B1781" t="s">
        <v>6039</v>
      </c>
      <c r="D1781" t="s">
        <v>40</v>
      </c>
      <c r="E1781" t="s">
        <v>41</v>
      </c>
      <c r="J1781" t="s">
        <v>182</v>
      </c>
      <c r="K1781" t="s">
        <v>183</v>
      </c>
      <c r="L1781">
        <v>10</v>
      </c>
      <c r="M1781" t="s">
        <v>6036</v>
      </c>
      <c r="N1781" t="s">
        <v>64</v>
      </c>
      <c r="O1781" t="s">
        <v>46</v>
      </c>
      <c r="P1781" t="s">
        <v>46</v>
      </c>
      <c r="Y1781" t="s">
        <v>6040</v>
      </c>
    </row>
    <row r="1782" spans="1:25">
      <c r="A1782" t="s">
        <v>6041</v>
      </c>
      <c r="B1782" t="s">
        <v>6042</v>
      </c>
      <c r="D1782" t="s">
        <v>40</v>
      </c>
      <c r="E1782" t="s">
        <v>41</v>
      </c>
      <c r="J1782" t="s">
        <v>182</v>
      </c>
      <c r="K1782" t="s">
        <v>183</v>
      </c>
      <c r="L1782">
        <v>10</v>
      </c>
      <c r="M1782" t="s">
        <v>6036</v>
      </c>
      <c r="N1782" t="s">
        <v>64</v>
      </c>
      <c r="O1782" t="s">
        <v>46</v>
      </c>
      <c r="P1782" t="s">
        <v>46</v>
      </c>
      <c r="Y1782" t="s">
        <v>6043</v>
      </c>
    </row>
    <row r="1783" spans="1:25">
      <c r="A1783" t="s">
        <v>6044</v>
      </c>
      <c r="B1783" t="s">
        <v>6045</v>
      </c>
      <c r="D1783" t="s">
        <v>40</v>
      </c>
      <c r="E1783" t="s">
        <v>41</v>
      </c>
      <c r="J1783" t="s">
        <v>76</v>
      </c>
      <c r="K1783" t="s">
        <v>77</v>
      </c>
      <c r="L1783">
        <v>10</v>
      </c>
      <c r="M1783" t="s">
        <v>6036</v>
      </c>
      <c r="N1783" t="s">
        <v>64</v>
      </c>
      <c r="O1783" t="s">
        <v>46</v>
      </c>
      <c r="P1783" t="s">
        <v>46</v>
      </c>
      <c r="Y1783" t="s">
        <v>6046</v>
      </c>
    </row>
    <row r="1784" spans="1:25">
      <c r="A1784" t="s">
        <v>6047</v>
      </c>
      <c r="B1784" t="s">
        <v>6048</v>
      </c>
      <c r="D1784" t="s">
        <v>40</v>
      </c>
      <c r="E1784" t="s">
        <v>41</v>
      </c>
      <c r="J1784" t="s">
        <v>182</v>
      </c>
      <c r="K1784" t="s">
        <v>183</v>
      </c>
      <c r="L1784">
        <v>10</v>
      </c>
      <c r="M1784" t="s">
        <v>6036</v>
      </c>
      <c r="N1784" t="s">
        <v>64</v>
      </c>
      <c r="O1784" t="s">
        <v>46</v>
      </c>
      <c r="P1784" t="s">
        <v>46</v>
      </c>
      <c r="Y1784" t="s">
        <v>6049</v>
      </c>
    </row>
    <row r="1785" spans="1:25">
      <c r="A1785" t="s">
        <v>6050</v>
      </c>
      <c r="B1785" t="s">
        <v>6051</v>
      </c>
      <c r="D1785" t="s">
        <v>40</v>
      </c>
      <c r="E1785" t="s">
        <v>41</v>
      </c>
      <c r="J1785" t="s">
        <v>68</v>
      </c>
      <c r="K1785" t="s">
        <v>69</v>
      </c>
      <c r="L1785">
        <v>10</v>
      </c>
      <c r="M1785" t="s">
        <v>6036</v>
      </c>
      <c r="N1785" t="s">
        <v>64</v>
      </c>
      <c r="O1785" t="s">
        <v>46</v>
      </c>
      <c r="P1785" t="s">
        <v>46</v>
      </c>
      <c r="Y1785" t="s">
        <v>6052</v>
      </c>
    </row>
    <row r="1786" spans="1:25">
      <c r="A1786" t="s">
        <v>6053</v>
      </c>
      <c r="B1786" t="s">
        <v>6054</v>
      </c>
      <c r="D1786" t="s">
        <v>40</v>
      </c>
      <c r="E1786" t="s">
        <v>41</v>
      </c>
      <c r="J1786" t="s">
        <v>182</v>
      </c>
      <c r="K1786" t="s">
        <v>183</v>
      </c>
      <c r="L1786">
        <v>10</v>
      </c>
      <c r="M1786" t="s">
        <v>6036</v>
      </c>
      <c r="N1786" t="s">
        <v>64</v>
      </c>
      <c r="O1786" t="s">
        <v>46</v>
      </c>
      <c r="P1786" t="s">
        <v>46</v>
      </c>
      <c r="Y1786" t="s">
        <v>6055</v>
      </c>
    </row>
    <row r="1787" spans="1:25">
      <c r="A1787" t="s">
        <v>6056</v>
      </c>
      <c r="B1787" t="s">
        <v>6057</v>
      </c>
      <c r="D1787" t="s">
        <v>40</v>
      </c>
      <c r="E1787" t="s">
        <v>41</v>
      </c>
      <c r="J1787" t="s">
        <v>182</v>
      </c>
      <c r="K1787" t="s">
        <v>183</v>
      </c>
      <c r="L1787">
        <v>10</v>
      </c>
      <c r="M1787" t="s">
        <v>6036</v>
      </c>
      <c r="N1787" t="s">
        <v>64</v>
      </c>
      <c r="O1787" t="s">
        <v>46</v>
      </c>
      <c r="P1787" t="s">
        <v>46</v>
      </c>
      <c r="Y1787" t="s">
        <v>6058</v>
      </c>
    </row>
    <row r="1788" spans="1:25">
      <c r="A1788" t="s">
        <v>6059</v>
      </c>
      <c r="B1788" t="s">
        <v>6060</v>
      </c>
      <c r="D1788" t="s">
        <v>40</v>
      </c>
      <c r="E1788" t="s">
        <v>41</v>
      </c>
      <c r="J1788" t="s">
        <v>1997</v>
      </c>
      <c r="K1788" t="s">
        <v>1998</v>
      </c>
      <c r="L1788">
        <v>10</v>
      </c>
      <c r="M1788" t="s">
        <v>6036</v>
      </c>
      <c r="N1788" t="s">
        <v>310</v>
      </c>
      <c r="O1788" t="s">
        <v>46</v>
      </c>
      <c r="P1788" t="s">
        <v>46</v>
      </c>
      <c r="Y1788" t="s">
        <v>6061</v>
      </c>
    </row>
    <row r="1789" spans="1:25">
      <c r="A1789" t="s">
        <v>6062</v>
      </c>
      <c r="B1789" t="s">
        <v>6063</v>
      </c>
      <c r="D1789" t="s">
        <v>40</v>
      </c>
      <c r="E1789" t="s">
        <v>41</v>
      </c>
      <c r="J1789" t="s">
        <v>68</v>
      </c>
      <c r="K1789" t="s">
        <v>69</v>
      </c>
      <c r="L1789">
        <v>10</v>
      </c>
      <c r="M1789" t="s">
        <v>6064</v>
      </c>
      <c r="N1789" t="s">
        <v>64</v>
      </c>
      <c r="O1789" t="s">
        <v>46</v>
      </c>
      <c r="P1789" t="s">
        <v>46</v>
      </c>
      <c r="Y1789" t="s">
        <v>6065</v>
      </c>
    </row>
    <row r="1790" spans="1:25">
      <c r="A1790" t="s">
        <v>6066</v>
      </c>
      <c r="B1790" t="s">
        <v>6067</v>
      </c>
      <c r="D1790" t="s">
        <v>40</v>
      </c>
      <c r="E1790" t="s">
        <v>41</v>
      </c>
      <c r="J1790" t="s">
        <v>182</v>
      </c>
      <c r="K1790" t="s">
        <v>183</v>
      </c>
      <c r="L1790">
        <v>10</v>
      </c>
      <c r="M1790" t="s">
        <v>6064</v>
      </c>
      <c r="N1790" t="s">
        <v>64</v>
      </c>
      <c r="O1790" t="s">
        <v>46</v>
      </c>
      <c r="P1790" t="s">
        <v>46</v>
      </c>
      <c r="Y1790" t="s">
        <v>6068</v>
      </c>
    </row>
    <row r="1791" spans="1:25">
      <c r="A1791" t="s">
        <v>6069</v>
      </c>
      <c r="B1791" t="s">
        <v>6070</v>
      </c>
      <c r="D1791" t="s">
        <v>40</v>
      </c>
      <c r="E1791" t="s">
        <v>41</v>
      </c>
      <c r="J1791" t="s">
        <v>139</v>
      </c>
      <c r="K1791" t="s">
        <v>140</v>
      </c>
      <c r="L1791">
        <v>10</v>
      </c>
      <c r="M1791" t="s">
        <v>6064</v>
      </c>
      <c r="N1791" t="s">
        <v>45</v>
      </c>
      <c r="O1791" t="s">
        <v>46</v>
      </c>
      <c r="P1791" t="s">
        <v>46</v>
      </c>
      <c r="Y1791" t="s">
        <v>6071</v>
      </c>
    </row>
    <row r="1792" spans="1:25">
      <c r="A1792" t="s">
        <v>6072</v>
      </c>
      <c r="B1792" t="s">
        <v>6073</v>
      </c>
      <c r="D1792" t="s">
        <v>40</v>
      </c>
      <c r="E1792" t="s">
        <v>41</v>
      </c>
      <c r="J1792" t="s">
        <v>182</v>
      </c>
      <c r="K1792" t="s">
        <v>183</v>
      </c>
      <c r="L1792">
        <v>10</v>
      </c>
      <c r="M1792" t="s">
        <v>6064</v>
      </c>
      <c r="N1792" t="s">
        <v>64</v>
      </c>
      <c r="O1792" t="s">
        <v>46</v>
      </c>
      <c r="P1792" t="s">
        <v>46</v>
      </c>
      <c r="Y1792" t="s">
        <v>6074</v>
      </c>
    </row>
    <row r="1793" spans="1:25">
      <c r="A1793" t="s">
        <v>6075</v>
      </c>
      <c r="B1793" t="s">
        <v>6076</v>
      </c>
      <c r="D1793" t="s">
        <v>40</v>
      </c>
      <c r="E1793" t="s">
        <v>41</v>
      </c>
      <c r="J1793" t="s">
        <v>76</v>
      </c>
      <c r="K1793" t="s">
        <v>77</v>
      </c>
      <c r="L1793">
        <v>10</v>
      </c>
      <c r="M1793" t="s">
        <v>6064</v>
      </c>
      <c r="N1793" t="s">
        <v>64</v>
      </c>
      <c r="O1793" t="s">
        <v>46</v>
      </c>
      <c r="P1793" t="s">
        <v>46</v>
      </c>
      <c r="Y1793" t="s">
        <v>6077</v>
      </c>
    </row>
    <row r="1794" spans="1:25">
      <c r="A1794" t="s">
        <v>6078</v>
      </c>
      <c r="B1794" t="s">
        <v>6079</v>
      </c>
      <c r="D1794" t="s">
        <v>40</v>
      </c>
      <c r="E1794" t="s">
        <v>41</v>
      </c>
      <c r="J1794" t="s">
        <v>1214</v>
      </c>
      <c r="K1794" t="s">
        <v>1215</v>
      </c>
      <c r="L1794">
        <v>10</v>
      </c>
      <c r="M1794" t="s">
        <v>6080</v>
      </c>
      <c r="N1794" t="s">
        <v>1189</v>
      </c>
      <c r="O1794" t="s">
        <v>46</v>
      </c>
      <c r="P1794" t="s">
        <v>46</v>
      </c>
      <c r="Y1794" t="s">
        <v>6081</v>
      </c>
    </row>
    <row r="1795" spans="1:25">
      <c r="A1795" t="s">
        <v>6082</v>
      </c>
      <c r="B1795" t="s">
        <v>6083</v>
      </c>
      <c r="D1795" t="s">
        <v>40</v>
      </c>
      <c r="E1795" t="s">
        <v>41</v>
      </c>
      <c r="J1795" t="s">
        <v>76</v>
      </c>
      <c r="K1795" t="s">
        <v>77</v>
      </c>
      <c r="L1795">
        <v>10</v>
      </c>
      <c r="M1795" t="s">
        <v>6080</v>
      </c>
      <c r="N1795" t="s">
        <v>64</v>
      </c>
      <c r="O1795" t="s">
        <v>46</v>
      </c>
      <c r="P1795" t="s">
        <v>46</v>
      </c>
      <c r="Y1795" t="s">
        <v>6084</v>
      </c>
    </row>
    <row r="1796" spans="1:25">
      <c r="A1796" t="s">
        <v>6085</v>
      </c>
      <c r="B1796" t="s">
        <v>6086</v>
      </c>
      <c r="D1796" t="s">
        <v>40</v>
      </c>
      <c r="E1796" t="s">
        <v>41</v>
      </c>
      <c r="J1796" t="s">
        <v>182</v>
      </c>
      <c r="K1796" t="s">
        <v>183</v>
      </c>
      <c r="L1796">
        <v>10</v>
      </c>
      <c r="M1796" t="s">
        <v>6080</v>
      </c>
      <c r="N1796" t="s">
        <v>64</v>
      </c>
      <c r="O1796" t="s">
        <v>46</v>
      </c>
      <c r="P1796" t="s">
        <v>46</v>
      </c>
      <c r="Y1796" t="s">
        <v>6087</v>
      </c>
    </row>
    <row r="1797" spans="1:25">
      <c r="A1797" t="s">
        <v>6088</v>
      </c>
      <c r="B1797" t="s">
        <v>6089</v>
      </c>
      <c r="D1797" t="s">
        <v>40</v>
      </c>
      <c r="E1797" t="s">
        <v>41</v>
      </c>
      <c r="J1797" t="s">
        <v>76</v>
      </c>
      <c r="K1797" t="s">
        <v>77</v>
      </c>
      <c r="L1797">
        <v>10</v>
      </c>
      <c r="M1797" t="s">
        <v>6080</v>
      </c>
      <c r="N1797" t="s">
        <v>64</v>
      </c>
      <c r="O1797" t="s">
        <v>46</v>
      </c>
      <c r="P1797" t="s">
        <v>46</v>
      </c>
      <c r="Y1797" t="s">
        <v>6090</v>
      </c>
    </row>
    <row r="1798" spans="1:25">
      <c r="A1798" t="s">
        <v>6091</v>
      </c>
      <c r="B1798" t="s">
        <v>6092</v>
      </c>
      <c r="D1798" t="s">
        <v>40</v>
      </c>
      <c r="E1798" t="s">
        <v>41</v>
      </c>
      <c r="J1798" t="s">
        <v>76</v>
      </c>
      <c r="K1798" t="s">
        <v>77</v>
      </c>
      <c r="L1798">
        <v>10</v>
      </c>
      <c r="M1798" t="s">
        <v>6080</v>
      </c>
      <c r="N1798" t="s">
        <v>64</v>
      </c>
      <c r="O1798" t="s">
        <v>46</v>
      </c>
      <c r="P1798" t="s">
        <v>46</v>
      </c>
      <c r="Y1798" t="s">
        <v>6093</v>
      </c>
    </row>
    <row r="1799" spans="1:25">
      <c r="A1799" t="s">
        <v>6094</v>
      </c>
      <c r="B1799" t="s">
        <v>6095</v>
      </c>
      <c r="D1799" t="s">
        <v>40</v>
      </c>
      <c r="E1799" t="s">
        <v>41</v>
      </c>
      <c r="J1799" t="s">
        <v>76</v>
      </c>
      <c r="K1799" t="s">
        <v>77</v>
      </c>
      <c r="L1799">
        <v>10</v>
      </c>
      <c r="M1799" t="s">
        <v>6096</v>
      </c>
      <c r="N1799" t="s">
        <v>64</v>
      </c>
      <c r="O1799" t="s">
        <v>46</v>
      </c>
      <c r="P1799" t="s">
        <v>46</v>
      </c>
      <c r="Y1799" t="s">
        <v>6097</v>
      </c>
    </row>
    <row r="1800" spans="1:25">
      <c r="A1800" t="s">
        <v>6098</v>
      </c>
      <c r="B1800" t="s">
        <v>6099</v>
      </c>
      <c r="D1800" t="s">
        <v>40</v>
      </c>
      <c r="E1800" t="s">
        <v>41</v>
      </c>
      <c r="J1800" t="s">
        <v>182</v>
      </c>
      <c r="K1800" t="s">
        <v>183</v>
      </c>
      <c r="L1800">
        <v>10</v>
      </c>
      <c r="M1800" t="s">
        <v>6096</v>
      </c>
      <c r="N1800" t="s">
        <v>64</v>
      </c>
      <c r="O1800" t="s">
        <v>46</v>
      </c>
      <c r="P1800" t="s">
        <v>46</v>
      </c>
      <c r="Y1800" t="s">
        <v>6100</v>
      </c>
    </row>
    <row r="1801" spans="1:25">
      <c r="A1801" t="s">
        <v>6101</v>
      </c>
      <c r="B1801" t="s">
        <v>6102</v>
      </c>
      <c r="D1801" t="s">
        <v>40</v>
      </c>
      <c r="E1801" t="s">
        <v>41</v>
      </c>
      <c r="J1801" t="s">
        <v>139</v>
      </c>
      <c r="K1801" t="s">
        <v>140</v>
      </c>
      <c r="L1801">
        <v>10</v>
      </c>
      <c r="M1801" t="s">
        <v>6096</v>
      </c>
      <c r="N1801" t="s">
        <v>291</v>
      </c>
      <c r="O1801" t="s">
        <v>46</v>
      </c>
      <c r="P1801" t="s">
        <v>46</v>
      </c>
      <c r="Y1801" t="s">
        <v>6103</v>
      </c>
    </row>
    <row r="1802" spans="1:25">
      <c r="A1802" t="s">
        <v>6104</v>
      </c>
      <c r="B1802" t="s">
        <v>6105</v>
      </c>
      <c r="D1802" t="s">
        <v>40</v>
      </c>
      <c r="E1802" t="s">
        <v>41</v>
      </c>
      <c r="J1802" t="s">
        <v>182</v>
      </c>
      <c r="K1802" t="s">
        <v>183</v>
      </c>
      <c r="L1802">
        <v>10</v>
      </c>
      <c r="M1802" t="s">
        <v>6096</v>
      </c>
      <c r="N1802" t="s">
        <v>64</v>
      </c>
      <c r="O1802" t="s">
        <v>46</v>
      </c>
      <c r="P1802" t="s">
        <v>46</v>
      </c>
      <c r="Y1802" t="s">
        <v>6106</v>
      </c>
    </row>
    <row r="1803" spans="1:25">
      <c r="A1803" t="s">
        <v>6107</v>
      </c>
      <c r="B1803" t="s">
        <v>6108</v>
      </c>
      <c r="D1803" t="s">
        <v>40</v>
      </c>
      <c r="E1803" t="s">
        <v>41</v>
      </c>
      <c r="J1803" t="s">
        <v>182</v>
      </c>
      <c r="K1803" t="s">
        <v>183</v>
      </c>
      <c r="L1803">
        <v>10</v>
      </c>
      <c r="M1803" t="s">
        <v>6096</v>
      </c>
      <c r="N1803" t="s">
        <v>64</v>
      </c>
      <c r="O1803" t="s">
        <v>46</v>
      </c>
      <c r="P1803" t="s">
        <v>46</v>
      </c>
      <c r="Y1803" t="s">
        <v>6109</v>
      </c>
    </row>
    <row r="1804" spans="1:25">
      <c r="A1804" t="s">
        <v>6110</v>
      </c>
      <c r="B1804" t="s">
        <v>6111</v>
      </c>
      <c r="D1804" t="s">
        <v>40</v>
      </c>
      <c r="E1804" t="s">
        <v>41</v>
      </c>
      <c r="J1804" t="s">
        <v>182</v>
      </c>
      <c r="K1804" t="s">
        <v>183</v>
      </c>
      <c r="L1804">
        <v>10</v>
      </c>
      <c r="M1804" t="s">
        <v>6096</v>
      </c>
      <c r="N1804" t="s">
        <v>64</v>
      </c>
      <c r="O1804" t="s">
        <v>46</v>
      </c>
      <c r="P1804" t="s">
        <v>46</v>
      </c>
      <c r="Y1804" t="s">
        <v>6112</v>
      </c>
    </row>
    <row r="1805" spans="1:25">
      <c r="A1805" t="s">
        <v>6113</v>
      </c>
      <c r="B1805" t="s">
        <v>6114</v>
      </c>
      <c r="D1805" t="s">
        <v>40</v>
      </c>
      <c r="E1805" t="s">
        <v>41</v>
      </c>
      <c r="J1805" t="s">
        <v>182</v>
      </c>
      <c r="K1805" t="s">
        <v>183</v>
      </c>
      <c r="L1805">
        <v>10</v>
      </c>
      <c r="M1805" t="s">
        <v>6096</v>
      </c>
      <c r="N1805" t="s">
        <v>64</v>
      </c>
      <c r="O1805" t="s">
        <v>46</v>
      </c>
      <c r="P1805" t="s">
        <v>46</v>
      </c>
      <c r="Y1805" t="s">
        <v>6115</v>
      </c>
    </row>
    <row r="1806" spans="1:25">
      <c r="A1806" t="s">
        <v>6116</v>
      </c>
      <c r="B1806" t="s">
        <v>6117</v>
      </c>
      <c r="D1806" t="s">
        <v>40</v>
      </c>
      <c r="E1806" t="s">
        <v>41</v>
      </c>
      <c r="J1806" t="s">
        <v>76</v>
      </c>
      <c r="K1806" t="s">
        <v>77</v>
      </c>
      <c r="L1806">
        <v>10</v>
      </c>
      <c r="M1806" t="s">
        <v>6096</v>
      </c>
      <c r="N1806" t="s">
        <v>64</v>
      </c>
      <c r="O1806" t="s">
        <v>46</v>
      </c>
      <c r="P1806" t="s">
        <v>46</v>
      </c>
      <c r="Y1806" t="s">
        <v>6118</v>
      </c>
    </row>
    <row r="1807" spans="1:25">
      <c r="A1807" t="s">
        <v>6119</v>
      </c>
      <c r="B1807" t="s">
        <v>6120</v>
      </c>
      <c r="D1807" t="s">
        <v>40</v>
      </c>
      <c r="E1807" t="s">
        <v>41</v>
      </c>
      <c r="J1807" t="s">
        <v>182</v>
      </c>
      <c r="K1807" t="s">
        <v>183</v>
      </c>
      <c r="L1807">
        <v>10</v>
      </c>
      <c r="M1807" t="s">
        <v>6096</v>
      </c>
      <c r="N1807" t="s">
        <v>64</v>
      </c>
      <c r="O1807" t="s">
        <v>46</v>
      </c>
      <c r="P1807" t="s">
        <v>46</v>
      </c>
      <c r="Y1807" t="s">
        <v>6121</v>
      </c>
    </row>
    <row r="1808" spans="1:25">
      <c r="A1808" t="s">
        <v>6122</v>
      </c>
      <c r="B1808" t="s">
        <v>6123</v>
      </c>
      <c r="D1808" t="s">
        <v>40</v>
      </c>
      <c r="E1808" t="s">
        <v>41</v>
      </c>
      <c r="J1808" t="s">
        <v>182</v>
      </c>
      <c r="K1808" t="s">
        <v>183</v>
      </c>
      <c r="L1808">
        <v>10</v>
      </c>
      <c r="M1808" t="s">
        <v>6096</v>
      </c>
      <c r="N1808" t="s">
        <v>64</v>
      </c>
      <c r="O1808" t="s">
        <v>46</v>
      </c>
      <c r="P1808" t="s">
        <v>46</v>
      </c>
      <c r="Y1808" t="s">
        <v>6124</v>
      </c>
    </row>
    <row r="1809" spans="1:25">
      <c r="A1809" t="s">
        <v>6125</v>
      </c>
      <c r="B1809" t="s">
        <v>6126</v>
      </c>
      <c r="D1809" t="s">
        <v>40</v>
      </c>
      <c r="E1809" t="s">
        <v>41</v>
      </c>
      <c r="J1809" t="s">
        <v>1142</v>
      </c>
      <c r="K1809" t="s">
        <v>1143</v>
      </c>
      <c r="L1809">
        <v>10</v>
      </c>
      <c r="M1809" t="s">
        <v>6127</v>
      </c>
      <c r="N1809" t="s">
        <v>2621</v>
      </c>
      <c r="O1809" t="s">
        <v>46</v>
      </c>
      <c r="P1809" t="s">
        <v>46</v>
      </c>
      <c r="Y1809" t="s">
        <v>6128</v>
      </c>
    </row>
    <row r="1810" spans="1:25">
      <c r="A1810" t="s">
        <v>6129</v>
      </c>
      <c r="B1810" t="s">
        <v>6130</v>
      </c>
      <c r="D1810" t="s">
        <v>40</v>
      </c>
      <c r="E1810" t="s">
        <v>41</v>
      </c>
      <c r="J1810" t="s">
        <v>76</v>
      </c>
      <c r="K1810" t="s">
        <v>77</v>
      </c>
      <c r="L1810">
        <v>10</v>
      </c>
      <c r="M1810" t="s">
        <v>6127</v>
      </c>
      <c r="N1810" t="s">
        <v>64</v>
      </c>
      <c r="O1810" t="s">
        <v>46</v>
      </c>
      <c r="P1810" t="s">
        <v>46</v>
      </c>
      <c r="Y1810" t="s">
        <v>6131</v>
      </c>
    </row>
    <row r="1811" spans="1:25">
      <c r="A1811" t="s">
        <v>6132</v>
      </c>
      <c r="B1811" t="s">
        <v>6133</v>
      </c>
      <c r="D1811" t="s">
        <v>40</v>
      </c>
      <c r="E1811" t="s">
        <v>41</v>
      </c>
      <c r="J1811" t="s">
        <v>182</v>
      </c>
      <c r="K1811" t="s">
        <v>183</v>
      </c>
      <c r="L1811">
        <v>10</v>
      </c>
      <c r="M1811" t="s">
        <v>6127</v>
      </c>
      <c r="N1811" t="s">
        <v>64</v>
      </c>
      <c r="O1811" t="s">
        <v>46</v>
      </c>
      <c r="P1811" t="s">
        <v>46</v>
      </c>
      <c r="Y1811" t="s">
        <v>6134</v>
      </c>
    </row>
    <row r="1812" spans="1:25">
      <c r="A1812" t="s">
        <v>6135</v>
      </c>
      <c r="B1812" t="s">
        <v>6136</v>
      </c>
      <c r="D1812" t="s">
        <v>40</v>
      </c>
      <c r="E1812" t="s">
        <v>41</v>
      </c>
      <c r="J1812" t="s">
        <v>182</v>
      </c>
      <c r="K1812" t="s">
        <v>183</v>
      </c>
      <c r="L1812">
        <v>10</v>
      </c>
      <c r="M1812" t="s">
        <v>6127</v>
      </c>
      <c r="N1812" t="s">
        <v>64</v>
      </c>
      <c r="O1812" t="s">
        <v>46</v>
      </c>
      <c r="P1812" t="s">
        <v>46</v>
      </c>
      <c r="Y1812" t="s">
        <v>6137</v>
      </c>
    </row>
    <row r="1813" spans="1:25">
      <c r="A1813" t="s">
        <v>6138</v>
      </c>
      <c r="B1813" t="s">
        <v>6139</v>
      </c>
      <c r="D1813" t="s">
        <v>40</v>
      </c>
      <c r="E1813" t="s">
        <v>41</v>
      </c>
      <c r="J1813" t="s">
        <v>182</v>
      </c>
      <c r="K1813" t="s">
        <v>183</v>
      </c>
      <c r="L1813">
        <v>10</v>
      </c>
      <c r="M1813" t="s">
        <v>6127</v>
      </c>
      <c r="N1813" t="s">
        <v>64</v>
      </c>
      <c r="O1813" t="s">
        <v>46</v>
      </c>
      <c r="P1813" t="s">
        <v>46</v>
      </c>
      <c r="Y1813" t="s">
        <v>6140</v>
      </c>
    </row>
    <row r="1814" spans="1:25">
      <c r="A1814" t="s">
        <v>6141</v>
      </c>
      <c r="B1814" t="s">
        <v>6142</v>
      </c>
      <c r="D1814" t="s">
        <v>40</v>
      </c>
      <c r="E1814" t="s">
        <v>41</v>
      </c>
      <c r="J1814" t="s">
        <v>182</v>
      </c>
      <c r="K1814" t="s">
        <v>183</v>
      </c>
      <c r="L1814">
        <v>10</v>
      </c>
      <c r="M1814" t="s">
        <v>6143</v>
      </c>
      <c r="N1814" t="s">
        <v>64</v>
      </c>
      <c r="O1814" t="s">
        <v>46</v>
      </c>
      <c r="P1814" t="s">
        <v>46</v>
      </c>
      <c r="Y1814" t="s">
        <v>6144</v>
      </c>
    </row>
    <row r="1815" spans="1:25">
      <c r="A1815" t="s">
        <v>6145</v>
      </c>
      <c r="B1815" t="s">
        <v>6146</v>
      </c>
      <c r="D1815" t="s">
        <v>40</v>
      </c>
      <c r="E1815" t="s">
        <v>41</v>
      </c>
      <c r="J1815" t="s">
        <v>182</v>
      </c>
      <c r="K1815" t="s">
        <v>183</v>
      </c>
      <c r="L1815">
        <v>10</v>
      </c>
      <c r="M1815" t="s">
        <v>6143</v>
      </c>
      <c r="N1815" t="s">
        <v>64</v>
      </c>
      <c r="O1815" t="s">
        <v>46</v>
      </c>
      <c r="P1815" t="s">
        <v>46</v>
      </c>
      <c r="Y1815" t="s">
        <v>6147</v>
      </c>
    </row>
    <row r="1816" spans="1:25">
      <c r="A1816" t="s">
        <v>6148</v>
      </c>
      <c r="B1816" t="s">
        <v>6149</v>
      </c>
      <c r="D1816" t="s">
        <v>40</v>
      </c>
      <c r="E1816" t="s">
        <v>41</v>
      </c>
      <c r="J1816" t="s">
        <v>182</v>
      </c>
      <c r="K1816" t="s">
        <v>183</v>
      </c>
      <c r="L1816">
        <v>10</v>
      </c>
      <c r="M1816" t="s">
        <v>6143</v>
      </c>
      <c r="N1816" t="s">
        <v>64</v>
      </c>
      <c r="O1816" t="s">
        <v>46</v>
      </c>
      <c r="P1816" t="s">
        <v>46</v>
      </c>
      <c r="Y1816" t="s">
        <v>6150</v>
      </c>
    </row>
    <row r="1817" spans="1:25">
      <c r="A1817" t="s">
        <v>6151</v>
      </c>
      <c r="B1817" t="s">
        <v>6152</v>
      </c>
      <c r="D1817" t="s">
        <v>40</v>
      </c>
      <c r="E1817" t="s">
        <v>41</v>
      </c>
      <c r="J1817" t="s">
        <v>68</v>
      </c>
      <c r="K1817" t="s">
        <v>69</v>
      </c>
      <c r="L1817">
        <v>10</v>
      </c>
      <c r="M1817" t="s">
        <v>6143</v>
      </c>
      <c r="N1817" t="s">
        <v>64</v>
      </c>
      <c r="O1817" t="s">
        <v>46</v>
      </c>
      <c r="P1817" t="s">
        <v>46</v>
      </c>
      <c r="Y1817" t="s">
        <v>6153</v>
      </c>
    </row>
    <row r="1818" spans="1:25">
      <c r="A1818" t="s">
        <v>6154</v>
      </c>
      <c r="B1818" t="s">
        <v>6155</v>
      </c>
      <c r="D1818" t="s">
        <v>40</v>
      </c>
      <c r="E1818" t="s">
        <v>41</v>
      </c>
      <c r="J1818" t="s">
        <v>76</v>
      </c>
      <c r="K1818" t="s">
        <v>77</v>
      </c>
      <c r="L1818">
        <v>10</v>
      </c>
      <c r="M1818" t="s">
        <v>6156</v>
      </c>
      <c r="N1818" t="s">
        <v>64</v>
      </c>
      <c r="O1818" t="s">
        <v>46</v>
      </c>
      <c r="P1818" t="s">
        <v>46</v>
      </c>
      <c r="Y1818" t="s">
        <v>6157</v>
      </c>
    </row>
    <row r="1819" spans="1:25">
      <c r="A1819" t="s">
        <v>6158</v>
      </c>
      <c r="B1819" t="s">
        <v>6159</v>
      </c>
      <c r="D1819" t="s">
        <v>40</v>
      </c>
      <c r="E1819" t="s">
        <v>41</v>
      </c>
      <c r="J1819" t="s">
        <v>182</v>
      </c>
      <c r="K1819" t="s">
        <v>183</v>
      </c>
      <c r="L1819">
        <v>10</v>
      </c>
      <c r="M1819" t="s">
        <v>6160</v>
      </c>
      <c r="N1819" t="s">
        <v>64</v>
      </c>
      <c r="O1819" t="s">
        <v>46</v>
      </c>
      <c r="P1819" t="s">
        <v>46</v>
      </c>
      <c r="Y1819" t="s">
        <v>6161</v>
      </c>
    </row>
    <row r="1820" spans="1:25">
      <c r="A1820" t="s">
        <v>6162</v>
      </c>
      <c r="B1820" t="s">
        <v>6163</v>
      </c>
      <c r="D1820" t="s">
        <v>40</v>
      </c>
      <c r="E1820" t="s">
        <v>41</v>
      </c>
      <c r="J1820" t="s">
        <v>182</v>
      </c>
      <c r="K1820" t="s">
        <v>183</v>
      </c>
      <c r="L1820">
        <v>10</v>
      </c>
      <c r="M1820" t="s">
        <v>6164</v>
      </c>
      <c r="N1820" t="s">
        <v>64</v>
      </c>
      <c r="O1820" t="s">
        <v>46</v>
      </c>
      <c r="P1820" t="s">
        <v>46</v>
      </c>
      <c r="Y1820" t="s">
        <v>6165</v>
      </c>
    </row>
    <row r="1821" spans="1:25">
      <c r="A1821" t="s">
        <v>6166</v>
      </c>
      <c r="B1821" t="s">
        <v>6167</v>
      </c>
      <c r="D1821" t="s">
        <v>40</v>
      </c>
      <c r="E1821" t="s">
        <v>41</v>
      </c>
      <c r="J1821" t="s">
        <v>139</v>
      </c>
      <c r="K1821" t="s">
        <v>140</v>
      </c>
      <c r="L1821">
        <v>10</v>
      </c>
      <c r="M1821" t="s">
        <v>6168</v>
      </c>
      <c r="N1821" t="s">
        <v>373</v>
      </c>
      <c r="O1821" t="s">
        <v>46</v>
      </c>
      <c r="P1821" t="s">
        <v>46</v>
      </c>
      <c r="Y1821" t="s">
        <v>6169</v>
      </c>
    </row>
    <row r="1822" spans="1:25">
      <c r="A1822" t="s">
        <v>6170</v>
      </c>
      <c r="B1822" t="s">
        <v>6171</v>
      </c>
      <c r="D1822" t="s">
        <v>40</v>
      </c>
      <c r="E1822" t="s">
        <v>41</v>
      </c>
      <c r="J1822" t="s">
        <v>76</v>
      </c>
      <c r="K1822" t="s">
        <v>77</v>
      </c>
      <c r="L1822">
        <v>10</v>
      </c>
      <c r="M1822" t="s">
        <v>6172</v>
      </c>
      <c r="N1822" t="s">
        <v>64</v>
      </c>
      <c r="O1822" t="s">
        <v>46</v>
      </c>
      <c r="P1822" t="s">
        <v>46</v>
      </c>
      <c r="Y1822" t="s">
        <v>6173</v>
      </c>
    </row>
    <row r="1823" spans="1:25">
      <c r="A1823" t="s">
        <v>6174</v>
      </c>
      <c r="B1823" t="s">
        <v>6175</v>
      </c>
      <c r="D1823" t="s">
        <v>40</v>
      </c>
      <c r="E1823" t="s">
        <v>41</v>
      </c>
      <c r="J1823" t="s">
        <v>76</v>
      </c>
      <c r="K1823" t="s">
        <v>77</v>
      </c>
      <c r="L1823">
        <v>10</v>
      </c>
      <c r="M1823" t="s">
        <v>6172</v>
      </c>
      <c r="N1823" t="s">
        <v>64</v>
      </c>
      <c r="O1823" t="s">
        <v>46</v>
      </c>
      <c r="P1823" t="s">
        <v>46</v>
      </c>
      <c r="Y1823" t="s">
        <v>6176</v>
      </c>
    </row>
    <row r="1824" spans="1:25">
      <c r="A1824" t="s">
        <v>6177</v>
      </c>
      <c r="B1824" t="s">
        <v>6178</v>
      </c>
      <c r="D1824" t="s">
        <v>40</v>
      </c>
      <c r="E1824" t="s">
        <v>41</v>
      </c>
      <c r="J1824" t="s">
        <v>6179</v>
      </c>
      <c r="K1824" t="s">
        <v>6180</v>
      </c>
      <c r="L1824">
        <v>10</v>
      </c>
      <c r="M1824" t="s">
        <v>6172</v>
      </c>
      <c r="N1824" t="s">
        <v>2154</v>
      </c>
      <c r="O1824" t="s">
        <v>46</v>
      </c>
      <c r="P1824" t="s">
        <v>46</v>
      </c>
      <c r="Y1824" t="s">
        <v>6181</v>
      </c>
    </row>
    <row r="1825" spans="1:25">
      <c r="A1825" t="s">
        <v>6182</v>
      </c>
      <c r="B1825" t="s">
        <v>6183</v>
      </c>
      <c r="D1825" t="s">
        <v>40</v>
      </c>
      <c r="E1825" t="s">
        <v>41</v>
      </c>
      <c r="J1825" t="s">
        <v>182</v>
      </c>
      <c r="K1825" t="s">
        <v>183</v>
      </c>
      <c r="L1825">
        <v>10</v>
      </c>
      <c r="M1825" t="s">
        <v>6172</v>
      </c>
      <c r="N1825" t="s">
        <v>64</v>
      </c>
      <c r="O1825" t="s">
        <v>46</v>
      </c>
      <c r="P1825" t="s">
        <v>46</v>
      </c>
      <c r="Y1825" t="s">
        <v>6184</v>
      </c>
    </row>
    <row r="1826" spans="1:25">
      <c r="A1826" t="s">
        <v>6185</v>
      </c>
      <c r="B1826" t="s">
        <v>6186</v>
      </c>
      <c r="D1826" t="s">
        <v>40</v>
      </c>
      <c r="E1826" t="s">
        <v>41</v>
      </c>
      <c r="J1826" t="s">
        <v>42</v>
      </c>
      <c r="K1826" t="s">
        <v>43</v>
      </c>
      <c r="L1826">
        <v>10</v>
      </c>
      <c r="M1826" t="s">
        <v>6172</v>
      </c>
      <c r="N1826" t="s">
        <v>305</v>
      </c>
      <c r="O1826" t="s">
        <v>46</v>
      </c>
      <c r="P1826" t="s">
        <v>46</v>
      </c>
      <c r="Y1826" t="s">
        <v>6187</v>
      </c>
    </row>
    <row r="1827" spans="1:25">
      <c r="A1827" t="s">
        <v>6188</v>
      </c>
      <c r="B1827" t="s">
        <v>6189</v>
      </c>
      <c r="D1827" t="s">
        <v>40</v>
      </c>
      <c r="E1827" t="s">
        <v>41</v>
      </c>
      <c r="J1827" t="s">
        <v>76</v>
      </c>
      <c r="K1827" t="s">
        <v>77</v>
      </c>
      <c r="L1827">
        <v>10</v>
      </c>
      <c r="M1827" t="s">
        <v>6190</v>
      </c>
      <c r="N1827" t="s">
        <v>64</v>
      </c>
      <c r="O1827" t="s">
        <v>46</v>
      </c>
      <c r="P1827" t="s">
        <v>46</v>
      </c>
      <c r="Y1827" t="s">
        <v>6191</v>
      </c>
    </row>
    <row r="1828" spans="1:25">
      <c r="A1828" t="s">
        <v>6192</v>
      </c>
      <c r="B1828" t="s">
        <v>6193</v>
      </c>
      <c r="D1828" t="s">
        <v>40</v>
      </c>
      <c r="E1828" t="s">
        <v>41</v>
      </c>
      <c r="J1828" t="s">
        <v>42</v>
      </c>
      <c r="K1828" t="s">
        <v>43</v>
      </c>
      <c r="L1828">
        <v>10</v>
      </c>
      <c r="M1828" t="s">
        <v>6194</v>
      </c>
      <c r="N1828" t="s">
        <v>296</v>
      </c>
      <c r="O1828" t="s">
        <v>46</v>
      </c>
      <c r="P1828" t="s">
        <v>46</v>
      </c>
      <c r="Y1828" t="s">
        <v>6195</v>
      </c>
    </row>
    <row r="1829" spans="1:25">
      <c r="A1829" t="s">
        <v>6196</v>
      </c>
      <c r="B1829" t="s">
        <v>6197</v>
      </c>
      <c r="D1829" t="s">
        <v>40</v>
      </c>
      <c r="E1829" t="s">
        <v>41</v>
      </c>
      <c r="J1829" t="s">
        <v>248</v>
      </c>
      <c r="K1829" t="s">
        <v>249</v>
      </c>
      <c r="L1829">
        <v>10</v>
      </c>
      <c r="M1829" t="s">
        <v>6198</v>
      </c>
      <c r="N1829" t="s">
        <v>741</v>
      </c>
      <c r="O1829" t="s">
        <v>46</v>
      </c>
      <c r="P1829" t="s">
        <v>46</v>
      </c>
      <c r="Y1829" t="s">
        <v>6199</v>
      </c>
    </row>
    <row r="1830" spans="1:25">
      <c r="A1830" t="s">
        <v>6200</v>
      </c>
      <c r="B1830" t="s">
        <v>6201</v>
      </c>
      <c r="D1830" t="s">
        <v>40</v>
      </c>
      <c r="E1830" t="s">
        <v>41</v>
      </c>
      <c r="J1830" t="s">
        <v>68</v>
      </c>
      <c r="K1830" t="s">
        <v>69</v>
      </c>
      <c r="L1830">
        <v>10</v>
      </c>
      <c r="M1830" t="s">
        <v>6202</v>
      </c>
      <c r="N1830" t="s">
        <v>64</v>
      </c>
      <c r="O1830" t="s">
        <v>46</v>
      </c>
      <c r="P1830" t="s">
        <v>46</v>
      </c>
      <c r="Y1830" t="s">
        <v>6203</v>
      </c>
    </row>
    <row r="1831" spans="1:25">
      <c r="A1831" t="s">
        <v>6204</v>
      </c>
      <c r="B1831" t="s">
        <v>6205</v>
      </c>
      <c r="D1831" t="s">
        <v>40</v>
      </c>
      <c r="E1831" t="s">
        <v>41</v>
      </c>
      <c r="J1831" t="s">
        <v>182</v>
      </c>
      <c r="K1831" t="s">
        <v>183</v>
      </c>
      <c r="L1831">
        <v>10</v>
      </c>
      <c r="M1831" t="s">
        <v>6206</v>
      </c>
      <c r="N1831" t="s">
        <v>64</v>
      </c>
      <c r="O1831" t="s">
        <v>46</v>
      </c>
      <c r="P1831" t="s">
        <v>46</v>
      </c>
      <c r="Y1831" t="s">
        <v>6207</v>
      </c>
    </row>
    <row r="1832" spans="1:25">
      <c r="A1832" t="s">
        <v>6208</v>
      </c>
      <c r="B1832" t="s">
        <v>6209</v>
      </c>
      <c r="D1832" t="s">
        <v>40</v>
      </c>
      <c r="E1832" t="s">
        <v>41</v>
      </c>
      <c r="J1832" t="s">
        <v>42</v>
      </c>
      <c r="K1832" t="s">
        <v>43</v>
      </c>
      <c r="L1832">
        <v>10</v>
      </c>
      <c r="M1832" t="s">
        <v>6210</v>
      </c>
      <c r="N1832" t="s">
        <v>2621</v>
      </c>
      <c r="O1832" t="s">
        <v>46</v>
      </c>
      <c r="P1832" t="s">
        <v>46</v>
      </c>
      <c r="Y1832" t="s">
        <v>6211</v>
      </c>
    </row>
    <row r="1833" spans="1:25">
      <c r="A1833" t="s">
        <v>6212</v>
      </c>
      <c r="B1833" t="s">
        <v>6213</v>
      </c>
      <c r="D1833" t="s">
        <v>40</v>
      </c>
      <c r="E1833" t="s">
        <v>41</v>
      </c>
      <c r="J1833" t="s">
        <v>76</v>
      </c>
      <c r="K1833" t="s">
        <v>77</v>
      </c>
      <c r="L1833">
        <v>10</v>
      </c>
      <c r="M1833" t="s">
        <v>6214</v>
      </c>
      <c r="N1833" t="s">
        <v>64</v>
      </c>
      <c r="O1833" t="s">
        <v>46</v>
      </c>
      <c r="P1833" t="s">
        <v>46</v>
      </c>
      <c r="Y1833" t="s">
        <v>6215</v>
      </c>
    </row>
    <row r="1834" spans="1:25">
      <c r="A1834" t="s">
        <v>6216</v>
      </c>
      <c r="B1834" t="s">
        <v>6217</v>
      </c>
      <c r="D1834" t="s">
        <v>40</v>
      </c>
      <c r="E1834" t="s">
        <v>41</v>
      </c>
      <c r="J1834" t="s">
        <v>68</v>
      </c>
      <c r="K1834" t="s">
        <v>69</v>
      </c>
      <c r="L1834">
        <v>10</v>
      </c>
      <c r="M1834" t="s">
        <v>6218</v>
      </c>
      <c r="N1834" t="s">
        <v>64</v>
      </c>
      <c r="O1834" t="s">
        <v>46</v>
      </c>
      <c r="P1834" t="s">
        <v>46</v>
      </c>
      <c r="Y1834" t="s">
        <v>6219</v>
      </c>
    </row>
    <row r="1835" spans="1:25">
      <c r="A1835" t="s">
        <v>6220</v>
      </c>
      <c r="B1835" t="s">
        <v>6221</v>
      </c>
      <c r="D1835" t="s">
        <v>40</v>
      </c>
      <c r="E1835" t="s">
        <v>41</v>
      </c>
      <c r="J1835" t="s">
        <v>50</v>
      </c>
      <c r="K1835" t="s">
        <v>51</v>
      </c>
      <c r="L1835">
        <v>10</v>
      </c>
      <c r="M1835" t="s">
        <v>6218</v>
      </c>
      <c r="N1835" t="s">
        <v>1258</v>
      </c>
      <c r="O1835" t="s">
        <v>46</v>
      </c>
      <c r="P1835" t="s">
        <v>46</v>
      </c>
      <c r="Y1835" t="s">
        <v>6222</v>
      </c>
    </row>
    <row r="1836" spans="1:25">
      <c r="A1836" t="s">
        <v>6223</v>
      </c>
      <c r="B1836" t="s">
        <v>6224</v>
      </c>
      <c r="D1836" t="s">
        <v>40</v>
      </c>
      <c r="E1836" t="s">
        <v>41</v>
      </c>
      <c r="J1836" t="s">
        <v>68</v>
      </c>
      <c r="K1836" t="s">
        <v>69</v>
      </c>
      <c r="L1836">
        <v>10</v>
      </c>
      <c r="M1836" t="s">
        <v>6218</v>
      </c>
      <c r="N1836" t="s">
        <v>64</v>
      </c>
      <c r="O1836" t="s">
        <v>46</v>
      </c>
      <c r="P1836" t="s">
        <v>46</v>
      </c>
      <c r="Y1836" t="s">
        <v>6225</v>
      </c>
    </row>
    <row r="1837" spans="1:25">
      <c r="A1837" t="s">
        <v>6226</v>
      </c>
      <c r="B1837" t="s">
        <v>6227</v>
      </c>
      <c r="D1837" t="s">
        <v>40</v>
      </c>
      <c r="E1837" t="s">
        <v>41</v>
      </c>
      <c r="J1837" t="s">
        <v>68</v>
      </c>
      <c r="K1837" t="s">
        <v>69</v>
      </c>
      <c r="L1837">
        <v>10</v>
      </c>
      <c r="M1837" t="s">
        <v>6218</v>
      </c>
      <c r="N1837" t="s">
        <v>64</v>
      </c>
      <c r="O1837" t="s">
        <v>46</v>
      </c>
      <c r="P1837" t="s">
        <v>46</v>
      </c>
      <c r="Y1837" t="s">
        <v>6228</v>
      </c>
    </row>
    <row r="1838" spans="1:25">
      <c r="A1838" t="s">
        <v>6229</v>
      </c>
      <c r="B1838" t="s">
        <v>6230</v>
      </c>
      <c r="D1838" t="s">
        <v>40</v>
      </c>
      <c r="E1838" t="s">
        <v>41</v>
      </c>
      <c r="J1838" t="s">
        <v>182</v>
      </c>
      <c r="K1838" t="s">
        <v>183</v>
      </c>
      <c r="L1838">
        <v>10</v>
      </c>
      <c r="M1838" t="s">
        <v>6218</v>
      </c>
      <c r="N1838" t="s">
        <v>64</v>
      </c>
      <c r="O1838" t="s">
        <v>46</v>
      </c>
      <c r="P1838" t="s">
        <v>46</v>
      </c>
      <c r="Y1838" t="s">
        <v>6231</v>
      </c>
    </row>
    <row r="1839" spans="1:25">
      <c r="A1839" t="s">
        <v>6232</v>
      </c>
      <c r="B1839" t="s">
        <v>6233</v>
      </c>
      <c r="D1839" t="s">
        <v>40</v>
      </c>
      <c r="E1839" t="s">
        <v>41</v>
      </c>
      <c r="J1839" t="s">
        <v>182</v>
      </c>
      <c r="K1839" t="s">
        <v>183</v>
      </c>
      <c r="L1839">
        <v>10</v>
      </c>
      <c r="M1839" t="s">
        <v>6234</v>
      </c>
      <c r="N1839" t="s">
        <v>64</v>
      </c>
      <c r="O1839" t="s">
        <v>46</v>
      </c>
      <c r="P1839" t="s">
        <v>46</v>
      </c>
      <c r="Y1839" t="s">
        <v>6235</v>
      </c>
    </row>
    <row r="1840" spans="1:25">
      <c r="A1840" t="s">
        <v>6236</v>
      </c>
      <c r="B1840" t="s">
        <v>6237</v>
      </c>
      <c r="D1840" t="s">
        <v>40</v>
      </c>
      <c r="E1840" t="s">
        <v>41</v>
      </c>
      <c r="J1840" t="s">
        <v>68</v>
      </c>
      <c r="K1840" t="s">
        <v>69</v>
      </c>
      <c r="L1840">
        <v>10</v>
      </c>
      <c r="M1840" t="s">
        <v>6238</v>
      </c>
      <c r="N1840" t="s">
        <v>64</v>
      </c>
      <c r="O1840" t="s">
        <v>46</v>
      </c>
      <c r="P1840" t="s">
        <v>46</v>
      </c>
      <c r="Y1840" t="s">
        <v>6239</v>
      </c>
    </row>
    <row r="1841" spans="1:25">
      <c r="A1841" t="s">
        <v>6240</v>
      </c>
      <c r="B1841" t="s">
        <v>6241</v>
      </c>
      <c r="D1841" t="s">
        <v>40</v>
      </c>
      <c r="E1841" t="s">
        <v>41</v>
      </c>
      <c r="J1841" t="s">
        <v>182</v>
      </c>
      <c r="K1841" t="s">
        <v>183</v>
      </c>
      <c r="L1841">
        <v>10</v>
      </c>
      <c r="M1841" t="s">
        <v>6238</v>
      </c>
      <c r="N1841" t="s">
        <v>64</v>
      </c>
      <c r="O1841" t="s">
        <v>46</v>
      </c>
      <c r="P1841" t="s">
        <v>46</v>
      </c>
      <c r="Y1841" t="s">
        <v>6242</v>
      </c>
    </row>
    <row r="1842" spans="1:25">
      <c r="A1842" t="s">
        <v>6243</v>
      </c>
      <c r="B1842" t="s">
        <v>6244</v>
      </c>
      <c r="D1842" t="s">
        <v>40</v>
      </c>
      <c r="E1842" t="s">
        <v>41</v>
      </c>
      <c r="J1842" t="s">
        <v>76</v>
      </c>
      <c r="K1842" t="s">
        <v>77</v>
      </c>
      <c r="L1842">
        <v>10</v>
      </c>
      <c r="M1842" t="s">
        <v>6238</v>
      </c>
      <c r="N1842" t="s">
        <v>64</v>
      </c>
      <c r="O1842" t="s">
        <v>46</v>
      </c>
      <c r="P1842" t="s">
        <v>46</v>
      </c>
      <c r="Y1842" t="s">
        <v>6245</v>
      </c>
    </row>
    <row r="1843" spans="1:25">
      <c r="A1843" t="s">
        <v>6246</v>
      </c>
      <c r="B1843" t="s">
        <v>6247</v>
      </c>
      <c r="D1843" t="s">
        <v>40</v>
      </c>
      <c r="E1843" t="s">
        <v>41</v>
      </c>
      <c r="J1843" t="s">
        <v>76</v>
      </c>
      <c r="K1843" t="s">
        <v>77</v>
      </c>
      <c r="L1843">
        <v>10</v>
      </c>
      <c r="M1843" t="s">
        <v>6238</v>
      </c>
      <c r="N1843" t="s">
        <v>64</v>
      </c>
      <c r="O1843" t="s">
        <v>46</v>
      </c>
      <c r="P1843" t="s">
        <v>46</v>
      </c>
      <c r="Y1843" t="s">
        <v>6248</v>
      </c>
    </row>
    <row r="1844" spans="1:25">
      <c r="A1844" t="s">
        <v>6249</v>
      </c>
      <c r="B1844" t="s">
        <v>6250</v>
      </c>
      <c r="D1844" t="s">
        <v>40</v>
      </c>
      <c r="E1844" t="s">
        <v>41</v>
      </c>
      <c r="J1844" t="s">
        <v>182</v>
      </c>
      <c r="K1844" t="s">
        <v>183</v>
      </c>
      <c r="L1844">
        <v>10</v>
      </c>
      <c r="M1844" t="s">
        <v>6251</v>
      </c>
      <c r="N1844" t="s">
        <v>64</v>
      </c>
      <c r="O1844" t="s">
        <v>46</v>
      </c>
      <c r="P1844" t="s">
        <v>46</v>
      </c>
      <c r="Y1844" t="s">
        <v>6252</v>
      </c>
    </row>
    <row r="1845" spans="1:25">
      <c r="A1845" t="s">
        <v>6253</v>
      </c>
      <c r="B1845" t="s">
        <v>6254</v>
      </c>
      <c r="D1845" t="s">
        <v>40</v>
      </c>
      <c r="E1845" t="s">
        <v>41</v>
      </c>
      <c r="J1845" t="s">
        <v>6255</v>
      </c>
      <c r="K1845" t="s">
        <v>6256</v>
      </c>
      <c r="L1845">
        <v>10</v>
      </c>
      <c r="M1845" t="s">
        <v>6251</v>
      </c>
      <c r="N1845" t="s">
        <v>1276</v>
      </c>
      <c r="O1845" t="s">
        <v>46</v>
      </c>
      <c r="P1845" t="s">
        <v>46</v>
      </c>
      <c r="Y1845" t="s">
        <v>6257</v>
      </c>
    </row>
    <row r="1846" spans="1:25">
      <c r="A1846" t="s">
        <v>6258</v>
      </c>
      <c r="B1846" t="s">
        <v>6259</v>
      </c>
      <c r="D1846" t="s">
        <v>40</v>
      </c>
      <c r="E1846" t="s">
        <v>41</v>
      </c>
      <c r="J1846" t="s">
        <v>182</v>
      </c>
      <c r="K1846" t="s">
        <v>183</v>
      </c>
      <c r="L1846">
        <v>10</v>
      </c>
      <c r="M1846" t="s">
        <v>6251</v>
      </c>
      <c r="N1846" t="s">
        <v>64</v>
      </c>
      <c r="O1846" t="s">
        <v>46</v>
      </c>
      <c r="P1846" t="s">
        <v>46</v>
      </c>
      <c r="Y1846" t="s">
        <v>6260</v>
      </c>
    </row>
    <row r="1847" spans="1:25">
      <c r="A1847" t="s">
        <v>6261</v>
      </c>
      <c r="B1847" t="s">
        <v>6262</v>
      </c>
      <c r="D1847" t="s">
        <v>40</v>
      </c>
      <c r="E1847" t="s">
        <v>41</v>
      </c>
      <c r="J1847" t="s">
        <v>182</v>
      </c>
      <c r="K1847" t="s">
        <v>183</v>
      </c>
      <c r="L1847">
        <v>10</v>
      </c>
      <c r="M1847" t="s">
        <v>6251</v>
      </c>
      <c r="N1847" t="s">
        <v>64</v>
      </c>
      <c r="O1847" t="s">
        <v>46</v>
      </c>
      <c r="P1847" t="s">
        <v>46</v>
      </c>
      <c r="Y1847" t="s">
        <v>6263</v>
      </c>
    </row>
    <row r="1848" spans="1:25">
      <c r="A1848" t="s">
        <v>6264</v>
      </c>
      <c r="B1848" t="s">
        <v>6265</v>
      </c>
      <c r="D1848" t="s">
        <v>40</v>
      </c>
      <c r="E1848" t="s">
        <v>41</v>
      </c>
      <c r="J1848" t="s">
        <v>182</v>
      </c>
      <c r="K1848" t="s">
        <v>183</v>
      </c>
      <c r="L1848">
        <v>10</v>
      </c>
      <c r="M1848" t="s">
        <v>6251</v>
      </c>
      <c r="N1848" t="s">
        <v>64</v>
      </c>
      <c r="O1848" t="s">
        <v>46</v>
      </c>
      <c r="P1848" t="s">
        <v>46</v>
      </c>
      <c r="Y1848" t="s">
        <v>6266</v>
      </c>
    </row>
    <row r="1849" spans="1:25">
      <c r="A1849" t="s">
        <v>6267</v>
      </c>
      <c r="B1849" t="s">
        <v>6268</v>
      </c>
      <c r="D1849" t="s">
        <v>40</v>
      </c>
      <c r="E1849" t="s">
        <v>41</v>
      </c>
      <c r="J1849" t="s">
        <v>182</v>
      </c>
      <c r="K1849" t="s">
        <v>183</v>
      </c>
      <c r="L1849">
        <v>10</v>
      </c>
      <c r="M1849" t="s">
        <v>6269</v>
      </c>
      <c r="N1849" t="s">
        <v>64</v>
      </c>
      <c r="O1849" t="s">
        <v>46</v>
      </c>
      <c r="P1849" t="s">
        <v>46</v>
      </c>
      <c r="Y1849" t="s">
        <v>6270</v>
      </c>
    </row>
    <row r="1850" spans="1:25">
      <c r="A1850" t="s">
        <v>6271</v>
      </c>
      <c r="B1850" t="s">
        <v>6272</v>
      </c>
      <c r="D1850" t="s">
        <v>40</v>
      </c>
      <c r="E1850" t="s">
        <v>41</v>
      </c>
      <c r="J1850" t="s">
        <v>182</v>
      </c>
      <c r="K1850" t="s">
        <v>183</v>
      </c>
      <c r="L1850">
        <v>10</v>
      </c>
      <c r="M1850" t="s">
        <v>6269</v>
      </c>
      <c r="N1850" t="s">
        <v>64</v>
      </c>
      <c r="O1850" t="s">
        <v>46</v>
      </c>
      <c r="P1850" t="s">
        <v>46</v>
      </c>
      <c r="Y1850" t="s">
        <v>6273</v>
      </c>
    </row>
    <row r="1851" spans="1:25">
      <c r="A1851" t="s">
        <v>6274</v>
      </c>
      <c r="B1851" t="s">
        <v>6275</v>
      </c>
      <c r="D1851" t="s">
        <v>40</v>
      </c>
      <c r="E1851" t="s">
        <v>41</v>
      </c>
      <c r="J1851" t="s">
        <v>68</v>
      </c>
      <c r="K1851" t="s">
        <v>69</v>
      </c>
      <c r="L1851">
        <v>10</v>
      </c>
      <c r="M1851" t="s">
        <v>6269</v>
      </c>
      <c r="N1851" t="s">
        <v>64</v>
      </c>
      <c r="O1851" t="s">
        <v>46</v>
      </c>
      <c r="P1851" t="s">
        <v>46</v>
      </c>
      <c r="Y1851" t="s">
        <v>6276</v>
      </c>
    </row>
    <row r="1852" spans="1:25">
      <c r="A1852" t="s">
        <v>6277</v>
      </c>
      <c r="B1852" t="s">
        <v>6278</v>
      </c>
      <c r="D1852" t="s">
        <v>40</v>
      </c>
      <c r="E1852" t="s">
        <v>41</v>
      </c>
      <c r="J1852" t="s">
        <v>182</v>
      </c>
      <c r="K1852" t="s">
        <v>183</v>
      </c>
      <c r="L1852">
        <v>10</v>
      </c>
      <c r="M1852" t="s">
        <v>6269</v>
      </c>
      <c r="N1852" t="s">
        <v>64</v>
      </c>
      <c r="O1852" t="s">
        <v>46</v>
      </c>
      <c r="P1852" t="s">
        <v>46</v>
      </c>
      <c r="Y1852" t="s">
        <v>6279</v>
      </c>
    </row>
    <row r="1853" spans="1:25">
      <c r="A1853" t="s">
        <v>6280</v>
      </c>
      <c r="B1853" t="s">
        <v>6281</v>
      </c>
      <c r="D1853" t="s">
        <v>40</v>
      </c>
      <c r="E1853" t="s">
        <v>41</v>
      </c>
      <c r="J1853" t="s">
        <v>68</v>
      </c>
      <c r="K1853" t="s">
        <v>69</v>
      </c>
      <c r="L1853">
        <v>10</v>
      </c>
      <c r="M1853" t="s">
        <v>6269</v>
      </c>
      <c r="N1853" t="s">
        <v>64</v>
      </c>
      <c r="O1853" t="s">
        <v>46</v>
      </c>
      <c r="P1853" t="s">
        <v>46</v>
      </c>
      <c r="Y1853" t="s">
        <v>6282</v>
      </c>
    </row>
    <row r="1854" spans="1:25">
      <c r="A1854" t="s">
        <v>6283</v>
      </c>
      <c r="B1854" t="s">
        <v>6284</v>
      </c>
      <c r="D1854" t="s">
        <v>40</v>
      </c>
      <c r="E1854" t="s">
        <v>41</v>
      </c>
      <c r="J1854" t="s">
        <v>182</v>
      </c>
      <c r="K1854" t="s">
        <v>183</v>
      </c>
      <c r="L1854">
        <v>10</v>
      </c>
      <c r="M1854" t="s">
        <v>6269</v>
      </c>
      <c r="N1854" t="s">
        <v>64</v>
      </c>
      <c r="O1854" t="s">
        <v>46</v>
      </c>
      <c r="P1854" t="s">
        <v>46</v>
      </c>
      <c r="Y1854" t="s">
        <v>6285</v>
      </c>
    </row>
    <row r="1855" spans="1:25">
      <c r="A1855" t="s">
        <v>6286</v>
      </c>
      <c r="B1855" t="s">
        <v>6287</v>
      </c>
      <c r="D1855" t="s">
        <v>40</v>
      </c>
      <c r="E1855" t="s">
        <v>41</v>
      </c>
      <c r="J1855" t="s">
        <v>182</v>
      </c>
      <c r="K1855" t="s">
        <v>183</v>
      </c>
      <c r="L1855">
        <v>10</v>
      </c>
      <c r="M1855" t="s">
        <v>6269</v>
      </c>
      <c r="N1855" t="s">
        <v>64</v>
      </c>
      <c r="O1855" t="s">
        <v>46</v>
      </c>
      <c r="P1855" t="s">
        <v>46</v>
      </c>
      <c r="Y1855" t="s">
        <v>6288</v>
      </c>
    </row>
    <row r="1856" spans="1:25">
      <c r="A1856" t="s">
        <v>6289</v>
      </c>
      <c r="B1856" t="s">
        <v>6290</v>
      </c>
      <c r="D1856" t="s">
        <v>40</v>
      </c>
      <c r="E1856" t="s">
        <v>41</v>
      </c>
      <c r="J1856" t="s">
        <v>182</v>
      </c>
      <c r="K1856" t="s">
        <v>183</v>
      </c>
      <c r="L1856">
        <v>10</v>
      </c>
      <c r="M1856" t="s">
        <v>6269</v>
      </c>
      <c r="N1856" t="s">
        <v>64</v>
      </c>
      <c r="O1856" t="s">
        <v>46</v>
      </c>
      <c r="P1856" t="s">
        <v>46</v>
      </c>
      <c r="Y1856" t="s">
        <v>6291</v>
      </c>
    </row>
    <row r="1857" spans="1:25">
      <c r="A1857" t="s">
        <v>6292</v>
      </c>
      <c r="B1857" t="s">
        <v>6293</v>
      </c>
      <c r="D1857" t="s">
        <v>40</v>
      </c>
      <c r="E1857" t="s">
        <v>41</v>
      </c>
      <c r="J1857" t="s">
        <v>42</v>
      </c>
      <c r="K1857" t="s">
        <v>43</v>
      </c>
      <c r="L1857">
        <v>10</v>
      </c>
      <c r="M1857" t="s">
        <v>6269</v>
      </c>
      <c r="N1857" t="s">
        <v>53</v>
      </c>
      <c r="O1857" t="s">
        <v>46</v>
      </c>
      <c r="P1857" t="s">
        <v>46</v>
      </c>
      <c r="Y1857" t="s">
        <v>6294</v>
      </c>
    </row>
    <row r="1858" spans="1:25">
      <c r="A1858" t="s">
        <v>6295</v>
      </c>
      <c r="B1858" t="s">
        <v>6296</v>
      </c>
      <c r="D1858" t="s">
        <v>40</v>
      </c>
      <c r="E1858" t="s">
        <v>41</v>
      </c>
      <c r="J1858" t="s">
        <v>68</v>
      </c>
      <c r="K1858" t="s">
        <v>69</v>
      </c>
      <c r="L1858">
        <v>10</v>
      </c>
      <c r="M1858" t="s">
        <v>6269</v>
      </c>
      <c r="N1858" t="s">
        <v>64</v>
      </c>
      <c r="O1858" t="s">
        <v>46</v>
      </c>
      <c r="P1858" t="s">
        <v>46</v>
      </c>
      <c r="Y1858" t="s">
        <v>6297</v>
      </c>
    </row>
    <row r="1859" spans="1:25">
      <c r="A1859" t="s">
        <v>6298</v>
      </c>
      <c r="B1859" t="s">
        <v>6299</v>
      </c>
      <c r="D1859" t="s">
        <v>40</v>
      </c>
      <c r="E1859" t="s">
        <v>41</v>
      </c>
      <c r="J1859" t="s">
        <v>182</v>
      </c>
      <c r="K1859" t="s">
        <v>183</v>
      </c>
      <c r="L1859">
        <v>10</v>
      </c>
      <c r="M1859" t="s">
        <v>6300</v>
      </c>
      <c r="N1859" t="s">
        <v>64</v>
      </c>
      <c r="O1859" t="s">
        <v>46</v>
      </c>
      <c r="P1859" t="s">
        <v>46</v>
      </c>
      <c r="Y1859" t="s">
        <v>6301</v>
      </c>
    </row>
    <row r="1860" spans="1:25">
      <c r="A1860" t="s">
        <v>6302</v>
      </c>
      <c r="B1860" t="s">
        <v>6303</v>
      </c>
      <c r="D1860" t="s">
        <v>40</v>
      </c>
      <c r="E1860" t="s">
        <v>41</v>
      </c>
      <c r="J1860" t="s">
        <v>182</v>
      </c>
      <c r="K1860" t="s">
        <v>183</v>
      </c>
      <c r="L1860">
        <v>10</v>
      </c>
      <c r="M1860" t="s">
        <v>6300</v>
      </c>
      <c r="N1860" t="s">
        <v>64</v>
      </c>
      <c r="O1860" t="s">
        <v>46</v>
      </c>
      <c r="P1860" t="s">
        <v>46</v>
      </c>
      <c r="Y1860" t="s">
        <v>6304</v>
      </c>
    </row>
    <row r="1861" spans="1:25">
      <c r="A1861" t="s">
        <v>6305</v>
      </c>
      <c r="B1861" t="s">
        <v>6306</v>
      </c>
      <c r="D1861" t="s">
        <v>40</v>
      </c>
      <c r="E1861" t="s">
        <v>41</v>
      </c>
      <c r="J1861" t="s">
        <v>182</v>
      </c>
      <c r="K1861" t="s">
        <v>183</v>
      </c>
      <c r="L1861">
        <v>10</v>
      </c>
      <c r="M1861" t="s">
        <v>6300</v>
      </c>
      <c r="N1861" t="s">
        <v>64</v>
      </c>
      <c r="O1861" t="s">
        <v>46</v>
      </c>
      <c r="P1861" t="s">
        <v>46</v>
      </c>
      <c r="Y1861" t="s">
        <v>6307</v>
      </c>
    </row>
    <row r="1862" spans="1:25">
      <c r="A1862" t="s">
        <v>6308</v>
      </c>
      <c r="B1862" t="s">
        <v>6309</v>
      </c>
      <c r="D1862" t="s">
        <v>40</v>
      </c>
      <c r="E1862" t="s">
        <v>41</v>
      </c>
      <c r="J1862" t="s">
        <v>42</v>
      </c>
      <c r="K1862" t="s">
        <v>43</v>
      </c>
      <c r="L1862">
        <v>10</v>
      </c>
      <c r="M1862" t="s">
        <v>6300</v>
      </c>
      <c r="N1862" t="s">
        <v>1814</v>
      </c>
      <c r="O1862" t="s">
        <v>46</v>
      </c>
      <c r="P1862" t="s">
        <v>46</v>
      </c>
      <c r="Y1862" t="s">
        <v>6310</v>
      </c>
    </row>
    <row r="1863" spans="1:25">
      <c r="A1863" t="s">
        <v>6311</v>
      </c>
      <c r="B1863" t="s">
        <v>6312</v>
      </c>
      <c r="D1863" t="s">
        <v>40</v>
      </c>
      <c r="E1863" t="s">
        <v>41</v>
      </c>
      <c r="J1863" t="s">
        <v>182</v>
      </c>
      <c r="K1863" t="s">
        <v>183</v>
      </c>
      <c r="L1863">
        <v>10</v>
      </c>
      <c r="M1863" t="s">
        <v>6300</v>
      </c>
      <c r="N1863" t="s">
        <v>64</v>
      </c>
      <c r="O1863" t="s">
        <v>46</v>
      </c>
      <c r="P1863" t="s">
        <v>46</v>
      </c>
      <c r="Y1863" t="s">
        <v>6313</v>
      </c>
    </row>
    <row r="1864" spans="1:25">
      <c r="A1864" t="s">
        <v>6314</v>
      </c>
      <c r="B1864" t="s">
        <v>6315</v>
      </c>
      <c r="D1864" t="s">
        <v>40</v>
      </c>
      <c r="E1864" t="s">
        <v>41</v>
      </c>
      <c r="J1864" t="s">
        <v>182</v>
      </c>
      <c r="K1864" t="s">
        <v>183</v>
      </c>
      <c r="L1864">
        <v>10</v>
      </c>
      <c r="M1864" t="s">
        <v>6300</v>
      </c>
      <c r="N1864" t="s">
        <v>64</v>
      </c>
      <c r="O1864" t="s">
        <v>46</v>
      </c>
      <c r="P1864" t="s">
        <v>46</v>
      </c>
      <c r="Y1864" t="s">
        <v>6316</v>
      </c>
    </row>
    <row r="1865" spans="1:25">
      <c r="A1865" t="s">
        <v>6317</v>
      </c>
      <c r="B1865" t="s">
        <v>6318</v>
      </c>
      <c r="D1865" t="s">
        <v>40</v>
      </c>
      <c r="E1865" t="s">
        <v>41</v>
      </c>
      <c r="J1865" t="s">
        <v>182</v>
      </c>
      <c r="K1865" t="s">
        <v>183</v>
      </c>
      <c r="L1865">
        <v>10</v>
      </c>
      <c r="M1865" t="s">
        <v>6319</v>
      </c>
      <c r="N1865" t="s">
        <v>64</v>
      </c>
      <c r="O1865" t="s">
        <v>46</v>
      </c>
      <c r="P1865" t="s">
        <v>46</v>
      </c>
      <c r="Y1865" t="s">
        <v>6320</v>
      </c>
    </row>
    <row r="1866" spans="1:25">
      <c r="A1866" t="s">
        <v>6321</v>
      </c>
      <c r="B1866" t="s">
        <v>6322</v>
      </c>
      <c r="D1866" t="s">
        <v>40</v>
      </c>
      <c r="E1866" t="s">
        <v>41</v>
      </c>
      <c r="J1866" t="s">
        <v>182</v>
      </c>
      <c r="K1866" t="s">
        <v>183</v>
      </c>
      <c r="L1866">
        <v>10</v>
      </c>
      <c r="M1866" t="s">
        <v>6319</v>
      </c>
      <c r="N1866" t="s">
        <v>64</v>
      </c>
      <c r="O1866" t="s">
        <v>46</v>
      </c>
      <c r="P1866" t="s">
        <v>46</v>
      </c>
      <c r="Y1866" t="s">
        <v>6323</v>
      </c>
    </row>
    <row r="1867" spans="1:25">
      <c r="A1867" t="s">
        <v>6324</v>
      </c>
      <c r="B1867" t="s">
        <v>6325</v>
      </c>
      <c r="D1867" t="s">
        <v>40</v>
      </c>
      <c r="E1867" t="s">
        <v>41</v>
      </c>
      <c r="J1867" t="s">
        <v>76</v>
      </c>
      <c r="K1867" t="s">
        <v>77</v>
      </c>
      <c r="L1867">
        <v>10</v>
      </c>
      <c r="M1867" t="s">
        <v>6319</v>
      </c>
      <c r="N1867" t="s">
        <v>64</v>
      </c>
      <c r="O1867" t="s">
        <v>46</v>
      </c>
      <c r="P1867" t="s">
        <v>46</v>
      </c>
      <c r="Y1867" t="s">
        <v>6326</v>
      </c>
    </row>
    <row r="1868" spans="1:25">
      <c r="A1868" t="s">
        <v>6327</v>
      </c>
      <c r="B1868" t="s">
        <v>6328</v>
      </c>
      <c r="D1868" t="s">
        <v>40</v>
      </c>
      <c r="E1868" t="s">
        <v>41</v>
      </c>
      <c r="J1868" t="s">
        <v>68</v>
      </c>
      <c r="K1868" t="s">
        <v>69</v>
      </c>
      <c r="L1868">
        <v>10</v>
      </c>
      <c r="M1868" t="s">
        <v>6319</v>
      </c>
      <c r="N1868" t="s">
        <v>64</v>
      </c>
      <c r="O1868" t="s">
        <v>46</v>
      </c>
      <c r="P1868" t="s">
        <v>46</v>
      </c>
      <c r="Y1868" t="s">
        <v>6329</v>
      </c>
    </row>
    <row r="1869" spans="1:25">
      <c r="A1869" t="s">
        <v>6330</v>
      </c>
      <c r="B1869" t="s">
        <v>6331</v>
      </c>
      <c r="D1869" t="s">
        <v>40</v>
      </c>
      <c r="E1869" t="s">
        <v>41</v>
      </c>
      <c r="J1869" t="s">
        <v>182</v>
      </c>
      <c r="K1869" t="s">
        <v>183</v>
      </c>
      <c r="L1869">
        <v>10</v>
      </c>
      <c r="M1869" t="s">
        <v>6319</v>
      </c>
      <c r="N1869" t="s">
        <v>64</v>
      </c>
      <c r="O1869" t="s">
        <v>46</v>
      </c>
      <c r="P1869" t="s">
        <v>46</v>
      </c>
      <c r="Y1869" t="s">
        <v>6332</v>
      </c>
    </row>
    <row r="1870" spans="1:25">
      <c r="A1870" t="s">
        <v>6333</v>
      </c>
      <c r="B1870" t="s">
        <v>6334</v>
      </c>
      <c r="D1870" t="s">
        <v>40</v>
      </c>
      <c r="E1870" t="s">
        <v>41</v>
      </c>
      <c r="J1870" t="s">
        <v>1997</v>
      </c>
      <c r="K1870" t="s">
        <v>1998</v>
      </c>
      <c r="L1870">
        <v>10</v>
      </c>
      <c r="M1870" t="s">
        <v>6319</v>
      </c>
      <c r="N1870" t="s">
        <v>1138</v>
      </c>
      <c r="O1870" t="s">
        <v>46</v>
      </c>
      <c r="P1870" t="s">
        <v>46</v>
      </c>
      <c r="Y1870" t="s">
        <v>6335</v>
      </c>
    </row>
    <row r="1871" spans="1:25">
      <c r="A1871" t="s">
        <v>6336</v>
      </c>
      <c r="B1871" t="s">
        <v>6337</v>
      </c>
      <c r="D1871" t="s">
        <v>40</v>
      </c>
      <c r="E1871" t="s">
        <v>41</v>
      </c>
      <c r="J1871" t="s">
        <v>68</v>
      </c>
      <c r="K1871" t="s">
        <v>69</v>
      </c>
      <c r="L1871">
        <v>10</v>
      </c>
      <c r="M1871" t="s">
        <v>6338</v>
      </c>
      <c r="N1871" t="s">
        <v>64</v>
      </c>
      <c r="O1871" t="s">
        <v>46</v>
      </c>
      <c r="P1871" t="s">
        <v>46</v>
      </c>
      <c r="Y1871" t="s">
        <v>6339</v>
      </c>
    </row>
    <row r="1872" spans="1:25">
      <c r="A1872" t="s">
        <v>6340</v>
      </c>
      <c r="B1872" t="s">
        <v>6341</v>
      </c>
      <c r="D1872" t="s">
        <v>40</v>
      </c>
      <c r="E1872" t="s">
        <v>41</v>
      </c>
      <c r="J1872" t="s">
        <v>42</v>
      </c>
      <c r="K1872" t="s">
        <v>43</v>
      </c>
      <c r="L1872">
        <v>10</v>
      </c>
      <c r="M1872" t="s">
        <v>6338</v>
      </c>
      <c r="N1872" t="s">
        <v>296</v>
      </c>
      <c r="O1872" t="s">
        <v>46</v>
      </c>
      <c r="P1872" t="s">
        <v>46</v>
      </c>
      <c r="Y1872" t="s">
        <v>6342</v>
      </c>
    </row>
    <row r="1873" spans="1:25">
      <c r="A1873" t="s">
        <v>6343</v>
      </c>
      <c r="B1873" t="s">
        <v>6344</v>
      </c>
      <c r="D1873" t="s">
        <v>40</v>
      </c>
      <c r="E1873" t="s">
        <v>41</v>
      </c>
      <c r="J1873" t="s">
        <v>182</v>
      </c>
      <c r="K1873" t="s">
        <v>183</v>
      </c>
      <c r="L1873">
        <v>10</v>
      </c>
      <c r="M1873" t="s">
        <v>6338</v>
      </c>
      <c r="N1873" t="s">
        <v>64</v>
      </c>
      <c r="O1873" t="s">
        <v>46</v>
      </c>
      <c r="P1873" t="s">
        <v>46</v>
      </c>
      <c r="Y1873" t="s">
        <v>6345</v>
      </c>
    </row>
    <row r="1874" spans="1:25">
      <c r="A1874" t="s">
        <v>6346</v>
      </c>
      <c r="B1874" t="s">
        <v>6347</v>
      </c>
      <c r="D1874" t="s">
        <v>40</v>
      </c>
      <c r="E1874" t="s">
        <v>41</v>
      </c>
      <c r="J1874" t="s">
        <v>182</v>
      </c>
      <c r="K1874" t="s">
        <v>183</v>
      </c>
      <c r="L1874">
        <v>10</v>
      </c>
      <c r="M1874" t="s">
        <v>6338</v>
      </c>
      <c r="N1874" t="s">
        <v>64</v>
      </c>
      <c r="O1874" t="s">
        <v>46</v>
      </c>
      <c r="P1874" t="s">
        <v>46</v>
      </c>
      <c r="Y1874" t="s">
        <v>6348</v>
      </c>
    </row>
    <row r="1875" spans="1:25">
      <c r="A1875" t="s">
        <v>6349</v>
      </c>
      <c r="B1875" t="s">
        <v>6350</v>
      </c>
      <c r="D1875" t="s">
        <v>40</v>
      </c>
      <c r="E1875" t="s">
        <v>41</v>
      </c>
      <c r="J1875" t="s">
        <v>76</v>
      </c>
      <c r="K1875" t="s">
        <v>77</v>
      </c>
      <c r="L1875">
        <v>10</v>
      </c>
      <c r="M1875" t="s">
        <v>6338</v>
      </c>
      <c r="N1875" t="s">
        <v>64</v>
      </c>
      <c r="O1875" t="s">
        <v>46</v>
      </c>
      <c r="P1875" t="s">
        <v>46</v>
      </c>
      <c r="Y1875" t="s">
        <v>6351</v>
      </c>
    </row>
    <row r="1876" spans="1:25">
      <c r="A1876" t="s">
        <v>6352</v>
      </c>
      <c r="B1876" t="s">
        <v>6353</v>
      </c>
      <c r="D1876" t="s">
        <v>40</v>
      </c>
      <c r="E1876" t="s">
        <v>41</v>
      </c>
      <c r="J1876" t="s">
        <v>182</v>
      </c>
      <c r="K1876" t="s">
        <v>183</v>
      </c>
      <c r="L1876">
        <v>10</v>
      </c>
      <c r="M1876" t="s">
        <v>6338</v>
      </c>
      <c r="N1876" t="s">
        <v>64</v>
      </c>
      <c r="O1876" t="s">
        <v>46</v>
      </c>
      <c r="P1876" t="s">
        <v>46</v>
      </c>
      <c r="Y1876" t="s">
        <v>6354</v>
      </c>
    </row>
    <row r="1877" spans="1:25">
      <c r="A1877" t="s">
        <v>6355</v>
      </c>
      <c r="B1877" t="s">
        <v>6356</v>
      </c>
      <c r="D1877" t="s">
        <v>40</v>
      </c>
      <c r="E1877" t="s">
        <v>41</v>
      </c>
      <c r="J1877" t="s">
        <v>182</v>
      </c>
      <c r="K1877" t="s">
        <v>183</v>
      </c>
      <c r="L1877">
        <v>10</v>
      </c>
      <c r="M1877" t="s">
        <v>6338</v>
      </c>
      <c r="N1877" t="s">
        <v>64</v>
      </c>
      <c r="O1877" t="s">
        <v>46</v>
      </c>
      <c r="P1877" t="s">
        <v>46</v>
      </c>
      <c r="Y1877" t="s">
        <v>6357</v>
      </c>
    </row>
    <row r="1878" spans="1:25">
      <c r="A1878" t="s">
        <v>6358</v>
      </c>
      <c r="B1878" t="s">
        <v>6359</v>
      </c>
      <c r="D1878" t="s">
        <v>40</v>
      </c>
      <c r="E1878" t="s">
        <v>41</v>
      </c>
      <c r="J1878" t="s">
        <v>182</v>
      </c>
      <c r="K1878" t="s">
        <v>183</v>
      </c>
      <c r="L1878">
        <v>10</v>
      </c>
      <c r="M1878" t="s">
        <v>6338</v>
      </c>
      <c r="N1878" t="s">
        <v>64</v>
      </c>
      <c r="O1878" t="s">
        <v>46</v>
      </c>
      <c r="P1878" t="s">
        <v>46</v>
      </c>
      <c r="Y1878" t="s">
        <v>6360</v>
      </c>
    </row>
    <row r="1879" spans="1:25">
      <c r="A1879" t="s">
        <v>6361</v>
      </c>
      <c r="B1879" t="s">
        <v>6362</v>
      </c>
      <c r="D1879" t="s">
        <v>40</v>
      </c>
      <c r="E1879" t="s">
        <v>41</v>
      </c>
      <c r="J1879" t="s">
        <v>182</v>
      </c>
      <c r="K1879" t="s">
        <v>183</v>
      </c>
      <c r="L1879">
        <v>10</v>
      </c>
      <c r="M1879" t="s">
        <v>6338</v>
      </c>
      <c r="N1879" t="s">
        <v>64</v>
      </c>
      <c r="O1879" t="s">
        <v>46</v>
      </c>
      <c r="P1879" t="s">
        <v>46</v>
      </c>
      <c r="Y1879" t="s">
        <v>6363</v>
      </c>
    </row>
    <row r="1880" spans="1:25">
      <c r="A1880" t="s">
        <v>6364</v>
      </c>
      <c r="B1880" t="s">
        <v>6365</v>
      </c>
      <c r="D1880" t="s">
        <v>40</v>
      </c>
      <c r="E1880" t="s">
        <v>41</v>
      </c>
      <c r="J1880" t="s">
        <v>599</v>
      </c>
      <c r="K1880" t="s">
        <v>600</v>
      </c>
      <c r="L1880">
        <v>10</v>
      </c>
      <c r="M1880" t="s">
        <v>6338</v>
      </c>
      <c r="N1880" t="s">
        <v>45</v>
      </c>
      <c r="O1880" t="s">
        <v>46</v>
      </c>
      <c r="P1880" t="s">
        <v>46</v>
      </c>
      <c r="Y1880" t="s">
        <v>6366</v>
      </c>
    </row>
    <row r="1881" spans="1:25">
      <c r="A1881" t="s">
        <v>6367</v>
      </c>
      <c r="B1881" t="s">
        <v>6368</v>
      </c>
      <c r="D1881" t="s">
        <v>40</v>
      </c>
      <c r="E1881" t="s">
        <v>41</v>
      </c>
      <c r="J1881" t="s">
        <v>182</v>
      </c>
      <c r="K1881" t="s">
        <v>183</v>
      </c>
      <c r="L1881">
        <v>10</v>
      </c>
      <c r="M1881" t="s">
        <v>6369</v>
      </c>
      <c r="N1881" t="s">
        <v>64</v>
      </c>
      <c r="O1881" t="s">
        <v>46</v>
      </c>
      <c r="P1881" t="s">
        <v>46</v>
      </c>
      <c r="Y1881" t="s">
        <v>6370</v>
      </c>
    </row>
    <row r="1882" spans="1:25">
      <c r="A1882" t="s">
        <v>6371</v>
      </c>
      <c r="B1882" t="s">
        <v>6372</v>
      </c>
      <c r="D1882" t="s">
        <v>40</v>
      </c>
      <c r="E1882" t="s">
        <v>41</v>
      </c>
      <c r="J1882" t="s">
        <v>76</v>
      </c>
      <c r="K1882" t="s">
        <v>77</v>
      </c>
      <c r="L1882">
        <v>10</v>
      </c>
      <c r="M1882" t="s">
        <v>6373</v>
      </c>
      <c r="N1882" t="s">
        <v>64</v>
      </c>
      <c r="O1882" t="s">
        <v>46</v>
      </c>
      <c r="P1882" t="s">
        <v>46</v>
      </c>
      <c r="Y1882" t="s">
        <v>6374</v>
      </c>
    </row>
    <row r="1883" spans="1:25">
      <c r="A1883" t="s">
        <v>6375</v>
      </c>
      <c r="B1883" t="s">
        <v>6376</v>
      </c>
      <c r="D1883" t="s">
        <v>40</v>
      </c>
      <c r="E1883" t="s">
        <v>41</v>
      </c>
      <c r="J1883" t="s">
        <v>182</v>
      </c>
      <c r="K1883" t="s">
        <v>183</v>
      </c>
      <c r="L1883">
        <v>10</v>
      </c>
      <c r="M1883" t="s">
        <v>6377</v>
      </c>
      <c r="N1883" t="s">
        <v>64</v>
      </c>
      <c r="O1883" t="s">
        <v>46</v>
      </c>
      <c r="P1883" t="s">
        <v>46</v>
      </c>
      <c r="Y1883" t="s">
        <v>6378</v>
      </c>
    </row>
    <row r="1884" spans="1:25">
      <c r="A1884" t="s">
        <v>6379</v>
      </c>
      <c r="B1884" t="s">
        <v>6380</v>
      </c>
      <c r="D1884" t="s">
        <v>40</v>
      </c>
      <c r="E1884" t="s">
        <v>41</v>
      </c>
      <c r="J1884" t="s">
        <v>76</v>
      </c>
      <c r="K1884" t="s">
        <v>77</v>
      </c>
      <c r="L1884">
        <v>10</v>
      </c>
      <c r="M1884" t="s">
        <v>6377</v>
      </c>
      <c r="N1884" t="s">
        <v>64</v>
      </c>
      <c r="O1884" t="s">
        <v>46</v>
      </c>
      <c r="P1884" t="s">
        <v>46</v>
      </c>
      <c r="Y1884" t="s">
        <v>6381</v>
      </c>
    </row>
    <row r="1885" spans="1:25">
      <c r="A1885" t="s">
        <v>6382</v>
      </c>
      <c r="B1885" t="s">
        <v>6383</v>
      </c>
      <c r="D1885" t="s">
        <v>40</v>
      </c>
      <c r="E1885" t="s">
        <v>41</v>
      </c>
      <c r="J1885" t="s">
        <v>182</v>
      </c>
      <c r="K1885" t="s">
        <v>183</v>
      </c>
      <c r="L1885">
        <v>10</v>
      </c>
      <c r="M1885" t="s">
        <v>6377</v>
      </c>
      <c r="N1885" t="s">
        <v>64</v>
      </c>
      <c r="O1885" t="s">
        <v>46</v>
      </c>
      <c r="P1885" t="s">
        <v>46</v>
      </c>
      <c r="Y1885" t="s">
        <v>6384</v>
      </c>
    </row>
    <row r="1886" spans="1:25">
      <c r="A1886" t="s">
        <v>6385</v>
      </c>
      <c r="B1886" t="s">
        <v>6386</v>
      </c>
      <c r="D1886" t="s">
        <v>40</v>
      </c>
      <c r="E1886" t="s">
        <v>41</v>
      </c>
      <c r="J1886" t="s">
        <v>182</v>
      </c>
      <c r="K1886" t="s">
        <v>183</v>
      </c>
      <c r="L1886">
        <v>10</v>
      </c>
      <c r="M1886" t="s">
        <v>6377</v>
      </c>
      <c r="N1886" t="s">
        <v>64</v>
      </c>
      <c r="O1886" t="s">
        <v>46</v>
      </c>
      <c r="P1886" t="s">
        <v>46</v>
      </c>
      <c r="Y1886" t="s">
        <v>6387</v>
      </c>
    </row>
    <row r="1887" spans="1:25">
      <c r="A1887" t="s">
        <v>6388</v>
      </c>
      <c r="B1887" t="s">
        <v>6389</v>
      </c>
      <c r="D1887" t="s">
        <v>40</v>
      </c>
      <c r="E1887" t="s">
        <v>41</v>
      </c>
      <c r="J1887" t="s">
        <v>248</v>
      </c>
      <c r="K1887" t="s">
        <v>249</v>
      </c>
      <c r="L1887">
        <v>10</v>
      </c>
      <c r="M1887" t="s">
        <v>6377</v>
      </c>
      <c r="N1887" t="s">
        <v>310</v>
      </c>
      <c r="O1887" t="s">
        <v>46</v>
      </c>
      <c r="P1887" t="s">
        <v>46</v>
      </c>
      <c r="Y1887" t="s">
        <v>6390</v>
      </c>
    </row>
    <row r="1888" spans="1:25">
      <c r="A1888" t="s">
        <v>6391</v>
      </c>
      <c r="B1888" t="s">
        <v>6392</v>
      </c>
      <c r="D1888" t="s">
        <v>40</v>
      </c>
      <c r="E1888" t="s">
        <v>41</v>
      </c>
      <c r="J1888" t="s">
        <v>248</v>
      </c>
      <c r="K1888" t="s">
        <v>249</v>
      </c>
      <c r="L1888">
        <v>10</v>
      </c>
      <c r="M1888" t="s">
        <v>6393</v>
      </c>
      <c r="N1888" t="s">
        <v>58</v>
      </c>
      <c r="O1888" t="s">
        <v>46</v>
      </c>
      <c r="P1888" t="s">
        <v>46</v>
      </c>
      <c r="Y1888" t="s">
        <v>6394</v>
      </c>
    </row>
    <row r="1889" spans="1:25">
      <c r="A1889" t="s">
        <v>6395</v>
      </c>
      <c r="B1889" t="s">
        <v>6396</v>
      </c>
      <c r="D1889" t="s">
        <v>40</v>
      </c>
      <c r="E1889" t="s">
        <v>41</v>
      </c>
      <c r="J1889" t="s">
        <v>42</v>
      </c>
      <c r="K1889" t="s">
        <v>43</v>
      </c>
      <c r="L1889">
        <v>10</v>
      </c>
      <c r="M1889" t="s">
        <v>6393</v>
      </c>
      <c r="N1889" t="s">
        <v>373</v>
      </c>
      <c r="O1889" t="s">
        <v>46</v>
      </c>
      <c r="P1889" t="s">
        <v>46</v>
      </c>
      <c r="Y1889" t="s">
        <v>6397</v>
      </c>
    </row>
    <row r="1890" spans="1:25">
      <c r="A1890" t="s">
        <v>6398</v>
      </c>
      <c r="B1890" t="s">
        <v>6399</v>
      </c>
      <c r="D1890" t="s">
        <v>40</v>
      </c>
      <c r="E1890" t="s">
        <v>41</v>
      </c>
      <c r="J1890" t="s">
        <v>248</v>
      </c>
      <c r="K1890" t="s">
        <v>249</v>
      </c>
      <c r="L1890">
        <v>10</v>
      </c>
      <c r="M1890" t="s">
        <v>6393</v>
      </c>
      <c r="N1890" t="s">
        <v>142</v>
      </c>
      <c r="O1890" t="s">
        <v>46</v>
      </c>
      <c r="P1890" t="s">
        <v>46</v>
      </c>
      <c r="Y1890" t="s">
        <v>6400</v>
      </c>
    </row>
    <row r="1891" spans="1:25">
      <c r="A1891" t="s">
        <v>6401</v>
      </c>
      <c r="B1891" t="s">
        <v>6402</v>
      </c>
      <c r="D1891" t="s">
        <v>40</v>
      </c>
      <c r="E1891" t="s">
        <v>41</v>
      </c>
      <c r="J1891" t="s">
        <v>182</v>
      </c>
      <c r="K1891" t="s">
        <v>183</v>
      </c>
      <c r="L1891">
        <v>10</v>
      </c>
      <c r="M1891" t="s">
        <v>6403</v>
      </c>
      <c r="N1891" t="s">
        <v>64</v>
      </c>
      <c r="O1891" t="s">
        <v>46</v>
      </c>
      <c r="P1891" t="s">
        <v>46</v>
      </c>
      <c r="Y1891" t="s">
        <v>6404</v>
      </c>
    </row>
    <row r="1892" spans="1:25">
      <c r="A1892" t="s">
        <v>6405</v>
      </c>
      <c r="B1892" t="s">
        <v>6406</v>
      </c>
      <c r="D1892" t="s">
        <v>40</v>
      </c>
      <c r="E1892" t="s">
        <v>41</v>
      </c>
      <c r="J1892" t="s">
        <v>182</v>
      </c>
      <c r="K1892" t="s">
        <v>183</v>
      </c>
      <c r="L1892">
        <v>10</v>
      </c>
      <c r="M1892" t="s">
        <v>6407</v>
      </c>
      <c r="N1892" t="s">
        <v>64</v>
      </c>
      <c r="O1892" t="s">
        <v>46</v>
      </c>
      <c r="P1892" t="s">
        <v>46</v>
      </c>
      <c r="Y1892" t="s">
        <v>6408</v>
      </c>
    </row>
    <row r="1893" spans="1:25">
      <c r="A1893" t="s">
        <v>6409</v>
      </c>
      <c r="B1893" t="s">
        <v>6410</v>
      </c>
      <c r="D1893" t="s">
        <v>40</v>
      </c>
      <c r="E1893" t="s">
        <v>41</v>
      </c>
      <c r="J1893" t="s">
        <v>182</v>
      </c>
      <c r="K1893" t="s">
        <v>183</v>
      </c>
      <c r="L1893">
        <v>10</v>
      </c>
      <c r="M1893" t="s">
        <v>6411</v>
      </c>
      <c r="N1893" t="s">
        <v>64</v>
      </c>
      <c r="O1893" t="s">
        <v>46</v>
      </c>
      <c r="P1893" t="s">
        <v>46</v>
      </c>
      <c r="Y1893" t="s">
        <v>6412</v>
      </c>
    </row>
    <row r="1894" spans="1:25">
      <c r="A1894" t="s">
        <v>6413</v>
      </c>
      <c r="B1894" t="s">
        <v>6414</v>
      </c>
      <c r="D1894" t="s">
        <v>40</v>
      </c>
      <c r="E1894" t="s">
        <v>41</v>
      </c>
      <c r="J1894" t="s">
        <v>42</v>
      </c>
      <c r="K1894" t="s">
        <v>43</v>
      </c>
      <c r="L1894">
        <v>10</v>
      </c>
      <c r="M1894" t="s">
        <v>6411</v>
      </c>
      <c r="N1894" t="s">
        <v>305</v>
      </c>
      <c r="O1894" t="s">
        <v>46</v>
      </c>
      <c r="P1894" t="s">
        <v>46</v>
      </c>
      <c r="Y1894" t="s">
        <v>6415</v>
      </c>
    </row>
    <row r="1895" spans="1:25">
      <c r="A1895" t="s">
        <v>6416</v>
      </c>
      <c r="B1895" t="s">
        <v>6417</v>
      </c>
      <c r="D1895" t="s">
        <v>40</v>
      </c>
      <c r="E1895" t="s">
        <v>41</v>
      </c>
      <c r="J1895" t="s">
        <v>182</v>
      </c>
      <c r="K1895" t="s">
        <v>183</v>
      </c>
      <c r="L1895">
        <v>10</v>
      </c>
      <c r="M1895" t="s">
        <v>6411</v>
      </c>
      <c r="N1895" t="s">
        <v>64</v>
      </c>
      <c r="O1895" t="s">
        <v>46</v>
      </c>
      <c r="P1895" t="s">
        <v>46</v>
      </c>
      <c r="Y1895" t="s">
        <v>6418</v>
      </c>
    </row>
    <row r="1896" spans="1:25">
      <c r="A1896" t="s">
        <v>6419</v>
      </c>
      <c r="B1896" t="s">
        <v>6420</v>
      </c>
      <c r="D1896" t="s">
        <v>40</v>
      </c>
      <c r="E1896" t="s">
        <v>41</v>
      </c>
      <c r="J1896" t="s">
        <v>76</v>
      </c>
      <c r="K1896" t="s">
        <v>77</v>
      </c>
      <c r="L1896">
        <v>10</v>
      </c>
      <c r="M1896" t="s">
        <v>6411</v>
      </c>
      <c r="N1896" t="s">
        <v>64</v>
      </c>
      <c r="O1896" t="s">
        <v>46</v>
      </c>
      <c r="P1896" t="s">
        <v>46</v>
      </c>
      <c r="Y1896" t="s">
        <v>6421</v>
      </c>
    </row>
    <row r="1897" spans="1:25">
      <c r="A1897" t="s">
        <v>6422</v>
      </c>
      <c r="B1897" t="s">
        <v>6423</v>
      </c>
      <c r="D1897" t="s">
        <v>40</v>
      </c>
      <c r="E1897" t="s">
        <v>41</v>
      </c>
      <c r="J1897" t="s">
        <v>76</v>
      </c>
      <c r="K1897" t="s">
        <v>77</v>
      </c>
      <c r="L1897">
        <v>10</v>
      </c>
      <c r="M1897" t="s">
        <v>6411</v>
      </c>
      <c r="N1897" t="s">
        <v>64</v>
      </c>
      <c r="O1897" t="s">
        <v>46</v>
      </c>
      <c r="P1897" t="s">
        <v>46</v>
      </c>
      <c r="Y1897" t="s">
        <v>6424</v>
      </c>
    </row>
    <row r="1898" spans="1:25">
      <c r="A1898" t="s">
        <v>6425</v>
      </c>
      <c r="B1898" t="s">
        <v>6426</v>
      </c>
      <c r="D1898" t="s">
        <v>40</v>
      </c>
      <c r="E1898" t="s">
        <v>41</v>
      </c>
      <c r="J1898" t="s">
        <v>42</v>
      </c>
      <c r="K1898" t="s">
        <v>43</v>
      </c>
      <c r="L1898">
        <v>10</v>
      </c>
      <c r="M1898" t="s">
        <v>6427</v>
      </c>
      <c r="N1898" t="s">
        <v>2621</v>
      </c>
      <c r="O1898" t="s">
        <v>46</v>
      </c>
      <c r="P1898" t="s">
        <v>46</v>
      </c>
      <c r="Y1898" t="s">
        <v>6428</v>
      </c>
    </row>
    <row r="1899" spans="1:25">
      <c r="A1899" t="s">
        <v>6429</v>
      </c>
      <c r="B1899" t="s">
        <v>6430</v>
      </c>
      <c r="D1899" t="s">
        <v>40</v>
      </c>
      <c r="E1899" t="s">
        <v>41</v>
      </c>
      <c r="J1899" t="s">
        <v>76</v>
      </c>
      <c r="K1899" t="s">
        <v>77</v>
      </c>
      <c r="L1899">
        <v>10</v>
      </c>
      <c r="M1899" t="s">
        <v>6431</v>
      </c>
      <c r="N1899" t="s">
        <v>64</v>
      </c>
      <c r="O1899" t="s">
        <v>46</v>
      </c>
      <c r="P1899" t="s">
        <v>46</v>
      </c>
      <c r="Y1899" t="s">
        <v>6432</v>
      </c>
    </row>
    <row r="1900" spans="1:25">
      <c r="A1900" t="s">
        <v>6433</v>
      </c>
      <c r="B1900" t="s">
        <v>6434</v>
      </c>
      <c r="D1900" t="s">
        <v>40</v>
      </c>
      <c r="E1900" t="s">
        <v>41</v>
      </c>
      <c r="J1900" t="s">
        <v>68</v>
      </c>
      <c r="K1900" t="s">
        <v>69</v>
      </c>
      <c r="L1900">
        <v>10</v>
      </c>
      <c r="M1900" t="s">
        <v>6431</v>
      </c>
      <c r="N1900" t="s">
        <v>64</v>
      </c>
      <c r="O1900" t="s">
        <v>46</v>
      </c>
      <c r="P1900" t="s">
        <v>46</v>
      </c>
      <c r="Y1900" t="s">
        <v>6435</v>
      </c>
    </row>
    <row r="1901" spans="1:25">
      <c r="A1901" t="s">
        <v>6436</v>
      </c>
      <c r="B1901" t="s">
        <v>6437</v>
      </c>
      <c r="D1901" t="s">
        <v>40</v>
      </c>
      <c r="E1901" t="s">
        <v>41</v>
      </c>
      <c r="J1901" t="s">
        <v>182</v>
      </c>
      <c r="K1901" t="s">
        <v>183</v>
      </c>
      <c r="L1901">
        <v>10</v>
      </c>
      <c r="M1901" t="s">
        <v>6438</v>
      </c>
      <c r="N1901" t="s">
        <v>64</v>
      </c>
      <c r="O1901" t="s">
        <v>46</v>
      </c>
      <c r="P1901" t="s">
        <v>46</v>
      </c>
      <c r="Y1901" t="s">
        <v>6439</v>
      </c>
    </row>
    <row r="1902" spans="1:25">
      <c r="A1902" t="s">
        <v>6440</v>
      </c>
      <c r="B1902" t="s">
        <v>6441</v>
      </c>
      <c r="D1902" t="s">
        <v>40</v>
      </c>
      <c r="E1902" t="s">
        <v>41</v>
      </c>
      <c r="J1902" t="s">
        <v>182</v>
      </c>
      <c r="K1902" t="s">
        <v>183</v>
      </c>
      <c r="L1902">
        <v>10</v>
      </c>
      <c r="M1902" t="s">
        <v>6438</v>
      </c>
      <c r="N1902" t="s">
        <v>64</v>
      </c>
      <c r="O1902" t="s">
        <v>46</v>
      </c>
      <c r="P1902" t="s">
        <v>46</v>
      </c>
      <c r="Y1902" t="s">
        <v>6442</v>
      </c>
    </row>
    <row r="1903" spans="1:25">
      <c r="A1903" t="s">
        <v>6443</v>
      </c>
      <c r="B1903" t="s">
        <v>6444</v>
      </c>
      <c r="D1903" t="s">
        <v>40</v>
      </c>
      <c r="E1903" t="s">
        <v>41</v>
      </c>
      <c r="J1903" t="s">
        <v>76</v>
      </c>
      <c r="K1903" t="s">
        <v>77</v>
      </c>
      <c r="L1903">
        <v>10</v>
      </c>
      <c r="M1903" t="s">
        <v>6438</v>
      </c>
      <c r="N1903" t="s">
        <v>64</v>
      </c>
      <c r="O1903" t="s">
        <v>46</v>
      </c>
      <c r="P1903" t="s">
        <v>46</v>
      </c>
      <c r="Y1903" t="s">
        <v>6445</v>
      </c>
    </row>
    <row r="1904" spans="1:25">
      <c r="A1904" t="s">
        <v>6446</v>
      </c>
      <c r="B1904" t="s">
        <v>6447</v>
      </c>
      <c r="D1904" t="s">
        <v>40</v>
      </c>
      <c r="E1904" t="s">
        <v>41</v>
      </c>
      <c r="J1904" t="s">
        <v>182</v>
      </c>
      <c r="K1904" t="s">
        <v>183</v>
      </c>
      <c r="L1904">
        <v>10</v>
      </c>
      <c r="M1904" t="s">
        <v>6438</v>
      </c>
      <c r="N1904" t="s">
        <v>64</v>
      </c>
      <c r="O1904" t="s">
        <v>46</v>
      </c>
      <c r="P1904" t="s">
        <v>46</v>
      </c>
      <c r="Y1904" t="s">
        <v>6448</v>
      </c>
    </row>
    <row r="1905" spans="1:25">
      <c r="A1905" t="s">
        <v>6449</v>
      </c>
      <c r="B1905" t="s">
        <v>6450</v>
      </c>
      <c r="D1905" t="s">
        <v>40</v>
      </c>
      <c r="E1905" t="s">
        <v>41</v>
      </c>
      <c r="J1905" t="s">
        <v>76</v>
      </c>
      <c r="K1905" t="s">
        <v>77</v>
      </c>
      <c r="L1905">
        <v>10</v>
      </c>
      <c r="M1905" t="s">
        <v>6438</v>
      </c>
      <c r="N1905" t="s">
        <v>64</v>
      </c>
      <c r="O1905" t="s">
        <v>46</v>
      </c>
      <c r="P1905" t="s">
        <v>46</v>
      </c>
      <c r="Y1905" t="s">
        <v>6451</v>
      </c>
    </row>
    <row r="1906" spans="1:25">
      <c r="A1906" t="s">
        <v>6452</v>
      </c>
      <c r="B1906" t="s">
        <v>6453</v>
      </c>
      <c r="D1906" t="s">
        <v>40</v>
      </c>
      <c r="E1906" t="s">
        <v>41</v>
      </c>
      <c r="J1906" t="s">
        <v>76</v>
      </c>
      <c r="K1906" t="s">
        <v>77</v>
      </c>
      <c r="L1906">
        <v>10</v>
      </c>
      <c r="M1906" t="s">
        <v>6438</v>
      </c>
      <c r="N1906" t="s">
        <v>64</v>
      </c>
      <c r="O1906" t="s">
        <v>46</v>
      </c>
      <c r="P1906" t="s">
        <v>46</v>
      </c>
      <c r="Y1906" t="s">
        <v>6454</v>
      </c>
    </row>
    <row r="1907" spans="1:25">
      <c r="A1907" t="s">
        <v>6455</v>
      </c>
      <c r="B1907" t="s">
        <v>6456</v>
      </c>
      <c r="D1907" t="s">
        <v>40</v>
      </c>
      <c r="E1907" t="s">
        <v>41</v>
      </c>
      <c r="J1907" t="s">
        <v>76</v>
      </c>
      <c r="K1907" t="s">
        <v>77</v>
      </c>
      <c r="L1907">
        <v>10</v>
      </c>
      <c r="M1907" t="s">
        <v>6457</v>
      </c>
      <c r="N1907" t="s">
        <v>64</v>
      </c>
      <c r="O1907" t="s">
        <v>46</v>
      </c>
      <c r="P1907" t="s">
        <v>46</v>
      </c>
      <c r="Y1907" t="s">
        <v>6458</v>
      </c>
    </row>
    <row r="1908" spans="1:25">
      <c r="A1908" t="s">
        <v>6459</v>
      </c>
      <c r="B1908" t="s">
        <v>6460</v>
      </c>
      <c r="D1908" t="s">
        <v>40</v>
      </c>
      <c r="E1908" t="s">
        <v>41</v>
      </c>
      <c r="J1908" t="s">
        <v>182</v>
      </c>
      <c r="K1908" t="s">
        <v>183</v>
      </c>
      <c r="L1908">
        <v>10</v>
      </c>
      <c r="M1908" t="s">
        <v>6457</v>
      </c>
      <c r="N1908" t="s">
        <v>64</v>
      </c>
      <c r="O1908" t="s">
        <v>46</v>
      </c>
      <c r="P1908" t="s">
        <v>46</v>
      </c>
      <c r="Y1908" t="s">
        <v>6461</v>
      </c>
    </row>
    <row r="1909" spans="1:25">
      <c r="A1909" t="s">
        <v>6462</v>
      </c>
      <c r="B1909" t="s">
        <v>6463</v>
      </c>
      <c r="D1909" t="s">
        <v>40</v>
      </c>
      <c r="E1909" t="s">
        <v>41</v>
      </c>
      <c r="J1909" t="s">
        <v>68</v>
      </c>
      <c r="K1909" t="s">
        <v>69</v>
      </c>
      <c r="L1909">
        <v>10</v>
      </c>
      <c r="M1909" t="s">
        <v>6457</v>
      </c>
      <c r="N1909" t="s">
        <v>64</v>
      </c>
      <c r="O1909" t="s">
        <v>46</v>
      </c>
      <c r="P1909" t="s">
        <v>46</v>
      </c>
      <c r="Y1909" t="s">
        <v>6464</v>
      </c>
    </row>
    <row r="1910" spans="1:25">
      <c r="A1910" t="s">
        <v>6465</v>
      </c>
      <c r="B1910" t="s">
        <v>6466</v>
      </c>
      <c r="D1910" t="s">
        <v>40</v>
      </c>
      <c r="E1910" t="s">
        <v>41</v>
      </c>
      <c r="J1910" t="s">
        <v>76</v>
      </c>
      <c r="K1910" t="s">
        <v>77</v>
      </c>
      <c r="L1910">
        <v>10</v>
      </c>
      <c r="M1910" t="s">
        <v>6457</v>
      </c>
      <c r="N1910" t="s">
        <v>64</v>
      </c>
      <c r="O1910" t="s">
        <v>46</v>
      </c>
      <c r="P1910" t="s">
        <v>46</v>
      </c>
      <c r="Y1910" t="s">
        <v>6467</v>
      </c>
    </row>
    <row r="1911" spans="1:25">
      <c r="A1911" t="s">
        <v>6468</v>
      </c>
      <c r="B1911" t="s">
        <v>6469</v>
      </c>
      <c r="D1911" t="s">
        <v>40</v>
      </c>
      <c r="E1911" t="s">
        <v>41</v>
      </c>
      <c r="J1911" t="s">
        <v>182</v>
      </c>
      <c r="K1911" t="s">
        <v>183</v>
      </c>
      <c r="L1911">
        <v>10</v>
      </c>
      <c r="M1911" t="s">
        <v>6457</v>
      </c>
      <c r="N1911" t="s">
        <v>64</v>
      </c>
      <c r="O1911" t="s">
        <v>46</v>
      </c>
      <c r="P1911" t="s">
        <v>46</v>
      </c>
      <c r="Y1911" t="s">
        <v>6470</v>
      </c>
    </row>
    <row r="1912" spans="1:25">
      <c r="A1912" t="s">
        <v>6471</v>
      </c>
      <c r="B1912" t="s">
        <v>6472</v>
      </c>
      <c r="D1912" t="s">
        <v>40</v>
      </c>
      <c r="E1912" t="s">
        <v>41</v>
      </c>
      <c r="J1912" t="s">
        <v>264</v>
      </c>
      <c r="K1912" t="s">
        <v>265</v>
      </c>
      <c r="L1912">
        <v>10</v>
      </c>
      <c r="M1912" t="s">
        <v>6457</v>
      </c>
      <c r="N1912" t="s">
        <v>210</v>
      </c>
      <c r="O1912" t="s">
        <v>46</v>
      </c>
      <c r="P1912" t="s">
        <v>46</v>
      </c>
      <c r="Y1912" t="s">
        <v>6473</v>
      </c>
    </row>
    <row r="1913" spans="1:25">
      <c r="A1913" t="s">
        <v>6474</v>
      </c>
      <c r="B1913" t="s">
        <v>6475</v>
      </c>
      <c r="D1913" t="s">
        <v>40</v>
      </c>
      <c r="E1913" t="s">
        <v>41</v>
      </c>
      <c r="J1913" t="s">
        <v>182</v>
      </c>
      <c r="K1913" t="s">
        <v>183</v>
      </c>
      <c r="L1913">
        <v>10</v>
      </c>
      <c r="M1913" t="s">
        <v>6457</v>
      </c>
      <c r="N1913" t="s">
        <v>64</v>
      </c>
      <c r="O1913" t="s">
        <v>46</v>
      </c>
      <c r="P1913" t="s">
        <v>46</v>
      </c>
      <c r="Y1913" t="s">
        <v>6476</v>
      </c>
    </row>
    <row r="1914" spans="1:25">
      <c r="A1914" t="s">
        <v>6477</v>
      </c>
      <c r="B1914" t="s">
        <v>6478</v>
      </c>
      <c r="D1914" t="s">
        <v>40</v>
      </c>
      <c r="E1914" t="s">
        <v>41</v>
      </c>
      <c r="J1914" t="s">
        <v>182</v>
      </c>
      <c r="K1914" t="s">
        <v>183</v>
      </c>
      <c r="L1914">
        <v>10</v>
      </c>
      <c r="M1914" t="s">
        <v>6457</v>
      </c>
      <c r="N1914" t="s">
        <v>64</v>
      </c>
      <c r="O1914" t="s">
        <v>46</v>
      </c>
      <c r="P1914" t="s">
        <v>46</v>
      </c>
      <c r="Y1914" t="s">
        <v>6479</v>
      </c>
    </row>
    <row r="1915" spans="1:25">
      <c r="A1915" t="s">
        <v>6480</v>
      </c>
      <c r="B1915" t="s">
        <v>6481</v>
      </c>
      <c r="D1915" t="s">
        <v>40</v>
      </c>
      <c r="E1915" t="s">
        <v>41</v>
      </c>
      <c r="J1915" t="s">
        <v>76</v>
      </c>
      <c r="K1915" t="s">
        <v>77</v>
      </c>
      <c r="L1915">
        <v>10</v>
      </c>
      <c r="M1915" t="s">
        <v>6457</v>
      </c>
      <c r="N1915" t="s">
        <v>64</v>
      </c>
      <c r="O1915" t="s">
        <v>46</v>
      </c>
      <c r="P1915" t="s">
        <v>46</v>
      </c>
      <c r="Y1915" t="s">
        <v>6482</v>
      </c>
    </row>
    <row r="1916" spans="1:25">
      <c r="A1916" t="s">
        <v>6483</v>
      </c>
      <c r="B1916" t="s">
        <v>6484</v>
      </c>
      <c r="D1916" t="s">
        <v>40</v>
      </c>
      <c r="E1916" t="s">
        <v>41</v>
      </c>
      <c r="J1916" t="s">
        <v>76</v>
      </c>
      <c r="K1916" t="s">
        <v>77</v>
      </c>
      <c r="L1916">
        <v>10</v>
      </c>
      <c r="M1916" t="s">
        <v>6457</v>
      </c>
      <c r="N1916" t="s">
        <v>64</v>
      </c>
      <c r="O1916" t="s">
        <v>46</v>
      </c>
      <c r="P1916" t="s">
        <v>46</v>
      </c>
      <c r="Y1916" t="s">
        <v>6485</v>
      </c>
    </row>
    <row r="1917" spans="1:25">
      <c r="A1917" t="s">
        <v>6486</v>
      </c>
      <c r="B1917" t="s">
        <v>6487</v>
      </c>
      <c r="D1917" t="s">
        <v>40</v>
      </c>
      <c r="E1917" t="s">
        <v>41</v>
      </c>
      <c r="J1917" t="s">
        <v>182</v>
      </c>
      <c r="K1917" t="s">
        <v>183</v>
      </c>
      <c r="L1917">
        <v>10</v>
      </c>
      <c r="M1917" t="s">
        <v>6457</v>
      </c>
      <c r="N1917" t="s">
        <v>64</v>
      </c>
      <c r="O1917" t="s">
        <v>46</v>
      </c>
      <c r="P1917" t="s">
        <v>46</v>
      </c>
      <c r="Y1917" t="s">
        <v>6488</v>
      </c>
    </row>
    <row r="1918" spans="1:25">
      <c r="A1918" t="s">
        <v>6489</v>
      </c>
      <c r="B1918" t="s">
        <v>6490</v>
      </c>
      <c r="D1918" t="s">
        <v>40</v>
      </c>
      <c r="E1918" t="s">
        <v>41</v>
      </c>
      <c r="J1918" t="s">
        <v>50</v>
      </c>
      <c r="K1918" t="s">
        <v>51</v>
      </c>
      <c r="L1918">
        <v>10</v>
      </c>
      <c r="M1918" t="s">
        <v>6491</v>
      </c>
      <c r="N1918" t="s">
        <v>617</v>
      </c>
      <c r="O1918" t="s">
        <v>46</v>
      </c>
      <c r="P1918" t="s">
        <v>46</v>
      </c>
      <c r="Y1918" t="s">
        <v>6492</v>
      </c>
    </row>
    <row r="1919" spans="1:25">
      <c r="A1919" t="s">
        <v>6493</v>
      </c>
      <c r="B1919" t="s">
        <v>6494</v>
      </c>
      <c r="D1919" t="s">
        <v>40</v>
      </c>
      <c r="E1919" t="s">
        <v>41</v>
      </c>
      <c r="J1919" t="s">
        <v>182</v>
      </c>
      <c r="K1919" t="s">
        <v>183</v>
      </c>
      <c r="L1919">
        <v>10</v>
      </c>
      <c r="M1919" t="s">
        <v>6491</v>
      </c>
      <c r="N1919" t="s">
        <v>64</v>
      </c>
      <c r="O1919" t="s">
        <v>46</v>
      </c>
      <c r="P1919" t="s">
        <v>46</v>
      </c>
      <c r="Y1919" t="s">
        <v>6495</v>
      </c>
    </row>
    <row r="1920" spans="1:25">
      <c r="A1920" t="s">
        <v>6496</v>
      </c>
      <c r="B1920" t="s">
        <v>6497</v>
      </c>
      <c r="D1920" t="s">
        <v>40</v>
      </c>
      <c r="E1920" t="s">
        <v>41</v>
      </c>
      <c r="J1920" t="s">
        <v>182</v>
      </c>
      <c r="K1920" t="s">
        <v>183</v>
      </c>
      <c r="L1920">
        <v>10</v>
      </c>
      <c r="M1920" t="s">
        <v>6491</v>
      </c>
      <c r="N1920" t="s">
        <v>64</v>
      </c>
      <c r="O1920" t="s">
        <v>46</v>
      </c>
      <c r="P1920" t="s">
        <v>46</v>
      </c>
      <c r="Y1920" t="s">
        <v>6498</v>
      </c>
    </row>
    <row r="1921" spans="1:25">
      <c r="A1921" t="s">
        <v>6499</v>
      </c>
      <c r="B1921" t="s">
        <v>6500</v>
      </c>
      <c r="D1921" t="s">
        <v>40</v>
      </c>
      <c r="E1921" t="s">
        <v>41</v>
      </c>
      <c r="J1921" t="s">
        <v>76</v>
      </c>
      <c r="K1921" t="s">
        <v>77</v>
      </c>
      <c r="L1921">
        <v>10</v>
      </c>
      <c r="M1921" t="s">
        <v>6491</v>
      </c>
      <c r="N1921" t="s">
        <v>64</v>
      </c>
      <c r="O1921" t="s">
        <v>46</v>
      </c>
      <c r="P1921" t="s">
        <v>46</v>
      </c>
      <c r="Y1921" t="s">
        <v>6501</v>
      </c>
    </row>
    <row r="1922" spans="1:25">
      <c r="A1922" t="s">
        <v>6502</v>
      </c>
      <c r="B1922" t="s">
        <v>6503</v>
      </c>
      <c r="D1922" t="s">
        <v>40</v>
      </c>
      <c r="E1922" t="s">
        <v>41</v>
      </c>
      <c r="J1922" t="s">
        <v>76</v>
      </c>
      <c r="K1922" t="s">
        <v>77</v>
      </c>
      <c r="L1922">
        <v>10</v>
      </c>
      <c r="M1922" t="s">
        <v>6491</v>
      </c>
      <c r="N1922" t="s">
        <v>64</v>
      </c>
      <c r="O1922" t="s">
        <v>46</v>
      </c>
      <c r="P1922" t="s">
        <v>46</v>
      </c>
      <c r="Y1922" t="s">
        <v>6504</v>
      </c>
    </row>
    <row r="1923" spans="1:25">
      <c r="A1923" t="s">
        <v>6505</v>
      </c>
      <c r="B1923" t="s">
        <v>6506</v>
      </c>
      <c r="D1923" t="s">
        <v>40</v>
      </c>
      <c r="E1923" t="s">
        <v>41</v>
      </c>
      <c r="J1923" t="s">
        <v>76</v>
      </c>
      <c r="K1923" t="s">
        <v>77</v>
      </c>
      <c r="L1923">
        <v>10</v>
      </c>
      <c r="M1923" t="s">
        <v>6491</v>
      </c>
      <c r="N1923" t="s">
        <v>64</v>
      </c>
      <c r="O1923" t="s">
        <v>46</v>
      </c>
      <c r="P1923" t="s">
        <v>46</v>
      </c>
      <c r="Y1923" t="s">
        <v>6507</v>
      </c>
    </row>
    <row r="1924" spans="1:25">
      <c r="A1924" t="s">
        <v>6508</v>
      </c>
      <c r="B1924" t="s">
        <v>6509</v>
      </c>
      <c r="D1924" t="s">
        <v>40</v>
      </c>
      <c r="E1924" t="s">
        <v>41</v>
      </c>
      <c r="J1924" t="s">
        <v>68</v>
      </c>
      <c r="K1924" t="s">
        <v>69</v>
      </c>
      <c r="L1924">
        <v>10</v>
      </c>
      <c r="M1924" t="s">
        <v>6491</v>
      </c>
      <c r="N1924" t="s">
        <v>64</v>
      </c>
      <c r="O1924" t="s">
        <v>46</v>
      </c>
      <c r="P1924" t="s">
        <v>46</v>
      </c>
      <c r="Y1924" t="s">
        <v>6510</v>
      </c>
    </row>
    <row r="1925" spans="1:25">
      <c r="A1925" t="s">
        <v>6511</v>
      </c>
      <c r="B1925" t="s">
        <v>6512</v>
      </c>
      <c r="D1925" t="s">
        <v>40</v>
      </c>
      <c r="E1925" t="s">
        <v>41</v>
      </c>
      <c r="J1925" t="s">
        <v>42</v>
      </c>
      <c r="K1925" t="s">
        <v>43</v>
      </c>
      <c r="L1925">
        <v>10</v>
      </c>
      <c r="M1925" t="s">
        <v>6513</v>
      </c>
      <c r="N1925" t="s">
        <v>741</v>
      </c>
      <c r="O1925" t="s">
        <v>46</v>
      </c>
      <c r="P1925" t="s">
        <v>46</v>
      </c>
      <c r="Y1925" t="s">
        <v>6514</v>
      </c>
    </row>
    <row r="1926" spans="1:25">
      <c r="A1926" t="s">
        <v>6515</v>
      </c>
      <c r="B1926" t="s">
        <v>6516</v>
      </c>
      <c r="D1926" t="s">
        <v>40</v>
      </c>
      <c r="E1926" t="s">
        <v>41</v>
      </c>
      <c r="J1926" t="s">
        <v>182</v>
      </c>
      <c r="K1926" t="s">
        <v>183</v>
      </c>
      <c r="L1926">
        <v>10</v>
      </c>
      <c r="M1926" t="s">
        <v>6513</v>
      </c>
      <c r="N1926" t="s">
        <v>64</v>
      </c>
      <c r="O1926" t="s">
        <v>46</v>
      </c>
      <c r="P1926" t="s">
        <v>46</v>
      </c>
      <c r="Y1926" t="s">
        <v>6517</v>
      </c>
    </row>
    <row r="1927" spans="1:25">
      <c r="A1927" t="s">
        <v>6518</v>
      </c>
      <c r="B1927" t="s">
        <v>6519</v>
      </c>
      <c r="D1927" t="s">
        <v>40</v>
      </c>
      <c r="E1927" t="s">
        <v>41</v>
      </c>
      <c r="J1927" t="s">
        <v>68</v>
      </c>
      <c r="K1927" t="s">
        <v>69</v>
      </c>
      <c r="L1927">
        <v>10</v>
      </c>
      <c r="M1927" t="s">
        <v>6513</v>
      </c>
      <c r="N1927" t="s">
        <v>64</v>
      </c>
      <c r="O1927" t="s">
        <v>46</v>
      </c>
      <c r="P1927" t="s">
        <v>46</v>
      </c>
      <c r="Y1927" t="s">
        <v>6520</v>
      </c>
    </row>
    <row r="1928" spans="1:25">
      <c r="A1928" t="s">
        <v>6521</v>
      </c>
      <c r="B1928" t="s">
        <v>6522</v>
      </c>
      <c r="D1928" t="s">
        <v>40</v>
      </c>
      <c r="E1928" t="s">
        <v>41</v>
      </c>
      <c r="J1928" t="s">
        <v>182</v>
      </c>
      <c r="K1928" t="s">
        <v>183</v>
      </c>
      <c r="L1928">
        <v>10</v>
      </c>
      <c r="M1928" t="s">
        <v>6513</v>
      </c>
      <c r="N1928" t="s">
        <v>64</v>
      </c>
      <c r="O1928" t="s">
        <v>46</v>
      </c>
      <c r="P1928" t="s">
        <v>46</v>
      </c>
      <c r="Y1928" t="s">
        <v>6523</v>
      </c>
    </row>
    <row r="1929" spans="1:25">
      <c r="A1929" t="s">
        <v>6524</v>
      </c>
      <c r="B1929" t="s">
        <v>6525</v>
      </c>
      <c r="D1929" t="s">
        <v>40</v>
      </c>
      <c r="E1929" t="s">
        <v>41</v>
      </c>
      <c r="J1929" t="s">
        <v>76</v>
      </c>
      <c r="K1929" t="s">
        <v>77</v>
      </c>
      <c r="L1929">
        <v>10</v>
      </c>
      <c r="M1929" t="s">
        <v>6513</v>
      </c>
      <c r="N1929" t="s">
        <v>64</v>
      </c>
      <c r="O1929" t="s">
        <v>46</v>
      </c>
      <c r="P1929" t="s">
        <v>46</v>
      </c>
      <c r="Y1929" t="s">
        <v>6526</v>
      </c>
    </row>
    <row r="1930" spans="1:25">
      <c r="A1930" t="s">
        <v>6527</v>
      </c>
      <c r="B1930" t="s">
        <v>6528</v>
      </c>
      <c r="D1930" t="s">
        <v>40</v>
      </c>
      <c r="E1930" t="s">
        <v>41</v>
      </c>
      <c r="J1930" t="s">
        <v>182</v>
      </c>
      <c r="K1930" t="s">
        <v>183</v>
      </c>
      <c r="L1930">
        <v>10</v>
      </c>
      <c r="M1930" t="s">
        <v>6529</v>
      </c>
      <c r="N1930" t="s">
        <v>64</v>
      </c>
      <c r="O1930" t="s">
        <v>46</v>
      </c>
      <c r="P1930" t="s">
        <v>46</v>
      </c>
      <c r="Y1930" t="s">
        <v>6530</v>
      </c>
    </row>
    <row r="1931" spans="1:25">
      <c r="A1931" t="s">
        <v>6531</v>
      </c>
      <c r="B1931" t="s">
        <v>6532</v>
      </c>
      <c r="D1931" t="s">
        <v>40</v>
      </c>
      <c r="E1931" t="s">
        <v>41</v>
      </c>
      <c r="J1931" t="s">
        <v>76</v>
      </c>
      <c r="K1931" t="s">
        <v>77</v>
      </c>
      <c r="L1931">
        <v>10</v>
      </c>
      <c r="M1931" t="s">
        <v>6529</v>
      </c>
      <c r="N1931" t="s">
        <v>64</v>
      </c>
      <c r="O1931" t="s">
        <v>46</v>
      </c>
      <c r="P1931" t="s">
        <v>46</v>
      </c>
      <c r="Y1931" t="s">
        <v>6533</v>
      </c>
    </row>
    <row r="1932" spans="1:25">
      <c r="A1932" t="s">
        <v>6534</v>
      </c>
      <c r="B1932" t="s">
        <v>6535</v>
      </c>
      <c r="D1932" t="s">
        <v>40</v>
      </c>
      <c r="E1932" t="s">
        <v>41</v>
      </c>
      <c r="J1932" t="s">
        <v>182</v>
      </c>
      <c r="K1932" t="s">
        <v>183</v>
      </c>
      <c r="L1932">
        <v>10</v>
      </c>
      <c r="M1932" t="s">
        <v>6529</v>
      </c>
      <c r="N1932" t="s">
        <v>64</v>
      </c>
      <c r="O1932" t="s">
        <v>46</v>
      </c>
      <c r="P1932" t="s">
        <v>46</v>
      </c>
      <c r="Y1932" t="s">
        <v>6536</v>
      </c>
    </row>
    <row r="1933" spans="1:25">
      <c r="A1933" t="s">
        <v>6537</v>
      </c>
      <c r="B1933" t="s">
        <v>6538</v>
      </c>
      <c r="D1933" t="s">
        <v>40</v>
      </c>
      <c r="E1933" t="s">
        <v>41</v>
      </c>
      <c r="J1933" t="s">
        <v>182</v>
      </c>
      <c r="K1933" t="s">
        <v>183</v>
      </c>
      <c r="L1933">
        <v>10</v>
      </c>
      <c r="M1933" t="s">
        <v>6529</v>
      </c>
      <c r="N1933" t="s">
        <v>64</v>
      </c>
      <c r="O1933" t="s">
        <v>46</v>
      </c>
      <c r="P1933" t="s">
        <v>46</v>
      </c>
      <c r="Y1933" t="s">
        <v>6539</v>
      </c>
    </row>
    <row r="1934" spans="1:25">
      <c r="A1934" t="s">
        <v>6540</v>
      </c>
      <c r="B1934" t="s">
        <v>6541</v>
      </c>
      <c r="D1934" t="s">
        <v>40</v>
      </c>
      <c r="E1934" t="s">
        <v>41</v>
      </c>
      <c r="J1934" t="s">
        <v>182</v>
      </c>
      <c r="K1934" t="s">
        <v>183</v>
      </c>
      <c r="L1934">
        <v>10</v>
      </c>
      <c r="M1934" t="s">
        <v>6529</v>
      </c>
      <c r="N1934" t="s">
        <v>64</v>
      </c>
      <c r="O1934" t="s">
        <v>46</v>
      </c>
      <c r="P1934" t="s">
        <v>46</v>
      </c>
      <c r="Y1934" t="s">
        <v>6542</v>
      </c>
    </row>
    <row r="1935" spans="1:25">
      <c r="A1935" t="s">
        <v>6543</v>
      </c>
      <c r="B1935" t="s">
        <v>6544</v>
      </c>
      <c r="D1935" t="s">
        <v>40</v>
      </c>
      <c r="E1935" t="s">
        <v>41</v>
      </c>
      <c r="J1935" t="s">
        <v>182</v>
      </c>
      <c r="K1935" t="s">
        <v>183</v>
      </c>
      <c r="L1935">
        <v>10</v>
      </c>
      <c r="M1935" t="s">
        <v>6529</v>
      </c>
      <c r="N1935" t="s">
        <v>64</v>
      </c>
      <c r="O1935" t="s">
        <v>46</v>
      </c>
      <c r="P1935" t="s">
        <v>46</v>
      </c>
      <c r="Y1935" t="s">
        <v>6545</v>
      </c>
    </row>
    <row r="1936" spans="1:25">
      <c r="A1936" t="s">
        <v>6546</v>
      </c>
      <c r="B1936" t="s">
        <v>6547</v>
      </c>
      <c r="D1936" t="s">
        <v>40</v>
      </c>
      <c r="E1936" t="s">
        <v>41</v>
      </c>
      <c r="J1936" t="s">
        <v>68</v>
      </c>
      <c r="K1936" t="s">
        <v>69</v>
      </c>
      <c r="L1936">
        <v>10</v>
      </c>
      <c r="M1936" t="s">
        <v>6548</v>
      </c>
      <c r="N1936" t="s">
        <v>64</v>
      </c>
      <c r="O1936" t="s">
        <v>46</v>
      </c>
      <c r="P1936" t="s">
        <v>46</v>
      </c>
      <c r="Y1936" t="s">
        <v>6549</v>
      </c>
    </row>
    <row r="1937" spans="1:25">
      <c r="A1937" t="s">
        <v>6550</v>
      </c>
      <c r="B1937" t="s">
        <v>6551</v>
      </c>
      <c r="D1937" t="s">
        <v>40</v>
      </c>
      <c r="E1937" t="s">
        <v>41</v>
      </c>
      <c r="J1937" t="s">
        <v>182</v>
      </c>
      <c r="K1937" t="s">
        <v>183</v>
      </c>
      <c r="L1937">
        <v>10</v>
      </c>
      <c r="M1937" t="s">
        <v>6548</v>
      </c>
      <c r="N1937" t="s">
        <v>64</v>
      </c>
      <c r="O1937" t="s">
        <v>46</v>
      </c>
      <c r="P1937" t="s">
        <v>46</v>
      </c>
      <c r="Y1937" t="s">
        <v>6552</v>
      </c>
    </row>
    <row r="1938" spans="1:25">
      <c r="A1938" t="s">
        <v>6553</v>
      </c>
      <c r="B1938" t="s">
        <v>6554</v>
      </c>
      <c r="D1938" t="s">
        <v>40</v>
      </c>
      <c r="E1938" t="s">
        <v>41</v>
      </c>
      <c r="J1938" t="s">
        <v>76</v>
      </c>
      <c r="K1938" t="s">
        <v>77</v>
      </c>
      <c r="L1938">
        <v>10</v>
      </c>
      <c r="M1938" t="s">
        <v>6548</v>
      </c>
      <c r="N1938" t="s">
        <v>64</v>
      </c>
      <c r="O1938" t="s">
        <v>46</v>
      </c>
      <c r="P1938" t="s">
        <v>46</v>
      </c>
      <c r="Y1938" t="s">
        <v>6555</v>
      </c>
    </row>
    <row r="1939" spans="1:25">
      <c r="A1939" t="s">
        <v>6556</v>
      </c>
      <c r="B1939" t="s">
        <v>6557</v>
      </c>
      <c r="D1939" t="s">
        <v>40</v>
      </c>
      <c r="E1939" t="s">
        <v>41</v>
      </c>
      <c r="J1939" t="s">
        <v>1142</v>
      </c>
      <c r="K1939" t="s">
        <v>1143</v>
      </c>
      <c r="L1939">
        <v>10</v>
      </c>
      <c r="M1939" t="s">
        <v>6558</v>
      </c>
      <c r="N1939" t="s">
        <v>1047</v>
      </c>
      <c r="O1939" t="s">
        <v>46</v>
      </c>
      <c r="P1939" t="s">
        <v>46</v>
      </c>
      <c r="Y1939" t="s">
        <v>6559</v>
      </c>
    </row>
    <row r="1940" spans="1:25">
      <c r="A1940" t="s">
        <v>6560</v>
      </c>
      <c r="B1940" t="s">
        <v>6561</v>
      </c>
      <c r="D1940" t="s">
        <v>40</v>
      </c>
      <c r="E1940" t="s">
        <v>41</v>
      </c>
      <c r="J1940" t="s">
        <v>182</v>
      </c>
      <c r="K1940" t="s">
        <v>183</v>
      </c>
      <c r="L1940">
        <v>10</v>
      </c>
      <c r="M1940" t="s">
        <v>6558</v>
      </c>
      <c r="N1940" t="s">
        <v>64</v>
      </c>
      <c r="O1940" t="s">
        <v>46</v>
      </c>
      <c r="P1940" t="s">
        <v>46</v>
      </c>
      <c r="Y1940" t="s">
        <v>6562</v>
      </c>
    </row>
    <row r="1941" spans="1:25">
      <c r="A1941" t="s">
        <v>6563</v>
      </c>
      <c r="B1941" t="s">
        <v>6564</v>
      </c>
      <c r="D1941" t="s">
        <v>40</v>
      </c>
      <c r="E1941" t="s">
        <v>41</v>
      </c>
      <c r="J1941" t="s">
        <v>182</v>
      </c>
      <c r="K1941" t="s">
        <v>183</v>
      </c>
      <c r="L1941">
        <v>10</v>
      </c>
      <c r="M1941" t="s">
        <v>6558</v>
      </c>
      <c r="N1941" t="s">
        <v>64</v>
      </c>
      <c r="O1941" t="s">
        <v>46</v>
      </c>
      <c r="P1941" t="s">
        <v>46</v>
      </c>
      <c r="Y1941" t="s">
        <v>6565</v>
      </c>
    </row>
    <row r="1942" spans="1:25">
      <c r="A1942" t="s">
        <v>6566</v>
      </c>
      <c r="B1942" t="s">
        <v>6567</v>
      </c>
      <c r="D1942" t="s">
        <v>40</v>
      </c>
      <c r="E1942" t="s">
        <v>41</v>
      </c>
      <c r="J1942" t="s">
        <v>248</v>
      </c>
      <c r="K1942" t="s">
        <v>249</v>
      </c>
      <c r="L1942">
        <v>10</v>
      </c>
      <c r="M1942" t="s">
        <v>6568</v>
      </c>
      <c r="N1942" t="s">
        <v>53</v>
      </c>
      <c r="O1942" t="s">
        <v>46</v>
      </c>
      <c r="P1942" t="s">
        <v>46</v>
      </c>
      <c r="Y1942" t="s">
        <v>6569</v>
      </c>
    </row>
    <row r="1943" spans="1:25">
      <c r="A1943" t="s">
        <v>6570</v>
      </c>
      <c r="B1943" t="s">
        <v>6571</v>
      </c>
      <c r="D1943" t="s">
        <v>40</v>
      </c>
      <c r="E1943" t="s">
        <v>41</v>
      </c>
      <c r="J1943" t="s">
        <v>76</v>
      </c>
      <c r="K1943" t="s">
        <v>77</v>
      </c>
      <c r="L1943">
        <v>10</v>
      </c>
      <c r="M1943" t="s">
        <v>6568</v>
      </c>
      <c r="N1943" t="s">
        <v>64</v>
      </c>
      <c r="O1943" t="s">
        <v>46</v>
      </c>
      <c r="P1943" t="s">
        <v>46</v>
      </c>
      <c r="Y1943" t="s">
        <v>6572</v>
      </c>
    </row>
    <row r="1944" spans="1:25">
      <c r="A1944" t="s">
        <v>6573</v>
      </c>
      <c r="B1944" t="s">
        <v>6574</v>
      </c>
      <c r="D1944" t="s">
        <v>40</v>
      </c>
      <c r="E1944" t="s">
        <v>41</v>
      </c>
      <c r="J1944" t="s">
        <v>76</v>
      </c>
      <c r="K1944" t="s">
        <v>77</v>
      </c>
      <c r="L1944">
        <v>10</v>
      </c>
      <c r="M1944" t="s">
        <v>6568</v>
      </c>
      <c r="N1944" t="s">
        <v>64</v>
      </c>
      <c r="O1944" t="s">
        <v>46</v>
      </c>
      <c r="P1944" t="s">
        <v>46</v>
      </c>
      <c r="Y1944" t="s">
        <v>6575</v>
      </c>
    </row>
    <row r="1945" spans="1:25">
      <c r="A1945" t="s">
        <v>6576</v>
      </c>
      <c r="B1945" t="s">
        <v>6577</v>
      </c>
      <c r="D1945" t="s">
        <v>40</v>
      </c>
      <c r="E1945" t="s">
        <v>41</v>
      </c>
      <c r="J1945" t="s">
        <v>42</v>
      </c>
      <c r="K1945" t="s">
        <v>43</v>
      </c>
      <c r="L1945">
        <v>10</v>
      </c>
      <c r="M1945" t="s">
        <v>6568</v>
      </c>
      <c r="N1945" t="s">
        <v>296</v>
      </c>
      <c r="O1945" t="s">
        <v>46</v>
      </c>
      <c r="P1945" t="s">
        <v>46</v>
      </c>
      <c r="Y1945" t="s">
        <v>6578</v>
      </c>
    </row>
    <row r="1946" spans="1:25">
      <c r="A1946" t="s">
        <v>6579</v>
      </c>
      <c r="B1946" t="s">
        <v>6580</v>
      </c>
      <c r="D1946" t="s">
        <v>40</v>
      </c>
      <c r="E1946" t="s">
        <v>41</v>
      </c>
      <c r="J1946" t="s">
        <v>76</v>
      </c>
      <c r="K1946" t="s">
        <v>77</v>
      </c>
      <c r="L1946">
        <v>10</v>
      </c>
      <c r="M1946" t="s">
        <v>6581</v>
      </c>
      <c r="N1946" t="s">
        <v>64</v>
      </c>
      <c r="O1946" t="s">
        <v>46</v>
      </c>
      <c r="P1946" t="s">
        <v>46</v>
      </c>
      <c r="Y1946" t="s">
        <v>6582</v>
      </c>
    </row>
    <row r="1947" spans="1:25">
      <c r="A1947" t="s">
        <v>6583</v>
      </c>
      <c r="B1947" t="s">
        <v>6584</v>
      </c>
      <c r="D1947" t="s">
        <v>40</v>
      </c>
      <c r="E1947" t="s">
        <v>41</v>
      </c>
      <c r="J1947" t="s">
        <v>182</v>
      </c>
      <c r="K1947" t="s">
        <v>183</v>
      </c>
      <c r="L1947">
        <v>10</v>
      </c>
      <c r="M1947" t="s">
        <v>6581</v>
      </c>
      <c r="N1947" t="s">
        <v>64</v>
      </c>
      <c r="O1947" t="s">
        <v>46</v>
      </c>
      <c r="P1947" t="s">
        <v>46</v>
      </c>
      <c r="Y1947" t="s">
        <v>6585</v>
      </c>
    </row>
    <row r="1948" spans="1:25">
      <c r="A1948" t="s">
        <v>6586</v>
      </c>
      <c r="B1948" t="s">
        <v>6587</v>
      </c>
      <c r="D1948" t="s">
        <v>40</v>
      </c>
      <c r="E1948" t="s">
        <v>41</v>
      </c>
      <c r="J1948" t="s">
        <v>182</v>
      </c>
      <c r="K1948" t="s">
        <v>183</v>
      </c>
      <c r="L1948">
        <v>10</v>
      </c>
      <c r="M1948" t="s">
        <v>6581</v>
      </c>
      <c r="N1948" t="s">
        <v>64</v>
      </c>
      <c r="O1948" t="s">
        <v>46</v>
      </c>
      <c r="P1948" t="s">
        <v>46</v>
      </c>
      <c r="Y1948" t="s">
        <v>6588</v>
      </c>
    </row>
    <row r="1949" spans="1:25">
      <c r="A1949" t="s">
        <v>6589</v>
      </c>
      <c r="B1949" t="s">
        <v>6590</v>
      </c>
      <c r="D1949" t="s">
        <v>40</v>
      </c>
      <c r="E1949" t="s">
        <v>41</v>
      </c>
      <c r="J1949" t="s">
        <v>182</v>
      </c>
      <c r="K1949" t="s">
        <v>183</v>
      </c>
      <c r="L1949">
        <v>10</v>
      </c>
      <c r="M1949" t="s">
        <v>6581</v>
      </c>
      <c r="N1949" t="s">
        <v>64</v>
      </c>
      <c r="O1949" t="s">
        <v>46</v>
      </c>
      <c r="P1949" t="s">
        <v>46</v>
      </c>
      <c r="Y1949" t="s">
        <v>6591</v>
      </c>
    </row>
    <row r="1950" spans="1:25">
      <c r="A1950" t="s">
        <v>6592</v>
      </c>
      <c r="B1950" t="s">
        <v>6593</v>
      </c>
      <c r="D1950" t="s">
        <v>40</v>
      </c>
      <c r="E1950" t="s">
        <v>41</v>
      </c>
      <c r="J1950" t="s">
        <v>182</v>
      </c>
      <c r="K1950" t="s">
        <v>183</v>
      </c>
      <c r="L1950">
        <v>10</v>
      </c>
      <c r="M1950" t="s">
        <v>6581</v>
      </c>
      <c r="N1950" t="s">
        <v>64</v>
      </c>
      <c r="O1950" t="s">
        <v>46</v>
      </c>
      <c r="P1950" t="s">
        <v>46</v>
      </c>
      <c r="Y1950" t="s">
        <v>6594</v>
      </c>
    </row>
    <row r="1951" spans="1:25">
      <c r="A1951" t="s">
        <v>6595</v>
      </c>
      <c r="B1951" t="s">
        <v>6596</v>
      </c>
      <c r="D1951" t="s">
        <v>40</v>
      </c>
      <c r="E1951" t="s">
        <v>41</v>
      </c>
      <c r="J1951" t="s">
        <v>76</v>
      </c>
      <c r="K1951" t="s">
        <v>77</v>
      </c>
      <c r="L1951">
        <v>10</v>
      </c>
      <c r="M1951" t="s">
        <v>6597</v>
      </c>
      <c r="N1951" t="s">
        <v>64</v>
      </c>
      <c r="O1951" t="s">
        <v>46</v>
      </c>
      <c r="P1951" t="s">
        <v>46</v>
      </c>
      <c r="Y1951" t="s">
        <v>6598</v>
      </c>
    </row>
    <row r="1952" spans="1:25">
      <c r="A1952" t="s">
        <v>6599</v>
      </c>
      <c r="B1952" t="s">
        <v>6600</v>
      </c>
      <c r="D1952" t="s">
        <v>40</v>
      </c>
      <c r="E1952" t="s">
        <v>41</v>
      </c>
      <c r="J1952" t="s">
        <v>182</v>
      </c>
      <c r="K1952" t="s">
        <v>183</v>
      </c>
      <c r="L1952">
        <v>10</v>
      </c>
      <c r="M1952" t="s">
        <v>6597</v>
      </c>
      <c r="N1952" t="s">
        <v>64</v>
      </c>
      <c r="O1952" t="s">
        <v>46</v>
      </c>
      <c r="P1952" t="s">
        <v>46</v>
      </c>
      <c r="Y1952" t="s">
        <v>6601</v>
      </c>
    </row>
    <row r="1953" spans="1:25">
      <c r="A1953" t="s">
        <v>6602</v>
      </c>
      <c r="B1953" t="s">
        <v>6603</v>
      </c>
      <c r="D1953" t="s">
        <v>40</v>
      </c>
      <c r="E1953" t="s">
        <v>41</v>
      </c>
      <c r="J1953" t="s">
        <v>76</v>
      </c>
      <c r="K1953" t="s">
        <v>77</v>
      </c>
      <c r="L1953">
        <v>10</v>
      </c>
      <c r="M1953" t="s">
        <v>6597</v>
      </c>
      <c r="N1953" t="s">
        <v>64</v>
      </c>
      <c r="O1953" t="s">
        <v>46</v>
      </c>
      <c r="P1953" t="s">
        <v>46</v>
      </c>
      <c r="Y1953" t="s">
        <v>6604</v>
      </c>
    </row>
    <row r="1954" spans="1:25">
      <c r="A1954" t="s">
        <v>6605</v>
      </c>
      <c r="B1954" t="s">
        <v>6606</v>
      </c>
      <c r="D1954" t="s">
        <v>40</v>
      </c>
      <c r="E1954" t="s">
        <v>41</v>
      </c>
      <c r="J1954" t="s">
        <v>182</v>
      </c>
      <c r="K1954" t="s">
        <v>183</v>
      </c>
      <c r="L1954">
        <v>10</v>
      </c>
      <c r="M1954" t="s">
        <v>6607</v>
      </c>
      <c r="N1954" t="s">
        <v>64</v>
      </c>
      <c r="O1954" t="s">
        <v>46</v>
      </c>
      <c r="P1954" t="s">
        <v>46</v>
      </c>
      <c r="Y1954" t="s">
        <v>6608</v>
      </c>
    </row>
    <row r="1955" spans="1:25">
      <c r="A1955" t="s">
        <v>6609</v>
      </c>
      <c r="B1955" t="s">
        <v>6610</v>
      </c>
      <c r="D1955" t="s">
        <v>40</v>
      </c>
      <c r="E1955" t="s">
        <v>41</v>
      </c>
      <c r="J1955" t="s">
        <v>248</v>
      </c>
      <c r="K1955" t="s">
        <v>249</v>
      </c>
      <c r="L1955">
        <v>12</v>
      </c>
      <c r="M1955" t="s">
        <v>6611</v>
      </c>
      <c r="N1955" t="s">
        <v>5995</v>
      </c>
      <c r="O1955" t="s">
        <v>46</v>
      </c>
      <c r="P1955" t="s">
        <v>46</v>
      </c>
      <c r="Y1955" t="s">
        <v>6612</v>
      </c>
    </row>
    <row r="1956" spans="1:25">
      <c r="A1956" t="s">
        <v>6613</v>
      </c>
      <c r="B1956" t="s">
        <v>6614</v>
      </c>
      <c r="D1956" t="s">
        <v>40</v>
      </c>
      <c r="E1956" t="s">
        <v>41</v>
      </c>
      <c r="J1956" t="s">
        <v>182</v>
      </c>
      <c r="K1956" t="s">
        <v>183</v>
      </c>
      <c r="L1956">
        <v>11</v>
      </c>
      <c r="M1956" t="s">
        <v>6615</v>
      </c>
      <c r="N1956" t="s">
        <v>64</v>
      </c>
      <c r="O1956" t="s">
        <v>46</v>
      </c>
      <c r="P1956" t="s">
        <v>46</v>
      </c>
      <c r="Y1956" t="s">
        <v>6616</v>
      </c>
    </row>
    <row r="1957" spans="1:25">
      <c r="A1957" t="s">
        <v>6617</v>
      </c>
      <c r="B1957" t="s">
        <v>6618</v>
      </c>
      <c r="D1957" t="s">
        <v>40</v>
      </c>
      <c r="E1957" t="s">
        <v>41</v>
      </c>
      <c r="J1957" t="s">
        <v>182</v>
      </c>
      <c r="K1957" t="s">
        <v>183</v>
      </c>
      <c r="L1957">
        <v>11</v>
      </c>
      <c r="M1957" t="s">
        <v>6619</v>
      </c>
      <c r="N1957" t="s">
        <v>64</v>
      </c>
      <c r="O1957" t="s">
        <v>46</v>
      </c>
      <c r="P1957" t="s">
        <v>46</v>
      </c>
      <c r="Y1957" t="s">
        <v>6620</v>
      </c>
    </row>
    <row r="1958" spans="1:25">
      <c r="A1958" t="s">
        <v>6621</v>
      </c>
      <c r="B1958" t="s">
        <v>6622</v>
      </c>
      <c r="D1958" t="s">
        <v>40</v>
      </c>
      <c r="E1958" t="s">
        <v>41</v>
      </c>
      <c r="J1958" t="s">
        <v>76</v>
      </c>
      <c r="K1958" t="s">
        <v>77</v>
      </c>
      <c r="L1958">
        <v>11</v>
      </c>
      <c r="M1958" t="s">
        <v>6619</v>
      </c>
      <c r="N1958" t="s">
        <v>64</v>
      </c>
      <c r="O1958" t="s">
        <v>46</v>
      </c>
      <c r="P1958" t="s">
        <v>46</v>
      </c>
      <c r="Y1958" t="s">
        <v>6623</v>
      </c>
    </row>
    <row r="1959" spans="1:25">
      <c r="A1959" t="s">
        <v>6624</v>
      </c>
      <c r="B1959" t="s">
        <v>6625</v>
      </c>
      <c r="D1959" t="s">
        <v>40</v>
      </c>
      <c r="E1959" t="s">
        <v>41</v>
      </c>
      <c r="J1959" t="s">
        <v>76</v>
      </c>
      <c r="K1959" t="s">
        <v>77</v>
      </c>
      <c r="L1959">
        <v>11</v>
      </c>
      <c r="M1959" t="s">
        <v>6619</v>
      </c>
      <c r="N1959" t="s">
        <v>64</v>
      </c>
      <c r="O1959" t="s">
        <v>46</v>
      </c>
      <c r="P1959" t="s">
        <v>46</v>
      </c>
      <c r="Y1959" t="s">
        <v>6626</v>
      </c>
    </row>
    <row r="1960" spans="1:25">
      <c r="A1960" t="s">
        <v>6627</v>
      </c>
      <c r="B1960" t="s">
        <v>6628</v>
      </c>
      <c r="D1960" t="s">
        <v>40</v>
      </c>
      <c r="E1960" t="s">
        <v>41</v>
      </c>
      <c r="J1960" t="s">
        <v>68</v>
      </c>
      <c r="K1960" t="s">
        <v>69</v>
      </c>
      <c r="L1960">
        <v>11</v>
      </c>
      <c r="M1960" t="s">
        <v>6619</v>
      </c>
      <c r="N1960" t="s">
        <v>64</v>
      </c>
      <c r="O1960" t="s">
        <v>46</v>
      </c>
      <c r="P1960" t="s">
        <v>46</v>
      </c>
      <c r="Y1960" t="s">
        <v>6629</v>
      </c>
    </row>
    <row r="1961" spans="1:25">
      <c r="A1961" t="s">
        <v>6630</v>
      </c>
      <c r="B1961" t="s">
        <v>6631</v>
      </c>
      <c r="D1961" t="s">
        <v>40</v>
      </c>
      <c r="E1961" t="s">
        <v>41</v>
      </c>
      <c r="J1961" t="s">
        <v>68</v>
      </c>
      <c r="K1961" t="s">
        <v>69</v>
      </c>
      <c r="L1961">
        <v>11</v>
      </c>
      <c r="M1961" t="s">
        <v>6632</v>
      </c>
      <c r="N1961" t="s">
        <v>64</v>
      </c>
      <c r="O1961" t="s">
        <v>46</v>
      </c>
      <c r="P1961" t="s">
        <v>46</v>
      </c>
      <c r="Y1961" t="s">
        <v>6633</v>
      </c>
    </row>
    <row r="1962" spans="1:25">
      <c r="A1962" t="s">
        <v>6634</v>
      </c>
      <c r="B1962" t="s">
        <v>6635</v>
      </c>
      <c r="D1962" t="s">
        <v>40</v>
      </c>
      <c r="E1962" t="s">
        <v>41</v>
      </c>
      <c r="J1962" t="s">
        <v>50</v>
      </c>
      <c r="K1962" t="s">
        <v>51</v>
      </c>
      <c r="L1962">
        <v>11</v>
      </c>
      <c r="M1962" t="s">
        <v>6632</v>
      </c>
      <c r="N1962" t="s">
        <v>291</v>
      </c>
      <c r="O1962" t="s">
        <v>46</v>
      </c>
      <c r="P1962" t="s">
        <v>46</v>
      </c>
      <c r="Y1962" t="s">
        <v>6636</v>
      </c>
    </row>
    <row r="1963" spans="1:25">
      <c r="A1963" t="s">
        <v>6637</v>
      </c>
      <c r="B1963" t="s">
        <v>6638</v>
      </c>
      <c r="D1963" t="s">
        <v>40</v>
      </c>
      <c r="E1963" t="s">
        <v>41</v>
      </c>
      <c r="J1963" t="s">
        <v>68</v>
      </c>
      <c r="K1963" t="s">
        <v>69</v>
      </c>
      <c r="L1963">
        <v>11</v>
      </c>
      <c r="M1963" t="s">
        <v>6632</v>
      </c>
      <c r="N1963" t="s">
        <v>64</v>
      </c>
      <c r="O1963" t="s">
        <v>46</v>
      </c>
      <c r="P1963" t="s">
        <v>46</v>
      </c>
      <c r="Y1963" t="s">
        <v>6639</v>
      </c>
    </row>
    <row r="1964" spans="1:25">
      <c r="A1964" t="s">
        <v>6640</v>
      </c>
      <c r="B1964" t="s">
        <v>6641</v>
      </c>
      <c r="D1964" t="s">
        <v>40</v>
      </c>
      <c r="E1964" t="s">
        <v>41</v>
      </c>
      <c r="J1964" t="s">
        <v>182</v>
      </c>
      <c r="K1964" t="s">
        <v>183</v>
      </c>
      <c r="L1964">
        <v>11</v>
      </c>
      <c r="M1964" t="s">
        <v>6632</v>
      </c>
      <c r="N1964" t="s">
        <v>64</v>
      </c>
      <c r="O1964" t="s">
        <v>46</v>
      </c>
      <c r="P1964" t="s">
        <v>46</v>
      </c>
      <c r="Y1964" t="s">
        <v>6642</v>
      </c>
    </row>
    <row r="1965" spans="1:25">
      <c r="A1965" t="s">
        <v>6643</v>
      </c>
      <c r="B1965" t="s">
        <v>6644</v>
      </c>
      <c r="D1965" t="s">
        <v>40</v>
      </c>
      <c r="E1965" t="s">
        <v>41</v>
      </c>
      <c r="J1965" t="s">
        <v>76</v>
      </c>
      <c r="K1965" t="s">
        <v>77</v>
      </c>
      <c r="L1965">
        <v>11</v>
      </c>
      <c r="M1965" t="s">
        <v>6632</v>
      </c>
      <c r="N1965" t="s">
        <v>64</v>
      </c>
      <c r="O1965" t="s">
        <v>46</v>
      </c>
      <c r="P1965" t="s">
        <v>46</v>
      </c>
      <c r="Y1965" t="s">
        <v>6645</v>
      </c>
    </row>
    <row r="1966" spans="1:25">
      <c r="A1966" t="s">
        <v>6646</v>
      </c>
      <c r="B1966" t="s">
        <v>6647</v>
      </c>
      <c r="D1966" t="s">
        <v>40</v>
      </c>
      <c r="E1966" t="s">
        <v>41</v>
      </c>
      <c r="J1966" t="s">
        <v>182</v>
      </c>
      <c r="K1966" t="s">
        <v>183</v>
      </c>
      <c r="L1966">
        <v>11</v>
      </c>
      <c r="M1966" t="s">
        <v>6648</v>
      </c>
      <c r="N1966" t="s">
        <v>64</v>
      </c>
      <c r="O1966" t="s">
        <v>46</v>
      </c>
      <c r="P1966" t="s">
        <v>46</v>
      </c>
      <c r="Y1966" t="s">
        <v>6649</v>
      </c>
    </row>
    <row r="1967" spans="1:25">
      <c r="A1967" t="s">
        <v>6650</v>
      </c>
      <c r="B1967" t="s">
        <v>6651</v>
      </c>
      <c r="D1967" t="s">
        <v>40</v>
      </c>
      <c r="E1967" t="s">
        <v>41</v>
      </c>
      <c r="J1967" t="s">
        <v>68</v>
      </c>
      <c r="K1967" t="s">
        <v>69</v>
      </c>
      <c r="L1967">
        <v>11</v>
      </c>
      <c r="M1967" t="s">
        <v>6648</v>
      </c>
      <c r="N1967" t="s">
        <v>64</v>
      </c>
      <c r="O1967" t="s">
        <v>46</v>
      </c>
      <c r="P1967" t="s">
        <v>46</v>
      </c>
      <c r="Y1967" t="s">
        <v>6652</v>
      </c>
    </row>
    <row r="1968" spans="1:25">
      <c r="A1968" t="s">
        <v>6653</v>
      </c>
      <c r="B1968" t="s">
        <v>6654</v>
      </c>
      <c r="D1968" t="s">
        <v>40</v>
      </c>
      <c r="E1968" t="s">
        <v>41</v>
      </c>
      <c r="J1968" t="s">
        <v>50</v>
      </c>
      <c r="K1968" t="s">
        <v>51</v>
      </c>
      <c r="L1968">
        <v>11</v>
      </c>
      <c r="M1968" t="s">
        <v>6648</v>
      </c>
      <c r="N1968" t="s">
        <v>45</v>
      </c>
      <c r="O1968" t="s">
        <v>46</v>
      </c>
      <c r="P1968" t="s">
        <v>46</v>
      </c>
      <c r="Y1968" t="s">
        <v>6655</v>
      </c>
    </row>
    <row r="1969" spans="1:25">
      <c r="A1969" t="s">
        <v>6656</v>
      </c>
      <c r="B1969" t="s">
        <v>6657</v>
      </c>
      <c r="D1969" t="s">
        <v>40</v>
      </c>
      <c r="E1969" t="s">
        <v>41</v>
      </c>
      <c r="J1969" t="s">
        <v>182</v>
      </c>
      <c r="K1969" t="s">
        <v>183</v>
      </c>
      <c r="L1969">
        <v>11</v>
      </c>
      <c r="M1969" t="s">
        <v>6658</v>
      </c>
      <c r="N1969" t="s">
        <v>64</v>
      </c>
      <c r="O1969" t="s">
        <v>46</v>
      </c>
      <c r="P1969" t="s">
        <v>46</v>
      </c>
      <c r="Y1969" t="s">
        <v>6659</v>
      </c>
    </row>
    <row r="1970" spans="1:25">
      <c r="A1970" t="s">
        <v>6660</v>
      </c>
      <c r="B1970" t="s">
        <v>6661</v>
      </c>
      <c r="D1970" t="s">
        <v>40</v>
      </c>
      <c r="E1970" t="s">
        <v>41</v>
      </c>
      <c r="J1970" t="s">
        <v>182</v>
      </c>
      <c r="K1970" t="s">
        <v>183</v>
      </c>
      <c r="L1970">
        <v>11</v>
      </c>
      <c r="M1970" t="s">
        <v>6658</v>
      </c>
      <c r="N1970" t="s">
        <v>64</v>
      </c>
      <c r="O1970" t="s">
        <v>46</v>
      </c>
      <c r="P1970" t="s">
        <v>46</v>
      </c>
      <c r="Y1970" t="s">
        <v>6662</v>
      </c>
    </row>
    <row r="1971" spans="1:25">
      <c r="A1971" t="s">
        <v>6663</v>
      </c>
      <c r="B1971" t="s">
        <v>6664</v>
      </c>
      <c r="D1971" t="s">
        <v>40</v>
      </c>
      <c r="E1971" t="s">
        <v>41</v>
      </c>
      <c r="J1971" t="s">
        <v>599</v>
      </c>
      <c r="K1971" t="s">
        <v>600</v>
      </c>
      <c r="L1971">
        <v>11</v>
      </c>
      <c r="M1971" t="s">
        <v>6658</v>
      </c>
      <c r="N1971" t="s">
        <v>53</v>
      </c>
      <c r="O1971" t="s">
        <v>46</v>
      </c>
      <c r="P1971" t="s">
        <v>46</v>
      </c>
      <c r="Y1971" t="s">
        <v>6665</v>
      </c>
    </row>
    <row r="1972" spans="1:25">
      <c r="A1972" t="s">
        <v>6666</v>
      </c>
      <c r="B1972" t="s">
        <v>6667</v>
      </c>
      <c r="D1972" t="s">
        <v>40</v>
      </c>
      <c r="E1972" t="s">
        <v>41</v>
      </c>
      <c r="J1972" t="s">
        <v>68</v>
      </c>
      <c r="K1972" t="s">
        <v>69</v>
      </c>
      <c r="L1972">
        <v>11</v>
      </c>
      <c r="M1972" t="s">
        <v>6658</v>
      </c>
      <c r="N1972" t="s">
        <v>64</v>
      </c>
      <c r="O1972" t="s">
        <v>46</v>
      </c>
      <c r="P1972" t="s">
        <v>46</v>
      </c>
      <c r="Y1972" t="s">
        <v>6668</v>
      </c>
    </row>
    <row r="1973" spans="1:25">
      <c r="A1973" t="s">
        <v>6669</v>
      </c>
      <c r="B1973" t="s">
        <v>6670</v>
      </c>
      <c r="D1973" t="s">
        <v>40</v>
      </c>
      <c r="E1973" t="s">
        <v>41</v>
      </c>
      <c r="J1973" t="s">
        <v>68</v>
      </c>
      <c r="K1973" t="s">
        <v>69</v>
      </c>
      <c r="L1973">
        <v>11</v>
      </c>
      <c r="M1973" t="s">
        <v>6671</v>
      </c>
      <c r="N1973" t="s">
        <v>64</v>
      </c>
      <c r="O1973" t="s">
        <v>46</v>
      </c>
      <c r="P1973" t="s">
        <v>46</v>
      </c>
      <c r="Y1973" t="s">
        <v>6672</v>
      </c>
    </row>
    <row r="1974" spans="1:25">
      <c r="A1974" t="s">
        <v>6673</v>
      </c>
      <c r="B1974" t="s">
        <v>6674</v>
      </c>
      <c r="D1974" t="s">
        <v>40</v>
      </c>
      <c r="E1974" t="s">
        <v>41</v>
      </c>
      <c r="J1974" t="s">
        <v>42</v>
      </c>
      <c r="K1974" t="s">
        <v>43</v>
      </c>
      <c r="L1974">
        <v>11</v>
      </c>
      <c r="M1974" t="s">
        <v>6671</v>
      </c>
      <c r="N1974" t="s">
        <v>2154</v>
      </c>
      <c r="O1974" t="s">
        <v>46</v>
      </c>
      <c r="P1974" t="s">
        <v>46</v>
      </c>
      <c r="Y1974" t="s">
        <v>6675</v>
      </c>
    </row>
    <row r="1975" spans="1:25">
      <c r="A1975" t="s">
        <v>6676</v>
      </c>
      <c r="B1975" t="s">
        <v>6677</v>
      </c>
      <c r="D1975" t="s">
        <v>40</v>
      </c>
      <c r="E1975" t="s">
        <v>41</v>
      </c>
      <c r="J1975" t="s">
        <v>182</v>
      </c>
      <c r="K1975" t="s">
        <v>183</v>
      </c>
      <c r="L1975">
        <v>11</v>
      </c>
      <c r="M1975" t="s">
        <v>6678</v>
      </c>
      <c r="N1975" t="s">
        <v>64</v>
      </c>
      <c r="O1975" t="s">
        <v>46</v>
      </c>
      <c r="P1975" t="s">
        <v>46</v>
      </c>
      <c r="Y1975" t="s">
        <v>6679</v>
      </c>
    </row>
    <row r="1976" spans="1:25">
      <c r="A1976" t="s">
        <v>6680</v>
      </c>
      <c r="B1976" t="s">
        <v>6681</v>
      </c>
      <c r="D1976" t="s">
        <v>40</v>
      </c>
      <c r="E1976" t="s">
        <v>41</v>
      </c>
      <c r="J1976" t="s">
        <v>182</v>
      </c>
      <c r="K1976" t="s">
        <v>183</v>
      </c>
      <c r="L1976">
        <v>11</v>
      </c>
      <c r="M1976" t="s">
        <v>6678</v>
      </c>
      <c r="N1976" t="s">
        <v>64</v>
      </c>
      <c r="O1976" t="s">
        <v>46</v>
      </c>
      <c r="P1976" t="s">
        <v>46</v>
      </c>
      <c r="Y1976" t="s">
        <v>6682</v>
      </c>
    </row>
    <row r="1977" spans="1:25">
      <c r="A1977" t="s">
        <v>6683</v>
      </c>
      <c r="B1977" t="s">
        <v>6684</v>
      </c>
      <c r="D1977" t="s">
        <v>40</v>
      </c>
      <c r="E1977" t="s">
        <v>41</v>
      </c>
      <c r="J1977" t="s">
        <v>182</v>
      </c>
      <c r="K1977" t="s">
        <v>183</v>
      </c>
      <c r="L1977">
        <v>11</v>
      </c>
      <c r="M1977" t="s">
        <v>6685</v>
      </c>
      <c r="N1977" t="s">
        <v>64</v>
      </c>
      <c r="O1977" t="s">
        <v>46</v>
      </c>
      <c r="P1977" t="s">
        <v>46</v>
      </c>
      <c r="Y1977" t="s">
        <v>6686</v>
      </c>
    </row>
    <row r="1978" spans="1:25">
      <c r="A1978" t="s">
        <v>6687</v>
      </c>
      <c r="B1978" t="s">
        <v>6688</v>
      </c>
      <c r="D1978" t="s">
        <v>40</v>
      </c>
      <c r="E1978" t="s">
        <v>41</v>
      </c>
      <c r="J1978" t="s">
        <v>42</v>
      </c>
      <c r="K1978" t="s">
        <v>43</v>
      </c>
      <c r="L1978">
        <v>11</v>
      </c>
      <c r="M1978" t="s">
        <v>6685</v>
      </c>
      <c r="N1978" t="s">
        <v>310</v>
      </c>
      <c r="O1978" t="s">
        <v>46</v>
      </c>
      <c r="P1978" t="s">
        <v>46</v>
      </c>
      <c r="Y1978" t="s">
        <v>6689</v>
      </c>
    </row>
    <row r="1979" spans="1:25">
      <c r="A1979" t="s">
        <v>6690</v>
      </c>
      <c r="B1979" t="s">
        <v>6691</v>
      </c>
      <c r="D1979" t="s">
        <v>40</v>
      </c>
      <c r="E1979" t="s">
        <v>41</v>
      </c>
      <c r="J1979" t="s">
        <v>68</v>
      </c>
      <c r="K1979" t="s">
        <v>69</v>
      </c>
      <c r="L1979">
        <v>11</v>
      </c>
      <c r="M1979" t="s">
        <v>6685</v>
      </c>
      <c r="N1979" t="s">
        <v>64</v>
      </c>
      <c r="O1979" t="s">
        <v>46</v>
      </c>
      <c r="P1979" t="s">
        <v>46</v>
      </c>
      <c r="Y1979" t="s">
        <v>6692</v>
      </c>
    </row>
    <row r="1980" spans="1:25">
      <c r="A1980" t="s">
        <v>6693</v>
      </c>
      <c r="B1980" t="s">
        <v>6694</v>
      </c>
      <c r="D1980" t="s">
        <v>40</v>
      </c>
      <c r="E1980" t="s">
        <v>41</v>
      </c>
      <c r="J1980" t="s">
        <v>76</v>
      </c>
      <c r="K1980" t="s">
        <v>77</v>
      </c>
      <c r="L1980">
        <v>11</v>
      </c>
      <c r="M1980" t="s">
        <v>6695</v>
      </c>
      <c r="N1980" t="s">
        <v>64</v>
      </c>
      <c r="O1980" t="s">
        <v>46</v>
      </c>
      <c r="P1980" t="s">
        <v>46</v>
      </c>
      <c r="Y1980" t="s">
        <v>6696</v>
      </c>
    </row>
    <row r="1981" spans="1:25">
      <c r="A1981" t="s">
        <v>6697</v>
      </c>
      <c r="B1981" t="s">
        <v>6698</v>
      </c>
      <c r="D1981" t="s">
        <v>40</v>
      </c>
      <c r="E1981" t="s">
        <v>41</v>
      </c>
      <c r="J1981" t="s">
        <v>76</v>
      </c>
      <c r="K1981" t="s">
        <v>77</v>
      </c>
      <c r="L1981">
        <v>11</v>
      </c>
      <c r="M1981" t="s">
        <v>6695</v>
      </c>
      <c r="N1981" t="s">
        <v>64</v>
      </c>
      <c r="O1981" t="s">
        <v>46</v>
      </c>
      <c r="P1981" t="s">
        <v>46</v>
      </c>
      <c r="Y1981" t="s">
        <v>6699</v>
      </c>
    </row>
    <row r="1982" spans="1:25">
      <c r="A1982" t="s">
        <v>6700</v>
      </c>
      <c r="B1982" t="s">
        <v>6701</v>
      </c>
      <c r="D1982" t="s">
        <v>40</v>
      </c>
      <c r="E1982" t="s">
        <v>41</v>
      </c>
      <c r="J1982" t="s">
        <v>68</v>
      </c>
      <c r="K1982" t="s">
        <v>69</v>
      </c>
      <c r="L1982">
        <v>11</v>
      </c>
      <c r="M1982" t="s">
        <v>6695</v>
      </c>
      <c r="N1982" t="s">
        <v>64</v>
      </c>
      <c r="O1982" t="s">
        <v>46</v>
      </c>
      <c r="P1982" t="s">
        <v>46</v>
      </c>
      <c r="Y1982" t="s">
        <v>6702</v>
      </c>
    </row>
    <row r="1983" spans="1:25">
      <c r="A1983" t="s">
        <v>6703</v>
      </c>
      <c r="B1983" t="s">
        <v>6704</v>
      </c>
      <c r="D1983" t="s">
        <v>40</v>
      </c>
      <c r="E1983" t="s">
        <v>41</v>
      </c>
      <c r="J1983" t="s">
        <v>42</v>
      </c>
      <c r="K1983" t="s">
        <v>43</v>
      </c>
      <c r="L1983">
        <v>11</v>
      </c>
      <c r="M1983" t="s">
        <v>6695</v>
      </c>
      <c r="N1983" t="s">
        <v>315</v>
      </c>
      <c r="O1983" t="s">
        <v>46</v>
      </c>
      <c r="P1983" t="s">
        <v>46</v>
      </c>
      <c r="Y1983" t="s">
        <v>6705</v>
      </c>
    </row>
    <row r="1984" spans="1:25">
      <c r="A1984" t="s">
        <v>6706</v>
      </c>
      <c r="B1984" t="s">
        <v>6707</v>
      </c>
      <c r="D1984" t="s">
        <v>40</v>
      </c>
      <c r="E1984" t="s">
        <v>41</v>
      </c>
      <c r="J1984" t="s">
        <v>50</v>
      </c>
      <c r="K1984" t="s">
        <v>51</v>
      </c>
      <c r="L1984">
        <v>11</v>
      </c>
      <c r="M1984" t="s">
        <v>6695</v>
      </c>
      <c r="N1984" t="s">
        <v>617</v>
      </c>
      <c r="O1984" t="s">
        <v>46</v>
      </c>
      <c r="P1984" t="s">
        <v>46</v>
      </c>
      <c r="Y1984" t="s">
        <v>6708</v>
      </c>
    </row>
    <row r="1985" spans="1:25">
      <c r="A1985" t="s">
        <v>6709</v>
      </c>
      <c r="B1985" t="s">
        <v>6710</v>
      </c>
      <c r="D1985" t="s">
        <v>40</v>
      </c>
      <c r="E1985" t="s">
        <v>41</v>
      </c>
      <c r="J1985" t="s">
        <v>76</v>
      </c>
      <c r="K1985" t="s">
        <v>77</v>
      </c>
      <c r="L1985">
        <v>10</v>
      </c>
      <c r="M1985" t="s">
        <v>6711</v>
      </c>
      <c r="N1985" t="s">
        <v>64</v>
      </c>
      <c r="O1985" t="s">
        <v>46</v>
      </c>
      <c r="P1985" t="s">
        <v>46</v>
      </c>
      <c r="Y1985" t="s">
        <v>6712</v>
      </c>
    </row>
    <row r="1986" spans="1:25">
      <c r="A1986" t="s">
        <v>6713</v>
      </c>
      <c r="B1986" t="s">
        <v>6714</v>
      </c>
      <c r="D1986" t="s">
        <v>40</v>
      </c>
      <c r="E1986" t="s">
        <v>41</v>
      </c>
      <c r="J1986" t="s">
        <v>182</v>
      </c>
      <c r="K1986" t="s">
        <v>183</v>
      </c>
      <c r="L1986">
        <v>10</v>
      </c>
      <c r="M1986" t="s">
        <v>6711</v>
      </c>
      <c r="N1986" t="s">
        <v>64</v>
      </c>
      <c r="O1986" t="s">
        <v>46</v>
      </c>
      <c r="P1986" t="s">
        <v>46</v>
      </c>
      <c r="Y1986" t="s">
        <v>6715</v>
      </c>
    </row>
    <row r="1987" spans="1:25">
      <c r="A1987" t="s">
        <v>6716</v>
      </c>
      <c r="B1987" t="s">
        <v>6717</v>
      </c>
      <c r="D1987" t="s">
        <v>40</v>
      </c>
      <c r="E1987" t="s">
        <v>41</v>
      </c>
      <c r="J1987" t="s">
        <v>182</v>
      </c>
      <c r="K1987" t="s">
        <v>183</v>
      </c>
      <c r="L1987">
        <v>10</v>
      </c>
      <c r="M1987" t="s">
        <v>6718</v>
      </c>
      <c r="N1987" t="s">
        <v>64</v>
      </c>
      <c r="O1987" t="s">
        <v>46</v>
      </c>
      <c r="P1987" t="s">
        <v>46</v>
      </c>
      <c r="Y1987" t="s">
        <v>6719</v>
      </c>
    </row>
    <row r="1988" spans="1:25">
      <c r="A1988" t="s">
        <v>6720</v>
      </c>
      <c r="B1988" t="s">
        <v>6721</v>
      </c>
      <c r="D1988" t="s">
        <v>40</v>
      </c>
      <c r="E1988" t="s">
        <v>41</v>
      </c>
      <c r="J1988" t="s">
        <v>68</v>
      </c>
      <c r="K1988" t="s">
        <v>69</v>
      </c>
      <c r="L1988">
        <v>10</v>
      </c>
      <c r="M1988" t="s">
        <v>6718</v>
      </c>
      <c r="N1988" t="s">
        <v>64</v>
      </c>
      <c r="O1988" t="s">
        <v>46</v>
      </c>
      <c r="P1988" t="s">
        <v>46</v>
      </c>
      <c r="Y1988" t="s">
        <v>6722</v>
      </c>
    </row>
    <row r="1989" spans="1:25">
      <c r="A1989" t="s">
        <v>6723</v>
      </c>
      <c r="B1989" t="s">
        <v>6724</v>
      </c>
      <c r="D1989" t="s">
        <v>40</v>
      </c>
      <c r="E1989" t="s">
        <v>41</v>
      </c>
      <c r="J1989" t="s">
        <v>182</v>
      </c>
      <c r="K1989" t="s">
        <v>183</v>
      </c>
      <c r="L1989">
        <v>10</v>
      </c>
      <c r="M1989" t="s">
        <v>6718</v>
      </c>
      <c r="N1989" t="s">
        <v>64</v>
      </c>
      <c r="O1989" t="s">
        <v>46</v>
      </c>
      <c r="P1989" t="s">
        <v>46</v>
      </c>
      <c r="Y1989" t="s">
        <v>6725</v>
      </c>
    </row>
    <row r="1990" spans="1:25">
      <c r="A1990" t="s">
        <v>6726</v>
      </c>
      <c r="B1990" t="s">
        <v>6727</v>
      </c>
      <c r="D1990" t="s">
        <v>40</v>
      </c>
      <c r="E1990" t="s">
        <v>41</v>
      </c>
      <c r="J1990" t="s">
        <v>76</v>
      </c>
      <c r="K1990" t="s">
        <v>77</v>
      </c>
      <c r="L1990">
        <v>10</v>
      </c>
      <c r="M1990" t="s">
        <v>6718</v>
      </c>
      <c r="N1990" t="s">
        <v>64</v>
      </c>
      <c r="O1990" t="s">
        <v>46</v>
      </c>
      <c r="P1990" t="s">
        <v>46</v>
      </c>
      <c r="Y1990" t="s">
        <v>6728</v>
      </c>
    </row>
    <row r="1991" spans="1:25">
      <c r="A1991" t="s">
        <v>6729</v>
      </c>
      <c r="B1991" t="s">
        <v>6730</v>
      </c>
      <c r="D1991" t="s">
        <v>40</v>
      </c>
      <c r="E1991" t="s">
        <v>41</v>
      </c>
      <c r="J1991" t="s">
        <v>182</v>
      </c>
      <c r="K1991" t="s">
        <v>183</v>
      </c>
      <c r="L1991">
        <v>10</v>
      </c>
      <c r="M1991" t="s">
        <v>6718</v>
      </c>
      <c r="N1991" t="s">
        <v>64</v>
      </c>
      <c r="O1991" t="s">
        <v>46</v>
      </c>
      <c r="P1991" t="s">
        <v>46</v>
      </c>
      <c r="Y1991" t="s">
        <v>6731</v>
      </c>
    </row>
    <row r="1992" spans="1:25">
      <c r="A1992" t="s">
        <v>6732</v>
      </c>
      <c r="B1992" t="s">
        <v>6733</v>
      </c>
      <c r="D1992" t="s">
        <v>40</v>
      </c>
      <c r="E1992" t="s">
        <v>41</v>
      </c>
      <c r="J1992" t="s">
        <v>182</v>
      </c>
      <c r="K1992" t="s">
        <v>183</v>
      </c>
      <c r="L1992">
        <v>10</v>
      </c>
      <c r="M1992" t="s">
        <v>6718</v>
      </c>
      <c r="N1992" t="s">
        <v>64</v>
      </c>
      <c r="O1992" t="s">
        <v>46</v>
      </c>
      <c r="P1992" t="s">
        <v>46</v>
      </c>
      <c r="Y1992" t="s">
        <v>6734</v>
      </c>
    </row>
    <row r="1993" spans="1:25">
      <c r="A1993" t="s">
        <v>6735</v>
      </c>
      <c r="B1993" t="s">
        <v>6736</v>
      </c>
      <c r="D1993" t="s">
        <v>40</v>
      </c>
      <c r="E1993" t="s">
        <v>41</v>
      </c>
      <c r="J1993" t="s">
        <v>182</v>
      </c>
      <c r="K1993" t="s">
        <v>183</v>
      </c>
      <c r="L1993">
        <v>10</v>
      </c>
      <c r="M1993" t="s">
        <v>6737</v>
      </c>
      <c r="N1993" t="s">
        <v>64</v>
      </c>
      <c r="O1993" t="s">
        <v>46</v>
      </c>
      <c r="P1993" t="s">
        <v>46</v>
      </c>
      <c r="Y1993" t="s">
        <v>6738</v>
      </c>
    </row>
    <row r="1994" spans="1:25">
      <c r="A1994" t="s">
        <v>6739</v>
      </c>
      <c r="B1994" t="s">
        <v>6740</v>
      </c>
      <c r="D1994" t="s">
        <v>40</v>
      </c>
      <c r="E1994" t="s">
        <v>41</v>
      </c>
      <c r="J1994" t="s">
        <v>139</v>
      </c>
      <c r="K1994" t="s">
        <v>140</v>
      </c>
      <c r="L1994">
        <v>10</v>
      </c>
      <c r="M1994" t="s">
        <v>6737</v>
      </c>
      <c r="N1994" t="s">
        <v>1189</v>
      </c>
      <c r="O1994" t="s">
        <v>46</v>
      </c>
      <c r="P1994" t="s">
        <v>46</v>
      </c>
      <c r="Y1994" t="s">
        <v>6741</v>
      </c>
    </row>
    <row r="1995" spans="1:25">
      <c r="A1995" t="s">
        <v>6742</v>
      </c>
      <c r="B1995" t="s">
        <v>6743</v>
      </c>
      <c r="D1995" t="s">
        <v>40</v>
      </c>
      <c r="E1995" t="s">
        <v>41</v>
      </c>
      <c r="J1995" t="s">
        <v>264</v>
      </c>
      <c r="K1995" t="s">
        <v>265</v>
      </c>
      <c r="L1995">
        <v>13</v>
      </c>
      <c r="M1995" t="s">
        <v>6737</v>
      </c>
      <c r="N1995" t="s">
        <v>5995</v>
      </c>
      <c r="O1995" t="s">
        <v>46</v>
      </c>
      <c r="P1995" t="s">
        <v>46</v>
      </c>
      <c r="Y1995" t="s">
        <v>6744</v>
      </c>
    </row>
    <row r="1996" spans="1:25">
      <c r="A1996" t="s">
        <v>6745</v>
      </c>
      <c r="B1996" t="s">
        <v>6746</v>
      </c>
      <c r="D1996" t="s">
        <v>40</v>
      </c>
      <c r="E1996" t="s">
        <v>41</v>
      </c>
      <c r="J1996" t="s">
        <v>182</v>
      </c>
      <c r="K1996" t="s">
        <v>183</v>
      </c>
      <c r="L1996">
        <v>10</v>
      </c>
      <c r="M1996" t="s">
        <v>6747</v>
      </c>
      <c r="N1996" t="s">
        <v>64</v>
      </c>
      <c r="O1996" t="s">
        <v>46</v>
      </c>
      <c r="P1996" t="s">
        <v>46</v>
      </c>
      <c r="Y1996" t="s">
        <v>6748</v>
      </c>
    </row>
    <row r="1997" spans="1:25">
      <c r="A1997" t="s">
        <v>6749</v>
      </c>
      <c r="B1997" t="s">
        <v>6750</v>
      </c>
      <c r="D1997" t="s">
        <v>40</v>
      </c>
      <c r="E1997" t="s">
        <v>41</v>
      </c>
      <c r="J1997" t="s">
        <v>182</v>
      </c>
      <c r="K1997" t="s">
        <v>183</v>
      </c>
      <c r="L1997">
        <v>10</v>
      </c>
      <c r="M1997" t="s">
        <v>6751</v>
      </c>
      <c r="N1997" t="s">
        <v>64</v>
      </c>
      <c r="O1997" t="s">
        <v>46</v>
      </c>
      <c r="P1997" t="s">
        <v>46</v>
      </c>
      <c r="Y1997" t="s">
        <v>6752</v>
      </c>
    </row>
    <row r="1998" spans="1:25">
      <c r="A1998" t="s">
        <v>6753</v>
      </c>
      <c r="B1998" t="s">
        <v>6754</v>
      </c>
      <c r="D1998" t="s">
        <v>40</v>
      </c>
      <c r="E1998" t="s">
        <v>41</v>
      </c>
      <c r="J1998" t="s">
        <v>182</v>
      </c>
      <c r="K1998" t="s">
        <v>183</v>
      </c>
      <c r="L1998">
        <v>10</v>
      </c>
      <c r="M1998" t="s">
        <v>6751</v>
      </c>
      <c r="N1998" t="s">
        <v>64</v>
      </c>
      <c r="O1998" t="s">
        <v>46</v>
      </c>
      <c r="P1998" t="s">
        <v>46</v>
      </c>
      <c r="Y1998" t="s">
        <v>6755</v>
      </c>
    </row>
    <row r="1999" spans="1:25">
      <c r="A1999" t="s">
        <v>6756</v>
      </c>
      <c r="B1999" t="s">
        <v>6757</v>
      </c>
      <c r="D1999" t="s">
        <v>40</v>
      </c>
      <c r="E1999" t="s">
        <v>41</v>
      </c>
      <c r="J1999" t="s">
        <v>182</v>
      </c>
      <c r="K1999" t="s">
        <v>183</v>
      </c>
      <c r="L1999">
        <v>10</v>
      </c>
      <c r="M1999" t="s">
        <v>6751</v>
      </c>
      <c r="N1999" t="s">
        <v>64</v>
      </c>
      <c r="O1999" t="s">
        <v>46</v>
      </c>
      <c r="P1999" t="s">
        <v>46</v>
      </c>
      <c r="Y1999" t="s">
        <v>6758</v>
      </c>
    </row>
    <row r="2000" spans="1:25">
      <c r="A2000" t="s">
        <v>6759</v>
      </c>
      <c r="B2000" t="s">
        <v>6760</v>
      </c>
      <c r="D2000" t="s">
        <v>40</v>
      </c>
      <c r="E2000" t="s">
        <v>41</v>
      </c>
      <c r="J2000" t="s">
        <v>182</v>
      </c>
      <c r="K2000" t="s">
        <v>183</v>
      </c>
      <c r="L2000">
        <v>10</v>
      </c>
      <c r="M2000" t="s">
        <v>6751</v>
      </c>
      <c r="N2000" t="s">
        <v>64</v>
      </c>
      <c r="O2000" t="s">
        <v>46</v>
      </c>
      <c r="P2000" t="s">
        <v>46</v>
      </c>
      <c r="Y2000" t="s">
        <v>6761</v>
      </c>
    </row>
    <row r="2001" spans="1:25">
      <c r="A2001" t="s">
        <v>6762</v>
      </c>
      <c r="B2001" t="s">
        <v>6763</v>
      </c>
      <c r="D2001" t="s">
        <v>40</v>
      </c>
      <c r="E2001" t="s">
        <v>41</v>
      </c>
      <c r="J2001" t="s">
        <v>42</v>
      </c>
      <c r="K2001" t="s">
        <v>43</v>
      </c>
      <c r="L2001">
        <v>10</v>
      </c>
      <c r="M2001" t="s">
        <v>6751</v>
      </c>
      <c r="N2001" t="s">
        <v>305</v>
      </c>
      <c r="O2001" t="s">
        <v>46</v>
      </c>
      <c r="P2001" t="s">
        <v>46</v>
      </c>
      <c r="Y2001" t="s">
        <v>6764</v>
      </c>
    </row>
    <row r="2002" spans="1:25">
      <c r="A2002" t="s">
        <v>6765</v>
      </c>
      <c r="B2002" t="s">
        <v>6766</v>
      </c>
      <c r="D2002" t="s">
        <v>40</v>
      </c>
      <c r="E2002" t="s">
        <v>41</v>
      </c>
      <c r="J2002" t="s">
        <v>182</v>
      </c>
      <c r="K2002" t="s">
        <v>183</v>
      </c>
      <c r="L2002">
        <v>10</v>
      </c>
      <c r="M2002" t="s">
        <v>6751</v>
      </c>
      <c r="N2002" t="s">
        <v>64</v>
      </c>
      <c r="O2002" t="s">
        <v>46</v>
      </c>
      <c r="P2002" t="s">
        <v>46</v>
      </c>
      <c r="Y2002" t="s">
        <v>6767</v>
      </c>
    </row>
    <row r="2003" spans="1:25">
      <c r="A2003" t="s">
        <v>6768</v>
      </c>
      <c r="B2003" t="s">
        <v>6769</v>
      </c>
      <c r="D2003" t="s">
        <v>40</v>
      </c>
      <c r="E2003" t="s">
        <v>41</v>
      </c>
      <c r="J2003" t="s">
        <v>182</v>
      </c>
      <c r="K2003" t="s">
        <v>183</v>
      </c>
      <c r="L2003">
        <v>10</v>
      </c>
      <c r="M2003" t="s">
        <v>6751</v>
      </c>
      <c r="N2003" t="s">
        <v>64</v>
      </c>
      <c r="O2003" t="s">
        <v>46</v>
      </c>
      <c r="P2003" t="s">
        <v>46</v>
      </c>
      <c r="Y2003" t="s">
        <v>6770</v>
      </c>
    </row>
    <row r="2004" spans="1:25">
      <c r="A2004" t="s">
        <v>6771</v>
      </c>
      <c r="B2004" t="s">
        <v>6772</v>
      </c>
      <c r="D2004" t="s">
        <v>40</v>
      </c>
      <c r="E2004" t="s">
        <v>41</v>
      </c>
      <c r="J2004" t="s">
        <v>182</v>
      </c>
      <c r="K2004" t="s">
        <v>183</v>
      </c>
      <c r="L2004">
        <v>10</v>
      </c>
      <c r="M2004" t="s">
        <v>6751</v>
      </c>
      <c r="N2004" t="s">
        <v>64</v>
      </c>
      <c r="O2004" t="s">
        <v>46</v>
      </c>
      <c r="P2004" t="s">
        <v>46</v>
      </c>
      <c r="Y2004" t="s">
        <v>6773</v>
      </c>
    </row>
    <row r="2005" spans="1:25">
      <c r="A2005" t="s">
        <v>6774</v>
      </c>
      <c r="B2005" t="s">
        <v>6775</v>
      </c>
      <c r="D2005" t="s">
        <v>40</v>
      </c>
      <c r="E2005" t="s">
        <v>41</v>
      </c>
      <c r="J2005" t="s">
        <v>182</v>
      </c>
      <c r="K2005" t="s">
        <v>183</v>
      </c>
      <c r="L2005">
        <v>10</v>
      </c>
      <c r="M2005" t="s">
        <v>6751</v>
      </c>
      <c r="N2005" t="s">
        <v>64</v>
      </c>
      <c r="O2005" t="s">
        <v>46</v>
      </c>
      <c r="P2005" t="s">
        <v>46</v>
      </c>
      <c r="Y2005" t="s">
        <v>6776</v>
      </c>
    </row>
    <row r="2006" spans="1:25">
      <c r="A2006" t="s">
        <v>6777</v>
      </c>
      <c r="B2006" t="s">
        <v>6778</v>
      </c>
      <c r="D2006" t="s">
        <v>40</v>
      </c>
      <c r="E2006" t="s">
        <v>41</v>
      </c>
      <c r="J2006" t="s">
        <v>68</v>
      </c>
      <c r="K2006" t="s">
        <v>69</v>
      </c>
      <c r="L2006">
        <v>10</v>
      </c>
      <c r="M2006" t="s">
        <v>6779</v>
      </c>
      <c r="N2006" t="s">
        <v>64</v>
      </c>
      <c r="O2006" t="s">
        <v>46</v>
      </c>
      <c r="P2006" t="s">
        <v>46</v>
      </c>
      <c r="Y2006" t="s">
        <v>6780</v>
      </c>
    </row>
    <row r="2007" spans="1:25">
      <c r="A2007" t="s">
        <v>6781</v>
      </c>
      <c r="B2007" t="s">
        <v>6782</v>
      </c>
      <c r="D2007" t="s">
        <v>40</v>
      </c>
      <c r="E2007" t="s">
        <v>41</v>
      </c>
      <c r="J2007" t="s">
        <v>182</v>
      </c>
      <c r="K2007" t="s">
        <v>183</v>
      </c>
      <c r="L2007">
        <v>10</v>
      </c>
      <c r="M2007" t="s">
        <v>6779</v>
      </c>
      <c r="N2007" t="s">
        <v>64</v>
      </c>
      <c r="O2007" t="s">
        <v>46</v>
      </c>
      <c r="P2007" t="s">
        <v>46</v>
      </c>
      <c r="Y2007" t="s">
        <v>6783</v>
      </c>
    </row>
    <row r="2008" spans="1:25">
      <c r="A2008" t="s">
        <v>6784</v>
      </c>
      <c r="B2008" t="s">
        <v>6785</v>
      </c>
      <c r="D2008" t="s">
        <v>40</v>
      </c>
      <c r="E2008" t="s">
        <v>41</v>
      </c>
      <c r="J2008" t="s">
        <v>182</v>
      </c>
      <c r="K2008" t="s">
        <v>183</v>
      </c>
      <c r="L2008">
        <v>10</v>
      </c>
      <c r="M2008" t="s">
        <v>6779</v>
      </c>
      <c r="N2008" t="s">
        <v>64</v>
      </c>
      <c r="O2008" t="s">
        <v>46</v>
      </c>
      <c r="P2008" t="s">
        <v>46</v>
      </c>
      <c r="Y2008" t="s">
        <v>6786</v>
      </c>
    </row>
    <row r="2009" spans="1:25">
      <c r="A2009" t="s">
        <v>6787</v>
      </c>
      <c r="B2009" t="s">
        <v>6788</v>
      </c>
      <c r="D2009" t="s">
        <v>40</v>
      </c>
      <c r="E2009" t="s">
        <v>41</v>
      </c>
      <c r="J2009" t="s">
        <v>182</v>
      </c>
      <c r="K2009" t="s">
        <v>183</v>
      </c>
      <c r="L2009">
        <v>10</v>
      </c>
      <c r="M2009" t="s">
        <v>6779</v>
      </c>
      <c r="N2009" t="s">
        <v>64</v>
      </c>
      <c r="O2009" t="s">
        <v>46</v>
      </c>
      <c r="P2009" t="s">
        <v>46</v>
      </c>
      <c r="Y2009" t="s">
        <v>6789</v>
      </c>
    </row>
    <row r="2010" spans="1:25">
      <c r="A2010" t="s">
        <v>6790</v>
      </c>
      <c r="B2010" t="s">
        <v>6791</v>
      </c>
      <c r="D2010" t="s">
        <v>40</v>
      </c>
      <c r="E2010" t="s">
        <v>41</v>
      </c>
      <c r="J2010" t="s">
        <v>76</v>
      </c>
      <c r="K2010" t="s">
        <v>77</v>
      </c>
      <c r="L2010">
        <v>10</v>
      </c>
      <c r="M2010" t="s">
        <v>6779</v>
      </c>
      <c r="N2010" t="s">
        <v>64</v>
      </c>
      <c r="O2010" t="s">
        <v>46</v>
      </c>
      <c r="P2010" t="s">
        <v>46</v>
      </c>
      <c r="Y2010" t="s">
        <v>6792</v>
      </c>
    </row>
    <row r="2011" spans="1:25">
      <c r="A2011" t="s">
        <v>6793</v>
      </c>
      <c r="B2011" t="s">
        <v>6794</v>
      </c>
      <c r="D2011" t="s">
        <v>40</v>
      </c>
      <c r="E2011" t="s">
        <v>41</v>
      </c>
      <c r="J2011" t="s">
        <v>68</v>
      </c>
      <c r="K2011" t="s">
        <v>69</v>
      </c>
      <c r="L2011">
        <v>10</v>
      </c>
      <c r="M2011" t="s">
        <v>6779</v>
      </c>
      <c r="N2011" t="s">
        <v>64</v>
      </c>
      <c r="O2011" t="s">
        <v>46</v>
      </c>
      <c r="P2011" t="s">
        <v>46</v>
      </c>
      <c r="Y2011" t="s">
        <v>6795</v>
      </c>
    </row>
    <row r="2012" spans="1:25">
      <c r="A2012" t="s">
        <v>6796</v>
      </c>
      <c r="B2012" t="s">
        <v>6797</v>
      </c>
      <c r="D2012" t="s">
        <v>40</v>
      </c>
      <c r="E2012" t="s">
        <v>41</v>
      </c>
      <c r="J2012" t="s">
        <v>68</v>
      </c>
      <c r="K2012" t="s">
        <v>69</v>
      </c>
      <c r="L2012">
        <v>10</v>
      </c>
      <c r="M2012" t="s">
        <v>6779</v>
      </c>
      <c r="N2012" t="s">
        <v>64</v>
      </c>
      <c r="O2012" t="s">
        <v>46</v>
      </c>
      <c r="P2012" t="s">
        <v>46</v>
      </c>
      <c r="Y2012" t="s">
        <v>6798</v>
      </c>
    </row>
    <row r="2013" spans="1:25">
      <c r="A2013" t="s">
        <v>6799</v>
      </c>
      <c r="B2013" t="s">
        <v>6800</v>
      </c>
      <c r="D2013" t="s">
        <v>40</v>
      </c>
      <c r="E2013" t="s">
        <v>41</v>
      </c>
      <c r="J2013" t="s">
        <v>182</v>
      </c>
      <c r="K2013" t="s">
        <v>183</v>
      </c>
      <c r="L2013">
        <v>10</v>
      </c>
      <c r="M2013" t="s">
        <v>6779</v>
      </c>
      <c r="N2013" t="s">
        <v>64</v>
      </c>
      <c r="O2013" t="s">
        <v>46</v>
      </c>
      <c r="P2013" t="s">
        <v>46</v>
      </c>
      <c r="Y2013" t="s">
        <v>6801</v>
      </c>
    </row>
    <row r="2014" spans="1:25">
      <c r="A2014" t="s">
        <v>6802</v>
      </c>
      <c r="B2014" t="s">
        <v>6803</v>
      </c>
      <c r="D2014" t="s">
        <v>40</v>
      </c>
      <c r="E2014" t="s">
        <v>41</v>
      </c>
      <c r="J2014" t="s">
        <v>68</v>
      </c>
      <c r="K2014" t="s">
        <v>69</v>
      </c>
      <c r="L2014">
        <v>10</v>
      </c>
      <c r="M2014" t="s">
        <v>6804</v>
      </c>
      <c r="N2014" t="s">
        <v>64</v>
      </c>
      <c r="O2014" t="s">
        <v>46</v>
      </c>
      <c r="P2014" t="s">
        <v>46</v>
      </c>
      <c r="Y2014" t="s">
        <v>6805</v>
      </c>
    </row>
    <row r="2015" spans="1:25">
      <c r="A2015" t="s">
        <v>6806</v>
      </c>
      <c r="B2015" t="s">
        <v>6807</v>
      </c>
      <c r="D2015" t="s">
        <v>40</v>
      </c>
      <c r="E2015" t="s">
        <v>41</v>
      </c>
      <c r="J2015" t="s">
        <v>182</v>
      </c>
      <c r="K2015" t="s">
        <v>183</v>
      </c>
      <c r="L2015">
        <v>10</v>
      </c>
      <c r="M2015" t="s">
        <v>6804</v>
      </c>
      <c r="N2015" t="s">
        <v>64</v>
      </c>
      <c r="O2015" t="s">
        <v>46</v>
      </c>
      <c r="P2015" t="s">
        <v>46</v>
      </c>
      <c r="Y2015" t="s">
        <v>6808</v>
      </c>
    </row>
    <row r="2016" spans="1:25">
      <c r="A2016" t="s">
        <v>6809</v>
      </c>
      <c r="B2016" t="s">
        <v>6810</v>
      </c>
      <c r="D2016" t="s">
        <v>40</v>
      </c>
      <c r="E2016" t="s">
        <v>41</v>
      </c>
      <c r="J2016" t="s">
        <v>182</v>
      </c>
      <c r="K2016" t="s">
        <v>183</v>
      </c>
      <c r="L2016">
        <v>10</v>
      </c>
      <c r="M2016" t="s">
        <v>6804</v>
      </c>
      <c r="N2016" t="s">
        <v>64</v>
      </c>
      <c r="O2016" t="s">
        <v>46</v>
      </c>
      <c r="P2016" t="s">
        <v>46</v>
      </c>
      <c r="Y2016" t="s">
        <v>6811</v>
      </c>
    </row>
    <row r="2017" spans="1:25">
      <c r="A2017" t="s">
        <v>6812</v>
      </c>
      <c r="B2017" t="s">
        <v>6813</v>
      </c>
      <c r="D2017" t="s">
        <v>40</v>
      </c>
      <c r="E2017" t="s">
        <v>41</v>
      </c>
      <c r="J2017" t="s">
        <v>76</v>
      </c>
      <c r="K2017" t="s">
        <v>77</v>
      </c>
      <c r="L2017">
        <v>10</v>
      </c>
      <c r="M2017" t="s">
        <v>6804</v>
      </c>
      <c r="N2017" t="s">
        <v>64</v>
      </c>
      <c r="O2017" t="s">
        <v>46</v>
      </c>
      <c r="P2017" t="s">
        <v>46</v>
      </c>
      <c r="Y2017" t="s">
        <v>6814</v>
      </c>
    </row>
    <row r="2018" spans="1:25">
      <c r="A2018" t="s">
        <v>6815</v>
      </c>
      <c r="B2018" t="s">
        <v>6816</v>
      </c>
      <c r="D2018" t="s">
        <v>40</v>
      </c>
      <c r="E2018" t="s">
        <v>41</v>
      </c>
      <c r="J2018" t="s">
        <v>76</v>
      </c>
      <c r="K2018" t="s">
        <v>77</v>
      </c>
      <c r="L2018">
        <v>10</v>
      </c>
      <c r="M2018" t="s">
        <v>6817</v>
      </c>
      <c r="N2018" t="s">
        <v>64</v>
      </c>
      <c r="O2018" t="s">
        <v>46</v>
      </c>
      <c r="P2018" t="s">
        <v>46</v>
      </c>
      <c r="Y2018" t="s">
        <v>6818</v>
      </c>
    </row>
    <row r="2019" spans="1:25">
      <c r="A2019" t="s">
        <v>6819</v>
      </c>
      <c r="B2019" t="s">
        <v>6820</v>
      </c>
      <c r="D2019" t="s">
        <v>40</v>
      </c>
      <c r="E2019" t="s">
        <v>41</v>
      </c>
      <c r="J2019" t="s">
        <v>76</v>
      </c>
      <c r="K2019" t="s">
        <v>77</v>
      </c>
      <c r="L2019">
        <v>10</v>
      </c>
      <c r="M2019" t="s">
        <v>6817</v>
      </c>
      <c r="N2019" t="s">
        <v>64</v>
      </c>
      <c r="O2019" t="s">
        <v>46</v>
      </c>
      <c r="P2019" t="s">
        <v>46</v>
      </c>
      <c r="Y2019" t="s">
        <v>6821</v>
      </c>
    </row>
    <row r="2020" spans="1:25">
      <c r="A2020" t="s">
        <v>6822</v>
      </c>
      <c r="B2020" t="s">
        <v>6823</v>
      </c>
      <c r="D2020" t="s">
        <v>40</v>
      </c>
      <c r="E2020" t="s">
        <v>41</v>
      </c>
      <c r="J2020" t="s">
        <v>182</v>
      </c>
      <c r="K2020" t="s">
        <v>183</v>
      </c>
      <c r="L2020">
        <v>10</v>
      </c>
      <c r="M2020" t="s">
        <v>6824</v>
      </c>
      <c r="N2020" t="s">
        <v>64</v>
      </c>
      <c r="O2020" t="s">
        <v>46</v>
      </c>
      <c r="P2020" t="s">
        <v>46</v>
      </c>
      <c r="Y2020" t="s">
        <v>6825</v>
      </c>
    </row>
    <row r="2021" spans="1:25">
      <c r="A2021" t="s">
        <v>6826</v>
      </c>
      <c r="B2021" t="s">
        <v>6827</v>
      </c>
      <c r="D2021" t="s">
        <v>40</v>
      </c>
      <c r="E2021" t="s">
        <v>41</v>
      </c>
      <c r="J2021" t="s">
        <v>42</v>
      </c>
      <c r="K2021" t="s">
        <v>43</v>
      </c>
      <c r="L2021">
        <v>10</v>
      </c>
      <c r="M2021" t="s">
        <v>6824</v>
      </c>
      <c r="N2021" t="s">
        <v>45</v>
      </c>
      <c r="O2021" t="s">
        <v>46</v>
      </c>
      <c r="P2021" t="s">
        <v>46</v>
      </c>
      <c r="Y2021" t="s">
        <v>6828</v>
      </c>
    </row>
    <row r="2022" spans="1:25">
      <c r="A2022" t="s">
        <v>6829</v>
      </c>
      <c r="B2022" t="s">
        <v>6830</v>
      </c>
      <c r="D2022" t="s">
        <v>40</v>
      </c>
      <c r="E2022" t="s">
        <v>41</v>
      </c>
      <c r="J2022" t="s">
        <v>182</v>
      </c>
      <c r="K2022" t="s">
        <v>183</v>
      </c>
      <c r="L2022">
        <v>10</v>
      </c>
      <c r="M2022" t="s">
        <v>6824</v>
      </c>
      <c r="N2022" t="s">
        <v>64</v>
      </c>
      <c r="O2022" t="s">
        <v>46</v>
      </c>
      <c r="P2022" t="s">
        <v>46</v>
      </c>
      <c r="Y2022" t="s">
        <v>6831</v>
      </c>
    </row>
    <row r="2023" spans="1:25">
      <c r="A2023" t="s">
        <v>6832</v>
      </c>
      <c r="B2023" t="s">
        <v>6833</v>
      </c>
      <c r="D2023" t="s">
        <v>40</v>
      </c>
      <c r="E2023" t="s">
        <v>41</v>
      </c>
      <c r="J2023" t="s">
        <v>182</v>
      </c>
      <c r="K2023" t="s">
        <v>183</v>
      </c>
      <c r="L2023">
        <v>10</v>
      </c>
      <c r="M2023" t="s">
        <v>6824</v>
      </c>
      <c r="N2023" t="s">
        <v>64</v>
      </c>
      <c r="O2023" t="s">
        <v>46</v>
      </c>
      <c r="P2023" t="s">
        <v>46</v>
      </c>
      <c r="Y2023" t="s">
        <v>6834</v>
      </c>
    </row>
    <row r="2024" spans="1:25">
      <c r="A2024" t="s">
        <v>6835</v>
      </c>
      <c r="B2024" t="s">
        <v>6836</v>
      </c>
      <c r="D2024" t="s">
        <v>40</v>
      </c>
      <c r="E2024" t="s">
        <v>41</v>
      </c>
      <c r="J2024" t="s">
        <v>182</v>
      </c>
      <c r="K2024" t="s">
        <v>183</v>
      </c>
      <c r="L2024">
        <v>10</v>
      </c>
      <c r="M2024" t="s">
        <v>6837</v>
      </c>
      <c r="N2024" t="s">
        <v>64</v>
      </c>
      <c r="O2024" t="s">
        <v>46</v>
      </c>
      <c r="P2024" t="s">
        <v>46</v>
      </c>
      <c r="Y2024" t="s">
        <v>6838</v>
      </c>
    </row>
    <row r="2025" spans="1:25">
      <c r="A2025" t="s">
        <v>6839</v>
      </c>
      <c r="B2025" t="s">
        <v>6840</v>
      </c>
      <c r="D2025" t="s">
        <v>40</v>
      </c>
      <c r="E2025" t="s">
        <v>41</v>
      </c>
      <c r="J2025" t="s">
        <v>42</v>
      </c>
      <c r="K2025" t="s">
        <v>43</v>
      </c>
      <c r="L2025">
        <v>10</v>
      </c>
      <c r="M2025" t="s">
        <v>6841</v>
      </c>
      <c r="N2025" t="s">
        <v>218</v>
      </c>
      <c r="O2025" t="s">
        <v>46</v>
      </c>
      <c r="P2025" t="s">
        <v>46</v>
      </c>
      <c r="Y2025" t="s">
        <v>6842</v>
      </c>
    </row>
    <row r="2026" spans="1:25">
      <c r="A2026" t="s">
        <v>6843</v>
      </c>
      <c r="B2026" t="s">
        <v>6844</v>
      </c>
      <c r="D2026" t="s">
        <v>40</v>
      </c>
      <c r="E2026" t="s">
        <v>41</v>
      </c>
      <c r="J2026" t="s">
        <v>139</v>
      </c>
      <c r="K2026" t="s">
        <v>140</v>
      </c>
      <c r="L2026">
        <v>9</v>
      </c>
      <c r="M2026" t="s">
        <v>6845</v>
      </c>
      <c r="N2026" t="s">
        <v>315</v>
      </c>
      <c r="O2026" t="s">
        <v>46</v>
      </c>
      <c r="P2026" t="s">
        <v>46</v>
      </c>
      <c r="Y2026" t="s">
        <v>6846</v>
      </c>
    </row>
    <row r="2027" spans="1:25">
      <c r="A2027" t="s">
        <v>6847</v>
      </c>
      <c r="B2027" t="s">
        <v>6848</v>
      </c>
      <c r="D2027" t="s">
        <v>40</v>
      </c>
      <c r="E2027" t="s">
        <v>41</v>
      </c>
      <c r="J2027" t="s">
        <v>1338</v>
      </c>
      <c r="K2027" t="s">
        <v>1339</v>
      </c>
      <c r="L2027">
        <v>12</v>
      </c>
      <c r="M2027" t="s">
        <v>6849</v>
      </c>
      <c r="N2027" t="s">
        <v>1024</v>
      </c>
      <c r="O2027" t="s">
        <v>46</v>
      </c>
      <c r="P2027" t="s">
        <v>46</v>
      </c>
      <c r="Y2027" t="s">
        <v>6850</v>
      </c>
    </row>
    <row r="2028" spans="1:25">
      <c r="A2028" t="s">
        <v>6851</v>
      </c>
      <c r="B2028" t="s">
        <v>6852</v>
      </c>
      <c r="D2028" t="s">
        <v>40</v>
      </c>
      <c r="E2028" t="s">
        <v>41</v>
      </c>
      <c r="J2028" t="s">
        <v>42</v>
      </c>
      <c r="K2028" t="s">
        <v>43</v>
      </c>
      <c r="L2028">
        <v>10</v>
      </c>
      <c r="M2028" t="s">
        <v>6853</v>
      </c>
      <c r="N2028" t="s">
        <v>1138</v>
      </c>
      <c r="O2028" t="s">
        <v>46</v>
      </c>
      <c r="P2028" t="s">
        <v>46</v>
      </c>
      <c r="Y2028" t="s">
        <v>6854</v>
      </c>
    </row>
    <row r="2029" spans="1:25">
      <c r="A2029" t="s">
        <v>6855</v>
      </c>
      <c r="B2029" t="s">
        <v>6856</v>
      </c>
      <c r="D2029" t="s">
        <v>40</v>
      </c>
      <c r="E2029" t="s">
        <v>41</v>
      </c>
      <c r="J2029" t="s">
        <v>76</v>
      </c>
      <c r="K2029" t="s">
        <v>77</v>
      </c>
      <c r="L2029">
        <v>10</v>
      </c>
      <c r="M2029" t="s">
        <v>6857</v>
      </c>
      <c r="N2029" t="s">
        <v>64</v>
      </c>
      <c r="O2029" t="s">
        <v>46</v>
      </c>
      <c r="P2029" t="s">
        <v>46</v>
      </c>
      <c r="Y2029" t="s">
        <v>6858</v>
      </c>
    </row>
    <row r="2030" spans="1:25">
      <c r="A2030" t="s">
        <v>6859</v>
      </c>
      <c r="B2030" t="s">
        <v>6860</v>
      </c>
      <c r="D2030" t="s">
        <v>40</v>
      </c>
      <c r="E2030" t="s">
        <v>41</v>
      </c>
      <c r="J2030" t="s">
        <v>182</v>
      </c>
      <c r="K2030" t="s">
        <v>183</v>
      </c>
      <c r="L2030">
        <v>10</v>
      </c>
      <c r="M2030" t="s">
        <v>6857</v>
      </c>
      <c r="N2030" t="s">
        <v>64</v>
      </c>
      <c r="O2030" t="s">
        <v>46</v>
      </c>
      <c r="P2030" t="s">
        <v>46</v>
      </c>
      <c r="Y2030" t="s">
        <v>6861</v>
      </c>
    </row>
    <row r="2031" spans="1:25">
      <c r="A2031" t="s">
        <v>6862</v>
      </c>
      <c r="B2031" t="s">
        <v>6863</v>
      </c>
      <c r="D2031" t="s">
        <v>40</v>
      </c>
      <c r="E2031" t="s">
        <v>41</v>
      </c>
      <c r="J2031" t="s">
        <v>139</v>
      </c>
      <c r="K2031" t="s">
        <v>140</v>
      </c>
      <c r="L2031">
        <v>10</v>
      </c>
      <c r="M2031" t="s">
        <v>6857</v>
      </c>
      <c r="N2031" t="s">
        <v>165</v>
      </c>
      <c r="O2031" t="s">
        <v>46</v>
      </c>
      <c r="P2031" t="s">
        <v>46</v>
      </c>
      <c r="Y2031" t="s">
        <v>6864</v>
      </c>
    </row>
    <row r="2032" spans="1:25">
      <c r="A2032" t="s">
        <v>6865</v>
      </c>
      <c r="B2032" t="s">
        <v>6866</v>
      </c>
      <c r="D2032" t="s">
        <v>40</v>
      </c>
      <c r="E2032" t="s">
        <v>41</v>
      </c>
      <c r="J2032" t="s">
        <v>42</v>
      </c>
      <c r="K2032" t="s">
        <v>43</v>
      </c>
      <c r="L2032">
        <v>10</v>
      </c>
      <c r="M2032" t="s">
        <v>6857</v>
      </c>
      <c r="N2032" t="s">
        <v>2154</v>
      </c>
      <c r="O2032" t="s">
        <v>46</v>
      </c>
      <c r="P2032" t="s">
        <v>46</v>
      </c>
      <c r="Y2032" t="s">
        <v>6867</v>
      </c>
    </row>
    <row r="2033" spans="1:25">
      <c r="A2033" t="s">
        <v>6868</v>
      </c>
      <c r="B2033" t="s">
        <v>6869</v>
      </c>
      <c r="D2033" t="s">
        <v>40</v>
      </c>
      <c r="E2033" t="s">
        <v>41</v>
      </c>
      <c r="J2033" t="s">
        <v>42</v>
      </c>
      <c r="K2033" t="s">
        <v>43</v>
      </c>
      <c r="L2033">
        <v>10</v>
      </c>
      <c r="M2033" t="s">
        <v>6857</v>
      </c>
      <c r="N2033" t="s">
        <v>305</v>
      </c>
      <c r="O2033" t="s">
        <v>46</v>
      </c>
      <c r="P2033" t="s">
        <v>46</v>
      </c>
      <c r="Y2033" t="s">
        <v>6870</v>
      </c>
    </row>
    <row r="2034" spans="1:25">
      <c r="A2034" t="s">
        <v>6871</v>
      </c>
      <c r="B2034" t="s">
        <v>6872</v>
      </c>
      <c r="D2034" t="s">
        <v>40</v>
      </c>
      <c r="E2034" t="s">
        <v>41</v>
      </c>
      <c r="J2034" t="s">
        <v>182</v>
      </c>
      <c r="K2034" t="s">
        <v>183</v>
      </c>
      <c r="L2034">
        <v>10</v>
      </c>
      <c r="M2034" t="s">
        <v>6857</v>
      </c>
      <c r="N2034" t="s">
        <v>64</v>
      </c>
      <c r="O2034" t="s">
        <v>46</v>
      </c>
      <c r="P2034" t="s">
        <v>46</v>
      </c>
      <c r="Y2034" t="s">
        <v>6873</v>
      </c>
    </row>
    <row r="2035" spans="1:25">
      <c r="A2035" t="s">
        <v>6874</v>
      </c>
      <c r="B2035" t="s">
        <v>6875</v>
      </c>
      <c r="D2035" t="s">
        <v>40</v>
      </c>
      <c r="E2035" t="s">
        <v>41</v>
      </c>
      <c r="J2035" t="s">
        <v>68</v>
      </c>
      <c r="K2035" t="s">
        <v>69</v>
      </c>
      <c r="L2035">
        <v>10</v>
      </c>
      <c r="M2035" t="s">
        <v>6857</v>
      </c>
      <c r="N2035" t="s">
        <v>64</v>
      </c>
      <c r="O2035" t="s">
        <v>46</v>
      </c>
      <c r="P2035" t="s">
        <v>46</v>
      </c>
      <c r="Y2035" t="s">
        <v>6876</v>
      </c>
    </row>
    <row r="2036" spans="1:25">
      <c r="A2036" t="s">
        <v>6877</v>
      </c>
      <c r="B2036" t="s">
        <v>6878</v>
      </c>
      <c r="D2036" t="s">
        <v>40</v>
      </c>
      <c r="E2036" t="s">
        <v>41</v>
      </c>
      <c r="J2036" t="s">
        <v>182</v>
      </c>
      <c r="K2036" t="s">
        <v>183</v>
      </c>
      <c r="L2036">
        <v>10</v>
      </c>
      <c r="M2036" t="s">
        <v>6857</v>
      </c>
      <c r="N2036" t="s">
        <v>64</v>
      </c>
      <c r="O2036" t="s">
        <v>46</v>
      </c>
      <c r="P2036" t="s">
        <v>46</v>
      </c>
      <c r="Y2036" t="s">
        <v>6879</v>
      </c>
    </row>
    <row r="2037" spans="1:25">
      <c r="A2037" t="s">
        <v>6880</v>
      </c>
      <c r="B2037" t="s">
        <v>6881</v>
      </c>
      <c r="D2037" t="s">
        <v>40</v>
      </c>
      <c r="E2037" t="s">
        <v>41</v>
      </c>
      <c r="J2037" t="s">
        <v>76</v>
      </c>
      <c r="K2037" t="s">
        <v>77</v>
      </c>
      <c r="L2037">
        <v>10</v>
      </c>
      <c r="M2037" t="s">
        <v>6882</v>
      </c>
      <c r="N2037" t="s">
        <v>64</v>
      </c>
      <c r="O2037" t="s">
        <v>46</v>
      </c>
      <c r="P2037" t="s">
        <v>46</v>
      </c>
      <c r="Y2037" t="s">
        <v>6883</v>
      </c>
    </row>
    <row r="2038" spans="1:25">
      <c r="A2038" t="s">
        <v>6884</v>
      </c>
      <c r="B2038" t="s">
        <v>6885</v>
      </c>
      <c r="D2038" t="s">
        <v>40</v>
      </c>
      <c r="E2038" t="s">
        <v>41</v>
      </c>
      <c r="J2038" t="s">
        <v>68</v>
      </c>
      <c r="K2038" t="s">
        <v>69</v>
      </c>
      <c r="L2038">
        <v>10</v>
      </c>
      <c r="M2038" t="s">
        <v>6882</v>
      </c>
      <c r="N2038" t="s">
        <v>64</v>
      </c>
      <c r="O2038" t="s">
        <v>46</v>
      </c>
      <c r="P2038" t="s">
        <v>46</v>
      </c>
      <c r="Y2038" t="s">
        <v>6886</v>
      </c>
    </row>
    <row r="2039" spans="1:25">
      <c r="A2039" t="s">
        <v>6887</v>
      </c>
      <c r="B2039" t="s">
        <v>6888</v>
      </c>
      <c r="D2039" t="s">
        <v>40</v>
      </c>
      <c r="E2039" t="s">
        <v>41</v>
      </c>
      <c r="J2039" t="s">
        <v>76</v>
      </c>
      <c r="K2039" t="s">
        <v>77</v>
      </c>
      <c r="L2039">
        <v>11</v>
      </c>
      <c r="M2039" t="s">
        <v>6882</v>
      </c>
      <c r="N2039" t="s">
        <v>64</v>
      </c>
      <c r="O2039" t="s">
        <v>46</v>
      </c>
      <c r="P2039" t="s">
        <v>46</v>
      </c>
      <c r="Y2039" t="s">
        <v>6889</v>
      </c>
    </row>
    <row r="2040" spans="1:25">
      <c r="A2040" t="s">
        <v>6890</v>
      </c>
      <c r="B2040" t="s">
        <v>6891</v>
      </c>
      <c r="D2040" t="s">
        <v>40</v>
      </c>
      <c r="E2040" t="s">
        <v>41</v>
      </c>
      <c r="J2040" t="s">
        <v>182</v>
      </c>
      <c r="K2040" t="s">
        <v>183</v>
      </c>
      <c r="L2040">
        <v>10</v>
      </c>
      <c r="M2040" t="s">
        <v>6882</v>
      </c>
      <c r="N2040" t="s">
        <v>64</v>
      </c>
      <c r="O2040" t="s">
        <v>46</v>
      </c>
      <c r="P2040" t="s">
        <v>46</v>
      </c>
      <c r="Y2040" t="s">
        <v>6892</v>
      </c>
    </row>
    <row r="2041" spans="1:25">
      <c r="A2041" t="s">
        <v>6893</v>
      </c>
      <c r="B2041" t="s">
        <v>6894</v>
      </c>
      <c r="D2041" t="s">
        <v>40</v>
      </c>
      <c r="E2041" t="s">
        <v>41</v>
      </c>
      <c r="J2041" t="s">
        <v>62</v>
      </c>
      <c r="K2041" t="s">
        <v>63</v>
      </c>
      <c r="L2041">
        <v>10</v>
      </c>
      <c r="M2041" t="s">
        <v>6895</v>
      </c>
      <c r="N2041" t="s">
        <v>64</v>
      </c>
      <c r="O2041" t="s">
        <v>46</v>
      </c>
      <c r="P2041" t="s">
        <v>46</v>
      </c>
      <c r="Y2041" t="s">
        <v>6896</v>
      </c>
    </row>
    <row r="2042" spans="1:25">
      <c r="A2042" t="s">
        <v>6897</v>
      </c>
      <c r="B2042" t="s">
        <v>6898</v>
      </c>
      <c r="D2042" t="s">
        <v>40</v>
      </c>
      <c r="E2042" t="s">
        <v>41</v>
      </c>
      <c r="J2042" t="s">
        <v>50</v>
      </c>
      <c r="K2042" t="s">
        <v>51</v>
      </c>
      <c r="L2042">
        <v>10</v>
      </c>
      <c r="M2042" t="s">
        <v>6895</v>
      </c>
      <c r="N2042" t="s">
        <v>310</v>
      </c>
      <c r="O2042" t="s">
        <v>46</v>
      </c>
      <c r="P2042" t="s">
        <v>46</v>
      </c>
      <c r="Y2042" t="s">
        <v>6899</v>
      </c>
    </row>
    <row r="2043" spans="1:25">
      <c r="A2043" t="s">
        <v>6900</v>
      </c>
      <c r="B2043" t="s">
        <v>6901</v>
      </c>
      <c r="D2043" t="s">
        <v>40</v>
      </c>
      <c r="E2043" t="s">
        <v>41</v>
      </c>
      <c r="J2043" t="s">
        <v>182</v>
      </c>
      <c r="K2043" t="s">
        <v>183</v>
      </c>
      <c r="L2043">
        <v>10</v>
      </c>
      <c r="M2043" t="s">
        <v>6895</v>
      </c>
      <c r="N2043" t="s">
        <v>64</v>
      </c>
      <c r="O2043" t="s">
        <v>46</v>
      </c>
      <c r="P2043" t="s">
        <v>46</v>
      </c>
      <c r="Y2043" t="s">
        <v>6902</v>
      </c>
    </row>
    <row r="2044" spans="1:25">
      <c r="A2044" t="s">
        <v>6903</v>
      </c>
      <c r="B2044" t="s">
        <v>6904</v>
      </c>
      <c r="D2044" t="s">
        <v>40</v>
      </c>
      <c r="E2044" t="s">
        <v>41</v>
      </c>
      <c r="J2044" t="s">
        <v>182</v>
      </c>
      <c r="K2044" t="s">
        <v>183</v>
      </c>
      <c r="L2044">
        <v>11</v>
      </c>
      <c r="M2044" t="s">
        <v>6895</v>
      </c>
      <c r="N2044" t="s">
        <v>64</v>
      </c>
      <c r="O2044" t="s">
        <v>46</v>
      </c>
      <c r="P2044" t="s">
        <v>46</v>
      </c>
      <c r="Y2044" t="s">
        <v>6905</v>
      </c>
    </row>
    <row r="2045" spans="1:25">
      <c r="A2045" t="s">
        <v>6906</v>
      </c>
      <c r="B2045" t="s">
        <v>6907</v>
      </c>
      <c r="D2045" t="s">
        <v>40</v>
      </c>
      <c r="E2045" t="s">
        <v>41</v>
      </c>
      <c r="J2045" t="s">
        <v>182</v>
      </c>
      <c r="K2045" t="s">
        <v>183</v>
      </c>
      <c r="L2045">
        <v>11</v>
      </c>
      <c r="M2045" t="s">
        <v>6895</v>
      </c>
      <c r="N2045" t="s">
        <v>64</v>
      </c>
      <c r="O2045" t="s">
        <v>46</v>
      </c>
      <c r="P2045" t="s">
        <v>46</v>
      </c>
      <c r="Y2045" t="s">
        <v>6908</v>
      </c>
    </row>
    <row r="2046" spans="1:25">
      <c r="A2046" t="s">
        <v>6909</v>
      </c>
      <c r="B2046" t="s">
        <v>6910</v>
      </c>
      <c r="D2046" t="s">
        <v>40</v>
      </c>
      <c r="E2046" t="s">
        <v>41</v>
      </c>
      <c r="J2046" t="s">
        <v>182</v>
      </c>
      <c r="K2046" t="s">
        <v>183</v>
      </c>
      <c r="L2046">
        <v>11</v>
      </c>
      <c r="M2046" t="s">
        <v>6895</v>
      </c>
      <c r="N2046" t="s">
        <v>64</v>
      </c>
      <c r="O2046" t="s">
        <v>46</v>
      </c>
      <c r="P2046" t="s">
        <v>46</v>
      </c>
      <c r="Y2046" t="s">
        <v>6911</v>
      </c>
    </row>
    <row r="2047" spans="1:25">
      <c r="A2047" t="s">
        <v>6912</v>
      </c>
      <c r="B2047" t="s">
        <v>6913</v>
      </c>
      <c r="D2047" t="s">
        <v>40</v>
      </c>
      <c r="E2047" t="s">
        <v>41</v>
      </c>
      <c r="J2047" t="s">
        <v>1572</v>
      </c>
      <c r="K2047" t="s">
        <v>1573</v>
      </c>
      <c r="L2047">
        <v>11</v>
      </c>
      <c r="M2047" t="s">
        <v>6895</v>
      </c>
      <c r="N2047" t="s">
        <v>64</v>
      </c>
      <c r="O2047" t="s">
        <v>46</v>
      </c>
      <c r="P2047" t="s">
        <v>46</v>
      </c>
      <c r="Y2047" t="s">
        <v>6914</v>
      </c>
    </row>
    <row r="2048" spans="1:25">
      <c r="A2048" t="s">
        <v>6915</v>
      </c>
      <c r="B2048" t="s">
        <v>6916</v>
      </c>
      <c r="D2048" t="s">
        <v>40</v>
      </c>
      <c r="E2048" t="s">
        <v>41</v>
      </c>
      <c r="J2048" t="s">
        <v>182</v>
      </c>
      <c r="K2048" t="s">
        <v>183</v>
      </c>
      <c r="L2048">
        <v>11</v>
      </c>
      <c r="M2048" t="s">
        <v>6895</v>
      </c>
      <c r="N2048" t="s">
        <v>64</v>
      </c>
      <c r="O2048" t="s">
        <v>46</v>
      </c>
      <c r="P2048" t="s">
        <v>46</v>
      </c>
      <c r="Y2048" t="s">
        <v>6917</v>
      </c>
    </row>
    <row r="2049" spans="1:25">
      <c r="A2049" t="s">
        <v>6918</v>
      </c>
      <c r="B2049" t="s">
        <v>6919</v>
      </c>
      <c r="D2049" t="s">
        <v>40</v>
      </c>
      <c r="E2049" t="s">
        <v>41</v>
      </c>
      <c r="J2049" t="s">
        <v>182</v>
      </c>
      <c r="K2049" t="s">
        <v>183</v>
      </c>
      <c r="L2049">
        <v>11</v>
      </c>
      <c r="M2049" t="s">
        <v>6920</v>
      </c>
      <c r="N2049" t="s">
        <v>64</v>
      </c>
      <c r="O2049" t="s">
        <v>46</v>
      </c>
      <c r="P2049" t="s">
        <v>46</v>
      </c>
      <c r="Y2049" t="s">
        <v>6921</v>
      </c>
    </row>
    <row r="2050" spans="1:25">
      <c r="A2050" t="s">
        <v>6922</v>
      </c>
      <c r="B2050" t="s">
        <v>6923</v>
      </c>
      <c r="D2050" t="s">
        <v>40</v>
      </c>
      <c r="E2050" t="s">
        <v>41</v>
      </c>
      <c r="J2050" t="s">
        <v>182</v>
      </c>
      <c r="K2050" t="s">
        <v>183</v>
      </c>
      <c r="L2050">
        <v>11</v>
      </c>
      <c r="M2050" t="s">
        <v>6920</v>
      </c>
      <c r="N2050" t="s">
        <v>64</v>
      </c>
      <c r="O2050" t="s">
        <v>46</v>
      </c>
      <c r="P2050" t="s">
        <v>46</v>
      </c>
      <c r="Y2050" t="s">
        <v>6924</v>
      </c>
    </row>
    <row r="2051" spans="1:25">
      <c r="A2051" t="s">
        <v>6925</v>
      </c>
      <c r="B2051" t="s">
        <v>6926</v>
      </c>
      <c r="D2051" t="s">
        <v>40</v>
      </c>
      <c r="E2051" t="s">
        <v>41</v>
      </c>
      <c r="J2051" t="s">
        <v>182</v>
      </c>
      <c r="K2051" t="s">
        <v>183</v>
      </c>
      <c r="L2051">
        <v>11</v>
      </c>
      <c r="M2051" t="s">
        <v>6920</v>
      </c>
      <c r="N2051" t="s">
        <v>64</v>
      </c>
      <c r="O2051" t="s">
        <v>46</v>
      </c>
      <c r="P2051" t="s">
        <v>46</v>
      </c>
      <c r="Y2051" t="s">
        <v>6927</v>
      </c>
    </row>
    <row r="2052" spans="1:25">
      <c r="A2052" t="s">
        <v>6928</v>
      </c>
      <c r="B2052" t="s">
        <v>6929</v>
      </c>
      <c r="D2052" t="s">
        <v>40</v>
      </c>
      <c r="E2052" t="s">
        <v>41</v>
      </c>
      <c r="J2052" t="s">
        <v>76</v>
      </c>
      <c r="K2052" t="s">
        <v>77</v>
      </c>
      <c r="L2052">
        <v>11</v>
      </c>
      <c r="M2052" t="s">
        <v>6920</v>
      </c>
      <c r="N2052" t="s">
        <v>64</v>
      </c>
      <c r="O2052" t="s">
        <v>46</v>
      </c>
      <c r="P2052" t="s">
        <v>46</v>
      </c>
      <c r="Y2052" t="s">
        <v>6930</v>
      </c>
    </row>
    <row r="2053" spans="1:25">
      <c r="A2053" t="s">
        <v>6931</v>
      </c>
      <c r="B2053" t="s">
        <v>6932</v>
      </c>
      <c r="D2053" t="s">
        <v>40</v>
      </c>
      <c r="E2053" t="s">
        <v>41</v>
      </c>
      <c r="J2053" t="s">
        <v>182</v>
      </c>
      <c r="K2053" t="s">
        <v>183</v>
      </c>
      <c r="L2053">
        <v>11</v>
      </c>
      <c r="M2053" t="s">
        <v>6920</v>
      </c>
      <c r="N2053" t="s">
        <v>64</v>
      </c>
      <c r="O2053" t="s">
        <v>46</v>
      </c>
      <c r="P2053" t="s">
        <v>46</v>
      </c>
      <c r="Y2053" t="s">
        <v>6933</v>
      </c>
    </row>
    <row r="2054" spans="1:25">
      <c r="A2054" t="s">
        <v>6934</v>
      </c>
      <c r="B2054" t="s">
        <v>6935</v>
      </c>
      <c r="D2054" t="s">
        <v>40</v>
      </c>
      <c r="E2054" t="s">
        <v>41</v>
      </c>
      <c r="J2054" t="s">
        <v>1572</v>
      </c>
      <c r="K2054" t="s">
        <v>1573</v>
      </c>
      <c r="L2054">
        <v>11</v>
      </c>
      <c r="M2054" t="s">
        <v>6920</v>
      </c>
      <c r="N2054" t="s">
        <v>64</v>
      </c>
      <c r="O2054" t="s">
        <v>46</v>
      </c>
      <c r="P2054" t="s">
        <v>46</v>
      </c>
      <c r="Y2054" t="s">
        <v>6936</v>
      </c>
    </row>
    <row r="2055" spans="1:25">
      <c r="A2055" t="s">
        <v>6937</v>
      </c>
      <c r="B2055" t="s">
        <v>6938</v>
      </c>
      <c r="D2055" t="s">
        <v>40</v>
      </c>
      <c r="E2055" t="s">
        <v>41</v>
      </c>
      <c r="J2055" t="s">
        <v>68</v>
      </c>
      <c r="K2055" t="s">
        <v>69</v>
      </c>
      <c r="L2055">
        <v>11</v>
      </c>
      <c r="M2055" t="s">
        <v>6920</v>
      </c>
      <c r="N2055" t="s">
        <v>64</v>
      </c>
      <c r="O2055" t="s">
        <v>46</v>
      </c>
      <c r="P2055" t="s">
        <v>46</v>
      </c>
      <c r="Y2055" t="s">
        <v>6939</v>
      </c>
    </row>
    <row r="2056" spans="1:25">
      <c r="A2056" t="s">
        <v>6940</v>
      </c>
      <c r="B2056" t="s">
        <v>6941</v>
      </c>
      <c r="D2056" t="s">
        <v>40</v>
      </c>
      <c r="E2056" t="s">
        <v>41</v>
      </c>
      <c r="J2056" t="s">
        <v>182</v>
      </c>
      <c r="K2056" t="s">
        <v>183</v>
      </c>
      <c r="L2056">
        <v>11</v>
      </c>
      <c r="M2056" t="s">
        <v>6920</v>
      </c>
      <c r="N2056" t="s">
        <v>64</v>
      </c>
      <c r="O2056" t="s">
        <v>46</v>
      </c>
      <c r="P2056" t="s">
        <v>46</v>
      </c>
      <c r="Y2056" t="s">
        <v>6942</v>
      </c>
    </row>
    <row r="2057" spans="1:25">
      <c r="A2057" t="s">
        <v>6943</v>
      </c>
      <c r="B2057" t="s">
        <v>6944</v>
      </c>
      <c r="D2057" t="s">
        <v>40</v>
      </c>
      <c r="E2057" t="s">
        <v>41</v>
      </c>
      <c r="J2057" t="s">
        <v>42</v>
      </c>
      <c r="K2057" t="s">
        <v>43</v>
      </c>
      <c r="L2057">
        <v>11</v>
      </c>
      <c r="M2057" t="s">
        <v>6920</v>
      </c>
      <c r="N2057" t="s">
        <v>2154</v>
      </c>
      <c r="O2057" t="s">
        <v>46</v>
      </c>
      <c r="P2057" t="s">
        <v>46</v>
      </c>
      <c r="Y2057" t="s">
        <v>6945</v>
      </c>
    </row>
    <row r="2058" spans="1:25">
      <c r="A2058" t="s">
        <v>6946</v>
      </c>
      <c r="B2058" t="s">
        <v>6947</v>
      </c>
      <c r="D2058" t="s">
        <v>40</v>
      </c>
      <c r="E2058" t="s">
        <v>41</v>
      </c>
      <c r="J2058" t="s">
        <v>76</v>
      </c>
      <c r="K2058" t="s">
        <v>77</v>
      </c>
      <c r="L2058">
        <v>11</v>
      </c>
      <c r="M2058" t="s">
        <v>6948</v>
      </c>
      <c r="N2058" t="s">
        <v>64</v>
      </c>
      <c r="O2058" t="s">
        <v>46</v>
      </c>
      <c r="P2058" t="s">
        <v>46</v>
      </c>
      <c r="Y2058" t="s">
        <v>6949</v>
      </c>
    </row>
    <row r="2059" spans="1:25">
      <c r="A2059" t="s">
        <v>6950</v>
      </c>
      <c r="B2059" t="s">
        <v>6951</v>
      </c>
      <c r="D2059" t="s">
        <v>40</v>
      </c>
      <c r="E2059" t="s">
        <v>41</v>
      </c>
      <c r="J2059" t="s">
        <v>68</v>
      </c>
      <c r="K2059" t="s">
        <v>69</v>
      </c>
      <c r="L2059">
        <v>11</v>
      </c>
      <c r="M2059" t="s">
        <v>6948</v>
      </c>
      <c r="N2059" t="s">
        <v>64</v>
      </c>
      <c r="O2059" t="s">
        <v>46</v>
      </c>
      <c r="P2059" t="s">
        <v>46</v>
      </c>
      <c r="Y2059" t="s">
        <v>6952</v>
      </c>
    </row>
    <row r="2060" spans="1:25">
      <c r="A2060" t="s">
        <v>6953</v>
      </c>
      <c r="B2060" t="s">
        <v>6954</v>
      </c>
      <c r="D2060" t="s">
        <v>40</v>
      </c>
      <c r="E2060" t="s">
        <v>41</v>
      </c>
      <c r="J2060" t="s">
        <v>76</v>
      </c>
      <c r="K2060" t="s">
        <v>77</v>
      </c>
      <c r="L2060">
        <v>11</v>
      </c>
      <c r="M2060" t="s">
        <v>6955</v>
      </c>
      <c r="N2060" t="s">
        <v>64</v>
      </c>
      <c r="O2060" t="s">
        <v>46</v>
      </c>
      <c r="P2060" t="s">
        <v>46</v>
      </c>
      <c r="Y2060" t="s">
        <v>6956</v>
      </c>
    </row>
    <row r="2061" spans="1:25">
      <c r="A2061" t="s">
        <v>6957</v>
      </c>
      <c r="B2061" t="s">
        <v>6958</v>
      </c>
      <c r="D2061" t="s">
        <v>40</v>
      </c>
      <c r="E2061" t="s">
        <v>41</v>
      </c>
      <c r="J2061" t="s">
        <v>182</v>
      </c>
      <c r="K2061" t="s">
        <v>183</v>
      </c>
      <c r="L2061">
        <v>11</v>
      </c>
      <c r="M2061" t="s">
        <v>6955</v>
      </c>
      <c r="N2061" t="s">
        <v>64</v>
      </c>
      <c r="O2061" t="s">
        <v>46</v>
      </c>
      <c r="P2061" t="s">
        <v>46</v>
      </c>
      <c r="Y2061" t="s">
        <v>6959</v>
      </c>
    </row>
    <row r="2062" spans="1:25">
      <c r="A2062" t="s">
        <v>6960</v>
      </c>
      <c r="B2062" t="s">
        <v>6961</v>
      </c>
      <c r="D2062" t="s">
        <v>40</v>
      </c>
      <c r="E2062" t="s">
        <v>41</v>
      </c>
      <c r="J2062" t="s">
        <v>42</v>
      </c>
      <c r="K2062" t="s">
        <v>43</v>
      </c>
      <c r="L2062">
        <v>11</v>
      </c>
      <c r="M2062" t="s">
        <v>6962</v>
      </c>
      <c r="N2062" t="s">
        <v>2621</v>
      </c>
      <c r="O2062" t="s">
        <v>46</v>
      </c>
      <c r="P2062" t="s">
        <v>46</v>
      </c>
      <c r="Y2062" t="s">
        <v>6963</v>
      </c>
    </row>
    <row r="2063" spans="1:25">
      <c r="A2063" t="s">
        <v>6964</v>
      </c>
      <c r="B2063" t="s">
        <v>6965</v>
      </c>
      <c r="D2063" t="s">
        <v>40</v>
      </c>
      <c r="E2063" t="s">
        <v>41</v>
      </c>
      <c r="J2063" t="s">
        <v>76</v>
      </c>
      <c r="K2063" t="s">
        <v>77</v>
      </c>
      <c r="L2063">
        <v>11</v>
      </c>
      <c r="M2063" t="s">
        <v>6962</v>
      </c>
      <c r="N2063" t="s">
        <v>64</v>
      </c>
      <c r="O2063" t="s">
        <v>46</v>
      </c>
      <c r="P2063" t="s">
        <v>46</v>
      </c>
      <c r="Y2063" t="s">
        <v>6966</v>
      </c>
    </row>
    <row r="2064" spans="1:25">
      <c r="A2064" t="s">
        <v>6967</v>
      </c>
      <c r="B2064" t="s">
        <v>6968</v>
      </c>
      <c r="D2064" t="s">
        <v>40</v>
      </c>
      <c r="E2064" t="s">
        <v>41</v>
      </c>
      <c r="J2064" t="s">
        <v>42</v>
      </c>
      <c r="K2064" t="s">
        <v>43</v>
      </c>
      <c r="L2064">
        <v>11</v>
      </c>
      <c r="M2064" t="s">
        <v>6962</v>
      </c>
      <c r="N2064" t="s">
        <v>53</v>
      </c>
      <c r="O2064" t="s">
        <v>46</v>
      </c>
      <c r="P2064" t="s">
        <v>46</v>
      </c>
      <c r="Y2064" t="s">
        <v>6969</v>
      </c>
    </row>
    <row r="2065" spans="1:25">
      <c r="A2065" t="s">
        <v>6970</v>
      </c>
      <c r="B2065" t="s">
        <v>6971</v>
      </c>
      <c r="D2065" t="s">
        <v>40</v>
      </c>
      <c r="E2065" t="s">
        <v>41</v>
      </c>
      <c r="J2065" t="s">
        <v>76</v>
      </c>
      <c r="K2065" t="s">
        <v>77</v>
      </c>
      <c r="L2065">
        <v>11</v>
      </c>
      <c r="M2065" t="s">
        <v>6962</v>
      </c>
      <c r="N2065" t="s">
        <v>64</v>
      </c>
      <c r="O2065" t="s">
        <v>46</v>
      </c>
      <c r="P2065" t="s">
        <v>46</v>
      </c>
      <c r="Y2065" t="s">
        <v>6972</v>
      </c>
    </row>
    <row r="2066" spans="1:25">
      <c r="A2066" t="s">
        <v>6973</v>
      </c>
      <c r="B2066" t="s">
        <v>6974</v>
      </c>
      <c r="D2066" t="s">
        <v>40</v>
      </c>
      <c r="E2066" t="s">
        <v>41</v>
      </c>
      <c r="J2066" t="s">
        <v>182</v>
      </c>
      <c r="K2066" t="s">
        <v>183</v>
      </c>
      <c r="L2066">
        <v>11</v>
      </c>
      <c r="M2066" t="s">
        <v>6975</v>
      </c>
      <c r="N2066" t="s">
        <v>64</v>
      </c>
      <c r="O2066" t="s">
        <v>46</v>
      </c>
      <c r="P2066" t="s">
        <v>46</v>
      </c>
      <c r="Y2066" t="s">
        <v>6976</v>
      </c>
    </row>
    <row r="2067" spans="1:25">
      <c r="A2067" t="s">
        <v>6977</v>
      </c>
      <c r="B2067" t="s">
        <v>6978</v>
      </c>
      <c r="D2067" t="s">
        <v>40</v>
      </c>
      <c r="E2067" t="s">
        <v>41</v>
      </c>
      <c r="J2067" t="s">
        <v>68</v>
      </c>
      <c r="K2067" t="s">
        <v>69</v>
      </c>
      <c r="L2067">
        <v>11</v>
      </c>
      <c r="M2067" t="s">
        <v>6975</v>
      </c>
      <c r="N2067" t="s">
        <v>64</v>
      </c>
      <c r="O2067" t="s">
        <v>46</v>
      </c>
      <c r="P2067" t="s">
        <v>46</v>
      </c>
      <c r="Y2067" t="s">
        <v>6979</v>
      </c>
    </row>
    <row r="2068" spans="1:25">
      <c r="A2068" t="s">
        <v>6980</v>
      </c>
      <c r="B2068" t="s">
        <v>6981</v>
      </c>
      <c r="D2068" t="s">
        <v>40</v>
      </c>
      <c r="E2068" t="s">
        <v>41</v>
      </c>
      <c r="J2068" t="s">
        <v>182</v>
      </c>
      <c r="K2068" t="s">
        <v>183</v>
      </c>
      <c r="L2068">
        <v>11</v>
      </c>
      <c r="M2068" t="s">
        <v>6975</v>
      </c>
      <c r="N2068" t="s">
        <v>64</v>
      </c>
      <c r="O2068" t="s">
        <v>46</v>
      </c>
      <c r="P2068" t="s">
        <v>46</v>
      </c>
      <c r="Y2068" t="s">
        <v>6982</v>
      </c>
    </row>
    <row r="2069" spans="1:25">
      <c r="A2069" t="s">
        <v>6983</v>
      </c>
      <c r="B2069" t="s">
        <v>6984</v>
      </c>
      <c r="D2069" t="s">
        <v>40</v>
      </c>
      <c r="E2069" t="s">
        <v>41</v>
      </c>
      <c r="J2069" t="s">
        <v>182</v>
      </c>
      <c r="K2069" t="s">
        <v>183</v>
      </c>
      <c r="L2069">
        <v>11</v>
      </c>
      <c r="M2069" t="s">
        <v>6985</v>
      </c>
      <c r="N2069" t="s">
        <v>64</v>
      </c>
      <c r="O2069" t="s">
        <v>46</v>
      </c>
      <c r="P2069" t="s">
        <v>46</v>
      </c>
      <c r="Y2069" t="s">
        <v>6986</v>
      </c>
    </row>
    <row r="2070" spans="1:25">
      <c r="A2070" t="s">
        <v>6987</v>
      </c>
      <c r="B2070" t="s">
        <v>6988</v>
      </c>
      <c r="D2070" t="s">
        <v>40</v>
      </c>
      <c r="E2070" t="s">
        <v>41</v>
      </c>
      <c r="J2070" t="s">
        <v>76</v>
      </c>
      <c r="K2070" t="s">
        <v>77</v>
      </c>
      <c r="L2070">
        <v>10</v>
      </c>
      <c r="M2070" t="s">
        <v>6989</v>
      </c>
      <c r="N2070" t="s">
        <v>64</v>
      </c>
      <c r="O2070" t="s">
        <v>46</v>
      </c>
      <c r="P2070" t="s">
        <v>46</v>
      </c>
      <c r="Y2070" t="s">
        <v>6990</v>
      </c>
    </row>
    <row r="2071" spans="1:25">
      <c r="A2071" t="s">
        <v>6991</v>
      </c>
      <c r="B2071" t="s">
        <v>6992</v>
      </c>
      <c r="D2071" t="s">
        <v>40</v>
      </c>
      <c r="E2071" t="s">
        <v>41</v>
      </c>
      <c r="J2071" t="s">
        <v>76</v>
      </c>
      <c r="K2071" t="s">
        <v>77</v>
      </c>
      <c r="L2071">
        <v>10</v>
      </c>
      <c r="M2071" t="s">
        <v>6989</v>
      </c>
      <c r="N2071" t="s">
        <v>64</v>
      </c>
      <c r="O2071" t="s">
        <v>46</v>
      </c>
      <c r="P2071" t="s">
        <v>46</v>
      </c>
      <c r="Y2071" t="s">
        <v>6993</v>
      </c>
    </row>
    <row r="2072" spans="1:25">
      <c r="A2072" t="s">
        <v>6994</v>
      </c>
      <c r="B2072" t="s">
        <v>6995</v>
      </c>
      <c r="D2072" t="s">
        <v>40</v>
      </c>
      <c r="E2072" t="s">
        <v>41</v>
      </c>
      <c r="J2072" t="s">
        <v>182</v>
      </c>
      <c r="K2072" t="s">
        <v>183</v>
      </c>
      <c r="L2072">
        <v>10</v>
      </c>
      <c r="M2072" t="s">
        <v>6989</v>
      </c>
      <c r="N2072" t="s">
        <v>64</v>
      </c>
      <c r="O2072" t="s">
        <v>46</v>
      </c>
      <c r="P2072" t="s">
        <v>46</v>
      </c>
      <c r="Y2072" t="s">
        <v>6996</v>
      </c>
    </row>
    <row r="2073" spans="1:25">
      <c r="A2073" t="s">
        <v>6997</v>
      </c>
      <c r="B2073" t="s">
        <v>6998</v>
      </c>
      <c r="D2073" t="s">
        <v>40</v>
      </c>
      <c r="E2073" t="s">
        <v>41</v>
      </c>
      <c r="J2073" t="s">
        <v>182</v>
      </c>
      <c r="K2073" t="s">
        <v>183</v>
      </c>
      <c r="L2073">
        <v>10</v>
      </c>
      <c r="M2073" t="s">
        <v>6989</v>
      </c>
      <c r="N2073" t="s">
        <v>64</v>
      </c>
      <c r="O2073" t="s">
        <v>46</v>
      </c>
      <c r="P2073" t="s">
        <v>46</v>
      </c>
      <c r="Y2073" t="s">
        <v>6999</v>
      </c>
    </row>
    <row r="2074" spans="1:25">
      <c r="A2074" t="s">
        <v>7000</v>
      </c>
      <c r="B2074" t="s">
        <v>7001</v>
      </c>
      <c r="D2074" t="s">
        <v>40</v>
      </c>
      <c r="E2074" t="s">
        <v>41</v>
      </c>
      <c r="J2074" t="s">
        <v>264</v>
      </c>
      <c r="K2074" t="s">
        <v>265</v>
      </c>
      <c r="L2074">
        <v>10</v>
      </c>
      <c r="M2074" t="s">
        <v>7002</v>
      </c>
      <c r="N2074" t="s">
        <v>291</v>
      </c>
      <c r="O2074" t="s">
        <v>46</v>
      </c>
      <c r="P2074" t="s">
        <v>46</v>
      </c>
      <c r="Y2074" t="s">
        <v>7003</v>
      </c>
    </row>
    <row r="2075" spans="1:25">
      <c r="A2075" t="s">
        <v>7004</v>
      </c>
      <c r="B2075" t="s">
        <v>7005</v>
      </c>
      <c r="D2075" t="s">
        <v>40</v>
      </c>
      <c r="E2075" t="s">
        <v>41</v>
      </c>
      <c r="J2075" t="s">
        <v>42</v>
      </c>
      <c r="K2075" t="s">
        <v>43</v>
      </c>
      <c r="L2075">
        <v>10</v>
      </c>
      <c r="M2075" t="s">
        <v>7002</v>
      </c>
      <c r="N2075" t="s">
        <v>305</v>
      </c>
      <c r="O2075" t="s">
        <v>46</v>
      </c>
      <c r="P2075" t="s">
        <v>46</v>
      </c>
      <c r="Y2075" t="s">
        <v>7006</v>
      </c>
    </row>
    <row r="2076" spans="1:25">
      <c r="A2076" t="s">
        <v>7007</v>
      </c>
      <c r="B2076" t="s">
        <v>7008</v>
      </c>
      <c r="D2076" t="s">
        <v>40</v>
      </c>
      <c r="E2076" t="s">
        <v>41</v>
      </c>
      <c r="J2076" t="s">
        <v>182</v>
      </c>
      <c r="K2076" t="s">
        <v>183</v>
      </c>
      <c r="L2076">
        <v>10</v>
      </c>
      <c r="M2076" t="s">
        <v>7002</v>
      </c>
      <c r="N2076" t="s">
        <v>64</v>
      </c>
      <c r="O2076" t="s">
        <v>46</v>
      </c>
      <c r="P2076" t="s">
        <v>46</v>
      </c>
      <c r="Y2076" t="s">
        <v>7009</v>
      </c>
    </row>
    <row r="2077" spans="1:25">
      <c r="A2077" t="s">
        <v>7010</v>
      </c>
      <c r="B2077" t="s">
        <v>7011</v>
      </c>
      <c r="D2077" t="s">
        <v>40</v>
      </c>
      <c r="E2077" t="s">
        <v>41</v>
      </c>
      <c r="J2077" t="s">
        <v>68</v>
      </c>
      <c r="K2077" t="s">
        <v>69</v>
      </c>
      <c r="L2077">
        <v>10</v>
      </c>
      <c r="M2077" t="s">
        <v>7012</v>
      </c>
      <c r="N2077" t="s">
        <v>64</v>
      </c>
      <c r="O2077" t="s">
        <v>46</v>
      </c>
      <c r="P2077" t="s">
        <v>46</v>
      </c>
      <c r="Y2077" t="s">
        <v>7013</v>
      </c>
    </row>
    <row r="2078" spans="1:25">
      <c r="A2078" t="s">
        <v>7014</v>
      </c>
      <c r="B2078" t="s">
        <v>7015</v>
      </c>
      <c r="D2078" t="s">
        <v>40</v>
      </c>
      <c r="E2078" t="s">
        <v>41</v>
      </c>
      <c r="J2078" t="s">
        <v>68</v>
      </c>
      <c r="K2078" t="s">
        <v>69</v>
      </c>
      <c r="L2078">
        <v>10</v>
      </c>
      <c r="M2078" t="s">
        <v>7012</v>
      </c>
      <c r="N2078" t="s">
        <v>64</v>
      </c>
      <c r="O2078" t="s">
        <v>46</v>
      </c>
      <c r="P2078" t="s">
        <v>46</v>
      </c>
      <c r="Y2078" t="s">
        <v>7016</v>
      </c>
    </row>
    <row r="2079" spans="1:25">
      <c r="A2079" t="s">
        <v>7017</v>
      </c>
      <c r="B2079" t="s">
        <v>7018</v>
      </c>
      <c r="D2079" t="s">
        <v>40</v>
      </c>
      <c r="E2079" t="s">
        <v>41</v>
      </c>
      <c r="J2079" t="s">
        <v>76</v>
      </c>
      <c r="K2079" t="s">
        <v>77</v>
      </c>
      <c r="L2079">
        <v>10</v>
      </c>
      <c r="M2079" t="s">
        <v>7012</v>
      </c>
      <c r="N2079" t="s">
        <v>64</v>
      </c>
      <c r="O2079" t="s">
        <v>46</v>
      </c>
      <c r="P2079" t="s">
        <v>46</v>
      </c>
      <c r="Y2079" t="s">
        <v>7019</v>
      </c>
    </row>
    <row r="2080" spans="1:25">
      <c r="A2080" t="s">
        <v>7020</v>
      </c>
      <c r="B2080" t="s">
        <v>7021</v>
      </c>
      <c r="D2080" t="s">
        <v>40</v>
      </c>
      <c r="E2080" t="s">
        <v>41</v>
      </c>
      <c r="J2080" t="s">
        <v>182</v>
      </c>
      <c r="K2080" t="s">
        <v>183</v>
      </c>
      <c r="L2080">
        <v>10</v>
      </c>
      <c r="M2080" t="s">
        <v>7012</v>
      </c>
      <c r="N2080" t="s">
        <v>64</v>
      </c>
      <c r="O2080" t="s">
        <v>46</v>
      </c>
      <c r="P2080" t="s">
        <v>46</v>
      </c>
      <c r="Y2080" t="s">
        <v>7022</v>
      </c>
    </row>
    <row r="2081" spans="1:25">
      <c r="A2081" t="s">
        <v>7023</v>
      </c>
      <c r="B2081" t="s">
        <v>7024</v>
      </c>
      <c r="D2081" t="s">
        <v>40</v>
      </c>
      <c r="E2081" t="s">
        <v>41</v>
      </c>
      <c r="J2081" t="s">
        <v>182</v>
      </c>
      <c r="K2081" t="s">
        <v>183</v>
      </c>
      <c r="L2081">
        <v>10</v>
      </c>
      <c r="M2081" t="s">
        <v>7025</v>
      </c>
      <c r="N2081" t="s">
        <v>64</v>
      </c>
      <c r="O2081" t="s">
        <v>46</v>
      </c>
      <c r="P2081" t="s">
        <v>46</v>
      </c>
      <c r="Y2081" t="s">
        <v>7026</v>
      </c>
    </row>
    <row r="2082" spans="1:25">
      <c r="A2082" t="s">
        <v>7027</v>
      </c>
      <c r="B2082" t="s">
        <v>7028</v>
      </c>
      <c r="D2082" t="s">
        <v>40</v>
      </c>
      <c r="E2082" t="s">
        <v>41</v>
      </c>
      <c r="J2082" t="s">
        <v>68</v>
      </c>
      <c r="K2082" t="s">
        <v>69</v>
      </c>
      <c r="L2082">
        <v>10</v>
      </c>
      <c r="M2082" t="s">
        <v>7025</v>
      </c>
      <c r="N2082" t="s">
        <v>64</v>
      </c>
      <c r="O2082" t="s">
        <v>46</v>
      </c>
      <c r="P2082" t="s">
        <v>46</v>
      </c>
      <c r="Y2082" t="s">
        <v>7029</v>
      </c>
    </row>
    <row r="2083" spans="1:25">
      <c r="A2083" t="s">
        <v>7030</v>
      </c>
      <c r="B2083" t="s">
        <v>7031</v>
      </c>
      <c r="D2083" t="s">
        <v>40</v>
      </c>
      <c r="E2083" t="s">
        <v>41</v>
      </c>
      <c r="J2083" t="s">
        <v>50</v>
      </c>
      <c r="K2083" t="s">
        <v>51</v>
      </c>
      <c r="L2083">
        <v>10</v>
      </c>
      <c r="M2083" t="s">
        <v>7025</v>
      </c>
      <c r="N2083" t="s">
        <v>617</v>
      </c>
      <c r="O2083" t="s">
        <v>46</v>
      </c>
      <c r="P2083" t="s">
        <v>46</v>
      </c>
      <c r="Y2083" t="s">
        <v>7032</v>
      </c>
    </row>
    <row r="2084" spans="1:25">
      <c r="A2084" t="s">
        <v>7033</v>
      </c>
      <c r="B2084" t="s">
        <v>7034</v>
      </c>
      <c r="D2084" t="s">
        <v>40</v>
      </c>
      <c r="E2084" t="s">
        <v>41</v>
      </c>
      <c r="J2084" t="s">
        <v>182</v>
      </c>
      <c r="K2084" t="s">
        <v>183</v>
      </c>
      <c r="L2084">
        <v>10</v>
      </c>
      <c r="M2084" t="s">
        <v>7025</v>
      </c>
      <c r="N2084" t="s">
        <v>64</v>
      </c>
      <c r="O2084" t="s">
        <v>46</v>
      </c>
      <c r="P2084" t="s">
        <v>46</v>
      </c>
      <c r="Y2084" t="s">
        <v>7035</v>
      </c>
    </row>
    <row r="2085" spans="1:25">
      <c r="A2085" t="s">
        <v>7036</v>
      </c>
      <c r="B2085" t="s">
        <v>7037</v>
      </c>
      <c r="D2085" t="s">
        <v>40</v>
      </c>
      <c r="E2085" t="s">
        <v>41</v>
      </c>
      <c r="J2085" t="s">
        <v>76</v>
      </c>
      <c r="K2085" t="s">
        <v>77</v>
      </c>
      <c r="L2085">
        <v>10</v>
      </c>
      <c r="M2085" t="s">
        <v>7025</v>
      </c>
      <c r="N2085" t="s">
        <v>64</v>
      </c>
      <c r="O2085" t="s">
        <v>46</v>
      </c>
      <c r="P2085" t="s">
        <v>46</v>
      </c>
      <c r="Y2085" t="s">
        <v>7038</v>
      </c>
    </row>
    <row r="2086" spans="1:25">
      <c r="A2086" t="s">
        <v>7039</v>
      </c>
      <c r="B2086" t="s">
        <v>7040</v>
      </c>
      <c r="D2086" t="s">
        <v>40</v>
      </c>
      <c r="E2086" t="s">
        <v>41</v>
      </c>
      <c r="J2086" t="s">
        <v>68</v>
      </c>
      <c r="K2086" t="s">
        <v>69</v>
      </c>
      <c r="L2086">
        <v>10</v>
      </c>
      <c r="M2086" t="s">
        <v>7041</v>
      </c>
      <c r="N2086" t="s">
        <v>64</v>
      </c>
      <c r="O2086" t="s">
        <v>46</v>
      </c>
      <c r="P2086" t="s">
        <v>46</v>
      </c>
      <c r="Y2086" t="s">
        <v>7042</v>
      </c>
    </row>
    <row r="2087" spans="1:25">
      <c r="A2087" t="s">
        <v>7043</v>
      </c>
      <c r="B2087" t="s">
        <v>7044</v>
      </c>
      <c r="D2087" t="s">
        <v>40</v>
      </c>
      <c r="E2087" t="s">
        <v>41</v>
      </c>
      <c r="J2087" t="s">
        <v>182</v>
      </c>
      <c r="K2087" t="s">
        <v>183</v>
      </c>
      <c r="L2087">
        <v>10</v>
      </c>
      <c r="M2087" t="s">
        <v>7041</v>
      </c>
      <c r="N2087" t="s">
        <v>64</v>
      </c>
      <c r="O2087" t="s">
        <v>46</v>
      </c>
      <c r="P2087" t="s">
        <v>46</v>
      </c>
      <c r="Y2087" t="s">
        <v>7045</v>
      </c>
    </row>
    <row r="2088" spans="1:25">
      <c r="A2088" t="s">
        <v>7046</v>
      </c>
      <c r="B2088" t="s">
        <v>7047</v>
      </c>
      <c r="D2088" t="s">
        <v>40</v>
      </c>
      <c r="E2088" t="s">
        <v>41</v>
      </c>
      <c r="J2088" t="s">
        <v>182</v>
      </c>
      <c r="K2088" t="s">
        <v>183</v>
      </c>
      <c r="L2088">
        <v>10</v>
      </c>
      <c r="M2088" t="s">
        <v>7041</v>
      </c>
      <c r="N2088" t="s">
        <v>64</v>
      </c>
      <c r="O2088" t="s">
        <v>46</v>
      </c>
      <c r="P2088" t="s">
        <v>46</v>
      </c>
      <c r="Y2088" t="s">
        <v>7048</v>
      </c>
    </row>
    <row r="2089" spans="1:25">
      <c r="A2089" t="s">
        <v>7049</v>
      </c>
      <c r="B2089" t="s">
        <v>7050</v>
      </c>
      <c r="D2089" t="s">
        <v>40</v>
      </c>
      <c r="E2089" t="s">
        <v>41</v>
      </c>
      <c r="J2089" t="s">
        <v>182</v>
      </c>
      <c r="K2089" t="s">
        <v>183</v>
      </c>
      <c r="L2089">
        <v>10</v>
      </c>
      <c r="M2089" t="s">
        <v>7041</v>
      </c>
      <c r="N2089" t="s">
        <v>64</v>
      </c>
      <c r="O2089" t="s">
        <v>46</v>
      </c>
      <c r="P2089" t="s">
        <v>46</v>
      </c>
      <c r="Y2089" t="s">
        <v>7051</v>
      </c>
    </row>
    <row r="2090" spans="1:25">
      <c r="A2090" t="s">
        <v>7052</v>
      </c>
      <c r="B2090" t="s">
        <v>7053</v>
      </c>
      <c r="D2090" t="s">
        <v>40</v>
      </c>
      <c r="E2090" t="s">
        <v>41</v>
      </c>
      <c r="J2090" t="s">
        <v>76</v>
      </c>
      <c r="K2090" t="s">
        <v>77</v>
      </c>
      <c r="L2090">
        <v>10</v>
      </c>
      <c r="M2090" t="s">
        <v>7041</v>
      </c>
      <c r="N2090" t="s">
        <v>64</v>
      </c>
      <c r="O2090" t="s">
        <v>46</v>
      </c>
      <c r="P2090" t="s">
        <v>46</v>
      </c>
      <c r="Y2090" t="s">
        <v>7054</v>
      </c>
    </row>
    <row r="2091" spans="1:25">
      <c r="A2091" t="s">
        <v>7055</v>
      </c>
      <c r="B2091" t="s">
        <v>7056</v>
      </c>
      <c r="D2091" t="s">
        <v>40</v>
      </c>
      <c r="E2091" t="s">
        <v>41</v>
      </c>
      <c r="J2091" t="s">
        <v>42</v>
      </c>
      <c r="K2091" t="s">
        <v>43</v>
      </c>
      <c r="L2091">
        <v>10</v>
      </c>
      <c r="M2091" t="s">
        <v>7041</v>
      </c>
      <c r="N2091" t="s">
        <v>1138</v>
      </c>
      <c r="O2091" t="s">
        <v>46</v>
      </c>
      <c r="P2091" t="s">
        <v>46</v>
      </c>
      <c r="Y2091" t="s">
        <v>7057</v>
      </c>
    </row>
    <row r="2092" spans="1:25">
      <c r="A2092" t="s">
        <v>7058</v>
      </c>
      <c r="B2092" t="s">
        <v>7059</v>
      </c>
      <c r="D2092" t="s">
        <v>40</v>
      </c>
      <c r="E2092" t="s">
        <v>41</v>
      </c>
      <c r="J2092" t="s">
        <v>1142</v>
      </c>
      <c r="K2092" t="s">
        <v>1143</v>
      </c>
      <c r="L2092">
        <v>10</v>
      </c>
      <c r="M2092" t="s">
        <v>7060</v>
      </c>
      <c r="N2092" t="s">
        <v>210</v>
      </c>
      <c r="O2092" t="s">
        <v>46</v>
      </c>
      <c r="P2092" t="s">
        <v>46</v>
      </c>
      <c r="Y2092" t="s">
        <v>7061</v>
      </c>
    </row>
    <row r="2093" spans="1:25">
      <c r="A2093" t="s">
        <v>7062</v>
      </c>
      <c r="B2093" t="s">
        <v>7063</v>
      </c>
      <c r="D2093" t="s">
        <v>40</v>
      </c>
      <c r="E2093" t="s">
        <v>41</v>
      </c>
      <c r="J2093" t="s">
        <v>42</v>
      </c>
      <c r="K2093" t="s">
        <v>43</v>
      </c>
      <c r="L2093">
        <v>10</v>
      </c>
      <c r="M2093" t="s">
        <v>7060</v>
      </c>
      <c r="N2093" t="s">
        <v>142</v>
      </c>
      <c r="O2093" t="s">
        <v>46</v>
      </c>
      <c r="P2093" t="s">
        <v>46</v>
      </c>
      <c r="Y2093" t="s">
        <v>7064</v>
      </c>
    </row>
    <row r="2094" spans="1:25">
      <c r="A2094" t="s">
        <v>7065</v>
      </c>
      <c r="B2094" t="s">
        <v>7066</v>
      </c>
      <c r="D2094" t="s">
        <v>40</v>
      </c>
      <c r="E2094" t="s">
        <v>41</v>
      </c>
      <c r="J2094" t="s">
        <v>68</v>
      </c>
      <c r="K2094" t="s">
        <v>69</v>
      </c>
      <c r="L2094">
        <v>10</v>
      </c>
      <c r="M2094" t="s">
        <v>7060</v>
      </c>
      <c r="N2094" t="s">
        <v>64</v>
      </c>
      <c r="O2094" t="s">
        <v>46</v>
      </c>
      <c r="P2094" t="s">
        <v>46</v>
      </c>
      <c r="Y2094" t="s">
        <v>7067</v>
      </c>
    </row>
    <row r="2095" spans="1:25">
      <c r="A2095" t="s">
        <v>7068</v>
      </c>
      <c r="B2095" t="s">
        <v>7069</v>
      </c>
      <c r="D2095" t="s">
        <v>40</v>
      </c>
      <c r="E2095" t="s">
        <v>41</v>
      </c>
      <c r="J2095" t="s">
        <v>182</v>
      </c>
      <c r="K2095" t="s">
        <v>183</v>
      </c>
      <c r="L2095">
        <v>10</v>
      </c>
      <c r="M2095" t="s">
        <v>7060</v>
      </c>
      <c r="N2095" t="s">
        <v>64</v>
      </c>
      <c r="O2095" t="s">
        <v>46</v>
      </c>
      <c r="P2095" t="s">
        <v>46</v>
      </c>
      <c r="Y2095" t="s">
        <v>7070</v>
      </c>
    </row>
    <row r="2096" spans="1:25">
      <c r="A2096" t="s">
        <v>7071</v>
      </c>
      <c r="B2096" t="s">
        <v>7072</v>
      </c>
      <c r="D2096" t="s">
        <v>40</v>
      </c>
      <c r="E2096" t="s">
        <v>41</v>
      </c>
      <c r="J2096" t="s">
        <v>76</v>
      </c>
      <c r="K2096" t="s">
        <v>77</v>
      </c>
      <c r="L2096">
        <v>10</v>
      </c>
      <c r="M2096" t="s">
        <v>7060</v>
      </c>
      <c r="N2096" t="s">
        <v>64</v>
      </c>
      <c r="O2096" t="s">
        <v>46</v>
      </c>
      <c r="P2096" t="s">
        <v>46</v>
      </c>
      <c r="Y2096" t="s">
        <v>7073</v>
      </c>
    </row>
    <row r="2097" spans="1:25">
      <c r="A2097" t="s">
        <v>7074</v>
      </c>
      <c r="B2097" t="s">
        <v>7075</v>
      </c>
      <c r="D2097" t="s">
        <v>40</v>
      </c>
      <c r="E2097" t="s">
        <v>41</v>
      </c>
      <c r="J2097" t="s">
        <v>62</v>
      </c>
      <c r="K2097" t="s">
        <v>63</v>
      </c>
      <c r="L2097">
        <v>10</v>
      </c>
      <c r="M2097" t="s">
        <v>7076</v>
      </c>
      <c r="N2097" t="s">
        <v>64</v>
      </c>
      <c r="O2097" t="s">
        <v>46</v>
      </c>
      <c r="P2097" t="s">
        <v>46</v>
      </c>
      <c r="Y2097" t="s">
        <v>7077</v>
      </c>
    </row>
    <row r="2098" spans="1:25">
      <c r="A2098" t="s">
        <v>7078</v>
      </c>
      <c r="B2098" t="s">
        <v>7079</v>
      </c>
      <c r="D2098" t="s">
        <v>40</v>
      </c>
      <c r="E2098" t="s">
        <v>41</v>
      </c>
      <c r="J2098" t="s">
        <v>68</v>
      </c>
      <c r="K2098" t="s">
        <v>69</v>
      </c>
      <c r="L2098">
        <v>10</v>
      </c>
      <c r="M2098" t="s">
        <v>7080</v>
      </c>
      <c r="N2098" t="s">
        <v>64</v>
      </c>
      <c r="O2098" t="s">
        <v>46</v>
      </c>
      <c r="P2098" t="s">
        <v>46</v>
      </c>
      <c r="Y2098" t="s">
        <v>7081</v>
      </c>
    </row>
    <row r="2099" spans="1:25">
      <c r="A2099" t="s">
        <v>7082</v>
      </c>
      <c r="B2099" t="s">
        <v>7083</v>
      </c>
      <c r="D2099" t="s">
        <v>40</v>
      </c>
      <c r="E2099" t="s">
        <v>41</v>
      </c>
      <c r="J2099" t="s">
        <v>182</v>
      </c>
      <c r="K2099" t="s">
        <v>183</v>
      </c>
      <c r="L2099">
        <v>10</v>
      </c>
      <c r="M2099" t="s">
        <v>7080</v>
      </c>
      <c r="N2099" t="s">
        <v>64</v>
      </c>
      <c r="O2099" t="s">
        <v>46</v>
      </c>
      <c r="P2099" t="s">
        <v>46</v>
      </c>
      <c r="Y2099" t="s">
        <v>7084</v>
      </c>
    </row>
    <row r="2100" spans="1:25">
      <c r="A2100" t="s">
        <v>7085</v>
      </c>
      <c r="B2100" t="s">
        <v>7086</v>
      </c>
      <c r="D2100" t="s">
        <v>40</v>
      </c>
      <c r="E2100" t="s">
        <v>41</v>
      </c>
      <c r="J2100" t="s">
        <v>76</v>
      </c>
      <c r="K2100" t="s">
        <v>77</v>
      </c>
      <c r="L2100">
        <v>10</v>
      </c>
      <c r="M2100" t="s">
        <v>7080</v>
      </c>
      <c r="N2100" t="s">
        <v>64</v>
      </c>
      <c r="O2100" t="s">
        <v>46</v>
      </c>
      <c r="P2100" t="s">
        <v>46</v>
      </c>
      <c r="Y2100" t="s">
        <v>7087</v>
      </c>
    </row>
    <row r="2101" spans="1:25">
      <c r="A2101" t="s">
        <v>7088</v>
      </c>
      <c r="B2101" t="s">
        <v>7089</v>
      </c>
      <c r="D2101" t="s">
        <v>40</v>
      </c>
      <c r="E2101" t="s">
        <v>41</v>
      </c>
      <c r="J2101" t="s">
        <v>182</v>
      </c>
      <c r="K2101" t="s">
        <v>183</v>
      </c>
      <c r="L2101">
        <v>10</v>
      </c>
      <c r="M2101" t="s">
        <v>7080</v>
      </c>
      <c r="N2101" t="s">
        <v>64</v>
      </c>
      <c r="O2101" t="s">
        <v>46</v>
      </c>
      <c r="P2101" t="s">
        <v>46</v>
      </c>
      <c r="Y2101" t="s">
        <v>7090</v>
      </c>
    </row>
    <row r="2102" spans="1:25">
      <c r="A2102" t="s">
        <v>7091</v>
      </c>
      <c r="B2102" t="s">
        <v>7092</v>
      </c>
      <c r="D2102" t="s">
        <v>40</v>
      </c>
      <c r="E2102" t="s">
        <v>41</v>
      </c>
      <c r="J2102" t="s">
        <v>248</v>
      </c>
      <c r="K2102" t="s">
        <v>249</v>
      </c>
      <c r="L2102">
        <v>10</v>
      </c>
      <c r="M2102" t="s">
        <v>7080</v>
      </c>
      <c r="N2102" t="s">
        <v>1189</v>
      </c>
      <c r="O2102" t="s">
        <v>46</v>
      </c>
      <c r="P2102" t="s">
        <v>46</v>
      </c>
      <c r="Y2102" t="s">
        <v>7093</v>
      </c>
    </row>
    <row r="2103" spans="1:25">
      <c r="A2103" t="s">
        <v>7094</v>
      </c>
      <c r="B2103" t="s">
        <v>7095</v>
      </c>
      <c r="D2103" t="s">
        <v>40</v>
      </c>
      <c r="E2103" t="s">
        <v>41</v>
      </c>
      <c r="J2103" t="s">
        <v>42</v>
      </c>
      <c r="K2103" t="s">
        <v>43</v>
      </c>
      <c r="L2103">
        <v>10</v>
      </c>
      <c r="M2103" t="s">
        <v>7096</v>
      </c>
      <c r="N2103" t="s">
        <v>1814</v>
      </c>
      <c r="O2103" t="s">
        <v>46</v>
      </c>
      <c r="P2103" t="s">
        <v>46</v>
      </c>
      <c r="Y2103" t="s">
        <v>7097</v>
      </c>
    </row>
    <row r="2104" spans="1:25">
      <c r="A2104" t="s">
        <v>7098</v>
      </c>
      <c r="B2104" t="s">
        <v>7099</v>
      </c>
      <c r="D2104" t="s">
        <v>40</v>
      </c>
      <c r="E2104" t="s">
        <v>41</v>
      </c>
      <c r="J2104" t="s">
        <v>42</v>
      </c>
      <c r="K2104" t="s">
        <v>43</v>
      </c>
      <c r="L2104">
        <v>10</v>
      </c>
      <c r="M2104" t="s">
        <v>7100</v>
      </c>
      <c r="N2104" t="s">
        <v>373</v>
      </c>
      <c r="O2104" t="s">
        <v>46</v>
      </c>
      <c r="P2104" t="s">
        <v>46</v>
      </c>
      <c r="Y2104" t="s">
        <v>7101</v>
      </c>
    </row>
    <row r="2105" spans="1:25">
      <c r="A2105" t="s">
        <v>7102</v>
      </c>
      <c r="B2105" t="s">
        <v>7103</v>
      </c>
      <c r="D2105" t="s">
        <v>40</v>
      </c>
      <c r="E2105" t="s">
        <v>41</v>
      </c>
      <c r="J2105" t="s">
        <v>182</v>
      </c>
      <c r="K2105" t="s">
        <v>183</v>
      </c>
      <c r="L2105">
        <v>10</v>
      </c>
      <c r="M2105" t="s">
        <v>7100</v>
      </c>
      <c r="N2105" t="s">
        <v>64</v>
      </c>
      <c r="O2105" t="s">
        <v>46</v>
      </c>
      <c r="P2105" t="s">
        <v>46</v>
      </c>
      <c r="Y2105" t="s">
        <v>7104</v>
      </c>
    </row>
    <row r="2106" spans="1:25">
      <c r="A2106" t="s">
        <v>7105</v>
      </c>
      <c r="B2106" t="s">
        <v>7106</v>
      </c>
      <c r="D2106" t="s">
        <v>40</v>
      </c>
      <c r="E2106" t="s">
        <v>41</v>
      </c>
      <c r="J2106" t="s">
        <v>182</v>
      </c>
      <c r="K2106" t="s">
        <v>183</v>
      </c>
      <c r="L2106">
        <v>10</v>
      </c>
      <c r="M2106" t="s">
        <v>7100</v>
      </c>
      <c r="N2106" t="s">
        <v>64</v>
      </c>
      <c r="O2106" t="s">
        <v>46</v>
      </c>
      <c r="P2106" t="s">
        <v>46</v>
      </c>
      <c r="Y2106" t="s">
        <v>7107</v>
      </c>
    </row>
    <row r="2107" spans="1:25">
      <c r="A2107" t="s">
        <v>7108</v>
      </c>
      <c r="B2107" t="s">
        <v>7109</v>
      </c>
      <c r="D2107" t="s">
        <v>40</v>
      </c>
      <c r="E2107" t="s">
        <v>41</v>
      </c>
      <c r="J2107" t="s">
        <v>182</v>
      </c>
      <c r="K2107" t="s">
        <v>183</v>
      </c>
      <c r="L2107">
        <v>10</v>
      </c>
      <c r="M2107" t="s">
        <v>7100</v>
      </c>
      <c r="N2107" t="s">
        <v>64</v>
      </c>
      <c r="O2107" t="s">
        <v>46</v>
      </c>
      <c r="P2107" t="s">
        <v>46</v>
      </c>
      <c r="Y2107" t="s">
        <v>7110</v>
      </c>
    </row>
    <row r="2108" spans="1:25">
      <c r="A2108" t="s">
        <v>7111</v>
      </c>
      <c r="B2108" t="s">
        <v>7112</v>
      </c>
      <c r="D2108" t="s">
        <v>40</v>
      </c>
      <c r="E2108" t="s">
        <v>41</v>
      </c>
      <c r="J2108" t="s">
        <v>182</v>
      </c>
      <c r="K2108" t="s">
        <v>183</v>
      </c>
      <c r="L2108">
        <v>10</v>
      </c>
      <c r="M2108" t="s">
        <v>7100</v>
      </c>
      <c r="N2108" t="s">
        <v>64</v>
      </c>
      <c r="O2108" t="s">
        <v>46</v>
      </c>
      <c r="P2108" t="s">
        <v>46</v>
      </c>
      <c r="Y2108" t="s">
        <v>7113</v>
      </c>
    </row>
    <row r="2109" spans="1:25">
      <c r="A2109" t="s">
        <v>7114</v>
      </c>
      <c r="B2109" t="s">
        <v>7115</v>
      </c>
      <c r="D2109" t="s">
        <v>40</v>
      </c>
      <c r="E2109" t="s">
        <v>41</v>
      </c>
      <c r="J2109" t="s">
        <v>182</v>
      </c>
      <c r="K2109" t="s">
        <v>183</v>
      </c>
      <c r="L2109">
        <v>10</v>
      </c>
      <c r="M2109" t="s">
        <v>7116</v>
      </c>
      <c r="N2109" t="s">
        <v>64</v>
      </c>
      <c r="O2109" t="s">
        <v>46</v>
      </c>
      <c r="P2109" t="s">
        <v>46</v>
      </c>
      <c r="Y2109" t="s">
        <v>7117</v>
      </c>
    </row>
    <row r="2110" spans="1:25">
      <c r="A2110" t="s">
        <v>7118</v>
      </c>
      <c r="B2110" t="s">
        <v>7119</v>
      </c>
      <c r="D2110" t="s">
        <v>40</v>
      </c>
      <c r="E2110" t="s">
        <v>41</v>
      </c>
      <c r="J2110" t="s">
        <v>182</v>
      </c>
      <c r="K2110" t="s">
        <v>183</v>
      </c>
      <c r="L2110">
        <v>10</v>
      </c>
      <c r="M2110" t="s">
        <v>7116</v>
      </c>
      <c r="N2110" t="s">
        <v>64</v>
      </c>
      <c r="O2110" t="s">
        <v>46</v>
      </c>
      <c r="P2110" t="s">
        <v>46</v>
      </c>
      <c r="Y2110" t="s">
        <v>7120</v>
      </c>
    </row>
    <row r="2111" spans="1:25">
      <c r="A2111" t="s">
        <v>7121</v>
      </c>
      <c r="B2111" t="s">
        <v>7122</v>
      </c>
      <c r="D2111" t="s">
        <v>40</v>
      </c>
      <c r="E2111" t="s">
        <v>41</v>
      </c>
      <c r="J2111" t="s">
        <v>76</v>
      </c>
      <c r="K2111" t="s">
        <v>77</v>
      </c>
      <c r="L2111">
        <v>10</v>
      </c>
      <c r="M2111" t="s">
        <v>7116</v>
      </c>
      <c r="N2111" t="s">
        <v>64</v>
      </c>
      <c r="O2111" t="s">
        <v>46</v>
      </c>
      <c r="P2111" t="s">
        <v>46</v>
      </c>
      <c r="Y2111" t="s">
        <v>7123</v>
      </c>
    </row>
    <row r="2112" spans="1:25">
      <c r="A2112" t="s">
        <v>7124</v>
      </c>
      <c r="B2112" t="s">
        <v>7125</v>
      </c>
      <c r="D2112" t="s">
        <v>40</v>
      </c>
      <c r="E2112" t="s">
        <v>41</v>
      </c>
      <c r="J2112" t="s">
        <v>42</v>
      </c>
      <c r="K2112" t="s">
        <v>43</v>
      </c>
      <c r="L2112">
        <v>10</v>
      </c>
      <c r="M2112" t="s">
        <v>7116</v>
      </c>
      <c r="N2112" t="s">
        <v>310</v>
      </c>
      <c r="O2112" t="s">
        <v>46</v>
      </c>
      <c r="P2112" t="s">
        <v>46</v>
      </c>
      <c r="Y2112" t="s">
        <v>7126</v>
      </c>
    </row>
    <row r="2113" spans="1:25">
      <c r="A2113" t="s">
        <v>7127</v>
      </c>
      <c r="B2113" t="s">
        <v>7128</v>
      </c>
      <c r="D2113" t="s">
        <v>40</v>
      </c>
      <c r="E2113" t="s">
        <v>41</v>
      </c>
      <c r="J2113" t="s">
        <v>182</v>
      </c>
      <c r="K2113" t="s">
        <v>183</v>
      </c>
      <c r="L2113">
        <v>10</v>
      </c>
      <c r="M2113" t="s">
        <v>7129</v>
      </c>
      <c r="N2113" t="s">
        <v>64</v>
      </c>
      <c r="O2113" t="s">
        <v>46</v>
      </c>
      <c r="P2113" t="s">
        <v>46</v>
      </c>
      <c r="Y2113" t="s">
        <v>7130</v>
      </c>
    </row>
    <row r="2114" spans="1:25">
      <c r="A2114" t="s">
        <v>7131</v>
      </c>
      <c r="B2114" t="s">
        <v>7132</v>
      </c>
      <c r="D2114" t="s">
        <v>40</v>
      </c>
      <c r="E2114" t="s">
        <v>41</v>
      </c>
      <c r="J2114" t="s">
        <v>264</v>
      </c>
      <c r="K2114" t="s">
        <v>265</v>
      </c>
      <c r="L2114">
        <v>9</v>
      </c>
      <c r="M2114" t="s">
        <v>7133</v>
      </c>
      <c r="N2114" t="s">
        <v>310</v>
      </c>
      <c r="O2114" t="s">
        <v>46</v>
      </c>
      <c r="P2114" t="s">
        <v>46</v>
      </c>
      <c r="Y2114" t="s">
        <v>7134</v>
      </c>
    </row>
    <row r="2115" spans="1:25">
      <c r="A2115" t="s">
        <v>7135</v>
      </c>
      <c r="B2115" t="s">
        <v>7136</v>
      </c>
      <c r="D2115" t="s">
        <v>40</v>
      </c>
      <c r="E2115" t="s">
        <v>41</v>
      </c>
      <c r="J2115" t="s">
        <v>139</v>
      </c>
      <c r="K2115" t="s">
        <v>140</v>
      </c>
      <c r="L2115">
        <v>7</v>
      </c>
      <c r="M2115" t="s">
        <v>7133</v>
      </c>
      <c r="N2115" t="s">
        <v>5995</v>
      </c>
      <c r="O2115" t="s">
        <v>46</v>
      </c>
      <c r="P2115" t="s">
        <v>46</v>
      </c>
      <c r="Y2115" t="s">
        <v>7137</v>
      </c>
    </row>
    <row r="2116" spans="1:25">
      <c r="A2116" t="s">
        <v>7138</v>
      </c>
      <c r="B2116" t="s">
        <v>7139</v>
      </c>
      <c r="D2116" t="s">
        <v>40</v>
      </c>
      <c r="E2116" t="s">
        <v>41</v>
      </c>
      <c r="J2116" t="s">
        <v>76</v>
      </c>
      <c r="K2116" t="s">
        <v>77</v>
      </c>
      <c r="L2116">
        <v>10</v>
      </c>
      <c r="M2116" t="s">
        <v>7140</v>
      </c>
      <c r="N2116" t="s">
        <v>64</v>
      </c>
      <c r="O2116" t="s">
        <v>46</v>
      </c>
      <c r="P2116" t="s">
        <v>46</v>
      </c>
      <c r="Y2116" t="s">
        <v>7141</v>
      </c>
    </row>
    <row r="2117" spans="1:25">
      <c r="A2117" t="s">
        <v>7142</v>
      </c>
      <c r="B2117" t="s">
        <v>7143</v>
      </c>
      <c r="D2117" t="s">
        <v>40</v>
      </c>
      <c r="E2117" t="s">
        <v>41</v>
      </c>
      <c r="J2117" t="s">
        <v>76</v>
      </c>
      <c r="K2117" t="s">
        <v>77</v>
      </c>
      <c r="L2117">
        <v>10</v>
      </c>
      <c r="M2117" t="s">
        <v>7140</v>
      </c>
      <c r="N2117" t="s">
        <v>64</v>
      </c>
      <c r="O2117" t="s">
        <v>46</v>
      </c>
      <c r="P2117" t="s">
        <v>46</v>
      </c>
      <c r="Y2117" t="s">
        <v>7144</v>
      </c>
    </row>
    <row r="2118" spans="1:25">
      <c r="A2118" t="s">
        <v>7145</v>
      </c>
      <c r="B2118" t="s">
        <v>7146</v>
      </c>
      <c r="D2118" t="s">
        <v>40</v>
      </c>
      <c r="E2118" t="s">
        <v>41</v>
      </c>
      <c r="J2118" t="s">
        <v>42</v>
      </c>
      <c r="K2118" t="s">
        <v>43</v>
      </c>
      <c r="L2118">
        <v>11</v>
      </c>
      <c r="M2118" t="s">
        <v>7147</v>
      </c>
      <c r="N2118" t="s">
        <v>1138</v>
      </c>
      <c r="O2118" t="s">
        <v>46</v>
      </c>
      <c r="P2118" t="s">
        <v>46</v>
      </c>
      <c r="Y2118" t="s">
        <v>7148</v>
      </c>
    </row>
    <row r="2119" spans="1:25">
      <c r="A2119" t="s">
        <v>7149</v>
      </c>
      <c r="B2119" t="s">
        <v>7150</v>
      </c>
      <c r="D2119" t="s">
        <v>40</v>
      </c>
      <c r="E2119" t="s">
        <v>41</v>
      </c>
      <c r="J2119" t="s">
        <v>182</v>
      </c>
      <c r="K2119" t="s">
        <v>183</v>
      </c>
      <c r="L2119">
        <v>10</v>
      </c>
      <c r="M2119" t="s">
        <v>7151</v>
      </c>
      <c r="N2119" t="s">
        <v>64</v>
      </c>
      <c r="O2119" t="s">
        <v>46</v>
      </c>
      <c r="P2119" t="s">
        <v>46</v>
      </c>
      <c r="Y2119" t="s">
        <v>7152</v>
      </c>
    </row>
    <row r="2120" spans="1:25">
      <c r="A2120" t="s">
        <v>7153</v>
      </c>
      <c r="B2120" t="s">
        <v>7154</v>
      </c>
      <c r="D2120" t="s">
        <v>40</v>
      </c>
      <c r="E2120" t="s">
        <v>41</v>
      </c>
      <c r="J2120" t="s">
        <v>68</v>
      </c>
      <c r="K2120" t="s">
        <v>69</v>
      </c>
      <c r="L2120">
        <v>10</v>
      </c>
      <c r="M2120" t="s">
        <v>7155</v>
      </c>
      <c r="N2120" t="s">
        <v>64</v>
      </c>
      <c r="O2120" t="s">
        <v>46</v>
      </c>
      <c r="P2120" t="s">
        <v>46</v>
      </c>
      <c r="Y2120" t="s">
        <v>7156</v>
      </c>
    </row>
    <row r="2121" spans="1:25">
      <c r="A2121" t="s">
        <v>7157</v>
      </c>
      <c r="B2121" t="s">
        <v>7158</v>
      </c>
      <c r="D2121" t="s">
        <v>40</v>
      </c>
      <c r="E2121" t="s">
        <v>41</v>
      </c>
      <c r="J2121" t="s">
        <v>68</v>
      </c>
      <c r="K2121" t="s">
        <v>69</v>
      </c>
      <c r="L2121">
        <v>10</v>
      </c>
      <c r="M2121" t="s">
        <v>7155</v>
      </c>
      <c r="N2121" t="s">
        <v>64</v>
      </c>
      <c r="O2121" t="s">
        <v>46</v>
      </c>
      <c r="P2121" t="s">
        <v>46</v>
      </c>
      <c r="Y2121" t="s">
        <v>7159</v>
      </c>
    </row>
    <row r="2122" spans="1:25">
      <c r="A2122" t="s">
        <v>7160</v>
      </c>
      <c r="B2122" t="s">
        <v>7161</v>
      </c>
      <c r="D2122" t="s">
        <v>40</v>
      </c>
      <c r="E2122" t="s">
        <v>41</v>
      </c>
      <c r="J2122" t="s">
        <v>68</v>
      </c>
      <c r="K2122" t="s">
        <v>69</v>
      </c>
      <c r="L2122">
        <v>10</v>
      </c>
      <c r="M2122" t="s">
        <v>7155</v>
      </c>
      <c r="N2122" t="s">
        <v>64</v>
      </c>
      <c r="O2122" t="s">
        <v>46</v>
      </c>
      <c r="P2122" t="s">
        <v>46</v>
      </c>
      <c r="Y2122" t="s">
        <v>7162</v>
      </c>
    </row>
    <row r="2123" spans="1:25">
      <c r="A2123" t="s">
        <v>7163</v>
      </c>
      <c r="B2123" t="s">
        <v>7164</v>
      </c>
      <c r="D2123" t="s">
        <v>40</v>
      </c>
      <c r="E2123" t="s">
        <v>41</v>
      </c>
      <c r="J2123" t="s">
        <v>76</v>
      </c>
      <c r="K2123" t="s">
        <v>77</v>
      </c>
      <c r="L2123">
        <v>10</v>
      </c>
      <c r="M2123" t="s">
        <v>7155</v>
      </c>
      <c r="N2123" t="s">
        <v>64</v>
      </c>
      <c r="O2123" t="s">
        <v>46</v>
      </c>
      <c r="P2123" t="s">
        <v>46</v>
      </c>
      <c r="Y2123" t="s">
        <v>7165</v>
      </c>
    </row>
    <row r="2124" spans="1:25">
      <c r="A2124" t="s">
        <v>7166</v>
      </c>
      <c r="B2124" t="s">
        <v>7167</v>
      </c>
      <c r="D2124" t="s">
        <v>40</v>
      </c>
      <c r="E2124" t="s">
        <v>41</v>
      </c>
      <c r="J2124" t="s">
        <v>42</v>
      </c>
      <c r="K2124" t="s">
        <v>43</v>
      </c>
      <c r="L2124">
        <v>10</v>
      </c>
      <c r="M2124" t="s">
        <v>7155</v>
      </c>
      <c r="N2124" t="s">
        <v>53</v>
      </c>
      <c r="O2124" t="s">
        <v>46</v>
      </c>
      <c r="P2124" t="s">
        <v>46</v>
      </c>
      <c r="Y2124" t="s">
        <v>7168</v>
      </c>
    </row>
    <row r="2125" spans="1:25">
      <c r="A2125" t="s">
        <v>7169</v>
      </c>
      <c r="B2125" t="s">
        <v>7170</v>
      </c>
      <c r="D2125" t="s">
        <v>40</v>
      </c>
      <c r="E2125" t="s">
        <v>41</v>
      </c>
      <c r="J2125" t="s">
        <v>76</v>
      </c>
      <c r="K2125" t="s">
        <v>77</v>
      </c>
      <c r="L2125">
        <v>10</v>
      </c>
      <c r="M2125" t="s">
        <v>7171</v>
      </c>
      <c r="N2125" t="s">
        <v>64</v>
      </c>
      <c r="O2125" t="s">
        <v>46</v>
      </c>
      <c r="P2125" t="s">
        <v>46</v>
      </c>
      <c r="Y2125" t="s">
        <v>7172</v>
      </c>
    </row>
    <row r="2126" spans="1:25">
      <c r="A2126" t="s">
        <v>7173</v>
      </c>
      <c r="B2126" t="s">
        <v>7174</v>
      </c>
      <c r="D2126" t="s">
        <v>40</v>
      </c>
      <c r="E2126" t="s">
        <v>41</v>
      </c>
      <c r="J2126" t="s">
        <v>182</v>
      </c>
      <c r="K2126" t="s">
        <v>183</v>
      </c>
      <c r="L2126">
        <v>10</v>
      </c>
      <c r="M2126" t="s">
        <v>7171</v>
      </c>
      <c r="N2126" t="s">
        <v>64</v>
      </c>
      <c r="O2126" t="s">
        <v>46</v>
      </c>
      <c r="P2126" t="s">
        <v>46</v>
      </c>
      <c r="Y2126" t="s">
        <v>7175</v>
      </c>
    </row>
    <row r="2127" spans="1:25">
      <c r="A2127" t="s">
        <v>7176</v>
      </c>
      <c r="B2127" t="s">
        <v>7177</v>
      </c>
      <c r="D2127" t="s">
        <v>40</v>
      </c>
      <c r="E2127" t="s">
        <v>41</v>
      </c>
      <c r="J2127" t="s">
        <v>182</v>
      </c>
      <c r="K2127" t="s">
        <v>183</v>
      </c>
      <c r="L2127">
        <v>10</v>
      </c>
      <c r="M2127" t="s">
        <v>7171</v>
      </c>
      <c r="N2127" t="s">
        <v>64</v>
      </c>
      <c r="O2127" t="s">
        <v>46</v>
      </c>
      <c r="P2127" t="s">
        <v>46</v>
      </c>
      <c r="Y2127" t="s">
        <v>7178</v>
      </c>
    </row>
    <row r="2128" spans="1:25">
      <c r="A2128" t="s">
        <v>7179</v>
      </c>
      <c r="B2128" t="s">
        <v>7180</v>
      </c>
      <c r="D2128" t="s">
        <v>40</v>
      </c>
      <c r="E2128" t="s">
        <v>41</v>
      </c>
      <c r="J2128" t="s">
        <v>182</v>
      </c>
      <c r="K2128" t="s">
        <v>183</v>
      </c>
      <c r="L2128">
        <v>10</v>
      </c>
      <c r="M2128" t="s">
        <v>7181</v>
      </c>
      <c r="N2128" t="s">
        <v>64</v>
      </c>
      <c r="O2128" t="s">
        <v>46</v>
      </c>
      <c r="P2128" t="s">
        <v>46</v>
      </c>
      <c r="Y2128" t="s">
        <v>7182</v>
      </c>
    </row>
    <row r="2129" spans="1:25">
      <c r="A2129" t="s">
        <v>7183</v>
      </c>
      <c r="B2129" t="s">
        <v>7184</v>
      </c>
      <c r="D2129" t="s">
        <v>40</v>
      </c>
      <c r="E2129" t="s">
        <v>41</v>
      </c>
      <c r="J2129" t="s">
        <v>76</v>
      </c>
      <c r="K2129" t="s">
        <v>77</v>
      </c>
      <c r="L2129">
        <v>10</v>
      </c>
      <c r="M2129" t="s">
        <v>7185</v>
      </c>
      <c r="N2129" t="s">
        <v>64</v>
      </c>
      <c r="O2129" t="s">
        <v>46</v>
      </c>
      <c r="P2129" t="s">
        <v>46</v>
      </c>
      <c r="Y2129" t="s">
        <v>7186</v>
      </c>
    </row>
    <row r="2130" spans="1:25">
      <c r="A2130" t="s">
        <v>7187</v>
      </c>
      <c r="B2130" t="s">
        <v>7188</v>
      </c>
      <c r="D2130" t="s">
        <v>40</v>
      </c>
      <c r="E2130" t="s">
        <v>41</v>
      </c>
      <c r="J2130" t="s">
        <v>182</v>
      </c>
      <c r="K2130" t="s">
        <v>183</v>
      </c>
      <c r="L2130">
        <v>10</v>
      </c>
      <c r="M2130" t="s">
        <v>7189</v>
      </c>
      <c r="N2130" t="s">
        <v>64</v>
      </c>
      <c r="O2130" t="s">
        <v>46</v>
      </c>
      <c r="P2130" t="s">
        <v>46</v>
      </c>
      <c r="Y2130" t="s">
        <v>7190</v>
      </c>
    </row>
    <row r="2131" spans="1:25">
      <c r="A2131" t="s">
        <v>7191</v>
      </c>
      <c r="B2131" t="s">
        <v>7192</v>
      </c>
      <c r="D2131" t="s">
        <v>40</v>
      </c>
      <c r="E2131" t="s">
        <v>41</v>
      </c>
      <c r="J2131" t="s">
        <v>42</v>
      </c>
      <c r="K2131" t="s">
        <v>43</v>
      </c>
      <c r="L2131">
        <v>10</v>
      </c>
      <c r="M2131" t="s">
        <v>7193</v>
      </c>
      <c r="N2131" t="s">
        <v>2621</v>
      </c>
      <c r="O2131" t="s">
        <v>46</v>
      </c>
      <c r="P2131" t="s">
        <v>46</v>
      </c>
      <c r="Y2131" t="s">
        <v>7194</v>
      </c>
    </row>
    <row r="2132" spans="1:25">
      <c r="A2132" t="s">
        <v>7195</v>
      </c>
      <c r="B2132" t="s">
        <v>7196</v>
      </c>
      <c r="D2132" t="s">
        <v>40</v>
      </c>
      <c r="E2132" t="s">
        <v>41</v>
      </c>
      <c r="J2132" t="s">
        <v>182</v>
      </c>
      <c r="K2132" t="s">
        <v>183</v>
      </c>
      <c r="L2132">
        <v>10</v>
      </c>
      <c r="M2132" t="s">
        <v>7193</v>
      </c>
      <c r="N2132" t="s">
        <v>64</v>
      </c>
      <c r="O2132" t="s">
        <v>46</v>
      </c>
      <c r="P2132" t="s">
        <v>46</v>
      </c>
      <c r="Y2132" t="s">
        <v>7197</v>
      </c>
    </row>
    <row r="2133" spans="1:25">
      <c r="A2133" t="s">
        <v>7198</v>
      </c>
      <c r="B2133" t="s">
        <v>7199</v>
      </c>
      <c r="D2133" t="s">
        <v>40</v>
      </c>
      <c r="E2133" t="s">
        <v>41</v>
      </c>
      <c r="J2133" t="s">
        <v>76</v>
      </c>
      <c r="K2133" t="s">
        <v>77</v>
      </c>
      <c r="L2133">
        <v>10</v>
      </c>
      <c r="M2133" t="s">
        <v>7193</v>
      </c>
      <c r="N2133" t="s">
        <v>64</v>
      </c>
      <c r="O2133" t="s">
        <v>46</v>
      </c>
      <c r="P2133" t="s">
        <v>46</v>
      </c>
      <c r="Y2133" t="s">
        <v>7200</v>
      </c>
    </row>
    <row r="2134" spans="1:25">
      <c r="A2134" t="s">
        <v>7201</v>
      </c>
      <c r="B2134" t="s">
        <v>7202</v>
      </c>
      <c r="D2134" t="s">
        <v>40</v>
      </c>
      <c r="E2134" t="s">
        <v>41</v>
      </c>
      <c r="J2134" t="s">
        <v>76</v>
      </c>
      <c r="K2134" t="s">
        <v>77</v>
      </c>
      <c r="L2134">
        <v>10</v>
      </c>
      <c r="M2134" t="s">
        <v>7193</v>
      </c>
      <c r="N2134" t="s">
        <v>64</v>
      </c>
      <c r="O2134" t="s">
        <v>46</v>
      </c>
      <c r="P2134" t="s">
        <v>46</v>
      </c>
      <c r="Y2134" t="s">
        <v>7203</v>
      </c>
    </row>
    <row r="2135" spans="1:25">
      <c r="A2135" t="s">
        <v>7204</v>
      </c>
      <c r="B2135" t="s">
        <v>7205</v>
      </c>
      <c r="D2135" t="s">
        <v>40</v>
      </c>
      <c r="E2135" t="s">
        <v>41</v>
      </c>
      <c r="J2135" t="s">
        <v>76</v>
      </c>
      <c r="K2135" t="s">
        <v>77</v>
      </c>
      <c r="L2135">
        <v>10</v>
      </c>
      <c r="M2135" t="s">
        <v>7193</v>
      </c>
      <c r="N2135" t="s">
        <v>64</v>
      </c>
      <c r="O2135" t="s">
        <v>46</v>
      </c>
      <c r="P2135" t="s">
        <v>46</v>
      </c>
      <c r="Y2135" t="s">
        <v>7206</v>
      </c>
    </row>
    <row r="2136" spans="1:25">
      <c r="A2136" t="s">
        <v>7207</v>
      </c>
      <c r="B2136" t="s">
        <v>7208</v>
      </c>
      <c r="D2136" t="s">
        <v>40</v>
      </c>
      <c r="E2136" t="s">
        <v>41</v>
      </c>
      <c r="J2136" t="s">
        <v>68</v>
      </c>
      <c r="K2136" t="s">
        <v>69</v>
      </c>
      <c r="L2136">
        <v>10</v>
      </c>
      <c r="M2136" t="s">
        <v>7209</v>
      </c>
      <c r="N2136" t="s">
        <v>64</v>
      </c>
      <c r="O2136" t="s">
        <v>46</v>
      </c>
      <c r="P2136" t="s">
        <v>46</v>
      </c>
      <c r="Y2136" t="s">
        <v>7210</v>
      </c>
    </row>
    <row r="2137" spans="1:25">
      <c r="A2137" t="s">
        <v>7211</v>
      </c>
      <c r="B2137" t="s">
        <v>7212</v>
      </c>
      <c r="D2137" t="s">
        <v>40</v>
      </c>
      <c r="E2137" t="s">
        <v>41</v>
      </c>
      <c r="J2137" t="s">
        <v>76</v>
      </c>
      <c r="K2137" t="s">
        <v>77</v>
      </c>
      <c r="L2137">
        <v>10</v>
      </c>
      <c r="M2137" t="s">
        <v>7209</v>
      </c>
      <c r="N2137" t="s">
        <v>64</v>
      </c>
      <c r="O2137" t="s">
        <v>46</v>
      </c>
      <c r="P2137" t="s">
        <v>46</v>
      </c>
      <c r="Y2137" t="s">
        <v>7213</v>
      </c>
    </row>
    <row r="2138" spans="1:25">
      <c r="A2138" t="s">
        <v>7214</v>
      </c>
      <c r="B2138" t="s">
        <v>7215</v>
      </c>
      <c r="D2138" t="s">
        <v>40</v>
      </c>
      <c r="E2138" t="s">
        <v>41</v>
      </c>
      <c r="J2138" t="s">
        <v>264</v>
      </c>
      <c r="K2138" t="s">
        <v>265</v>
      </c>
      <c r="L2138">
        <v>16</v>
      </c>
      <c r="M2138" t="s">
        <v>7209</v>
      </c>
      <c r="N2138" t="s">
        <v>5995</v>
      </c>
      <c r="O2138" t="s">
        <v>46</v>
      </c>
      <c r="P2138" t="s">
        <v>46</v>
      </c>
      <c r="Y2138" t="s">
        <v>7216</v>
      </c>
    </row>
    <row r="2139" spans="1:25">
      <c r="A2139" t="s">
        <v>7217</v>
      </c>
      <c r="B2139" t="s">
        <v>7218</v>
      </c>
      <c r="D2139" t="s">
        <v>40</v>
      </c>
      <c r="E2139" t="s">
        <v>41</v>
      </c>
      <c r="J2139" t="s">
        <v>68</v>
      </c>
      <c r="K2139" t="s">
        <v>69</v>
      </c>
      <c r="L2139">
        <v>10</v>
      </c>
      <c r="M2139" t="s">
        <v>7209</v>
      </c>
      <c r="N2139" t="s">
        <v>64</v>
      </c>
      <c r="O2139" t="s">
        <v>46</v>
      </c>
      <c r="P2139" t="s">
        <v>46</v>
      </c>
      <c r="Y2139" t="s">
        <v>7219</v>
      </c>
    </row>
    <row r="2140" spans="1:25">
      <c r="A2140" t="s">
        <v>7220</v>
      </c>
      <c r="B2140" t="s">
        <v>7221</v>
      </c>
      <c r="D2140" t="s">
        <v>40</v>
      </c>
      <c r="E2140" t="s">
        <v>41</v>
      </c>
      <c r="J2140" t="s">
        <v>68</v>
      </c>
      <c r="K2140" t="s">
        <v>69</v>
      </c>
      <c r="L2140">
        <v>10</v>
      </c>
      <c r="M2140" t="s">
        <v>7209</v>
      </c>
      <c r="N2140" t="s">
        <v>64</v>
      </c>
      <c r="O2140" t="s">
        <v>46</v>
      </c>
      <c r="P2140" t="s">
        <v>46</v>
      </c>
      <c r="Y2140" t="s">
        <v>7222</v>
      </c>
    </row>
    <row r="2141" spans="1:25">
      <c r="A2141" t="s">
        <v>7223</v>
      </c>
      <c r="B2141" t="s">
        <v>7224</v>
      </c>
      <c r="D2141" t="s">
        <v>40</v>
      </c>
      <c r="E2141" t="s">
        <v>41</v>
      </c>
      <c r="J2141" t="s">
        <v>42</v>
      </c>
      <c r="K2141" t="s">
        <v>43</v>
      </c>
      <c r="L2141">
        <v>10</v>
      </c>
      <c r="M2141" t="s">
        <v>7209</v>
      </c>
      <c r="N2141" t="s">
        <v>1047</v>
      </c>
      <c r="O2141" t="s">
        <v>46</v>
      </c>
      <c r="P2141" t="s">
        <v>46</v>
      </c>
      <c r="Y2141" t="s">
        <v>7225</v>
      </c>
    </row>
    <row r="2142" spans="1:25">
      <c r="A2142" t="s">
        <v>7226</v>
      </c>
      <c r="B2142" t="s">
        <v>7227</v>
      </c>
      <c r="D2142" t="s">
        <v>40</v>
      </c>
      <c r="E2142" t="s">
        <v>41</v>
      </c>
      <c r="J2142" t="s">
        <v>76</v>
      </c>
      <c r="K2142" t="s">
        <v>77</v>
      </c>
      <c r="L2142">
        <v>10</v>
      </c>
      <c r="M2142" t="s">
        <v>7228</v>
      </c>
      <c r="N2142" t="s">
        <v>64</v>
      </c>
      <c r="O2142" t="s">
        <v>46</v>
      </c>
      <c r="P2142" t="s">
        <v>46</v>
      </c>
      <c r="Y2142" t="s">
        <v>7229</v>
      </c>
    </row>
    <row r="2143" spans="1:25">
      <c r="A2143" t="s">
        <v>7230</v>
      </c>
      <c r="B2143" t="s">
        <v>7231</v>
      </c>
      <c r="D2143" t="s">
        <v>40</v>
      </c>
      <c r="E2143" t="s">
        <v>41</v>
      </c>
      <c r="J2143" t="s">
        <v>76</v>
      </c>
      <c r="K2143" t="s">
        <v>77</v>
      </c>
      <c r="L2143">
        <v>10</v>
      </c>
      <c r="M2143" t="s">
        <v>7228</v>
      </c>
      <c r="N2143" t="s">
        <v>64</v>
      </c>
      <c r="O2143" t="s">
        <v>46</v>
      </c>
      <c r="P2143" t="s">
        <v>46</v>
      </c>
      <c r="Y2143" t="s">
        <v>7232</v>
      </c>
    </row>
    <row r="2144" spans="1:25">
      <c r="A2144" t="s">
        <v>7233</v>
      </c>
      <c r="B2144" t="s">
        <v>7234</v>
      </c>
      <c r="D2144" t="s">
        <v>40</v>
      </c>
      <c r="E2144" t="s">
        <v>41</v>
      </c>
      <c r="J2144" t="s">
        <v>76</v>
      </c>
      <c r="K2144" t="s">
        <v>77</v>
      </c>
      <c r="L2144">
        <v>10</v>
      </c>
      <c r="M2144" t="s">
        <v>7228</v>
      </c>
      <c r="N2144" t="s">
        <v>64</v>
      </c>
      <c r="O2144" t="s">
        <v>46</v>
      </c>
      <c r="P2144" t="s">
        <v>46</v>
      </c>
      <c r="Y2144" t="s">
        <v>7235</v>
      </c>
    </row>
    <row r="2145" spans="1:25">
      <c r="A2145" t="s">
        <v>7236</v>
      </c>
      <c r="B2145" t="s">
        <v>7237</v>
      </c>
      <c r="D2145" t="s">
        <v>40</v>
      </c>
      <c r="E2145" t="s">
        <v>41</v>
      </c>
      <c r="J2145" t="s">
        <v>68</v>
      </c>
      <c r="K2145" t="s">
        <v>69</v>
      </c>
      <c r="L2145">
        <v>10</v>
      </c>
      <c r="M2145" t="s">
        <v>7228</v>
      </c>
      <c r="N2145" t="s">
        <v>64</v>
      </c>
      <c r="O2145" t="s">
        <v>46</v>
      </c>
      <c r="P2145" t="s">
        <v>46</v>
      </c>
      <c r="Y2145" t="s">
        <v>7238</v>
      </c>
    </row>
    <row r="2146" spans="1:25">
      <c r="A2146" t="s">
        <v>7239</v>
      </c>
      <c r="B2146" t="s">
        <v>7240</v>
      </c>
      <c r="D2146" t="s">
        <v>40</v>
      </c>
      <c r="E2146" t="s">
        <v>41</v>
      </c>
      <c r="J2146" t="s">
        <v>182</v>
      </c>
      <c r="K2146" t="s">
        <v>183</v>
      </c>
      <c r="L2146">
        <v>10</v>
      </c>
      <c r="M2146" t="s">
        <v>7228</v>
      </c>
      <c r="N2146" t="s">
        <v>64</v>
      </c>
      <c r="O2146" t="s">
        <v>46</v>
      </c>
      <c r="P2146" t="s">
        <v>46</v>
      </c>
      <c r="Y2146" t="s">
        <v>7241</v>
      </c>
    </row>
    <row r="2147" spans="1:25">
      <c r="A2147" t="s">
        <v>7242</v>
      </c>
      <c r="B2147" t="s">
        <v>7243</v>
      </c>
      <c r="D2147" t="s">
        <v>40</v>
      </c>
      <c r="E2147" t="s">
        <v>41</v>
      </c>
      <c r="J2147" t="s">
        <v>182</v>
      </c>
      <c r="K2147" t="s">
        <v>183</v>
      </c>
      <c r="L2147">
        <v>10</v>
      </c>
      <c r="M2147" t="s">
        <v>7244</v>
      </c>
      <c r="N2147" t="s">
        <v>64</v>
      </c>
      <c r="O2147" t="s">
        <v>46</v>
      </c>
      <c r="P2147" t="s">
        <v>46</v>
      </c>
      <c r="Y2147" t="s">
        <v>7245</v>
      </c>
    </row>
    <row r="2148" spans="1:25">
      <c r="A2148" t="s">
        <v>7246</v>
      </c>
      <c r="B2148" t="s">
        <v>7247</v>
      </c>
      <c r="D2148" t="s">
        <v>40</v>
      </c>
      <c r="E2148" t="s">
        <v>41</v>
      </c>
      <c r="J2148" t="s">
        <v>76</v>
      </c>
      <c r="K2148" t="s">
        <v>77</v>
      </c>
      <c r="L2148">
        <v>10</v>
      </c>
      <c r="M2148" t="s">
        <v>7244</v>
      </c>
      <c r="N2148" t="s">
        <v>64</v>
      </c>
      <c r="O2148" t="s">
        <v>46</v>
      </c>
      <c r="P2148" t="s">
        <v>46</v>
      </c>
      <c r="Y2148" t="s">
        <v>7248</v>
      </c>
    </row>
    <row r="2149" spans="1:25">
      <c r="A2149" t="s">
        <v>7249</v>
      </c>
      <c r="B2149" t="s">
        <v>7250</v>
      </c>
      <c r="D2149" t="s">
        <v>40</v>
      </c>
      <c r="E2149" t="s">
        <v>41</v>
      </c>
      <c r="J2149" t="s">
        <v>182</v>
      </c>
      <c r="K2149" t="s">
        <v>183</v>
      </c>
      <c r="L2149">
        <v>10</v>
      </c>
      <c r="M2149" t="s">
        <v>7244</v>
      </c>
      <c r="N2149" t="s">
        <v>64</v>
      </c>
      <c r="O2149" t="s">
        <v>46</v>
      </c>
      <c r="P2149" t="s">
        <v>46</v>
      </c>
      <c r="Y2149" t="s">
        <v>7251</v>
      </c>
    </row>
    <row r="2150" spans="1:25">
      <c r="A2150" t="s">
        <v>7252</v>
      </c>
      <c r="B2150" t="s">
        <v>7253</v>
      </c>
      <c r="D2150" t="s">
        <v>40</v>
      </c>
      <c r="E2150" t="s">
        <v>41</v>
      </c>
      <c r="J2150" t="s">
        <v>182</v>
      </c>
      <c r="K2150" t="s">
        <v>183</v>
      </c>
      <c r="L2150">
        <v>10</v>
      </c>
      <c r="M2150" t="s">
        <v>7244</v>
      </c>
      <c r="N2150" t="s">
        <v>64</v>
      </c>
      <c r="O2150" t="s">
        <v>46</v>
      </c>
      <c r="P2150" t="s">
        <v>46</v>
      </c>
      <c r="Y2150" t="s">
        <v>7254</v>
      </c>
    </row>
    <row r="2151" spans="1:25">
      <c r="A2151" t="s">
        <v>7255</v>
      </c>
      <c r="B2151" t="s">
        <v>7256</v>
      </c>
      <c r="D2151" t="s">
        <v>40</v>
      </c>
      <c r="E2151" t="s">
        <v>41</v>
      </c>
      <c r="J2151" t="s">
        <v>68</v>
      </c>
      <c r="K2151" t="s">
        <v>69</v>
      </c>
      <c r="L2151">
        <v>10</v>
      </c>
      <c r="M2151" t="s">
        <v>7244</v>
      </c>
      <c r="N2151" t="s">
        <v>64</v>
      </c>
      <c r="O2151" t="s">
        <v>46</v>
      </c>
      <c r="P2151" t="s">
        <v>46</v>
      </c>
      <c r="Y2151" t="s">
        <v>7257</v>
      </c>
    </row>
    <row r="2152" spans="1:25">
      <c r="A2152" t="s">
        <v>7258</v>
      </c>
      <c r="B2152" t="s">
        <v>7259</v>
      </c>
      <c r="D2152" t="s">
        <v>40</v>
      </c>
      <c r="E2152" t="s">
        <v>41</v>
      </c>
      <c r="J2152" t="s">
        <v>76</v>
      </c>
      <c r="K2152" t="s">
        <v>77</v>
      </c>
      <c r="L2152">
        <v>10</v>
      </c>
      <c r="M2152" t="s">
        <v>7244</v>
      </c>
      <c r="N2152" t="s">
        <v>64</v>
      </c>
      <c r="O2152" t="s">
        <v>46</v>
      </c>
      <c r="P2152" t="s">
        <v>46</v>
      </c>
      <c r="Y2152" t="s">
        <v>7260</v>
      </c>
    </row>
    <row r="2153" spans="1:25">
      <c r="A2153" t="s">
        <v>7261</v>
      </c>
      <c r="B2153" t="s">
        <v>7262</v>
      </c>
      <c r="D2153" t="s">
        <v>40</v>
      </c>
      <c r="E2153" t="s">
        <v>41</v>
      </c>
      <c r="J2153" t="s">
        <v>76</v>
      </c>
      <c r="K2153" t="s">
        <v>77</v>
      </c>
      <c r="L2153">
        <v>10</v>
      </c>
      <c r="M2153" t="s">
        <v>7263</v>
      </c>
      <c r="N2153" t="s">
        <v>64</v>
      </c>
      <c r="O2153" t="s">
        <v>46</v>
      </c>
      <c r="P2153" t="s">
        <v>46</v>
      </c>
      <c r="Y2153" t="s">
        <v>7264</v>
      </c>
    </row>
    <row r="2154" spans="1:25">
      <c r="A2154" t="s">
        <v>7265</v>
      </c>
      <c r="B2154" t="s">
        <v>7266</v>
      </c>
      <c r="D2154" t="s">
        <v>40</v>
      </c>
      <c r="E2154" t="s">
        <v>41</v>
      </c>
      <c r="J2154" t="s">
        <v>182</v>
      </c>
      <c r="K2154" t="s">
        <v>183</v>
      </c>
      <c r="L2154">
        <v>10</v>
      </c>
      <c r="M2154" t="s">
        <v>7263</v>
      </c>
      <c r="N2154" t="s">
        <v>64</v>
      </c>
      <c r="O2154" t="s">
        <v>46</v>
      </c>
      <c r="P2154" t="s">
        <v>46</v>
      </c>
      <c r="Y2154" t="s">
        <v>7267</v>
      </c>
    </row>
    <row r="2155" spans="1:25">
      <c r="A2155" t="s">
        <v>7268</v>
      </c>
      <c r="B2155" t="s">
        <v>7269</v>
      </c>
      <c r="D2155" t="s">
        <v>40</v>
      </c>
      <c r="E2155" t="s">
        <v>41</v>
      </c>
      <c r="J2155" t="s">
        <v>68</v>
      </c>
      <c r="K2155" t="s">
        <v>69</v>
      </c>
      <c r="L2155">
        <v>10</v>
      </c>
      <c r="M2155" t="s">
        <v>7263</v>
      </c>
      <c r="N2155" t="s">
        <v>64</v>
      </c>
      <c r="O2155" t="s">
        <v>46</v>
      </c>
      <c r="P2155" t="s">
        <v>46</v>
      </c>
      <c r="Y2155" t="s">
        <v>7270</v>
      </c>
    </row>
    <row r="2156" spans="1:25">
      <c r="A2156" t="s">
        <v>7271</v>
      </c>
      <c r="B2156" t="s">
        <v>7272</v>
      </c>
      <c r="D2156" t="s">
        <v>40</v>
      </c>
      <c r="E2156" t="s">
        <v>41</v>
      </c>
      <c r="J2156" t="s">
        <v>182</v>
      </c>
      <c r="K2156" t="s">
        <v>183</v>
      </c>
      <c r="L2156">
        <v>10</v>
      </c>
      <c r="M2156" t="s">
        <v>7263</v>
      </c>
      <c r="N2156" t="s">
        <v>64</v>
      </c>
      <c r="O2156" t="s">
        <v>46</v>
      </c>
      <c r="P2156" t="s">
        <v>46</v>
      </c>
      <c r="Y2156" t="s">
        <v>7273</v>
      </c>
    </row>
    <row r="2157" spans="1:25">
      <c r="A2157" t="s">
        <v>7274</v>
      </c>
      <c r="B2157" t="s">
        <v>7275</v>
      </c>
      <c r="D2157" t="s">
        <v>40</v>
      </c>
      <c r="E2157" t="s">
        <v>41</v>
      </c>
      <c r="J2157" t="s">
        <v>76</v>
      </c>
      <c r="K2157" t="s">
        <v>77</v>
      </c>
      <c r="L2157">
        <v>10</v>
      </c>
      <c r="M2157" t="s">
        <v>7276</v>
      </c>
      <c r="N2157" t="s">
        <v>64</v>
      </c>
      <c r="O2157" t="s">
        <v>46</v>
      </c>
      <c r="P2157" t="s">
        <v>46</v>
      </c>
      <c r="Y2157" t="s">
        <v>7277</v>
      </c>
    </row>
    <row r="2158" spans="1:25">
      <c r="A2158" t="s">
        <v>7278</v>
      </c>
      <c r="B2158" t="s">
        <v>7279</v>
      </c>
      <c r="D2158" t="s">
        <v>40</v>
      </c>
      <c r="E2158" t="s">
        <v>41</v>
      </c>
      <c r="J2158" t="s">
        <v>182</v>
      </c>
      <c r="K2158" t="s">
        <v>183</v>
      </c>
      <c r="L2158">
        <v>10</v>
      </c>
      <c r="M2158" t="s">
        <v>7280</v>
      </c>
      <c r="N2158" t="s">
        <v>64</v>
      </c>
      <c r="O2158" t="s">
        <v>46</v>
      </c>
      <c r="P2158" t="s">
        <v>46</v>
      </c>
      <c r="Y2158" t="s">
        <v>7281</v>
      </c>
    </row>
    <row r="2159" spans="1:25">
      <c r="A2159" t="s">
        <v>7282</v>
      </c>
      <c r="B2159" t="s">
        <v>7283</v>
      </c>
      <c r="D2159" t="s">
        <v>40</v>
      </c>
      <c r="E2159" t="s">
        <v>41</v>
      </c>
      <c r="J2159" t="s">
        <v>76</v>
      </c>
      <c r="K2159" t="s">
        <v>77</v>
      </c>
      <c r="L2159">
        <v>10</v>
      </c>
      <c r="M2159" t="s">
        <v>7280</v>
      </c>
      <c r="N2159" t="s">
        <v>64</v>
      </c>
      <c r="O2159" t="s">
        <v>46</v>
      </c>
      <c r="P2159" t="s">
        <v>46</v>
      </c>
      <c r="Y2159" t="s">
        <v>7284</v>
      </c>
    </row>
    <row r="2160" spans="1:25">
      <c r="A2160" t="s">
        <v>7285</v>
      </c>
      <c r="B2160" t="s">
        <v>7286</v>
      </c>
      <c r="D2160" t="s">
        <v>40</v>
      </c>
      <c r="E2160" t="s">
        <v>41</v>
      </c>
      <c r="J2160" t="s">
        <v>182</v>
      </c>
      <c r="K2160" t="s">
        <v>183</v>
      </c>
      <c r="L2160">
        <v>10</v>
      </c>
      <c r="M2160" t="s">
        <v>7280</v>
      </c>
      <c r="N2160" t="s">
        <v>64</v>
      </c>
      <c r="O2160" t="s">
        <v>46</v>
      </c>
      <c r="P2160" t="s">
        <v>46</v>
      </c>
      <c r="Y2160" t="s">
        <v>7287</v>
      </c>
    </row>
    <row r="2161" spans="1:25">
      <c r="A2161" t="s">
        <v>7288</v>
      </c>
      <c r="B2161" t="s">
        <v>7289</v>
      </c>
      <c r="D2161" t="s">
        <v>40</v>
      </c>
      <c r="E2161" t="s">
        <v>41</v>
      </c>
      <c r="J2161" t="s">
        <v>182</v>
      </c>
      <c r="K2161" t="s">
        <v>183</v>
      </c>
      <c r="L2161">
        <v>10</v>
      </c>
      <c r="M2161" t="s">
        <v>7280</v>
      </c>
      <c r="N2161" t="s">
        <v>64</v>
      </c>
      <c r="O2161" t="s">
        <v>46</v>
      </c>
      <c r="P2161" t="s">
        <v>46</v>
      </c>
      <c r="Y2161" t="s">
        <v>7290</v>
      </c>
    </row>
    <row r="2162" spans="1:25">
      <c r="A2162" t="s">
        <v>7291</v>
      </c>
      <c r="B2162" t="s">
        <v>7292</v>
      </c>
      <c r="D2162" t="s">
        <v>40</v>
      </c>
      <c r="E2162" t="s">
        <v>41</v>
      </c>
      <c r="J2162" t="s">
        <v>182</v>
      </c>
      <c r="K2162" t="s">
        <v>183</v>
      </c>
      <c r="L2162">
        <v>10</v>
      </c>
      <c r="M2162" t="s">
        <v>7293</v>
      </c>
      <c r="N2162" t="s">
        <v>64</v>
      </c>
      <c r="O2162" t="s">
        <v>46</v>
      </c>
      <c r="P2162" t="s">
        <v>46</v>
      </c>
      <c r="Y2162" t="s">
        <v>7294</v>
      </c>
    </row>
    <row r="2163" spans="1:25">
      <c r="A2163" t="s">
        <v>7295</v>
      </c>
      <c r="B2163" t="s">
        <v>7296</v>
      </c>
      <c r="D2163" t="s">
        <v>40</v>
      </c>
      <c r="E2163" t="s">
        <v>41</v>
      </c>
      <c r="J2163" t="s">
        <v>68</v>
      </c>
      <c r="K2163" t="s">
        <v>69</v>
      </c>
      <c r="L2163">
        <v>10</v>
      </c>
      <c r="M2163" t="s">
        <v>7293</v>
      </c>
      <c r="N2163" t="s">
        <v>64</v>
      </c>
      <c r="O2163" t="s">
        <v>46</v>
      </c>
      <c r="P2163" t="s">
        <v>46</v>
      </c>
      <c r="Y2163" t="s">
        <v>7297</v>
      </c>
    </row>
    <row r="2164" spans="1:25">
      <c r="A2164" t="s">
        <v>7298</v>
      </c>
      <c r="B2164" t="s">
        <v>7299</v>
      </c>
      <c r="D2164" t="s">
        <v>40</v>
      </c>
      <c r="E2164" t="s">
        <v>41</v>
      </c>
      <c r="J2164" t="s">
        <v>68</v>
      </c>
      <c r="K2164" t="s">
        <v>69</v>
      </c>
      <c r="L2164">
        <v>10</v>
      </c>
      <c r="M2164" t="s">
        <v>7293</v>
      </c>
      <c r="N2164" t="s">
        <v>64</v>
      </c>
      <c r="O2164" t="s">
        <v>46</v>
      </c>
      <c r="P2164" t="s">
        <v>46</v>
      </c>
      <c r="Y2164" t="s">
        <v>7300</v>
      </c>
    </row>
    <row r="2165" spans="1:25">
      <c r="A2165" t="s">
        <v>7301</v>
      </c>
      <c r="B2165" t="s">
        <v>7302</v>
      </c>
      <c r="D2165" t="s">
        <v>40</v>
      </c>
      <c r="E2165" t="s">
        <v>41</v>
      </c>
      <c r="J2165" t="s">
        <v>42</v>
      </c>
      <c r="K2165" t="s">
        <v>43</v>
      </c>
      <c r="L2165">
        <v>10</v>
      </c>
      <c r="M2165" t="s">
        <v>7293</v>
      </c>
      <c r="N2165" t="s">
        <v>305</v>
      </c>
      <c r="O2165" t="s">
        <v>46</v>
      </c>
      <c r="P2165" t="s">
        <v>46</v>
      </c>
      <c r="Y2165" t="s">
        <v>7303</v>
      </c>
    </row>
    <row r="2166" spans="1:25">
      <c r="A2166" t="s">
        <v>7304</v>
      </c>
      <c r="B2166" t="s">
        <v>7305</v>
      </c>
      <c r="D2166" t="s">
        <v>40</v>
      </c>
      <c r="E2166" t="s">
        <v>41</v>
      </c>
      <c r="J2166" t="s">
        <v>68</v>
      </c>
      <c r="K2166" t="s">
        <v>69</v>
      </c>
      <c r="L2166">
        <v>10</v>
      </c>
      <c r="M2166" t="s">
        <v>7306</v>
      </c>
      <c r="N2166" t="s">
        <v>64</v>
      </c>
      <c r="O2166" t="s">
        <v>46</v>
      </c>
      <c r="P2166" t="s">
        <v>46</v>
      </c>
      <c r="Y2166" t="s">
        <v>7307</v>
      </c>
    </row>
    <row r="2167" spans="1:25">
      <c r="A2167" t="s">
        <v>7308</v>
      </c>
      <c r="B2167" t="s">
        <v>7309</v>
      </c>
      <c r="D2167" t="s">
        <v>40</v>
      </c>
      <c r="E2167" t="s">
        <v>41</v>
      </c>
      <c r="J2167" t="s">
        <v>182</v>
      </c>
      <c r="K2167" t="s">
        <v>183</v>
      </c>
      <c r="L2167">
        <v>10</v>
      </c>
      <c r="M2167" t="s">
        <v>7306</v>
      </c>
      <c r="N2167" t="s">
        <v>64</v>
      </c>
      <c r="O2167" t="s">
        <v>46</v>
      </c>
      <c r="P2167" t="s">
        <v>46</v>
      </c>
      <c r="Y2167" t="s">
        <v>7310</v>
      </c>
    </row>
    <row r="2168" spans="1:25">
      <c r="A2168" t="s">
        <v>7311</v>
      </c>
      <c r="B2168" t="s">
        <v>7312</v>
      </c>
      <c r="D2168" t="s">
        <v>40</v>
      </c>
      <c r="E2168" t="s">
        <v>41</v>
      </c>
      <c r="J2168" t="s">
        <v>182</v>
      </c>
      <c r="K2168" t="s">
        <v>183</v>
      </c>
      <c r="L2168">
        <v>10</v>
      </c>
      <c r="M2168" t="s">
        <v>7306</v>
      </c>
      <c r="N2168" t="s">
        <v>64</v>
      </c>
      <c r="O2168" t="s">
        <v>46</v>
      </c>
      <c r="P2168" t="s">
        <v>46</v>
      </c>
      <c r="Y2168" t="s">
        <v>7313</v>
      </c>
    </row>
    <row r="2169" spans="1:25">
      <c r="A2169" t="s">
        <v>7314</v>
      </c>
      <c r="B2169" t="s">
        <v>7315</v>
      </c>
      <c r="D2169" t="s">
        <v>40</v>
      </c>
      <c r="E2169" t="s">
        <v>41</v>
      </c>
      <c r="J2169" t="s">
        <v>68</v>
      </c>
      <c r="K2169" t="s">
        <v>69</v>
      </c>
      <c r="L2169">
        <v>10</v>
      </c>
      <c r="M2169" t="s">
        <v>7306</v>
      </c>
      <c r="N2169" t="s">
        <v>64</v>
      </c>
      <c r="O2169" t="s">
        <v>46</v>
      </c>
      <c r="P2169" t="s">
        <v>46</v>
      </c>
      <c r="Y2169" t="s">
        <v>7316</v>
      </c>
    </row>
    <row r="2170" spans="1:25">
      <c r="A2170" t="s">
        <v>7317</v>
      </c>
      <c r="B2170" t="s">
        <v>7318</v>
      </c>
      <c r="D2170" t="s">
        <v>40</v>
      </c>
      <c r="E2170" t="s">
        <v>41</v>
      </c>
      <c r="J2170" t="s">
        <v>76</v>
      </c>
      <c r="K2170" t="s">
        <v>77</v>
      </c>
      <c r="L2170">
        <v>10</v>
      </c>
      <c r="M2170" t="s">
        <v>7319</v>
      </c>
      <c r="N2170" t="s">
        <v>64</v>
      </c>
      <c r="O2170" t="s">
        <v>46</v>
      </c>
      <c r="P2170" t="s">
        <v>46</v>
      </c>
      <c r="Y2170" t="s">
        <v>7320</v>
      </c>
    </row>
    <row r="2171" spans="1:25">
      <c r="A2171" t="s">
        <v>7321</v>
      </c>
      <c r="B2171" t="s">
        <v>7322</v>
      </c>
      <c r="D2171" t="s">
        <v>40</v>
      </c>
      <c r="E2171" t="s">
        <v>41</v>
      </c>
      <c r="J2171" t="s">
        <v>182</v>
      </c>
      <c r="K2171" t="s">
        <v>183</v>
      </c>
      <c r="L2171">
        <v>10</v>
      </c>
      <c r="M2171" t="s">
        <v>7319</v>
      </c>
      <c r="N2171" t="s">
        <v>64</v>
      </c>
      <c r="O2171" t="s">
        <v>46</v>
      </c>
      <c r="P2171" t="s">
        <v>46</v>
      </c>
      <c r="Y2171" t="s">
        <v>7323</v>
      </c>
    </row>
    <row r="2172" spans="1:25">
      <c r="A2172" t="s">
        <v>7324</v>
      </c>
      <c r="B2172" t="s">
        <v>7325</v>
      </c>
      <c r="D2172" t="s">
        <v>40</v>
      </c>
      <c r="E2172" t="s">
        <v>41</v>
      </c>
      <c r="J2172" t="s">
        <v>182</v>
      </c>
      <c r="K2172" t="s">
        <v>183</v>
      </c>
      <c r="L2172">
        <v>10</v>
      </c>
      <c r="M2172" t="s">
        <v>7319</v>
      </c>
      <c r="N2172" t="s">
        <v>64</v>
      </c>
      <c r="O2172" t="s">
        <v>46</v>
      </c>
      <c r="P2172" t="s">
        <v>46</v>
      </c>
      <c r="Y2172" t="s">
        <v>7326</v>
      </c>
    </row>
    <row r="2173" spans="1:25">
      <c r="A2173" t="s">
        <v>7327</v>
      </c>
      <c r="B2173" t="s">
        <v>7328</v>
      </c>
      <c r="D2173" t="s">
        <v>40</v>
      </c>
      <c r="E2173" t="s">
        <v>41</v>
      </c>
      <c r="J2173" t="s">
        <v>182</v>
      </c>
      <c r="K2173" t="s">
        <v>183</v>
      </c>
      <c r="L2173">
        <v>10</v>
      </c>
      <c r="M2173" t="s">
        <v>7319</v>
      </c>
      <c r="N2173" t="s">
        <v>64</v>
      </c>
      <c r="O2173" t="s">
        <v>46</v>
      </c>
      <c r="P2173" t="s">
        <v>46</v>
      </c>
      <c r="Y2173" t="s">
        <v>7329</v>
      </c>
    </row>
    <row r="2174" spans="1:25">
      <c r="A2174" t="s">
        <v>7330</v>
      </c>
      <c r="B2174" t="s">
        <v>7331</v>
      </c>
      <c r="D2174" t="s">
        <v>40</v>
      </c>
      <c r="E2174" t="s">
        <v>41</v>
      </c>
      <c r="J2174" t="s">
        <v>182</v>
      </c>
      <c r="K2174" t="s">
        <v>183</v>
      </c>
      <c r="L2174">
        <v>11</v>
      </c>
      <c r="M2174" t="s">
        <v>7332</v>
      </c>
      <c r="N2174" t="s">
        <v>64</v>
      </c>
      <c r="O2174" t="s">
        <v>46</v>
      </c>
      <c r="P2174" t="s">
        <v>46</v>
      </c>
      <c r="Y2174" t="s">
        <v>7333</v>
      </c>
    </row>
    <row r="2175" spans="1:25">
      <c r="A2175" t="s">
        <v>7334</v>
      </c>
      <c r="B2175" t="s">
        <v>7335</v>
      </c>
      <c r="D2175" t="s">
        <v>40</v>
      </c>
      <c r="E2175" t="s">
        <v>41</v>
      </c>
      <c r="J2175" t="s">
        <v>182</v>
      </c>
      <c r="K2175" t="s">
        <v>183</v>
      </c>
      <c r="L2175">
        <v>11</v>
      </c>
      <c r="M2175" t="s">
        <v>7332</v>
      </c>
      <c r="N2175" t="s">
        <v>64</v>
      </c>
      <c r="O2175" t="s">
        <v>46</v>
      </c>
      <c r="P2175" t="s">
        <v>46</v>
      </c>
      <c r="Y2175" t="s">
        <v>7336</v>
      </c>
    </row>
    <row r="2176" spans="1:25">
      <c r="A2176" t="s">
        <v>7337</v>
      </c>
      <c r="B2176" t="s">
        <v>7338</v>
      </c>
      <c r="D2176" t="s">
        <v>40</v>
      </c>
      <c r="E2176" t="s">
        <v>41</v>
      </c>
      <c r="J2176" t="s">
        <v>248</v>
      </c>
      <c r="K2176" t="s">
        <v>249</v>
      </c>
      <c r="L2176">
        <v>11</v>
      </c>
      <c r="M2176" t="s">
        <v>7332</v>
      </c>
      <c r="N2176" t="s">
        <v>741</v>
      </c>
      <c r="O2176" t="s">
        <v>46</v>
      </c>
      <c r="P2176" t="s">
        <v>46</v>
      </c>
      <c r="Y2176" t="s">
        <v>7339</v>
      </c>
    </row>
    <row r="2177" spans="1:25">
      <c r="A2177" t="s">
        <v>7340</v>
      </c>
      <c r="B2177" t="s">
        <v>7341</v>
      </c>
      <c r="D2177" t="s">
        <v>40</v>
      </c>
      <c r="E2177" t="s">
        <v>41</v>
      </c>
      <c r="J2177" t="s">
        <v>68</v>
      </c>
      <c r="K2177" t="s">
        <v>69</v>
      </c>
      <c r="L2177">
        <v>11</v>
      </c>
      <c r="M2177" t="s">
        <v>7332</v>
      </c>
      <c r="N2177" t="s">
        <v>64</v>
      </c>
      <c r="O2177" t="s">
        <v>46</v>
      </c>
      <c r="P2177" t="s">
        <v>46</v>
      </c>
      <c r="Y2177" t="s">
        <v>7342</v>
      </c>
    </row>
    <row r="2178" spans="1:25">
      <c r="A2178" t="s">
        <v>7343</v>
      </c>
      <c r="B2178" t="s">
        <v>7344</v>
      </c>
      <c r="D2178" t="s">
        <v>40</v>
      </c>
      <c r="E2178" t="s">
        <v>41</v>
      </c>
      <c r="J2178" t="s">
        <v>182</v>
      </c>
      <c r="K2178" t="s">
        <v>183</v>
      </c>
      <c r="L2178">
        <v>11</v>
      </c>
      <c r="M2178" t="s">
        <v>7345</v>
      </c>
      <c r="N2178" t="s">
        <v>64</v>
      </c>
      <c r="O2178" t="s">
        <v>46</v>
      </c>
      <c r="P2178" t="s">
        <v>46</v>
      </c>
      <c r="Y2178" t="s">
        <v>7346</v>
      </c>
    </row>
    <row r="2179" spans="1:25">
      <c r="A2179" t="s">
        <v>7347</v>
      </c>
      <c r="B2179" t="s">
        <v>7348</v>
      </c>
      <c r="D2179" t="s">
        <v>40</v>
      </c>
      <c r="E2179" t="s">
        <v>41</v>
      </c>
      <c r="J2179" t="s">
        <v>76</v>
      </c>
      <c r="K2179" t="s">
        <v>77</v>
      </c>
      <c r="L2179">
        <v>11</v>
      </c>
      <c r="M2179" t="s">
        <v>7345</v>
      </c>
      <c r="N2179" t="s">
        <v>64</v>
      </c>
      <c r="O2179" t="s">
        <v>46</v>
      </c>
      <c r="P2179" t="s">
        <v>46</v>
      </c>
      <c r="Y2179" t="s">
        <v>7349</v>
      </c>
    </row>
    <row r="2180" spans="1:25">
      <c r="A2180" t="s">
        <v>7350</v>
      </c>
      <c r="B2180" t="s">
        <v>7351</v>
      </c>
      <c r="D2180" t="s">
        <v>40</v>
      </c>
      <c r="E2180" t="s">
        <v>41</v>
      </c>
      <c r="J2180" t="s">
        <v>68</v>
      </c>
      <c r="K2180" t="s">
        <v>69</v>
      </c>
      <c r="L2180">
        <v>11</v>
      </c>
      <c r="M2180" t="s">
        <v>7345</v>
      </c>
      <c r="N2180" t="s">
        <v>64</v>
      </c>
      <c r="O2180" t="s">
        <v>46</v>
      </c>
      <c r="P2180" t="s">
        <v>46</v>
      </c>
      <c r="Y2180" t="s">
        <v>7352</v>
      </c>
    </row>
    <row r="2181" spans="1:25">
      <c r="A2181" t="s">
        <v>7353</v>
      </c>
      <c r="B2181" t="s">
        <v>7354</v>
      </c>
      <c r="D2181" t="s">
        <v>40</v>
      </c>
      <c r="E2181" t="s">
        <v>41</v>
      </c>
      <c r="J2181" t="s">
        <v>42</v>
      </c>
      <c r="K2181" t="s">
        <v>43</v>
      </c>
      <c r="L2181">
        <v>11</v>
      </c>
      <c r="M2181" t="s">
        <v>7355</v>
      </c>
      <c r="N2181" t="s">
        <v>373</v>
      </c>
      <c r="O2181" t="s">
        <v>46</v>
      </c>
      <c r="P2181" t="s">
        <v>46</v>
      </c>
      <c r="Y2181" t="s">
        <v>7356</v>
      </c>
    </row>
    <row r="2182" spans="1:25">
      <c r="A2182" t="s">
        <v>7357</v>
      </c>
      <c r="B2182" t="s">
        <v>7358</v>
      </c>
      <c r="D2182" t="s">
        <v>40</v>
      </c>
      <c r="E2182" t="s">
        <v>41</v>
      </c>
      <c r="J2182" t="s">
        <v>76</v>
      </c>
      <c r="K2182" t="s">
        <v>77</v>
      </c>
      <c r="L2182">
        <v>11</v>
      </c>
      <c r="M2182" t="s">
        <v>7359</v>
      </c>
      <c r="N2182" t="s">
        <v>64</v>
      </c>
      <c r="O2182" t="s">
        <v>46</v>
      </c>
      <c r="P2182" t="s">
        <v>46</v>
      </c>
      <c r="Y2182" t="s">
        <v>7360</v>
      </c>
    </row>
    <row r="2183" spans="1:25">
      <c r="A2183" t="s">
        <v>7361</v>
      </c>
      <c r="B2183" t="s">
        <v>7362</v>
      </c>
      <c r="D2183" t="s">
        <v>40</v>
      </c>
      <c r="E2183" t="s">
        <v>41</v>
      </c>
      <c r="J2183" t="s">
        <v>68</v>
      </c>
      <c r="K2183" t="s">
        <v>69</v>
      </c>
      <c r="L2183">
        <v>11</v>
      </c>
      <c r="M2183" t="s">
        <v>7359</v>
      </c>
      <c r="N2183" t="s">
        <v>64</v>
      </c>
      <c r="O2183" t="s">
        <v>46</v>
      </c>
      <c r="P2183" t="s">
        <v>46</v>
      </c>
      <c r="Y2183" t="s">
        <v>7363</v>
      </c>
    </row>
    <row r="2184" spans="1:25">
      <c r="A2184" t="s">
        <v>7364</v>
      </c>
      <c r="B2184" t="s">
        <v>7365</v>
      </c>
      <c r="D2184" t="s">
        <v>40</v>
      </c>
      <c r="E2184" t="s">
        <v>41</v>
      </c>
      <c r="J2184" t="s">
        <v>182</v>
      </c>
      <c r="K2184" t="s">
        <v>183</v>
      </c>
      <c r="L2184">
        <v>11</v>
      </c>
      <c r="M2184" t="s">
        <v>7366</v>
      </c>
      <c r="N2184" t="s">
        <v>64</v>
      </c>
      <c r="O2184" t="s">
        <v>46</v>
      </c>
      <c r="P2184" t="s">
        <v>46</v>
      </c>
      <c r="Y2184" t="s">
        <v>7367</v>
      </c>
    </row>
    <row r="2185" spans="1:25">
      <c r="A2185" t="s">
        <v>7368</v>
      </c>
      <c r="B2185" t="s">
        <v>7369</v>
      </c>
      <c r="D2185" t="s">
        <v>40</v>
      </c>
      <c r="E2185" t="s">
        <v>41</v>
      </c>
      <c r="J2185" t="s">
        <v>68</v>
      </c>
      <c r="K2185" t="s">
        <v>69</v>
      </c>
      <c r="L2185">
        <v>11</v>
      </c>
      <c r="M2185" t="s">
        <v>7366</v>
      </c>
      <c r="N2185" t="s">
        <v>64</v>
      </c>
      <c r="O2185" t="s">
        <v>46</v>
      </c>
      <c r="P2185" t="s">
        <v>46</v>
      </c>
      <c r="Y2185" t="s">
        <v>7370</v>
      </c>
    </row>
    <row r="2186" spans="1:25">
      <c r="A2186" t="s">
        <v>7371</v>
      </c>
      <c r="B2186" t="s">
        <v>7372</v>
      </c>
      <c r="D2186" t="s">
        <v>40</v>
      </c>
      <c r="E2186" t="s">
        <v>41</v>
      </c>
      <c r="J2186" t="s">
        <v>76</v>
      </c>
      <c r="K2186" t="s">
        <v>77</v>
      </c>
      <c r="L2186">
        <v>11</v>
      </c>
      <c r="M2186" t="s">
        <v>7366</v>
      </c>
      <c r="N2186" t="s">
        <v>64</v>
      </c>
      <c r="O2186" t="s">
        <v>46</v>
      </c>
      <c r="P2186" t="s">
        <v>46</v>
      </c>
      <c r="Y2186" t="s">
        <v>7373</v>
      </c>
    </row>
    <row r="2187" spans="1:25">
      <c r="A2187" t="s">
        <v>7374</v>
      </c>
      <c r="B2187" t="s">
        <v>7375</v>
      </c>
      <c r="D2187" t="s">
        <v>40</v>
      </c>
      <c r="E2187" t="s">
        <v>41</v>
      </c>
      <c r="J2187" t="s">
        <v>50</v>
      </c>
      <c r="K2187" t="s">
        <v>51</v>
      </c>
      <c r="L2187">
        <v>11</v>
      </c>
      <c r="M2187" t="s">
        <v>7366</v>
      </c>
      <c r="N2187" t="s">
        <v>296</v>
      </c>
      <c r="O2187" t="s">
        <v>46</v>
      </c>
      <c r="P2187" t="s">
        <v>46</v>
      </c>
      <c r="Y2187" t="s">
        <v>7376</v>
      </c>
    </row>
    <row r="2188" spans="1:25">
      <c r="A2188" t="s">
        <v>7377</v>
      </c>
      <c r="B2188" t="s">
        <v>7378</v>
      </c>
      <c r="D2188" t="s">
        <v>40</v>
      </c>
      <c r="E2188" t="s">
        <v>41</v>
      </c>
      <c r="J2188" t="s">
        <v>182</v>
      </c>
      <c r="K2188" t="s">
        <v>183</v>
      </c>
      <c r="L2188">
        <v>11</v>
      </c>
      <c r="M2188" t="s">
        <v>7366</v>
      </c>
      <c r="N2188" t="s">
        <v>64</v>
      </c>
      <c r="O2188" t="s">
        <v>46</v>
      </c>
      <c r="P2188" t="s">
        <v>46</v>
      </c>
      <c r="Y2188" t="s">
        <v>7379</v>
      </c>
    </row>
    <row r="2189" spans="1:25">
      <c r="A2189" t="s">
        <v>7380</v>
      </c>
      <c r="B2189" t="s">
        <v>7381</v>
      </c>
      <c r="D2189" t="s">
        <v>40</v>
      </c>
      <c r="E2189" t="s">
        <v>41</v>
      </c>
      <c r="J2189" t="s">
        <v>182</v>
      </c>
      <c r="K2189" t="s">
        <v>183</v>
      </c>
      <c r="L2189">
        <v>11</v>
      </c>
      <c r="M2189" t="s">
        <v>7382</v>
      </c>
      <c r="N2189" t="s">
        <v>64</v>
      </c>
      <c r="O2189" t="s">
        <v>46</v>
      </c>
      <c r="P2189" t="s">
        <v>46</v>
      </c>
      <c r="Y2189" t="s">
        <v>7383</v>
      </c>
    </row>
    <row r="2190" spans="1:25">
      <c r="A2190" t="s">
        <v>7384</v>
      </c>
      <c r="B2190" t="s">
        <v>7385</v>
      </c>
      <c r="D2190" t="s">
        <v>40</v>
      </c>
      <c r="E2190" t="s">
        <v>41</v>
      </c>
      <c r="J2190" t="s">
        <v>76</v>
      </c>
      <c r="K2190" t="s">
        <v>77</v>
      </c>
      <c r="L2190">
        <v>11</v>
      </c>
      <c r="M2190" t="s">
        <v>7382</v>
      </c>
      <c r="N2190" t="s">
        <v>64</v>
      </c>
      <c r="O2190" t="s">
        <v>46</v>
      </c>
      <c r="P2190" t="s">
        <v>46</v>
      </c>
      <c r="Y2190" t="s">
        <v>7386</v>
      </c>
    </row>
    <row r="2191" spans="1:25">
      <c r="A2191" t="s">
        <v>7387</v>
      </c>
      <c r="B2191" t="s">
        <v>7388</v>
      </c>
      <c r="D2191" t="s">
        <v>40</v>
      </c>
      <c r="E2191" t="s">
        <v>41</v>
      </c>
      <c r="J2191" t="s">
        <v>68</v>
      </c>
      <c r="K2191" t="s">
        <v>69</v>
      </c>
      <c r="L2191">
        <v>11</v>
      </c>
      <c r="M2191" t="s">
        <v>7382</v>
      </c>
      <c r="N2191" t="s">
        <v>64</v>
      </c>
      <c r="O2191" t="s">
        <v>46</v>
      </c>
      <c r="P2191" t="s">
        <v>46</v>
      </c>
      <c r="Y2191" t="s">
        <v>7389</v>
      </c>
    </row>
    <row r="2192" spans="1:25">
      <c r="A2192" t="s">
        <v>7390</v>
      </c>
      <c r="B2192" t="s">
        <v>7391</v>
      </c>
      <c r="D2192" t="s">
        <v>40</v>
      </c>
      <c r="E2192" t="s">
        <v>41</v>
      </c>
      <c r="J2192" t="s">
        <v>182</v>
      </c>
      <c r="K2192" t="s">
        <v>183</v>
      </c>
      <c r="L2192">
        <v>11</v>
      </c>
      <c r="M2192" t="s">
        <v>7392</v>
      </c>
      <c r="N2192" t="s">
        <v>64</v>
      </c>
      <c r="O2192" t="s">
        <v>46</v>
      </c>
      <c r="P2192" t="s">
        <v>46</v>
      </c>
      <c r="Y2192" t="s">
        <v>7393</v>
      </c>
    </row>
    <row r="2193" spans="1:25">
      <c r="A2193" t="s">
        <v>7394</v>
      </c>
      <c r="B2193" t="s">
        <v>7395</v>
      </c>
      <c r="D2193" t="s">
        <v>40</v>
      </c>
      <c r="E2193" t="s">
        <v>41</v>
      </c>
      <c r="J2193" t="s">
        <v>182</v>
      </c>
      <c r="K2193" t="s">
        <v>183</v>
      </c>
      <c r="L2193">
        <v>11</v>
      </c>
      <c r="M2193" t="s">
        <v>7392</v>
      </c>
      <c r="N2193" t="s">
        <v>64</v>
      </c>
      <c r="O2193" t="s">
        <v>46</v>
      </c>
      <c r="P2193" t="s">
        <v>46</v>
      </c>
      <c r="Y2193" t="s">
        <v>7396</v>
      </c>
    </row>
    <row r="2194" spans="1:25">
      <c r="A2194" t="s">
        <v>7397</v>
      </c>
      <c r="B2194" t="s">
        <v>7398</v>
      </c>
      <c r="D2194" t="s">
        <v>40</v>
      </c>
      <c r="E2194" t="s">
        <v>41</v>
      </c>
      <c r="J2194" t="s">
        <v>182</v>
      </c>
      <c r="K2194" t="s">
        <v>183</v>
      </c>
      <c r="L2194">
        <v>11</v>
      </c>
      <c r="M2194" t="s">
        <v>7392</v>
      </c>
      <c r="N2194" t="s">
        <v>64</v>
      </c>
      <c r="O2194" t="s">
        <v>46</v>
      </c>
      <c r="P2194" t="s">
        <v>46</v>
      </c>
      <c r="Y2194" t="s">
        <v>7399</v>
      </c>
    </row>
    <row r="2195" spans="1:25">
      <c r="A2195" t="s">
        <v>7400</v>
      </c>
      <c r="B2195" t="s">
        <v>7401</v>
      </c>
      <c r="D2195" t="s">
        <v>40</v>
      </c>
      <c r="E2195" t="s">
        <v>41</v>
      </c>
      <c r="J2195" t="s">
        <v>76</v>
      </c>
      <c r="K2195" t="s">
        <v>77</v>
      </c>
      <c r="L2195">
        <v>11</v>
      </c>
      <c r="M2195" t="s">
        <v>7392</v>
      </c>
      <c r="N2195" t="s">
        <v>64</v>
      </c>
      <c r="O2195" t="s">
        <v>46</v>
      </c>
      <c r="P2195" t="s">
        <v>46</v>
      </c>
      <c r="Y2195" t="s">
        <v>7402</v>
      </c>
    </row>
    <row r="2196" spans="1:25">
      <c r="A2196" t="s">
        <v>7403</v>
      </c>
      <c r="B2196" t="s">
        <v>7404</v>
      </c>
      <c r="D2196" t="s">
        <v>40</v>
      </c>
      <c r="E2196" t="s">
        <v>41</v>
      </c>
      <c r="J2196" t="s">
        <v>182</v>
      </c>
      <c r="K2196" t="s">
        <v>183</v>
      </c>
      <c r="L2196">
        <v>11</v>
      </c>
      <c r="M2196" t="s">
        <v>7392</v>
      </c>
      <c r="N2196" t="s">
        <v>64</v>
      </c>
      <c r="O2196" t="s">
        <v>46</v>
      </c>
      <c r="P2196" t="s">
        <v>46</v>
      </c>
      <c r="Y2196" t="s">
        <v>7405</v>
      </c>
    </row>
    <row r="2197" spans="1:25">
      <c r="A2197" t="s">
        <v>7406</v>
      </c>
      <c r="B2197" t="s">
        <v>7407</v>
      </c>
      <c r="D2197" t="s">
        <v>40</v>
      </c>
      <c r="E2197" t="s">
        <v>41</v>
      </c>
      <c r="J2197" t="s">
        <v>1338</v>
      </c>
      <c r="K2197" t="s">
        <v>1339</v>
      </c>
      <c r="L2197">
        <v>8</v>
      </c>
      <c r="M2197" t="s">
        <v>7408</v>
      </c>
      <c r="N2197" t="s">
        <v>5995</v>
      </c>
      <c r="O2197" t="s">
        <v>46</v>
      </c>
      <c r="P2197" t="s">
        <v>46</v>
      </c>
      <c r="Y2197" t="s">
        <v>7409</v>
      </c>
    </row>
    <row r="2198" spans="1:25">
      <c r="A2198" t="s">
        <v>7410</v>
      </c>
      <c r="B2198" t="s">
        <v>7411</v>
      </c>
      <c r="D2198" t="s">
        <v>40</v>
      </c>
      <c r="E2198" t="s">
        <v>41</v>
      </c>
      <c r="J2198" t="s">
        <v>76</v>
      </c>
      <c r="K2198" t="s">
        <v>77</v>
      </c>
      <c r="L2198">
        <v>10</v>
      </c>
      <c r="M2198" t="s">
        <v>7408</v>
      </c>
      <c r="N2198" t="s">
        <v>64</v>
      </c>
      <c r="O2198" t="s">
        <v>46</v>
      </c>
      <c r="P2198" t="s">
        <v>46</v>
      </c>
      <c r="Y2198" t="s">
        <v>7412</v>
      </c>
    </row>
    <row r="2199" spans="1:25">
      <c r="A2199" t="s">
        <v>7413</v>
      </c>
      <c r="B2199" t="s">
        <v>7414</v>
      </c>
      <c r="D2199" t="s">
        <v>40</v>
      </c>
      <c r="E2199" t="s">
        <v>41</v>
      </c>
      <c r="J2199" t="s">
        <v>182</v>
      </c>
      <c r="K2199" t="s">
        <v>183</v>
      </c>
      <c r="L2199">
        <v>10</v>
      </c>
      <c r="M2199" t="s">
        <v>7408</v>
      </c>
      <c r="N2199" t="s">
        <v>64</v>
      </c>
      <c r="O2199" t="s">
        <v>46</v>
      </c>
      <c r="P2199" t="s">
        <v>46</v>
      </c>
      <c r="Y2199" t="s">
        <v>7415</v>
      </c>
    </row>
    <row r="2200" spans="1:25">
      <c r="A2200" t="s">
        <v>7416</v>
      </c>
      <c r="B2200" t="s">
        <v>7417</v>
      </c>
      <c r="D2200" t="s">
        <v>40</v>
      </c>
      <c r="E2200" t="s">
        <v>41</v>
      </c>
      <c r="J2200" t="s">
        <v>62</v>
      </c>
      <c r="K2200" t="s">
        <v>63</v>
      </c>
      <c r="L2200">
        <v>10</v>
      </c>
      <c r="M2200" t="s">
        <v>7408</v>
      </c>
      <c r="N2200" t="s">
        <v>64</v>
      </c>
      <c r="O2200" t="s">
        <v>46</v>
      </c>
      <c r="P2200" t="s">
        <v>46</v>
      </c>
      <c r="Y2200" t="s">
        <v>7418</v>
      </c>
    </row>
    <row r="2201" spans="1:25">
      <c r="A2201" t="s">
        <v>7419</v>
      </c>
      <c r="B2201" t="s">
        <v>7420</v>
      </c>
      <c r="D2201" t="s">
        <v>40</v>
      </c>
      <c r="E2201" t="s">
        <v>41</v>
      </c>
      <c r="J2201" t="s">
        <v>76</v>
      </c>
      <c r="K2201" t="s">
        <v>77</v>
      </c>
      <c r="L2201">
        <v>10</v>
      </c>
      <c r="M2201" t="s">
        <v>7408</v>
      </c>
      <c r="N2201" t="s">
        <v>64</v>
      </c>
      <c r="O2201" t="s">
        <v>46</v>
      </c>
      <c r="P2201" t="s">
        <v>46</v>
      </c>
      <c r="Y2201" t="s">
        <v>7421</v>
      </c>
    </row>
    <row r="2202" spans="1:25">
      <c r="A2202" t="s">
        <v>7422</v>
      </c>
      <c r="B2202" t="s">
        <v>7423</v>
      </c>
      <c r="D2202" t="s">
        <v>40</v>
      </c>
      <c r="E2202" t="s">
        <v>41</v>
      </c>
      <c r="J2202" t="s">
        <v>42</v>
      </c>
      <c r="K2202" t="s">
        <v>43</v>
      </c>
      <c r="L2202">
        <v>10</v>
      </c>
      <c r="M2202" t="s">
        <v>7424</v>
      </c>
      <c r="N2202" t="s">
        <v>1189</v>
      </c>
      <c r="O2202" t="s">
        <v>46</v>
      </c>
      <c r="P2202" t="s">
        <v>46</v>
      </c>
      <c r="Y2202" t="s">
        <v>7425</v>
      </c>
    </row>
    <row r="2203" spans="1:25">
      <c r="A2203" t="s">
        <v>7426</v>
      </c>
      <c r="B2203" t="s">
        <v>7427</v>
      </c>
      <c r="D2203" t="s">
        <v>40</v>
      </c>
      <c r="E2203" t="s">
        <v>41</v>
      </c>
      <c r="J2203" t="s">
        <v>182</v>
      </c>
      <c r="K2203" t="s">
        <v>183</v>
      </c>
      <c r="L2203">
        <v>10</v>
      </c>
      <c r="M2203" t="s">
        <v>7424</v>
      </c>
      <c r="N2203" t="s">
        <v>64</v>
      </c>
      <c r="O2203" t="s">
        <v>46</v>
      </c>
      <c r="P2203" t="s">
        <v>46</v>
      </c>
      <c r="Y2203" t="s">
        <v>7428</v>
      </c>
    </row>
    <row r="2204" spans="1:25">
      <c r="A2204" t="s">
        <v>7429</v>
      </c>
      <c r="B2204" t="s">
        <v>7430</v>
      </c>
      <c r="D2204" t="s">
        <v>40</v>
      </c>
      <c r="E2204" t="s">
        <v>41</v>
      </c>
      <c r="J2204" t="s">
        <v>1338</v>
      </c>
      <c r="K2204" t="s">
        <v>1339</v>
      </c>
      <c r="L2204">
        <v>10</v>
      </c>
      <c r="M2204" t="s">
        <v>7424</v>
      </c>
      <c r="N2204" t="s">
        <v>310</v>
      </c>
      <c r="O2204" t="s">
        <v>46</v>
      </c>
      <c r="P2204" t="s">
        <v>46</v>
      </c>
      <c r="Y2204" t="s">
        <v>7431</v>
      </c>
    </row>
    <row r="2205" spans="1:25">
      <c r="A2205" t="s">
        <v>7432</v>
      </c>
      <c r="B2205" t="s">
        <v>7433</v>
      </c>
      <c r="D2205" t="s">
        <v>40</v>
      </c>
      <c r="E2205" t="s">
        <v>41</v>
      </c>
      <c r="J2205" t="s">
        <v>76</v>
      </c>
      <c r="K2205" t="s">
        <v>77</v>
      </c>
      <c r="L2205">
        <v>10</v>
      </c>
      <c r="M2205" t="s">
        <v>7424</v>
      </c>
      <c r="N2205" t="s">
        <v>64</v>
      </c>
      <c r="O2205" t="s">
        <v>46</v>
      </c>
      <c r="P2205" t="s">
        <v>46</v>
      </c>
      <c r="Y2205" t="s">
        <v>7434</v>
      </c>
    </row>
    <row r="2206" spans="1:25">
      <c r="A2206" t="s">
        <v>7435</v>
      </c>
      <c r="B2206" t="s">
        <v>7436</v>
      </c>
      <c r="D2206" t="s">
        <v>40</v>
      </c>
      <c r="E2206" t="s">
        <v>41</v>
      </c>
      <c r="J2206" t="s">
        <v>182</v>
      </c>
      <c r="K2206" t="s">
        <v>183</v>
      </c>
      <c r="L2206">
        <v>10</v>
      </c>
      <c r="M2206" t="s">
        <v>7424</v>
      </c>
      <c r="N2206" t="s">
        <v>64</v>
      </c>
      <c r="O2206" t="s">
        <v>46</v>
      </c>
      <c r="P2206" t="s">
        <v>46</v>
      </c>
      <c r="Y2206" t="s">
        <v>7437</v>
      </c>
    </row>
    <row r="2207" spans="1:25">
      <c r="A2207" t="s">
        <v>7438</v>
      </c>
      <c r="B2207" t="s">
        <v>7439</v>
      </c>
      <c r="D2207" t="s">
        <v>40</v>
      </c>
      <c r="E2207" t="s">
        <v>41</v>
      </c>
      <c r="J2207" t="s">
        <v>68</v>
      </c>
      <c r="K2207" t="s">
        <v>69</v>
      </c>
      <c r="L2207">
        <v>10</v>
      </c>
      <c r="M2207" t="s">
        <v>7424</v>
      </c>
      <c r="N2207" t="s">
        <v>64</v>
      </c>
      <c r="O2207" t="s">
        <v>46</v>
      </c>
      <c r="P2207" t="s">
        <v>46</v>
      </c>
      <c r="Y2207" t="s">
        <v>7440</v>
      </c>
    </row>
    <row r="2208" spans="1:25">
      <c r="A2208" t="s">
        <v>7441</v>
      </c>
      <c r="B2208" t="s">
        <v>7442</v>
      </c>
      <c r="D2208" t="s">
        <v>40</v>
      </c>
      <c r="E2208" t="s">
        <v>41</v>
      </c>
      <c r="J2208" t="s">
        <v>182</v>
      </c>
      <c r="K2208" t="s">
        <v>183</v>
      </c>
      <c r="L2208">
        <v>10</v>
      </c>
      <c r="M2208" t="s">
        <v>7424</v>
      </c>
      <c r="N2208" t="s">
        <v>64</v>
      </c>
      <c r="O2208" t="s">
        <v>46</v>
      </c>
      <c r="P2208" t="s">
        <v>46</v>
      </c>
      <c r="Y2208" t="s">
        <v>7443</v>
      </c>
    </row>
    <row r="2209" spans="1:25">
      <c r="A2209" t="s">
        <v>7444</v>
      </c>
      <c r="B2209" t="s">
        <v>7445</v>
      </c>
      <c r="D2209" t="s">
        <v>40</v>
      </c>
      <c r="E2209" t="s">
        <v>41</v>
      </c>
      <c r="J2209" t="s">
        <v>288</v>
      </c>
      <c r="K2209" t="s">
        <v>289</v>
      </c>
      <c r="L2209">
        <v>10</v>
      </c>
      <c r="M2209" t="s">
        <v>7424</v>
      </c>
      <c r="N2209" t="s">
        <v>617</v>
      </c>
      <c r="O2209" t="s">
        <v>46</v>
      </c>
      <c r="P2209" t="s">
        <v>46</v>
      </c>
      <c r="Y2209" t="s">
        <v>7446</v>
      </c>
    </row>
    <row r="2210" spans="1:25">
      <c r="A2210" t="s">
        <v>7447</v>
      </c>
      <c r="B2210" t="s">
        <v>7448</v>
      </c>
      <c r="D2210" t="s">
        <v>40</v>
      </c>
      <c r="E2210" t="s">
        <v>41</v>
      </c>
      <c r="J2210" t="s">
        <v>182</v>
      </c>
      <c r="K2210" t="s">
        <v>183</v>
      </c>
      <c r="L2210">
        <v>10</v>
      </c>
      <c r="M2210" t="s">
        <v>7424</v>
      </c>
      <c r="N2210" t="s">
        <v>64</v>
      </c>
      <c r="O2210" t="s">
        <v>46</v>
      </c>
      <c r="P2210" t="s">
        <v>46</v>
      </c>
      <c r="Y2210" t="s">
        <v>7449</v>
      </c>
    </row>
    <row r="2211" spans="1:25">
      <c r="A2211" t="s">
        <v>7450</v>
      </c>
      <c r="B2211" t="s">
        <v>7451</v>
      </c>
      <c r="D2211" t="s">
        <v>40</v>
      </c>
      <c r="E2211" t="s">
        <v>41</v>
      </c>
      <c r="J2211" t="s">
        <v>182</v>
      </c>
      <c r="K2211" t="s">
        <v>183</v>
      </c>
      <c r="L2211">
        <v>10</v>
      </c>
      <c r="M2211" t="s">
        <v>7424</v>
      </c>
      <c r="N2211" t="s">
        <v>64</v>
      </c>
      <c r="O2211" t="s">
        <v>46</v>
      </c>
      <c r="P2211" t="s">
        <v>46</v>
      </c>
      <c r="Y2211" t="s">
        <v>7452</v>
      </c>
    </row>
    <row r="2212" spans="1:25">
      <c r="A2212" t="s">
        <v>7453</v>
      </c>
      <c r="B2212" t="s">
        <v>7454</v>
      </c>
      <c r="D2212" t="s">
        <v>40</v>
      </c>
      <c r="E2212" t="s">
        <v>41</v>
      </c>
      <c r="J2212" t="s">
        <v>68</v>
      </c>
      <c r="K2212" t="s">
        <v>69</v>
      </c>
      <c r="L2212">
        <v>10</v>
      </c>
      <c r="M2212" t="s">
        <v>7455</v>
      </c>
      <c r="N2212" t="s">
        <v>64</v>
      </c>
      <c r="O2212" t="s">
        <v>46</v>
      </c>
      <c r="P2212" t="s">
        <v>46</v>
      </c>
      <c r="Y2212" t="s">
        <v>7456</v>
      </c>
    </row>
    <row r="2213" spans="1:25">
      <c r="A2213" t="s">
        <v>7457</v>
      </c>
      <c r="B2213" t="s">
        <v>7458</v>
      </c>
      <c r="D2213" t="s">
        <v>40</v>
      </c>
      <c r="E2213" t="s">
        <v>41</v>
      </c>
      <c r="J2213" t="s">
        <v>182</v>
      </c>
      <c r="K2213" t="s">
        <v>183</v>
      </c>
      <c r="L2213">
        <v>10</v>
      </c>
      <c r="M2213" t="s">
        <v>7455</v>
      </c>
      <c r="N2213" t="s">
        <v>64</v>
      </c>
      <c r="O2213" t="s">
        <v>46</v>
      </c>
      <c r="P2213" t="s">
        <v>46</v>
      </c>
      <c r="Y2213" t="s">
        <v>7459</v>
      </c>
    </row>
    <row r="2214" spans="1:25">
      <c r="A2214" t="s">
        <v>7460</v>
      </c>
      <c r="B2214" t="s">
        <v>7461</v>
      </c>
      <c r="D2214" t="s">
        <v>40</v>
      </c>
      <c r="E2214" t="s">
        <v>41</v>
      </c>
      <c r="J2214" t="s">
        <v>76</v>
      </c>
      <c r="K2214" t="s">
        <v>77</v>
      </c>
      <c r="L2214">
        <v>10</v>
      </c>
      <c r="M2214" t="s">
        <v>7455</v>
      </c>
      <c r="N2214" t="s">
        <v>64</v>
      </c>
      <c r="O2214" t="s">
        <v>46</v>
      </c>
      <c r="P2214" t="s">
        <v>46</v>
      </c>
      <c r="Y2214" t="s">
        <v>7462</v>
      </c>
    </row>
    <row r="2215" spans="1:25">
      <c r="A2215" t="s">
        <v>7463</v>
      </c>
      <c r="B2215" t="s">
        <v>7464</v>
      </c>
      <c r="D2215" t="s">
        <v>40</v>
      </c>
      <c r="E2215" t="s">
        <v>41</v>
      </c>
      <c r="J2215" t="s">
        <v>182</v>
      </c>
      <c r="K2215" t="s">
        <v>183</v>
      </c>
      <c r="L2215">
        <v>10</v>
      </c>
      <c r="M2215" t="s">
        <v>7455</v>
      </c>
      <c r="N2215" t="s">
        <v>64</v>
      </c>
      <c r="O2215" t="s">
        <v>46</v>
      </c>
      <c r="P2215" t="s">
        <v>46</v>
      </c>
      <c r="Y2215" t="s">
        <v>7465</v>
      </c>
    </row>
    <row r="2216" spans="1:25">
      <c r="A2216" t="s">
        <v>7466</v>
      </c>
      <c r="B2216" t="s">
        <v>7467</v>
      </c>
      <c r="D2216" t="s">
        <v>40</v>
      </c>
      <c r="E2216" t="s">
        <v>41</v>
      </c>
      <c r="J2216" t="s">
        <v>76</v>
      </c>
      <c r="K2216" t="s">
        <v>77</v>
      </c>
      <c r="L2216">
        <v>10</v>
      </c>
      <c r="M2216" t="s">
        <v>7455</v>
      </c>
      <c r="N2216" t="s">
        <v>64</v>
      </c>
      <c r="O2216" t="s">
        <v>46</v>
      </c>
      <c r="P2216" t="s">
        <v>46</v>
      </c>
      <c r="Y2216" t="s">
        <v>7468</v>
      </c>
    </row>
    <row r="2217" spans="1:25">
      <c r="A2217" t="s">
        <v>7469</v>
      </c>
      <c r="B2217" t="s">
        <v>7470</v>
      </c>
      <c r="D2217" t="s">
        <v>40</v>
      </c>
      <c r="E2217" t="s">
        <v>41</v>
      </c>
      <c r="J2217" t="s">
        <v>182</v>
      </c>
      <c r="K2217" t="s">
        <v>183</v>
      </c>
      <c r="L2217">
        <v>10</v>
      </c>
      <c r="M2217" t="s">
        <v>7455</v>
      </c>
      <c r="N2217" t="s">
        <v>64</v>
      </c>
      <c r="O2217" t="s">
        <v>46</v>
      </c>
      <c r="P2217" t="s">
        <v>46</v>
      </c>
      <c r="Y2217" t="s">
        <v>7471</v>
      </c>
    </row>
    <row r="2218" spans="1:25">
      <c r="A2218" t="s">
        <v>7472</v>
      </c>
      <c r="B2218" t="s">
        <v>7473</v>
      </c>
      <c r="D2218" t="s">
        <v>40</v>
      </c>
      <c r="E2218" t="s">
        <v>41</v>
      </c>
      <c r="J2218" t="s">
        <v>182</v>
      </c>
      <c r="K2218" t="s">
        <v>183</v>
      </c>
      <c r="L2218">
        <v>10</v>
      </c>
      <c r="M2218" t="s">
        <v>7455</v>
      </c>
      <c r="N2218" t="s">
        <v>64</v>
      </c>
      <c r="O2218" t="s">
        <v>46</v>
      </c>
      <c r="P2218" t="s">
        <v>46</v>
      </c>
      <c r="Y2218" t="s">
        <v>7474</v>
      </c>
    </row>
    <row r="2219" spans="1:25">
      <c r="A2219" t="s">
        <v>7475</v>
      </c>
      <c r="B2219" t="s">
        <v>7476</v>
      </c>
      <c r="D2219" t="s">
        <v>40</v>
      </c>
      <c r="E2219" t="s">
        <v>41</v>
      </c>
      <c r="J2219" t="s">
        <v>76</v>
      </c>
      <c r="K2219" t="s">
        <v>77</v>
      </c>
      <c r="L2219">
        <v>10</v>
      </c>
      <c r="M2219" t="s">
        <v>7455</v>
      </c>
      <c r="N2219" t="s">
        <v>64</v>
      </c>
      <c r="O2219" t="s">
        <v>46</v>
      </c>
      <c r="P2219" t="s">
        <v>46</v>
      </c>
      <c r="Y2219" t="s">
        <v>7477</v>
      </c>
    </row>
    <row r="2220" spans="1:25">
      <c r="A2220" t="s">
        <v>7478</v>
      </c>
      <c r="B2220" t="s">
        <v>7479</v>
      </c>
      <c r="D2220" t="s">
        <v>40</v>
      </c>
      <c r="E2220" t="s">
        <v>41</v>
      </c>
      <c r="J2220" t="s">
        <v>76</v>
      </c>
      <c r="K2220" t="s">
        <v>77</v>
      </c>
      <c r="L2220">
        <v>10</v>
      </c>
      <c r="M2220" t="s">
        <v>7455</v>
      </c>
      <c r="N2220" t="s">
        <v>64</v>
      </c>
      <c r="O2220" t="s">
        <v>46</v>
      </c>
      <c r="P2220" t="s">
        <v>46</v>
      </c>
      <c r="Y2220" t="s">
        <v>7480</v>
      </c>
    </row>
    <row r="2221" spans="1:25">
      <c r="A2221" t="s">
        <v>7481</v>
      </c>
      <c r="B2221" t="s">
        <v>7482</v>
      </c>
      <c r="D2221" t="s">
        <v>40</v>
      </c>
      <c r="E2221" t="s">
        <v>41</v>
      </c>
      <c r="J2221" t="s">
        <v>139</v>
      </c>
      <c r="K2221" t="s">
        <v>140</v>
      </c>
      <c r="L2221">
        <v>10</v>
      </c>
      <c r="M2221" t="s">
        <v>7455</v>
      </c>
      <c r="N2221" t="s">
        <v>1138</v>
      </c>
      <c r="O2221" t="s">
        <v>46</v>
      </c>
      <c r="P2221" t="s">
        <v>46</v>
      </c>
      <c r="Y2221" t="s">
        <v>7483</v>
      </c>
    </row>
    <row r="2222" spans="1:25">
      <c r="A2222" t="s">
        <v>7484</v>
      </c>
      <c r="B2222" t="s">
        <v>7485</v>
      </c>
      <c r="D2222" t="s">
        <v>40</v>
      </c>
      <c r="E2222" t="s">
        <v>41</v>
      </c>
      <c r="J2222" t="s">
        <v>68</v>
      </c>
      <c r="K2222" t="s">
        <v>69</v>
      </c>
      <c r="L2222">
        <v>10</v>
      </c>
      <c r="M2222" t="s">
        <v>7486</v>
      </c>
      <c r="N2222" t="s">
        <v>64</v>
      </c>
      <c r="O2222" t="s">
        <v>46</v>
      </c>
      <c r="P2222" t="s">
        <v>46</v>
      </c>
      <c r="Y2222" t="s">
        <v>7487</v>
      </c>
    </row>
    <row r="2223" spans="1:25">
      <c r="A2223" t="s">
        <v>7488</v>
      </c>
      <c r="B2223" t="s">
        <v>7489</v>
      </c>
      <c r="D2223" t="s">
        <v>40</v>
      </c>
      <c r="E2223" t="s">
        <v>41</v>
      </c>
      <c r="J2223" t="s">
        <v>76</v>
      </c>
      <c r="K2223" t="s">
        <v>77</v>
      </c>
      <c r="L2223">
        <v>10</v>
      </c>
      <c r="M2223" t="s">
        <v>7486</v>
      </c>
      <c r="N2223" t="s">
        <v>64</v>
      </c>
      <c r="O2223" t="s">
        <v>46</v>
      </c>
      <c r="P2223" t="s">
        <v>46</v>
      </c>
      <c r="Y2223" t="s">
        <v>7490</v>
      </c>
    </row>
    <row r="2224" spans="1:25">
      <c r="A2224" t="s">
        <v>7491</v>
      </c>
      <c r="B2224" t="s">
        <v>7492</v>
      </c>
      <c r="D2224" t="s">
        <v>40</v>
      </c>
      <c r="E2224" t="s">
        <v>41</v>
      </c>
      <c r="J2224" t="s">
        <v>76</v>
      </c>
      <c r="K2224" t="s">
        <v>77</v>
      </c>
      <c r="L2224">
        <v>10</v>
      </c>
      <c r="M2224" t="s">
        <v>7486</v>
      </c>
      <c r="N2224" t="s">
        <v>64</v>
      </c>
      <c r="O2224" t="s">
        <v>46</v>
      </c>
      <c r="P2224" t="s">
        <v>46</v>
      </c>
      <c r="Y2224" t="s">
        <v>7493</v>
      </c>
    </row>
    <row r="2225" spans="1:25">
      <c r="A2225" t="s">
        <v>7494</v>
      </c>
      <c r="B2225" t="s">
        <v>7495</v>
      </c>
      <c r="D2225" t="s">
        <v>40</v>
      </c>
      <c r="E2225" t="s">
        <v>41</v>
      </c>
      <c r="J2225" t="s">
        <v>182</v>
      </c>
      <c r="K2225" t="s">
        <v>183</v>
      </c>
      <c r="L2225">
        <v>10</v>
      </c>
      <c r="M2225" t="s">
        <v>7486</v>
      </c>
      <c r="N2225" t="s">
        <v>64</v>
      </c>
      <c r="O2225" t="s">
        <v>46</v>
      </c>
      <c r="P2225" t="s">
        <v>46</v>
      </c>
      <c r="Y2225" t="s">
        <v>7496</v>
      </c>
    </row>
    <row r="2226" spans="1:25">
      <c r="A2226" t="s">
        <v>7497</v>
      </c>
      <c r="B2226" t="s">
        <v>7498</v>
      </c>
      <c r="D2226" t="s">
        <v>40</v>
      </c>
      <c r="E2226" t="s">
        <v>41</v>
      </c>
      <c r="J2226" t="s">
        <v>182</v>
      </c>
      <c r="K2226" t="s">
        <v>183</v>
      </c>
      <c r="L2226">
        <v>10</v>
      </c>
      <c r="M2226" t="s">
        <v>7486</v>
      </c>
      <c r="N2226" t="s">
        <v>64</v>
      </c>
      <c r="O2226" t="s">
        <v>46</v>
      </c>
      <c r="P2226" t="s">
        <v>46</v>
      </c>
      <c r="Y2226" t="s">
        <v>7499</v>
      </c>
    </row>
    <row r="2227" spans="1:25">
      <c r="A2227" t="s">
        <v>7500</v>
      </c>
      <c r="B2227" t="s">
        <v>7501</v>
      </c>
      <c r="D2227" t="s">
        <v>40</v>
      </c>
      <c r="E2227" t="s">
        <v>41</v>
      </c>
      <c r="J2227" t="s">
        <v>76</v>
      </c>
      <c r="K2227" t="s">
        <v>77</v>
      </c>
      <c r="L2227">
        <v>10</v>
      </c>
      <c r="M2227" t="s">
        <v>7502</v>
      </c>
      <c r="N2227" t="s">
        <v>64</v>
      </c>
      <c r="O2227" t="s">
        <v>46</v>
      </c>
      <c r="P2227" t="s">
        <v>46</v>
      </c>
      <c r="Y2227" t="s">
        <v>7503</v>
      </c>
    </row>
    <row r="2228" spans="1:25">
      <c r="A2228" t="s">
        <v>7504</v>
      </c>
      <c r="B2228" t="s">
        <v>7505</v>
      </c>
      <c r="D2228" t="s">
        <v>40</v>
      </c>
      <c r="E2228" t="s">
        <v>41</v>
      </c>
      <c r="J2228" t="s">
        <v>182</v>
      </c>
      <c r="K2228" t="s">
        <v>183</v>
      </c>
      <c r="L2228">
        <v>10</v>
      </c>
      <c r="M2228" t="s">
        <v>7502</v>
      </c>
      <c r="N2228" t="s">
        <v>64</v>
      </c>
      <c r="O2228" t="s">
        <v>46</v>
      </c>
      <c r="P2228" t="s">
        <v>46</v>
      </c>
      <c r="Y2228" t="s">
        <v>7506</v>
      </c>
    </row>
    <row r="2229" spans="1:25">
      <c r="A2229" t="s">
        <v>7507</v>
      </c>
      <c r="B2229" t="s">
        <v>7508</v>
      </c>
      <c r="D2229" t="s">
        <v>40</v>
      </c>
      <c r="E2229" t="s">
        <v>41</v>
      </c>
      <c r="J2229" t="s">
        <v>76</v>
      </c>
      <c r="K2229" t="s">
        <v>77</v>
      </c>
      <c r="L2229">
        <v>10</v>
      </c>
      <c r="M2229" t="s">
        <v>7502</v>
      </c>
      <c r="N2229" t="s">
        <v>64</v>
      </c>
      <c r="O2229" t="s">
        <v>46</v>
      </c>
      <c r="P2229" t="s">
        <v>46</v>
      </c>
      <c r="Y2229" t="s">
        <v>7509</v>
      </c>
    </row>
    <row r="2230" spans="1:25">
      <c r="A2230" t="s">
        <v>7510</v>
      </c>
      <c r="B2230" t="s">
        <v>7511</v>
      </c>
      <c r="D2230" t="s">
        <v>40</v>
      </c>
      <c r="E2230" t="s">
        <v>41</v>
      </c>
      <c r="J2230" t="s">
        <v>68</v>
      </c>
      <c r="K2230" t="s">
        <v>69</v>
      </c>
      <c r="L2230">
        <v>10</v>
      </c>
      <c r="M2230" t="s">
        <v>7502</v>
      </c>
      <c r="N2230" t="s">
        <v>64</v>
      </c>
      <c r="O2230" t="s">
        <v>46</v>
      </c>
      <c r="P2230" t="s">
        <v>46</v>
      </c>
      <c r="Y2230" t="s">
        <v>7512</v>
      </c>
    </row>
    <row r="2231" spans="1:25">
      <c r="A2231" t="s">
        <v>7513</v>
      </c>
      <c r="B2231" t="s">
        <v>7514</v>
      </c>
      <c r="D2231" t="s">
        <v>40</v>
      </c>
      <c r="E2231" t="s">
        <v>41</v>
      </c>
      <c r="J2231" t="s">
        <v>42</v>
      </c>
      <c r="K2231" t="s">
        <v>43</v>
      </c>
      <c r="L2231">
        <v>10</v>
      </c>
      <c r="M2231" t="s">
        <v>7502</v>
      </c>
      <c r="N2231" t="s">
        <v>210</v>
      </c>
      <c r="O2231" t="s">
        <v>46</v>
      </c>
      <c r="P2231" t="s">
        <v>46</v>
      </c>
      <c r="Y2231" t="s">
        <v>7515</v>
      </c>
    </row>
    <row r="2232" spans="1:25">
      <c r="A2232" t="s">
        <v>7516</v>
      </c>
      <c r="B2232" t="s">
        <v>7517</v>
      </c>
      <c r="D2232" t="s">
        <v>40</v>
      </c>
      <c r="E2232" t="s">
        <v>41</v>
      </c>
      <c r="J2232" t="s">
        <v>76</v>
      </c>
      <c r="K2232" t="s">
        <v>77</v>
      </c>
      <c r="L2232">
        <v>10</v>
      </c>
      <c r="M2232" t="s">
        <v>7502</v>
      </c>
      <c r="N2232" t="s">
        <v>64</v>
      </c>
      <c r="O2232" t="s">
        <v>46</v>
      </c>
      <c r="P2232" t="s">
        <v>46</v>
      </c>
      <c r="Y2232" t="s">
        <v>7518</v>
      </c>
    </row>
    <row r="2233" spans="1:25">
      <c r="A2233" t="s">
        <v>7519</v>
      </c>
      <c r="B2233" t="s">
        <v>7520</v>
      </c>
      <c r="D2233" t="s">
        <v>40</v>
      </c>
      <c r="E2233" t="s">
        <v>41</v>
      </c>
      <c r="J2233" t="s">
        <v>182</v>
      </c>
      <c r="K2233" t="s">
        <v>183</v>
      </c>
      <c r="L2233">
        <v>10</v>
      </c>
      <c r="M2233" t="s">
        <v>7521</v>
      </c>
      <c r="N2233" t="s">
        <v>64</v>
      </c>
      <c r="O2233" t="s">
        <v>46</v>
      </c>
      <c r="P2233" t="s">
        <v>46</v>
      </c>
      <c r="Y2233" t="s">
        <v>7522</v>
      </c>
    </row>
    <row r="2234" spans="1:25">
      <c r="A2234" t="s">
        <v>7523</v>
      </c>
      <c r="B2234" t="s">
        <v>7524</v>
      </c>
      <c r="D2234" t="s">
        <v>40</v>
      </c>
      <c r="E2234" t="s">
        <v>41</v>
      </c>
      <c r="J2234" t="s">
        <v>68</v>
      </c>
      <c r="K2234" t="s">
        <v>69</v>
      </c>
      <c r="L2234">
        <v>10</v>
      </c>
      <c r="M2234" t="s">
        <v>7521</v>
      </c>
      <c r="N2234" t="s">
        <v>64</v>
      </c>
      <c r="O2234" t="s">
        <v>46</v>
      </c>
      <c r="P2234" t="s">
        <v>46</v>
      </c>
      <c r="Y2234" t="s">
        <v>7525</v>
      </c>
    </row>
    <row r="2235" spans="1:25">
      <c r="A2235" t="s">
        <v>7526</v>
      </c>
      <c r="B2235" t="s">
        <v>7527</v>
      </c>
      <c r="D2235" t="s">
        <v>40</v>
      </c>
      <c r="E2235" t="s">
        <v>41</v>
      </c>
      <c r="J2235" t="s">
        <v>288</v>
      </c>
      <c r="K2235" t="s">
        <v>289</v>
      </c>
      <c r="L2235">
        <v>10</v>
      </c>
      <c r="M2235" t="s">
        <v>7521</v>
      </c>
      <c r="N2235" t="s">
        <v>2154</v>
      </c>
      <c r="O2235" t="s">
        <v>46</v>
      </c>
      <c r="P2235" t="s">
        <v>46</v>
      </c>
      <c r="Y2235" t="s">
        <v>7528</v>
      </c>
    </row>
    <row r="2236" spans="1:25">
      <c r="A2236" t="s">
        <v>7529</v>
      </c>
      <c r="B2236" t="s">
        <v>7530</v>
      </c>
      <c r="D2236" t="s">
        <v>40</v>
      </c>
      <c r="E2236" t="s">
        <v>41</v>
      </c>
      <c r="J2236" t="s">
        <v>76</v>
      </c>
      <c r="K2236" t="s">
        <v>77</v>
      </c>
      <c r="L2236">
        <v>10</v>
      </c>
      <c r="M2236" t="s">
        <v>7521</v>
      </c>
      <c r="N2236" t="s">
        <v>64</v>
      </c>
      <c r="O2236" t="s">
        <v>46</v>
      </c>
      <c r="P2236" t="s">
        <v>46</v>
      </c>
      <c r="Y2236" t="s">
        <v>7531</v>
      </c>
    </row>
    <row r="2237" spans="1:25">
      <c r="A2237" t="s">
        <v>7532</v>
      </c>
      <c r="B2237" t="s">
        <v>7533</v>
      </c>
      <c r="D2237" t="s">
        <v>40</v>
      </c>
      <c r="E2237" t="s">
        <v>41</v>
      </c>
      <c r="J2237" t="s">
        <v>182</v>
      </c>
      <c r="K2237" t="s">
        <v>183</v>
      </c>
      <c r="L2237">
        <v>10</v>
      </c>
      <c r="M2237" t="s">
        <v>7521</v>
      </c>
      <c r="N2237" t="s">
        <v>64</v>
      </c>
      <c r="O2237" t="s">
        <v>46</v>
      </c>
      <c r="P2237" t="s">
        <v>46</v>
      </c>
      <c r="Y2237" t="s">
        <v>7534</v>
      </c>
    </row>
    <row r="2238" spans="1:25">
      <c r="A2238" t="s">
        <v>7535</v>
      </c>
      <c r="B2238" t="s">
        <v>7536</v>
      </c>
      <c r="D2238" t="s">
        <v>40</v>
      </c>
      <c r="E2238" t="s">
        <v>41</v>
      </c>
      <c r="J2238" t="s">
        <v>68</v>
      </c>
      <c r="K2238" t="s">
        <v>69</v>
      </c>
      <c r="L2238">
        <v>10</v>
      </c>
      <c r="M2238" t="s">
        <v>7521</v>
      </c>
      <c r="N2238" t="s">
        <v>64</v>
      </c>
      <c r="O2238" t="s">
        <v>46</v>
      </c>
      <c r="P2238" t="s">
        <v>46</v>
      </c>
      <c r="Y2238" t="s">
        <v>7537</v>
      </c>
    </row>
    <row r="2239" spans="1:25">
      <c r="A2239" t="s">
        <v>7538</v>
      </c>
      <c r="B2239" t="s">
        <v>7539</v>
      </c>
      <c r="D2239" t="s">
        <v>40</v>
      </c>
      <c r="E2239" t="s">
        <v>41</v>
      </c>
      <c r="J2239" t="s">
        <v>182</v>
      </c>
      <c r="K2239" t="s">
        <v>183</v>
      </c>
      <c r="L2239">
        <v>10</v>
      </c>
      <c r="M2239" t="s">
        <v>7540</v>
      </c>
      <c r="N2239" t="s">
        <v>64</v>
      </c>
      <c r="O2239" t="s">
        <v>46</v>
      </c>
      <c r="P2239" t="s">
        <v>46</v>
      </c>
      <c r="Y2239" t="s">
        <v>7541</v>
      </c>
    </row>
    <row r="2240" spans="1:25">
      <c r="A2240" t="s">
        <v>7542</v>
      </c>
      <c r="B2240" t="s">
        <v>7543</v>
      </c>
      <c r="D2240" t="s">
        <v>40</v>
      </c>
      <c r="E2240" t="s">
        <v>41</v>
      </c>
      <c r="J2240" t="s">
        <v>76</v>
      </c>
      <c r="K2240" t="s">
        <v>77</v>
      </c>
      <c r="L2240">
        <v>10</v>
      </c>
      <c r="M2240" t="s">
        <v>7540</v>
      </c>
      <c r="N2240" t="s">
        <v>64</v>
      </c>
      <c r="O2240" t="s">
        <v>46</v>
      </c>
      <c r="P2240" t="s">
        <v>46</v>
      </c>
      <c r="Y2240" t="s">
        <v>7544</v>
      </c>
    </row>
    <row r="2241" spans="1:25">
      <c r="A2241" t="s">
        <v>7545</v>
      </c>
      <c r="B2241" t="s">
        <v>7546</v>
      </c>
      <c r="D2241" t="s">
        <v>40</v>
      </c>
      <c r="E2241" t="s">
        <v>41</v>
      </c>
      <c r="J2241" t="s">
        <v>182</v>
      </c>
      <c r="K2241" t="s">
        <v>183</v>
      </c>
      <c r="L2241">
        <v>10</v>
      </c>
      <c r="M2241" t="s">
        <v>7540</v>
      </c>
      <c r="N2241" t="s">
        <v>64</v>
      </c>
      <c r="O2241" t="s">
        <v>46</v>
      </c>
      <c r="P2241" t="s">
        <v>46</v>
      </c>
      <c r="Y2241" t="s">
        <v>7547</v>
      </c>
    </row>
    <row r="2242" spans="1:25">
      <c r="A2242" t="s">
        <v>7548</v>
      </c>
      <c r="B2242" t="s">
        <v>7549</v>
      </c>
      <c r="D2242" t="s">
        <v>40</v>
      </c>
      <c r="E2242" t="s">
        <v>41</v>
      </c>
      <c r="J2242" t="s">
        <v>182</v>
      </c>
      <c r="K2242" t="s">
        <v>183</v>
      </c>
      <c r="L2242">
        <v>10</v>
      </c>
      <c r="M2242" t="s">
        <v>7540</v>
      </c>
      <c r="N2242" t="s">
        <v>64</v>
      </c>
      <c r="O2242" t="s">
        <v>46</v>
      </c>
      <c r="P2242" t="s">
        <v>46</v>
      </c>
      <c r="Y2242" t="s">
        <v>7550</v>
      </c>
    </row>
    <row r="2243" spans="1:25">
      <c r="A2243" t="s">
        <v>7551</v>
      </c>
      <c r="B2243" t="s">
        <v>7552</v>
      </c>
      <c r="D2243" t="s">
        <v>40</v>
      </c>
      <c r="E2243" t="s">
        <v>41</v>
      </c>
      <c r="J2243" t="s">
        <v>182</v>
      </c>
      <c r="K2243" t="s">
        <v>183</v>
      </c>
      <c r="L2243">
        <v>10</v>
      </c>
      <c r="M2243" t="s">
        <v>7540</v>
      </c>
      <c r="N2243" t="s">
        <v>64</v>
      </c>
      <c r="O2243" t="s">
        <v>46</v>
      </c>
      <c r="P2243" t="s">
        <v>46</v>
      </c>
      <c r="Y2243" t="s">
        <v>7553</v>
      </c>
    </row>
    <row r="2244" spans="1:25">
      <c r="A2244" t="s">
        <v>7554</v>
      </c>
      <c r="B2244" t="s">
        <v>7555</v>
      </c>
      <c r="D2244" t="s">
        <v>40</v>
      </c>
      <c r="E2244" t="s">
        <v>41</v>
      </c>
      <c r="J2244" t="s">
        <v>139</v>
      </c>
      <c r="K2244" t="s">
        <v>140</v>
      </c>
      <c r="L2244">
        <v>10</v>
      </c>
      <c r="M2244" t="s">
        <v>7556</v>
      </c>
      <c r="N2244" t="s">
        <v>45</v>
      </c>
      <c r="O2244" t="s">
        <v>46</v>
      </c>
      <c r="P2244" t="s">
        <v>46</v>
      </c>
      <c r="Y2244" t="s">
        <v>7557</v>
      </c>
    </row>
    <row r="2245" spans="1:25">
      <c r="A2245" t="s">
        <v>7558</v>
      </c>
      <c r="B2245" t="s">
        <v>7559</v>
      </c>
      <c r="D2245" t="s">
        <v>40</v>
      </c>
      <c r="E2245" t="s">
        <v>41</v>
      </c>
      <c r="J2245" t="s">
        <v>182</v>
      </c>
      <c r="K2245" t="s">
        <v>183</v>
      </c>
      <c r="L2245">
        <v>10</v>
      </c>
      <c r="M2245" t="s">
        <v>7560</v>
      </c>
      <c r="N2245" t="s">
        <v>64</v>
      </c>
      <c r="O2245" t="s">
        <v>46</v>
      </c>
      <c r="P2245" t="s">
        <v>46</v>
      </c>
      <c r="Y2245" t="s">
        <v>7561</v>
      </c>
    </row>
    <row r="2246" spans="1:25">
      <c r="A2246" t="s">
        <v>7562</v>
      </c>
      <c r="B2246" t="s">
        <v>7563</v>
      </c>
      <c r="D2246" t="s">
        <v>40</v>
      </c>
      <c r="E2246" t="s">
        <v>41</v>
      </c>
      <c r="J2246" t="s">
        <v>68</v>
      </c>
      <c r="K2246" t="s">
        <v>69</v>
      </c>
      <c r="L2246">
        <v>10</v>
      </c>
      <c r="M2246" t="s">
        <v>7560</v>
      </c>
      <c r="N2246" t="s">
        <v>64</v>
      </c>
      <c r="O2246" t="s">
        <v>46</v>
      </c>
      <c r="P2246" t="s">
        <v>46</v>
      </c>
      <c r="Y2246" t="s">
        <v>7564</v>
      </c>
    </row>
    <row r="2247" spans="1:25">
      <c r="A2247" t="s">
        <v>7565</v>
      </c>
      <c r="B2247" t="s">
        <v>7566</v>
      </c>
      <c r="D2247" t="s">
        <v>40</v>
      </c>
      <c r="E2247" t="s">
        <v>41</v>
      </c>
      <c r="F2247" t="s">
        <v>3017</v>
      </c>
      <c r="G2247" t="s">
        <v>7567</v>
      </c>
      <c r="H2247" t="s">
        <v>7568</v>
      </c>
      <c r="J2247" t="s">
        <v>264</v>
      </c>
      <c r="K2247" t="s">
        <v>265</v>
      </c>
      <c r="L2247">
        <v>12</v>
      </c>
      <c r="M2247" t="s">
        <v>7569</v>
      </c>
      <c r="N2247" t="s">
        <v>1138</v>
      </c>
      <c r="O2247" t="s">
        <v>46</v>
      </c>
      <c r="P2247" t="s">
        <v>7570</v>
      </c>
      <c r="Y2247" t="s">
        <v>7571</v>
      </c>
    </row>
    <row r="2248" spans="1:25">
      <c r="A2248" t="s">
        <v>7572</v>
      </c>
      <c r="B2248" t="s">
        <v>7573</v>
      </c>
      <c r="D2248" t="s">
        <v>40</v>
      </c>
      <c r="E2248" t="s">
        <v>41</v>
      </c>
      <c r="J2248" t="s">
        <v>182</v>
      </c>
      <c r="K2248" t="s">
        <v>183</v>
      </c>
      <c r="L2248">
        <v>10</v>
      </c>
      <c r="M2248" t="s">
        <v>7574</v>
      </c>
      <c r="N2248" t="s">
        <v>64</v>
      </c>
      <c r="O2248" t="s">
        <v>46</v>
      </c>
      <c r="P2248" t="s">
        <v>46</v>
      </c>
      <c r="Y2248" t="s">
        <v>7575</v>
      </c>
    </row>
    <row r="2249" spans="1:25">
      <c r="A2249" t="s">
        <v>7576</v>
      </c>
      <c r="B2249" t="s">
        <v>7577</v>
      </c>
      <c r="D2249" t="s">
        <v>40</v>
      </c>
      <c r="E2249" t="s">
        <v>41</v>
      </c>
      <c r="J2249" t="s">
        <v>76</v>
      </c>
      <c r="K2249" t="s">
        <v>77</v>
      </c>
      <c r="L2249">
        <v>10</v>
      </c>
      <c r="M2249" t="s">
        <v>7574</v>
      </c>
      <c r="N2249" t="s">
        <v>64</v>
      </c>
      <c r="O2249" t="s">
        <v>46</v>
      </c>
      <c r="P2249" t="s">
        <v>46</v>
      </c>
      <c r="Y2249" t="s">
        <v>7578</v>
      </c>
    </row>
    <row r="2250" spans="1:25">
      <c r="A2250" t="s">
        <v>7579</v>
      </c>
      <c r="B2250" t="s">
        <v>7580</v>
      </c>
      <c r="D2250" t="s">
        <v>40</v>
      </c>
      <c r="E2250" t="s">
        <v>41</v>
      </c>
      <c r="J2250" t="s">
        <v>68</v>
      </c>
      <c r="K2250" t="s">
        <v>69</v>
      </c>
      <c r="L2250">
        <v>10</v>
      </c>
      <c r="M2250" t="s">
        <v>7574</v>
      </c>
      <c r="N2250" t="s">
        <v>64</v>
      </c>
      <c r="O2250" t="s">
        <v>46</v>
      </c>
      <c r="P2250" t="s">
        <v>46</v>
      </c>
      <c r="Y2250" t="s">
        <v>7581</v>
      </c>
    </row>
    <row r="2251" spans="1:25">
      <c r="A2251" t="s">
        <v>7582</v>
      </c>
      <c r="B2251" t="s">
        <v>7583</v>
      </c>
      <c r="D2251" t="s">
        <v>40</v>
      </c>
      <c r="E2251" t="s">
        <v>41</v>
      </c>
      <c r="J2251" t="s">
        <v>264</v>
      </c>
      <c r="K2251" t="s">
        <v>265</v>
      </c>
      <c r="L2251">
        <v>11</v>
      </c>
      <c r="M2251" t="s">
        <v>7584</v>
      </c>
      <c r="N2251" t="s">
        <v>5995</v>
      </c>
      <c r="O2251" t="s">
        <v>46</v>
      </c>
      <c r="P2251" t="s">
        <v>46</v>
      </c>
      <c r="Y2251" t="s">
        <v>7585</v>
      </c>
    </row>
    <row r="2252" spans="1:25">
      <c r="A2252" t="s">
        <v>7586</v>
      </c>
      <c r="B2252" t="s">
        <v>7587</v>
      </c>
      <c r="D2252" t="s">
        <v>40</v>
      </c>
      <c r="E2252" t="s">
        <v>41</v>
      </c>
      <c r="J2252" t="s">
        <v>264</v>
      </c>
      <c r="K2252" t="s">
        <v>265</v>
      </c>
      <c r="L2252">
        <v>8</v>
      </c>
      <c r="M2252" t="s">
        <v>7588</v>
      </c>
      <c r="N2252" t="s">
        <v>1550</v>
      </c>
      <c r="O2252" t="s">
        <v>46</v>
      </c>
      <c r="P2252" t="s">
        <v>46</v>
      </c>
      <c r="Y2252" t="s">
        <v>7589</v>
      </c>
    </row>
    <row r="2253" spans="1:25">
      <c r="A2253" t="s">
        <v>7590</v>
      </c>
      <c r="B2253" t="s">
        <v>7591</v>
      </c>
      <c r="D2253" t="s">
        <v>40</v>
      </c>
      <c r="E2253" t="s">
        <v>41</v>
      </c>
      <c r="J2253" t="s">
        <v>50</v>
      </c>
      <c r="K2253" t="s">
        <v>51</v>
      </c>
      <c r="L2253">
        <v>12</v>
      </c>
      <c r="M2253" t="s">
        <v>7592</v>
      </c>
      <c r="N2253" t="s">
        <v>45</v>
      </c>
      <c r="O2253" t="s">
        <v>46</v>
      </c>
      <c r="P2253" t="s">
        <v>46</v>
      </c>
      <c r="Y2253" t="s">
        <v>7593</v>
      </c>
    </row>
    <row r="2254" spans="1:25">
      <c r="A2254" t="s">
        <v>7594</v>
      </c>
      <c r="B2254" t="s">
        <v>7595</v>
      </c>
      <c r="D2254" t="s">
        <v>40</v>
      </c>
      <c r="E2254" t="s">
        <v>41</v>
      </c>
      <c r="J2254" t="s">
        <v>76</v>
      </c>
      <c r="K2254" t="s">
        <v>77</v>
      </c>
      <c r="L2254">
        <v>10</v>
      </c>
      <c r="M2254" t="s">
        <v>7596</v>
      </c>
      <c r="N2254" t="s">
        <v>64</v>
      </c>
      <c r="O2254" t="s">
        <v>46</v>
      </c>
      <c r="P2254" t="s">
        <v>46</v>
      </c>
      <c r="Y2254" t="s">
        <v>7597</v>
      </c>
    </row>
    <row r="2255" spans="1:25">
      <c r="A2255" t="s">
        <v>7598</v>
      </c>
      <c r="B2255" t="s">
        <v>7599</v>
      </c>
      <c r="D2255" t="s">
        <v>40</v>
      </c>
      <c r="E2255" t="s">
        <v>41</v>
      </c>
      <c r="J2255" t="s">
        <v>68</v>
      </c>
      <c r="K2255" t="s">
        <v>69</v>
      </c>
      <c r="L2255">
        <v>10</v>
      </c>
      <c r="M2255" t="s">
        <v>7596</v>
      </c>
      <c r="N2255" t="s">
        <v>64</v>
      </c>
      <c r="O2255" t="s">
        <v>46</v>
      </c>
      <c r="P2255" t="s">
        <v>46</v>
      </c>
      <c r="Y2255" t="s">
        <v>7600</v>
      </c>
    </row>
    <row r="2256" spans="1:25">
      <c r="A2256" t="s">
        <v>7601</v>
      </c>
      <c r="B2256" t="s">
        <v>7602</v>
      </c>
      <c r="D2256" t="s">
        <v>40</v>
      </c>
      <c r="E2256" t="s">
        <v>41</v>
      </c>
      <c r="J2256" t="s">
        <v>68</v>
      </c>
      <c r="K2256" t="s">
        <v>69</v>
      </c>
      <c r="L2256">
        <v>10</v>
      </c>
      <c r="M2256" t="s">
        <v>7596</v>
      </c>
      <c r="N2256" t="s">
        <v>64</v>
      </c>
      <c r="O2256" t="s">
        <v>46</v>
      </c>
      <c r="P2256" t="s">
        <v>46</v>
      </c>
      <c r="Y2256" t="s">
        <v>7603</v>
      </c>
    </row>
    <row r="2257" spans="1:25">
      <c r="A2257" t="s">
        <v>7604</v>
      </c>
      <c r="B2257" t="s">
        <v>7605</v>
      </c>
      <c r="D2257" t="s">
        <v>40</v>
      </c>
      <c r="E2257" t="s">
        <v>41</v>
      </c>
      <c r="J2257" t="s">
        <v>68</v>
      </c>
      <c r="K2257" t="s">
        <v>69</v>
      </c>
      <c r="L2257">
        <v>10</v>
      </c>
      <c r="M2257" t="s">
        <v>7606</v>
      </c>
      <c r="N2257" t="s">
        <v>64</v>
      </c>
      <c r="O2257" t="s">
        <v>46</v>
      </c>
      <c r="P2257" t="s">
        <v>46</v>
      </c>
      <c r="Y2257" t="s">
        <v>7607</v>
      </c>
    </row>
    <row r="2258" spans="1:25">
      <c r="A2258" t="s">
        <v>7608</v>
      </c>
      <c r="B2258" t="s">
        <v>7609</v>
      </c>
      <c r="D2258" t="s">
        <v>40</v>
      </c>
      <c r="E2258" t="s">
        <v>41</v>
      </c>
      <c r="J2258" t="s">
        <v>76</v>
      </c>
      <c r="K2258" t="s">
        <v>77</v>
      </c>
      <c r="L2258">
        <v>10</v>
      </c>
      <c r="M2258" t="s">
        <v>7606</v>
      </c>
      <c r="N2258" t="s">
        <v>64</v>
      </c>
      <c r="O2258" t="s">
        <v>46</v>
      </c>
      <c r="P2258" t="s">
        <v>46</v>
      </c>
      <c r="Y2258" t="s">
        <v>7610</v>
      </c>
    </row>
    <row r="2259" spans="1:25">
      <c r="A2259" t="s">
        <v>7611</v>
      </c>
      <c r="B2259" t="s">
        <v>7612</v>
      </c>
      <c r="D2259" t="s">
        <v>40</v>
      </c>
      <c r="E2259" t="s">
        <v>41</v>
      </c>
      <c r="J2259" t="s">
        <v>42</v>
      </c>
      <c r="K2259" t="s">
        <v>43</v>
      </c>
      <c r="L2259">
        <v>10</v>
      </c>
      <c r="M2259" t="s">
        <v>7606</v>
      </c>
      <c r="N2259" t="s">
        <v>1047</v>
      </c>
      <c r="O2259" t="s">
        <v>46</v>
      </c>
      <c r="P2259" t="s">
        <v>46</v>
      </c>
      <c r="Y2259" t="s">
        <v>7613</v>
      </c>
    </row>
    <row r="2260" spans="1:25">
      <c r="A2260" t="s">
        <v>7614</v>
      </c>
      <c r="B2260" t="s">
        <v>7615</v>
      </c>
      <c r="D2260" t="s">
        <v>40</v>
      </c>
      <c r="E2260" t="s">
        <v>41</v>
      </c>
      <c r="J2260" t="s">
        <v>42</v>
      </c>
      <c r="K2260" t="s">
        <v>43</v>
      </c>
      <c r="L2260">
        <v>10</v>
      </c>
      <c r="M2260" t="s">
        <v>7606</v>
      </c>
      <c r="N2260" t="s">
        <v>291</v>
      </c>
      <c r="O2260" t="s">
        <v>46</v>
      </c>
      <c r="P2260" t="s">
        <v>46</v>
      </c>
      <c r="Y2260" t="s">
        <v>7616</v>
      </c>
    </row>
    <row r="2261" spans="1:25">
      <c r="A2261" t="s">
        <v>7617</v>
      </c>
      <c r="B2261" t="s">
        <v>7618</v>
      </c>
      <c r="D2261" t="s">
        <v>40</v>
      </c>
      <c r="E2261" t="s">
        <v>41</v>
      </c>
      <c r="J2261" t="s">
        <v>76</v>
      </c>
      <c r="K2261" t="s">
        <v>77</v>
      </c>
      <c r="L2261">
        <v>10</v>
      </c>
      <c r="M2261" t="s">
        <v>7606</v>
      </c>
      <c r="N2261" t="s">
        <v>64</v>
      </c>
      <c r="O2261" t="s">
        <v>46</v>
      </c>
      <c r="P2261" t="s">
        <v>46</v>
      </c>
      <c r="Y2261" t="s">
        <v>7619</v>
      </c>
    </row>
    <row r="2262" spans="1:25">
      <c r="A2262" t="s">
        <v>7620</v>
      </c>
      <c r="B2262" t="s">
        <v>7621</v>
      </c>
      <c r="D2262" t="s">
        <v>40</v>
      </c>
      <c r="E2262" t="s">
        <v>41</v>
      </c>
      <c r="J2262" t="s">
        <v>76</v>
      </c>
      <c r="K2262" t="s">
        <v>77</v>
      </c>
      <c r="L2262">
        <v>10</v>
      </c>
      <c r="M2262" t="s">
        <v>7606</v>
      </c>
      <c r="N2262" t="s">
        <v>64</v>
      </c>
      <c r="O2262" t="s">
        <v>46</v>
      </c>
      <c r="P2262" t="s">
        <v>46</v>
      </c>
      <c r="Y2262" t="s">
        <v>7622</v>
      </c>
    </row>
    <row r="2263" spans="1:25">
      <c r="A2263" t="s">
        <v>7623</v>
      </c>
      <c r="B2263" t="s">
        <v>7624</v>
      </c>
      <c r="D2263" t="s">
        <v>40</v>
      </c>
      <c r="E2263" t="s">
        <v>41</v>
      </c>
      <c r="J2263" t="s">
        <v>182</v>
      </c>
      <c r="K2263" t="s">
        <v>183</v>
      </c>
      <c r="L2263">
        <v>10</v>
      </c>
      <c r="M2263" t="s">
        <v>7606</v>
      </c>
      <c r="N2263" t="s">
        <v>64</v>
      </c>
      <c r="O2263" t="s">
        <v>46</v>
      </c>
      <c r="P2263" t="s">
        <v>46</v>
      </c>
      <c r="Y2263" t="s">
        <v>7625</v>
      </c>
    </row>
    <row r="2264" spans="1:25">
      <c r="A2264" t="s">
        <v>7626</v>
      </c>
      <c r="B2264" t="s">
        <v>7627</v>
      </c>
      <c r="D2264" t="s">
        <v>40</v>
      </c>
      <c r="E2264" t="s">
        <v>41</v>
      </c>
      <c r="J2264" t="s">
        <v>68</v>
      </c>
      <c r="K2264" t="s">
        <v>69</v>
      </c>
      <c r="L2264">
        <v>10</v>
      </c>
      <c r="M2264" t="s">
        <v>7628</v>
      </c>
      <c r="N2264" t="s">
        <v>64</v>
      </c>
      <c r="O2264" t="s">
        <v>46</v>
      </c>
      <c r="P2264" t="s">
        <v>46</v>
      </c>
      <c r="Y2264" t="s">
        <v>7629</v>
      </c>
    </row>
    <row r="2265" spans="1:25">
      <c r="A2265" t="s">
        <v>7630</v>
      </c>
      <c r="B2265" t="s">
        <v>7631</v>
      </c>
      <c r="D2265" t="s">
        <v>40</v>
      </c>
      <c r="E2265" t="s">
        <v>41</v>
      </c>
      <c r="J2265" t="s">
        <v>182</v>
      </c>
      <c r="K2265" t="s">
        <v>183</v>
      </c>
      <c r="L2265">
        <v>10</v>
      </c>
      <c r="M2265" t="s">
        <v>7628</v>
      </c>
      <c r="N2265" t="s">
        <v>64</v>
      </c>
      <c r="O2265" t="s">
        <v>46</v>
      </c>
      <c r="P2265" t="s">
        <v>46</v>
      </c>
      <c r="Y2265" t="s">
        <v>7632</v>
      </c>
    </row>
    <row r="2266" spans="1:25">
      <c r="A2266" t="s">
        <v>7633</v>
      </c>
      <c r="B2266" t="s">
        <v>7634</v>
      </c>
      <c r="D2266" t="s">
        <v>40</v>
      </c>
      <c r="E2266" t="s">
        <v>41</v>
      </c>
      <c r="J2266" t="s">
        <v>182</v>
      </c>
      <c r="K2266" t="s">
        <v>183</v>
      </c>
      <c r="L2266">
        <v>10</v>
      </c>
      <c r="M2266" t="s">
        <v>7628</v>
      </c>
      <c r="N2266" t="s">
        <v>64</v>
      </c>
      <c r="O2266" t="s">
        <v>46</v>
      </c>
      <c r="P2266" t="s">
        <v>46</v>
      </c>
      <c r="Y2266" t="s">
        <v>7635</v>
      </c>
    </row>
    <row r="2267" spans="1:25">
      <c r="A2267" t="s">
        <v>7636</v>
      </c>
      <c r="B2267" t="s">
        <v>7637</v>
      </c>
      <c r="D2267" t="s">
        <v>40</v>
      </c>
      <c r="E2267" t="s">
        <v>41</v>
      </c>
      <c r="J2267" t="s">
        <v>76</v>
      </c>
      <c r="K2267" t="s">
        <v>77</v>
      </c>
      <c r="L2267">
        <v>10</v>
      </c>
      <c r="M2267" t="s">
        <v>7628</v>
      </c>
      <c r="N2267" t="s">
        <v>64</v>
      </c>
      <c r="O2267" t="s">
        <v>46</v>
      </c>
      <c r="P2267" t="s">
        <v>46</v>
      </c>
      <c r="Y2267" t="s">
        <v>7638</v>
      </c>
    </row>
    <row r="2268" spans="1:25">
      <c r="A2268" t="s">
        <v>7639</v>
      </c>
      <c r="B2268" t="s">
        <v>7640</v>
      </c>
      <c r="D2268" t="s">
        <v>40</v>
      </c>
      <c r="E2268" t="s">
        <v>41</v>
      </c>
      <c r="J2268" t="s">
        <v>76</v>
      </c>
      <c r="K2268" t="s">
        <v>77</v>
      </c>
      <c r="L2268">
        <v>10</v>
      </c>
      <c r="M2268" t="s">
        <v>7628</v>
      </c>
      <c r="N2268" t="s">
        <v>64</v>
      </c>
      <c r="O2268" t="s">
        <v>46</v>
      </c>
      <c r="P2268" t="s">
        <v>46</v>
      </c>
      <c r="Y2268" t="s">
        <v>7641</v>
      </c>
    </row>
    <row r="2269" spans="1:25">
      <c r="A2269" t="s">
        <v>7642</v>
      </c>
      <c r="B2269" t="s">
        <v>7643</v>
      </c>
      <c r="D2269" t="s">
        <v>40</v>
      </c>
      <c r="E2269" t="s">
        <v>41</v>
      </c>
      <c r="J2269" t="s">
        <v>182</v>
      </c>
      <c r="K2269" t="s">
        <v>183</v>
      </c>
      <c r="L2269">
        <v>10</v>
      </c>
      <c r="M2269" t="s">
        <v>7628</v>
      </c>
      <c r="N2269" t="s">
        <v>64</v>
      </c>
      <c r="O2269" t="s">
        <v>46</v>
      </c>
      <c r="P2269" t="s">
        <v>46</v>
      </c>
      <c r="Y2269" t="s">
        <v>7644</v>
      </c>
    </row>
    <row r="2270" spans="1:25">
      <c r="A2270" t="s">
        <v>7645</v>
      </c>
      <c r="B2270" t="s">
        <v>7646</v>
      </c>
      <c r="D2270" t="s">
        <v>40</v>
      </c>
      <c r="E2270" t="s">
        <v>41</v>
      </c>
      <c r="J2270" t="s">
        <v>76</v>
      </c>
      <c r="K2270" t="s">
        <v>77</v>
      </c>
      <c r="L2270">
        <v>10</v>
      </c>
      <c r="M2270" t="s">
        <v>7628</v>
      </c>
      <c r="N2270" t="s">
        <v>64</v>
      </c>
      <c r="O2270" t="s">
        <v>46</v>
      </c>
      <c r="P2270" t="s">
        <v>46</v>
      </c>
      <c r="Y2270" t="s">
        <v>7647</v>
      </c>
    </row>
    <row r="2271" spans="1:25">
      <c r="A2271" t="s">
        <v>7648</v>
      </c>
      <c r="B2271" t="s">
        <v>7649</v>
      </c>
      <c r="D2271" t="s">
        <v>40</v>
      </c>
      <c r="E2271" t="s">
        <v>41</v>
      </c>
      <c r="J2271" t="s">
        <v>182</v>
      </c>
      <c r="K2271" t="s">
        <v>183</v>
      </c>
      <c r="L2271">
        <v>10</v>
      </c>
      <c r="M2271" t="s">
        <v>7650</v>
      </c>
      <c r="N2271" t="s">
        <v>64</v>
      </c>
      <c r="O2271" t="s">
        <v>46</v>
      </c>
      <c r="P2271" t="s">
        <v>46</v>
      </c>
      <c r="Y2271" t="s">
        <v>7651</v>
      </c>
    </row>
    <row r="2272" spans="1:25">
      <c r="A2272" t="s">
        <v>7652</v>
      </c>
      <c r="B2272" t="s">
        <v>7653</v>
      </c>
      <c r="D2272" t="s">
        <v>40</v>
      </c>
      <c r="E2272" t="s">
        <v>41</v>
      </c>
      <c r="J2272" t="s">
        <v>76</v>
      </c>
      <c r="K2272" t="s">
        <v>77</v>
      </c>
      <c r="L2272">
        <v>10</v>
      </c>
      <c r="M2272" t="s">
        <v>7650</v>
      </c>
      <c r="N2272" t="s">
        <v>64</v>
      </c>
      <c r="O2272" t="s">
        <v>46</v>
      </c>
      <c r="P2272" t="s">
        <v>46</v>
      </c>
      <c r="Y2272" t="s">
        <v>7654</v>
      </c>
    </row>
    <row r="2273" spans="1:25">
      <c r="A2273" t="s">
        <v>7655</v>
      </c>
      <c r="B2273" t="s">
        <v>7656</v>
      </c>
      <c r="D2273" t="s">
        <v>40</v>
      </c>
      <c r="E2273" t="s">
        <v>41</v>
      </c>
      <c r="J2273" t="s">
        <v>182</v>
      </c>
      <c r="K2273" t="s">
        <v>183</v>
      </c>
      <c r="L2273">
        <v>10</v>
      </c>
      <c r="M2273" t="s">
        <v>7650</v>
      </c>
      <c r="N2273" t="s">
        <v>64</v>
      </c>
      <c r="O2273" t="s">
        <v>46</v>
      </c>
      <c r="P2273" t="s">
        <v>46</v>
      </c>
      <c r="Y2273" t="s">
        <v>7657</v>
      </c>
    </row>
    <row r="2274" spans="1:25">
      <c r="A2274" t="s">
        <v>7658</v>
      </c>
      <c r="B2274" t="s">
        <v>7659</v>
      </c>
      <c r="D2274" t="s">
        <v>40</v>
      </c>
      <c r="E2274" t="s">
        <v>41</v>
      </c>
      <c r="J2274" t="s">
        <v>182</v>
      </c>
      <c r="K2274" t="s">
        <v>183</v>
      </c>
      <c r="L2274">
        <v>10</v>
      </c>
      <c r="M2274" t="s">
        <v>7650</v>
      </c>
      <c r="N2274" t="s">
        <v>64</v>
      </c>
      <c r="O2274" t="s">
        <v>46</v>
      </c>
      <c r="P2274" t="s">
        <v>46</v>
      </c>
      <c r="Y2274" t="s">
        <v>7660</v>
      </c>
    </row>
    <row r="2275" spans="1:25">
      <c r="A2275" t="s">
        <v>7661</v>
      </c>
      <c r="B2275" t="s">
        <v>7662</v>
      </c>
      <c r="D2275" t="s">
        <v>40</v>
      </c>
      <c r="E2275" t="s">
        <v>41</v>
      </c>
      <c r="J2275" t="s">
        <v>182</v>
      </c>
      <c r="K2275" t="s">
        <v>183</v>
      </c>
      <c r="L2275">
        <v>10</v>
      </c>
      <c r="M2275" t="s">
        <v>7663</v>
      </c>
      <c r="N2275" t="s">
        <v>64</v>
      </c>
      <c r="O2275" t="s">
        <v>46</v>
      </c>
      <c r="P2275" t="s">
        <v>46</v>
      </c>
      <c r="Y2275" t="s">
        <v>7664</v>
      </c>
    </row>
    <row r="2276" spans="1:25">
      <c r="A2276" t="s">
        <v>7665</v>
      </c>
      <c r="B2276" t="s">
        <v>7666</v>
      </c>
      <c r="D2276" t="s">
        <v>40</v>
      </c>
      <c r="E2276" t="s">
        <v>41</v>
      </c>
      <c r="J2276" t="s">
        <v>76</v>
      </c>
      <c r="K2276" t="s">
        <v>77</v>
      </c>
      <c r="L2276">
        <v>10</v>
      </c>
      <c r="M2276" t="s">
        <v>7663</v>
      </c>
      <c r="N2276" t="s">
        <v>64</v>
      </c>
      <c r="O2276" t="s">
        <v>46</v>
      </c>
      <c r="P2276" t="s">
        <v>46</v>
      </c>
      <c r="Y2276" t="s">
        <v>7667</v>
      </c>
    </row>
    <row r="2277" spans="1:25">
      <c r="A2277" t="s">
        <v>7668</v>
      </c>
      <c r="B2277" t="s">
        <v>7669</v>
      </c>
      <c r="D2277" t="s">
        <v>40</v>
      </c>
      <c r="E2277" t="s">
        <v>41</v>
      </c>
      <c r="J2277" t="s">
        <v>182</v>
      </c>
      <c r="K2277" t="s">
        <v>183</v>
      </c>
      <c r="L2277">
        <v>10</v>
      </c>
      <c r="M2277" t="s">
        <v>7663</v>
      </c>
      <c r="N2277" t="s">
        <v>64</v>
      </c>
      <c r="O2277" t="s">
        <v>46</v>
      </c>
      <c r="P2277" t="s">
        <v>46</v>
      </c>
      <c r="Y2277" t="s">
        <v>7670</v>
      </c>
    </row>
    <row r="2278" spans="1:25">
      <c r="A2278" t="s">
        <v>7671</v>
      </c>
      <c r="B2278" t="s">
        <v>7672</v>
      </c>
      <c r="D2278" t="s">
        <v>40</v>
      </c>
      <c r="E2278" t="s">
        <v>41</v>
      </c>
      <c r="J2278" t="s">
        <v>76</v>
      </c>
      <c r="K2278" t="s">
        <v>77</v>
      </c>
      <c r="L2278">
        <v>10</v>
      </c>
      <c r="M2278" t="s">
        <v>7663</v>
      </c>
      <c r="N2278" t="s">
        <v>64</v>
      </c>
      <c r="O2278" t="s">
        <v>46</v>
      </c>
      <c r="P2278" t="s">
        <v>46</v>
      </c>
      <c r="Y2278" t="s">
        <v>7673</v>
      </c>
    </row>
    <row r="2279" spans="1:25">
      <c r="A2279" t="s">
        <v>7674</v>
      </c>
      <c r="B2279" t="s">
        <v>7675</v>
      </c>
      <c r="D2279" t="s">
        <v>40</v>
      </c>
      <c r="E2279" t="s">
        <v>41</v>
      </c>
      <c r="J2279" t="s">
        <v>182</v>
      </c>
      <c r="K2279" t="s">
        <v>183</v>
      </c>
      <c r="L2279">
        <v>10</v>
      </c>
      <c r="M2279" t="s">
        <v>7663</v>
      </c>
      <c r="N2279" t="s">
        <v>64</v>
      </c>
      <c r="O2279" t="s">
        <v>46</v>
      </c>
      <c r="P2279" t="s">
        <v>46</v>
      </c>
      <c r="Y2279" t="s">
        <v>7676</v>
      </c>
    </row>
    <row r="2280" spans="1:25">
      <c r="A2280" t="s">
        <v>7677</v>
      </c>
      <c r="B2280" t="s">
        <v>7678</v>
      </c>
      <c r="D2280" t="s">
        <v>40</v>
      </c>
      <c r="E2280" t="s">
        <v>41</v>
      </c>
      <c r="J2280" t="s">
        <v>182</v>
      </c>
      <c r="K2280" t="s">
        <v>183</v>
      </c>
      <c r="L2280">
        <v>10</v>
      </c>
      <c r="M2280" t="s">
        <v>7679</v>
      </c>
      <c r="N2280" t="s">
        <v>64</v>
      </c>
      <c r="O2280" t="s">
        <v>46</v>
      </c>
      <c r="P2280" t="s">
        <v>46</v>
      </c>
      <c r="Y2280" t="s">
        <v>7680</v>
      </c>
    </row>
    <row r="2281" spans="1:25">
      <c r="A2281" t="s">
        <v>7681</v>
      </c>
      <c r="B2281" t="s">
        <v>7682</v>
      </c>
      <c r="D2281" t="s">
        <v>40</v>
      </c>
      <c r="E2281" t="s">
        <v>41</v>
      </c>
      <c r="J2281" t="s">
        <v>68</v>
      </c>
      <c r="K2281" t="s">
        <v>69</v>
      </c>
      <c r="L2281">
        <v>10</v>
      </c>
      <c r="M2281" t="s">
        <v>7683</v>
      </c>
      <c r="N2281" t="s">
        <v>64</v>
      </c>
      <c r="O2281" t="s">
        <v>46</v>
      </c>
      <c r="P2281" t="s">
        <v>46</v>
      </c>
      <c r="Y2281" t="s">
        <v>7684</v>
      </c>
    </row>
    <row r="2282" spans="1:25">
      <c r="A2282" t="s">
        <v>7685</v>
      </c>
      <c r="B2282" t="s">
        <v>7686</v>
      </c>
      <c r="D2282" t="s">
        <v>40</v>
      </c>
      <c r="E2282" t="s">
        <v>41</v>
      </c>
      <c r="J2282" t="s">
        <v>182</v>
      </c>
      <c r="K2282" t="s">
        <v>183</v>
      </c>
      <c r="L2282">
        <v>10</v>
      </c>
      <c r="M2282" t="s">
        <v>7687</v>
      </c>
      <c r="N2282" t="s">
        <v>64</v>
      </c>
      <c r="O2282" t="s">
        <v>46</v>
      </c>
      <c r="P2282" t="s">
        <v>46</v>
      </c>
      <c r="Y2282" t="s">
        <v>7688</v>
      </c>
    </row>
    <row r="2283" spans="1:25">
      <c r="A2283" t="s">
        <v>7689</v>
      </c>
      <c r="B2283" t="s">
        <v>7690</v>
      </c>
      <c r="D2283" t="s">
        <v>40</v>
      </c>
      <c r="E2283" t="s">
        <v>41</v>
      </c>
      <c r="J2283" t="s">
        <v>62</v>
      </c>
      <c r="K2283" t="s">
        <v>63</v>
      </c>
      <c r="L2283">
        <v>10</v>
      </c>
      <c r="M2283" t="s">
        <v>7687</v>
      </c>
      <c r="N2283" t="s">
        <v>64</v>
      </c>
      <c r="O2283" t="s">
        <v>46</v>
      </c>
      <c r="P2283" t="s">
        <v>46</v>
      </c>
      <c r="Y2283" t="s">
        <v>7691</v>
      </c>
    </row>
    <row r="2284" spans="1:25">
      <c r="A2284" t="s">
        <v>7692</v>
      </c>
      <c r="B2284" t="s">
        <v>7693</v>
      </c>
      <c r="D2284" t="s">
        <v>40</v>
      </c>
      <c r="E2284" t="s">
        <v>41</v>
      </c>
      <c r="J2284" t="s">
        <v>182</v>
      </c>
      <c r="K2284" t="s">
        <v>183</v>
      </c>
      <c r="L2284">
        <v>10</v>
      </c>
      <c r="M2284" t="s">
        <v>7687</v>
      </c>
      <c r="N2284" t="s">
        <v>64</v>
      </c>
      <c r="O2284" t="s">
        <v>46</v>
      </c>
      <c r="P2284" t="s">
        <v>46</v>
      </c>
      <c r="Y2284" t="s">
        <v>7694</v>
      </c>
    </row>
    <row r="2285" spans="1:25">
      <c r="A2285" t="s">
        <v>7695</v>
      </c>
      <c r="B2285" t="s">
        <v>7696</v>
      </c>
      <c r="D2285" t="s">
        <v>40</v>
      </c>
      <c r="E2285" t="s">
        <v>41</v>
      </c>
      <c r="J2285" t="s">
        <v>76</v>
      </c>
      <c r="K2285" t="s">
        <v>77</v>
      </c>
      <c r="L2285">
        <v>10</v>
      </c>
      <c r="M2285" t="s">
        <v>7687</v>
      </c>
      <c r="N2285" t="s">
        <v>64</v>
      </c>
      <c r="O2285" t="s">
        <v>46</v>
      </c>
      <c r="P2285" t="s">
        <v>46</v>
      </c>
      <c r="Y2285" t="s">
        <v>7697</v>
      </c>
    </row>
    <row r="2286" spans="1:25">
      <c r="A2286" t="s">
        <v>7698</v>
      </c>
      <c r="B2286" t="s">
        <v>7699</v>
      </c>
      <c r="D2286" t="s">
        <v>40</v>
      </c>
      <c r="E2286" t="s">
        <v>41</v>
      </c>
      <c r="J2286" t="s">
        <v>68</v>
      </c>
      <c r="K2286" t="s">
        <v>69</v>
      </c>
      <c r="L2286">
        <v>10</v>
      </c>
      <c r="M2286" t="s">
        <v>7687</v>
      </c>
      <c r="N2286" t="s">
        <v>64</v>
      </c>
      <c r="O2286" t="s">
        <v>46</v>
      </c>
      <c r="P2286" t="s">
        <v>46</v>
      </c>
      <c r="Y2286" t="s">
        <v>7700</v>
      </c>
    </row>
    <row r="2287" spans="1:25">
      <c r="A2287" t="s">
        <v>7701</v>
      </c>
      <c r="B2287" t="s">
        <v>7702</v>
      </c>
      <c r="D2287" t="s">
        <v>40</v>
      </c>
      <c r="E2287" t="s">
        <v>41</v>
      </c>
      <c r="J2287" t="s">
        <v>62</v>
      </c>
      <c r="K2287" t="s">
        <v>63</v>
      </c>
      <c r="L2287">
        <v>10</v>
      </c>
      <c r="M2287" t="s">
        <v>7703</v>
      </c>
      <c r="N2287" t="s">
        <v>64</v>
      </c>
      <c r="O2287" t="s">
        <v>46</v>
      </c>
      <c r="P2287" t="s">
        <v>46</v>
      </c>
      <c r="Y2287" t="s">
        <v>7704</v>
      </c>
    </row>
    <row r="2288" spans="1:25">
      <c r="A2288" t="s">
        <v>7705</v>
      </c>
      <c r="B2288" t="s">
        <v>7706</v>
      </c>
      <c r="D2288" t="s">
        <v>40</v>
      </c>
      <c r="E2288" t="s">
        <v>41</v>
      </c>
      <c r="J2288" t="s">
        <v>248</v>
      </c>
      <c r="K2288" t="s">
        <v>249</v>
      </c>
      <c r="L2288">
        <v>10</v>
      </c>
      <c r="M2288" t="s">
        <v>7703</v>
      </c>
      <c r="N2288" t="s">
        <v>1024</v>
      </c>
      <c r="O2288" t="s">
        <v>46</v>
      </c>
      <c r="P2288" t="s">
        <v>46</v>
      </c>
      <c r="Y2288" t="s">
        <v>7707</v>
      </c>
    </row>
    <row r="2289" spans="1:25">
      <c r="A2289" t="s">
        <v>7708</v>
      </c>
      <c r="B2289" t="s">
        <v>7709</v>
      </c>
      <c r="D2289" t="s">
        <v>40</v>
      </c>
      <c r="E2289" t="s">
        <v>41</v>
      </c>
      <c r="J2289" t="s">
        <v>288</v>
      </c>
      <c r="K2289" t="s">
        <v>289</v>
      </c>
      <c r="L2289">
        <v>10</v>
      </c>
      <c r="M2289" t="s">
        <v>7703</v>
      </c>
      <c r="N2289" t="s">
        <v>142</v>
      </c>
      <c r="O2289" t="s">
        <v>46</v>
      </c>
      <c r="P2289" t="s">
        <v>46</v>
      </c>
      <c r="Y2289" t="s">
        <v>7710</v>
      </c>
    </row>
    <row r="2290" spans="1:25">
      <c r="A2290" t="s">
        <v>7711</v>
      </c>
      <c r="B2290" t="s">
        <v>7712</v>
      </c>
      <c r="D2290" t="s">
        <v>40</v>
      </c>
      <c r="E2290" t="s">
        <v>41</v>
      </c>
      <c r="J2290" t="s">
        <v>182</v>
      </c>
      <c r="K2290" t="s">
        <v>183</v>
      </c>
      <c r="L2290">
        <v>10</v>
      </c>
      <c r="M2290" t="s">
        <v>7703</v>
      </c>
      <c r="N2290" t="s">
        <v>64</v>
      </c>
      <c r="O2290" t="s">
        <v>46</v>
      </c>
      <c r="P2290" t="s">
        <v>46</v>
      </c>
      <c r="Y2290" t="s">
        <v>7713</v>
      </c>
    </row>
    <row r="2291" spans="1:25">
      <c r="A2291" t="s">
        <v>7714</v>
      </c>
      <c r="B2291" t="s">
        <v>7715</v>
      </c>
      <c r="D2291" t="s">
        <v>40</v>
      </c>
      <c r="E2291" t="s">
        <v>41</v>
      </c>
      <c r="J2291" t="s">
        <v>248</v>
      </c>
      <c r="K2291" t="s">
        <v>249</v>
      </c>
      <c r="L2291">
        <v>10</v>
      </c>
      <c r="M2291" t="s">
        <v>7703</v>
      </c>
      <c r="N2291" t="s">
        <v>310</v>
      </c>
      <c r="O2291" t="s">
        <v>46</v>
      </c>
      <c r="P2291" t="s">
        <v>46</v>
      </c>
      <c r="Y2291" t="s">
        <v>7716</v>
      </c>
    </row>
    <row r="2292" spans="1:25">
      <c r="A2292" t="s">
        <v>7717</v>
      </c>
      <c r="B2292" t="s">
        <v>7718</v>
      </c>
      <c r="D2292" t="s">
        <v>40</v>
      </c>
      <c r="E2292" t="s">
        <v>41</v>
      </c>
      <c r="J2292" t="s">
        <v>182</v>
      </c>
      <c r="K2292" t="s">
        <v>183</v>
      </c>
      <c r="L2292">
        <v>10</v>
      </c>
      <c r="M2292" t="s">
        <v>7719</v>
      </c>
      <c r="N2292" t="s">
        <v>64</v>
      </c>
      <c r="O2292" t="s">
        <v>46</v>
      </c>
      <c r="P2292" t="s">
        <v>46</v>
      </c>
      <c r="Y2292" t="s">
        <v>7720</v>
      </c>
    </row>
    <row r="2293" spans="1:25">
      <c r="A2293" t="s">
        <v>7721</v>
      </c>
      <c r="B2293" t="s">
        <v>7722</v>
      </c>
      <c r="D2293" t="s">
        <v>40</v>
      </c>
      <c r="E2293" t="s">
        <v>41</v>
      </c>
      <c r="J2293" t="s">
        <v>264</v>
      </c>
      <c r="K2293" t="s">
        <v>265</v>
      </c>
      <c r="L2293">
        <v>22</v>
      </c>
      <c r="M2293" t="s">
        <v>7719</v>
      </c>
      <c r="N2293" t="s">
        <v>1550</v>
      </c>
      <c r="O2293" t="s">
        <v>46</v>
      </c>
      <c r="P2293" t="s">
        <v>46</v>
      </c>
      <c r="Y2293" t="s">
        <v>7723</v>
      </c>
    </row>
    <row r="2294" spans="1:25">
      <c r="A2294" t="s">
        <v>7724</v>
      </c>
      <c r="B2294" t="s">
        <v>7725</v>
      </c>
      <c r="D2294" t="s">
        <v>40</v>
      </c>
      <c r="E2294" t="s">
        <v>41</v>
      </c>
      <c r="J2294" t="s">
        <v>182</v>
      </c>
      <c r="K2294" t="s">
        <v>183</v>
      </c>
      <c r="L2294">
        <v>10</v>
      </c>
      <c r="M2294" t="s">
        <v>7726</v>
      </c>
      <c r="N2294" t="s">
        <v>64</v>
      </c>
      <c r="O2294" t="s">
        <v>46</v>
      </c>
      <c r="P2294" t="s">
        <v>46</v>
      </c>
      <c r="Y2294" t="s">
        <v>7727</v>
      </c>
    </row>
    <row r="2295" spans="1:25">
      <c r="A2295" t="s">
        <v>7728</v>
      </c>
      <c r="B2295" t="s">
        <v>7729</v>
      </c>
      <c r="D2295" t="s">
        <v>40</v>
      </c>
      <c r="E2295" t="s">
        <v>41</v>
      </c>
      <c r="J2295" t="s">
        <v>76</v>
      </c>
      <c r="K2295" t="s">
        <v>77</v>
      </c>
      <c r="L2295">
        <v>10</v>
      </c>
      <c r="M2295" t="s">
        <v>7726</v>
      </c>
      <c r="N2295" t="s">
        <v>64</v>
      </c>
      <c r="O2295" t="s">
        <v>46</v>
      </c>
      <c r="P2295" t="s">
        <v>46</v>
      </c>
      <c r="Y2295" t="s">
        <v>7730</v>
      </c>
    </row>
    <row r="2296" spans="1:25">
      <c r="A2296" t="s">
        <v>7731</v>
      </c>
      <c r="B2296" t="s">
        <v>7732</v>
      </c>
      <c r="D2296" t="s">
        <v>40</v>
      </c>
      <c r="E2296" t="s">
        <v>41</v>
      </c>
      <c r="J2296" t="s">
        <v>42</v>
      </c>
      <c r="K2296" t="s">
        <v>43</v>
      </c>
      <c r="L2296">
        <v>10</v>
      </c>
      <c r="M2296" t="s">
        <v>7726</v>
      </c>
      <c r="N2296" t="s">
        <v>1276</v>
      </c>
      <c r="O2296" t="s">
        <v>46</v>
      </c>
      <c r="P2296" t="s">
        <v>46</v>
      </c>
      <c r="Y2296" t="s">
        <v>7733</v>
      </c>
    </row>
    <row r="2297" spans="1:25">
      <c r="A2297" t="s">
        <v>7734</v>
      </c>
      <c r="B2297" t="s">
        <v>7735</v>
      </c>
      <c r="D2297" t="s">
        <v>40</v>
      </c>
      <c r="E2297" t="s">
        <v>41</v>
      </c>
      <c r="J2297" t="s">
        <v>182</v>
      </c>
      <c r="K2297" t="s">
        <v>183</v>
      </c>
      <c r="L2297">
        <v>10</v>
      </c>
      <c r="M2297" t="s">
        <v>7726</v>
      </c>
      <c r="N2297" t="s">
        <v>64</v>
      </c>
      <c r="O2297" t="s">
        <v>46</v>
      </c>
      <c r="P2297" t="s">
        <v>46</v>
      </c>
      <c r="Y2297" t="s">
        <v>7736</v>
      </c>
    </row>
    <row r="2298" spans="1:25">
      <c r="A2298" t="s">
        <v>7737</v>
      </c>
      <c r="B2298" t="s">
        <v>7738</v>
      </c>
      <c r="D2298" t="s">
        <v>40</v>
      </c>
      <c r="E2298" t="s">
        <v>41</v>
      </c>
      <c r="J2298" t="s">
        <v>76</v>
      </c>
      <c r="K2298" t="s">
        <v>77</v>
      </c>
      <c r="L2298">
        <v>10</v>
      </c>
      <c r="M2298" t="s">
        <v>7726</v>
      </c>
      <c r="N2298" t="s">
        <v>64</v>
      </c>
      <c r="O2298" t="s">
        <v>46</v>
      </c>
      <c r="P2298" t="s">
        <v>46</v>
      </c>
      <c r="Y2298" t="s">
        <v>7739</v>
      </c>
    </row>
    <row r="2299" spans="1:25">
      <c r="A2299" t="s">
        <v>7740</v>
      </c>
      <c r="B2299" t="s">
        <v>7741</v>
      </c>
      <c r="D2299" t="s">
        <v>40</v>
      </c>
      <c r="E2299" t="s">
        <v>41</v>
      </c>
      <c r="J2299" t="s">
        <v>182</v>
      </c>
      <c r="K2299" t="s">
        <v>183</v>
      </c>
      <c r="L2299">
        <v>10</v>
      </c>
      <c r="M2299" t="s">
        <v>7742</v>
      </c>
      <c r="N2299" t="s">
        <v>64</v>
      </c>
      <c r="O2299" t="s">
        <v>46</v>
      </c>
      <c r="P2299" t="s">
        <v>46</v>
      </c>
      <c r="Y2299" t="s">
        <v>7743</v>
      </c>
    </row>
    <row r="2300" spans="1:25">
      <c r="A2300" t="s">
        <v>7744</v>
      </c>
      <c r="B2300" t="s">
        <v>7745</v>
      </c>
      <c r="D2300" t="s">
        <v>40</v>
      </c>
      <c r="E2300" t="s">
        <v>41</v>
      </c>
      <c r="J2300" t="s">
        <v>182</v>
      </c>
      <c r="K2300" t="s">
        <v>183</v>
      </c>
      <c r="L2300">
        <v>10</v>
      </c>
      <c r="M2300" t="s">
        <v>7746</v>
      </c>
      <c r="N2300" t="s">
        <v>64</v>
      </c>
      <c r="O2300" t="s">
        <v>46</v>
      </c>
      <c r="P2300" t="s">
        <v>46</v>
      </c>
      <c r="Y2300" t="s">
        <v>7747</v>
      </c>
    </row>
    <row r="2301" spans="1:25">
      <c r="A2301" t="s">
        <v>7748</v>
      </c>
      <c r="B2301" t="s">
        <v>7749</v>
      </c>
      <c r="D2301" t="s">
        <v>40</v>
      </c>
      <c r="E2301" t="s">
        <v>41</v>
      </c>
      <c r="J2301" t="s">
        <v>1554</v>
      </c>
      <c r="K2301" t="s">
        <v>1555</v>
      </c>
      <c r="L2301">
        <v>10</v>
      </c>
      <c r="M2301" t="s">
        <v>7746</v>
      </c>
      <c r="N2301" t="s">
        <v>218</v>
      </c>
      <c r="O2301" t="s">
        <v>46</v>
      </c>
      <c r="P2301" t="s">
        <v>46</v>
      </c>
      <c r="Y2301" t="s">
        <v>7750</v>
      </c>
    </row>
    <row r="2302" spans="1:25">
      <c r="A2302" t="s">
        <v>7751</v>
      </c>
      <c r="B2302" t="s">
        <v>7752</v>
      </c>
      <c r="D2302" t="s">
        <v>40</v>
      </c>
      <c r="E2302" t="s">
        <v>41</v>
      </c>
      <c r="J2302" t="s">
        <v>182</v>
      </c>
      <c r="K2302" t="s">
        <v>183</v>
      </c>
      <c r="L2302">
        <v>10</v>
      </c>
      <c r="M2302" t="s">
        <v>7753</v>
      </c>
      <c r="N2302" t="s">
        <v>64</v>
      </c>
      <c r="O2302" t="s">
        <v>46</v>
      </c>
      <c r="P2302" t="s">
        <v>46</v>
      </c>
      <c r="Y2302" t="s">
        <v>7754</v>
      </c>
    </row>
    <row r="2303" spans="1:25">
      <c r="A2303" t="s">
        <v>7755</v>
      </c>
      <c r="B2303" t="s">
        <v>7756</v>
      </c>
      <c r="D2303" t="s">
        <v>40</v>
      </c>
      <c r="E2303" t="s">
        <v>41</v>
      </c>
      <c r="J2303" t="s">
        <v>68</v>
      </c>
      <c r="K2303" t="s">
        <v>69</v>
      </c>
      <c r="L2303">
        <v>10</v>
      </c>
      <c r="M2303" t="s">
        <v>7753</v>
      </c>
      <c r="N2303" t="s">
        <v>64</v>
      </c>
      <c r="O2303" t="s">
        <v>46</v>
      </c>
      <c r="P2303" t="s">
        <v>46</v>
      </c>
      <c r="Y2303" t="s">
        <v>7757</v>
      </c>
    </row>
    <row r="2304" spans="1:25">
      <c r="A2304" t="s">
        <v>7758</v>
      </c>
      <c r="B2304" t="s">
        <v>7759</v>
      </c>
      <c r="D2304" t="s">
        <v>40</v>
      </c>
      <c r="E2304" t="s">
        <v>41</v>
      </c>
      <c r="J2304" t="s">
        <v>182</v>
      </c>
      <c r="K2304" t="s">
        <v>183</v>
      </c>
      <c r="L2304">
        <v>10</v>
      </c>
      <c r="M2304" t="s">
        <v>7760</v>
      </c>
      <c r="N2304" t="s">
        <v>64</v>
      </c>
      <c r="O2304" t="s">
        <v>46</v>
      </c>
      <c r="P2304" t="s">
        <v>46</v>
      </c>
      <c r="Y2304" t="s">
        <v>7761</v>
      </c>
    </row>
    <row r="2305" spans="1:25">
      <c r="A2305" t="s">
        <v>7762</v>
      </c>
      <c r="B2305" t="s">
        <v>7763</v>
      </c>
      <c r="D2305" t="s">
        <v>40</v>
      </c>
      <c r="E2305" t="s">
        <v>41</v>
      </c>
      <c r="J2305" t="s">
        <v>182</v>
      </c>
      <c r="K2305" t="s">
        <v>183</v>
      </c>
      <c r="L2305">
        <v>10</v>
      </c>
      <c r="M2305" t="s">
        <v>7760</v>
      </c>
      <c r="N2305" t="s">
        <v>64</v>
      </c>
      <c r="O2305" t="s">
        <v>46</v>
      </c>
      <c r="P2305" t="s">
        <v>46</v>
      </c>
      <c r="Y2305" t="s">
        <v>7764</v>
      </c>
    </row>
    <row r="2306" spans="1:25">
      <c r="A2306" t="s">
        <v>7765</v>
      </c>
      <c r="B2306" t="s">
        <v>7766</v>
      </c>
      <c r="D2306" t="s">
        <v>40</v>
      </c>
      <c r="E2306" t="s">
        <v>41</v>
      </c>
      <c r="J2306" t="s">
        <v>76</v>
      </c>
      <c r="K2306" t="s">
        <v>77</v>
      </c>
      <c r="L2306">
        <v>10</v>
      </c>
      <c r="M2306" t="s">
        <v>7760</v>
      </c>
      <c r="N2306" t="s">
        <v>64</v>
      </c>
      <c r="O2306" t="s">
        <v>46</v>
      </c>
      <c r="P2306" t="s">
        <v>46</v>
      </c>
      <c r="Y2306" t="s">
        <v>7767</v>
      </c>
    </row>
    <row r="2307" spans="1:25">
      <c r="A2307" t="s">
        <v>7768</v>
      </c>
      <c r="B2307" t="s">
        <v>7769</v>
      </c>
      <c r="D2307" t="s">
        <v>40</v>
      </c>
      <c r="E2307" t="s">
        <v>41</v>
      </c>
      <c r="J2307" t="s">
        <v>182</v>
      </c>
      <c r="K2307" t="s">
        <v>183</v>
      </c>
      <c r="L2307">
        <v>10</v>
      </c>
      <c r="M2307" t="s">
        <v>7770</v>
      </c>
      <c r="N2307" t="s">
        <v>64</v>
      </c>
      <c r="O2307" t="s">
        <v>46</v>
      </c>
      <c r="P2307" t="s">
        <v>46</v>
      </c>
      <c r="Y2307" t="s">
        <v>7771</v>
      </c>
    </row>
    <row r="2308" spans="1:25">
      <c r="A2308" t="s">
        <v>7772</v>
      </c>
      <c r="B2308" t="s">
        <v>7773</v>
      </c>
      <c r="D2308" t="s">
        <v>40</v>
      </c>
      <c r="E2308" t="s">
        <v>41</v>
      </c>
      <c r="J2308" t="s">
        <v>68</v>
      </c>
      <c r="K2308" t="s">
        <v>69</v>
      </c>
      <c r="L2308">
        <v>10</v>
      </c>
      <c r="M2308" t="s">
        <v>7770</v>
      </c>
      <c r="N2308" t="s">
        <v>64</v>
      </c>
      <c r="O2308" t="s">
        <v>46</v>
      </c>
      <c r="P2308" t="s">
        <v>46</v>
      </c>
      <c r="Y2308" t="s">
        <v>7774</v>
      </c>
    </row>
    <row r="2309" spans="1:25">
      <c r="A2309" t="s">
        <v>7775</v>
      </c>
      <c r="B2309" t="s">
        <v>7776</v>
      </c>
      <c r="D2309" t="s">
        <v>40</v>
      </c>
      <c r="E2309" t="s">
        <v>41</v>
      </c>
      <c r="J2309" t="s">
        <v>248</v>
      </c>
      <c r="K2309" t="s">
        <v>249</v>
      </c>
      <c r="L2309">
        <v>10</v>
      </c>
      <c r="M2309" t="s">
        <v>7770</v>
      </c>
      <c r="N2309" t="s">
        <v>53</v>
      </c>
      <c r="O2309" t="s">
        <v>46</v>
      </c>
      <c r="P2309" t="s">
        <v>46</v>
      </c>
      <c r="Y2309" t="s">
        <v>7777</v>
      </c>
    </row>
    <row r="2310" spans="1:25">
      <c r="A2310" t="s">
        <v>7778</v>
      </c>
      <c r="B2310" t="s">
        <v>7779</v>
      </c>
      <c r="D2310" t="s">
        <v>40</v>
      </c>
      <c r="E2310" t="s">
        <v>41</v>
      </c>
      <c r="J2310" t="s">
        <v>68</v>
      </c>
      <c r="K2310" t="s">
        <v>69</v>
      </c>
      <c r="L2310">
        <v>10</v>
      </c>
      <c r="M2310" t="s">
        <v>7770</v>
      </c>
      <c r="N2310" t="s">
        <v>64</v>
      </c>
      <c r="O2310" t="s">
        <v>46</v>
      </c>
      <c r="P2310" t="s">
        <v>46</v>
      </c>
      <c r="Y2310" t="s">
        <v>7780</v>
      </c>
    </row>
    <row r="2311" spans="1:25">
      <c r="A2311" t="s">
        <v>7781</v>
      </c>
      <c r="B2311" t="s">
        <v>7782</v>
      </c>
      <c r="D2311" t="s">
        <v>40</v>
      </c>
      <c r="E2311" t="s">
        <v>41</v>
      </c>
      <c r="J2311" t="s">
        <v>182</v>
      </c>
      <c r="K2311" t="s">
        <v>183</v>
      </c>
      <c r="L2311">
        <v>10</v>
      </c>
      <c r="M2311" t="s">
        <v>7770</v>
      </c>
      <c r="N2311" t="s">
        <v>64</v>
      </c>
      <c r="O2311" t="s">
        <v>46</v>
      </c>
      <c r="P2311" t="s">
        <v>46</v>
      </c>
      <c r="Y2311" t="s">
        <v>7783</v>
      </c>
    </row>
    <row r="2312" spans="1:25">
      <c r="A2312" t="s">
        <v>7784</v>
      </c>
      <c r="B2312" t="s">
        <v>7785</v>
      </c>
      <c r="D2312" t="s">
        <v>40</v>
      </c>
      <c r="E2312" t="s">
        <v>41</v>
      </c>
      <c r="J2312" t="s">
        <v>76</v>
      </c>
      <c r="K2312" t="s">
        <v>77</v>
      </c>
      <c r="L2312">
        <v>10</v>
      </c>
      <c r="M2312" t="s">
        <v>7786</v>
      </c>
      <c r="N2312" t="s">
        <v>64</v>
      </c>
      <c r="O2312" t="s">
        <v>46</v>
      </c>
      <c r="P2312" t="s">
        <v>46</v>
      </c>
      <c r="Y2312" t="s">
        <v>7787</v>
      </c>
    </row>
    <row r="2313" spans="1:25">
      <c r="A2313" t="s">
        <v>7788</v>
      </c>
      <c r="B2313" t="s">
        <v>7789</v>
      </c>
      <c r="D2313" t="s">
        <v>40</v>
      </c>
      <c r="E2313" t="s">
        <v>41</v>
      </c>
      <c r="J2313" t="s">
        <v>182</v>
      </c>
      <c r="K2313" t="s">
        <v>183</v>
      </c>
      <c r="L2313">
        <v>10</v>
      </c>
      <c r="M2313" t="s">
        <v>7786</v>
      </c>
      <c r="N2313" t="s">
        <v>64</v>
      </c>
      <c r="O2313" t="s">
        <v>46</v>
      </c>
      <c r="P2313" t="s">
        <v>46</v>
      </c>
      <c r="Y2313" t="s">
        <v>7790</v>
      </c>
    </row>
    <row r="2314" spans="1:25">
      <c r="A2314" t="s">
        <v>7791</v>
      </c>
      <c r="B2314" t="s">
        <v>7792</v>
      </c>
      <c r="D2314" t="s">
        <v>40</v>
      </c>
      <c r="E2314" t="s">
        <v>41</v>
      </c>
      <c r="J2314" t="s">
        <v>42</v>
      </c>
      <c r="K2314" t="s">
        <v>43</v>
      </c>
      <c r="L2314">
        <v>10</v>
      </c>
      <c r="M2314" t="s">
        <v>7786</v>
      </c>
      <c r="N2314" t="s">
        <v>305</v>
      </c>
      <c r="O2314" t="s">
        <v>46</v>
      </c>
      <c r="P2314" t="s">
        <v>46</v>
      </c>
      <c r="Y2314" t="s">
        <v>7793</v>
      </c>
    </row>
    <row r="2315" spans="1:25">
      <c r="A2315" t="s">
        <v>7794</v>
      </c>
      <c r="B2315" t="s">
        <v>7795</v>
      </c>
      <c r="D2315" t="s">
        <v>40</v>
      </c>
      <c r="E2315" t="s">
        <v>41</v>
      </c>
      <c r="J2315" t="s">
        <v>182</v>
      </c>
      <c r="K2315" t="s">
        <v>183</v>
      </c>
      <c r="L2315">
        <v>10</v>
      </c>
      <c r="M2315" t="s">
        <v>7796</v>
      </c>
      <c r="N2315" t="s">
        <v>64</v>
      </c>
      <c r="O2315" t="s">
        <v>46</v>
      </c>
      <c r="P2315" t="s">
        <v>46</v>
      </c>
      <c r="Y2315" t="s">
        <v>7797</v>
      </c>
    </row>
    <row r="2316" spans="1:25">
      <c r="A2316" t="s">
        <v>7798</v>
      </c>
      <c r="B2316" t="s">
        <v>7799</v>
      </c>
      <c r="D2316" t="s">
        <v>40</v>
      </c>
      <c r="E2316" t="s">
        <v>41</v>
      </c>
      <c r="J2316" t="s">
        <v>42</v>
      </c>
      <c r="K2316" t="s">
        <v>43</v>
      </c>
      <c r="L2316">
        <v>11</v>
      </c>
      <c r="M2316" t="s">
        <v>7796</v>
      </c>
      <c r="N2316" t="s">
        <v>2621</v>
      </c>
      <c r="O2316" t="s">
        <v>46</v>
      </c>
      <c r="P2316" t="s">
        <v>46</v>
      </c>
      <c r="Y2316" t="s">
        <v>7800</v>
      </c>
    </row>
    <row r="2317" spans="1:25">
      <c r="A2317" t="s">
        <v>7801</v>
      </c>
      <c r="B2317" t="s">
        <v>7802</v>
      </c>
      <c r="D2317" t="s">
        <v>40</v>
      </c>
      <c r="E2317" t="s">
        <v>41</v>
      </c>
      <c r="J2317" t="s">
        <v>68</v>
      </c>
      <c r="K2317" t="s">
        <v>69</v>
      </c>
      <c r="L2317">
        <v>11</v>
      </c>
      <c r="M2317" t="s">
        <v>7796</v>
      </c>
      <c r="N2317" t="s">
        <v>64</v>
      </c>
      <c r="O2317" t="s">
        <v>46</v>
      </c>
      <c r="P2317" t="s">
        <v>46</v>
      </c>
      <c r="Y2317" t="s">
        <v>7803</v>
      </c>
    </row>
    <row r="2318" spans="1:25">
      <c r="A2318" t="s">
        <v>7804</v>
      </c>
      <c r="B2318" t="s">
        <v>7805</v>
      </c>
      <c r="D2318" t="s">
        <v>40</v>
      </c>
      <c r="E2318" t="s">
        <v>41</v>
      </c>
      <c r="J2318" t="s">
        <v>76</v>
      </c>
      <c r="K2318" t="s">
        <v>77</v>
      </c>
      <c r="L2318">
        <v>11</v>
      </c>
      <c r="M2318" t="s">
        <v>7806</v>
      </c>
      <c r="N2318" t="s">
        <v>64</v>
      </c>
      <c r="O2318" t="s">
        <v>46</v>
      </c>
      <c r="P2318" t="s">
        <v>46</v>
      </c>
      <c r="Y2318" t="s">
        <v>7807</v>
      </c>
    </row>
    <row r="2319" spans="1:25">
      <c r="A2319" t="s">
        <v>7808</v>
      </c>
      <c r="B2319" t="s">
        <v>7809</v>
      </c>
      <c r="D2319" t="s">
        <v>40</v>
      </c>
      <c r="E2319" t="s">
        <v>41</v>
      </c>
      <c r="J2319" t="s">
        <v>182</v>
      </c>
      <c r="K2319" t="s">
        <v>183</v>
      </c>
      <c r="L2319">
        <v>11</v>
      </c>
      <c r="M2319" t="s">
        <v>7806</v>
      </c>
      <c r="N2319" t="s">
        <v>64</v>
      </c>
      <c r="O2319" t="s">
        <v>46</v>
      </c>
      <c r="P2319" t="s">
        <v>46</v>
      </c>
      <c r="Y2319" t="s">
        <v>7810</v>
      </c>
    </row>
    <row r="2320" spans="1:25">
      <c r="A2320" t="s">
        <v>7811</v>
      </c>
      <c r="B2320" t="s">
        <v>7812</v>
      </c>
      <c r="D2320" t="s">
        <v>40</v>
      </c>
      <c r="E2320" t="s">
        <v>41</v>
      </c>
      <c r="J2320" t="s">
        <v>76</v>
      </c>
      <c r="K2320" t="s">
        <v>77</v>
      </c>
      <c r="L2320">
        <v>11</v>
      </c>
      <c r="M2320" t="s">
        <v>7806</v>
      </c>
      <c r="N2320" t="s">
        <v>64</v>
      </c>
      <c r="O2320" t="s">
        <v>46</v>
      </c>
      <c r="P2320" t="s">
        <v>46</v>
      </c>
      <c r="Y2320" t="s">
        <v>7813</v>
      </c>
    </row>
    <row r="2321" spans="1:25">
      <c r="A2321" t="s">
        <v>7814</v>
      </c>
      <c r="B2321" t="s">
        <v>7815</v>
      </c>
      <c r="D2321" t="s">
        <v>40</v>
      </c>
      <c r="E2321" t="s">
        <v>41</v>
      </c>
      <c r="J2321" t="s">
        <v>68</v>
      </c>
      <c r="K2321" t="s">
        <v>69</v>
      </c>
      <c r="L2321">
        <v>11</v>
      </c>
      <c r="M2321" t="s">
        <v>7806</v>
      </c>
      <c r="N2321" t="s">
        <v>64</v>
      </c>
      <c r="O2321" t="s">
        <v>46</v>
      </c>
      <c r="P2321" t="s">
        <v>46</v>
      </c>
      <c r="Y2321" t="s">
        <v>7816</v>
      </c>
    </row>
    <row r="2322" spans="1:25">
      <c r="A2322" t="s">
        <v>7817</v>
      </c>
      <c r="B2322" t="s">
        <v>7818</v>
      </c>
      <c r="D2322" t="s">
        <v>40</v>
      </c>
      <c r="E2322" t="s">
        <v>41</v>
      </c>
      <c r="J2322" t="s">
        <v>182</v>
      </c>
      <c r="K2322" t="s">
        <v>183</v>
      </c>
      <c r="L2322">
        <v>11</v>
      </c>
      <c r="M2322" t="s">
        <v>7806</v>
      </c>
      <c r="N2322" t="s">
        <v>64</v>
      </c>
      <c r="O2322" t="s">
        <v>46</v>
      </c>
      <c r="P2322" t="s">
        <v>46</v>
      </c>
      <c r="Y2322" t="s">
        <v>7819</v>
      </c>
    </row>
    <row r="2323" spans="1:25">
      <c r="A2323" t="s">
        <v>7820</v>
      </c>
      <c r="B2323" t="s">
        <v>7821</v>
      </c>
      <c r="D2323" t="s">
        <v>40</v>
      </c>
      <c r="E2323" t="s">
        <v>41</v>
      </c>
      <c r="J2323" t="s">
        <v>62</v>
      </c>
      <c r="K2323" t="s">
        <v>63</v>
      </c>
      <c r="L2323">
        <v>11</v>
      </c>
      <c r="M2323" t="s">
        <v>7822</v>
      </c>
      <c r="N2323" t="s">
        <v>64</v>
      </c>
      <c r="O2323" t="s">
        <v>46</v>
      </c>
      <c r="P2323" t="s">
        <v>46</v>
      </c>
      <c r="Y2323" t="s">
        <v>7823</v>
      </c>
    </row>
    <row r="2324" spans="1:25">
      <c r="A2324" t="s">
        <v>7824</v>
      </c>
      <c r="B2324" t="s">
        <v>7825</v>
      </c>
      <c r="D2324" t="s">
        <v>40</v>
      </c>
      <c r="E2324" t="s">
        <v>41</v>
      </c>
      <c r="J2324" t="s">
        <v>182</v>
      </c>
      <c r="K2324" t="s">
        <v>183</v>
      </c>
      <c r="L2324">
        <v>11</v>
      </c>
      <c r="M2324" t="s">
        <v>7822</v>
      </c>
      <c r="N2324" t="s">
        <v>64</v>
      </c>
      <c r="O2324" t="s">
        <v>46</v>
      </c>
      <c r="P2324" t="s">
        <v>46</v>
      </c>
      <c r="Y2324" t="s">
        <v>7826</v>
      </c>
    </row>
    <row r="2325" spans="1:25">
      <c r="A2325" t="s">
        <v>7827</v>
      </c>
      <c r="B2325" t="s">
        <v>7828</v>
      </c>
      <c r="D2325" t="s">
        <v>40</v>
      </c>
      <c r="E2325" t="s">
        <v>41</v>
      </c>
      <c r="J2325" t="s">
        <v>68</v>
      </c>
      <c r="K2325" t="s">
        <v>69</v>
      </c>
      <c r="L2325">
        <v>11</v>
      </c>
      <c r="M2325" t="s">
        <v>7822</v>
      </c>
      <c r="N2325" t="s">
        <v>64</v>
      </c>
      <c r="O2325" t="s">
        <v>46</v>
      </c>
      <c r="P2325" t="s">
        <v>46</v>
      </c>
      <c r="Y2325" t="s">
        <v>7829</v>
      </c>
    </row>
    <row r="2326" spans="1:25">
      <c r="A2326" t="s">
        <v>7830</v>
      </c>
      <c r="B2326" t="s">
        <v>7831</v>
      </c>
      <c r="D2326" t="s">
        <v>40</v>
      </c>
      <c r="E2326" t="s">
        <v>41</v>
      </c>
      <c r="J2326" t="s">
        <v>182</v>
      </c>
      <c r="K2326" t="s">
        <v>183</v>
      </c>
      <c r="L2326">
        <v>11</v>
      </c>
      <c r="M2326" t="s">
        <v>7822</v>
      </c>
      <c r="N2326" t="s">
        <v>64</v>
      </c>
      <c r="O2326" t="s">
        <v>46</v>
      </c>
      <c r="P2326" t="s">
        <v>46</v>
      </c>
      <c r="Y2326" t="s">
        <v>7832</v>
      </c>
    </row>
    <row r="2327" spans="1:25">
      <c r="A2327" t="s">
        <v>7833</v>
      </c>
      <c r="B2327" t="s">
        <v>7834</v>
      </c>
      <c r="D2327" t="s">
        <v>40</v>
      </c>
      <c r="E2327" t="s">
        <v>41</v>
      </c>
      <c r="J2327" t="s">
        <v>42</v>
      </c>
      <c r="K2327" t="s">
        <v>43</v>
      </c>
      <c r="L2327">
        <v>11</v>
      </c>
      <c r="M2327" t="s">
        <v>7835</v>
      </c>
      <c r="N2327" t="s">
        <v>305</v>
      </c>
      <c r="O2327" t="s">
        <v>46</v>
      </c>
      <c r="P2327" t="s">
        <v>46</v>
      </c>
      <c r="Y2327" t="s">
        <v>7836</v>
      </c>
    </row>
    <row r="2328" spans="1:25">
      <c r="A2328" t="s">
        <v>7837</v>
      </c>
      <c r="B2328" t="s">
        <v>7838</v>
      </c>
      <c r="D2328" t="s">
        <v>40</v>
      </c>
      <c r="E2328" t="s">
        <v>41</v>
      </c>
      <c r="J2328" t="s">
        <v>76</v>
      </c>
      <c r="K2328" t="s">
        <v>77</v>
      </c>
      <c r="L2328">
        <v>11</v>
      </c>
      <c r="M2328" t="s">
        <v>7839</v>
      </c>
      <c r="N2328" t="s">
        <v>64</v>
      </c>
      <c r="O2328" t="s">
        <v>46</v>
      </c>
      <c r="P2328" t="s">
        <v>46</v>
      </c>
      <c r="Y2328" t="s">
        <v>7840</v>
      </c>
    </row>
    <row r="2329" spans="1:25">
      <c r="A2329" t="s">
        <v>7841</v>
      </c>
      <c r="B2329" t="s">
        <v>7842</v>
      </c>
      <c r="D2329" t="s">
        <v>40</v>
      </c>
      <c r="E2329" t="s">
        <v>41</v>
      </c>
      <c r="J2329" t="s">
        <v>182</v>
      </c>
      <c r="K2329" t="s">
        <v>183</v>
      </c>
      <c r="L2329">
        <v>11</v>
      </c>
      <c r="M2329" t="s">
        <v>7839</v>
      </c>
      <c r="N2329" t="s">
        <v>64</v>
      </c>
      <c r="O2329" t="s">
        <v>46</v>
      </c>
      <c r="P2329" t="s">
        <v>46</v>
      </c>
      <c r="Y2329" t="s">
        <v>7843</v>
      </c>
    </row>
    <row r="2330" spans="1:25">
      <c r="A2330" t="s">
        <v>7844</v>
      </c>
      <c r="B2330" t="s">
        <v>7845</v>
      </c>
      <c r="D2330" t="s">
        <v>40</v>
      </c>
      <c r="E2330" t="s">
        <v>41</v>
      </c>
      <c r="J2330" t="s">
        <v>182</v>
      </c>
      <c r="K2330" t="s">
        <v>183</v>
      </c>
      <c r="L2330">
        <v>11</v>
      </c>
      <c r="M2330" t="s">
        <v>7839</v>
      </c>
      <c r="N2330" t="s">
        <v>64</v>
      </c>
      <c r="O2330" t="s">
        <v>46</v>
      </c>
      <c r="P2330" t="s">
        <v>46</v>
      </c>
      <c r="Y2330" t="s">
        <v>7846</v>
      </c>
    </row>
    <row r="2331" spans="1:25">
      <c r="A2331" t="s">
        <v>7847</v>
      </c>
      <c r="B2331" t="s">
        <v>7848</v>
      </c>
      <c r="D2331" t="s">
        <v>40</v>
      </c>
      <c r="E2331" t="s">
        <v>41</v>
      </c>
      <c r="J2331" t="s">
        <v>182</v>
      </c>
      <c r="K2331" t="s">
        <v>183</v>
      </c>
      <c r="L2331">
        <v>11</v>
      </c>
      <c r="M2331" t="s">
        <v>7839</v>
      </c>
      <c r="N2331" t="s">
        <v>64</v>
      </c>
      <c r="O2331" t="s">
        <v>46</v>
      </c>
      <c r="P2331" t="s">
        <v>46</v>
      </c>
      <c r="Y2331" t="s">
        <v>7849</v>
      </c>
    </row>
    <row r="2332" spans="1:25">
      <c r="A2332" t="s">
        <v>7850</v>
      </c>
      <c r="B2332" t="s">
        <v>7851</v>
      </c>
      <c r="D2332" t="s">
        <v>40</v>
      </c>
      <c r="E2332" t="s">
        <v>41</v>
      </c>
      <c r="J2332" t="s">
        <v>76</v>
      </c>
      <c r="K2332" t="s">
        <v>77</v>
      </c>
      <c r="L2332">
        <v>11</v>
      </c>
      <c r="M2332" t="s">
        <v>7852</v>
      </c>
      <c r="N2332" t="s">
        <v>64</v>
      </c>
      <c r="O2332" t="s">
        <v>46</v>
      </c>
      <c r="P2332" t="s">
        <v>46</v>
      </c>
      <c r="Y2332" t="s">
        <v>7853</v>
      </c>
    </row>
    <row r="2333" spans="1:25">
      <c r="A2333" t="s">
        <v>7854</v>
      </c>
      <c r="B2333" t="s">
        <v>7855</v>
      </c>
      <c r="D2333" t="s">
        <v>40</v>
      </c>
      <c r="E2333" t="s">
        <v>41</v>
      </c>
      <c r="J2333" t="s">
        <v>68</v>
      </c>
      <c r="K2333" t="s">
        <v>69</v>
      </c>
      <c r="L2333">
        <v>10</v>
      </c>
      <c r="M2333" t="s">
        <v>7856</v>
      </c>
      <c r="N2333" t="s">
        <v>64</v>
      </c>
      <c r="O2333" t="s">
        <v>46</v>
      </c>
      <c r="P2333" t="s">
        <v>46</v>
      </c>
      <c r="Y2333" t="s">
        <v>7857</v>
      </c>
    </row>
    <row r="2334" spans="1:25">
      <c r="A2334" t="s">
        <v>7858</v>
      </c>
      <c r="B2334" t="s">
        <v>7859</v>
      </c>
      <c r="D2334" t="s">
        <v>40</v>
      </c>
      <c r="E2334" t="s">
        <v>41</v>
      </c>
      <c r="J2334" t="s">
        <v>288</v>
      </c>
      <c r="K2334" t="s">
        <v>289</v>
      </c>
      <c r="L2334">
        <v>10</v>
      </c>
      <c r="M2334" t="s">
        <v>7860</v>
      </c>
      <c r="N2334" t="s">
        <v>617</v>
      </c>
      <c r="O2334" t="s">
        <v>46</v>
      </c>
      <c r="P2334" t="s">
        <v>46</v>
      </c>
      <c r="Y2334" t="s">
        <v>7861</v>
      </c>
    </row>
    <row r="2335" spans="1:25">
      <c r="A2335" t="s">
        <v>7862</v>
      </c>
      <c r="B2335" t="s">
        <v>7863</v>
      </c>
      <c r="D2335" t="s">
        <v>40</v>
      </c>
      <c r="E2335" t="s">
        <v>41</v>
      </c>
      <c r="J2335" t="s">
        <v>42</v>
      </c>
      <c r="K2335" t="s">
        <v>43</v>
      </c>
      <c r="L2335">
        <v>15</v>
      </c>
      <c r="M2335" t="s">
        <v>7864</v>
      </c>
      <c r="N2335" t="s">
        <v>1024</v>
      </c>
      <c r="O2335" t="s">
        <v>46</v>
      </c>
      <c r="P2335" t="s">
        <v>46</v>
      </c>
      <c r="Y2335" t="s">
        <v>7865</v>
      </c>
    </row>
    <row r="2336" spans="1:25">
      <c r="A2336" t="s">
        <v>7866</v>
      </c>
      <c r="B2336" t="s">
        <v>7867</v>
      </c>
      <c r="D2336" t="s">
        <v>40</v>
      </c>
      <c r="E2336" t="s">
        <v>41</v>
      </c>
      <c r="J2336" t="s">
        <v>68</v>
      </c>
      <c r="K2336" t="s">
        <v>69</v>
      </c>
      <c r="L2336">
        <v>10</v>
      </c>
      <c r="M2336" t="s">
        <v>7868</v>
      </c>
      <c r="N2336" t="s">
        <v>64</v>
      </c>
      <c r="O2336" t="s">
        <v>46</v>
      </c>
      <c r="P2336" t="s">
        <v>46</v>
      </c>
      <c r="Y2336" t="s">
        <v>7869</v>
      </c>
    </row>
    <row r="2337" spans="1:25">
      <c r="A2337" t="s">
        <v>7870</v>
      </c>
      <c r="B2337" t="s">
        <v>7871</v>
      </c>
      <c r="D2337" t="s">
        <v>40</v>
      </c>
      <c r="E2337" t="s">
        <v>41</v>
      </c>
      <c r="J2337" t="s">
        <v>68</v>
      </c>
      <c r="K2337" t="s">
        <v>69</v>
      </c>
      <c r="L2337">
        <v>10</v>
      </c>
      <c r="M2337" t="s">
        <v>7868</v>
      </c>
      <c r="N2337" t="s">
        <v>64</v>
      </c>
      <c r="O2337" t="s">
        <v>46</v>
      </c>
      <c r="P2337" t="s">
        <v>46</v>
      </c>
      <c r="Y2337" t="s">
        <v>7872</v>
      </c>
    </row>
    <row r="2338" spans="1:25">
      <c r="A2338" t="s">
        <v>7873</v>
      </c>
      <c r="B2338" t="s">
        <v>7874</v>
      </c>
      <c r="D2338" t="s">
        <v>40</v>
      </c>
      <c r="E2338" t="s">
        <v>41</v>
      </c>
      <c r="J2338" t="s">
        <v>182</v>
      </c>
      <c r="K2338" t="s">
        <v>183</v>
      </c>
      <c r="L2338">
        <v>10</v>
      </c>
      <c r="M2338" t="s">
        <v>7868</v>
      </c>
      <c r="N2338" t="s">
        <v>64</v>
      </c>
      <c r="O2338" t="s">
        <v>46</v>
      </c>
      <c r="P2338" t="s">
        <v>46</v>
      </c>
      <c r="Y2338" t="s">
        <v>7875</v>
      </c>
    </row>
    <row r="2339" spans="1:25">
      <c r="A2339" t="s">
        <v>7876</v>
      </c>
      <c r="B2339" t="s">
        <v>7877</v>
      </c>
      <c r="D2339" t="s">
        <v>40</v>
      </c>
      <c r="E2339" t="s">
        <v>41</v>
      </c>
      <c r="J2339" t="s">
        <v>42</v>
      </c>
      <c r="K2339" t="s">
        <v>43</v>
      </c>
      <c r="L2339">
        <v>10</v>
      </c>
      <c r="M2339" t="s">
        <v>7868</v>
      </c>
      <c r="N2339" t="s">
        <v>2154</v>
      </c>
      <c r="O2339" t="s">
        <v>46</v>
      </c>
      <c r="P2339" t="s">
        <v>46</v>
      </c>
      <c r="Y2339" t="s">
        <v>7878</v>
      </c>
    </row>
    <row r="2340" spans="1:25">
      <c r="A2340" t="s">
        <v>7879</v>
      </c>
      <c r="B2340" t="s">
        <v>7880</v>
      </c>
      <c r="D2340" t="s">
        <v>40</v>
      </c>
      <c r="E2340" t="s">
        <v>41</v>
      </c>
      <c r="J2340" t="s">
        <v>182</v>
      </c>
      <c r="K2340" t="s">
        <v>183</v>
      </c>
      <c r="L2340">
        <v>10</v>
      </c>
      <c r="M2340" t="s">
        <v>7868</v>
      </c>
      <c r="N2340" t="s">
        <v>64</v>
      </c>
      <c r="O2340" t="s">
        <v>46</v>
      </c>
      <c r="P2340" t="s">
        <v>46</v>
      </c>
      <c r="Y2340" t="s">
        <v>7881</v>
      </c>
    </row>
    <row r="2341" spans="1:25">
      <c r="A2341" t="s">
        <v>7882</v>
      </c>
      <c r="B2341" t="s">
        <v>7883</v>
      </c>
      <c r="D2341" t="s">
        <v>40</v>
      </c>
      <c r="E2341" t="s">
        <v>41</v>
      </c>
      <c r="J2341" t="s">
        <v>264</v>
      </c>
      <c r="K2341" t="s">
        <v>265</v>
      </c>
      <c r="L2341">
        <v>10</v>
      </c>
      <c r="M2341" t="s">
        <v>7868</v>
      </c>
      <c r="N2341" t="s">
        <v>5995</v>
      </c>
      <c r="O2341" t="s">
        <v>46</v>
      </c>
      <c r="P2341" t="s">
        <v>46</v>
      </c>
      <c r="Y2341" t="s">
        <v>7884</v>
      </c>
    </row>
    <row r="2342" spans="1:25">
      <c r="A2342" t="s">
        <v>7885</v>
      </c>
      <c r="B2342" t="s">
        <v>7886</v>
      </c>
      <c r="D2342" t="s">
        <v>40</v>
      </c>
      <c r="E2342" t="s">
        <v>41</v>
      </c>
      <c r="J2342" t="s">
        <v>68</v>
      </c>
      <c r="K2342" t="s">
        <v>69</v>
      </c>
      <c r="L2342">
        <v>10</v>
      </c>
      <c r="M2342" t="s">
        <v>7887</v>
      </c>
      <c r="N2342" t="s">
        <v>64</v>
      </c>
      <c r="O2342" t="s">
        <v>46</v>
      </c>
      <c r="P2342" t="s">
        <v>46</v>
      </c>
      <c r="Y2342" t="s">
        <v>7888</v>
      </c>
    </row>
    <row r="2343" spans="1:25">
      <c r="A2343" t="s">
        <v>7889</v>
      </c>
      <c r="B2343" t="s">
        <v>7890</v>
      </c>
      <c r="D2343" t="s">
        <v>40</v>
      </c>
      <c r="E2343" t="s">
        <v>41</v>
      </c>
      <c r="J2343" t="s">
        <v>76</v>
      </c>
      <c r="K2343" t="s">
        <v>77</v>
      </c>
      <c r="L2343">
        <v>10</v>
      </c>
      <c r="M2343" t="s">
        <v>7887</v>
      </c>
      <c r="N2343" t="s">
        <v>64</v>
      </c>
      <c r="O2343" t="s">
        <v>46</v>
      </c>
      <c r="P2343" t="s">
        <v>46</v>
      </c>
      <c r="Y2343" t="s">
        <v>7891</v>
      </c>
    </row>
    <row r="2344" spans="1:25">
      <c r="A2344" t="s">
        <v>7892</v>
      </c>
      <c r="B2344" t="s">
        <v>7893</v>
      </c>
      <c r="D2344" t="s">
        <v>40</v>
      </c>
      <c r="E2344" t="s">
        <v>41</v>
      </c>
      <c r="J2344" t="s">
        <v>182</v>
      </c>
      <c r="K2344" t="s">
        <v>183</v>
      </c>
      <c r="L2344">
        <v>10</v>
      </c>
      <c r="M2344" t="s">
        <v>7894</v>
      </c>
      <c r="N2344" t="s">
        <v>64</v>
      </c>
      <c r="O2344" t="s">
        <v>46</v>
      </c>
      <c r="P2344" t="s">
        <v>46</v>
      </c>
      <c r="Y2344" t="s">
        <v>7895</v>
      </c>
    </row>
    <row r="2345" spans="1:25">
      <c r="A2345" t="s">
        <v>7896</v>
      </c>
      <c r="B2345" t="s">
        <v>7897</v>
      </c>
      <c r="D2345" t="s">
        <v>40</v>
      </c>
      <c r="E2345" t="s">
        <v>41</v>
      </c>
      <c r="J2345" t="s">
        <v>182</v>
      </c>
      <c r="K2345" t="s">
        <v>183</v>
      </c>
      <c r="L2345">
        <v>10</v>
      </c>
      <c r="M2345" t="s">
        <v>7894</v>
      </c>
      <c r="N2345" t="s">
        <v>64</v>
      </c>
      <c r="O2345" t="s">
        <v>46</v>
      </c>
      <c r="P2345" t="s">
        <v>46</v>
      </c>
      <c r="Y2345" t="s">
        <v>7898</v>
      </c>
    </row>
    <row r="2346" spans="1:25">
      <c r="A2346" t="s">
        <v>7899</v>
      </c>
      <c r="B2346" t="s">
        <v>7900</v>
      </c>
      <c r="D2346" t="s">
        <v>40</v>
      </c>
      <c r="E2346" t="s">
        <v>41</v>
      </c>
      <c r="J2346" t="s">
        <v>182</v>
      </c>
      <c r="K2346" t="s">
        <v>183</v>
      </c>
      <c r="L2346">
        <v>10</v>
      </c>
      <c r="M2346" t="s">
        <v>7894</v>
      </c>
      <c r="N2346" t="s">
        <v>64</v>
      </c>
      <c r="O2346" t="s">
        <v>46</v>
      </c>
      <c r="P2346" t="s">
        <v>46</v>
      </c>
      <c r="Y2346" t="s">
        <v>7901</v>
      </c>
    </row>
    <row r="2347" spans="1:25">
      <c r="A2347" t="s">
        <v>7902</v>
      </c>
      <c r="B2347" t="s">
        <v>7903</v>
      </c>
      <c r="D2347" t="s">
        <v>40</v>
      </c>
      <c r="E2347" t="s">
        <v>41</v>
      </c>
      <c r="J2347" t="s">
        <v>42</v>
      </c>
      <c r="K2347" t="s">
        <v>43</v>
      </c>
      <c r="L2347">
        <v>10</v>
      </c>
      <c r="M2347" t="s">
        <v>7894</v>
      </c>
      <c r="N2347" t="s">
        <v>291</v>
      </c>
      <c r="O2347" t="s">
        <v>46</v>
      </c>
      <c r="P2347" t="s">
        <v>46</v>
      </c>
      <c r="Y2347" t="s">
        <v>7904</v>
      </c>
    </row>
    <row r="2348" spans="1:25">
      <c r="A2348" t="s">
        <v>7905</v>
      </c>
      <c r="B2348" t="s">
        <v>7906</v>
      </c>
      <c r="D2348" t="s">
        <v>40</v>
      </c>
      <c r="E2348" t="s">
        <v>41</v>
      </c>
      <c r="J2348" t="s">
        <v>182</v>
      </c>
      <c r="K2348" t="s">
        <v>183</v>
      </c>
      <c r="L2348">
        <v>10</v>
      </c>
      <c r="M2348" t="s">
        <v>7894</v>
      </c>
      <c r="N2348" t="s">
        <v>64</v>
      </c>
      <c r="O2348" t="s">
        <v>46</v>
      </c>
      <c r="P2348" t="s">
        <v>46</v>
      </c>
      <c r="Y2348" t="s">
        <v>7907</v>
      </c>
    </row>
    <row r="2349" spans="1:25">
      <c r="A2349" t="s">
        <v>7908</v>
      </c>
      <c r="B2349" t="s">
        <v>7909</v>
      </c>
      <c r="D2349" t="s">
        <v>40</v>
      </c>
      <c r="E2349" t="s">
        <v>41</v>
      </c>
      <c r="J2349" t="s">
        <v>182</v>
      </c>
      <c r="K2349" t="s">
        <v>183</v>
      </c>
      <c r="L2349">
        <v>10</v>
      </c>
      <c r="M2349" t="s">
        <v>7894</v>
      </c>
      <c r="N2349" t="s">
        <v>64</v>
      </c>
      <c r="O2349" t="s">
        <v>46</v>
      </c>
      <c r="P2349" t="s">
        <v>46</v>
      </c>
      <c r="Y2349" t="s">
        <v>7910</v>
      </c>
    </row>
    <row r="2350" spans="1:25">
      <c r="A2350" t="s">
        <v>7911</v>
      </c>
      <c r="B2350" t="s">
        <v>7912</v>
      </c>
      <c r="D2350" t="s">
        <v>40</v>
      </c>
      <c r="E2350" t="s">
        <v>41</v>
      </c>
      <c r="J2350" t="s">
        <v>182</v>
      </c>
      <c r="K2350" t="s">
        <v>183</v>
      </c>
      <c r="L2350">
        <v>10</v>
      </c>
      <c r="M2350" t="s">
        <v>7894</v>
      </c>
      <c r="N2350" t="s">
        <v>64</v>
      </c>
      <c r="O2350" t="s">
        <v>46</v>
      </c>
      <c r="P2350" t="s">
        <v>46</v>
      </c>
      <c r="Y2350" t="s">
        <v>7913</v>
      </c>
    </row>
    <row r="2351" spans="1:25">
      <c r="A2351" t="s">
        <v>7914</v>
      </c>
      <c r="B2351" t="s">
        <v>7915</v>
      </c>
      <c r="D2351" t="s">
        <v>40</v>
      </c>
      <c r="E2351" t="s">
        <v>41</v>
      </c>
      <c r="J2351" t="s">
        <v>68</v>
      </c>
      <c r="K2351" t="s">
        <v>69</v>
      </c>
      <c r="L2351">
        <v>10</v>
      </c>
      <c r="M2351" t="s">
        <v>7916</v>
      </c>
      <c r="N2351" t="s">
        <v>64</v>
      </c>
      <c r="O2351" t="s">
        <v>46</v>
      </c>
      <c r="P2351" t="s">
        <v>46</v>
      </c>
      <c r="Y2351" t="s">
        <v>7917</v>
      </c>
    </row>
    <row r="2352" spans="1:25">
      <c r="A2352" t="s">
        <v>7918</v>
      </c>
      <c r="B2352" t="s">
        <v>7919</v>
      </c>
      <c r="D2352" t="s">
        <v>40</v>
      </c>
      <c r="E2352" t="s">
        <v>41</v>
      </c>
      <c r="J2352" t="s">
        <v>42</v>
      </c>
      <c r="K2352" t="s">
        <v>43</v>
      </c>
      <c r="L2352">
        <v>10</v>
      </c>
      <c r="M2352" t="s">
        <v>7916</v>
      </c>
      <c r="N2352" t="s">
        <v>165</v>
      </c>
      <c r="O2352" t="s">
        <v>46</v>
      </c>
      <c r="P2352" t="s">
        <v>46</v>
      </c>
      <c r="Y2352" t="s">
        <v>7920</v>
      </c>
    </row>
    <row r="2353" spans="1:25">
      <c r="A2353" t="s">
        <v>7921</v>
      </c>
      <c r="B2353" t="s">
        <v>7922</v>
      </c>
      <c r="D2353" t="s">
        <v>40</v>
      </c>
      <c r="E2353" t="s">
        <v>41</v>
      </c>
      <c r="J2353" t="s">
        <v>182</v>
      </c>
      <c r="K2353" t="s">
        <v>183</v>
      </c>
      <c r="L2353">
        <v>6</v>
      </c>
      <c r="M2353" t="s">
        <v>7923</v>
      </c>
      <c r="N2353" t="s">
        <v>64</v>
      </c>
      <c r="O2353" t="s">
        <v>46</v>
      </c>
      <c r="P2353" t="s">
        <v>46</v>
      </c>
      <c r="Y2353" t="s">
        <v>7924</v>
      </c>
    </row>
    <row r="2354" spans="1:25">
      <c r="A2354" t="s">
        <v>7925</v>
      </c>
      <c r="B2354" t="s">
        <v>7926</v>
      </c>
      <c r="D2354" t="s">
        <v>40</v>
      </c>
      <c r="E2354" t="s">
        <v>41</v>
      </c>
      <c r="J2354" t="s">
        <v>182</v>
      </c>
      <c r="K2354" t="s">
        <v>183</v>
      </c>
      <c r="L2354">
        <v>10</v>
      </c>
      <c r="M2354" t="s">
        <v>7923</v>
      </c>
      <c r="N2354" t="s">
        <v>64</v>
      </c>
      <c r="O2354" t="s">
        <v>46</v>
      </c>
      <c r="P2354" t="s">
        <v>46</v>
      </c>
      <c r="Y2354" t="s">
        <v>7927</v>
      </c>
    </row>
    <row r="2355" spans="1:25">
      <c r="A2355" t="s">
        <v>7928</v>
      </c>
      <c r="B2355" t="s">
        <v>7929</v>
      </c>
      <c r="D2355" t="s">
        <v>40</v>
      </c>
      <c r="E2355" t="s">
        <v>41</v>
      </c>
      <c r="J2355" t="s">
        <v>76</v>
      </c>
      <c r="K2355" t="s">
        <v>77</v>
      </c>
      <c r="L2355">
        <v>11</v>
      </c>
      <c r="M2355" t="s">
        <v>7923</v>
      </c>
      <c r="N2355" t="s">
        <v>64</v>
      </c>
      <c r="O2355" t="s">
        <v>46</v>
      </c>
      <c r="P2355" t="s">
        <v>46</v>
      </c>
      <c r="Y2355" t="s">
        <v>7930</v>
      </c>
    </row>
    <row r="2356" spans="1:25">
      <c r="A2356" t="s">
        <v>7931</v>
      </c>
      <c r="B2356" t="s">
        <v>7932</v>
      </c>
      <c r="D2356" t="s">
        <v>40</v>
      </c>
      <c r="E2356" t="s">
        <v>41</v>
      </c>
      <c r="J2356" t="s">
        <v>62</v>
      </c>
      <c r="K2356" t="s">
        <v>63</v>
      </c>
      <c r="L2356">
        <v>11</v>
      </c>
      <c r="M2356" t="s">
        <v>7923</v>
      </c>
      <c r="N2356" t="s">
        <v>64</v>
      </c>
      <c r="O2356" t="s">
        <v>46</v>
      </c>
      <c r="P2356" t="s">
        <v>46</v>
      </c>
      <c r="Y2356" t="s">
        <v>7933</v>
      </c>
    </row>
    <row r="2357" spans="1:25">
      <c r="A2357" t="s">
        <v>7934</v>
      </c>
      <c r="B2357" t="s">
        <v>7935</v>
      </c>
      <c r="D2357" t="s">
        <v>40</v>
      </c>
      <c r="E2357" t="s">
        <v>41</v>
      </c>
      <c r="J2357" t="s">
        <v>139</v>
      </c>
      <c r="K2357" t="s">
        <v>140</v>
      </c>
      <c r="L2357">
        <v>11</v>
      </c>
      <c r="M2357" t="s">
        <v>7923</v>
      </c>
      <c r="N2357" t="s">
        <v>350</v>
      </c>
      <c r="O2357" t="s">
        <v>46</v>
      </c>
      <c r="P2357" t="s">
        <v>46</v>
      </c>
      <c r="Y2357" t="s">
        <v>7936</v>
      </c>
    </row>
    <row r="2358" spans="1:25">
      <c r="A2358" t="s">
        <v>7937</v>
      </c>
      <c r="B2358" t="s">
        <v>7938</v>
      </c>
      <c r="D2358" t="s">
        <v>40</v>
      </c>
      <c r="E2358" t="s">
        <v>41</v>
      </c>
      <c r="J2358" t="s">
        <v>68</v>
      </c>
      <c r="K2358" t="s">
        <v>69</v>
      </c>
      <c r="L2358">
        <v>11</v>
      </c>
      <c r="M2358" t="s">
        <v>7923</v>
      </c>
      <c r="N2358" t="s">
        <v>64</v>
      </c>
      <c r="O2358" t="s">
        <v>46</v>
      </c>
      <c r="P2358" t="s">
        <v>46</v>
      </c>
      <c r="Y2358" t="s">
        <v>7939</v>
      </c>
    </row>
    <row r="2359" spans="1:25">
      <c r="A2359" t="s">
        <v>7940</v>
      </c>
      <c r="B2359" t="s">
        <v>7941</v>
      </c>
      <c r="D2359" t="s">
        <v>40</v>
      </c>
      <c r="E2359" t="s">
        <v>41</v>
      </c>
      <c r="J2359" t="s">
        <v>68</v>
      </c>
      <c r="K2359" t="s">
        <v>69</v>
      </c>
      <c r="L2359">
        <v>11</v>
      </c>
      <c r="M2359" t="s">
        <v>7942</v>
      </c>
      <c r="N2359" t="s">
        <v>64</v>
      </c>
      <c r="O2359" t="s">
        <v>46</v>
      </c>
      <c r="P2359" t="s">
        <v>46</v>
      </c>
      <c r="Y2359" t="s">
        <v>7943</v>
      </c>
    </row>
    <row r="2360" spans="1:25">
      <c r="A2360" t="s">
        <v>7944</v>
      </c>
      <c r="B2360" t="s">
        <v>7945</v>
      </c>
      <c r="D2360" t="s">
        <v>40</v>
      </c>
      <c r="E2360" t="s">
        <v>41</v>
      </c>
      <c r="J2360" t="s">
        <v>76</v>
      </c>
      <c r="K2360" t="s">
        <v>77</v>
      </c>
      <c r="L2360">
        <v>11</v>
      </c>
      <c r="M2360" t="s">
        <v>7942</v>
      </c>
      <c r="N2360" t="s">
        <v>64</v>
      </c>
      <c r="O2360" t="s">
        <v>46</v>
      </c>
      <c r="P2360" t="s">
        <v>46</v>
      </c>
      <c r="Y2360" t="s">
        <v>7946</v>
      </c>
    </row>
    <row r="2361" spans="1:25">
      <c r="A2361" t="s">
        <v>7947</v>
      </c>
      <c r="B2361" t="s">
        <v>7948</v>
      </c>
      <c r="D2361" t="s">
        <v>40</v>
      </c>
      <c r="E2361" t="s">
        <v>41</v>
      </c>
      <c r="J2361" t="s">
        <v>182</v>
      </c>
      <c r="K2361" t="s">
        <v>183</v>
      </c>
      <c r="L2361">
        <v>11</v>
      </c>
      <c r="M2361" t="s">
        <v>7949</v>
      </c>
      <c r="N2361" t="s">
        <v>64</v>
      </c>
      <c r="O2361" t="s">
        <v>46</v>
      </c>
      <c r="P2361" t="s">
        <v>46</v>
      </c>
      <c r="Y2361" t="s">
        <v>7950</v>
      </c>
    </row>
    <row r="2362" spans="1:25">
      <c r="A2362" t="s">
        <v>7951</v>
      </c>
      <c r="B2362" t="s">
        <v>7952</v>
      </c>
      <c r="D2362" t="s">
        <v>40</v>
      </c>
      <c r="E2362" t="s">
        <v>41</v>
      </c>
      <c r="J2362" t="s">
        <v>42</v>
      </c>
      <c r="K2362" t="s">
        <v>43</v>
      </c>
      <c r="L2362">
        <v>11</v>
      </c>
      <c r="M2362" t="s">
        <v>7949</v>
      </c>
      <c r="N2362" t="s">
        <v>2621</v>
      </c>
      <c r="O2362" t="s">
        <v>46</v>
      </c>
      <c r="P2362" t="s">
        <v>46</v>
      </c>
      <c r="Y2362" t="s">
        <v>7953</v>
      </c>
    </row>
    <row r="2363" spans="1:25">
      <c r="A2363" t="s">
        <v>7954</v>
      </c>
      <c r="B2363" t="s">
        <v>7955</v>
      </c>
      <c r="D2363" t="s">
        <v>40</v>
      </c>
      <c r="E2363" t="s">
        <v>41</v>
      </c>
      <c r="J2363" t="s">
        <v>68</v>
      </c>
      <c r="K2363" t="s">
        <v>69</v>
      </c>
      <c r="L2363">
        <v>11</v>
      </c>
      <c r="M2363" t="s">
        <v>7949</v>
      </c>
      <c r="N2363" t="s">
        <v>64</v>
      </c>
      <c r="O2363" t="s">
        <v>46</v>
      </c>
      <c r="P2363" t="s">
        <v>46</v>
      </c>
      <c r="Y2363" t="s">
        <v>7956</v>
      </c>
    </row>
    <row r="2364" spans="1:25">
      <c r="A2364" t="s">
        <v>7957</v>
      </c>
      <c r="B2364" t="s">
        <v>7958</v>
      </c>
      <c r="D2364" t="s">
        <v>40</v>
      </c>
      <c r="E2364" t="s">
        <v>41</v>
      </c>
      <c r="J2364" t="s">
        <v>42</v>
      </c>
      <c r="K2364" t="s">
        <v>43</v>
      </c>
      <c r="L2364">
        <v>11</v>
      </c>
      <c r="M2364" t="s">
        <v>7949</v>
      </c>
      <c r="N2364" t="s">
        <v>296</v>
      </c>
      <c r="O2364" t="s">
        <v>46</v>
      </c>
      <c r="P2364" t="s">
        <v>46</v>
      </c>
      <c r="Y2364" t="s">
        <v>7959</v>
      </c>
    </row>
    <row r="2365" spans="1:25">
      <c r="A2365" t="s">
        <v>7960</v>
      </c>
      <c r="B2365" t="s">
        <v>7961</v>
      </c>
      <c r="D2365" t="s">
        <v>40</v>
      </c>
      <c r="E2365" t="s">
        <v>41</v>
      </c>
      <c r="J2365" t="s">
        <v>68</v>
      </c>
      <c r="K2365" t="s">
        <v>69</v>
      </c>
      <c r="L2365">
        <v>11</v>
      </c>
      <c r="M2365" t="s">
        <v>7962</v>
      </c>
      <c r="N2365" t="s">
        <v>64</v>
      </c>
      <c r="O2365" t="s">
        <v>46</v>
      </c>
      <c r="P2365" t="s">
        <v>46</v>
      </c>
      <c r="Y2365" t="s">
        <v>7963</v>
      </c>
    </row>
    <row r="2366" spans="1:25">
      <c r="A2366" t="s">
        <v>7964</v>
      </c>
      <c r="B2366" t="s">
        <v>7965</v>
      </c>
      <c r="D2366" t="s">
        <v>40</v>
      </c>
      <c r="E2366" t="s">
        <v>41</v>
      </c>
      <c r="J2366" t="s">
        <v>62</v>
      </c>
      <c r="K2366" t="s">
        <v>63</v>
      </c>
      <c r="L2366">
        <v>11</v>
      </c>
      <c r="M2366" t="s">
        <v>7966</v>
      </c>
      <c r="N2366" t="s">
        <v>64</v>
      </c>
      <c r="O2366" t="s">
        <v>46</v>
      </c>
      <c r="P2366" t="s">
        <v>46</v>
      </c>
      <c r="Y2366" t="s">
        <v>7967</v>
      </c>
    </row>
    <row r="2367" spans="1:25">
      <c r="A2367" t="s">
        <v>7968</v>
      </c>
      <c r="B2367" t="s">
        <v>7969</v>
      </c>
      <c r="D2367" t="s">
        <v>40</v>
      </c>
      <c r="E2367" t="s">
        <v>41</v>
      </c>
      <c r="J2367" t="s">
        <v>76</v>
      </c>
      <c r="K2367" t="s">
        <v>77</v>
      </c>
      <c r="L2367">
        <v>11</v>
      </c>
      <c r="M2367" t="s">
        <v>7966</v>
      </c>
      <c r="N2367" t="s">
        <v>64</v>
      </c>
      <c r="O2367" t="s">
        <v>46</v>
      </c>
      <c r="P2367" t="s">
        <v>46</v>
      </c>
      <c r="Y2367" t="s">
        <v>7970</v>
      </c>
    </row>
    <row r="2368" spans="1:25">
      <c r="A2368" t="s">
        <v>7971</v>
      </c>
      <c r="B2368" t="s">
        <v>7972</v>
      </c>
      <c r="D2368" t="s">
        <v>40</v>
      </c>
      <c r="E2368" t="s">
        <v>41</v>
      </c>
      <c r="J2368" t="s">
        <v>62</v>
      </c>
      <c r="K2368" t="s">
        <v>63</v>
      </c>
      <c r="L2368">
        <v>11</v>
      </c>
      <c r="M2368" t="s">
        <v>7973</v>
      </c>
      <c r="N2368" t="s">
        <v>64</v>
      </c>
      <c r="O2368" t="s">
        <v>46</v>
      </c>
      <c r="P2368" t="s">
        <v>46</v>
      </c>
      <c r="Y2368" t="s">
        <v>7974</v>
      </c>
    </row>
    <row r="2369" spans="1:25">
      <c r="A2369" t="s">
        <v>7975</v>
      </c>
      <c r="B2369" t="s">
        <v>7976</v>
      </c>
      <c r="D2369" t="s">
        <v>40</v>
      </c>
      <c r="E2369" t="s">
        <v>41</v>
      </c>
      <c r="J2369" t="s">
        <v>62</v>
      </c>
      <c r="K2369" t="s">
        <v>63</v>
      </c>
      <c r="L2369">
        <v>11</v>
      </c>
      <c r="M2369" t="s">
        <v>7973</v>
      </c>
      <c r="N2369" t="s">
        <v>64</v>
      </c>
      <c r="O2369" t="s">
        <v>46</v>
      </c>
      <c r="P2369" t="s">
        <v>46</v>
      </c>
      <c r="Y2369" t="s">
        <v>7977</v>
      </c>
    </row>
    <row r="2370" spans="1:25">
      <c r="A2370" t="s">
        <v>7978</v>
      </c>
      <c r="B2370" t="s">
        <v>7979</v>
      </c>
      <c r="D2370" t="s">
        <v>40</v>
      </c>
      <c r="E2370" t="s">
        <v>41</v>
      </c>
      <c r="J2370" t="s">
        <v>76</v>
      </c>
      <c r="K2370" t="s">
        <v>77</v>
      </c>
      <c r="L2370">
        <v>11</v>
      </c>
      <c r="M2370" t="s">
        <v>7973</v>
      </c>
      <c r="N2370" t="s">
        <v>64</v>
      </c>
      <c r="O2370" t="s">
        <v>46</v>
      </c>
      <c r="P2370" t="s">
        <v>46</v>
      </c>
      <c r="Y2370" t="s">
        <v>7980</v>
      </c>
    </row>
    <row r="2371" spans="1:25">
      <c r="A2371" t="s">
        <v>7981</v>
      </c>
      <c r="B2371" t="s">
        <v>7982</v>
      </c>
      <c r="D2371" t="s">
        <v>40</v>
      </c>
      <c r="E2371" t="s">
        <v>41</v>
      </c>
      <c r="J2371" t="s">
        <v>76</v>
      </c>
      <c r="K2371" t="s">
        <v>77</v>
      </c>
      <c r="L2371">
        <v>11</v>
      </c>
      <c r="M2371" t="s">
        <v>7973</v>
      </c>
      <c r="N2371" t="s">
        <v>64</v>
      </c>
      <c r="O2371" t="s">
        <v>46</v>
      </c>
      <c r="P2371" t="s">
        <v>46</v>
      </c>
      <c r="Y2371" t="s">
        <v>7983</v>
      </c>
    </row>
    <row r="2372" spans="1:25">
      <c r="A2372" t="s">
        <v>7984</v>
      </c>
      <c r="B2372" t="s">
        <v>7985</v>
      </c>
      <c r="D2372" t="s">
        <v>40</v>
      </c>
      <c r="E2372" t="s">
        <v>41</v>
      </c>
      <c r="J2372" t="s">
        <v>182</v>
      </c>
      <c r="K2372" t="s">
        <v>183</v>
      </c>
      <c r="L2372">
        <v>11</v>
      </c>
      <c r="M2372" t="s">
        <v>7973</v>
      </c>
      <c r="N2372" t="s">
        <v>64</v>
      </c>
      <c r="O2372" t="s">
        <v>46</v>
      </c>
      <c r="P2372" t="s">
        <v>46</v>
      </c>
      <c r="Y2372" t="s">
        <v>7986</v>
      </c>
    </row>
    <row r="2373" spans="1:25">
      <c r="A2373" t="s">
        <v>7987</v>
      </c>
      <c r="B2373" t="s">
        <v>7988</v>
      </c>
      <c r="D2373" t="s">
        <v>40</v>
      </c>
      <c r="E2373" t="s">
        <v>41</v>
      </c>
      <c r="J2373" t="s">
        <v>139</v>
      </c>
      <c r="K2373" t="s">
        <v>140</v>
      </c>
      <c r="L2373">
        <v>10</v>
      </c>
      <c r="M2373" t="s">
        <v>7989</v>
      </c>
      <c r="N2373" t="s">
        <v>142</v>
      </c>
      <c r="O2373" t="s">
        <v>46</v>
      </c>
      <c r="P2373" t="s">
        <v>46</v>
      </c>
      <c r="Y2373" t="s">
        <v>7990</v>
      </c>
    </row>
    <row r="2374" spans="1:25">
      <c r="A2374" t="s">
        <v>7991</v>
      </c>
      <c r="B2374" t="s">
        <v>7992</v>
      </c>
      <c r="D2374" t="s">
        <v>40</v>
      </c>
      <c r="E2374" t="s">
        <v>41</v>
      </c>
      <c r="J2374" t="s">
        <v>62</v>
      </c>
      <c r="K2374" t="s">
        <v>63</v>
      </c>
      <c r="L2374">
        <v>11</v>
      </c>
      <c r="M2374" t="s">
        <v>7989</v>
      </c>
      <c r="N2374" t="s">
        <v>64</v>
      </c>
      <c r="O2374" t="s">
        <v>46</v>
      </c>
      <c r="P2374" t="s">
        <v>46</v>
      </c>
      <c r="Y2374" t="s">
        <v>7993</v>
      </c>
    </row>
    <row r="2375" spans="1:25">
      <c r="A2375" t="s">
        <v>7994</v>
      </c>
      <c r="B2375" t="s">
        <v>7995</v>
      </c>
      <c r="D2375" t="s">
        <v>40</v>
      </c>
      <c r="E2375" t="s">
        <v>41</v>
      </c>
      <c r="J2375" t="s">
        <v>182</v>
      </c>
      <c r="K2375" t="s">
        <v>183</v>
      </c>
      <c r="L2375">
        <v>11</v>
      </c>
      <c r="M2375" t="s">
        <v>7989</v>
      </c>
      <c r="N2375" t="s">
        <v>64</v>
      </c>
      <c r="O2375" t="s">
        <v>46</v>
      </c>
      <c r="P2375" t="s">
        <v>46</v>
      </c>
      <c r="Y2375" t="s">
        <v>7996</v>
      </c>
    </row>
    <row r="2376" spans="1:25">
      <c r="A2376" t="s">
        <v>7997</v>
      </c>
      <c r="B2376" t="s">
        <v>7998</v>
      </c>
      <c r="D2376" t="s">
        <v>40</v>
      </c>
      <c r="E2376" t="s">
        <v>41</v>
      </c>
      <c r="J2376" t="s">
        <v>76</v>
      </c>
      <c r="K2376" t="s">
        <v>77</v>
      </c>
      <c r="L2376">
        <v>11</v>
      </c>
      <c r="M2376" t="s">
        <v>7989</v>
      </c>
      <c r="N2376" t="s">
        <v>64</v>
      </c>
      <c r="O2376" t="s">
        <v>46</v>
      </c>
      <c r="P2376" t="s">
        <v>46</v>
      </c>
      <c r="Y2376" t="s">
        <v>7999</v>
      </c>
    </row>
    <row r="2377" spans="1:25">
      <c r="A2377" t="s">
        <v>8000</v>
      </c>
      <c r="B2377" t="s">
        <v>8001</v>
      </c>
      <c r="D2377" t="s">
        <v>40</v>
      </c>
      <c r="E2377" t="s">
        <v>41</v>
      </c>
      <c r="J2377" t="s">
        <v>182</v>
      </c>
      <c r="K2377" t="s">
        <v>183</v>
      </c>
      <c r="L2377">
        <v>11</v>
      </c>
      <c r="M2377" t="s">
        <v>7989</v>
      </c>
      <c r="N2377" t="s">
        <v>64</v>
      </c>
      <c r="O2377" t="s">
        <v>46</v>
      </c>
      <c r="P2377" t="s">
        <v>46</v>
      </c>
      <c r="Y2377" t="s">
        <v>8002</v>
      </c>
    </row>
    <row r="2378" spans="1:25">
      <c r="A2378" t="s">
        <v>8003</v>
      </c>
      <c r="B2378" t="s">
        <v>8004</v>
      </c>
      <c r="D2378" t="s">
        <v>40</v>
      </c>
      <c r="E2378" t="s">
        <v>41</v>
      </c>
      <c r="J2378" t="s">
        <v>68</v>
      </c>
      <c r="K2378" t="s">
        <v>69</v>
      </c>
      <c r="L2378">
        <v>11</v>
      </c>
      <c r="M2378" t="s">
        <v>7989</v>
      </c>
      <c r="N2378" t="s">
        <v>64</v>
      </c>
      <c r="O2378" t="s">
        <v>46</v>
      </c>
      <c r="P2378" t="s">
        <v>46</v>
      </c>
      <c r="Y2378" t="s">
        <v>8005</v>
      </c>
    </row>
    <row r="2379" spans="1:25">
      <c r="A2379" t="s">
        <v>8006</v>
      </c>
      <c r="B2379" t="s">
        <v>8007</v>
      </c>
      <c r="D2379" t="s">
        <v>40</v>
      </c>
      <c r="E2379" t="s">
        <v>41</v>
      </c>
      <c r="J2379" t="s">
        <v>68</v>
      </c>
      <c r="K2379" t="s">
        <v>69</v>
      </c>
      <c r="L2379">
        <v>11</v>
      </c>
      <c r="M2379" t="s">
        <v>8008</v>
      </c>
      <c r="N2379" t="s">
        <v>64</v>
      </c>
      <c r="O2379" t="s">
        <v>46</v>
      </c>
      <c r="P2379" t="s">
        <v>46</v>
      </c>
      <c r="Y2379" t="s">
        <v>8009</v>
      </c>
    </row>
    <row r="2380" spans="1:25">
      <c r="A2380" t="s">
        <v>8010</v>
      </c>
      <c r="B2380" t="s">
        <v>8011</v>
      </c>
      <c r="D2380" t="s">
        <v>40</v>
      </c>
      <c r="E2380" t="s">
        <v>41</v>
      </c>
      <c r="J2380" t="s">
        <v>62</v>
      </c>
      <c r="K2380" t="s">
        <v>63</v>
      </c>
      <c r="L2380">
        <v>11</v>
      </c>
      <c r="M2380" t="s">
        <v>8008</v>
      </c>
      <c r="N2380" t="s">
        <v>64</v>
      </c>
      <c r="O2380" t="s">
        <v>46</v>
      </c>
      <c r="P2380" t="s">
        <v>46</v>
      </c>
      <c r="Y2380" t="s">
        <v>8012</v>
      </c>
    </row>
    <row r="2381" spans="1:25">
      <c r="A2381" t="s">
        <v>8013</v>
      </c>
      <c r="B2381" t="s">
        <v>8014</v>
      </c>
      <c r="D2381" t="s">
        <v>40</v>
      </c>
      <c r="E2381" t="s">
        <v>41</v>
      </c>
      <c r="J2381" t="s">
        <v>68</v>
      </c>
      <c r="K2381" t="s">
        <v>69</v>
      </c>
      <c r="L2381">
        <v>11</v>
      </c>
      <c r="M2381" t="s">
        <v>8008</v>
      </c>
      <c r="N2381" t="s">
        <v>64</v>
      </c>
      <c r="O2381" t="s">
        <v>46</v>
      </c>
      <c r="P2381" t="s">
        <v>46</v>
      </c>
      <c r="Y2381" t="s">
        <v>8015</v>
      </c>
    </row>
    <row r="2382" spans="1:25">
      <c r="A2382" t="s">
        <v>8016</v>
      </c>
      <c r="B2382" t="s">
        <v>8017</v>
      </c>
      <c r="D2382" t="s">
        <v>40</v>
      </c>
      <c r="E2382" t="s">
        <v>41</v>
      </c>
      <c r="J2382" t="s">
        <v>76</v>
      </c>
      <c r="K2382" t="s">
        <v>77</v>
      </c>
      <c r="L2382">
        <v>10</v>
      </c>
      <c r="M2382" t="s">
        <v>8018</v>
      </c>
      <c r="N2382" t="s">
        <v>64</v>
      </c>
      <c r="O2382" t="s">
        <v>46</v>
      </c>
      <c r="P2382" t="s">
        <v>46</v>
      </c>
      <c r="Y2382" t="s">
        <v>8019</v>
      </c>
    </row>
    <row r="2383" spans="1:25">
      <c r="A2383" t="s">
        <v>8020</v>
      </c>
      <c r="B2383" t="s">
        <v>8021</v>
      </c>
      <c r="D2383" t="s">
        <v>40</v>
      </c>
      <c r="E2383" t="s">
        <v>41</v>
      </c>
      <c r="J2383" t="s">
        <v>76</v>
      </c>
      <c r="K2383" t="s">
        <v>77</v>
      </c>
      <c r="L2383">
        <v>10</v>
      </c>
      <c r="M2383" t="s">
        <v>8018</v>
      </c>
      <c r="N2383" t="s">
        <v>64</v>
      </c>
      <c r="O2383" t="s">
        <v>46</v>
      </c>
      <c r="P2383" t="s">
        <v>46</v>
      </c>
      <c r="Y2383" t="s">
        <v>8022</v>
      </c>
    </row>
    <row r="2384" spans="1:25">
      <c r="A2384" t="s">
        <v>8023</v>
      </c>
      <c r="B2384" t="s">
        <v>8024</v>
      </c>
      <c r="D2384" t="s">
        <v>40</v>
      </c>
      <c r="E2384" t="s">
        <v>41</v>
      </c>
      <c r="J2384" t="s">
        <v>42</v>
      </c>
      <c r="K2384" t="s">
        <v>43</v>
      </c>
      <c r="L2384">
        <v>10</v>
      </c>
      <c r="M2384" t="s">
        <v>8018</v>
      </c>
      <c r="N2384" t="s">
        <v>315</v>
      </c>
      <c r="O2384" t="s">
        <v>46</v>
      </c>
      <c r="P2384" t="s">
        <v>46</v>
      </c>
      <c r="Y2384" t="s">
        <v>8025</v>
      </c>
    </row>
    <row r="2385" spans="1:25">
      <c r="A2385" t="s">
        <v>8026</v>
      </c>
      <c r="B2385" t="s">
        <v>8027</v>
      </c>
      <c r="D2385" t="s">
        <v>40</v>
      </c>
      <c r="E2385" t="s">
        <v>41</v>
      </c>
      <c r="J2385" t="s">
        <v>182</v>
      </c>
      <c r="K2385" t="s">
        <v>183</v>
      </c>
      <c r="L2385">
        <v>10</v>
      </c>
      <c r="M2385" t="s">
        <v>8018</v>
      </c>
      <c r="N2385" t="s">
        <v>64</v>
      </c>
      <c r="O2385" t="s">
        <v>46</v>
      </c>
      <c r="P2385" t="s">
        <v>46</v>
      </c>
      <c r="Y2385" t="s">
        <v>8028</v>
      </c>
    </row>
    <row r="2386" spans="1:25">
      <c r="A2386" t="s">
        <v>8029</v>
      </c>
      <c r="B2386" t="s">
        <v>8030</v>
      </c>
      <c r="D2386" t="s">
        <v>40</v>
      </c>
      <c r="E2386" t="s">
        <v>41</v>
      </c>
      <c r="J2386" t="s">
        <v>76</v>
      </c>
      <c r="K2386" t="s">
        <v>77</v>
      </c>
      <c r="L2386">
        <v>10</v>
      </c>
      <c r="M2386" t="s">
        <v>8018</v>
      </c>
      <c r="N2386" t="s">
        <v>64</v>
      </c>
      <c r="O2386" t="s">
        <v>46</v>
      </c>
      <c r="P2386" t="s">
        <v>46</v>
      </c>
      <c r="Y2386" t="s">
        <v>8031</v>
      </c>
    </row>
    <row r="2387" spans="1:25">
      <c r="A2387" t="s">
        <v>8032</v>
      </c>
      <c r="B2387" t="s">
        <v>8033</v>
      </c>
      <c r="D2387" t="s">
        <v>40</v>
      </c>
      <c r="E2387" t="s">
        <v>41</v>
      </c>
      <c r="J2387" t="s">
        <v>76</v>
      </c>
      <c r="K2387" t="s">
        <v>77</v>
      </c>
      <c r="L2387">
        <v>10</v>
      </c>
      <c r="M2387" t="s">
        <v>8034</v>
      </c>
      <c r="N2387" t="s">
        <v>64</v>
      </c>
      <c r="O2387" t="s">
        <v>46</v>
      </c>
      <c r="P2387" t="s">
        <v>46</v>
      </c>
      <c r="Y2387" t="s">
        <v>8035</v>
      </c>
    </row>
    <row r="2388" spans="1:25">
      <c r="A2388" t="s">
        <v>8036</v>
      </c>
      <c r="B2388" t="s">
        <v>8037</v>
      </c>
      <c r="D2388" t="s">
        <v>40</v>
      </c>
      <c r="E2388" t="s">
        <v>41</v>
      </c>
      <c r="J2388" t="s">
        <v>182</v>
      </c>
      <c r="K2388" t="s">
        <v>183</v>
      </c>
      <c r="L2388">
        <v>10</v>
      </c>
      <c r="M2388" t="s">
        <v>8034</v>
      </c>
      <c r="N2388" t="s">
        <v>64</v>
      </c>
      <c r="O2388" t="s">
        <v>46</v>
      </c>
      <c r="P2388" t="s">
        <v>46</v>
      </c>
      <c r="Y2388" t="s">
        <v>8038</v>
      </c>
    </row>
    <row r="2389" spans="1:25">
      <c r="A2389" t="s">
        <v>8039</v>
      </c>
      <c r="B2389" t="s">
        <v>8040</v>
      </c>
      <c r="D2389" t="s">
        <v>40</v>
      </c>
      <c r="E2389" t="s">
        <v>41</v>
      </c>
      <c r="J2389" t="s">
        <v>248</v>
      </c>
      <c r="K2389" t="s">
        <v>249</v>
      </c>
      <c r="L2389">
        <v>10</v>
      </c>
      <c r="M2389" t="s">
        <v>8034</v>
      </c>
      <c r="N2389" t="s">
        <v>1550</v>
      </c>
      <c r="O2389" t="s">
        <v>46</v>
      </c>
      <c r="P2389" t="s">
        <v>46</v>
      </c>
      <c r="Y2389" t="s">
        <v>8041</v>
      </c>
    </row>
    <row r="2390" spans="1:25">
      <c r="A2390" t="s">
        <v>8042</v>
      </c>
      <c r="B2390" t="s">
        <v>8043</v>
      </c>
      <c r="D2390" t="s">
        <v>40</v>
      </c>
      <c r="E2390" t="s">
        <v>41</v>
      </c>
      <c r="J2390" t="s">
        <v>76</v>
      </c>
      <c r="K2390" t="s">
        <v>77</v>
      </c>
      <c r="L2390">
        <v>10</v>
      </c>
      <c r="M2390" t="s">
        <v>8044</v>
      </c>
      <c r="N2390" t="s">
        <v>64</v>
      </c>
      <c r="O2390" t="s">
        <v>46</v>
      </c>
      <c r="P2390" t="s">
        <v>46</v>
      </c>
      <c r="Y2390" t="s">
        <v>8045</v>
      </c>
    </row>
    <row r="2391" spans="1:25">
      <c r="A2391" t="s">
        <v>8046</v>
      </c>
      <c r="B2391" t="s">
        <v>8047</v>
      </c>
      <c r="D2391" t="s">
        <v>40</v>
      </c>
      <c r="E2391" t="s">
        <v>41</v>
      </c>
      <c r="J2391" t="s">
        <v>182</v>
      </c>
      <c r="K2391" t="s">
        <v>183</v>
      </c>
      <c r="L2391">
        <v>10</v>
      </c>
      <c r="M2391" t="s">
        <v>8044</v>
      </c>
      <c r="N2391" t="s">
        <v>64</v>
      </c>
      <c r="O2391" t="s">
        <v>46</v>
      </c>
      <c r="P2391" t="s">
        <v>46</v>
      </c>
      <c r="Y2391" t="s">
        <v>8048</v>
      </c>
    </row>
    <row r="2392" spans="1:25">
      <c r="A2392" t="s">
        <v>8049</v>
      </c>
      <c r="B2392" t="s">
        <v>8050</v>
      </c>
      <c r="D2392" t="s">
        <v>40</v>
      </c>
      <c r="E2392" t="s">
        <v>41</v>
      </c>
      <c r="J2392" t="s">
        <v>182</v>
      </c>
      <c r="K2392" t="s">
        <v>183</v>
      </c>
      <c r="L2392">
        <v>10</v>
      </c>
      <c r="M2392" t="s">
        <v>8051</v>
      </c>
      <c r="N2392" t="s">
        <v>64</v>
      </c>
      <c r="O2392" t="s">
        <v>46</v>
      </c>
      <c r="P2392" t="s">
        <v>46</v>
      </c>
      <c r="Y2392" t="s">
        <v>8052</v>
      </c>
    </row>
    <row r="2393" spans="1:25">
      <c r="A2393" t="s">
        <v>8053</v>
      </c>
      <c r="B2393" t="s">
        <v>8054</v>
      </c>
      <c r="D2393" t="s">
        <v>40</v>
      </c>
      <c r="E2393" t="s">
        <v>41</v>
      </c>
      <c r="J2393" t="s">
        <v>182</v>
      </c>
      <c r="K2393" t="s">
        <v>183</v>
      </c>
      <c r="L2393">
        <v>10</v>
      </c>
      <c r="M2393" t="s">
        <v>8051</v>
      </c>
      <c r="N2393" t="s">
        <v>64</v>
      </c>
      <c r="O2393" t="s">
        <v>46</v>
      </c>
      <c r="P2393" t="s">
        <v>46</v>
      </c>
      <c r="Y2393" t="s">
        <v>8055</v>
      </c>
    </row>
    <row r="2394" spans="1:25">
      <c r="A2394" t="s">
        <v>8056</v>
      </c>
      <c r="B2394" t="s">
        <v>8057</v>
      </c>
      <c r="D2394" t="s">
        <v>40</v>
      </c>
      <c r="E2394" t="s">
        <v>41</v>
      </c>
      <c r="J2394" t="s">
        <v>182</v>
      </c>
      <c r="K2394" t="s">
        <v>183</v>
      </c>
      <c r="L2394">
        <v>10</v>
      </c>
      <c r="M2394" t="s">
        <v>8051</v>
      </c>
      <c r="N2394" t="s">
        <v>64</v>
      </c>
      <c r="O2394" t="s">
        <v>46</v>
      </c>
      <c r="P2394" t="s">
        <v>46</v>
      </c>
      <c r="Y2394" t="s">
        <v>8058</v>
      </c>
    </row>
    <row r="2395" spans="1:25">
      <c r="A2395" t="s">
        <v>8059</v>
      </c>
      <c r="B2395" t="s">
        <v>8060</v>
      </c>
      <c r="D2395" t="s">
        <v>40</v>
      </c>
      <c r="E2395" t="s">
        <v>41</v>
      </c>
      <c r="J2395" t="s">
        <v>182</v>
      </c>
      <c r="K2395" t="s">
        <v>183</v>
      </c>
      <c r="L2395">
        <v>10</v>
      </c>
      <c r="M2395" t="s">
        <v>8061</v>
      </c>
      <c r="N2395" t="s">
        <v>64</v>
      </c>
      <c r="O2395" t="s">
        <v>46</v>
      </c>
      <c r="P2395" t="s">
        <v>46</v>
      </c>
      <c r="Y2395" t="s">
        <v>8062</v>
      </c>
    </row>
    <row r="2396" spans="1:25">
      <c r="A2396" t="s">
        <v>8063</v>
      </c>
      <c r="B2396" t="s">
        <v>8064</v>
      </c>
      <c r="D2396" t="s">
        <v>40</v>
      </c>
      <c r="E2396" t="s">
        <v>41</v>
      </c>
      <c r="J2396" t="s">
        <v>76</v>
      </c>
      <c r="K2396" t="s">
        <v>77</v>
      </c>
      <c r="L2396">
        <v>10</v>
      </c>
      <c r="M2396" t="s">
        <v>8061</v>
      </c>
      <c r="N2396" t="s">
        <v>64</v>
      </c>
      <c r="O2396" t="s">
        <v>46</v>
      </c>
      <c r="P2396" t="s">
        <v>46</v>
      </c>
      <c r="Y2396" t="s">
        <v>8065</v>
      </c>
    </row>
    <row r="2397" spans="1:25">
      <c r="A2397" t="s">
        <v>8066</v>
      </c>
      <c r="B2397" t="s">
        <v>8067</v>
      </c>
      <c r="D2397" t="s">
        <v>40</v>
      </c>
      <c r="E2397" t="s">
        <v>41</v>
      </c>
      <c r="J2397" t="s">
        <v>42</v>
      </c>
      <c r="K2397" t="s">
        <v>43</v>
      </c>
      <c r="L2397">
        <v>10</v>
      </c>
      <c r="M2397" t="s">
        <v>8068</v>
      </c>
      <c r="N2397" t="s">
        <v>1276</v>
      </c>
      <c r="O2397" t="s">
        <v>46</v>
      </c>
      <c r="P2397" t="s">
        <v>46</v>
      </c>
      <c r="Y2397" t="s">
        <v>8069</v>
      </c>
    </row>
    <row r="2398" spans="1:25">
      <c r="A2398" t="s">
        <v>8070</v>
      </c>
      <c r="B2398" t="s">
        <v>8071</v>
      </c>
      <c r="D2398" t="s">
        <v>40</v>
      </c>
      <c r="E2398" t="s">
        <v>41</v>
      </c>
      <c r="J2398" t="s">
        <v>182</v>
      </c>
      <c r="K2398" t="s">
        <v>183</v>
      </c>
      <c r="L2398">
        <v>10</v>
      </c>
      <c r="M2398" t="s">
        <v>8068</v>
      </c>
      <c r="N2398" t="s">
        <v>64</v>
      </c>
      <c r="O2398" t="s">
        <v>46</v>
      </c>
      <c r="P2398" t="s">
        <v>46</v>
      </c>
      <c r="Y2398" t="s">
        <v>8072</v>
      </c>
    </row>
    <row r="2399" spans="1:25">
      <c r="A2399" t="s">
        <v>8073</v>
      </c>
      <c r="B2399" t="s">
        <v>8074</v>
      </c>
      <c r="D2399" t="s">
        <v>40</v>
      </c>
      <c r="E2399" t="s">
        <v>41</v>
      </c>
      <c r="J2399" t="s">
        <v>182</v>
      </c>
      <c r="K2399" t="s">
        <v>183</v>
      </c>
      <c r="L2399">
        <v>10</v>
      </c>
      <c r="M2399" t="s">
        <v>8068</v>
      </c>
      <c r="N2399" t="s">
        <v>64</v>
      </c>
      <c r="O2399" t="s">
        <v>46</v>
      </c>
      <c r="P2399" t="s">
        <v>46</v>
      </c>
      <c r="Y2399" t="s">
        <v>8075</v>
      </c>
    </row>
    <row r="2400" spans="1:25">
      <c r="A2400" t="s">
        <v>8076</v>
      </c>
      <c r="B2400" t="s">
        <v>8077</v>
      </c>
      <c r="D2400" t="s">
        <v>40</v>
      </c>
      <c r="E2400" t="s">
        <v>41</v>
      </c>
      <c r="J2400" t="s">
        <v>76</v>
      </c>
      <c r="K2400" t="s">
        <v>77</v>
      </c>
      <c r="L2400">
        <v>10</v>
      </c>
      <c r="M2400" t="s">
        <v>8068</v>
      </c>
      <c r="N2400" t="s">
        <v>64</v>
      </c>
      <c r="O2400" t="s">
        <v>46</v>
      </c>
      <c r="P2400" t="s">
        <v>46</v>
      </c>
      <c r="Y2400" t="s">
        <v>8078</v>
      </c>
    </row>
    <row r="2401" spans="1:25">
      <c r="A2401" t="s">
        <v>8079</v>
      </c>
      <c r="B2401" t="s">
        <v>8080</v>
      </c>
      <c r="D2401" t="s">
        <v>40</v>
      </c>
      <c r="E2401" t="s">
        <v>41</v>
      </c>
      <c r="J2401" t="s">
        <v>182</v>
      </c>
      <c r="K2401" t="s">
        <v>183</v>
      </c>
      <c r="L2401">
        <v>10</v>
      </c>
      <c r="M2401" t="s">
        <v>8081</v>
      </c>
      <c r="N2401" t="s">
        <v>64</v>
      </c>
      <c r="O2401" t="s">
        <v>46</v>
      </c>
      <c r="P2401" t="s">
        <v>46</v>
      </c>
      <c r="Y2401" t="s">
        <v>8082</v>
      </c>
    </row>
    <row r="2402" spans="1:25">
      <c r="A2402" t="s">
        <v>8083</v>
      </c>
      <c r="B2402" t="s">
        <v>8084</v>
      </c>
      <c r="D2402" t="s">
        <v>40</v>
      </c>
      <c r="E2402" t="s">
        <v>41</v>
      </c>
      <c r="J2402" t="s">
        <v>68</v>
      </c>
      <c r="K2402" t="s">
        <v>69</v>
      </c>
      <c r="L2402">
        <v>10</v>
      </c>
      <c r="M2402" t="s">
        <v>8081</v>
      </c>
      <c r="N2402" t="s">
        <v>64</v>
      </c>
      <c r="O2402" t="s">
        <v>46</v>
      </c>
      <c r="P2402" t="s">
        <v>46</v>
      </c>
      <c r="Y2402" t="s">
        <v>8085</v>
      </c>
    </row>
    <row r="2403" spans="1:25">
      <c r="A2403" t="s">
        <v>8086</v>
      </c>
      <c r="B2403" t="s">
        <v>8087</v>
      </c>
      <c r="D2403" t="s">
        <v>40</v>
      </c>
      <c r="E2403" t="s">
        <v>41</v>
      </c>
      <c r="J2403" t="s">
        <v>76</v>
      </c>
      <c r="K2403" t="s">
        <v>77</v>
      </c>
      <c r="L2403">
        <v>10</v>
      </c>
      <c r="M2403" t="s">
        <v>8081</v>
      </c>
      <c r="N2403" t="s">
        <v>64</v>
      </c>
      <c r="O2403" t="s">
        <v>46</v>
      </c>
      <c r="P2403" t="s">
        <v>46</v>
      </c>
      <c r="Y2403" t="s">
        <v>8088</v>
      </c>
    </row>
    <row r="2404" spans="1:25">
      <c r="A2404" t="s">
        <v>8089</v>
      </c>
      <c r="B2404" t="s">
        <v>8090</v>
      </c>
      <c r="D2404" t="s">
        <v>40</v>
      </c>
      <c r="E2404" t="s">
        <v>41</v>
      </c>
      <c r="J2404" t="s">
        <v>76</v>
      </c>
      <c r="K2404" t="s">
        <v>77</v>
      </c>
      <c r="L2404">
        <v>10</v>
      </c>
      <c r="M2404" t="s">
        <v>8081</v>
      </c>
      <c r="N2404" t="s">
        <v>64</v>
      </c>
      <c r="O2404" t="s">
        <v>46</v>
      </c>
      <c r="P2404" t="s">
        <v>46</v>
      </c>
      <c r="Y2404" t="s">
        <v>8091</v>
      </c>
    </row>
    <row r="2405" spans="1:25">
      <c r="A2405" t="s">
        <v>8092</v>
      </c>
      <c r="B2405" t="s">
        <v>8093</v>
      </c>
      <c r="D2405" t="s">
        <v>40</v>
      </c>
      <c r="E2405" t="s">
        <v>41</v>
      </c>
      <c r="J2405" t="s">
        <v>42</v>
      </c>
      <c r="K2405" t="s">
        <v>43</v>
      </c>
      <c r="L2405">
        <v>10</v>
      </c>
      <c r="M2405" t="s">
        <v>8094</v>
      </c>
      <c r="N2405" t="s">
        <v>218</v>
      </c>
      <c r="O2405" t="s">
        <v>46</v>
      </c>
      <c r="P2405" t="s">
        <v>46</v>
      </c>
      <c r="Y2405" t="s">
        <v>8095</v>
      </c>
    </row>
    <row r="2406" spans="1:25">
      <c r="A2406" t="s">
        <v>8096</v>
      </c>
      <c r="B2406" t="s">
        <v>8097</v>
      </c>
      <c r="D2406" t="s">
        <v>40</v>
      </c>
      <c r="E2406" t="s">
        <v>41</v>
      </c>
      <c r="J2406" t="s">
        <v>182</v>
      </c>
      <c r="K2406" t="s">
        <v>183</v>
      </c>
      <c r="L2406">
        <v>10</v>
      </c>
      <c r="M2406" t="s">
        <v>8094</v>
      </c>
      <c r="N2406" t="s">
        <v>64</v>
      </c>
      <c r="O2406" t="s">
        <v>46</v>
      </c>
      <c r="P2406" t="s">
        <v>46</v>
      </c>
      <c r="Y2406" t="s">
        <v>8098</v>
      </c>
    </row>
    <row r="2407" spans="1:25">
      <c r="A2407" t="s">
        <v>8099</v>
      </c>
      <c r="B2407" t="s">
        <v>8100</v>
      </c>
      <c r="D2407" t="s">
        <v>40</v>
      </c>
      <c r="E2407" t="s">
        <v>41</v>
      </c>
      <c r="J2407" t="s">
        <v>76</v>
      </c>
      <c r="K2407" t="s">
        <v>77</v>
      </c>
      <c r="L2407">
        <v>10</v>
      </c>
      <c r="M2407" t="s">
        <v>8094</v>
      </c>
      <c r="N2407" t="s">
        <v>64</v>
      </c>
      <c r="O2407" t="s">
        <v>46</v>
      </c>
      <c r="P2407" t="s">
        <v>46</v>
      </c>
      <c r="Y2407" t="s">
        <v>8101</v>
      </c>
    </row>
    <row r="2408" spans="1:25">
      <c r="A2408" t="s">
        <v>8102</v>
      </c>
      <c r="B2408" t="s">
        <v>8103</v>
      </c>
      <c r="D2408" t="s">
        <v>40</v>
      </c>
      <c r="E2408" t="s">
        <v>41</v>
      </c>
      <c r="J2408" t="s">
        <v>182</v>
      </c>
      <c r="K2408" t="s">
        <v>183</v>
      </c>
      <c r="L2408">
        <v>10</v>
      </c>
      <c r="M2408" t="s">
        <v>8104</v>
      </c>
      <c r="N2408" t="s">
        <v>64</v>
      </c>
      <c r="O2408" t="s">
        <v>46</v>
      </c>
      <c r="P2408" t="s">
        <v>46</v>
      </c>
      <c r="Y2408" t="s">
        <v>8105</v>
      </c>
    </row>
    <row r="2409" spans="1:25">
      <c r="A2409" t="s">
        <v>8106</v>
      </c>
      <c r="B2409" t="s">
        <v>8107</v>
      </c>
      <c r="D2409" t="s">
        <v>40</v>
      </c>
      <c r="E2409" t="s">
        <v>41</v>
      </c>
      <c r="J2409" t="s">
        <v>68</v>
      </c>
      <c r="K2409" t="s">
        <v>69</v>
      </c>
      <c r="L2409">
        <v>10</v>
      </c>
      <c r="M2409" t="s">
        <v>8104</v>
      </c>
      <c r="N2409" t="s">
        <v>64</v>
      </c>
      <c r="O2409" t="s">
        <v>46</v>
      </c>
      <c r="P2409" t="s">
        <v>46</v>
      </c>
      <c r="Y2409" t="s">
        <v>8108</v>
      </c>
    </row>
    <row r="2410" spans="1:25">
      <c r="A2410" t="s">
        <v>8109</v>
      </c>
      <c r="B2410" t="s">
        <v>8110</v>
      </c>
      <c r="D2410" t="s">
        <v>40</v>
      </c>
      <c r="E2410" t="s">
        <v>41</v>
      </c>
      <c r="J2410" t="s">
        <v>182</v>
      </c>
      <c r="K2410" t="s">
        <v>183</v>
      </c>
      <c r="L2410">
        <v>10</v>
      </c>
      <c r="M2410" t="s">
        <v>8111</v>
      </c>
      <c r="N2410" t="s">
        <v>64</v>
      </c>
      <c r="O2410" t="s">
        <v>46</v>
      </c>
      <c r="P2410" t="s">
        <v>46</v>
      </c>
      <c r="Y2410" t="s">
        <v>8112</v>
      </c>
    </row>
    <row r="2411" spans="1:25">
      <c r="A2411" t="s">
        <v>8113</v>
      </c>
      <c r="B2411" t="s">
        <v>8114</v>
      </c>
      <c r="D2411" t="s">
        <v>40</v>
      </c>
      <c r="E2411" t="s">
        <v>41</v>
      </c>
      <c r="J2411" t="s">
        <v>42</v>
      </c>
      <c r="K2411" t="s">
        <v>43</v>
      </c>
      <c r="L2411">
        <v>10</v>
      </c>
      <c r="M2411" t="s">
        <v>8111</v>
      </c>
      <c r="N2411" t="s">
        <v>617</v>
      </c>
      <c r="O2411" t="s">
        <v>46</v>
      </c>
      <c r="P2411" t="s">
        <v>46</v>
      </c>
      <c r="Y2411" t="s">
        <v>8115</v>
      </c>
    </row>
    <row r="2412" spans="1:25">
      <c r="A2412" t="s">
        <v>8116</v>
      </c>
      <c r="B2412" t="s">
        <v>8117</v>
      </c>
      <c r="D2412" t="s">
        <v>40</v>
      </c>
      <c r="E2412" t="s">
        <v>41</v>
      </c>
      <c r="J2412" t="s">
        <v>182</v>
      </c>
      <c r="K2412" t="s">
        <v>183</v>
      </c>
      <c r="L2412">
        <v>10</v>
      </c>
      <c r="M2412" t="s">
        <v>8111</v>
      </c>
      <c r="N2412" t="s">
        <v>64</v>
      </c>
      <c r="O2412" t="s">
        <v>46</v>
      </c>
      <c r="P2412" t="s">
        <v>46</v>
      </c>
      <c r="Y2412" t="s">
        <v>8118</v>
      </c>
    </row>
    <row r="2413" spans="1:25">
      <c r="A2413" t="s">
        <v>8119</v>
      </c>
      <c r="B2413" t="s">
        <v>8120</v>
      </c>
      <c r="D2413" t="s">
        <v>40</v>
      </c>
      <c r="E2413" t="s">
        <v>41</v>
      </c>
      <c r="J2413" t="s">
        <v>182</v>
      </c>
      <c r="K2413" t="s">
        <v>183</v>
      </c>
      <c r="L2413">
        <v>10</v>
      </c>
      <c r="M2413" t="s">
        <v>8111</v>
      </c>
      <c r="N2413" t="s">
        <v>64</v>
      </c>
      <c r="O2413" t="s">
        <v>46</v>
      </c>
      <c r="P2413" t="s">
        <v>46</v>
      </c>
      <c r="Y2413" t="s">
        <v>8121</v>
      </c>
    </row>
    <row r="2414" spans="1:25">
      <c r="A2414" t="s">
        <v>8122</v>
      </c>
      <c r="B2414" t="s">
        <v>8123</v>
      </c>
      <c r="D2414" t="s">
        <v>40</v>
      </c>
      <c r="E2414" t="s">
        <v>41</v>
      </c>
      <c r="J2414" t="s">
        <v>50</v>
      </c>
      <c r="K2414" t="s">
        <v>51</v>
      </c>
      <c r="L2414">
        <v>10</v>
      </c>
      <c r="M2414" t="s">
        <v>8124</v>
      </c>
      <c r="N2414" t="s">
        <v>291</v>
      </c>
      <c r="O2414" t="s">
        <v>46</v>
      </c>
      <c r="P2414" t="s">
        <v>46</v>
      </c>
      <c r="Y2414" t="s">
        <v>8125</v>
      </c>
    </row>
    <row r="2415" spans="1:25">
      <c r="A2415" t="s">
        <v>8126</v>
      </c>
      <c r="B2415" t="s">
        <v>8127</v>
      </c>
      <c r="D2415" t="s">
        <v>40</v>
      </c>
      <c r="E2415" t="s">
        <v>41</v>
      </c>
      <c r="J2415" t="s">
        <v>182</v>
      </c>
      <c r="K2415" t="s">
        <v>183</v>
      </c>
      <c r="L2415">
        <v>10</v>
      </c>
      <c r="M2415" t="s">
        <v>8128</v>
      </c>
      <c r="N2415" t="s">
        <v>64</v>
      </c>
      <c r="O2415" t="s">
        <v>46</v>
      </c>
      <c r="P2415" t="s">
        <v>46</v>
      </c>
      <c r="Y2415" t="s">
        <v>8129</v>
      </c>
    </row>
    <row r="2416" spans="1:25">
      <c r="A2416" t="s">
        <v>8130</v>
      </c>
      <c r="B2416" t="s">
        <v>8131</v>
      </c>
      <c r="D2416" t="s">
        <v>40</v>
      </c>
      <c r="E2416" t="s">
        <v>41</v>
      </c>
      <c r="J2416" t="s">
        <v>42</v>
      </c>
      <c r="K2416" t="s">
        <v>43</v>
      </c>
      <c r="L2416">
        <v>10</v>
      </c>
      <c r="M2416" t="s">
        <v>8132</v>
      </c>
      <c r="N2416" t="s">
        <v>741</v>
      </c>
      <c r="O2416" t="s">
        <v>46</v>
      </c>
      <c r="P2416" t="s">
        <v>46</v>
      </c>
      <c r="Y2416" t="s">
        <v>8133</v>
      </c>
    </row>
    <row r="2417" spans="1:25">
      <c r="A2417" t="s">
        <v>8134</v>
      </c>
      <c r="B2417" t="s">
        <v>8135</v>
      </c>
      <c r="D2417" t="s">
        <v>40</v>
      </c>
      <c r="E2417" t="s">
        <v>41</v>
      </c>
      <c r="J2417" t="s">
        <v>76</v>
      </c>
      <c r="K2417" t="s">
        <v>77</v>
      </c>
      <c r="L2417">
        <v>10</v>
      </c>
      <c r="M2417" t="s">
        <v>8132</v>
      </c>
      <c r="N2417" t="s">
        <v>64</v>
      </c>
      <c r="O2417" t="s">
        <v>46</v>
      </c>
      <c r="P2417" t="s">
        <v>46</v>
      </c>
      <c r="Y2417" t="s">
        <v>8136</v>
      </c>
    </row>
    <row r="2418" spans="1:25">
      <c r="A2418" t="s">
        <v>8137</v>
      </c>
      <c r="B2418" t="s">
        <v>8138</v>
      </c>
      <c r="D2418" t="s">
        <v>40</v>
      </c>
      <c r="E2418" t="s">
        <v>41</v>
      </c>
      <c r="J2418" t="s">
        <v>42</v>
      </c>
      <c r="K2418" t="s">
        <v>43</v>
      </c>
      <c r="L2418">
        <v>10</v>
      </c>
      <c r="M2418" t="s">
        <v>8132</v>
      </c>
      <c r="N2418" t="s">
        <v>53</v>
      </c>
      <c r="O2418" t="s">
        <v>46</v>
      </c>
      <c r="P2418" t="s">
        <v>46</v>
      </c>
      <c r="Y2418" t="s">
        <v>8139</v>
      </c>
    </row>
    <row r="2419" spans="1:25">
      <c r="A2419" t="s">
        <v>8140</v>
      </c>
      <c r="B2419" t="s">
        <v>8141</v>
      </c>
      <c r="D2419" t="s">
        <v>40</v>
      </c>
      <c r="E2419" t="s">
        <v>41</v>
      </c>
      <c r="J2419" t="s">
        <v>76</v>
      </c>
      <c r="K2419" t="s">
        <v>77</v>
      </c>
      <c r="L2419">
        <v>10</v>
      </c>
      <c r="M2419" t="s">
        <v>8132</v>
      </c>
      <c r="N2419" t="s">
        <v>64</v>
      </c>
      <c r="O2419" t="s">
        <v>46</v>
      </c>
      <c r="P2419" t="s">
        <v>46</v>
      </c>
      <c r="Y2419" t="s">
        <v>8142</v>
      </c>
    </row>
    <row r="2420" spans="1:25">
      <c r="A2420" t="s">
        <v>8143</v>
      </c>
      <c r="B2420" t="s">
        <v>8144</v>
      </c>
      <c r="D2420" t="s">
        <v>40</v>
      </c>
      <c r="E2420" t="s">
        <v>41</v>
      </c>
      <c r="J2420" t="s">
        <v>42</v>
      </c>
      <c r="K2420" t="s">
        <v>43</v>
      </c>
      <c r="L2420">
        <v>10</v>
      </c>
      <c r="M2420" t="s">
        <v>8145</v>
      </c>
      <c r="N2420" t="s">
        <v>296</v>
      </c>
      <c r="O2420" t="s">
        <v>46</v>
      </c>
      <c r="P2420" t="s">
        <v>46</v>
      </c>
      <c r="Y2420" t="s">
        <v>8146</v>
      </c>
    </row>
    <row r="2421" spans="1:25">
      <c r="A2421" t="s">
        <v>8147</v>
      </c>
      <c r="B2421" t="s">
        <v>8148</v>
      </c>
      <c r="D2421" t="s">
        <v>40</v>
      </c>
      <c r="E2421" t="s">
        <v>41</v>
      </c>
      <c r="J2421" t="s">
        <v>68</v>
      </c>
      <c r="K2421" t="s">
        <v>69</v>
      </c>
      <c r="L2421">
        <v>10</v>
      </c>
      <c r="M2421" t="s">
        <v>8145</v>
      </c>
      <c r="N2421" t="s">
        <v>64</v>
      </c>
      <c r="O2421" t="s">
        <v>46</v>
      </c>
      <c r="P2421" t="s">
        <v>46</v>
      </c>
      <c r="Y2421" t="s">
        <v>8149</v>
      </c>
    </row>
    <row r="2422" spans="1:25">
      <c r="A2422" t="s">
        <v>8150</v>
      </c>
      <c r="B2422" t="s">
        <v>8151</v>
      </c>
      <c r="D2422" t="s">
        <v>40</v>
      </c>
      <c r="E2422" t="s">
        <v>41</v>
      </c>
      <c r="J2422" t="s">
        <v>182</v>
      </c>
      <c r="K2422" t="s">
        <v>183</v>
      </c>
      <c r="L2422">
        <v>10</v>
      </c>
      <c r="M2422" t="s">
        <v>8145</v>
      </c>
      <c r="N2422" t="s">
        <v>64</v>
      </c>
      <c r="O2422" t="s">
        <v>46</v>
      </c>
      <c r="P2422" t="s">
        <v>46</v>
      </c>
      <c r="Y2422" t="s">
        <v>8152</v>
      </c>
    </row>
    <row r="2423" spans="1:25">
      <c r="A2423" t="s">
        <v>8153</v>
      </c>
      <c r="B2423" t="s">
        <v>8154</v>
      </c>
      <c r="D2423" t="s">
        <v>40</v>
      </c>
      <c r="E2423" t="s">
        <v>41</v>
      </c>
      <c r="J2423" t="s">
        <v>182</v>
      </c>
      <c r="K2423" t="s">
        <v>183</v>
      </c>
      <c r="L2423">
        <v>10</v>
      </c>
      <c r="M2423" t="s">
        <v>8145</v>
      </c>
      <c r="N2423" t="s">
        <v>64</v>
      </c>
      <c r="O2423" t="s">
        <v>46</v>
      </c>
      <c r="P2423" t="s">
        <v>46</v>
      </c>
      <c r="Y2423" t="s">
        <v>8155</v>
      </c>
    </row>
    <row r="2424" spans="1:25">
      <c r="A2424" t="s">
        <v>8156</v>
      </c>
      <c r="B2424" t="s">
        <v>8157</v>
      </c>
      <c r="D2424" t="s">
        <v>40</v>
      </c>
      <c r="E2424" t="s">
        <v>41</v>
      </c>
      <c r="J2424" t="s">
        <v>76</v>
      </c>
      <c r="K2424" t="s">
        <v>77</v>
      </c>
      <c r="L2424">
        <v>10</v>
      </c>
      <c r="M2424" t="s">
        <v>8158</v>
      </c>
      <c r="N2424" t="s">
        <v>64</v>
      </c>
      <c r="O2424" t="s">
        <v>46</v>
      </c>
      <c r="P2424" t="s">
        <v>46</v>
      </c>
      <c r="Y2424" t="s">
        <v>8159</v>
      </c>
    </row>
    <row r="2425" spans="1:25">
      <c r="A2425" t="s">
        <v>8160</v>
      </c>
      <c r="B2425" t="s">
        <v>8161</v>
      </c>
      <c r="D2425" t="s">
        <v>40</v>
      </c>
      <c r="E2425" t="s">
        <v>41</v>
      </c>
      <c r="J2425" t="s">
        <v>182</v>
      </c>
      <c r="K2425" t="s">
        <v>183</v>
      </c>
      <c r="L2425">
        <v>10</v>
      </c>
      <c r="M2425" t="s">
        <v>8162</v>
      </c>
      <c r="N2425" t="s">
        <v>64</v>
      </c>
      <c r="O2425" t="s">
        <v>46</v>
      </c>
      <c r="P2425" t="s">
        <v>46</v>
      </c>
      <c r="Y2425" t="s">
        <v>8163</v>
      </c>
    </row>
    <row r="2426" spans="1:25">
      <c r="A2426" t="s">
        <v>8164</v>
      </c>
      <c r="B2426" t="s">
        <v>8165</v>
      </c>
      <c r="D2426" t="s">
        <v>40</v>
      </c>
      <c r="E2426" t="s">
        <v>41</v>
      </c>
      <c r="J2426" t="s">
        <v>182</v>
      </c>
      <c r="K2426" t="s">
        <v>183</v>
      </c>
      <c r="L2426">
        <v>10</v>
      </c>
      <c r="M2426" t="s">
        <v>8162</v>
      </c>
      <c r="N2426" t="s">
        <v>64</v>
      </c>
      <c r="O2426" t="s">
        <v>46</v>
      </c>
      <c r="P2426" t="s">
        <v>46</v>
      </c>
      <c r="Y2426" t="s">
        <v>8166</v>
      </c>
    </row>
    <row r="2427" spans="1:25">
      <c r="A2427" t="s">
        <v>8167</v>
      </c>
      <c r="B2427" t="s">
        <v>8168</v>
      </c>
      <c r="D2427" t="s">
        <v>40</v>
      </c>
      <c r="E2427" t="s">
        <v>41</v>
      </c>
      <c r="J2427" t="s">
        <v>182</v>
      </c>
      <c r="K2427" t="s">
        <v>183</v>
      </c>
      <c r="L2427">
        <v>10</v>
      </c>
      <c r="M2427" t="s">
        <v>8162</v>
      </c>
      <c r="N2427" t="s">
        <v>64</v>
      </c>
      <c r="O2427" t="s">
        <v>46</v>
      </c>
      <c r="P2427" t="s">
        <v>46</v>
      </c>
      <c r="Y2427" t="s">
        <v>8169</v>
      </c>
    </row>
    <row r="2428" spans="1:25">
      <c r="A2428" t="s">
        <v>8170</v>
      </c>
      <c r="B2428" t="s">
        <v>8171</v>
      </c>
      <c r="D2428" t="s">
        <v>40</v>
      </c>
      <c r="E2428" t="s">
        <v>41</v>
      </c>
      <c r="J2428" t="s">
        <v>182</v>
      </c>
      <c r="K2428" t="s">
        <v>183</v>
      </c>
      <c r="L2428">
        <v>10</v>
      </c>
      <c r="M2428" t="s">
        <v>8162</v>
      </c>
      <c r="N2428" t="s">
        <v>64</v>
      </c>
      <c r="O2428" t="s">
        <v>46</v>
      </c>
      <c r="P2428" t="s">
        <v>46</v>
      </c>
      <c r="Y2428" t="s">
        <v>8172</v>
      </c>
    </row>
    <row r="2429" spans="1:25">
      <c r="A2429" t="s">
        <v>8173</v>
      </c>
      <c r="B2429" t="s">
        <v>8174</v>
      </c>
      <c r="D2429" t="s">
        <v>40</v>
      </c>
      <c r="E2429" t="s">
        <v>41</v>
      </c>
      <c r="J2429" t="s">
        <v>182</v>
      </c>
      <c r="K2429" t="s">
        <v>183</v>
      </c>
      <c r="L2429">
        <v>10</v>
      </c>
      <c r="M2429" t="s">
        <v>8162</v>
      </c>
      <c r="N2429" t="s">
        <v>64</v>
      </c>
      <c r="O2429" t="s">
        <v>46</v>
      </c>
      <c r="P2429" t="s">
        <v>46</v>
      </c>
      <c r="Y2429" t="s">
        <v>8175</v>
      </c>
    </row>
    <row r="2430" spans="1:25">
      <c r="A2430" t="s">
        <v>8176</v>
      </c>
      <c r="B2430" t="s">
        <v>8177</v>
      </c>
      <c r="D2430" t="s">
        <v>40</v>
      </c>
      <c r="E2430" t="s">
        <v>41</v>
      </c>
      <c r="J2430" t="s">
        <v>42</v>
      </c>
      <c r="K2430" t="s">
        <v>43</v>
      </c>
      <c r="L2430">
        <v>10</v>
      </c>
      <c r="M2430" t="s">
        <v>8162</v>
      </c>
      <c r="N2430" t="s">
        <v>45</v>
      </c>
      <c r="O2430" t="s">
        <v>46</v>
      </c>
      <c r="P2430" t="s">
        <v>46</v>
      </c>
      <c r="Y2430" t="s">
        <v>8178</v>
      </c>
    </row>
    <row r="2431" spans="1:25">
      <c r="A2431" t="s">
        <v>8179</v>
      </c>
      <c r="B2431" t="s">
        <v>8180</v>
      </c>
      <c r="D2431" t="s">
        <v>40</v>
      </c>
      <c r="E2431" t="s">
        <v>41</v>
      </c>
      <c r="J2431" t="s">
        <v>182</v>
      </c>
      <c r="K2431" t="s">
        <v>183</v>
      </c>
      <c r="L2431">
        <v>10</v>
      </c>
      <c r="M2431" t="s">
        <v>8181</v>
      </c>
      <c r="N2431" t="s">
        <v>64</v>
      </c>
      <c r="O2431" t="s">
        <v>46</v>
      </c>
      <c r="P2431" t="s">
        <v>46</v>
      </c>
      <c r="Y2431" t="s">
        <v>8182</v>
      </c>
    </row>
    <row r="2432" spans="1:25">
      <c r="A2432" t="s">
        <v>8183</v>
      </c>
      <c r="B2432" t="s">
        <v>8184</v>
      </c>
      <c r="D2432" t="s">
        <v>40</v>
      </c>
      <c r="E2432" t="s">
        <v>41</v>
      </c>
      <c r="J2432" t="s">
        <v>68</v>
      </c>
      <c r="K2432" t="s">
        <v>69</v>
      </c>
      <c r="L2432">
        <v>6</v>
      </c>
      <c r="M2432" t="s">
        <v>8181</v>
      </c>
      <c r="N2432" t="s">
        <v>64</v>
      </c>
      <c r="O2432" t="s">
        <v>46</v>
      </c>
      <c r="P2432" t="s">
        <v>46</v>
      </c>
      <c r="Y2432" t="s">
        <v>8185</v>
      </c>
    </row>
    <row r="2433" spans="1:25">
      <c r="A2433" t="s">
        <v>8186</v>
      </c>
      <c r="B2433" t="s">
        <v>8187</v>
      </c>
      <c r="D2433" t="s">
        <v>40</v>
      </c>
      <c r="E2433" t="s">
        <v>41</v>
      </c>
      <c r="J2433" t="s">
        <v>182</v>
      </c>
      <c r="K2433" t="s">
        <v>183</v>
      </c>
      <c r="L2433">
        <v>10</v>
      </c>
      <c r="M2433" t="s">
        <v>8181</v>
      </c>
      <c r="N2433" t="s">
        <v>64</v>
      </c>
      <c r="O2433" t="s">
        <v>46</v>
      </c>
      <c r="P2433" t="s">
        <v>46</v>
      </c>
      <c r="Y2433" t="s">
        <v>8188</v>
      </c>
    </row>
    <row r="2434" spans="1:25">
      <c r="A2434" t="s">
        <v>8189</v>
      </c>
      <c r="B2434" t="s">
        <v>8190</v>
      </c>
      <c r="D2434" t="s">
        <v>40</v>
      </c>
      <c r="E2434" t="s">
        <v>41</v>
      </c>
      <c r="J2434" t="s">
        <v>76</v>
      </c>
      <c r="K2434" t="s">
        <v>77</v>
      </c>
      <c r="L2434">
        <v>10</v>
      </c>
      <c r="M2434" t="s">
        <v>8181</v>
      </c>
      <c r="N2434" t="s">
        <v>64</v>
      </c>
      <c r="O2434" t="s">
        <v>46</v>
      </c>
      <c r="P2434" t="s">
        <v>46</v>
      </c>
      <c r="Y2434" t="s">
        <v>8191</v>
      </c>
    </row>
    <row r="2435" spans="1:25">
      <c r="A2435" t="s">
        <v>8192</v>
      </c>
      <c r="B2435" t="s">
        <v>8193</v>
      </c>
      <c r="D2435" t="s">
        <v>40</v>
      </c>
      <c r="E2435" t="s">
        <v>41</v>
      </c>
      <c r="J2435" t="s">
        <v>182</v>
      </c>
      <c r="K2435" t="s">
        <v>183</v>
      </c>
      <c r="L2435">
        <v>10</v>
      </c>
      <c r="M2435" t="s">
        <v>8194</v>
      </c>
      <c r="N2435" t="s">
        <v>64</v>
      </c>
      <c r="O2435" t="s">
        <v>46</v>
      </c>
      <c r="P2435" t="s">
        <v>46</v>
      </c>
      <c r="Y2435" t="s">
        <v>8195</v>
      </c>
    </row>
    <row r="2436" spans="1:25">
      <c r="A2436" t="s">
        <v>8196</v>
      </c>
      <c r="B2436" t="s">
        <v>8197</v>
      </c>
      <c r="D2436" t="s">
        <v>40</v>
      </c>
      <c r="E2436" t="s">
        <v>41</v>
      </c>
      <c r="J2436" t="s">
        <v>182</v>
      </c>
      <c r="K2436" t="s">
        <v>183</v>
      </c>
      <c r="L2436">
        <v>10</v>
      </c>
      <c r="M2436" t="s">
        <v>8194</v>
      </c>
      <c r="N2436" t="s">
        <v>64</v>
      </c>
      <c r="O2436" t="s">
        <v>46</v>
      </c>
      <c r="P2436" t="s">
        <v>46</v>
      </c>
      <c r="Y2436" t="s">
        <v>8198</v>
      </c>
    </row>
    <row r="2437" spans="1:25">
      <c r="A2437" t="s">
        <v>8199</v>
      </c>
      <c r="B2437" t="s">
        <v>8200</v>
      </c>
      <c r="D2437" t="s">
        <v>40</v>
      </c>
      <c r="E2437" t="s">
        <v>41</v>
      </c>
      <c r="J2437" t="s">
        <v>68</v>
      </c>
      <c r="K2437" t="s">
        <v>69</v>
      </c>
      <c r="L2437">
        <v>10</v>
      </c>
      <c r="M2437" t="s">
        <v>8194</v>
      </c>
      <c r="N2437" t="s">
        <v>64</v>
      </c>
      <c r="O2437" t="s">
        <v>46</v>
      </c>
      <c r="P2437" t="s">
        <v>46</v>
      </c>
      <c r="Y2437" t="s">
        <v>8201</v>
      </c>
    </row>
    <row r="2438" spans="1:25">
      <c r="A2438" t="s">
        <v>8202</v>
      </c>
      <c r="B2438" t="s">
        <v>8203</v>
      </c>
      <c r="D2438" t="s">
        <v>40</v>
      </c>
      <c r="E2438" t="s">
        <v>41</v>
      </c>
      <c r="J2438" t="s">
        <v>76</v>
      </c>
      <c r="K2438" t="s">
        <v>77</v>
      </c>
      <c r="L2438">
        <v>10</v>
      </c>
      <c r="M2438" t="s">
        <v>8194</v>
      </c>
      <c r="N2438" t="s">
        <v>64</v>
      </c>
      <c r="O2438" t="s">
        <v>46</v>
      </c>
      <c r="P2438" t="s">
        <v>46</v>
      </c>
      <c r="Y2438" t="s">
        <v>8204</v>
      </c>
    </row>
    <row r="2439" spans="1:25">
      <c r="A2439" t="s">
        <v>8205</v>
      </c>
      <c r="B2439" t="s">
        <v>8206</v>
      </c>
      <c r="D2439" t="s">
        <v>40</v>
      </c>
      <c r="E2439" t="s">
        <v>41</v>
      </c>
      <c r="J2439" t="s">
        <v>182</v>
      </c>
      <c r="K2439" t="s">
        <v>183</v>
      </c>
      <c r="L2439">
        <v>10</v>
      </c>
      <c r="M2439" t="s">
        <v>8207</v>
      </c>
      <c r="N2439" t="s">
        <v>64</v>
      </c>
      <c r="O2439" t="s">
        <v>46</v>
      </c>
      <c r="P2439" t="s">
        <v>46</v>
      </c>
      <c r="Y2439" t="s">
        <v>8208</v>
      </c>
    </row>
    <row r="2440" spans="1:25">
      <c r="A2440" t="s">
        <v>8209</v>
      </c>
      <c r="B2440" t="s">
        <v>8210</v>
      </c>
      <c r="D2440" t="s">
        <v>40</v>
      </c>
      <c r="E2440" t="s">
        <v>41</v>
      </c>
      <c r="J2440" t="s">
        <v>182</v>
      </c>
      <c r="K2440" t="s">
        <v>183</v>
      </c>
      <c r="L2440">
        <v>10</v>
      </c>
      <c r="M2440" t="s">
        <v>8207</v>
      </c>
      <c r="N2440" t="s">
        <v>64</v>
      </c>
      <c r="O2440" t="s">
        <v>46</v>
      </c>
      <c r="P2440" t="s">
        <v>46</v>
      </c>
      <c r="Y2440" t="s">
        <v>8211</v>
      </c>
    </row>
    <row r="2441" spans="1:25">
      <c r="A2441" t="s">
        <v>8212</v>
      </c>
      <c r="B2441" t="s">
        <v>8213</v>
      </c>
      <c r="D2441" t="s">
        <v>40</v>
      </c>
      <c r="E2441" t="s">
        <v>41</v>
      </c>
      <c r="J2441" t="s">
        <v>182</v>
      </c>
      <c r="K2441" t="s">
        <v>183</v>
      </c>
      <c r="L2441">
        <v>10</v>
      </c>
      <c r="M2441" t="s">
        <v>8207</v>
      </c>
      <c r="N2441" t="s">
        <v>64</v>
      </c>
      <c r="O2441" t="s">
        <v>46</v>
      </c>
      <c r="P2441" t="s">
        <v>46</v>
      </c>
      <c r="Y2441" t="s">
        <v>8214</v>
      </c>
    </row>
    <row r="2442" spans="1:25">
      <c r="A2442" t="s">
        <v>8215</v>
      </c>
      <c r="B2442" t="s">
        <v>8216</v>
      </c>
      <c r="D2442" t="s">
        <v>40</v>
      </c>
      <c r="E2442" t="s">
        <v>41</v>
      </c>
      <c r="J2442" t="s">
        <v>76</v>
      </c>
      <c r="K2442" t="s">
        <v>77</v>
      </c>
      <c r="L2442">
        <v>10</v>
      </c>
      <c r="M2442" t="s">
        <v>8217</v>
      </c>
      <c r="N2442" t="s">
        <v>64</v>
      </c>
      <c r="O2442" t="s">
        <v>46</v>
      </c>
      <c r="P2442" t="s">
        <v>46</v>
      </c>
      <c r="Y2442" t="s">
        <v>8218</v>
      </c>
    </row>
    <row r="2443" spans="1:25">
      <c r="A2443" t="s">
        <v>8219</v>
      </c>
      <c r="B2443" t="s">
        <v>8220</v>
      </c>
      <c r="D2443" t="s">
        <v>40</v>
      </c>
      <c r="E2443" t="s">
        <v>41</v>
      </c>
      <c r="J2443" t="s">
        <v>68</v>
      </c>
      <c r="K2443" t="s">
        <v>69</v>
      </c>
      <c r="L2443">
        <v>10</v>
      </c>
      <c r="M2443" t="s">
        <v>8221</v>
      </c>
      <c r="N2443" t="s">
        <v>64</v>
      </c>
      <c r="O2443" t="s">
        <v>46</v>
      </c>
      <c r="P2443" t="s">
        <v>46</v>
      </c>
      <c r="Y2443" t="s">
        <v>8222</v>
      </c>
    </row>
    <row r="2444" spans="1:25">
      <c r="A2444" t="s">
        <v>8223</v>
      </c>
      <c r="B2444" t="s">
        <v>8224</v>
      </c>
      <c r="D2444" t="s">
        <v>40</v>
      </c>
      <c r="E2444" t="s">
        <v>41</v>
      </c>
      <c r="J2444" t="s">
        <v>182</v>
      </c>
      <c r="K2444" t="s">
        <v>183</v>
      </c>
      <c r="L2444">
        <v>10</v>
      </c>
      <c r="M2444" t="s">
        <v>8225</v>
      </c>
      <c r="N2444" t="s">
        <v>64</v>
      </c>
      <c r="O2444" t="s">
        <v>46</v>
      </c>
      <c r="P2444" t="s">
        <v>46</v>
      </c>
      <c r="Y2444" t="s">
        <v>8226</v>
      </c>
    </row>
    <row r="2445" spans="1:25">
      <c r="A2445" t="s">
        <v>8227</v>
      </c>
      <c r="B2445" t="s">
        <v>8228</v>
      </c>
      <c r="D2445" t="s">
        <v>40</v>
      </c>
      <c r="E2445" t="s">
        <v>41</v>
      </c>
      <c r="J2445" t="s">
        <v>76</v>
      </c>
      <c r="K2445" t="s">
        <v>77</v>
      </c>
      <c r="L2445">
        <v>10</v>
      </c>
      <c r="M2445" t="s">
        <v>8229</v>
      </c>
      <c r="N2445" t="s">
        <v>64</v>
      </c>
      <c r="O2445" t="s">
        <v>46</v>
      </c>
      <c r="P2445" t="s">
        <v>46</v>
      </c>
      <c r="Y2445" t="s">
        <v>8230</v>
      </c>
    </row>
    <row r="2446" spans="1:25">
      <c r="A2446" t="s">
        <v>8231</v>
      </c>
      <c r="B2446" t="s">
        <v>8232</v>
      </c>
      <c r="D2446" t="s">
        <v>40</v>
      </c>
      <c r="E2446" t="s">
        <v>41</v>
      </c>
      <c r="J2446" t="s">
        <v>248</v>
      </c>
      <c r="K2446" t="s">
        <v>249</v>
      </c>
      <c r="L2446">
        <v>10</v>
      </c>
      <c r="M2446" t="s">
        <v>8229</v>
      </c>
      <c r="N2446" t="s">
        <v>305</v>
      </c>
      <c r="O2446" t="s">
        <v>46</v>
      </c>
      <c r="P2446" t="s">
        <v>46</v>
      </c>
      <c r="Y2446" t="s">
        <v>8233</v>
      </c>
    </row>
    <row r="2447" spans="1:25">
      <c r="A2447" t="s">
        <v>8234</v>
      </c>
      <c r="B2447" t="s">
        <v>8235</v>
      </c>
      <c r="D2447" t="s">
        <v>40</v>
      </c>
      <c r="E2447" t="s">
        <v>41</v>
      </c>
      <c r="J2447" t="s">
        <v>76</v>
      </c>
      <c r="K2447" t="s">
        <v>77</v>
      </c>
      <c r="L2447">
        <v>10</v>
      </c>
      <c r="M2447" t="s">
        <v>8229</v>
      </c>
      <c r="N2447" t="s">
        <v>64</v>
      </c>
      <c r="O2447" t="s">
        <v>46</v>
      </c>
      <c r="P2447" t="s">
        <v>46</v>
      </c>
      <c r="Y2447" t="s">
        <v>8236</v>
      </c>
    </row>
    <row r="2448" spans="1:25">
      <c r="A2448" t="s">
        <v>8237</v>
      </c>
      <c r="B2448" t="s">
        <v>8238</v>
      </c>
      <c r="D2448" t="s">
        <v>40</v>
      </c>
      <c r="E2448" t="s">
        <v>41</v>
      </c>
      <c r="J2448" t="s">
        <v>182</v>
      </c>
      <c r="K2448" t="s">
        <v>183</v>
      </c>
      <c r="L2448">
        <v>10</v>
      </c>
      <c r="M2448" t="s">
        <v>8229</v>
      </c>
      <c r="N2448" t="s">
        <v>64</v>
      </c>
      <c r="O2448" t="s">
        <v>46</v>
      </c>
      <c r="P2448" t="s">
        <v>46</v>
      </c>
      <c r="Y2448" t="s">
        <v>8239</v>
      </c>
    </row>
    <row r="2449" spans="1:25">
      <c r="A2449" t="s">
        <v>8240</v>
      </c>
      <c r="B2449" t="s">
        <v>8241</v>
      </c>
      <c r="D2449" t="s">
        <v>40</v>
      </c>
      <c r="E2449" t="s">
        <v>41</v>
      </c>
      <c r="J2449" t="s">
        <v>264</v>
      </c>
      <c r="K2449" t="s">
        <v>265</v>
      </c>
      <c r="L2449">
        <v>11</v>
      </c>
      <c r="M2449" t="s">
        <v>8242</v>
      </c>
      <c r="N2449" t="s">
        <v>5995</v>
      </c>
      <c r="O2449" t="s">
        <v>46</v>
      </c>
      <c r="P2449" t="s">
        <v>46</v>
      </c>
      <c r="Y2449" t="s">
        <v>8243</v>
      </c>
    </row>
    <row r="2450" spans="1:25">
      <c r="A2450" t="s">
        <v>8244</v>
      </c>
      <c r="B2450" t="s">
        <v>8245</v>
      </c>
      <c r="D2450" t="s">
        <v>40</v>
      </c>
      <c r="E2450" t="s">
        <v>41</v>
      </c>
      <c r="J2450" t="s">
        <v>182</v>
      </c>
      <c r="K2450" t="s">
        <v>183</v>
      </c>
      <c r="L2450">
        <v>10</v>
      </c>
      <c r="M2450" t="s">
        <v>8246</v>
      </c>
      <c r="N2450" t="s">
        <v>64</v>
      </c>
      <c r="O2450" t="s">
        <v>46</v>
      </c>
      <c r="P2450" t="s">
        <v>46</v>
      </c>
      <c r="Y2450" t="s">
        <v>8247</v>
      </c>
    </row>
    <row r="2451" spans="1:25">
      <c r="A2451" t="s">
        <v>8248</v>
      </c>
      <c r="B2451" t="s">
        <v>8249</v>
      </c>
      <c r="D2451" t="s">
        <v>40</v>
      </c>
      <c r="E2451" t="s">
        <v>41</v>
      </c>
      <c r="J2451" t="s">
        <v>42</v>
      </c>
      <c r="K2451" t="s">
        <v>43</v>
      </c>
      <c r="L2451">
        <v>10</v>
      </c>
      <c r="M2451" t="s">
        <v>8246</v>
      </c>
      <c r="N2451" t="s">
        <v>1814</v>
      </c>
      <c r="O2451" t="s">
        <v>46</v>
      </c>
      <c r="P2451" t="s">
        <v>46</v>
      </c>
      <c r="Y2451" t="s">
        <v>8250</v>
      </c>
    </row>
    <row r="2452" spans="1:25">
      <c r="A2452" t="s">
        <v>8251</v>
      </c>
      <c r="B2452" t="s">
        <v>8252</v>
      </c>
      <c r="D2452" t="s">
        <v>40</v>
      </c>
      <c r="E2452" t="s">
        <v>41</v>
      </c>
      <c r="J2452" t="s">
        <v>182</v>
      </c>
      <c r="K2452" t="s">
        <v>183</v>
      </c>
      <c r="L2452">
        <v>10</v>
      </c>
      <c r="M2452" t="s">
        <v>8253</v>
      </c>
      <c r="N2452" t="s">
        <v>64</v>
      </c>
      <c r="O2452" t="s">
        <v>46</v>
      </c>
      <c r="P2452" t="s">
        <v>46</v>
      </c>
      <c r="Y2452" t="s">
        <v>8254</v>
      </c>
    </row>
    <row r="2453" spans="1:25">
      <c r="A2453" t="s">
        <v>8255</v>
      </c>
      <c r="B2453" t="s">
        <v>8256</v>
      </c>
      <c r="D2453" t="s">
        <v>40</v>
      </c>
      <c r="E2453" t="s">
        <v>41</v>
      </c>
      <c r="J2453" t="s">
        <v>68</v>
      </c>
      <c r="K2453" t="s">
        <v>69</v>
      </c>
      <c r="L2453">
        <v>10</v>
      </c>
      <c r="M2453" t="s">
        <v>8253</v>
      </c>
      <c r="N2453" t="s">
        <v>64</v>
      </c>
      <c r="O2453" t="s">
        <v>46</v>
      </c>
      <c r="P2453" t="s">
        <v>46</v>
      </c>
      <c r="Y2453" t="s">
        <v>8257</v>
      </c>
    </row>
    <row r="2454" spans="1:25">
      <c r="A2454" t="s">
        <v>8258</v>
      </c>
      <c r="B2454" t="s">
        <v>8259</v>
      </c>
      <c r="D2454" t="s">
        <v>40</v>
      </c>
      <c r="E2454" t="s">
        <v>41</v>
      </c>
      <c r="J2454" t="s">
        <v>42</v>
      </c>
      <c r="K2454" t="s">
        <v>43</v>
      </c>
      <c r="L2454">
        <v>10</v>
      </c>
      <c r="M2454" t="s">
        <v>8253</v>
      </c>
      <c r="N2454" t="s">
        <v>1047</v>
      </c>
      <c r="O2454" t="s">
        <v>46</v>
      </c>
      <c r="P2454" t="s">
        <v>46</v>
      </c>
      <c r="Y2454" t="s">
        <v>8260</v>
      </c>
    </row>
    <row r="2455" spans="1:25">
      <c r="A2455" t="s">
        <v>8261</v>
      </c>
      <c r="B2455" t="s">
        <v>8262</v>
      </c>
      <c r="D2455" t="s">
        <v>40</v>
      </c>
      <c r="E2455" t="s">
        <v>41</v>
      </c>
      <c r="J2455" t="s">
        <v>68</v>
      </c>
      <c r="K2455" t="s">
        <v>69</v>
      </c>
      <c r="L2455">
        <v>10</v>
      </c>
      <c r="M2455" t="s">
        <v>8253</v>
      </c>
      <c r="N2455" t="s">
        <v>64</v>
      </c>
      <c r="O2455" t="s">
        <v>46</v>
      </c>
      <c r="P2455" t="s">
        <v>46</v>
      </c>
      <c r="Y2455" t="s">
        <v>8263</v>
      </c>
    </row>
    <row r="2456" spans="1:25">
      <c r="A2456" t="s">
        <v>8264</v>
      </c>
      <c r="B2456" t="s">
        <v>8265</v>
      </c>
      <c r="D2456" t="s">
        <v>40</v>
      </c>
      <c r="E2456" t="s">
        <v>41</v>
      </c>
      <c r="J2456" t="s">
        <v>182</v>
      </c>
      <c r="K2456" t="s">
        <v>183</v>
      </c>
      <c r="L2456">
        <v>10</v>
      </c>
      <c r="M2456" t="s">
        <v>8253</v>
      </c>
      <c r="N2456" t="s">
        <v>64</v>
      </c>
      <c r="O2456" t="s">
        <v>46</v>
      </c>
      <c r="P2456" t="s">
        <v>46</v>
      </c>
      <c r="Y2456" t="s">
        <v>8266</v>
      </c>
    </row>
    <row r="2457" spans="1:25">
      <c r="A2457" t="s">
        <v>8267</v>
      </c>
      <c r="B2457" t="s">
        <v>8268</v>
      </c>
      <c r="D2457" t="s">
        <v>40</v>
      </c>
      <c r="E2457" t="s">
        <v>41</v>
      </c>
      <c r="J2457" t="s">
        <v>68</v>
      </c>
      <c r="K2457" t="s">
        <v>69</v>
      </c>
      <c r="L2457">
        <v>10</v>
      </c>
      <c r="M2457" t="s">
        <v>8269</v>
      </c>
      <c r="N2457" t="s">
        <v>64</v>
      </c>
      <c r="O2457" t="s">
        <v>46</v>
      </c>
      <c r="P2457" t="s">
        <v>46</v>
      </c>
      <c r="Y2457" t="s">
        <v>8270</v>
      </c>
    </row>
    <row r="2458" spans="1:25">
      <c r="A2458" t="s">
        <v>8271</v>
      </c>
      <c r="B2458" t="s">
        <v>8272</v>
      </c>
      <c r="D2458" t="s">
        <v>40</v>
      </c>
      <c r="E2458" t="s">
        <v>41</v>
      </c>
      <c r="J2458" t="s">
        <v>182</v>
      </c>
      <c r="K2458" t="s">
        <v>183</v>
      </c>
      <c r="L2458">
        <v>10</v>
      </c>
      <c r="M2458" t="s">
        <v>8273</v>
      </c>
      <c r="N2458" t="s">
        <v>64</v>
      </c>
      <c r="O2458" t="s">
        <v>46</v>
      </c>
      <c r="P2458" t="s">
        <v>46</v>
      </c>
      <c r="Y2458" t="s">
        <v>8274</v>
      </c>
    </row>
    <row r="2459" spans="1:25">
      <c r="A2459" t="s">
        <v>8275</v>
      </c>
      <c r="B2459" t="s">
        <v>8276</v>
      </c>
      <c r="D2459" t="s">
        <v>40</v>
      </c>
      <c r="E2459" t="s">
        <v>41</v>
      </c>
      <c r="J2459" t="s">
        <v>76</v>
      </c>
      <c r="K2459" t="s">
        <v>77</v>
      </c>
      <c r="L2459">
        <v>10</v>
      </c>
      <c r="M2459" t="s">
        <v>8273</v>
      </c>
      <c r="N2459" t="s">
        <v>64</v>
      </c>
      <c r="O2459" t="s">
        <v>46</v>
      </c>
      <c r="P2459" t="s">
        <v>46</v>
      </c>
      <c r="Y2459" t="s">
        <v>8277</v>
      </c>
    </row>
    <row r="2460" spans="1:25">
      <c r="A2460" t="s">
        <v>8278</v>
      </c>
      <c r="B2460" t="s">
        <v>8279</v>
      </c>
      <c r="D2460" t="s">
        <v>40</v>
      </c>
      <c r="E2460" t="s">
        <v>41</v>
      </c>
      <c r="J2460" t="s">
        <v>182</v>
      </c>
      <c r="K2460" t="s">
        <v>183</v>
      </c>
      <c r="L2460">
        <v>10</v>
      </c>
      <c r="M2460" t="s">
        <v>8280</v>
      </c>
      <c r="N2460" t="s">
        <v>64</v>
      </c>
      <c r="O2460" t="s">
        <v>46</v>
      </c>
      <c r="P2460" t="s">
        <v>46</v>
      </c>
      <c r="Y2460" t="s">
        <v>8281</v>
      </c>
    </row>
    <row r="2461" spans="1:25">
      <c r="A2461" t="s">
        <v>8282</v>
      </c>
      <c r="B2461" t="s">
        <v>8283</v>
      </c>
      <c r="D2461" t="s">
        <v>40</v>
      </c>
      <c r="E2461" t="s">
        <v>41</v>
      </c>
      <c r="J2461" t="s">
        <v>182</v>
      </c>
      <c r="K2461" t="s">
        <v>183</v>
      </c>
      <c r="L2461">
        <v>10</v>
      </c>
      <c r="M2461" t="s">
        <v>8280</v>
      </c>
      <c r="N2461" t="s">
        <v>64</v>
      </c>
      <c r="O2461" t="s">
        <v>46</v>
      </c>
      <c r="P2461" t="s">
        <v>46</v>
      </c>
      <c r="Y2461" t="s">
        <v>8284</v>
      </c>
    </row>
    <row r="2462" spans="1:25">
      <c r="A2462" t="s">
        <v>8285</v>
      </c>
      <c r="B2462" t="s">
        <v>8286</v>
      </c>
      <c r="D2462" t="s">
        <v>40</v>
      </c>
      <c r="E2462" t="s">
        <v>41</v>
      </c>
      <c r="J2462" t="s">
        <v>42</v>
      </c>
      <c r="K2462" t="s">
        <v>43</v>
      </c>
      <c r="L2462">
        <v>10</v>
      </c>
      <c r="M2462" t="s">
        <v>8280</v>
      </c>
      <c r="N2462" t="s">
        <v>2154</v>
      </c>
      <c r="O2462" t="s">
        <v>46</v>
      </c>
      <c r="P2462" t="s">
        <v>46</v>
      </c>
      <c r="Y2462" t="s">
        <v>8287</v>
      </c>
    </row>
    <row r="2463" spans="1:25">
      <c r="A2463" t="s">
        <v>8288</v>
      </c>
      <c r="B2463" t="s">
        <v>8289</v>
      </c>
      <c r="D2463" t="s">
        <v>40</v>
      </c>
      <c r="E2463" t="s">
        <v>41</v>
      </c>
      <c r="J2463" t="s">
        <v>182</v>
      </c>
      <c r="K2463" t="s">
        <v>183</v>
      </c>
      <c r="L2463">
        <v>10</v>
      </c>
      <c r="M2463" t="s">
        <v>8290</v>
      </c>
      <c r="N2463" t="s">
        <v>64</v>
      </c>
      <c r="O2463" t="s">
        <v>46</v>
      </c>
      <c r="P2463" t="s">
        <v>46</v>
      </c>
      <c r="Y2463" t="s">
        <v>8291</v>
      </c>
    </row>
    <row r="2464" spans="1:25">
      <c r="A2464" t="s">
        <v>8292</v>
      </c>
      <c r="B2464" t="s">
        <v>8293</v>
      </c>
      <c r="D2464" t="s">
        <v>40</v>
      </c>
      <c r="E2464" t="s">
        <v>41</v>
      </c>
      <c r="J2464" t="s">
        <v>68</v>
      </c>
      <c r="K2464" t="s">
        <v>69</v>
      </c>
      <c r="L2464">
        <v>10</v>
      </c>
      <c r="M2464" t="s">
        <v>8290</v>
      </c>
      <c r="N2464" t="s">
        <v>64</v>
      </c>
      <c r="O2464" t="s">
        <v>46</v>
      </c>
      <c r="P2464" t="s">
        <v>46</v>
      </c>
      <c r="Y2464" t="s">
        <v>8294</v>
      </c>
    </row>
    <row r="2465" spans="1:25">
      <c r="A2465" t="s">
        <v>8295</v>
      </c>
      <c r="B2465" t="s">
        <v>8296</v>
      </c>
      <c r="D2465" t="s">
        <v>40</v>
      </c>
      <c r="E2465" t="s">
        <v>41</v>
      </c>
      <c r="J2465" t="s">
        <v>76</v>
      </c>
      <c r="K2465" t="s">
        <v>77</v>
      </c>
      <c r="L2465">
        <v>10</v>
      </c>
      <c r="M2465" t="s">
        <v>8297</v>
      </c>
      <c r="N2465" t="s">
        <v>64</v>
      </c>
      <c r="O2465" t="s">
        <v>46</v>
      </c>
      <c r="P2465" t="s">
        <v>46</v>
      </c>
      <c r="Y2465" t="s">
        <v>8298</v>
      </c>
    </row>
    <row r="2466" spans="1:25">
      <c r="A2466" t="s">
        <v>8299</v>
      </c>
      <c r="B2466" t="s">
        <v>8300</v>
      </c>
      <c r="D2466" t="s">
        <v>40</v>
      </c>
      <c r="E2466" t="s">
        <v>41</v>
      </c>
      <c r="J2466" t="s">
        <v>182</v>
      </c>
      <c r="K2466" t="s">
        <v>183</v>
      </c>
      <c r="L2466">
        <v>10</v>
      </c>
      <c r="M2466" t="s">
        <v>8297</v>
      </c>
      <c r="N2466" t="s">
        <v>64</v>
      </c>
      <c r="O2466" t="s">
        <v>46</v>
      </c>
      <c r="P2466" t="s">
        <v>46</v>
      </c>
      <c r="Y2466" t="s">
        <v>8301</v>
      </c>
    </row>
    <row r="2467" spans="1:25">
      <c r="A2467" t="s">
        <v>8302</v>
      </c>
      <c r="B2467" t="s">
        <v>8303</v>
      </c>
      <c r="D2467" t="s">
        <v>40</v>
      </c>
      <c r="E2467" t="s">
        <v>41</v>
      </c>
      <c r="J2467" t="s">
        <v>76</v>
      </c>
      <c r="K2467" t="s">
        <v>77</v>
      </c>
      <c r="L2467">
        <v>10</v>
      </c>
      <c r="M2467" t="s">
        <v>8297</v>
      </c>
      <c r="N2467" t="s">
        <v>64</v>
      </c>
      <c r="O2467" t="s">
        <v>46</v>
      </c>
      <c r="P2467" t="s">
        <v>46</v>
      </c>
      <c r="Y2467" t="s">
        <v>8304</v>
      </c>
    </row>
    <row r="2468" spans="1:25">
      <c r="A2468" t="s">
        <v>8305</v>
      </c>
      <c r="B2468" t="s">
        <v>8306</v>
      </c>
      <c r="D2468" t="s">
        <v>40</v>
      </c>
      <c r="E2468" t="s">
        <v>41</v>
      </c>
      <c r="J2468" t="s">
        <v>68</v>
      </c>
      <c r="K2468" t="s">
        <v>69</v>
      </c>
      <c r="L2468">
        <v>10</v>
      </c>
      <c r="M2468" t="s">
        <v>8297</v>
      </c>
      <c r="N2468" t="s">
        <v>64</v>
      </c>
      <c r="O2468" t="s">
        <v>46</v>
      </c>
      <c r="P2468" t="s">
        <v>46</v>
      </c>
      <c r="Y2468" t="s">
        <v>8307</v>
      </c>
    </row>
    <row r="2469" spans="1:25">
      <c r="A2469" t="s">
        <v>8308</v>
      </c>
      <c r="B2469" t="s">
        <v>8309</v>
      </c>
      <c r="D2469" t="s">
        <v>40</v>
      </c>
      <c r="E2469" t="s">
        <v>41</v>
      </c>
      <c r="J2469" t="s">
        <v>182</v>
      </c>
      <c r="K2469" t="s">
        <v>183</v>
      </c>
      <c r="L2469">
        <v>10</v>
      </c>
      <c r="M2469" t="s">
        <v>8297</v>
      </c>
      <c r="N2469" t="s">
        <v>64</v>
      </c>
      <c r="O2469" t="s">
        <v>46</v>
      </c>
      <c r="P2469" t="s">
        <v>46</v>
      </c>
      <c r="Y2469" t="s">
        <v>8310</v>
      </c>
    </row>
    <row r="2470" spans="1:25">
      <c r="A2470" t="s">
        <v>8311</v>
      </c>
      <c r="B2470" t="s">
        <v>8312</v>
      </c>
      <c r="D2470" t="s">
        <v>40</v>
      </c>
      <c r="E2470" t="s">
        <v>41</v>
      </c>
      <c r="J2470" t="s">
        <v>182</v>
      </c>
      <c r="K2470" t="s">
        <v>183</v>
      </c>
      <c r="L2470">
        <v>10</v>
      </c>
      <c r="M2470" t="s">
        <v>8313</v>
      </c>
      <c r="N2470" t="s">
        <v>64</v>
      </c>
      <c r="O2470" t="s">
        <v>46</v>
      </c>
      <c r="P2470" t="s">
        <v>46</v>
      </c>
      <c r="Y2470" t="s">
        <v>8314</v>
      </c>
    </row>
    <row r="2471" spans="1:25">
      <c r="A2471" t="s">
        <v>8315</v>
      </c>
      <c r="B2471" t="s">
        <v>8316</v>
      </c>
      <c r="D2471" t="s">
        <v>40</v>
      </c>
      <c r="E2471" t="s">
        <v>41</v>
      </c>
      <c r="J2471" t="s">
        <v>182</v>
      </c>
      <c r="K2471" t="s">
        <v>183</v>
      </c>
      <c r="L2471">
        <v>10</v>
      </c>
      <c r="M2471" t="s">
        <v>8313</v>
      </c>
      <c r="N2471" t="s">
        <v>64</v>
      </c>
      <c r="O2471" t="s">
        <v>46</v>
      </c>
      <c r="P2471" t="s">
        <v>46</v>
      </c>
      <c r="Y2471" t="s">
        <v>8317</v>
      </c>
    </row>
    <row r="2472" spans="1:25">
      <c r="A2472" t="s">
        <v>8318</v>
      </c>
      <c r="B2472" t="s">
        <v>8319</v>
      </c>
      <c r="D2472" t="s">
        <v>40</v>
      </c>
      <c r="E2472" t="s">
        <v>41</v>
      </c>
      <c r="J2472" t="s">
        <v>182</v>
      </c>
      <c r="K2472" t="s">
        <v>183</v>
      </c>
      <c r="L2472">
        <v>10</v>
      </c>
      <c r="M2472" t="s">
        <v>8313</v>
      </c>
      <c r="N2472" t="s">
        <v>64</v>
      </c>
      <c r="O2472" t="s">
        <v>46</v>
      </c>
      <c r="P2472" t="s">
        <v>46</v>
      </c>
      <c r="Y2472" t="s">
        <v>8320</v>
      </c>
    </row>
    <row r="2473" spans="1:25">
      <c r="A2473" t="s">
        <v>8321</v>
      </c>
      <c r="B2473" t="s">
        <v>8322</v>
      </c>
      <c r="D2473" t="s">
        <v>40</v>
      </c>
      <c r="E2473" t="s">
        <v>41</v>
      </c>
      <c r="J2473" t="s">
        <v>76</v>
      </c>
      <c r="K2473" t="s">
        <v>77</v>
      </c>
      <c r="L2473">
        <v>10</v>
      </c>
      <c r="M2473" t="s">
        <v>8313</v>
      </c>
      <c r="N2473" t="s">
        <v>64</v>
      </c>
      <c r="O2473" t="s">
        <v>46</v>
      </c>
      <c r="P2473" t="s">
        <v>46</v>
      </c>
      <c r="Y2473" t="s">
        <v>8323</v>
      </c>
    </row>
    <row r="2474" spans="1:25">
      <c r="A2474" t="s">
        <v>8324</v>
      </c>
      <c r="B2474" t="s">
        <v>8325</v>
      </c>
      <c r="D2474" t="s">
        <v>40</v>
      </c>
      <c r="E2474" t="s">
        <v>41</v>
      </c>
      <c r="J2474" t="s">
        <v>182</v>
      </c>
      <c r="K2474" t="s">
        <v>183</v>
      </c>
      <c r="L2474">
        <v>10</v>
      </c>
      <c r="M2474" t="s">
        <v>8313</v>
      </c>
      <c r="N2474" t="s">
        <v>64</v>
      </c>
      <c r="O2474" t="s">
        <v>46</v>
      </c>
      <c r="P2474" t="s">
        <v>46</v>
      </c>
      <c r="Y2474" t="s">
        <v>8326</v>
      </c>
    </row>
    <row r="2475" spans="1:25">
      <c r="A2475" t="s">
        <v>8327</v>
      </c>
      <c r="B2475" t="s">
        <v>8328</v>
      </c>
      <c r="D2475" t="s">
        <v>40</v>
      </c>
      <c r="E2475" t="s">
        <v>41</v>
      </c>
      <c r="J2475" t="s">
        <v>182</v>
      </c>
      <c r="K2475" t="s">
        <v>183</v>
      </c>
      <c r="L2475">
        <v>10</v>
      </c>
      <c r="M2475" t="s">
        <v>8329</v>
      </c>
      <c r="N2475" t="s">
        <v>64</v>
      </c>
      <c r="O2475" t="s">
        <v>46</v>
      </c>
      <c r="P2475" t="s">
        <v>46</v>
      </c>
      <c r="Y2475" t="s">
        <v>8330</v>
      </c>
    </row>
    <row r="2476" spans="1:25">
      <c r="A2476" t="s">
        <v>8331</v>
      </c>
      <c r="B2476" t="s">
        <v>8332</v>
      </c>
      <c r="D2476" t="s">
        <v>40</v>
      </c>
      <c r="E2476" t="s">
        <v>41</v>
      </c>
      <c r="J2476" t="s">
        <v>892</v>
      </c>
      <c r="K2476" t="s">
        <v>893</v>
      </c>
      <c r="L2476">
        <v>10</v>
      </c>
      <c r="M2476" t="s">
        <v>8329</v>
      </c>
      <c r="N2476" t="s">
        <v>1258</v>
      </c>
      <c r="O2476" t="s">
        <v>46</v>
      </c>
      <c r="P2476" t="s">
        <v>46</v>
      </c>
      <c r="Y2476" t="s">
        <v>8333</v>
      </c>
    </row>
    <row r="2477" spans="1:25">
      <c r="A2477" t="s">
        <v>8334</v>
      </c>
      <c r="B2477" t="s">
        <v>8335</v>
      </c>
      <c r="D2477" t="s">
        <v>40</v>
      </c>
      <c r="E2477" t="s">
        <v>41</v>
      </c>
      <c r="J2477" t="s">
        <v>264</v>
      </c>
      <c r="K2477" t="s">
        <v>265</v>
      </c>
      <c r="L2477">
        <v>6</v>
      </c>
      <c r="M2477" t="s">
        <v>8336</v>
      </c>
      <c r="N2477" t="s">
        <v>5995</v>
      </c>
      <c r="O2477" t="s">
        <v>46</v>
      </c>
      <c r="P2477" t="s">
        <v>46</v>
      </c>
      <c r="Y2477" t="s">
        <v>8337</v>
      </c>
    </row>
    <row r="2478" spans="1:25">
      <c r="A2478" t="s">
        <v>8338</v>
      </c>
      <c r="B2478" t="s">
        <v>8339</v>
      </c>
      <c r="D2478" t="s">
        <v>40</v>
      </c>
      <c r="E2478" t="s">
        <v>41</v>
      </c>
      <c r="J2478" t="s">
        <v>182</v>
      </c>
      <c r="K2478" t="s">
        <v>183</v>
      </c>
      <c r="L2478">
        <v>11</v>
      </c>
      <c r="M2478" t="s">
        <v>8336</v>
      </c>
      <c r="N2478" t="s">
        <v>64</v>
      </c>
      <c r="O2478" t="s">
        <v>46</v>
      </c>
      <c r="P2478" t="s">
        <v>46</v>
      </c>
      <c r="Y2478" t="s">
        <v>8340</v>
      </c>
    </row>
    <row r="2479" spans="1:25">
      <c r="A2479" t="s">
        <v>8341</v>
      </c>
      <c r="B2479" t="s">
        <v>8342</v>
      </c>
      <c r="D2479" t="s">
        <v>40</v>
      </c>
      <c r="E2479" t="s">
        <v>41</v>
      </c>
      <c r="J2479" t="s">
        <v>76</v>
      </c>
      <c r="K2479" t="s">
        <v>77</v>
      </c>
      <c r="L2479">
        <v>11</v>
      </c>
      <c r="M2479" t="s">
        <v>8336</v>
      </c>
      <c r="N2479" t="s">
        <v>64</v>
      </c>
      <c r="O2479" t="s">
        <v>46</v>
      </c>
      <c r="P2479" t="s">
        <v>46</v>
      </c>
      <c r="Y2479" t="s">
        <v>8343</v>
      </c>
    </row>
    <row r="2480" spans="1:25">
      <c r="A2480" t="s">
        <v>8344</v>
      </c>
      <c r="B2480" t="s">
        <v>8345</v>
      </c>
      <c r="D2480" t="s">
        <v>40</v>
      </c>
      <c r="E2480" t="s">
        <v>41</v>
      </c>
      <c r="J2480" t="s">
        <v>42</v>
      </c>
      <c r="K2480" t="s">
        <v>43</v>
      </c>
      <c r="L2480">
        <v>11</v>
      </c>
      <c r="M2480" t="s">
        <v>8336</v>
      </c>
      <c r="N2480" t="s">
        <v>310</v>
      </c>
      <c r="O2480" t="s">
        <v>46</v>
      </c>
      <c r="P2480" t="s">
        <v>46</v>
      </c>
      <c r="Y2480" t="s">
        <v>8346</v>
      </c>
    </row>
    <row r="2481" spans="1:25">
      <c r="A2481" t="s">
        <v>8347</v>
      </c>
      <c r="B2481" t="s">
        <v>8348</v>
      </c>
      <c r="D2481" t="s">
        <v>40</v>
      </c>
      <c r="E2481" t="s">
        <v>41</v>
      </c>
      <c r="J2481" t="s">
        <v>42</v>
      </c>
      <c r="K2481" t="s">
        <v>43</v>
      </c>
      <c r="L2481">
        <v>11</v>
      </c>
      <c r="M2481" t="s">
        <v>8349</v>
      </c>
      <c r="N2481" t="s">
        <v>2621</v>
      </c>
      <c r="O2481" t="s">
        <v>46</v>
      </c>
      <c r="P2481" t="s">
        <v>46</v>
      </c>
      <c r="Y2481" t="s">
        <v>8350</v>
      </c>
    </row>
    <row r="2482" spans="1:25">
      <c r="A2482" t="s">
        <v>8351</v>
      </c>
      <c r="B2482" t="s">
        <v>8352</v>
      </c>
      <c r="D2482" t="s">
        <v>40</v>
      </c>
      <c r="E2482" t="s">
        <v>41</v>
      </c>
      <c r="J2482" t="s">
        <v>62</v>
      </c>
      <c r="K2482" t="s">
        <v>63</v>
      </c>
      <c r="L2482">
        <v>11</v>
      </c>
      <c r="M2482" t="s">
        <v>8349</v>
      </c>
      <c r="N2482" t="s">
        <v>64</v>
      </c>
      <c r="O2482" t="s">
        <v>46</v>
      </c>
      <c r="P2482" t="s">
        <v>46</v>
      </c>
      <c r="Y2482" t="s">
        <v>8353</v>
      </c>
    </row>
    <row r="2483" spans="1:25">
      <c r="A2483" t="s">
        <v>8354</v>
      </c>
      <c r="B2483" t="s">
        <v>8355</v>
      </c>
      <c r="D2483" t="s">
        <v>40</v>
      </c>
      <c r="E2483" t="s">
        <v>41</v>
      </c>
      <c r="J2483" t="s">
        <v>288</v>
      </c>
      <c r="K2483" t="s">
        <v>289</v>
      </c>
      <c r="L2483">
        <v>11</v>
      </c>
      <c r="M2483" t="s">
        <v>8349</v>
      </c>
      <c r="N2483" t="s">
        <v>291</v>
      </c>
      <c r="O2483" t="s">
        <v>46</v>
      </c>
      <c r="P2483" t="s">
        <v>46</v>
      </c>
      <c r="Y2483" t="s">
        <v>8356</v>
      </c>
    </row>
    <row r="2484" spans="1:25">
      <c r="A2484" t="s">
        <v>8357</v>
      </c>
      <c r="B2484" t="s">
        <v>8358</v>
      </c>
      <c r="D2484" t="s">
        <v>40</v>
      </c>
      <c r="E2484" t="s">
        <v>41</v>
      </c>
      <c r="J2484" t="s">
        <v>50</v>
      </c>
      <c r="K2484" t="s">
        <v>51</v>
      </c>
      <c r="L2484">
        <v>10</v>
      </c>
      <c r="M2484" t="s">
        <v>8349</v>
      </c>
      <c r="N2484" t="s">
        <v>296</v>
      </c>
      <c r="O2484" t="s">
        <v>46</v>
      </c>
      <c r="P2484" t="s">
        <v>46</v>
      </c>
      <c r="Y2484" t="s">
        <v>8359</v>
      </c>
    </row>
    <row r="2485" spans="1:25">
      <c r="A2485" t="s">
        <v>8360</v>
      </c>
      <c r="B2485" t="s">
        <v>8361</v>
      </c>
      <c r="D2485" t="s">
        <v>40</v>
      </c>
      <c r="E2485" t="s">
        <v>41</v>
      </c>
      <c r="J2485" t="s">
        <v>50</v>
      </c>
      <c r="K2485" t="s">
        <v>51</v>
      </c>
      <c r="L2485">
        <v>11</v>
      </c>
      <c r="M2485" t="s">
        <v>8349</v>
      </c>
      <c r="N2485" t="s">
        <v>350</v>
      </c>
      <c r="O2485" t="s">
        <v>46</v>
      </c>
      <c r="P2485" t="s">
        <v>46</v>
      </c>
      <c r="Y2485" t="s">
        <v>8362</v>
      </c>
    </row>
    <row r="2486" spans="1:25">
      <c r="A2486" t="s">
        <v>8363</v>
      </c>
      <c r="B2486" t="s">
        <v>8364</v>
      </c>
      <c r="D2486" t="s">
        <v>40</v>
      </c>
      <c r="E2486" t="s">
        <v>41</v>
      </c>
      <c r="J2486" t="s">
        <v>182</v>
      </c>
      <c r="K2486" t="s">
        <v>183</v>
      </c>
      <c r="L2486">
        <v>11</v>
      </c>
      <c r="M2486" t="s">
        <v>8349</v>
      </c>
      <c r="N2486" t="s">
        <v>64</v>
      </c>
      <c r="O2486" t="s">
        <v>46</v>
      </c>
      <c r="P2486" t="s">
        <v>46</v>
      </c>
      <c r="Y2486" t="s">
        <v>8365</v>
      </c>
    </row>
    <row r="2487" spans="1:25">
      <c r="A2487" t="s">
        <v>8366</v>
      </c>
      <c r="B2487" t="s">
        <v>8367</v>
      </c>
      <c r="D2487" t="s">
        <v>40</v>
      </c>
      <c r="E2487" t="s">
        <v>41</v>
      </c>
      <c r="J2487" t="s">
        <v>68</v>
      </c>
      <c r="K2487" t="s">
        <v>69</v>
      </c>
      <c r="L2487">
        <v>11</v>
      </c>
      <c r="M2487" t="s">
        <v>8368</v>
      </c>
      <c r="N2487" t="s">
        <v>64</v>
      </c>
      <c r="O2487" t="s">
        <v>46</v>
      </c>
      <c r="P2487" t="s">
        <v>46</v>
      </c>
      <c r="Y2487" t="s">
        <v>8369</v>
      </c>
    </row>
    <row r="2488" spans="1:25">
      <c r="A2488" t="s">
        <v>8370</v>
      </c>
      <c r="B2488" t="s">
        <v>8371</v>
      </c>
      <c r="D2488" t="s">
        <v>40</v>
      </c>
      <c r="E2488" t="s">
        <v>41</v>
      </c>
      <c r="J2488" t="s">
        <v>68</v>
      </c>
      <c r="K2488" t="s">
        <v>69</v>
      </c>
      <c r="L2488">
        <v>11</v>
      </c>
      <c r="M2488" t="s">
        <v>8372</v>
      </c>
      <c r="N2488" t="s">
        <v>64</v>
      </c>
      <c r="O2488" t="s">
        <v>46</v>
      </c>
      <c r="P2488" t="s">
        <v>46</v>
      </c>
      <c r="Y2488" t="s">
        <v>8373</v>
      </c>
    </row>
    <row r="2489" spans="1:25">
      <c r="A2489" t="s">
        <v>8374</v>
      </c>
      <c r="B2489" t="s">
        <v>8375</v>
      </c>
      <c r="D2489" t="s">
        <v>40</v>
      </c>
      <c r="E2489" t="s">
        <v>41</v>
      </c>
      <c r="J2489" t="s">
        <v>182</v>
      </c>
      <c r="K2489" t="s">
        <v>183</v>
      </c>
      <c r="L2489">
        <v>11</v>
      </c>
      <c r="M2489" t="s">
        <v>8372</v>
      </c>
      <c r="N2489" t="s">
        <v>64</v>
      </c>
      <c r="O2489" t="s">
        <v>46</v>
      </c>
      <c r="P2489" t="s">
        <v>46</v>
      </c>
      <c r="Y2489" t="s">
        <v>8376</v>
      </c>
    </row>
    <row r="2490" spans="1:25">
      <c r="A2490" t="s">
        <v>8377</v>
      </c>
      <c r="B2490" t="s">
        <v>8378</v>
      </c>
      <c r="D2490" t="s">
        <v>40</v>
      </c>
      <c r="E2490" t="s">
        <v>41</v>
      </c>
      <c r="J2490" t="s">
        <v>68</v>
      </c>
      <c r="K2490" t="s">
        <v>69</v>
      </c>
      <c r="L2490">
        <v>11</v>
      </c>
      <c r="M2490" t="s">
        <v>8379</v>
      </c>
      <c r="N2490" t="s">
        <v>64</v>
      </c>
      <c r="O2490" t="s">
        <v>46</v>
      </c>
      <c r="P2490" t="s">
        <v>46</v>
      </c>
      <c r="Y2490" t="s">
        <v>8380</v>
      </c>
    </row>
    <row r="2491" spans="1:25">
      <c r="A2491" t="s">
        <v>8381</v>
      </c>
      <c r="B2491" t="s">
        <v>8382</v>
      </c>
      <c r="D2491" t="s">
        <v>40</v>
      </c>
      <c r="E2491" t="s">
        <v>41</v>
      </c>
      <c r="J2491" t="s">
        <v>182</v>
      </c>
      <c r="K2491" t="s">
        <v>183</v>
      </c>
      <c r="L2491">
        <v>11</v>
      </c>
      <c r="M2491" t="s">
        <v>8379</v>
      </c>
      <c r="N2491" t="s">
        <v>64</v>
      </c>
      <c r="O2491" t="s">
        <v>46</v>
      </c>
      <c r="P2491" t="s">
        <v>46</v>
      </c>
      <c r="Y2491" t="s">
        <v>8383</v>
      </c>
    </row>
    <row r="2492" spans="1:25">
      <c r="A2492" t="s">
        <v>8384</v>
      </c>
      <c r="B2492" t="s">
        <v>8385</v>
      </c>
      <c r="D2492" t="s">
        <v>40</v>
      </c>
      <c r="E2492" t="s">
        <v>41</v>
      </c>
      <c r="J2492" t="s">
        <v>76</v>
      </c>
      <c r="K2492" t="s">
        <v>77</v>
      </c>
      <c r="L2492">
        <v>10</v>
      </c>
      <c r="M2492" t="s">
        <v>8386</v>
      </c>
      <c r="N2492" t="s">
        <v>64</v>
      </c>
      <c r="O2492" t="s">
        <v>46</v>
      </c>
      <c r="P2492" t="s">
        <v>46</v>
      </c>
      <c r="Y2492" t="s">
        <v>8387</v>
      </c>
    </row>
    <row r="2493" spans="1:25">
      <c r="A2493" t="s">
        <v>8388</v>
      </c>
      <c r="B2493" t="s">
        <v>8389</v>
      </c>
      <c r="D2493" t="s">
        <v>40</v>
      </c>
      <c r="E2493" t="s">
        <v>41</v>
      </c>
      <c r="J2493" t="s">
        <v>182</v>
      </c>
      <c r="K2493" t="s">
        <v>183</v>
      </c>
      <c r="L2493">
        <v>10</v>
      </c>
      <c r="M2493" t="s">
        <v>8386</v>
      </c>
      <c r="N2493" t="s">
        <v>64</v>
      </c>
      <c r="O2493" t="s">
        <v>46</v>
      </c>
      <c r="P2493" t="s">
        <v>46</v>
      </c>
      <c r="Y2493" t="s">
        <v>8390</v>
      </c>
    </row>
    <row r="2494" spans="1:25">
      <c r="A2494" t="s">
        <v>8391</v>
      </c>
      <c r="B2494" t="s">
        <v>8392</v>
      </c>
      <c r="D2494" t="s">
        <v>40</v>
      </c>
      <c r="E2494" t="s">
        <v>41</v>
      </c>
      <c r="J2494" t="s">
        <v>68</v>
      </c>
      <c r="K2494" t="s">
        <v>69</v>
      </c>
      <c r="L2494">
        <v>10</v>
      </c>
      <c r="M2494" t="s">
        <v>8386</v>
      </c>
      <c r="N2494" t="s">
        <v>64</v>
      </c>
      <c r="O2494" t="s">
        <v>46</v>
      </c>
      <c r="P2494" t="s">
        <v>46</v>
      </c>
      <c r="Y2494" t="s">
        <v>8393</v>
      </c>
    </row>
    <row r="2495" spans="1:25">
      <c r="A2495" t="s">
        <v>8394</v>
      </c>
      <c r="B2495" t="s">
        <v>8395</v>
      </c>
      <c r="D2495" t="s">
        <v>40</v>
      </c>
      <c r="E2495" t="s">
        <v>41</v>
      </c>
      <c r="J2495" t="s">
        <v>182</v>
      </c>
      <c r="K2495" t="s">
        <v>183</v>
      </c>
      <c r="L2495">
        <v>10</v>
      </c>
      <c r="M2495" t="s">
        <v>8386</v>
      </c>
      <c r="N2495" t="s">
        <v>64</v>
      </c>
      <c r="O2495" t="s">
        <v>46</v>
      </c>
      <c r="P2495" t="s">
        <v>46</v>
      </c>
      <c r="Y2495" t="s">
        <v>8396</v>
      </c>
    </row>
    <row r="2496" spans="1:25">
      <c r="A2496" t="s">
        <v>8397</v>
      </c>
      <c r="B2496" t="s">
        <v>8398</v>
      </c>
      <c r="D2496" t="s">
        <v>40</v>
      </c>
      <c r="E2496" t="s">
        <v>41</v>
      </c>
      <c r="J2496" t="s">
        <v>68</v>
      </c>
      <c r="K2496" t="s">
        <v>69</v>
      </c>
      <c r="L2496">
        <v>10</v>
      </c>
      <c r="M2496" t="s">
        <v>8399</v>
      </c>
      <c r="N2496" t="s">
        <v>64</v>
      </c>
      <c r="O2496" t="s">
        <v>46</v>
      </c>
      <c r="P2496" t="s">
        <v>46</v>
      </c>
      <c r="Y2496" t="s">
        <v>8400</v>
      </c>
    </row>
    <row r="2497" spans="1:25">
      <c r="A2497" t="s">
        <v>8401</v>
      </c>
      <c r="B2497" t="s">
        <v>8402</v>
      </c>
      <c r="D2497" t="s">
        <v>40</v>
      </c>
      <c r="E2497" t="s">
        <v>41</v>
      </c>
      <c r="J2497" t="s">
        <v>76</v>
      </c>
      <c r="K2497" t="s">
        <v>77</v>
      </c>
      <c r="L2497">
        <v>10</v>
      </c>
      <c r="M2497" t="s">
        <v>8399</v>
      </c>
      <c r="N2497" t="s">
        <v>64</v>
      </c>
      <c r="O2497" t="s">
        <v>46</v>
      </c>
      <c r="P2497" t="s">
        <v>46</v>
      </c>
      <c r="Y2497" t="s">
        <v>8403</v>
      </c>
    </row>
    <row r="2498" spans="1:25">
      <c r="A2498" t="s">
        <v>8404</v>
      </c>
      <c r="B2498" t="s">
        <v>8405</v>
      </c>
      <c r="D2498" t="s">
        <v>40</v>
      </c>
      <c r="E2498" t="s">
        <v>41</v>
      </c>
      <c r="J2498" t="s">
        <v>182</v>
      </c>
      <c r="K2498" t="s">
        <v>183</v>
      </c>
      <c r="L2498">
        <v>10</v>
      </c>
      <c r="M2498" t="s">
        <v>8399</v>
      </c>
      <c r="N2498" t="s">
        <v>64</v>
      </c>
      <c r="O2498" t="s">
        <v>46</v>
      </c>
      <c r="P2498" t="s">
        <v>46</v>
      </c>
      <c r="Y2498" t="s">
        <v>8406</v>
      </c>
    </row>
    <row r="2499" spans="1:25">
      <c r="A2499" t="s">
        <v>8407</v>
      </c>
      <c r="B2499" t="s">
        <v>8408</v>
      </c>
      <c r="D2499" t="s">
        <v>40</v>
      </c>
      <c r="E2499" t="s">
        <v>41</v>
      </c>
      <c r="J2499" t="s">
        <v>76</v>
      </c>
      <c r="K2499" t="s">
        <v>77</v>
      </c>
      <c r="L2499">
        <v>10</v>
      </c>
      <c r="M2499" t="s">
        <v>8399</v>
      </c>
      <c r="N2499" t="s">
        <v>64</v>
      </c>
      <c r="O2499" t="s">
        <v>46</v>
      </c>
      <c r="P2499" t="s">
        <v>46</v>
      </c>
      <c r="Y2499" t="s">
        <v>8409</v>
      </c>
    </row>
    <row r="2500" spans="1:25">
      <c r="A2500" t="s">
        <v>8410</v>
      </c>
      <c r="B2500" t="s">
        <v>8411</v>
      </c>
      <c r="D2500" t="s">
        <v>40</v>
      </c>
      <c r="E2500" t="s">
        <v>41</v>
      </c>
      <c r="J2500" t="s">
        <v>182</v>
      </c>
      <c r="K2500" t="s">
        <v>183</v>
      </c>
      <c r="L2500">
        <v>10</v>
      </c>
      <c r="M2500" t="s">
        <v>8412</v>
      </c>
      <c r="N2500" t="s">
        <v>64</v>
      </c>
      <c r="O2500" t="s">
        <v>46</v>
      </c>
      <c r="P2500" t="s">
        <v>46</v>
      </c>
      <c r="Y2500" t="s">
        <v>8413</v>
      </c>
    </row>
    <row r="2501" spans="1:25">
      <c r="A2501" t="s">
        <v>8414</v>
      </c>
      <c r="B2501" t="s">
        <v>8415</v>
      </c>
      <c r="D2501" t="s">
        <v>40</v>
      </c>
      <c r="E2501" t="s">
        <v>41</v>
      </c>
      <c r="J2501" t="s">
        <v>182</v>
      </c>
      <c r="K2501" t="s">
        <v>183</v>
      </c>
      <c r="L2501">
        <v>10</v>
      </c>
      <c r="M2501" t="s">
        <v>8412</v>
      </c>
      <c r="N2501" t="s">
        <v>64</v>
      </c>
      <c r="O2501" t="s">
        <v>46</v>
      </c>
      <c r="P2501" t="s">
        <v>46</v>
      </c>
      <c r="Y2501" t="s">
        <v>8416</v>
      </c>
    </row>
    <row r="2502" spans="1:25">
      <c r="A2502" t="s">
        <v>8417</v>
      </c>
      <c r="B2502" t="s">
        <v>8418</v>
      </c>
      <c r="D2502" t="s">
        <v>40</v>
      </c>
      <c r="E2502" t="s">
        <v>41</v>
      </c>
      <c r="J2502" t="s">
        <v>42</v>
      </c>
      <c r="K2502" t="s">
        <v>43</v>
      </c>
      <c r="L2502">
        <v>10</v>
      </c>
      <c r="M2502" t="s">
        <v>8412</v>
      </c>
      <c r="N2502" t="s">
        <v>1047</v>
      </c>
      <c r="O2502" t="s">
        <v>46</v>
      </c>
      <c r="P2502" t="s">
        <v>46</v>
      </c>
      <c r="Y2502" t="s">
        <v>8419</v>
      </c>
    </row>
    <row r="2503" spans="1:25">
      <c r="A2503" t="s">
        <v>8420</v>
      </c>
      <c r="B2503" t="s">
        <v>8421</v>
      </c>
      <c r="D2503" t="s">
        <v>40</v>
      </c>
      <c r="E2503" t="s">
        <v>41</v>
      </c>
      <c r="J2503" t="s">
        <v>76</v>
      </c>
      <c r="K2503" t="s">
        <v>77</v>
      </c>
      <c r="L2503">
        <v>10</v>
      </c>
      <c r="M2503" t="s">
        <v>8422</v>
      </c>
      <c r="N2503" t="s">
        <v>64</v>
      </c>
      <c r="O2503" t="s">
        <v>46</v>
      </c>
      <c r="P2503" t="s">
        <v>46</v>
      </c>
      <c r="Y2503" t="s">
        <v>8423</v>
      </c>
    </row>
    <row r="2504" spans="1:25">
      <c r="A2504" t="s">
        <v>8424</v>
      </c>
      <c r="B2504" t="s">
        <v>8425</v>
      </c>
      <c r="D2504" t="s">
        <v>40</v>
      </c>
      <c r="E2504" t="s">
        <v>41</v>
      </c>
      <c r="J2504" t="s">
        <v>68</v>
      </c>
      <c r="K2504" t="s">
        <v>69</v>
      </c>
      <c r="L2504">
        <v>10</v>
      </c>
      <c r="M2504" t="s">
        <v>8422</v>
      </c>
      <c r="N2504" t="s">
        <v>64</v>
      </c>
      <c r="O2504" t="s">
        <v>46</v>
      </c>
      <c r="P2504" t="s">
        <v>46</v>
      </c>
      <c r="Y2504" t="s">
        <v>8426</v>
      </c>
    </row>
    <row r="2505" spans="1:25">
      <c r="A2505" t="s">
        <v>8427</v>
      </c>
      <c r="B2505" t="s">
        <v>8428</v>
      </c>
      <c r="D2505" t="s">
        <v>40</v>
      </c>
      <c r="E2505" t="s">
        <v>41</v>
      </c>
      <c r="J2505" t="s">
        <v>182</v>
      </c>
      <c r="K2505" t="s">
        <v>183</v>
      </c>
      <c r="L2505">
        <v>10</v>
      </c>
      <c r="M2505" t="s">
        <v>8429</v>
      </c>
      <c r="N2505" t="s">
        <v>64</v>
      </c>
      <c r="O2505" t="s">
        <v>46</v>
      </c>
      <c r="P2505" t="s">
        <v>46</v>
      </c>
      <c r="Y2505" t="s">
        <v>8430</v>
      </c>
    </row>
    <row r="2506" spans="1:25">
      <c r="A2506" t="s">
        <v>8431</v>
      </c>
      <c r="B2506" t="s">
        <v>8432</v>
      </c>
      <c r="D2506" t="s">
        <v>40</v>
      </c>
      <c r="E2506" t="s">
        <v>41</v>
      </c>
      <c r="J2506" t="s">
        <v>68</v>
      </c>
      <c r="K2506" t="s">
        <v>69</v>
      </c>
      <c r="L2506">
        <v>10</v>
      </c>
      <c r="M2506" t="s">
        <v>8433</v>
      </c>
      <c r="N2506" t="s">
        <v>64</v>
      </c>
      <c r="O2506" t="s">
        <v>46</v>
      </c>
      <c r="P2506" t="s">
        <v>46</v>
      </c>
      <c r="Y2506" t="s">
        <v>8434</v>
      </c>
    </row>
    <row r="2507" spans="1:25">
      <c r="A2507" t="s">
        <v>8435</v>
      </c>
      <c r="B2507" t="s">
        <v>8436</v>
      </c>
      <c r="D2507" t="s">
        <v>40</v>
      </c>
      <c r="E2507" t="s">
        <v>41</v>
      </c>
      <c r="J2507" t="s">
        <v>42</v>
      </c>
      <c r="K2507" t="s">
        <v>43</v>
      </c>
      <c r="L2507">
        <v>10</v>
      </c>
      <c r="M2507" t="s">
        <v>8433</v>
      </c>
      <c r="N2507" t="s">
        <v>2154</v>
      </c>
      <c r="O2507" t="s">
        <v>46</v>
      </c>
      <c r="P2507" t="s">
        <v>46</v>
      </c>
      <c r="Y2507" t="s">
        <v>8437</v>
      </c>
    </row>
    <row r="2508" spans="1:25">
      <c r="A2508" t="s">
        <v>8438</v>
      </c>
      <c r="B2508" t="s">
        <v>8439</v>
      </c>
      <c r="D2508" t="s">
        <v>40</v>
      </c>
      <c r="E2508" t="s">
        <v>41</v>
      </c>
      <c r="J2508" t="s">
        <v>42</v>
      </c>
      <c r="K2508" t="s">
        <v>43</v>
      </c>
      <c r="L2508">
        <v>10</v>
      </c>
      <c r="M2508" t="s">
        <v>8440</v>
      </c>
      <c r="N2508" t="s">
        <v>741</v>
      </c>
      <c r="O2508" t="s">
        <v>46</v>
      </c>
      <c r="P2508" t="s">
        <v>46</v>
      </c>
      <c r="Y2508" t="s">
        <v>8441</v>
      </c>
    </row>
    <row r="2509" spans="1:25">
      <c r="A2509" t="s">
        <v>8442</v>
      </c>
      <c r="B2509" t="s">
        <v>8443</v>
      </c>
      <c r="D2509" t="s">
        <v>40</v>
      </c>
      <c r="E2509" t="s">
        <v>41</v>
      </c>
      <c r="J2509" t="s">
        <v>42</v>
      </c>
      <c r="K2509" t="s">
        <v>43</v>
      </c>
      <c r="L2509">
        <v>10</v>
      </c>
      <c r="M2509" t="s">
        <v>8444</v>
      </c>
      <c r="N2509" t="s">
        <v>45</v>
      </c>
      <c r="O2509" t="s">
        <v>46</v>
      </c>
      <c r="P2509" t="s">
        <v>46</v>
      </c>
      <c r="Y2509" t="s">
        <v>8445</v>
      </c>
    </row>
    <row r="2510" spans="1:25">
      <c r="A2510" t="s">
        <v>8446</v>
      </c>
      <c r="B2510" t="s">
        <v>8447</v>
      </c>
      <c r="D2510" t="s">
        <v>40</v>
      </c>
      <c r="E2510" t="s">
        <v>41</v>
      </c>
      <c r="J2510" t="s">
        <v>76</v>
      </c>
      <c r="K2510" t="s">
        <v>77</v>
      </c>
      <c r="L2510">
        <v>10</v>
      </c>
      <c r="M2510" t="s">
        <v>8448</v>
      </c>
      <c r="N2510" t="s">
        <v>64</v>
      </c>
      <c r="O2510" t="s">
        <v>46</v>
      </c>
      <c r="P2510" t="s">
        <v>46</v>
      </c>
      <c r="Y2510" t="s">
        <v>8449</v>
      </c>
    </row>
    <row r="2511" spans="1:25">
      <c r="A2511" t="s">
        <v>8450</v>
      </c>
      <c r="B2511" t="s">
        <v>8451</v>
      </c>
      <c r="D2511" t="s">
        <v>40</v>
      </c>
      <c r="E2511" t="s">
        <v>41</v>
      </c>
      <c r="J2511" t="s">
        <v>182</v>
      </c>
      <c r="K2511" t="s">
        <v>183</v>
      </c>
      <c r="L2511">
        <v>10</v>
      </c>
      <c r="M2511" t="s">
        <v>8452</v>
      </c>
      <c r="N2511" t="s">
        <v>64</v>
      </c>
      <c r="O2511" t="s">
        <v>46</v>
      </c>
      <c r="P2511" t="s">
        <v>46</v>
      </c>
      <c r="Y2511" t="s">
        <v>8453</v>
      </c>
    </row>
    <row r="2512" spans="1:25">
      <c r="A2512" t="s">
        <v>8454</v>
      </c>
      <c r="B2512" t="s">
        <v>8455</v>
      </c>
      <c r="D2512" t="s">
        <v>40</v>
      </c>
      <c r="E2512" t="s">
        <v>41</v>
      </c>
      <c r="J2512" t="s">
        <v>50</v>
      </c>
      <c r="K2512" t="s">
        <v>51</v>
      </c>
      <c r="L2512">
        <v>10</v>
      </c>
      <c r="M2512" t="s">
        <v>8452</v>
      </c>
      <c r="N2512" t="s">
        <v>617</v>
      </c>
      <c r="O2512" t="s">
        <v>46</v>
      </c>
      <c r="P2512" t="s">
        <v>46</v>
      </c>
      <c r="Y2512" t="s">
        <v>8456</v>
      </c>
    </row>
    <row r="2513" spans="1:25">
      <c r="A2513" t="s">
        <v>8457</v>
      </c>
      <c r="B2513" t="s">
        <v>8458</v>
      </c>
      <c r="D2513" t="s">
        <v>40</v>
      </c>
      <c r="E2513" t="s">
        <v>41</v>
      </c>
      <c r="J2513" t="s">
        <v>76</v>
      </c>
      <c r="K2513" t="s">
        <v>77</v>
      </c>
      <c r="L2513">
        <v>10</v>
      </c>
      <c r="M2513" t="s">
        <v>8452</v>
      </c>
      <c r="N2513" t="s">
        <v>64</v>
      </c>
      <c r="O2513" t="s">
        <v>46</v>
      </c>
      <c r="P2513" t="s">
        <v>46</v>
      </c>
      <c r="Y2513" t="s">
        <v>8459</v>
      </c>
    </row>
    <row r="2514" spans="1:25">
      <c r="A2514" t="s">
        <v>8460</v>
      </c>
      <c r="B2514" t="s">
        <v>8461</v>
      </c>
      <c r="D2514" t="s">
        <v>40</v>
      </c>
      <c r="E2514" t="s">
        <v>41</v>
      </c>
      <c r="J2514" t="s">
        <v>182</v>
      </c>
      <c r="K2514" t="s">
        <v>183</v>
      </c>
      <c r="L2514">
        <v>10</v>
      </c>
      <c r="M2514" t="s">
        <v>8452</v>
      </c>
      <c r="N2514" t="s">
        <v>64</v>
      </c>
      <c r="O2514" t="s">
        <v>46</v>
      </c>
      <c r="P2514" t="s">
        <v>46</v>
      </c>
      <c r="Y2514" t="s">
        <v>8462</v>
      </c>
    </row>
    <row r="2515" spans="1:25">
      <c r="A2515" t="s">
        <v>8463</v>
      </c>
      <c r="B2515" t="s">
        <v>8464</v>
      </c>
      <c r="D2515" t="s">
        <v>40</v>
      </c>
      <c r="E2515" t="s">
        <v>41</v>
      </c>
      <c r="J2515" t="s">
        <v>50</v>
      </c>
      <c r="K2515" t="s">
        <v>51</v>
      </c>
      <c r="L2515">
        <v>10</v>
      </c>
      <c r="M2515" t="s">
        <v>8452</v>
      </c>
      <c r="N2515" t="s">
        <v>1258</v>
      </c>
      <c r="O2515" t="s">
        <v>46</v>
      </c>
      <c r="P2515" t="s">
        <v>46</v>
      </c>
      <c r="Y2515" t="s">
        <v>8465</v>
      </c>
    </row>
    <row r="2516" spans="1:25">
      <c r="A2516" t="s">
        <v>8466</v>
      </c>
      <c r="B2516" t="s">
        <v>8467</v>
      </c>
      <c r="D2516" t="s">
        <v>40</v>
      </c>
      <c r="E2516" t="s">
        <v>41</v>
      </c>
      <c r="J2516" t="s">
        <v>68</v>
      </c>
      <c r="K2516" t="s">
        <v>69</v>
      </c>
      <c r="L2516">
        <v>10</v>
      </c>
      <c r="M2516" t="s">
        <v>8452</v>
      </c>
      <c r="N2516" t="s">
        <v>64</v>
      </c>
      <c r="O2516" t="s">
        <v>46</v>
      </c>
      <c r="P2516" t="s">
        <v>46</v>
      </c>
      <c r="Y2516" t="s">
        <v>8468</v>
      </c>
    </row>
    <row r="2517" spans="1:25">
      <c r="A2517" t="s">
        <v>8469</v>
      </c>
      <c r="B2517" t="s">
        <v>8470</v>
      </c>
      <c r="D2517" t="s">
        <v>40</v>
      </c>
      <c r="E2517" t="s">
        <v>41</v>
      </c>
      <c r="J2517" t="s">
        <v>76</v>
      </c>
      <c r="K2517" t="s">
        <v>77</v>
      </c>
      <c r="L2517">
        <v>10</v>
      </c>
      <c r="M2517" t="s">
        <v>8471</v>
      </c>
      <c r="N2517" t="s">
        <v>64</v>
      </c>
      <c r="O2517" t="s">
        <v>46</v>
      </c>
      <c r="P2517" t="s">
        <v>46</v>
      </c>
      <c r="Y2517" t="s">
        <v>8472</v>
      </c>
    </row>
    <row r="2518" spans="1:25">
      <c r="A2518" t="s">
        <v>8473</v>
      </c>
      <c r="B2518" t="s">
        <v>8474</v>
      </c>
      <c r="D2518" t="s">
        <v>40</v>
      </c>
      <c r="E2518" t="s">
        <v>41</v>
      </c>
      <c r="J2518" t="s">
        <v>42</v>
      </c>
      <c r="K2518" t="s">
        <v>43</v>
      </c>
      <c r="L2518">
        <v>10</v>
      </c>
      <c r="M2518" t="s">
        <v>8471</v>
      </c>
      <c r="N2518" t="s">
        <v>2154</v>
      </c>
      <c r="O2518" t="s">
        <v>46</v>
      </c>
      <c r="P2518" t="s">
        <v>46</v>
      </c>
      <c r="Y2518" t="s">
        <v>8475</v>
      </c>
    </row>
    <row r="2519" spans="1:25">
      <c r="A2519" t="s">
        <v>8476</v>
      </c>
      <c r="B2519" t="s">
        <v>8477</v>
      </c>
      <c r="D2519" t="s">
        <v>40</v>
      </c>
      <c r="E2519" t="s">
        <v>41</v>
      </c>
      <c r="J2519" t="s">
        <v>68</v>
      </c>
      <c r="K2519" t="s">
        <v>69</v>
      </c>
      <c r="L2519">
        <v>10</v>
      </c>
      <c r="M2519" t="s">
        <v>8471</v>
      </c>
      <c r="N2519" t="s">
        <v>64</v>
      </c>
      <c r="O2519" t="s">
        <v>46</v>
      </c>
      <c r="P2519" t="s">
        <v>46</v>
      </c>
      <c r="Y2519" t="s">
        <v>8478</v>
      </c>
    </row>
    <row r="2520" spans="1:25">
      <c r="A2520" t="s">
        <v>8479</v>
      </c>
      <c r="B2520" t="s">
        <v>8480</v>
      </c>
      <c r="D2520" t="s">
        <v>40</v>
      </c>
      <c r="E2520" t="s">
        <v>41</v>
      </c>
      <c r="J2520" t="s">
        <v>182</v>
      </c>
      <c r="K2520" t="s">
        <v>183</v>
      </c>
      <c r="L2520">
        <v>10</v>
      </c>
      <c r="M2520" t="s">
        <v>8481</v>
      </c>
      <c r="N2520" t="s">
        <v>64</v>
      </c>
      <c r="O2520" t="s">
        <v>46</v>
      </c>
      <c r="P2520" t="s">
        <v>46</v>
      </c>
      <c r="Y2520" t="s">
        <v>8482</v>
      </c>
    </row>
    <row r="2521" spans="1:25">
      <c r="A2521" t="s">
        <v>8483</v>
      </c>
      <c r="B2521" t="s">
        <v>8484</v>
      </c>
      <c r="D2521" t="s">
        <v>40</v>
      </c>
      <c r="E2521" t="s">
        <v>41</v>
      </c>
      <c r="J2521" t="s">
        <v>182</v>
      </c>
      <c r="K2521" t="s">
        <v>183</v>
      </c>
      <c r="L2521">
        <v>10</v>
      </c>
      <c r="M2521" t="s">
        <v>8481</v>
      </c>
      <c r="N2521" t="s">
        <v>64</v>
      </c>
      <c r="O2521" t="s">
        <v>46</v>
      </c>
      <c r="P2521" t="s">
        <v>46</v>
      </c>
      <c r="Y2521" t="s">
        <v>8485</v>
      </c>
    </row>
    <row r="2522" spans="1:25">
      <c r="A2522" t="s">
        <v>8486</v>
      </c>
      <c r="B2522" t="s">
        <v>8487</v>
      </c>
      <c r="D2522" t="s">
        <v>40</v>
      </c>
      <c r="E2522" t="s">
        <v>41</v>
      </c>
      <c r="J2522" t="s">
        <v>182</v>
      </c>
      <c r="K2522" t="s">
        <v>183</v>
      </c>
      <c r="L2522">
        <v>10</v>
      </c>
      <c r="M2522" t="s">
        <v>8481</v>
      </c>
      <c r="N2522" t="s">
        <v>64</v>
      </c>
      <c r="O2522" t="s">
        <v>46</v>
      </c>
      <c r="P2522" t="s">
        <v>46</v>
      </c>
      <c r="Y2522" t="s">
        <v>8488</v>
      </c>
    </row>
    <row r="2523" spans="1:25">
      <c r="A2523" t="s">
        <v>8489</v>
      </c>
      <c r="B2523" t="s">
        <v>8490</v>
      </c>
      <c r="D2523" t="s">
        <v>40</v>
      </c>
      <c r="E2523" t="s">
        <v>41</v>
      </c>
      <c r="J2523" t="s">
        <v>182</v>
      </c>
      <c r="K2523" t="s">
        <v>183</v>
      </c>
      <c r="L2523">
        <v>10</v>
      </c>
      <c r="M2523" t="s">
        <v>8481</v>
      </c>
      <c r="N2523" t="s">
        <v>64</v>
      </c>
      <c r="O2523" t="s">
        <v>46</v>
      </c>
      <c r="P2523" t="s">
        <v>46</v>
      </c>
      <c r="Y2523" t="s">
        <v>8491</v>
      </c>
    </row>
    <row r="2524" spans="1:25">
      <c r="A2524" t="s">
        <v>8492</v>
      </c>
      <c r="B2524" t="s">
        <v>8493</v>
      </c>
      <c r="D2524" t="s">
        <v>40</v>
      </c>
      <c r="E2524" t="s">
        <v>41</v>
      </c>
      <c r="J2524" t="s">
        <v>139</v>
      </c>
      <c r="K2524" t="s">
        <v>140</v>
      </c>
      <c r="L2524">
        <v>10</v>
      </c>
      <c r="M2524" t="s">
        <v>8481</v>
      </c>
      <c r="N2524" t="s">
        <v>1047</v>
      </c>
      <c r="O2524" t="s">
        <v>46</v>
      </c>
      <c r="P2524" t="s">
        <v>46</v>
      </c>
      <c r="Y2524" t="s">
        <v>8494</v>
      </c>
    </row>
    <row r="2525" spans="1:25">
      <c r="A2525" t="s">
        <v>8495</v>
      </c>
      <c r="B2525" t="s">
        <v>8496</v>
      </c>
      <c r="D2525" t="s">
        <v>40</v>
      </c>
      <c r="E2525" t="s">
        <v>41</v>
      </c>
      <c r="J2525" t="s">
        <v>182</v>
      </c>
      <c r="K2525" t="s">
        <v>183</v>
      </c>
      <c r="L2525">
        <v>10</v>
      </c>
      <c r="M2525" t="s">
        <v>8497</v>
      </c>
      <c r="N2525" t="s">
        <v>64</v>
      </c>
      <c r="O2525" t="s">
        <v>46</v>
      </c>
      <c r="P2525" t="s">
        <v>46</v>
      </c>
      <c r="Y2525" t="s">
        <v>8498</v>
      </c>
    </row>
    <row r="2526" spans="1:25">
      <c r="A2526" t="s">
        <v>8499</v>
      </c>
      <c r="B2526" t="s">
        <v>8500</v>
      </c>
      <c r="D2526" t="s">
        <v>40</v>
      </c>
      <c r="E2526" t="s">
        <v>41</v>
      </c>
      <c r="J2526" t="s">
        <v>182</v>
      </c>
      <c r="K2526" t="s">
        <v>183</v>
      </c>
      <c r="L2526">
        <v>10</v>
      </c>
      <c r="M2526" t="s">
        <v>8501</v>
      </c>
      <c r="N2526" t="s">
        <v>64</v>
      </c>
      <c r="O2526" t="s">
        <v>46</v>
      </c>
      <c r="P2526" t="s">
        <v>46</v>
      </c>
      <c r="Y2526" t="s">
        <v>8502</v>
      </c>
    </row>
    <row r="2527" spans="1:25">
      <c r="A2527" t="s">
        <v>8503</v>
      </c>
      <c r="B2527" t="s">
        <v>8504</v>
      </c>
      <c r="D2527" t="s">
        <v>40</v>
      </c>
      <c r="E2527" t="s">
        <v>41</v>
      </c>
      <c r="J2527" t="s">
        <v>76</v>
      </c>
      <c r="K2527" t="s">
        <v>77</v>
      </c>
      <c r="L2527">
        <v>10</v>
      </c>
      <c r="M2527" t="s">
        <v>8505</v>
      </c>
      <c r="N2527" t="s">
        <v>64</v>
      </c>
      <c r="O2527" t="s">
        <v>46</v>
      </c>
      <c r="P2527" t="s">
        <v>46</v>
      </c>
      <c r="Y2527" t="s">
        <v>8506</v>
      </c>
    </row>
    <row r="2528" spans="1:25">
      <c r="A2528" t="s">
        <v>8507</v>
      </c>
      <c r="B2528" t="s">
        <v>8508</v>
      </c>
      <c r="D2528" t="s">
        <v>40</v>
      </c>
      <c r="E2528" t="s">
        <v>41</v>
      </c>
      <c r="J2528" t="s">
        <v>182</v>
      </c>
      <c r="K2528" t="s">
        <v>183</v>
      </c>
      <c r="L2528">
        <v>10</v>
      </c>
      <c r="M2528" t="s">
        <v>8505</v>
      </c>
      <c r="N2528" t="s">
        <v>64</v>
      </c>
      <c r="O2528" t="s">
        <v>46</v>
      </c>
      <c r="P2528" t="s">
        <v>46</v>
      </c>
      <c r="Y2528" t="s">
        <v>8509</v>
      </c>
    </row>
    <row r="2529" spans="1:25">
      <c r="A2529" t="s">
        <v>8510</v>
      </c>
      <c r="B2529" t="s">
        <v>8511</v>
      </c>
      <c r="D2529" t="s">
        <v>40</v>
      </c>
      <c r="E2529" t="s">
        <v>41</v>
      </c>
      <c r="J2529" t="s">
        <v>248</v>
      </c>
      <c r="K2529" t="s">
        <v>249</v>
      </c>
      <c r="L2529">
        <v>10</v>
      </c>
      <c r="M2529" t="s">
        <v>8505</v>
      </c>
      <c r="N2529" t="s">
        <v>1189</v>
      </c>
      <c r="O2529" t="s">
        <v>46</v>
      </c>
      <c r="P2529" t="s">
        <v>46</v>
      </c>
      <c r="Y2529" t="s">
        <v>8512</v>
      </c>
    </row>
    <row r="2530" spans="1:25">
      <c r="A2530" t="s">
        <v>8513</v>
      </c>
      <c r="B2530" t="s">
        <v>8514</v>
      </c>
      <c r="D2530" t="s">
        <v>40</v>
      </c>
      <c r="E2530" t="s">
        <v>41</v>
      </c>
      <c r="J2530" t="s">
        <v>182</v>
      </c>
      <c r="K2530" t="s">
        <v>183</v>
      </c>
      <c r="L2530">
        <v>10</v>
      </c>
      <c r="M2530" t="s">
        <v>8505</v>
      </c>
      <c r="N2530" t="s">
        <v>64</v>
      </c>
      <c r="O2530" t="s">
        <v>46</v>
      </c>
      <c r="P2530" t="s">
        <v>46</v>
      </c>
      <c r="Y2530" t="s">
        <v>8515</v>
      </c>
    </row>
    <row r="2531" spans="1:25">
      <c r="A2531" t="s">
        <v>8516</v>
      </c>
      <c r="B2531" t="s">
        <v>8517</v>
      </c>
      <c r="D2531" t="s">
        <v>40</v>
      </c>
      <c r="E2531" t="s">
        <v>41</v>
      </c>
      <c r="J2531" t="s">
        <v>76</v>
      </c>
      <c r="K2531" t="s">
        <v>77</v>
      </c>
      <c r="L2531">
        <v>10</v>
      </c>
      <c r="M2531" t="s">
        <v>8518</v>
      </c>
      <c r="N2531" t="s">
        <v>64</v>
      </c>
      <c r="O2531" t="s">
        <v>46</v>
      </c>
      <c r="P2531" t="s">
        <v>46</v>
      </c>
      <c r="Y2531" t="s">
        <v>8519</v>
      </c>
    </row>
    <row r="2532" spans="1:25">
      <c r="A2532" t="s">
        <v>8520</v>
      </c>
      <c r="B2532" t="s">
        <v>8521</v>
      </c>
      <c r="D2532" t="s">
        <v>40</v>
      </c>
      <c r="E2532" t="s">
        <v>41</v>
      </c>
      <c r="J2532" t="s">
        <v>182</v>
      </c>
      <c r="K2532" t="s">
        <v>183</v>
      </c>
      <c r="L2532">
        <v>10</v>
      </c>
      <c r="M2532" t="s">
        <v>8518</v>
      </c>
      <c r="N2532" t="s">
        <v>64</v>
      </c>
      <c r="O2532" t="s">
        <v>46</v>
      </c>
      <c r="P2532" t="s">
        <v>46</v>
      </c>
      <c r="Y2532" t="s">
        <v>8522</v>
      </c>
    </row>
    <row r="2533" spans="1:25">
      <c r="A2533" t="s">
        <v>8523</v>
      </c>
      <c r="B2533" t="s">
        <v>8524</v>
      </c>
      <c r="D2533" t="s">
        <v>40</v>
      </c>
      <c r="E2533" t="s">
        <v>41</v>
      </c>
      <c r="J2533" t="s">
        <v>68</v>
      </c>
      <c r="K2533" t="s">
        <v>69</v>
      </c>
      <c r="L2533">
        <v>10</v>
      </c>
      <c r="M2533" t="s">
        <v>8518</v>
      </c>
      <c r="N2533" t="s">
        <v>64</v>
      </c>
      <c r="O2533" t="s">
        <v>46</v>
      </c>
      <c r="P2533" t="s">
        <v>46</v>
      </c>
      <c r="Y2533" t="s">
        <v>8525</v>
      </c>
    </row>
    <row r="2534" spans="1:25">
      <c r="A2534" t="s">
        <v>8526</v>
      </c>
      <c r="B2534" t="s">
        <v>8527</v>
      </c>
      <c r="D2534" t="s">
        <v>40</v>
      </c>
      <c r="E2534" t="s">
        <v>41</v>
      </c>
      <c r="J2534" t="s">
        <v>182</v>
      </c>
      <c r="K2534" t="s">
        <v>183</v>
      </c>
      <c r="L2534">
        <v>10</v>
      </c>
      <c r="M2534" t="s">
        <v>8518</v>
      </c>
      <c r="N2534" t="s">
        <v>64</v>
      </c>
      <c r="O2534" t="s">
        <v>46</v>
      </c>
      <c r="P2534" t="s">
        <v>46</v>
      </c>
      <c r="Y2534" t="s">
        <v>8528</v>
      </c>
    </row>
    <row r="2535" spans="1:25">
      <c r="A2535" t="s">
        <v>8529</v>
      </c>
      <c r="B2535" t="s">
        <v>8530</v>
      </c>
      <c r="D2535" t="s">
        <v>40</v>
      </c>
      <c r="E2535" t="s">
        <v>41</v>
      </c>
      <c r="J2535" t="s">
        <v>76</v>
      </c>
      <c r="K2535" t="s">
        <v>77</v>
      </c>
      <c r="L2535">
        <v>10</v>
      </c>
      <c r="M2535" t="s">
        <v>8531</v>
      </c>
      <c r="N2535" t="s">
        <v>64</v>
      </c>
      <c r="O2535" t="s">
        <v>46</v>
      </c>
      <c r="P2535" t="s">
        <v>46</v>
      </c>
      <c r="Y2535" t="s">
        <v>8532</v>
      </c>
    </row>
    <row r="2536" spans="1:25">
      <c r="A2536" t="s">
        <v>8533</v>
      </c>
      <c r="B2536" t="s">
        <v>8534</v>
      </c>
      <c r="D2536" t="s">
        <v>40</v>
      </c>
      <c r="E2536" t="s">
        <v>41</v>
      </c>
      <c r="J2536" t="s">
        <v>182</v>
      </c>
      <c r="K2536" t="s">
        <v>183</v>
      </c>
      <c r="L2536">
        <v>10</v>
      </c>
      <c r="M2536" t="s">
        <v>8535</v>
      </c>
      <c r="N2536" t="s">
        <v>64</v>
      </c>
      <c r="O2536" t="s">
        <v>46</v>
      </c>
      <c r="P2536" t="s">
        <v>46</v>
      </c>
      <c r="Y2536" t="s">
        <v>8536</v>
      </c>
    </row>
    <row r="2537" spans="1:25">
      <c r="A2537" t="s">
        <v>8537</v>
      </c>
      <c r="B2537" t="s">
        <v>8538</v>
      </c>
      <c r="D2537" t="s">
        <v>40</v>
      </c>
      <c r="E2537" t="s">
        <v>41</v>
      </c>
      <c r="J2537" t="s">
        <v>76</v>
      </c>
      <c r="K2537" t="s">
        <v>77</v>
      </c>
      <c r="L2537">
        <v>10</v>
      </c>
      <c r="M2537" t="s">
        <v>8539</v>
      </c>
      <c r="N2537" t="s">
        <v>64</v>
      </c>
      <c r="O2537" t="s">
        <v>46</v>
      </c>
      <c r="P2537" t="s">
        <v>46</v>
      </c>
      <c r="Y2537" t="s">
        <v>8540</v>
      </c>
    </row>
    <row r="2538" spans="1:25">
      <c r="A2538" t="s">
        <v>8541</v>
      </c>
      <c r="B2538" t="s">
        <v>8542</v>
      </c>
      <c r="D2538" t="s">
        <v>40</v>
      </c>
      <c r="E2538" t="s">
        <v>41</v>
      </c>
      <c r="J2538" t="s">
        <v>76</v>
      </c>
      <c r="K2538" t="s">
        <v>77</v>
      </c>
      <c r="L2538">
        <v>10</v>
      </c>
      <c r="M2538" t="s">
        <v>8543</v>
      </c>
      <c r="N2538" t="s">
        <v>64</v>
      </c>
      <c r="O2538" t="s">
        <v>46</v>
      </c>
      <c r="P2538" t="s">
        <v>46</v>
      </c>
      <c r="Y2538" t="s">
        <v>8544</v>
      </c>
    </row>
    <row r="2539" spans="1:25">
      <c r="A2539" t="s">
        <v>8545</v>
      </c>
      <c r="B2539" t="s">
        <v>8546</v>
      </c>
      <c r="D2539" t="s">
        <v>40</v>
      </c>
      <c r="E2539" t="s">
        <v>41</v>
      </c>
      <c r="J2539" t="s">
        <v>182</v>
      </c>
      <c r="K2539" t="s">
        <v>183</v>
      </c>
      <c r="L2539">
        <v>10</v>
      </c>
      <c r="M2539" t="s">
        <v>8543</v>
      </c>
      <c r="N2539" t="s">
        <v>64</v>
      </c>
      <c r="O2539" t="s">
        <v>46</v>
      </c>
      <c r="P2539" t="s">
        <v>46</v>
      </c>
      <c r="Y2539" t="s">
        <v>8547</v>
      </c>
    </row>
    <row r="2540" spans="1:25">
      <c r="A2540" t="s">
        <v>8548</v>
      </c>
      <c r="B2540" t="s">
        <v>8549</v>
      </c>
      <c r="D2540" t="s">
        <v>40</v>
      </c>
      <c r="E2540" t="s">
        <v>41</v>
      </c>
      <c r="J2540" t="s">
        <v>599</v>
      </c>
      <c r="K2540" t="s">
        <v>600</v>
      </c>
      <c r="L2540">
        <v>10</v>
      </c>
      <c r="M2540" t="s">
        <v>8550</v>
      </c>
      <c r="N2540" t="s">
        <v>741</v>
      </c>
      <c r="O2540" t="s">
        <v>46</v>
      </c>
      <c r="P2540" t="s">
        <v>46</v>
      </c>
      <c r="Y2540" t="s">
        <v>8551</v>
      </c>
    </row>
    <row r="2541" spans="1:25">
      <c r="A2541" t="s">
        <v>8552</v>
      </c>
      <c r="B2541" t="s">
        <v>8553</v>
      </c>
      <c r="D2541" t="s">
        <v>40</v>
      </c>
      <c r="E2541" t="s">
        <v>41</v>
      </c>
      <c r="J2541" t="s">
        <v>76</v>
      </c>
      <c r="K2541" t="s">
        <v>77</v>
      </c>
      <c r="L2541">
        <v>10</v>
      </c>
      <c r="M2541" t="s">
        <v>8550</v>
      </c>
      <c r="N2541" t="s">
        <v>64</v>
      </c>
      <c r="O2541" t="s">
        <v>46</v>
      </c>
      <c r="P2541" t="s">
        <v>46</v>
      </c>
      <c r="Y2541" t="s">
        <v>8554</v>
      </c>
    </row>
    <row r="2542" spans="1:25">
      <c r="A2542" t="s">
        <v>8555</v>
      </c>
      <c r="B2542" t="s">
        <v>8556</v>
      </c>
      <c r="D2542" t="s">
        <v>40</v>
      </c>
      <c r="E2542" t="s">
        <v>41</v>
      </c>
      <c r="J2542" t="s">
        <v>182</v>
      </c>
      <c r="K2542" t="s">
        <v>183</v>
      </c>
      <c r="L2542">
        <v>10</v>
      </c>
      <c r="M2542" t="s">
        <v>8550</v>
      </c>
      <c r="N2542" t="s">
        <v>64</v>
      </c>
      <c r="O2542" t="s">
        <v>46</v>
      </c>
      <c r="P2542" t="s">
        <v>46</v>
      </c>
      <c r="Y2542" t="s">
        <v>8557</v>
      </c>
    </row>
    <row r="2543" spans="1:25">
      <c r="A2543" t="s">
        <v>8558</v>
      </c>
      <c r="B2543" t="s">
        <v>8559</v>
      </c>
      <c r="D2543" t="s">
        <v>40</v>
      </c>
      <c r="E2543" t="s">
        <v>41</v>
      </c>
      <c r="J2543" t="s">
        <v>76</v>
      </c>
      <c r="K2543" t="s">
        <v>77</v>
      </c>
      <c r="L2543">
        <v>10</v>
      </c>
      <c r="M2543" t="s">
        <v>8550</v>
      </c>
      <c r="N2543" t="s">
        <v>64</v>
      </c>
      <c r="O2543" t="s">
        <v>46</v>
      </c>
      <c r="P2543" t="s">
        <v>46</v>
      </c>
      <c r="Y2543" t="s">
        <v>8560</v>
      </c>
    </row>
    <row r="2544" spans="1:25">
      <c r="A2544" t="s">
        <v>8561</v>
      </c>
      <c r="B2544" t="s">
        <v>8562</v>
      </c>
      <c r="D2544" t="s">
        <v>40</v>
      </c>
      <c r="E2544" t="s">
        <v>41</v>
      </c>
      <c r="J2544" t="s">
        <v>182</v>
      </c>
      <c r="K2544" t="s">
        <v>183</v>
      </c>
      <c r="L2544">
        <v>10</v>
      </c>
      <c r="M2544" t="s">
        <v>8550</v>
      </c>
      <c r="N2544" t="s">
        <v>64</v>
      </c>
      <c r="O2544" t="s">
        <v>46</v>
      </c>
      <c r="P2544" t="s">
        <v>46</v>
      </c>
      <c r="Y2544" t="s">
        <v>8563</v>
      </c>
    </row>
    <row r="2545" spans="1:25">
      <c r="A2545" t="s">
        <v>8564</v>
      </c>
      <c r="B2545" t="s">
        <v>8565</v>
      </c>
      <c r="D2545" t="s">
        <v>40</v>
      </c>
      <c r="E2545" t="s">
        <v>41</v>
      </c>
      <c r="J2545" t="s">
        <v>76</v>
      </c>
      <c r="K2545" t="s">
        <v>77</v>
      </c>
      <c r="L2545">
        <v>9</v>
      </c>
      <c r="M2545" t="s">
        <v>8566</v>
      </c>
      <c r="N2545" t="s">
        <v>64</v>
      </c>
      <c r="O2545" t="s">
        <v>46</v>
      </c>
      <c r="P2545" t="s">
        <v>46</v>
      </c>
      <c r="Y2545" t="s">
        <v>8567</v>
      </c>
    </row>
    <row r="2546" spans="1:25">
      <c r="A2546" t="s">
        <v>8568</v>
      </c>
      <c r="B2546" t="s">
        <v>8569</v>
      </c>
      <c r="D2546" t="s">
        <v>40</v>
      </c>
      <c r="E2546" t="s">
        <v>41</v>
      </c>
      <c r="J2546" t="s">
        <v>248</v>
      </c>
      <c r="K2546" t="s">
        <v>249</v>
      </c>
      <c r="L2546">
        <v>11</v>
      </c>
      <c r="M2546" t="s">
        <v>8570</v>
      </c>
      <c r="N2546" t="s">
        <v>305</v>
      </c>
      <c r="O2546" t="s">
        <v>46</v>
      </c>
      <c r="P2546" t="s">
        <v>46</v>
      </c>
      <c r="Y2546" t="s">
        <v>8571</v>
      </c>
    </row>
    <row r="2547" spans="1:25">
      <c r="A2547" t="s">
        <v>8572</v>
      </c>
      <c r="B2547" t="s">
        <v>8573</v>
      </c>
      <c r="D2547" t="s">
        <v>40</v>
      </c>
      <c r="E2547" t="s">
        <v>41</v>
      </c>
      <c r="J2547" t="s">
        <v>76</v>
      </c>
      <c r="K2547" t="s">
        <v>77</v>
      </c>
      <c r="L2547">
        <v>11</v>
      </c>
      <c r="M2547" t="s">
        <v>8574</v>
      </c>
      <c r="N2547" t="s">
        <v>64</v>
      </c>
      <c r="O2547" t="s">
        <v>46</v>
      </c>
      <c r="P2547" t="s">
        <v>46</v>
      </c>
      <c r="Y2547" t="s">
        <v>8575</v>
      </c>
    </row>
    <row r="2548" spans="1:25">
      <c r="A2548" t="s">
        <v>8576</v>
      </c>
      <c r="B2548" t="s">
        <v>8577</v>
      </c>
      <c r="D2548" t="s">
        <v>40</v>
      </c>
      <c r="E2548" t="s">
        <v>41</v>
      </c>
      <c r="J2548" t="s">
        <v>76</v>
      </c>
      <c r="K2548" t="s">
        <v>77</v>
      </c>
      <c r="L2548">
        <v>11</v>
      </c>
      <c r="M2548" t="s">
        <v>8574</v>
      </c>
      <c r="N2548" t="s">
        <v>64</v>
      </c>
      <c r="O2548" t="s">
        <v>46</v>
      </c>
      <c r="P2548" t="s">
        <v>46</v>
      </c>
      <c r="Y2548" t="s">
        <v>8578</v>
      </c>
    </row>
    <row r="2549" spans="1:25">
      <c r="A2549" t="s">
        <v>8579</v>
      </c>
      <c r="B2549" t="s">
        <v>8580</v>
      </c>
      <c r="D2549" t="s">
        <v>40</v>
      </c>
      <c r="E2549" t="s">
        <v>41</v>
      </c>
      <c r="J2549" t="s">
        <v>62</v>
      </c>
      <c r="K2549" t="s">
        <v>63</v>
      </c>
      <c r="L2549">
        <v>11</v>
      </c>
      <c r="M2549" t="s">
        <v>8581</v>
      </c>
      <c r="N2549" t="s">
        <v>64</v>
      </c>
      <c r="O2549" t="s">
        <v>46</v>
      </c>
      <c r="P2549" t="s">
        <v>46</v>
      </c>
      <c r="Y2549" t="s">
        <v>8582</v>
      </c>
    </row>
    <row r="2550" spans="1:25">
      <c r="A2550" t="s">
        <v>8583</v>
      </c>
      <c r="B2550" t="s">
        <v>8584</v>
      </c>
      <c r="D2550" t="s">
        <v>40</v>
      </c>
      <c r="E2550" t="s">
        <v>41</v>
      </c>
      <c r="J2550" t="s">
        <v>68</v>
      </c>
      <c r="K2550" t="s">
        <v>69</v>
      </c>
      <c r="L2550">
        <v>11</v>
      </c>
      <c r="M2550" t="s">
        <v>8581</v>
      </c>
      <c r="N2550" t="s">
        <v>64</v>
      </c>
      <c r="O2550" t="s">
        <v>46</v>
      </c>
      <c r="P2550" t="s">
        <v>46</v>
      </c>
      <c r="Y2550" t="s">
        <v>8585</v>
      </c>
    </row>
    <row r="2551" spans="1:25">
      <c r="A2551" t="s">
        <v>8586</v>
      </c>
      <c r="B2551" t="s">
        <v>8587</v>
      </c>
      <c r="D2551" t="s">
        <v>40</v>
      </c>
      <c r="E2551" t="s">
        <v>41</v>
      </c>
      <c r="J2551" t="s">
        <v>68</v>
      </c>
      <c r="K2551" t="s">
        <v>69</v>
      </c>
      <c r="L2551">
        <v>11</v>
      </c>
      <c r="M2551" t="s">
        <v>8581</v>
      </c>
      <c r="N2551" t="s">
        <v>64</v>
      </c>
      <c r="O2551" t="s">
        <v>46</v>
      </c>
      <c r="P2551" t="s">
        <v>46</v>
      </c>
      <c r="Y2551" t="s">
        <v>8588</v>
      </c>
    </row>
    <row r="2552" spans="1:25">
      <c r="A2552" t="s">
        <v>8589</v>
      </c>
      <c r="B2552" t="s">
        <v>8590</v>
      </c>
      <c r="D2552" t="s">
        <v>40</v>
      </c>
      <c r="E2552" t="s">
        <v>41</v>
      </c>
      <c r="J2552" t="s">
        <v>68</v>
      </c>
      <c r="K2552" t="s">
        <v>69</v>
      </c>
      <c r="L2552">
        <v>11</v>
      </c>
      <c r="M2552" t="s">
        <v>8581</v>
      </c>
      <c r="N2552" t="s">
        <v>64</v>
      </c>
      <c r="O2552" t="s">
        <v>46</v>
      </c>
      <c r="P2552" t="s">
        <v>46</v>
      </c>
      <c r="Y2552" t="s">
        <v>8591</v>
      </c>
    </row>
    <row r="2553" spans="1:25">
      <c r="A2553" t="s">
        <v>8592</v>
      </c>
      <c r="B2553" t="s">
        <v>8593</v>
      </c>
      <c r="D2553" t="s">
        <v>40</v>
      </c>
      <c r="E2553" t="s">
        <v>41</v>
      </c>
      <c r="J2553" t="s">
        <v>76</v>
      </c>
      <c r="K2553" t="s">
        <v>77</v>
      </c>
      <c r="L2553">
        <v>11</v>
      </c>
      <c r="M2553" t="s">
        <v>8594</v>
      </c>
      <c r="N2553" t="s">
        <v>64</v>
      </c>
      <c r="O2553" t="s">
        <v>46</v>
      </c>
      <c r="P2553" t="s">
        <v>46</v>
      </c>
      <c r="Y2553" t="s">
        <v>8595</v>
      </c>
    </row>
    <row r="2554" spans="1:25">
      <c r="A2554" t="s">
        <v>8596</v>
      </c>
      <c r="B2554" t="s">
        <v>8597</v>
      </c>
      <c r="D2554" t="s">
        <v>40</v>
      </c>
      <c r="E2554" t="s">
        <v>41</v>
      </c>
      <c r="J2554" t="s">
        <v>76</v>
      </c>
      <c r="K2554" t="s">
        <v>77</v>
      </c>
      <c r="L2554">
        <v>11</v>
      </c>
      <c r="M2554" t="s">
        <v>8594</v>
      </c>
      <c r="N2554" t="s">
        <v>64</v>
      </c>
      <c r="O2554" t="s">
        <v>46</v>
      </c>
      <c r="P2554" t="s">
        <v>46</v>
      </c>
      <c r="Y2554" t="s">
        <v>8598</v>
      </c>
    </row>
    <row r="2555" spans="1:25">
      <c r="A2555" t="s">
        <v>8599</v>
      </c>
      <c r="B2555" t="s">
        <v>8600</v>
      </c>
      <c r="D2555" t="s">
        <v>40</v>
      </c>
      <c r="E2555" t="s">
        <v>41</v>
      </c>
      <c r="J2555" t="s">
        <v>645</v>
      </c>
      <c r="K2555" t="s">
        <v>646</v>
      </c>
      <c r="L2555">
        <v>11</v>
      </c>
      <c r="M2555" t="s">
        <v>8594</v>
      </c>
      <c r="N2555" t="s">
        <v>64</v>
      </c>
      <c r="O2555" t="s">
        <v>46</v>
      </c>
      <c r="P2555" t="s">
        <v>46</v>
      </c>
      <c r="Y2555" t="s">
        <v>8601</v>
      </c>
    </row>
    <row r="2556" spans="1:25">
      <c r="A2556" t="s">
        <v>8602</v>
      </c>
      <c r="B2556" t="s">
        <v>8603</v>
      </c>
      <c r="D2556" t="s">
        <v>40</v>
      </c>
      <c r="E2556" t="s">
        <v>41</v>
      </c>
      <c r="J2556" t="s">
        <v>6179</v>
      </c>
      <c r="K2556" t="s">
        <v>6180</v>
      </c>
      <c r="L2556">
        <v>11</v>
      </c>
      <c r="M2556" t="s">
        <v>8604</v>
      </c>
      <c r="N2556" t="s">
        <v>291</v>
      </c>
      <c r="O2556" t="s">
        <v>46</v>
      </c>
      <c r="P2556" t="s">
        <v>46</v>
      </c>
      <c r="Y2556" t="s">
        <v>8605</v>
      </c>
    </row>
    <row r="2557" spans="1:25">
      <c r="A2557" t="s">
        <v>8606</v>
      </c>
      <c r="B2557" t="s">
        <v>8607</v>
      </c>
      <c r="D2557" t="s">
        <v>40</v>
      </c>
      <c r="E2557" t="s">
        <v>41</v>
      </c>
      <c r="J2557" t="s">
        <v>68</v>
      </c>
      <c r="K2557" t="s">
        <v>69</v>
      </c>
      <c r="L2557">
        <v>10</v>
      </c>
      <c r="M2557" t="s">
        <v>8608</v>
      </c>
      <c r="N2557" t="s">
        <v>64</v>
      </c>
      <c r="O2557" t="s">
        <v>46</v>
      </c>
      <c r="P2557" t="s">
        <v>46</v>
      </c>
      <c r="Y2557" t="s">
        <v>8609</v>
      </c>
    </row>
    <row r="2558" spans="1:25">
      <c r="A2558" t="s">
        <v>8610</v>
      </c>
      <c r="B2558" t="s">
        <v>8611</v>
      </c>
      <c r="D2558" t="s">
        <v>40</v>
      </c>
      <c r="E2558" t="s">
        <v>41</v>
      </c>
      <c r="J2558" t="s">
        <v>76</v>
      </c>
      <c r="K2558" t="s">
        <v>77</v>
      </c>
      <c r="L2558">
        <v>10</v>
      </c>
      <c r="M2558" t="s">
        <v>8612</v>
      </c>
      <c r="N2558" t="s">
        <v>64</v>
      </c>
      <c r="O2558" t="s">
        <v>46</v>
      </c>
      <c r="P2558" t="s">
        <v>46</v>
      </c>
      <c r="Y2558" t="s">
        <v>8613</v>
      </c>
    </row>
    <row r="2559" spans="1:25">
      <c r="A2559" t="s">
        <v>8614</v>
      </c>
      <c r="B2559" t="s">
        <v>8615</v>
      </c>
      <c r="D2559" t="s">
        <v>40</v>
      </c>
      <c r="E2559" t="s">
        <v>41</v>
      </c>
      <c r="J2559" t="s">
        <v>1572</v>
      </c>
      <c r="K2559" t="s">
        <v>1573</v>
      </c>
      <c r="L2559">
        <v>10</v>
      </c>
      <c r="M2559" t="s">
        <v>8612</v>
      </c>
      <c r="N2559" t="s">
        <v>64</v>
      </c>
      <c r="O2559" t="s">
        <v>46</v>
      </c>
      <c r="P2559" t="s">
        <v>46</v>
      </c>
      <c r="Y2559" t="s">
        <v>8616</v>
      </c>
    </row>
    <row r="2560" spans="1:25">
      <c r="A2560" t="s">
        <v>8617</v>
      </c>
      <c r="B2560" t="s">
        <v>8618</v>
      </c>
      <c r="D2560" t="s">
        <v>40</v>
      </c>
      <c r="E2560" t="s">
        <v>41</v>
      </c>
      <c r="J2560" t="s">
        <v>182</v>
      </c>
      <c r="K2560" t="s">
        <v>183</v>
      </c>
      <c r="L2560">
        <v>10</v>
      </c>
      <c r="M2560" t="s">
        <v>8612</v>
      </c>
      <c r="N2560" t="s">
        <v>64</v>
      </c>
      <c r="O2560" t="s">
        <v>46</v>
      </c>
      <c r="P2560" t="s">
        <v>46</v>
      </c>
      <c r="Y2560" t="s">
        <v>8619</v>
      </c>
    </row>
    <row r="2561" spans="1:25">
      <c r="A2561" t="s">
        <v>8620</v>
      </c>
      <c r="B2561" t="s">
        <v>8621</v>
      </c>
      <c r="D2561" t="s">
        <v>40</v>
      </c>
      <c r="E2561" t="s">
        <v>41</v>
      </c>
      <c r="J2561" t="s">
        <v>76</v>
      </c>
      <c r="K2561" t="s">
        <v>77</v>
      </c>
      <c r="L2561">
        <v>10</v>
      </c>
      <c r="M2561" t="s">
        <v>8612</v>
      </c>
      <c r="N2561" t="s">
        <v>64</v>
      </c>
      <c r="O2561" t="s">
        <v>46</v>
      </c>
      <c r="P2561" t="s">
        <v>46</v>
      </c>
      <c r="Y2561" t="s">
        <v>8622</v>
      </c>
    </row>
    <row r="2562" spans="1:25">
      <c r="A2562" t="s">
        <v>8623</v>
      </c>
      <c r="B2562" t="s">
        <v>8624</v>
      </c>
      <c r="D2562" t="s">
        <v>40</v>
      </c>
      <c r="E2562" t="s">
        <v>41</v>
      </c>
      <c r="J2562" t="s">
        <v>182</v>
      </c>
      <c r="K2562" t="s">
        <v>183</v>
      </c>
      <c r="L2562">
        <v>10</v>
      </c>
      <c r="M2562" t="s">
        <v>8612</v>
      </c>
      <c r="N2562" t="s">
        <v>64</v>
      </c>
      <c r="O2562" t="s">
        <v>46</v>
      </c>
      <c r="P2562" t="s">
        <v>46</v>
      </c>
      <c r="Y2562" t="s">
        <v>8625</v>
      </c>
    </row>
    <row r="2563" spans="1:25">
      <c r="A2563" t="s">
        <v>8626</v>
      </c>
      <c r="B2563" t="s">
        <v>8627</v>
      </c>
      <c r="D2563" t="s">
        <v>40</v>
      </c>
      <c r="E2563" t="s">
        <v>41</v>
      </c>
      <c r="J2563" t="s">
        <v>76</v>
      </c>
      <c r="K2563" t="s">
        <v>77</v>
      </c>
      <c r="L2563">
        <v>10</v>
      </c>
      <c r="M2563" t="s">
        <v>8612</v>
      </c>
      <c r="N2563" t="s">
        <v>64</v>
      </c>
      <c r="O2563" t="s">
        <v>46</v>
      </c>
      <c r="P2563" t="s">
        <v>46</v>
      </c>
      <c r="Y2563" t="s">
        <v>8628</v>
      </c>
    </row>
    <row r="2564" spans="1:25">
      <c r="A2564" t="s">
        <v>8629</v>
      </c>
      <c r="B2564" t="s">
        <v>8630</v>
      </c>
      <c r="D2564" t="s">
        <v>40</v>
      </c>
      <c r="E2564" t="s">
        <v>41</v>
      </c>
      <c r="J2564" t="s">
        <v>182</v>
      </c>
      <c r="K2564" t="s">
        <v>183</v>
      </c>
      <c r="L2564">
        <v>10</v>
      </c>
      <c r="M2564" t="s">
        <v>8612</v>
      </c>
      <c r="N2564" t="s">
        <v>64</v>
      </c>
      <c r="O2564" t="s">
        <v>46</v>
      </c>
      <c r="P2564" t="s">
        <v>46</v>
      </c>
      <c r="Y2564" t="s">
        <v>8631</v>
      </c>
    </row>
    <row r="2565" spans="1:25">
      <c r="A2565" t="s">
        <v>8632</v>
      </c>
      <c r="B2565" t="s">
        <v>8633</v>
      </c>
      <c r="D2565" t="s">
        <v>40</v>
      </c>
      <c r="E2565" t="s">
        <v>41</v>
      </c>
      <c r="J2565" t="s">
        <v>182</v>
      </c>
      <c r="K2565" t="s">
        <v>183</v>
      </c>
      <c r="L2565">
        <v>10</v>
      </c>
      <c r="M2565" t="s">
        <v>8612</v>
      </c>
      <c r="N2565" t="s">
        <v>64</v>
      </c>
      <c r="O2565" t="s">
        <v>46</v>
      </c>
      <c r="P2565" t="s">
        <v>46</v>
      </c>
      <c r="Y2565" t="s">
        <v>8634</v>
      </c>
    </row>
    <row r="2566" spans="1:25">
      <c r="A2566" t="s">
        <v>8635</v>
      </c>
      <c r="B2566" t="s">
        <v>8636</v>
      </c>
      <c r="D2566" t="s">
        <v>40</v>
      </c>
      <c r="E2566" t="s">
        <v>41</v>
      </c>
      <c r="J2566" t="s">
        <v>182</v>
      </c>
      <c r="K2566" t="s">
        <v>183</v>
      </c>
      <c r="L2566">
        <v>10</v>
      </c>
      <c r="M2566" t="s">
        <v>8612</v>
      </c>
      <c r="N2566" t="s">
        <v>64</v>
      </c>
      <c r="O2566" t="s">
        <v>46</v>
      </c>
      <c r="P2566" t="s">
        <v>46</v>
      </c>
      <c r="Y2566" t="s">
        <v>8637</v>
      </c>
    </row>
    <row r="2567" spans="1:25">
      <c r="A2567" t="s">
        <v>8638</v>
      </c>
      <c r="B2567" t="s">
        <v>8639</v>
      </c>
      <c r="D2567" t="s">
        <v>40</v>
      </c>
      <c r="E2567" t="s">
        <v>41</v>
      </c>
      <c r="J2567" t="s">
        <v>76</v>
      </c>
      <c r="K2567" t="s">
        <v>77</v>
      </c>
      <c r="L2567">
        <v>10</v>
      </c>
      <c r="M2567" t="s">
        <v>8640</v>
      </c>
      <c r="N2567" t="s">
        <v>64</v>
      </c>
      <c r="O2567" t="s">
        <v>46</v>
      </c>
      <c r="P2567" t="s">
        <v>46</v>
      </c>
      <c r="Y2567" t="s">
        <v>8641</v>
      </c>
    </row>
    <row r="2568" spans="1:25">
      <c r="A2568" t="s">
        <v>8642</v>
      </c>
      <c r="B2568" t="s">
        <v>8643</v>
      </c>
      <c r="D2568" t="s">
        <v>40</v>
      </c>
      <c r="E2568" t="s">
        <v>41</v>
      </c>
      <c r="J2568" t="s">
        <v>182</v>
      </c>
      <c r="K2568" t="s">
        <v>183</v>
      </c>
      <c r="L2568">
        <v>10</v>
      </c>
      <c r="M2568" t="s">
        <v>8640</v>
      </c>
      <c r="N2568" t="s">
        <v>64</v>
      </c>
      <c r="O2568" t="s">
        <v>46</v>
      </c>
      <c r="P2568" t="s">
        <v>46</v>
      </c>
      <c r="Y2568" t="s">
        <v>8644</v>
      </c>
    </row>
    <row r="2569" spans="1:25">
      <c r="A2569" t="s">
        <v>8645</v>
      </c>
      <c r="B2569" t="s">
        <v>8646</v>
      </c>
      <c r="D2569" t="s">
        <v>40</v>
      </c>
      <c r="E2569" t="s">
        <v>41</v>
      </c>
      <c r="J2569" t="s">
        <v>76</v>
      </c>
      <c r="K2569" t="s">
        <v>77</v>
      </c>
      <c r="L2569">
        <v>10</v>
      </c>
      <c r="M2569" t="s">
        <v>8640</v>
      </c>
      <c r="N2569" t="s">
        <v>64</v>
      </c>
      <c r="O2569" t="s">
        <v>46</v>
      </c>
      <c r="P2569" t="s">
        <v>46</v>
      </c>
      <c r="Y2569" t="s">
        <v>8647</v>
      </c>
    </row>
    <row r="2570" spans="1:25">
      <c r="A2570" t="s">
        <v>8648</v>
      </c>
      <c r="B2570" t="s">
        <v>8649</v>
      </c>
      <c r="D2570" t="s">
        <v>40</v>
      </c>
      <c r="E2570" t="s">
        <v>41</v>
      </c>
      <c r="J2570" t="s">
        <v>68</v>
      </c>
      <c r="K2570" t="s">
        <v>69</v>
      </c>
      <c r="L2570">
        <v>10</v>
      </c>
      <c r="M2570" t="s">
        <v>8650</v>
      </c>
      <c r="N2570" t="s">
        <v>64</v>
      </c>
      <c r="O2570" t="s">
        <v>46</v>
      </c>
      <c r="P2570" t="s">
        <v>46</v>
      </c>
      <c r="Y2570" t="s">
        <v>8651</v>
      </c>
    </row>
    <row r="2571" spans="1:25">
      <c r="A2571" t="s">
        <v>8652</v>
      </c>
      <c r="B2571" t="s">
        <v>8653</v>
      </c>
      <c r="D2571" t="s">
        <v>40</v>
      </c>
      <c r="E2571" t="s">
        <v>41</v>
      </c>
      <c r="J2571" t="s">
        <v>42</v>
      </c>
      <c r="K2571" t="s">
        <v>43</v>
      </c>
      <c r="L2571">
        <v>10</v>
      </c>
      <c r="M2571" t="s">
        <v>8654</v>
      </c>
      <c r="N2571" t="s">
        <v>218</v>
      </c>
      <c r="O2571" t="s">
        <v>46</v>
      </c>
      <c r="P2571" t="s">
        <v>46</v>
      </c>
      <c r="Y2571" t="s">
        <v>8655</v>
      </c>
    </row>
    <row r="2572" spans="1:25">
      <c r="A2572" t="s">
        <v>8656</v>
      </c>
      <c r="B2572" t="s">
        <v>8657</v>
      </c>
      <c r="D2572" t="s">
        <v>40</v>
      </c>
      <c r="E2572" t="s">
        <v>41</v>
      </c>
      <c r="J2572" t="s">
        <v>42</v>
      </c>
      <c r="K2572" t="s">
        <v>43</v>
      </c>
      <c r="L2572">
        <v>10</v>
      </c>
      <c r="M2572" t="s">
        <v>8654</v>
      </c>
      <c r="N2572" t="s">
        <v>45</v>
      </c>
      <c r="O2572" t="s">
        <v>46</v>
      </c>
      <c r="P2572" t="s">
        <v>46</v>
      </c>
      <c r="Y2572" t="s">
        <v>8658</v>
      </c>
    </row>
    <row r="2573" spans="1:25">
      <c r="A2573" t="s">
        <v>8659</v>
      </c>
      <c r="B2573" t="s">
        <v>8660</v>
      </c>
      <c r="D2573" t="s">
        <v>40</v>
      </c>
      <c r="E2573" t="s">
        <v>41</v>
      </c>
      <c r="J2573" t="s">
        <v>76</v>
      </c>
      <c r="K2573" t="s">
        <v>77</v>
      </c>
      <c r="L2573">
        <v>10</v>
      </c>
      <c r="M2573" t="s">
        <v>8654</v>
      </c>
      <c r="N2573" t="s">
        <v>64</v>
      </c>
      <c r="O2573" t="s">
        <v>46</v>
      </c>
      <c r="P2573" t="s">
        <v>46</v>
      </c>
      <c r="Y2573" t="s">
        <v>8661</v>
      </c>
    </row>
    <row r="2574" spans="1:25">
      <c r="A2574" t="s">
        <v>8662</v>
      </c>
      <c r="B2574" t="s">
        <v>8663</v>
      </c>
      <c r="D2574" t="s">
        <v>40</v>
      </c>
      <c r="E2574" t="s">
        <v>41</v>
      </c>
      <c r="J2574" t="s">
        <v>1572</v>
      </c>
      <c r="K2574" t="s">
        <v>1573</v>
      </c>
      <c r="L2574">
        <v>10</v>
      </c>
      <c r="M2574" t="s">
        <v>8654</v>
      </c>
      <c r="N2574" t="s">
        <v>64</v>
      </c>
      <c r="O2574" t="s">
        <v>46</v>
      </c>
      <c r="P2574" t="s">
        <v>46</v>
      </c>
      <c r="Y2574" t="s">
        <v>8664</v>
      </c>
    </row>
    <row r="2575" spans="1:25">
      <c r="A2575" t="s">
        <v>8665</v>
      </c>
      <c r="B2575" t="s">
        <v>8666</v>
      </c>
      <c r="D2575" t="s">
        <v>40</v>
      </c>
      <c r="E2575" t="s">
        <v>41</v>
      </c>
      <c r="J2575" t="s">
        <v>62</v>
      </c>
      <c r="K2575" t="s">
        <v>63</v>
      </c>
      <c r="L2575">
        <v>10</v>
      </c>
      <c r="M2575" t="s">
        <v>8654</v>
      </c>
      <c r="N2575" t="s">
        <v>64</v>
      </c>
      <c r="O2575" t="s">
        <v>46</v>
      </c>
      <c r="P2575" t="s">
        <v>46</v>
      </c>
      <c r="Y2575" t="s">
        <v>8667</v>
      </c>
    </row>
    <row r="2576" spans="1:25">
      <c r="A2576" t="s">
        <v>8668</v>
      </c>
      <c r="B2576" t="s">
        <v>8669</v>
      </c>
      <c r="D2576" t="s">
        <v>40</v>
      </c>
      <c r="E2576" t="s">
        <v>41</v>
      </c>
      <c r="J2576" t="s">
        <v>182</v>
      </c>
      <c r="K2576" t="s">
        <v>183</v>
      </c>
      <c r="L2576">
        <v>10</v>
      </c>
      <c r="M2576" t="s">
        <v>8670</v>
      </c>
      <c r="N2576" t="s">
        <v>64</v>
      </c>
      <c r="O2576" t="s">
        <v>46</v>
      </c>
      <c r="P2576" t="s">
        <v>46</v>
      </c>
      <c r="Y2576" t="s">
        <v>8671</v>
      </c>
    </row>
    <row r="2577" spans="1:25">
      <c r="A2577" t="s">
        <v>8672</v>
      </c>
      <c r="B2577" t="s">
        <v>8673</v>
      </c>
      <c r="D2577" t="s">
        <v>40</v>
      </c>
      <c r="E2577" t="s">
        <v>41</v>
      </c>
      <c r="J2577" t="s">
        <v>42</v>
      </c>
      <c r="K2577" t="s">
        <v>43</v>
      </c>
      <c r="L2577">
        <v>10</v>
      </c>
      <c r="M2577" t="s">
        <v>8670</v>
      </c>
      <c r="N2577" t="s">
        <v>2154</v>
      </c>
      <c r="O2577" t="s">
        <v>46</v>
      </c>
      <c r="P2577" t="s">
        <v>46</v>
      </c>
      <c r="Y2577" t="s">
        <v>8674</v>
      </c>
    </row>
    <row r="2578" spans="1:25">
      <c r="A2578" t="s">
        <v>8675</v>
      </c>
      <c r="B2578" t="s">
        <v>8676</v>
      </c>
      <c r="D2578" t="s">
        <v>40</v>
      </c>
      <c r="E2578" t="s">
        <v>41</v>
      </c>
      <c r="J2578" t="s">
        <v>182</v>
      </c>
      <c r="K2578" t="s">
        <v>183</v>
      </c>
      <c r="L2578">
        <v>10</v>
      </c>
      <c r="M2578" t="s">
        <v>8677</v>
      </c>
      <c r="N2578" t="s">
        <v>64</v>
      </c>
      <c r="O2578" t="s">
        <v>46</v>
      </c>
      <c r="P2578" t="s">
        <v>46</v>
      </c>
      <c r="Y2578" t="s">
        <v>8678</v>
      </c>
    </row>
    <row r="2579" spans="1:25">
      <c r="A2579" t="s">
        <v>8679</v>
      </c>
      <c r="B2579" t="s">
        <v>8680</v>
      </c>
      <c r="D2579" t="s">
        <v>40</v>
      </c>
      <c r="E2579" t="s">
        <v>41</v>
      </c>
      <c r="J2579" t="s">
        <v>68</v>
      </c>
      <c r="K2579" t="s">
        <v>69</v>
      </c>
      <c r="L2579">
        <v>10</v>
      </c>
      <c r="M2579" t="s">
        <v>8677</v>
      </c>
      <c r="N2579" t="s">
        <v>64</v>
      </c>
      <c r="O2579" t="s">
        <v>46</v>
      </c>
      <c r="P2579" t="s">
        <v>46</v>
      </c>
      <c r="Y2579" t="s">
        <v>8681</v>
      </c>
    </row>
    <row r="2580" spans="1:25">
      <c r="A2580" t="s">
        <v>8682</v>
      </c>
      <c r="B2580" t="s">
        <v>8683</v>
      </c>
      <c r="D2580" t="s">
        <v>40</v>
      </c>
      <c r="E2580" t="s">
        <v>41</v>
      </c>
      <c r="J2580" t="s">
        <v>68</v>
      </c>
      <c r="K2580" t="s">
        <v>69</v>
      </c>
      <c r="L2580">
        <v>10</v>
      </c>
      <c r="M2580" t="s">
        <v>8677</v>
      </c>
      <c r="N2580" t="s">
        <v>64</v>
      </c>
      <c r="O2580" t="s">
        <v>46</v>
      </c>
      <c r="P2580" t="s">
        <v>46</v>
      </c>
      <c r="Y2580" t="s">
        <v>8684</v>
      </c>
    </row>
    <row r="2581" spans="1:25">
      <c r="A2581" t="s">
        <v>8685</v>
      </c>
      <c r="B2581" t="s">
        <v>8686</v>
      </c>
      <c r="D2581" t="s">
        <v>40</v>
      </c>
      <c r="E2581" t="s">
        <v>41</v>
      </c>
      <c r="J2581" t="s">
        <v>68</v>
      </c>
      <c r="K2581" t="s">
        <v>69</v>
      </c>
      <c r="L2581">
        <v>10</v>
      </c>
      <c r="M2581" t="s">
        <v>8677</v>
      </c>
      <c r="N2581" t="s">
        <v>64</v>
      </c>
      <c r="O2581" t="s">
        <v>46</v>
      </c>
      <c r="P2581" t="s">
        <v>46</v>
      </c>
      <c r="Y2581" t="s">
        <v>8687</v>
      </c>
    </row>
    <row r="2582" spans="1:25">
      <c r="A2582" t="s">
        <v>8688</v>
      </c>
      <c r="B2582" t="s">
        <v>8689</v>
      </c>
      <c r="D2582" t="s">
        <v>40</v>
      </c>
      <c r="E2582" t="s">
        <v>41</v>
      </c>
      <c r="J2582" t="s">
        <v>182</v>
      </c>
      <c r="K2582" t="s">
        <v>183</v>
      </c>
      <c r="L2582">
        <v>10</v>
      </c>
      <c r="M2582" t="s">
        <v>8677</v>
      </c>
      <c r="N2582" t="s">
        <v>64</v>
      </c>
      <c r="O2582" t="s">
        <v>46</v>
      </c>
      <c r="P2582" t="s">
        <v>46</v>
      </c>
      <c r="Y2582" t="s">
        <v>8690</v>
      </c>
    </row>
    <row r="2583" spans="1:25">
      <c r="A2583" t="s">
        <v>8691</v>
      </c>
      <c r="B2583" t="s">
        <v>8692</v>
      </c>
      <c r="D2583" t="s">
        <v>40</v>
      </c>
      <c r="E2583" t="s">
        <v>41</v>
      </c>
      <c r="J2583" t="s">
        <v>68</v>
      </c>
      <c r="K2583" t="s">
        <v>69</v>
      </c>
      <c r="L2583">
        <v>10</v>
      </c>
      <c r="M2583" t="s">
        <v>8693</v>
      </c>
      <c r="N2583" t="s">
        <v>64</v>
      </c>
      <c r="O2583" t="s">
        <v>46</v>
      </c>
      <c r="P2583" t="s">
        <v>46</v>
      </c>
      <c r="Y2583" t="s">
        <v>8694</v>
      </c>
    </row>
    <row r="2584" spans="1:25">
      <c r="A2584" t="s">
        <v>8695</v>
      </c>
      <c r="B2584" t="s">
        <v>8696</v>
      </c>
      <c r="D2584" t="s">
        <v>40</v>
      </c>
      <c r="E2584" t="s">
        <v>41</v>
      </c>
      <c r="J2584" t="s">
        <v>1554</v>
      </c>
      <c r="K2584" t="s">
        <v>1555</v>
      </c>
      <c r="L2584">
        <v>8</v>
      </c>
      <c r="M2584" t="s">
        <v>8697</v>
      </c>
      <c r="N2584" t="s">
        <v>1138</v>
      </c>
      <c r="O2584" t="s">
        <v>46</v>
      </c>
      <c r="P2584" t="s">
        <v>46</v>
      </c>
      <c r="Y2584" t="s">
        <v>8698</v>
      </c>
    </row>
    <row r="2585" spans="1:25">
      <c r="A2585" t="s">
        <v>8699</v>
      </c>
      <c r="B2585" t="s">
        <v>8700</v>
      </c>
      <c r="D2585" t="s">
        <v>40</v>
      </c>
      <c r="E2585" t="s">
        <v>41</v>
      </c>
      <c r="J2585" t="s">
        <v>62</v>
      </c>
      <c r="K2585" t="s">
        <v>63</v>
      </c>
      <c r="L2585">
        <v>11</v>
      </c>
      <c r="M2585" t="s">
        <v>8701</v>
      </c>
      <c r="N2585" t="s">
        <v>64</v>
      </c>
      <c r="O2585" t="s">
        <v>46</v>
      </c>
      <c r="P2585" t="s">
        <v>46</v>
      </c>
      <c r="Y2585" t="s">
        <v>8702</v>
      </c>
    </row>
    <row r="2586" spans="1:25">
      <c r="A2586" t="s">
        <v>8703</v>
      </c>
      <c r="B2586" t="s">
        <v>8704</v>
      </c>
      <c r="D2586" t="s">
        <v>40</v>
      </c>
      <c r="E2586" t="s">
        <v>41</v>
      </c>
      <c r="J2586" t="s">
        <v>62</v>
      </c>
      <c r="K2586" t="s">
        <v>63</v>
      </c>
      <c r="L2586">
        <v>11</v>
      </c>
      <c r="M2586" t="s">
        <v>8705</v>
      </c>
      <c r="N2586" t="s">
        <v>64</v>
      </c>
      <c r="O2586" t="s">
        <v>46</v>
      </c>
      <c r="P2586" t="s">
        <v>46</v>
      </c>
      <c r="Y2586" t="s">
        <v>8706</v>
      </c>
    </row>
    <row r="2587" spans="1:25">
      <c r="A2587" t="s">
        <v>8707</v>
      </c>
      <c r="B2587" t="s">
        <v>8708</v>
      </c>
      <c r="D2587" t="s">
        <v>40</v>
      </c>
      <c r="E2587" t="s">
        <v>41</v>
      </c>
      <c r="J2587" t="s">
        <v>182</v>
      </c>
      <c r="K2587" t="s">
        <v>183</v>
      </c>
      <c r="L2587">
        <v>11</v>
      </c>
      <c r="M2587" t="s">
        <v>8705</v>
      </c>
      <c r="N2587" t="s">
        <v>64</v>
      </c>
      <c r="O2587" t="s">
        <v>46</v>
      </c>
      <c r="P2587" t="s">
        <v>46</v>
      </c>
      <c r="Y2587" t="s">
        <v>8709</v>
      </c>
    </row>
    <row r="2588" spans="1:25">
      <c r="A2588" t="s">
        <v>8710</v>
      </c>
      <c r="B2588" t="s">
        <v>8711</v>
      </c>
      <c r="D2588" t="s">
        <v>40</v>
      </c>
      <c r="E2588" t="s">
        <v>41</v>
      </c>
      <c r="J2588" t="s">
        <v>76</v>
      </c>
      <c r="K2588" t="s">
        <v>77</v>
      </c>
      <c r="L2588">
        <v>11</v>
      </c>
      <c r="M2588" t="s">
        <v>8705</v>
      </c>
      <c r="N2588" t="s">
        <v>64</v>
      </c>
      <c r="O2588" t="s">
        <v>46</v>
      </c>
      <c r="P2588" t="s">
        <v>46</v>
      </c>
      <c r="Y2588" t="s">
        <v>8712</v>
      </c>
    </row>
    <row r="2589" spans="1:25">
      <c r="A2589" t="s">
        <v>8713</v>
      </c>
      <c r="B2589" t="s">
        <v>8714</v>
      </c>
      <c r="D2589" t="s">
        <v>40</v>
      </c>
      <c r="E2589" t="s">
        <v>41</v>
      </c>
      <c r="J2589" t="s">
        <v>182</v>
      </c>
      <c r="K2589" t="s">
        <v>183</v>
      </c>
      <c r="L2589">
        <v>11</v>
      </c>
      <c r="M2589" t="s">
        <v>8705</v>
      </c>
      <c r="N2589" t="s">
        <v>64</v>
      </c>
      <c r="O2589" t="s">
        <v>46</v>
      </c>
      <c r="P2589" t="s">
        <v>46</v>
      </c>
      <c r="Y2589" t="s">
        <v>8715</v>
      </c>
    </row>
    <row r="2590" spans="1:25">
      <c r="A2590" t="s">
        <v>8716</v>
      </c>
      <c r="B2590" t="s">
        <v>8717</v>
      </c>
      <c r="D2590" t="s">
        <v>40</v>
      </c>
      <c r="E2590" t="s">
        <v>41</v>
      </c>
      <c r="J2590" t="s">
        <v>76</v>
      </c>
      <c r="K2590" t="s">
        <v>77</v>
      </c>
      <c r="L2590">
        <v>11</v>
      </c>
      <c r="M2590" t="s">
        <v>8705</v>
      </c>
      <c r="N2590" t="s">
        <v>64</v>
      </c>
      <c r="O2590" t="s">
        <v>46</v>
      </c>
      <c r="P2590" t="s">
        <v>46</v>
      </c>
      <c r="Y2590" t="s">
        <v>8718</v>
      </c>
    </row>
    <row r="2591" spans="1:25">
      <c r="A2591" t="s">
        <v>8719</v>
      </c>
      <c r="B2591" t="s">
        <v>8720</v>
      </c>
      <c r="D2591" t="s">
        <v>40</v>
      </c>
      <c r="E2591" t="s">
        <v>41</v>
      </c>
      <c r="J2591" t="s">
        <v>182</v>
      </c>
      <c r="K2591" t="s">
        <v>183</v>
      </c>
      <c r="L2591">
        <v>11</v>
      </c>
      <c r="M2591" t="s">
        <v>8705</v>
      </c>
      <c r="N2591" t="s">
        <v>64</v>
      </c>
      <c r="O2591" t="s">
        <v>46</v>
      </c>
      <c r="P2591" t="s">
        <v>46</v>
      </c>
      <c r="Y2591" t="s">
        <v>8721</v>
      </c>
    </row>
    <row r="2592" spans="1:25">
      <c r="A2592" t="s">
        <v>8722</v>
      </c>
      <c r="B2592" t="s">
        <v>8723</v>
      </c>
      <c r="D2592" t="s">
        <v>40</v>
      </c>
      <c r="E2592" t="s">
        <v>41</v>
      </c>
      <c r="J2592" t="s">
        <v>62</v>
      </c>
      <c r="K2592" t="s">
        <v>63</v>
      </c>
      <c r="L2592">
        <v>11</v>
      </c>
      <c r="M2592" t="s">
        <v>8705</v>
      </c>
      <c r="N2592" t="s">
        <v>64</v>
      </c>
      <c r="O2592" t="s">
        <v>46</v>
      </c>
      <c r="P2592" t="s">
        <v>46</v>
      </c>
      <c r="Y2592" t="s">
        <v>8724</v>
      </c>
    </row>
    <row r="2593" spans="1:25">
      <c r="A2593" t="s">
        <v>8725</v>
      </c>
      <c r="B2593" t="s">
        <v>8726</v>
      </c>
      <c r="D2593" t="s">
        <v>40</v>
      </c>
      <c r="E2593" t="s">
        <v>41</v>
      </c>
      <c r="J2593" t="s">
        <v>42</v>
      </c>
      <c r="K2593" t="s">
        <v>43</v>
      </c>
      <c r="L2593">
        <v>11</v>
      </c>
      <c r="M2593" t="s">
        <v>8705</v>
      </c>
      <c r="N2593" t="s">
        <v>1189</v>
      </c>
      <c r="O2593" t="s">
        <v>46</v>
      </c>
      <c r="P2593" t="s">
        <v>46</v>
      </c>
      <c r="Y2593" t="s">
        <v>8727</v>
      </c>
    </row>
    <row r="2594" spans="1:25">
      <c r="A2594" t="s">
        <v>8728</v>
      </c>
      <c r="B2594" t="s">
        <v>8729</v>
      </c>
      <c r="D2594" t="s">
        <v>40</v>
      </c>
      <c r="E2594" t="s">
        <v>41</v>
      </c>
      <c r="J2594" t="s">
        <v>62</v>
      </c>
      <c r="K2594" t="s">
        <v>63</v>
      </c>
      <c r="L2594">
        <v>11</v>
      </c>
      <c r="M2594" t="s">
        <v>8730</v>
      </c>
      <c r="N2594" t="s">
        <v>64</v>
      </c>
      <c r="O2594" t="s">
        <v>46</v>
      </c>
      <c r="P2594" t="s">
        <v>46</v>
      </c>
      <c r="Y2594" t="s">
        <v>8731</v>
      </c>
    </row>
    <row r="2595" spans="1:25">
      <c r="A2595" t="s">
        <v>8732</v>
      </c>
      <c r="B2595" t="s">
        <v>8733</v>
      </c>
      <c r="D2595" t="s">
        <v>40</v>
      </c>
      <c r="E2595" t="s">
        <v>41</v>
      </c>
      <c r="J2595" t="s">
        <v>182</v>
      </c>
      <c r="K2595" t="s">
        <v>183</v>
      </c>
      <c r="L2595">
        <v>11</v>
      </c>
      <c r="M2595" t="s">
        <v>8730</v>
      </c>
      <c r="N2595" t="s">
        <v>64</v>
      </c>
      <c r="O2595" t="s">
        <v>46</v>
      </c>
      <c r="P2595" t="s">
        <v>46</v>
      </c>
      <c r="Y2595" t="s">
        <v>8734</v>
      </c>
    </row>
    <row r="2596" spans="1:25">
      <c r="A2596" t="s">
        <v>8735</v>
      </c>
      <c r="B2596" t="s">
        <v>8736</v>
      </c>
      <c r="D2596" t="s">
        <v>40</v>
      </c>
      <c r="E2596" t="s">
        <v>41</v>
      </c>
      <c r="J2596" t="s">
        <v>62</v>
      </c>
      <c r="K2596" t="s">
        <v>63</v>
      </c>
      <c r="L2596">
        <v>11</v>
      </c>
      <c r="M2596" t="s">
        <v>8737</v>
      </c>
      <c r="N2596" t="s">
        <v>64</v>
      </c>
      <c r="O2596" t="s">
        <v>46</v>
      </c>
      <c r="P2596" t="s">
        <v>46</v>
      </c>
      <c r="Y2596" t="s">
        <v>8738</v>
      </c>
    </row>
    <row r="2597" spans="1:25">
      <c r="A2597" t="s">
        <v>8739</v>
      </c>
      <c r="B2597" t="s">
        <v>8740</v>
      </c>
      <c r="D2597" t="s">
        <v>40</v>
      </c>
      <c r="E2597" t="s">
        <v>41</v>
      </c>
      <c r="J2597" t="s">
        <v>62</v>
      </c>
      <c r="K2597" t="s">
        <v>63</v>
      </c>
      <c r="L2597">
        <v>11</v>
      </c>
      <c r="M2597" t="s">
        <v>8741</v>
      </c>
      <c r="N2597" t="s">
        <v>64</v>
      </c>
      <c r="O2597" t="s">
        <v>46</v>
      </c>
      <c r="P2597" t="s">
        <v>46</v>
      </c>
      <c r="Y2597" t="s">
        <v>8742</v>
      </c>
    </row>
    <row r="2598" spans="1:25">
      <c r="A2598" t="s">
        <v>8743</v>
      </c>
      <c r="B2598" t="s">
        <v>8744</v>
      </c>
      <c r="D2598" t="s">
        <v>40</v>
      </c>
      <c r="E2598" t="s">
        <v>41</v>
      </c>
      <c r="J2598" t="s">
        <v>182</v>
      </c>
      <c r="K2598" t="s">
        <v>183</v>
      </c>
      <c r="L2598">
        <v>11</v>
      </c>
      <c r="M2598" t="s">
        <v>8741</v>
      </c>
      <c r="N2598" t="s">
        <v>64</v>
      </c>
      <c r="O2598" t="s">
        <v>46</v>
      </c>
      <c r="P2598" t="s">
        <v>46</v>
      </c>
      <c r="Y2598" t="s">
        <v>8745</v>
      </c>
    </row>
    <row r="2599" spans="1:25">
      <c r="A2599" t="s">
        <v>8746</v>
      </c>
      <c r="B2599" t="s">
        <v>8747</v>
      </c>
      <c r="D2599" t="s">
        <v>40</v>
      </c>
      <c r="E2599" t="s">
        <v>41</v>
      </c>
      <c r="J2599" t="s">
        <v>76</v>
      </c>
      <c r="K2599" t="s">
        <v>77</v>
      </c>
      <c r="L2599">
        <v>11</v>
      </c>
      <c r="M2599" t="s">
        <v>8748</v>
      </c>
      <c r="N2599" t="s">
        <v>64</v>
      </c>
      <c r="O2599" t="s">
        <v>46</v>
      </c>
      <c r="P2599" t="s">
        <v>46</v>
      </c>
      <c r="Y2599" t="s">
        <v>8749</v>
      </c>
    </row>
    <row r="2600" spans="1:25">
      <c r="A2600" t="s">
        <v>8750</v>
      </c>
      <c r="B2600" t="s">
        <v>8751</v>
      </c>
      <c r="D2600" t="s">
        <v>40</v>
      </c>
      <c r="E2600" t="s">
        <v>41</v>
      </c>
      <c r="J2600" t="s">
        <v>62</v>
      </c>
      <c r="K2600" t="s">
        <v>63</v>
      </c>
      <c r="L2600">
        <v>11</v>
      </c>
      <c r="M2600" t="s">
        <v>8748</v>
      </c>
      <c r="N2600" t="s">
        <v>64</v>
      </c>
      <c r="O2600" t="s">
        <v>46</v>
      </c>
      <c r="P2600" t="s">
        <v>46</v>
      </c>
      <c r="Y2600" t="s">
        <v>8752</v>
      </c>
    </row>
    <row r="2601" spans="1:25">
      <c r="A2601" t="s">
        <v>8753</v>
      </c>
      <c r="B2601" t="s">
        <v>8754</v>
      </c>
      <c r="D2601" t="s">
        <v>40</v>
      </c>
      <c r="E2601" t="s">
        <v>41</v>
      </c>
      <c r="J2601" t="s">
        <v>182</v>
      </c>
      <c r="K2601" t="s">
        <v>183</v>
      </c>
      <c r="L2601">
        <v>10</v>
      </c>
      <c r="M2601" t="s">
        <v>8755</v>
      </c>
      <c r="N2601" t="s">
        <v>64</v>
      </c>
      <c r="O2601" t="s">
        <v>46</v>
      </c>
      <c r="P2601" t="s">
        <v>46</v>
      </c>
      <c r="Y2601" t="s">
        <v>8756</v>
      </c>
    </row>
    <row r="2602" spans="1:25">
      <c r="A2602" t="s">
        <v>8757</v>
      </c>
      <c r="B2602" t="s">
        <v>8758</v>
      </c>
      <c r="D2602" t="s">
        <v>40</v>
      </c>
      <c r="E2602" t="s">
        <v>41</v>
      </c>
      <c r="J2602" t="s">
        <v>248</v>
      </c>
      <c r="K2602" t="s">
        <v>249</v>
      </c>
      <c r="L2602">
        <v>10</v>
      </c>
      <c r="M2602" t="s">
        <v>8755</v>
      </c>
      <c r="N2602" t="s">
        <v>1047</v>
      </c>
      <c r="O2602" t="s">
        <v>46</v>
      </c>
      <c r="P2602" t="s">
        <v>46</v>
      </c>
      <c r="Y2602" t="s">
        <v>8759</v>
      </c>
    </row>
    <row r="2603" spans="1:25">
      <c r="A2603" t="s">
        <v>8760</v>
      </c>
      <c r="B2603" t="s">
        <v>8761</v>
      </c>
      <c r="D2603" t="s">
        <v>40</v>
      </c>
      <c r="E2603" t="s">
        <v>41</v>
      </c>
      <c r="J2603" t="s">
        <v>42</v>
      </c>
      <c r="K2603" t="s">
        <v>43</v>
      </c>
      <c r="L2603">
        <v>10</v>
      </c>
      <c r="M2603" t="s">
        <v>8755</v>
      </c>
      <c r="N2603" t="s">
        <v>218</v>
      </c>
      <c r="O2603" t="s">
        <v>46</v>
      </c>
      <c r="P2603" t="s">
        <v>46</v>
      </c>
      <c r="Y2603" t="s">
        <v>8762</v>
      </c>
    </row>
    <row r="2604" spans="1:25">
      <c r="A2604" t="s">
        <v>8763</v>
      </c>
      <c r="B2604" t="s">
        <v>8764</v>
      </c>
      <c r="D2604" t="s">
        <v>40</v>
      </c>
      <c r="E2604" t="s">
        <v>41</v>
      </c>
      <c r="J2604" t="s">
        <v>182</v>
      </c>
      <c r="K2604" t="s">
        <v>183</v>
      </c>
      <c r="L2604">
        <v>10</v>
      </c>
      <c r="M2604" t="s">
        <v>8765</v>
      </c>
      <c r="N2604" t="s">
        <v>64</v>
      </c>
      <c r="O2604" t="s">
        <v>46</v>
      </c>
      <c r="P2604" t="s">
        <v>46</v>
      </c>
      <c r="Y2604" t="s">
        <v>8766</v>
      </c>
    </row>
    <row r="2605" spans="1:25">
      <c r="A2605" t="s">
        <v>8767</v>
      </c>
      <c r="B2605" t="s">
        <v>8768</v>
      </c>
      <c r="D2605" t="s">
        <v>40</v>
      </c>
      <c r="E2605" t="s">
        <v>41</v>
      </c>
      <c r="J2605" t="s">
        <v>182</v>
      </c>
      <c r="K2605" t="s">
        <v>183</v>
      </c>
      <c r="L2605">
        <v>10</v>
      </c>
      <c r="M2605" t="s">
        <v>8765</v>
      </c>
      <c r="N2605" t="s">
        <v>64</v>
      </c>
      <c r="O2605" t="s">
        <v>46</v>
      </c>
      <c r="P2605" t="s">
        <v>46</v>
      </c>
      <c r="Y2605" t="s">
        <v>8769</v>
      </c>
    </row>
    <row r="2606" spans="1:25">
      <c r="A2606" t="s">
        <v>8770</v>
      </c>
      <c r="B2606" t="s">
        <v>8771</v>
      </c>
      <c r="D2606" t="s">
        <v>40</v>
      </c>
      <c r="E2606" t="s">
        <v>41</v>
      </c>
      <c r="J2606" t="s">
        <v>182</v>
      </c>
      <c r="K2606" t="s">
        <v>183</v>
      </c>
      <c r="L2606">
        <v>10</v>
      </c>
      <c r="M2606" t="s">
        <v>8772</v>
      </c>
      <c r="N2606" t="s">
        <v>64</v>
      </c>
      <c r="O2606" t="s">
        <v>46</v>
      </c>
      <c r="P2606" t="s">
        <v>46</v>
      </c>
      <c r="Y2606" t="s">
        <v>8773</v>
      </c>
    </row>
    <row r="2607" spans="1:25">
      <c r="A2607" t="s">
        <v>8774</v>
      </c>
      <c r="B2607" t="s">
        <v>8775</v>
      </c>
      <c r="D2607" t="s">
        <v>40</v>
      </c>
      <c r="E2607" t="s">
        <v>41</v>
      </c>
      <c r="J2607" t="s">
        <v>76</v>
      </c>
      <c r="K2607" t="s">
        <v>77</v>
      </c>
      <c r="L2607">
        <v>10</v>
      </c>
      <c r="M2607" t="s">
        <v>8772</v>
      </c>
      <c r="N2607" t="s">
        <v>64</v>
      </c>
      <c r="O2607" t="s">
        <v>46</v>
      </c>
      <c r="P2607" t="s">
        <v>46</v>
      </c>
      <c r="Y2607" t="s">
        <v>8776</v>
      </c>
    </row>
    <row r="2608" spans="1:25">
      <c r="A2608" t="s">
        <v>8777</v>
      </c>
      <c r="B2608" t="s">
        <v>8778</v>
      </c>
      <c r="D2608" t="s">
        <v>40</v>
      </c>
      <c r="E2608" t="s">
        <v>41</v>
      </c>
      <c r="J2608" t="s">
        <v>182</v>
      </c>
      <c r="K2608" t="s">
        <v>183</v>
      </c>
      <c r="L2608">
        <v>10</v>
      </c>
      <c r="M2608" t="s">
        <v>8779</v>
      </c>
      <c r="N2608" t="s">
        <v>64</v>
      </c>
      <c r="O2608" t="s">
        <v>46</v>
      </c>
      <c r="P2608" t="s">
        <v>46</v>
      </c>
      <c r="Y2608" t="s">
        <v>8780</v>
      </c>
    </row>
    <row r="2609" spans="1:25">
      <c r="A2609" t="s">
        <v>8781</v>
      </c>
      <c r="B2609" t="s">
        <v>8782</v>
      </c>
      <c r="D2609" t="s">
        <v>40</v>
      </c>
      <c r="E2609" t="s">
        <v>41</v>
      </c>
      <c r="J2609" t="s">
        <v>76</v>
      </c>
      <c r="K2609" t="s">
        <v>77</v>
      </c>
      <c r="L2609">
        <v>10</v>
      </c>
      <c r="M2609" t="s">
        <v>8783</v>
      </c>
      <c r="N2609" t="s">
        <v>64</v>
      </c>
      <c r="O2609" t="s">
        <v>46</v>
      </c>
      <c r="P2609" t="s">
        <v>46</v>
      </c>
      <c r="Y2609" t="s">
        <v>8784</v>
      </c>
    </row>
    <row r="2610" spans="1:25">
      <c r="A2610" t="s">
        <v>8785</v>
      </c>
      <c r="B2610" t="s">
        <v>8786</v>
      </c>
      <c r="D2610" t="s">
        <v>40</v>
      </c>
      <c r="E2610" t="s">
        <v>41</v>
      </c>
      <c r="J2610" t="s">
        <v>182</v>
      </c>
      <c r="K2610" t="s">
        <v>183</v>
      </c>
      <c r="L2610">
        <v>10</v>
      </c>
      <c r="M2610" t="s">
        <v>8783</v>
      </c>
      <c r="N2610" t="s">
        <v>64</v>
      </c>
      <c r="O2610" t="s">
        <v>46</v>
      </c>
      <c r="P2610" t="s">
        <v>46</v>
      </c>
      <c r="Y2610" t="s">
        <v>8787</v>
      </c>
    </row>
    <row r="2611" spans="1:25">
      <c r="A2611" t="s">
        <v>8788</v>
      </c>
      <c r="B2611" t="s">
        <v>8789</v>
      </c>
      <c r="D2611" t="s">
        <v>40</v>
      </c>
      <c r="E2611" t="s">
        <v>41</v>
      </c>
      <c r="J2611" t="s">
        <v>182</v>
      </c>
      <c r="K2611" t="s">
        <v>183</v>
      </c>
      <c r="L2611">
        <v>10</v>
      </c>
      <c r="M2611" t="s">
        <v>8783</v>
      </c>
      <c r="N2611" t="s">
        <v>64</v>
      </c>
      <c r="O2611" t="s">
        <v>46</v>
      </c>
      <c r="P2611" t="s">
        <v>46</v>
      </c>
      <c r="Y2611" t="s">
        <v>8790</v>
      </c>
    </row>
    <row r="2612" spans="1:25">
      <c r="A2612" t="s">
        <v>8791</v>
      </c>
      <c r="B2612" t="s">
        <v>8792</v>
      </c>
      <c r="D2612" t="s">
        <v>40</v>
      </c>
      <c r="E2612" t="s">
        <v>41</v>
      </c>
      <c r="J2612" t="s">
        <v>76</v>
      </c>
      <c r="K2612" t="s">
        <v>77</v>
      </c>
      <c r="L2612">
        <v>10</v>
      </c>
      <c r="M2612" t="s">
        <v>8783</v>
      </c>
      <c r="N2612" t="s">
        <v>64</v>
      </c>
      <c r="O2612" t="s">
        <v>46</v>
      </c>
      <c r="P2612" t="s">
        <v>46</v>
      </c>
      <c r="Y2612" t="s">
        <v>8793</v>
      </c>
    </row>
    <row r="2613" spans="1:25">
      <c r="A2613" t="s">
        <v>8794</v>
      </c>
      <c r="B2613" t="s">
        <v>8795</v>
      </c>
      <c r="D2613" t="s">
        <v>40</v>
      </c>
      <c r="E2613" t="s">
        <v>41</v>
      </c>
      <c r="J2613" t="s">
        <v>42</v>
      </c>
      <c r="K2613" t="s">
        <v>43</v>
      </c>
      <c r="L2613">
        <v>10</v>
      </c>
      <c r="M2613" t="s">
        <v>8796</v>
      </c>
      <c r="N2613" t="s">
        <v>296</v>
      </c>
      <c r="O2613" t="s">
        <v>46</v>
      </c>
      <c r="P2613" t="s">
        <v>46</v>
      </c>
      <c r="Y2613" t="s">
        <v>8797</v>
      </c>
    </row>
    <row r="2614" spans="1:25">
      <c r="A2614" t="s">
        <v>8798</v>
      </c>
      <c r="B2614" t="s">
        <v>8799</v>
      </c>
      <c r="D2614" t="s">
        <v>40</v>
      </c>
      <c r="E2614" t="s">
        <v>41</v>
      </c>
      <c r="J2614" t="s">
        <v>182</v>
      </c>
      <c r="K2614" t="s">
        <v>183</v>
      </c>
      <c r="L2614">
        <v>10</v>
      </c>
      <c r="M2614" t="s">
        <v>8800</v>
      </c>
      <c r="N2614" t="s">
        <v>64</v>
      </c>
      <c r="O2614" t="s">
        <v>46</v>
      </c>
      <c r="P2614" t="s">
        <v>46</v>
      </c>
      <c r="Y2614" t="s">
        <v>8801</v>
      </c>
    </row>
    <row r="2615" spans="1:25">
      <c r="A2615" t="s">
        <v>8802</v>
      </c>
      <c r="B2615" t="s">
        <v>8803</v>
      </c>
      <c r="D2615" t="s">
        <v>40</v>
      </c>
      <c r="E2615" t="s">
        <v>41</v>
      </c>
      <c r="J2615" t="s">
        <v>182</v>
      </c>
      <c r="K2615" t="s">
        <v>183</v>
      </c>
      <c r="L2615">
        <v>10</v>
      </c>
      <c r="M2615" t="s">
        <v>8804</v>
      </c>
      <c r="N2615" t="s">
        <v>64</v>
      </c>
      <c r="O2615" t="s">
        <v>46</v>
      </c>
      <c r="P2615" t="s">
        <v>46</v>
      </c>
      <c r="Y2615" t="s">
        <v>8805</v>
      </c>
    </row>
    <row r="2616" spans="1:25">
      <c r="A2616" t="s">
        <v>8806</v>
      </c>
      <c r="B2616" t="s">
        <v>8807</v>
      </c>
      <c r="D2616" t="s">
        <v>40</v>
      </c>
      <c r="E2616" t="s">
        <v>41</v>
      </c>
      <c r="J2616" t="s">
        <v>182</v>
      </c>
      <c r="K2616" t="s">
        <v>183</v>
      </c>
      <c r="L2616">
        <v>10</v>
      </c>
      <c r="M2616" t="s">
        <v>8808</v>
      </c>
      <c r="N2616" t="s">
        <v>64</v>
      </c>
      <c r="O2616" t="s">
        <v>46</v>
      </c>
      <c r="P2616" t="s">
        <v>46</v>
      </c>
      <c r="Y2616" t="s">
        <v>8809</v>
      </c>
    </row>
    <row r="2617" spans="1:25">
      <c r="A2617" t="s">
        <v>8810</v>
      </c>
      <c r="B2617" t="s">
        <v>8811</v>
      </c>
      <c r="D2617" t="s">
        <v>40</v>
      </c>
      <c r="E2617" t="s">
        <v>41</v>
      </c>
      <c r="J2617" t="s">
        <v>76</v>
      </c>
      <c r="K2617" t="s">
        <v>77</v>
      </c>
      <c r="L2617">
        <v>10</v>
      </c>
      <c r="M2617" t="s">
        <v>8808</v>
      </c>
      <c r="N2617" t="s">
        <v>64</v>
      </c>
      <c r="O2617" t="s">
        <v>46</v>
      </c>
      <c r="P2617" t="s">
        <v>46</v>
      </c>
      <c r="Y2617" t="s">
        <v>8812</v>
      </c>
    </row>
    <row r="2618" spans="1:25">
      <c r="A2618" t="s">
        <v>8813</v>
      </c>
      <c r="B2618" t="s">
        <v>8814</v>
      </c>
      <c r="D2618" t="s">
        <v>40</v>
      </c>
      <c r="E2618" t="s">
        <v>41</v>
      </c>
      <c r="J2618" t="s">
        <v>182</v>
      </c>
      <c r="K2618" t="s">
        <v>183</v>
      </c>
      <c r="L2618">
        <v>10</v>
      </c>
      <c r="M2618" t="s">
        <v>8815</v>
      </c>
      <c r="N2618" t="s">
        <v>64</v>
      </c>
      <c r="O2618" t="s">
        <v>46</v>
      </c>
      <c r="P2618" t="s">
        <v>46</v>
      </c>
      <c r="Y2618" t="s">
        <v>8816</v>
      </c>
    </row>
    <row r="2619" spans="1:25">
      <c r="A2619" t="s">
        <v>8817</v>
      </c>
      <c r="B2619" t="s">
        <v>8818</v>
      </c>
      <c r="D2619" t="s">
        <v>40</v>
      </c>
      <c r="E2619" t="s">
        <v>41</v>
      </c>
      <c r="J2619" t="s">
        <v>182</v>
      </c>
      <c r="K2619" t="s">
        <v>183</v>
      </c>
      <c r="L2619">
        <v>10</v>
      </c>
      <c r="M2619" t="s">
        <v>8815</v>
      </c>
      <c r="N2619" t="s">
        <v>64</v>
      </c>
      <c r="O2619" t="s">
        <v>46</v>
      </c>
      <c r="P2619" t="s">
        <v>46</v>
      </c>
      <c r="Y2619" t="s">
        <v>8819</v>
      </c>
    </row>
    <row r="2620" spans="1:25">
      <c r="A2620" t="s">
        <v>8820</v>
      </c>
      <c r="B2620" t="s">
        <v>8821</v>
      </c>
      <c r="D2620" t="s">
        <v>40</v>
      </c>
      <c r="E2620" t="s">
        <v>41</v>
      </c>
      <c r="J2620" t="s">
        <v>182</v>
      </c>
      <c r="K2620" t="s">
        <v>183</v>
      </c>
      <c r="L2620">
        <v>10</v>
      </c>
      <c r="M2620" t="s">
        <v>8815</v>
      </c>
      <c r="N2620" t="s">
        <v>64</v>
      </c>
      <c r="O2620" t="s">
        <v>46</v>
      </c>
      <c r="P2620" t="s">
        <v>46</v>
      </c>
      <c r="Y2620" t="s">
        <v>8822</v>
      </c>
    </row>
    <row r="2621" spans="1:25">
      <c r="A2621" t="s">
        <v>8823</v>
      </c>
      <c r="B2621" t="s">
        <v>8824</v>
      </c>
      <c r="D2621" t="s">
        <v>40</v>
      </c>
      <c r="E2621" t="s">
        <v>41</v>
      </c>
      <c r="J2621" t="s">
        <v>68</v>
      </c>
      <c r="K2621" t="s">
        <v>69</v>
      </c>
      <c r="L2621">
        <v>10</v>
      </c>
      <c r="M2621" t="s">
        <v>8815</v>
      </c>
      <c r="N2621" t="s">
        <v>64</v>
      </c>
      <c r="O2621" t="s">
        <v>46</v>
      </c>
      <c r="P2621" t="s">
        <v>46</v>
      </c>
      <c r="Y2621" t="s">
        <v>8825</v>
      </c>
    </row>
    <row r="2622" spans="1:25">
      <c r="A2622" t="s">
        <v>8826</v>
      </c>
      <c r="B2622" t="s">
        <v>8827</v>
      </c>
      <c r="D2622" t="s">
        <v>40</v>
      </c>
      <c r="E2622" t="s">
        <v>41</v>
      </c>
      <c r="J2622" t="s">
        <v>68</v>
      </c>
      <c r="K2622" t="s">
        <v>69</v>
      </c>
      <c r="L2622">
        <v>10</v>
      </c>
      <c r="M2622" t="s">
        <v>8815</v>
      </c>
      <c r="N2622" t="s">
        <v>64</v>
      </c>
      <c r="O2622" t="s">
        <v>46</v>
      </c>
      <c r="P2622" t="s">
        <v>46</v>
      </c>
      <c r="Y2622" t="s">
        <v>8828</v>
      </c>
    </row>
    <row r="2623" spans="1:25">
      <c r="A2623" t="s">
        <v>8829</v>
      </c>
      <c r="B2623" t="s">
        <v>8830</v>
      </c>
      <c r="D2623" t="s">
        <v>40</v>
      </c>
      <c r="E2623" t="s">
        <v>41</v>
      </c>
      <c r="J2623" t="s">
        <v>68</v>
      </c>
      <c r="K2623" t="s">
        <v>69</v>
      </c>
      <c r="L2623">
        <v>10</v>
      </c>
      <c r="M2623" t="s">
        <v>8831</v>
      </c>
      <c r="N2623" t="s">
        <v>64</v>
      </c>
      <c r="O2623" t="s">
        <v>46</v>
      </c>
      <c r="P2623" t="s">
        <v>46</v>
      </c>
      <c r="Y2623" t="s">
        <v>8832</v>
      </c>
    </row>
    <row r="2624" spans="1:25">
      <c r="A2624" t="s">
        <v>8833</v>
      </c>
      <c r="B2624" t="s">
        <v>8834</v>
      </c>
      <c r="D2624" t="s">
        <v>40</v>
      </c>
      <c r="E2624" t="s">
        <v>41</v>
      </c>
      <c r="J2624" t="s">
        <v>182</v>
      </c>
      <c r="K2624" t="s">
        <v>183</v>
      </c>
      <c r="L2624">
        <v>10</v>
      </c>
      <c r="M2624" t="s">
        <v>8835</v>
      </c>
      <c r="N2624" t="s">
        <v>64</v>
      </c>
      <c r="O2624" t="s">
        <v>46</v>
      </c>
      <c r="P2624" t="s">
        <v>46</v>
      </c>
      <c r="Y2624" t="s">
        <v>8836</v>
      </c>
    </row>
    <row r="2625" spans="1:25">
      <c r="A2625" t="s">
        <v>8837</v>
      </c>
      <c r="B2625" t="s">
        <v>8838</v>
      </c>
      <c r="D2625" t="s">
        <v>40</v>
      </c>
      <c r="E2625" t="s">
        <v>41</v>
      </c>
      <c r="J2625" t="s">
        <v>68</v>
      </c>
      <c r="K2625" t="s">
        <v>69</v>
      </c>
      <c r="L2625">
        <v>10</v>
      </c>
      <c r="M2625" t="s">
        <v>8835</v>
      </c>
      <c r="N2625" t="s">
        <v>64</v>
      </c>
      <c r="O2625" t="s">
        <v>46</v>
      </c>
      <c r="P2625" t="s">
        <v>46</v>
      </c>
      <c r="Y2625" t="s">
        <v>8839</v>
      </c>
    </row>
    <row r="2626" spans="1:25">
      <c r="A2626" t="s">
        <v>8840</v>
      </c>
      <c r="B2626" t="s">
        <v>8841</v>
      </c>
      <c r="D2626" t="s">
        <v>40</v>
      </c>
      <c r="E2626" t="s">
        <v>41</v>
      </c>
      <c r="J2626" t="s">
        <v>76</v>
      </c>
      <c r="K2626" t="s">
        <v>77</v>
      </c>
      <c r="L2626">
        <v>10</v>
      </c>
      <c r="M2626" t="s">
        <v>8835</v>
      </c>
      <c r="N2626" t="s">
        <v>64</v>
      </c>
      <c r="O2626" t="s">
        <v>46</v>
      </c>
      <c r="P2626" t="s">
        <v>46</v>
      </c>
      <c r="Y2626" t="s">
        <v>8842</v>
      </c>
    </row>
    <row r="2627" spans="1:25">
      <c r="A2627" t="s">
        <v>8843</v>
      </c>
      <c r="B2627" t="s">
        <v>8844</v>
      </c>
      <c r="D2627" t="s">
        <v>40</v>
      </c>
      <c r="E2627" t="s">
        <v>41</v>
      </c>
      <c r="J2627" t="s">
        <v>76</v>
      </c>
      <c r="K2627" t="s">
        <v>77</v>
      </c>
      <c r="L2627">
        <v>10</v>
      </c>
      <c r="M2627" t="s">
        <v>8835</v>
      </c>
      <c r="N2627" t="s">
        <v>64</v>
      </c>
      <c r="O2627" t="s">
        <v>46</v>
      </c>
      <c r="P2627" t="s">
        <v>46</v>
      </c>
      <c r="Y2627" t="s">
        <v>8845</v>
      </c>
    </row>
    <row r="2628" spans="1:25">
      <c r="A2628" t="s">
        <v>8846</v>
      </c>
      <c r="B2628" t="s">
        <v>8847</v>
      </c>
      <c r="D2628" t="s">
        <v>40</v>
      </c>
      <c r="E2628" t="s">
        <v>41</v>
      </c>
      <c r="J2628" t="s">
        <v>182</v>
      </c>
      <c r="K2628" t="s">
        <v>183</v>
      </c>
      <c r="L2628">
        <v>10</v>
      </c>
      <c r="M2628" t="s">
        <v>8835</v>
      </c>
      <c r="N2628" t="s">
        <v>64</v>
      </c>
      <c r="O2628" t="s">
        <v>46</v>
      </c>
      <c r="P2628" t="s">
        <v>46</v>
      </c>
      <c r="Y2628" t="s">
        <v>8848</v>
      </c>
    </row>
    <row r="2629" spans="1:25">
      <c r="A2629" t="s">
        <v>8849</v>
      </c>
      <c r="B2629" t="s">
        <v>8850</v>
      </c>
      <c r="D2629" t="s">
        <v>40</v>
      </c>
      <c r="E2629" t="s">
        <v>41</v>
      </c>
      <c r="J2629" t="s">
        <v>182</v>
      </c>
      <c r="K2629" t="s">
        <v>183</v>
      </c>
      <c r="L2629">
        <v>10</v>
      </c>
      <c r="M2629" t="s">
        <v>8851</v>
      </c>
      <c r="N2629" t="s">
        <v>64</v>
      </c>
      <c r="O2629" t="s">
        <v>46</v>
      </c>
      <c r="P2629" t="s">
        <v>46</v>
      </c>
      <c r="Y2629" t="s">
        <v>8852</v>
      </c>
    </row>
    <row r="2630" spans="1:25">
      <c r="A2630" t="s">
        <v>8853</v>
      </c>
      <c r="B2630" t="s">
        <v>8854</v>
      </c>
      <c r="D2630" t="s">
        <v>40</v>
      </c>
      <c r="E2630" t="s">
        <v>41</v>
      </c>
      <c r="J2630" t="s">
        <v>182</v>
      </c>
      <c r="K2630" t="s">
        <v>183</v>
      </c>
      <c r="L2630">
        <v>10</v>
      </c>
      <c r="M2630" t="s">
        <v>8855</v>
      </c>
      <c r="N2630" t="s">
        <v>64</v>
      </c>
      <c r="O2630" t="s">
        <v>46</v>
      </c>
      <c r="P2630" t="s">
        <v>46</v>
      </c>
      <c r="Y2630" t="s">
        <v>8856</v>
      </c>
    </row>
    <row r="2631" spans="1:25">
      <c r="A2631" t="s">
        <v>8857</v>
      </c>
      <c r="B2631" t="s">
        <v>8858</v>
      </c>
      <c r="D2631" t="s">
        <v>40</v>
      </c>
      <c r="E2631" t="s">
        <v>41</v>
      </c>
      <c r="J2631" t="s">
        <v>76</v>
      </c>
      <c r="K2631" t="s">
        <v>77</v>
      </c>
      <c r="L2631">
        <v>10</v>
      </c>
      <c r="M2631" t="s">
        <v>8859</v>
      </c>
      <c r="N2631" t="s">
        <v>64</v>
      </c>
      <c r="O2631" t="s">
        <v>46</v>
      </c>
      <c r="P2631" t="s">
        <v>46</v>
      </c>
      <c r="Y2631" t="s">
        <v>8860</v>
      </c>
    </row>
    <row r="2632" spans="1:25">
      <c r="A2632" t="s">
        <v>8861</v>
      </c>
      <c r="B2632" t="s">
        <v>8862</v>
      </c>
      <c r="D2632" t="s">
        <v>40</v>
      </c>
      <c r="E2632" t="s">
        <v>41</v>
      </c>
      <c r="J2632" t="s">
        <v>182</v>
      </c>
      <c r="K2632" t="s">
        <v>183</v>
      </c>
      <c r="L2632">
        <v>10</v>
      </c>
      <c r="M2632" t="s">
        <v>8863</v>
      </c>
      <c r="N2632" t="s">
        <v>64</v>
      </c>
      <c r="O2632" t="s">
        <v>46</v>
      </c>
      <c r="P2632" t="s">
        <v>46</v>
      </c>
      <c r="Y2632" t="s">
        <v>8864</v>
      </c>
    </row>
    <row r="2633" spans="1:25">
      <c r="A2633" t="s">
        <v>8865</v>
      </c>
      <c r="B2633" t="s">
        <v>8866</v>
      </c>
      <c r="D2633" t="s">
        <v>40</v>
      </c>
      <c r="E2633" t="s">
        <v>41</v>
      </c>
      <c r="J2633" t="s">
        <v>182</v>
      </c>
      <c r="K2633" t="s">
        <v>183</v>
      </c>
      <c r="L2633">
        <v>10</v>
      </c>
      <c r="M2633" t="s">
        <v>8863</v>
      </c>
      <c r="N2633" t="s">
        <v>64</v>
      </c>
      <c r="O2633" t="s">
        <v>46</v>
      </c>
      <c r="P2633" t="s">
        <v>46</v>
      </c>
      <c r="Y2633" t="s">
        <v>8867</v>
      </c>
    </row>
    <row r="2634" spans="1:25">
      <c r="A2634" t="s">
        <v>8868</v>
      </c>
      <c r="B2634" t="s">
        <v>8869</v>
      </c>
      <c r="D2634" t="s">
        <v>40</v>
      </c>
      <c r="E2634" t="s">
        <v>41</v>
      </c>
      <c r="J2634" t="s">
        <v>76</v>
      </c>
      <c r="K2634" t="s">
        <v>77</v>
      </c>
      <c r="L2634">
        <v>10</v>
      </c>
      <c r="M2634" t="s">
        <v>8863</v>
      </c>
      <c r="N2634" t="s">
        <v>64</v>
      </c>
      <c r="O2634" t="s">
        <v>46</v>
      </c>
      <c r="P2634" t="s">
        <v>46</v>
      </c>
      <c r="Y2634" t="s">
        <v>8870</v>
      </c>
    </row>
    <row r="2635" spans="1:25">
      <c r="A2635" t="s">
        <v>8871</v>
      </c>
      <c r="B2635" t="s">
        <v>8872</v>
      </c>
      <c r="D2635" t="s">
        <v>40</v>
      </c>
      <c r="E2635" t="s">
        <v>41</v>
      </c>
      <c r="J2635" t="s">
        <v>76</v>
      </c>
      <c r="K2635" t="s">
        <v>77</v>
      </c>
      <c r="L2635">
        <v>10</v>
      </c>
      <c r="M2635" t="s">
        <v>8863</v>
      </c>
      <c r="N2635" t="s">
        <v>64</v>
      </c>
      <c r="O2635" t="s">
        <v>46</v>
      </c>
      <c r="P2635" t="s">
        <v>46</v>
      </c>
      <c r="Y2635" t="s">
        <v>8873</v>
      </c>
    </row>
    <row r="2636" spans="1:25">
      <c r="A2636" t="s">
        <v>8874</v>
      </c>
      <c r="B2636" t="s">
        <v>8875</v>
      </c>
      <c r="D2636" t="s">
        <v>40</v>
      </c>
      <c r="E2636" t="s">
        <v>41</v>
      </c>
      <c r="J2636" t="s">
        <v>76</v>
      </c>
      <c r="K2636" t="s">
        <v>77</v>
      </c>
      <c r="L2636">
        <v>10</v>
      </c>
      <c r="M2636" t="s">
        <v>8863</v>
      </c>
      <c r="N2636" t="s">
        <v>64</v>
      </c>
      <c r="O2636" t="s">
        <v>46</v>
      </c>
      <c r="P2636" t="s">
        <v>46</v>
      </c>
      <c r="Y2636" t="s">
        <v>8876</v>
      </c>
    </row>
    <row r="2637" spans="1:25">
      <c r="A2637" t="s">
        <v>8877</v>
      </c>
      <c r="B2637" t="s">
        <v>8878</v>
      </c>
      <c r="D2637" t="s">
        <v>40</v>
      </c>
      <c r="E2637" t="s">
        <v>41</v>
      </c>
      <c r="J2637" t="s">
        <v>182</v>
      </c>
      <c r="K2637" t="s">
        <v>183</v>
      </c>
      <c r="L2637">
        <v>10</v>
      </c>
      <c r="M2637" t="s">
        <v>8879</v>
      </c>
      <c r="N2637" t="s">
        <v>64</v>
      </c>
      <c r="O2637" t="s">
        <v>46</v>
      </c>
      <c r="P2637" t="s">
        <v>46</v>
      </c>
      <c r="Y2637" t="s">
        <v>8880</v>
      </c>
    </row>
    <row r="2638" spans="1:25">
      <c r="A2638" t="s">
        <v>8881</v>
      </c>
      <c r="B2638" t="s">
        <v>8882</v>
      </c>
      <c r="D2638" t="s">
        <v>40</v>
      </c>
      <c r="E2638" t="s">
        <v>41</v>
      </c>
      <c r="J2638" t="s">
        <v>182</v>
      </c>
      <c r="K2638" t="s">
        <v>183</v>
      </c>
      <c r="L2638">
        <v>10</v>
      </c>
      <c r="M2638" t="s">
        <v>8883</v>
      </c>
      <c r="N2638" t="s">
        <v>64</v>
      </c>
      <c r="O2638" t="s">
        <v>46</v>
      </c>
      <c r="P2638" t="s">
        <v>46</v>
      </c>
      <c r="Y2638" t="s">
        <v>8884</v>
      </c>
    </row>
    <row r="2639" spans="1:25">
      <c r="A2639" t="s">
        <v>8885</v>
      </c>
      <c r="B2639" t="s">
        <v>8886</v>
      </c>
      <c r="D2639" t="s">
        <v>40</v>
      </c>
      <c r="E2639" t="s">
        <v>41</v>
      </c>
      <c r="J2639" t="s">
        <v>76</v>
      </c>
      <c r="K2639" t="s">
        <v>77</v>
      </c>
      <c r="L2639">
        <v>10</v>
      </c>
      <c r="M2639" t="s">
        <v>8883</v>
      </c>
      <c r="N2639" t="s">
        <v>64</v>
      </c>
      <c r="O2639" t="s">
        <v>46</v>
      </c>
      <c r="P2639" t="s">
        <v>46</v>
      </c>
      <c r="Y2639" t="s">
        <v>8887</v>
      </c>
    </row>
    <row r="2640" spans="1:25">
      <c r="A2640" t="s">
        <v>8888</v>
      </c>
      <c r="B2640" t="s">
        <v>8889</v>
      </c>
      <c r="D2640" t="s">
        <v>40</v>
      </c>
      <c r="E2640" t="s">
        <v>41</v>
      </c>
      <c r="J2640" t="s">
        <v>182</v>
      </c>
      <c r="K2640" t="s">
        <v>183</v>
      </c>
      <c r="L2640">
        <v>10</v>
      </c>
      <c r="M2640" t="s">
        <v>8890</v>
      </c>
      <c r="N2640" t="s">
        <v>64</v>
      </c>
      <c r="O2640" t="s">
        <v>46</v>
      </c>
      <c r="P2640" t="s">
        <v>46</v>
      </c>
      <c r="Y2640" t="s">
        <v>8891</v>
      </c>
    </row>
    <row r="2641" spans="1:25">
      <c r="A2641" t="s">
        <v>8892</v>
      </c>
      <c r="B2641" t="s">
        <v>8893</v>
      </c>
      <c r="D2641" t="s">
        <v>40</v>
      </c>
      <c r="E2641" t="s">
        <v>41</v>
      </c>
      <c r="J2641" t="s">
        <v>76</v>
      </c>
      <c r="K2641" t="s">
        <v>77</v>
      </c>
      <c r="L2641">
        <v>10</v>
      </c>
      <c r="M2641" t="s">
        <v>8894</v>
      </c>
      <c r="N2641" t="s">
        <v>64</v>
      </c>
      <c r="O2641" t="s">
        <v>46</v>
      </c>
      <c r="P2641" t="s">
        <v>46</v>
      </c>
      <c r="Y2641" t="s">
        <v>8895</v>
      </c>
    </row>
    <row r="2642" spans="1:25">
      <c r="A2642" t="s">
        <v>8896</v>
      </c>
      <c r="B2642" t="s">
        <v>8897</v>
      </c>
      <c r="D2642" t="s">
        <v>40</v>
      </c>
      <c r="E2642" t="s">
        <v>41</v>
      </c>
      <c r="J2642" t="s">
        <v>76</v>
      </c>
      <c r="K2642" t="s">
        <v>77</v>
      </c>
      <c r="L2642">
        <v>10</v>
      </c>
      <c r="M2642" t="s">
        <v>8894</v>
      </c>
      <c r="N2642" t="s">
        <v>64</v>
      </c>
      <c r="O2642" t="s">
        <v>46</v>
      </c>
      <c r="P2642" t="s">
        <v>46</v>
      </c>
      <c r="Y2642" t="s">
        <v>8898</v>
      </c>
    </row>
    <row r="2643" spans="1:25">
      <c r="A2643" t="s">
        <v>8899</v>
      </c>
      <c r="B2643" t="s">
        <v>8900</v>
      </c>
      <c r="D2643" t="s">
        <v>40</v>
      </c>
      <c r="E2643" t="s">
        <v>41</v>
      </c>
      <c r="J2643" t="s">
        <v>76</v>
      </c>
      <c r="K2643" t="s">
        <v>77</v>
      </c>
      <c r="L2643">
        <v>11</v>
      </c>
      <c r="M2643" t="s">
        <v>8901</v>
      </c>
      <c r="N2643" t="s">
        <v>64</v>
      </c>
      <c r="O2643" t="s">
        <v>46</v>
      </c>
      <c r="P2643" t="s">
        <v>46</v>
      </c>
      <c r="Y2643" t="s">
        <v>8902</v>
      </c>
    </row>
    <row r="2644" spans="1:25">
      <c r="A2644" t="s">
        <v>8903</v>
      </c>
      <c r="B2644" t="s">
        <v>8904</v>
      </c>
      <c r="D2644" t="s">
        <v>40</v>
      </c>
      <c r="E2644" t="s">
        <v>41</v>
      </c>
      <c r="J2644" t="s">
        <v>139</v>
      </c>
      <c r="K2644" t="s">
        <v>140</v>
      </c>
      <c r="L2644">
        <v>6</v>
      </c>
      <c r="M2644" t="s">
        <v>8905</v>
      </c>
      <c r="N2644" t="s">
        <v>5995</v>
      </c>
      <c r="O2644" t="s">
        <v>46</v>
      </c>
      <c r="P2644" t="s">
        <v>46</v>
      </c>
      <c r="Y2644" t="s">
        <v>8906</v>
      </c>
    </row>
    <row r="2645" spans="1:25">
      <c r="A2645" t="s">
        <v>8907</v>
      </c>
      <c r="B2645" t="s">
        <v>8908</v>
      </c>
      <c r="D2645" t="s">
        <v>40</v>
      </c>
      <c r="E2645" t="s">
        <v>41</v>
      </c>
      <c r="J2645" t="s">
        <v>76</v>
      </c>
      <c r="K2645" t="s">
        <v>77</v>
      </c>
      <c r="L2645">
        <v>10</v>
      </c>
      <c r="M2645" t="s">
        <v>8905</v>
      </c>
      <c r="N2645" t="s">
        <v>64</v>
      </c>
      <c r="O2645" t="s">
        <v>46</v>
      </c>
      <c r="P2645" t="s">
        <v>46</v>
      </c>
      <c r="Y2645" t="s">
        <v>8909</v>
      </c>
    </row>
    <row r="2646" spans="1:25">
      <c r="A2646" t="s">
        <v>8910</v>
      </c>
      <c r="B2646" t="s">
        <v>8911</v>
      </c>
      <c r="D2646" t="s">
        <v>40</v>
      </c>
      <c r="E2646" t="s">
        <v>41</v>
      </c>
      <c r="J2646" t="s">
        <v>42</v>
      </c>
      <c r="K2646" t="s">
        <v>43</v>
      </c>
      <c r="L2646">
        <v>10</v>
      </c>
      <c r="M2646" t="s">
        <v>8912</v>
      </c>
      <c r="N2646" t="s">
        <v>2154</v>
      </c>
      <c r="O2646" t="s">
        <v>46</v>
      </c>
      <c r="P2646" t="s">
        <v>46</v>
      </c>
      <c r="Y2646" t="s">
        <v>8913</v>
      </c>
    </row>
    <row r="2647" spans="1:25">
      <c r="A2647" t="s">
        <v>8914</v>
      </c>
      <c r="B2647" t="s">
        <v>8915</v>
      </c>
      <c r="D2647" t="s">
        <v>40</v>
      </c>
      <c r="E2647" t="s">
        <v>41</v>
      </c>
      <c r="J2647" t="s">
        <v>182</v>
      </c>
      <c r="K2647" t="s">
        <v>183</v>
      </c>
      <c r="L2647">
        <v>10</v>
      </c>
      <c r="M2647" t="s">
        <v>8912</v>
      </c>
      <c r="N2647" t="s">
        <v>64</v>
      </c>
      <c r="O2647" t="s">
        <v>46</v>
      </c>
      <c r="P2647" t="s">
        <v>46</v>
      </c>
      <c r="Y2647" t="s">
        <v>8916</v>
      </c>
    </row>
    <row r="2648" spans="1:25">
      <c r="A2648" t="s">
        <v>8917</v>
      </c>
      <c r="B2648" t="s">
        <v>8918</v>
      </c>
      <c r="D2648" t="s">
        <v>40</v>
      </c>
      <c r="E2648" t="s">
        <v>41</v>
      </c>
      <c r="J2648" t="s">
        <v>68</v>
      </c>
      <c r="K2648" t="s">
        <v>69</v>
      </c>
      <c r="L2648">
        <v>10</v>
      </c>
      <c r="M2648" t="s">
        <v>8919</v>
      </c>
      <c r="N2648" t="s">
        <v>64</v>
      </c>
      <c r="O2648" t="s">
        <v>46</v>
      </c>
      <c r="P2648" t="s">
        <v>46</v>
      </c>
      <c r="Y2648" t="s">
        <v>8920</v>
      </c>
    </row>
    <row r="2649" spans="1:25">
      <c r="A2649" t="s">
        <v>8921</v>
      </c>
      <c r="B2649" t="s">
        <v>8922</v>
      </c>
      <c r="D2649" t="s">
        <v>40</v>
      </c>
      <c r="E2649" t="s">
        <v>41</v>
      </c>
      <c r="J2649" t="s">
        <v>68</v>
      </c>
      <c r="K2649" t="s">
        <v>69</v>
      </c>
      <c r="L2649">
        <v>10</v>
      </c>
      <c r="M2649" t="s">
        <v>8919</v>
      </c>
      <c r="N2649" t="s">
        <v>64</v>
      </c>
      <c r="O2649" t="s">
        <v>46</v>
      </c>
      <c r="P2649" t="s">
        <v>46</v>
      </c>
      <c r="Y2649" t="s">
        <v>8923</v>
      </c>
    </row>
    <row r="2650" spans="1:25">
      <c r="A2650" t="s">
        <v>8924</v>
      </c>
      <c r="B2650" t="s">
        <v>8925</v>
      </c>
      <c r="D2650" t="s">
        <v>40</v>
      </c>
      <c r="E2650" t="s">
        <v>41</v>
      </c>
      <c r="J2650" t="s">
        <v>182</v>
      </c>
      <c r="K2650" t="s">
        <v>183</v>
      </c>
      <c r="L2650">
        <v>10</v>
      </c>
      <c r="M2650" t="s">
        <v>8919</v>
      </c>
      <c r="N2650" t="s">
        <v>64</v>
      </c>
      <c r="O2650" t="s">
        <v>46</v>
      </c>
      <c r="P2650" t="s">
        <v>46</v>
      </c>
      <c r="Y2650" t="s">
        <v>8926</v>
      </c>
    </row>
    <row r="2651" spans="1:25">
      <c r="A2651" t="s">
        <v>8927</v>
      </c>
      <c r="B2651" t="s">
        <v>8928</v>
      </c>
      <c r="D2651" t="s">
        <v>40</v>
      </c>
      <c r="E2651" t="s">
        <v>41</v>
      </c>
      <c r="J2651" t="s">
        <v>62</v>
      </c>
      <c r="K2651" t="s">
        <v>63</v>
      </c>
      <c r="L2651">
        <v>10</v>
      </c>
      <c r="M2651" t="s">
        <v>8919</v>
      </c>
      <c r="N2651" t="s">
        <v>64</v>
      </c>
      <c r="O2651" t="s">
        <v>46</v>
      </c>
      <c r="P2651" t="s">
        <v>46</v>
      </c>
      <c r="Y2651" t="s">
        <v>8929</v>
      </c>
    </row>
    <row r="2652" spans="1:25">
      <c r="A2652" t="s">
        <v>8930</v>
      </c>
      <c r="B2652" t="s">
        <v>8931</v>
      </c>
      <c r="D2652" t="s">
        <v>40</v>
      </c>
      <c r="E2652" t="s">
        <v>41</v>
      </c>
      <c r="J2652" t="s">
        <v>62</v>
      </c>
      <c r="K2652" t="s">
        <v>63</v>
      </c>
      <c r="L2652">
        <v>10</v>
      </c>
      <c r="M2652" t="s">
        <v>8932</v>
      </c>
      <c r="N2652" t="s">
        <v>64</v>
      </c>
      <c r="O2652" t="s">
        <v>46</v>
      </c>
      <c r="P2652" t="s">
        <v>46</v>
      </c>
      <c r="Y2652" t="s">
        <v>8933</v>
      </c>
    </row>
    <row r="2653" spans="1:25">
      <c r="A2653" t="s">
        <v>8934</v>
      </c>
      <c r="B2653" t="s">
        <v>8935</v>
      </c>
      <c r="D2653" t="s">
        <v>40</v>
      </c>
      <c r="E2653" t="s">
        <v>41</v>
      </c>
      <c r="J2653" t="s">
        <v>182</v>
      </c>
      <c r="K2653" t="s">
        <v>183</v>
      </c>
      <c r="L2653">
        <v>10</v>
      </c>
      <c r="M2653" t="s">
        <v>8936</v>
      </c>
      <c r="N2653" t="s">
        <v>64</v>
      </c>
      <c r="O2653" t="s">
        <v>46</v>
      </c>
      <c r="P2653" t="s">
        <v>46</v>
      </c>
      <c r="Y2653" t="s">
        <v>8937</v>
      </c>
    </row>
    <row r="2654" spans="1:25">
      <c r="A2654" t="s">
        <v>8938</v>
      </c>
      <c r="B2654" t="s">
        <v>8939</v>
      </c>
      <c r="D2654" t="s">
        <v>40</v>
      </c>
      <c r="E2654" t="s">
        <v>41</v>
      </c>
      <c r="J2654" t="s">
        <v>182</v>
      </c>
      <c r="K2654" t="s">
        <v>183</v>
      </c>
      <c r="L2654">
        <v>10</v>
      </c>
      <c r="M2654" t="s">
        <v>8936</v>
      </c>
      <c r="N2654" t="s">
        <v>64</v>
      </c>
      <c r="O2654" t="s">
        <v>46</v>
      </c>
      <c r="P2654" t="s">
        <v>46</v>
      </c>
      <c r="Y2654" t="s">
        <v>8940</v>
      </c>
    </row>
    <row r="2655" spans="1:25">
      <c r="A2655" t="s">
        <v>8941</v>
      </c>
      <c r="B2655" t="s">
        <v>8942</v>
      </c>
      <c r="D2655" t="s">
        <v>40</v>
      </c>
      <c r="E2655" t="s">
        <v>41</v>
      </c>
      <c r="J2655" t="s">
        <v>182</v>
      </c>
      <c r="K2655" t="s">
        <v>183</v>
      </c>
      <c r="L2655">
        <v>10</v>
      </c>
      <c r="M2655" t="s">
        <v>8936</v>
      </c>
      <c r="N2655" t="s">
        <v>64</v>
      </c>
      <c r="O2655" t="s">
        <v>46</v>
      </c>
      <c r="P2655" t="s">
        <v>46</v>
      </c>
      <c r="Y2655" t="s">
        <v>8943</v>
      </c>
    </row>
    <row r="2656" spans="1:25">
      <c r="A2656" t="s">
        <v>8944</v>
      </c>
      <c r="B2656" t="s">
        <v>8945</v>
      </c>
      <c r="D2656" t="s">
        <v>40</v>
      </c>
      <c r="E2656" t="s">
        <v>41</v>
      </c>
      <c r="J2656" t="s">
        <v>68</v>
      </c>
      <c r="K2656" t="s">
        <v>69</v>
      </c>
      <c r="L2656">
        <v>10</v>
      </c>
      <c r="M2656" t="s">
        <v>8936</v>
      </c>
      <c r="N2656" t="s">
        <v>64</v>
      </c>
      <c r="O2656" t="s">
        <v>46</v>
      </c>
      <c r="P2656" t="s">
        <v>46</v>
      </c>
      <c r="Y2656" t="s">
        <v>8946</v>
      </c>
    </row>
    <row r="2657" spans="1:25">
      <c r="A2657" t="s">
        <v>8947</v>
      </c>
      <c r="B2657" t="s">
        <v>8948</v>
      </c>
      <c r="D2657" t="s">
        <v>40</v>
      </c>
      <c r="E2657" t="s">
        <v>41</v>
      </c>
      <c r="J2657" t="s">
        <v>182</v>
      </c>
      <c r="K2657" t="s">
        <v>183</v>
      </c>
      <c r="L2657">
        <v>10</v>
      </c>
      <c r="M2657" t="s">
        <v>8936</v>
      </c>
      <c r="N2657" t="s">
        <v>64</v>
      </c>
      <c r="O2657" t="s">
        <v>46</v>
      </c>
      <c r="P2657" t="s">
        <v>46</v>
      </c>
      <c r="Y2657" t="s">
        <v>8949</v>
      </c>
    </row>
    <row r="2658" spans="1:25">
      <c r="A2658" t="s">
        <v>8950</v>
      </c>
      <c r="B2658" t="s">
        <v>8951</v>
      </c>
      <c r="D2658" t="s">
        <v>40</v>
      </c>
      <c r="E2658" t="s">
        <v>41</v>
      </c>
      <c r="J2658" t="s">
        <v>182</v>
      </c>
      <c r="K2658" t="s">
        <v>183</v>
      </c>
      <c r="L2658">
        <v>10</v>
      </c>
      <c r="M2658" t="s">
        <v>8952</v>
      </c>
      <c r="N2658" t="s">
        <v>64</v>
      </c>
      <c r="O2658" t="s">
        <v>46</v>
      </c>
      <c r="P2658" t="s">
        <v>46</v>
      </c>
      <c r="Y2658" t="s">
        <v>8953</v>
      </c>
    </row>
    <row r="2659" spans="1:25">
      <c r="A2659" t="s">
        <v>8954</v>
      </c>
      <c r="B2659" t="s">
        <v>8955</v>
      </c>
      <c r="D2659" t="s">
        <v>40</v>
      </c>
      <c r="E2659" t="s">
        <v>41</v>
      </c>
      <c r="J2659" t="s">
        <v>182</v>
      </c>
      <c r="K2659" t="s">
        <v>183</v>
      </c>
      <c r="L2659">
        <v>10</v>
      </c>
      <c r="M2659" t="s">
        <v>8956</v>
      </c>
      <c r="N2659" t="s">
        <v>64</v>
      </c>
      <c r="O2659" t="s">
        <v>46</v>
      </c>
      <c r="P2659" t="s">
        <v>46</v>
      </c>
      <c r="Y2659" t="s">
        <v>8957</v>
      </c>
    </row>
    <row r="2660" spans="1:25">
      <c r="A2660" t="s">
        <v>8958</v>
      </c>
      <c r="B2660" t="s">
        <v>8959</v>
      </c>
      <c r="D2660" t="s">
        <v>40</v>
      </c>
      <c r="E2660" t="s">
        <v>41</v>
      </c>
      <c r="J2660" t="s">
        <v>182</v>
      </c>
      <c r="K2660" t="s">
        <v>183</v>
      </c>
      <c r="L2660">
        <v>10</v>
      </c>
      <c r="M2660" t="s">
        <v>8956</v>
      </c>
      <c r="N2660" t="s">
        <v>64</v>
      </c>
      <c r="O2660" t="s">
        <v>46</v>
      </c>
      <c r="P2660" t="s">
        <v>46</v>
      </c>
      <c r="Y2660" t="s">
        <v>8960</v>
      </c>
    </row>
    <row r="2661" spans="1:25">
      <c r="A2661" t="s">
        <v>8961</v>
      </c>
      <c r="B2661" t="s">
        <v>8962</v>
      </c>
      <c r="D2661" t="s">
        <v>40</v>
      </c>
      <c r="E2661" t="s">
        <v>41</v>
      </c>
      <c r="J2661" t="s">
        <v>182</v>
      </c>
      <c r="K2661" t="s">
        <v>183</v>
      </c>
      <c r="L2661">
        <v>10</v>
      </c>
      <c r="M2661" t="s">
        <v>8956</v>
      </c>
      <c r="N2661" t="s">
        <v>64</v>
      </c>
      <c r="O2661" t="s">
        <v>46</v>
      </c>
      <c r="P2661" t="s">
        <v>46</v>
      </c>
      <c r="Y2661" t="s">
        <v>8963</v>
      </c>
    </row>
    <row r="2662" spans="1:25">
      <c r="A2662" t="s">
        <v>8964</v>
      </c>
      <c r="B2662" t="s">
        <v>8965</v>
      </c>
      <c r="D2662" t="s">
        <v>40</v>
      </c>
      <c r="E2662" t="s">
        <v>41</v>
      </c>
      <c r="J2662" t="s">
        <v>182</v>
      </c>
      <c r="K2662" t="s">
        <v>183</v>
      </c>
      <c r="L2662">
        <v>10</v>
      </c>
      <c r="M2662" t="s">
        <v>8956</v>
      </c>
      <c r="N2662" t="s">
        <v>64</v>
      </c>
      <c r="O2662" t="s">
        <v>46</v>
      </c>
      <c r="P2662" t="s">
        <v>46</v>
      </c>
      <c r="Y2662" t="s">
        <v>8966</v>
      </c>
    </row>
    <row r="2663" spans="1:25">
      <c r="A2663" t="s">
        <v>8967</v>
      </c>
      <c r="B2663" t="s">
        <v>8968</v>
      </c>
      <c r="D2663" t="s">
        <v>40</v>
      </c>
      <c r="E2663" t="s">
        <v>41</v>
      </c>
      <c r="J2663" t="s">
        <v>182</v>
      </c>
      <c r="K2663" t="s">
        <v>183</v>
      </c>
      <c r="L2663">
        <v>10</v>
      </c>
      <c r="M2663" t="s">
        <v>8956</v>
      </c>
      <c r="N2663" t="s">
        <v>64</v>
      </c>
      <c r="O2663" t="s">
        <v>46</v>
      </c>
      <c r="P2663" t="s">
        <v>46</v>
      </c>
      <c r="Y2663" t="s">
        <v>8969</v>
      </c>
    </row>
    <row r="2664" spans="1:25">
      <c r="A2664" t="s">
        <v>8970</v>
      </c>
      <c r="B2664" t="s">
        <v>8971</v>
      </c>
      <c r="D2664" t="s">
        <v>40</v>
      </c>
      <c r="E2664" t="s">
        <v>41</v>
      </c>
      <c r="J2664" t="s">
        <v>76</v>
      </c>
      <c r="K2664" t="s">
        <v>77</v>
      </c>
      <c r="L2664">
        <v>10</v>
      </c>
      <c r="M2664" t="s">
        <v>8972</v>
      </c>
      <c r="N2664" t="s">
        <v>64</v>
      </c>
      <c r="O2664" t="s">
        <v>46</v>
      </c>
      <c r="P2664" t="s">
        <v>46</v>
      </c>
      <c r="Y2664" t="s">
        <v>8973</v>
      </c>
    </row>
    <row r="2665" spans="1:25">
      <c r="A2665" t="s">
        <v>8974</v>
      </c>
      <c r="B2665" t="s">
        <v>8975</v>
      </c>
      <c r="D2665" t="s">
        <v>40</v>
      </c>
      <c r="E2665" t="s">
        <v>41</v>
      </c>
      <c r="J2665" t="s">
        <v>76</v>
      </c>
      <c r="K2665" t="s">
        <v>77</v>
      </c>
      <c r="L2665">
        <v>10</v>
      </c>
      <c r="M2665" t="s">
        <v>8972</v>
      </c>
      <c r="N2665" t="s">
        <v>64</v>
      </c>
      <c r="O2665" t="s">
        <v>46</v>
      </c>
      <c r="P2665" t="s">
        <v>46</v>
      </c>
      <c r="Y2665" t="s">
        <v>8976</v>
      </c>
    </row>
    <row r="2666" spans="1:25">
      <c r="A2666" t="s">
        <v>8977</v>
      </c>
      <c r="B2666" t="s">
        <v>8978</v>
      </c>
      <c r="D2666" t="s">
        <v>40</v>
      </c>
      <c r="E2666" t="s">
        <v>41</v>
      </c>
      <c r="J2666" t="s">
        <v>62</v>
      </c>
      <c r="K2666" t="s">
        <v>63</v>
      </c>
      <c r="L2666">
        <v>11</v>
      </c>
      <c r="M2666" t="s">
        <v>8979</v>
      </c>
      <c r="N2666" t="s">
        <v>64</v>
      </c>
      <c r="O2666" t="s">
        <v>46</v>
      </c>
      <c r="P2666" t="s">
        <v>46</v>
      </c>
      <c r="Y2666" t="s">
        <v>8980</v>
      </c>
    </row>
    <row r="2667" spans="1:25">
      <c r="A2667" t="s">
        <v>8981</v>
      </c>
      <c r="B2667" t="s">
        <v>8982</v>
      </c>
      <c r="D2667" t="s">
        <v>40</v>
      </c>
      <c r="E2667" t="s">
        <v>41</v>
      </c>
      <c r="J2667" t="s">
        <v>62</v>
      </c>
      <c r="K2667" t="s">
        <v>63</v>
      </c>
      <c r="L2667">
        <v>11</v>
      </c>
      <c r="M2667" t="s">
        <v>8979</v>
      </c>
      <c r="N2667" t="s">
        <v>64</v>
      </c>
      <c r="O2667" t="s">
        <v>46</v>
      </c>
      <c r="P2667" t="s">
        <v>46</v>
      </c>
      <c r="Y2667" t="s">
        <v>8983</v>
      </c>
    </row>
    <row r="2668" spans="1:25">
      <c r="A2668" t="s">
        <v>8984</v>
      </c>
      <c r="B2668" t="s">
        <v>8985</v>
      </c>
      <c r="D2668" t="s">
        <v>40</v>
      </c>
      <c r="E2668" t="s">
        <v>41</v>
      </c>
      <c r="J2668" t="s">
        <v>182</v>
      </c>
      <c r="K2668" t="s">
        <v>183</v>
      </c>
      <c r="L2668">
        <v>11</v>
      </c>
      <c r="M2668" t="s">
        <v>8986</v>
      </c>
      <c r="N2668" t="s">
        <v>64</v>
      </c>
      <c r="O2668" t="s">
        <v>46</v>
      </c>
      <c r="P2668" t="s">
        <v>46</v>
      </c>
      <c r="Y2668" t="s">
        <v>8987</v>
      </c>
    </row>
    <row r="2669" spans="1:25">
      <c r="A2669" t="s">
        <v>8988</v>
      </c>
      <c r="B2669" t="s">
        <v>8989</v>
      </c>
      <c r="D2669" t="s">
        <v>40</v>
      </c>
      <c r="E2669" t="s">
        <v>41</v>
      </c>
      <c r="J2669" t="s">
        <v>1572</v>
      </c>
      <c r="K2669" t="s">
        <v>1573</v>
      </c>
      <c r="L2669">
        <v>10</v>
      </c>
      <c r="M2669" t="s">
        <v>8990</v>
      </c>
      <c r="N2669" t="s">
        <v>64</v>
      </c>
      <c r="O2669" t="s">
        <v>46</v>
      </c>
      <c r="P2669" t="s">
        <v>46</v>
      </c>
      <c r="Y2669" t="s">
        <v>8991</v>
      </c>
    </row>
    <row r="2670" spans="1:25">
      <c r="A2670" t="s">
        <v>8992</v>
      </c>
      <c r="B2670" t="s">
        <v>8993</v>
      </c>
      <c r="D2670" t="s">
        <v>40</v>
      </c>
      <c r="E2670" t="s">
        <v>41</v>
      </c>
      <c r="J2670" t="s">
        <v>68</v>
      </c>
      <c r="K2670" t="s">
        <v>69</v>
      </c>
      <c r="L2670">
        <v>10</v>
      </c>
      <c r="M2670" t="s">
        <v>8994</v>
      </c>
      <c r="N2670" t="s">
        <v>64</v>
      </c>
      <c r="O2670" t="s">
        <v>46</v>
      </c>
      <c r="P2670" t="s">
        <v>46</v>
      </c>
      <c r="Y2670" t="s">
        <v>8995</v>
      </c>
    </row>
    <row r="2671" spans="1:25">
      <c r="A2671" t="s">
        <v>8996</v>
      </c>
      <c r="B2671" t="s">
        <v>8997</v>
      </c>
      <c r="D2671" t="s">
        <v>40</v>
      </c>
      <c r="E2671" t="s">
        <v>41</v>
      </c>
      <c r="J2671" t="s">
        <v>76</v>
      </c>
      <c r="K2671" t="s">
        <v>77</v>
      </c>
      <c r="L2671">
        <v>10</v>
      </c>
      <c r="M2671" t="s">
        <v>8994</v>
      </c>
      <c r="N2671" t="s">
        <v>64</v>
      </c>
      <c r="O2671" t="s">
        <v>46</v>
      </c>
      <c r="P2671" t="s">
        <v>46</v>
      </c>
      <c r="Y2671" t="s">
        <v>8998</v>
      </c>
    </row>
    <row r="2672" spans="1:25">
      <c r="A2672" t="s">
        <v>8999</v>
      </c>
      <c r="B2672" t="s">
        <v>9000</v>
      </c>
      <c r="D2672" t="s">
        <v>40</v>
      </c>
      <c r="E2672" t="s">
        <v>41</v>
      </c>
      <c r="J2672" t="s">
        <v>182</v>
      </c>
      <c r="K2672" t="s">
        <v>183</v>
      </c>
      <c r="L2672">
        <v>10</v>
      </c>
      <c r="M2672" t="s">
        <v>8994</v>
      </c>
      <c r="N2672" t="s">
        <v>64</v>
      </c>
      <c r="O2672" t="s">
        <v>46</v>
      </c>
      <c r="P2672" t="s">
        <v>46</v>
      </c>
      <c r="Y2672" t="s">
        <v>9001</v>
      </c>
    </row>
    <row r="2673" spans="1:25">
      <c r="A2673" t="s">
        <v>9002</v>
      </c>
      <c r="B2673" t="s">
        <v>9003</v>
      </c>
      <c r="D2673" t="s">
        <v>40</v>
      </c>
      <c r="E2673" t="s">
        <v>41</v>
      </c>
      <c r="J2673" t="s">
        <v>182</v>
      </c>
      <c r="K2673" t="s">
        <v>183</v>
      </c>
      <c r="L2673">
        <v>10</v>
      </c>
      <c r="M2673" t="s">
        <v>8994</v>
      </c>
      <c r="N2673" t="s">
        <v>64</v>
      </c>
      <c r="O2673" t="s">
        <v>46</v>
      </c>
      <c r="P2673" t="s">
        <v>46</v>
      </c>
      <c r="Y2673" t="s">
        <v>9004</v>
      </c>
    </row>
    <row r="2674" spans="1:25">
      <c r="A2674" t="s">
        <v>9005</v>
      </c>
      <c r="B2674" t="s">
        <v>9006</v>
      </c>
      <c r="D2674" t="s">
        <v>40</v>
      </c>
      <c r="E2674" t="s">
        <v>41</v>
      </c>
      <c r="J2674" t="s">
        <v>139</v>
      </c>
      <c r="K2674" t="s">
        <v>140</v>
      </c>
      <c r="L2674">
        <v>10</v>
      </c>
      <c r="M2674" t="s">
        <v>9007</v>
      </c>
      <c r="N2674" t="s">
        <v>1258</v>
      </c>
      <c r="O2674" t="s">
        <v>46</v>
      </c>
      <c r="P2674" t="s">
        <v>46</v>
      </c>
      <c r="Y2674" t="s">
        <v>9008</v>
      </c>
    </row>
    <row r="2675" spans="1:25">
      <c r="A2675" t="s">
        <v>9009</v>
      </c>
      <c r="B2675" t="s">
        <v>9010</v>
      </c>
      <c r="D2675" t="s">
        <v>40</v>
      </c>
      <c r="E2675" t="s">
        <v>41</v>
      </c>
      <c r="J2675" t="s">
        <v>76</v>
      </c>
      <c r="K2675" t="s">
        <v>77</v>
      </c>
      <c r="L2675">
        <v>10</v>
      </c>
      <c r="M2675" t="s">
        <v>9007</v>
      </c>
      <c r="N2675" t="s">
        <v>64</v>
      </c>
      <c r="O2675" t="s">
        <v>46</v>
      </c>
      <c r="P2675" t="s">
        <v>46</v>
      </c>
      <c r="Y2675" t="s">
        <v>9011</v>
      </c>
    </row>
    <row r="2676" spans="1:25">
      <c r="A2676" t="s">
        <v>9012</v>
      </c>
      <c r="B2676" t="s">
        <v>9013</v>
      </c>
      <c r="D2676" t="s">
        <v>40</v>
      </c>
      <c r="E2676" t="s">
        <v>41</v>
      </c>
      <c r="J2676" t="s">
        <v>68</v>
      </c>
      <c r="K2676" t="s">
        <v>69</v>
      </c>
      <c r="L2676">
        <v>10</v>
      </c>
      <c r="M2676" t="s">
        <v>9007</v>
      </c>
      <c r="N2676" t="s">
        <v>64</v>
      </c>
      <c r="O2676" t="s">
        <v>46</v>
      </c>
      <c r="P2676" t="s">
        <v>46</v>
      </c>
      <c r="Y2676" t="s">
        <v>9014</v>
      </c>
    </row>
    <row r="2677" spans="1:25">
      <c r="A2677" t="s">
        <v>9015</v>
      </c>
      <c r="B2677" t="s">
        <v>9016</v>
      </c>
      <c r="D2677" t="s">
        <v>40</v>
      </c>
      <c r="E2677" t="s">
        <v>41</v>
      </c>
      <c r="J2677" t="s">
        <v>182</v>
      </c>
      <c r="K2677" t="s">
        <v>183</v>
      </c>
      <c r="L2677">
        <v>10</v>
      </c>
      <c r="M2677" t="s">
        <v>9007</v>
      </c>
      <c r="N2677" t="s">
        <v>64</v>
      </c>
      <c r="O2677" t="s">
        <v>46</v>
      </c>
      <c r="P2677" t="s">
        <v>46</v>
      </c>
      <c r="Y2677" t="s">
        <v>9017</v>
      </c>
    </row>
    <row r="2678" spans="1:25">
      <c r="A2678" t="s">
        <v>9018</v>
      </c>
      <c r="B2678" t="s">
        <v>9019</v>
      </c>
      <c r="D2678" t="s">
        <v>40</v>
      </c>
      <c r="E2678" t="s">
        <v>41</v>
      </c>
      <c r="J2678" t="s">
        <v>182</v>
      </c>
      <c r="K2678" t="s">
        <v>183</v>
      </c>
      <c r="L2678">
        <v>10</v>
      </c>
      <c r="M2678" t="s">
        <v>9007</v>
      </c>
      <c r="N2678" t="s">
        <v>64</v>
      </c>
      <c r="O2678" t="s">
        <v>46</v>
      </c>
      <c r="P2678" t="s">
        <v>46</v>
      </c>
      <c r="Y2678" t="s">
        <v>9020</v>
      </c>
    </row>
    <row r="2679" spans="1:25">
      <c r="A2679" t="s">
        <v>9021</v>
      </c>
      <c r="B2679" t="s">
        <v>9022</v>
      </c>
      <c r="D2679" t="s">
        <v>40</v>
      </c>
      <c r="E2679" t="s">
        <v>41</v>
      </c>
      <c r="J2679" t="s">
        <v>182</v>
      </c>
      <c r="K2679" t="s">
        <v>183</v>
      </c>
      <c r="L2679">
        <v>10</v>
      </c>
      <c r="M2679" t="s">
        <v>9007</v>
      </c>
      <c r="N2679" t="s">
        <v>64</v>
      </c>
      <c r="O2679" t="s">
        <v>46</v>
      </c>
      <c r="P2679" t="s">
        <v>46</v>
      </c>
      <c r="Y2679" t="s">
        <v>9023</v>
      </c>
    </row>
    <row r="2680" spans="1:25">
      <c r="A2680" t="s">
        <v>9024</v>
      </c>
      <c r="B2680" t="s">
        <v>9025</v>
      </c>
      <c r="D2680" t="s">
        <v>40</v>
      </c>
      <c r="E2680" t="s">
        <v>41</v>
      </c>
      <c r="J2680" t="s">
        <v>1572</v>
      </c>
      <c r="K2680" t="s">
        <v>1573</v>
      </c>
      <c r="L2680">
        <v>10</v>
      </c>
      <c r="M2680" t="s">
        <v>9026</v>
      </c>
      <c r="N2680" t="s">
        <v>64</v>
      </c>
      <c r="O2680" t="s">
        <v>46</v>
      </c>
      <c r="P2680" t="s">
        <v>46</v>
      </c>
      <c r="Y2680" t="s">
        <v>9027</v>
      </c>
    </row>
    <row r="2681" spans="1:25">
      <c r="A2681" t="s">
        <v>9028</v>
      </c>
      <c r="B2681" t="s">
        <v>9029</v>
      </c>
      <c r="D2681" t="s">
        <v>40</v>
      </c>
      <c r="E2681" t="s">
        <v>41</v>
      </c>
      <c r="J2681" t="s">
        <v>42</v>
      </c>
      <c r="K2681" t="s">
        <v>43</v>
      </c>
      <c r="L2681">
        <v>10</v>
      </c>
      <c r="M2681" t="s">
        <v>9026</v>
      </c>
      <c r="N2681" t="s">
        <v>218</v>
      </c>
      <c r="O2681" t="s">
        <v>46</v>
      </c>
      <c r="P2681" t="s">
        <v>46</v>
      </c>
      <c r="Y2681" t="s">
        <v>9030</v>
      </c>
    </row>
    <row r="2682" spans="1:25">
      <c r="A2682" t="s">
        <v>9031</v>
      </c>
      <c r="B2682" t="s">
        <v>9032</v>
      </c>
      <c r="D2682" t="s">
        <v>40</v>
      </c>
      <c r="E2682" t="s">
        <v>41</v>
      </c>
      <c r="J2682" t="s">
        <v>182</v>
      </c>
      <c r="K2682" t="s">
        <v>183</v>
      </c>
      <c r="L2682">
        <v>10</v>
      </c>
      <c r="M2682" t="s">
        <v>9033</v>
      </c>
      <c r="N2682" t="s">
        <v>64</v>
      </c>
      <c r="O2682" t="s">
        <v>46</v>
      </c>
      <c r="P2682" t="s">
        <v>46</v>
      </c>
      <c r="Y2682" t="s">
        <v>9034</v>
      </c>
    </row>
    <row r="2683" spans="1:25">
      <c r="A2683" t="s">
        <v>9035</v>
      </c>
      <c r="B2683" t="s">
        <v>9036</v>
      </c>
      <c r="D2683" t="s">
        <v>40</v>
      </c>
      <c r="E2683" t="s">
        <v>41</v>
      </c>
      <c r="J2683" t="s">
        <v>68</v>
      </c>
      <c r="K2683" t="s">
        <v>69</v>
      </c>
      <c r="L2683">
        <v>10</v>
      </c>
      <c r="M2683" t="s">
        <v>9033</v>
      </c>
      <c r="N2683" t="s">
        <v>64</v>
      </c>
      <c r="O2683" t="s">
        <v>46</v>
      </c>
      <c r="P2683" t="s">
        <v>46</v>
      </c>
      <c r="Y2683" t="s">
        <v>9037</v>
      </c>
    </row>
    <row r="2684" spans="1:25">
      <c r="A2684" t="s">
        <v>9038</v>
      </c>
      <c r="B2684" t="s">
        <v>9039</v>
      </c>
      <c r="D2684" t="s">
        <v>40</v>
      </c>
      <c r="E2684" t="s">
        <v>41</v>
      </c>
      <c r="J2684" t="s">
        <v>182</v>
      </c>
      <c r="K2684" t="s">
        <v>183</v>
      </c>
      <c r="L2684">
        <v>10</v>
      </c>
      <c r="M2684" t="s">
        <v>9033</v>
      </c>
      <c r="N2684" t="s">
        <v>64</v>
      </c>
      <c r="O2684" t="s">
        <v>46</v>
      </c>
      <c r="P2684" t="s">
        <v>46</v>
      </c>
      <c r="Y2684" t="s">
        <v>9040</v>
      </c>
    </row>
    <row r="2685" spans="1:25">
      <c r="A2685" t="s">
        <v>9041</v>
      </c>
      <c r="B2685" t="s">
        <v>9042</v>
      </c>
      <c r="D2685" t="s">
        <v>40</v>
      </c>
      <c r="E2685" t="s">
        <v>41</v>
      </c>
      <c r="J2685" t="s">
        <v>182</v>
      </c>
      <c r="K2685" t="s">
        <v>183</v>
      </c>
      <c r="L2685">
        <v>10</v>
      </c>
      <c r="M2685" t="s">
        <v>9033</v>
      </c>
      <c r="N2685" t="s">
        <v>64</v>
      </c>
      <c r="O2685" t="s">
        <v>46</v>
      </c>
      <c r="P2685" t="s">
        <v>46</v>
      </c>
      <c r="Y2685" t="s">
        <v>9043</v>
      </c>
    </row>
    <row r="2686" spans="1:25">
      <c r="A2686" t="s">
        <v>9044</v>
      </c>
      <c r="B2686" t="s">
        <v>9045</v>
      </c>
      <c r="D2686" t="s">
        <v>40</v>
      </c>
      <c r="E2686" t="s">
        <v>41</v>
      </c>
      <c r="J2686" t="s">
        <v>182</v>
      </c>
      <c r="K2686" t="s">
        <v>183</v>
      </c>
      <c r="L2686">
        <v>10</v>
      </c>
      <c r="M2686" t="s">
        <v>9033</v>
      </c>
      <c r="N2686" t="s">
        <v>64</v>
      </c>
      <c r="O2686" t="s">
        <v>46</v>
      </c>
      <c r="P2686" t="s">
        <v>46</v>
      </c>
      <c r="Y2686" t="s">
        <v>9046</v>
      </c>
    </row>
    <row r="2687" spans="1:25">
      <c r="A2687" t="s">
        <v>9047</v>
      </c>
      <c r="B2687" t="s">
        <v>9048</v>
      </c>
      <c r="D2687" t="s">
        <v>40</v>
      </c>
      <c r="E2687" t="s">
        <v>41</v>
      </c>
      <c r="J2687" t="s">
        <v>68</v>
      </c>
      <c r="K2687" t="s">
        <v>69</v>
      </c>
      <c r="L2687">
        <v>10</v>
      </c>
      <c r="M2687" t="s">
        <v>9049</v>
      </c>
      <c r="N2687" t="s">
        <v>64</v>
      </c>
      <c r="O2687" t="s">
        <v>46</v>
      </c>
      <c r="P2687" t="s">
        <v>46</v>
      </c>
      <c r="Y2687" t="s">
        <v>9050</v>
      </c>
    </row>
    <row r="2688" spans="1:25">
      <c r="A2688" t="s">
        <v>9051</v>
      </c>
      <c r="B2688" t="s">
        <v>9052</v>
      </c>
      <c r="D2688" t="s">
        <v>40</v>
      </c>
      <c r="E2688" t="s">
        <v>41</v>
      </c>
      <c r="J2688" t="s">
        <v>42</v>
      </c>
      <c r="K2688" t="s">
        <v>43</v>
      </c>
      <c r="L2688">
        <v>10</v>
      </c>
      <c r="M2688" t="s">
        <v>9049</v>
      </c>
      <c r="N2688" t="s">
        <v>1047</v>
      </c>
      <c r="O2688" t="s">
        <v>46</v>
      </c>
      <c r="P2688" t="s">
        <v>46</v>
      </c>
      <c r="Y2688" t="s">
        <v>9053</v>
      </c>
    </row>
    <row r="2689" spans="1:25">
      <c r="A2689" t="s">
        <v>9054</v>
      </c>
      <c r="B2689" t="s">
        <v>9055</v>
      </c>
      <c r="D2689" t="s">
        <v>40</v>
      </c>
      <c r="E2689" t="s">
        <v>41</v>
      </c>
      <c r="J2689" t="s">
        <v>68</v>
      </c>
      <c r="K2689" t="s">
        <v>69</v>
      </c>
      <c r="L2689">
        <v>10</v>
      </c>
      <c r="M2689" t="s">
        <v>9056</v>
      </c>
      <c r="N2689" t="s">
        <v>64</v>
      </c>
      <c r="O2689" t="s">
        <v>46</v>
      </c>
      <c r="P2689" t="s">
        <v>46</v>
      </c>
      <c r="Y2689" t="s">
        <v>9057</v>
      </c>
    </row>
    <row r="2690" spans="1:25">
      <c r="A2690" t="s">
        <v>9058</v>
      </c>
      <c r="B2690" t="s">
        <v>9059</v>
      </c>
      <c r="D2690" t="s">
        <v>40</v>
      </c>
      <c r="E2690" t="s">
        <v>41</v>
      </c>
      <c r="J2690" t="s">
        <v>76</v>
      </c>
      <c r="K2690" t="s">
        <v>77</v>
      </c>
      <c r="L2690">
        <v>10</v>
      </c>
      <c r="M2690" t="s">
        <v>9056</v>
      </c>
      <c r="N2690" t="s">
        <v>64</v>
      </c>
      <c r="O2690" t="s">
        <v>46</v>
      </c>
      <c r="P2690" t="s">
        <v>46</v>
      </c>
      <c r="Y2690" t="s">
        <v>9060</v>
      </c>
    </row>
    <row r="2691" spans="1:25">
      <c r="A2691" t="s">
        <v>9061</v>
      </c>
      <c r="B2691" t="s">
        <v>9062</v>
      </c>
      <c r="D2691" t="s">
        <v>40</v>
      </c>
      <c r="E2691" t="s">
        <v>41</v>
      </c>
      <c r="J2691" t="s">
        <v>68</v>
      </c>
      <c r="K2691" t="s">
        <v>69</v>
      </c>
      <c r="L2691">
        <v>10</v>
      </c>
      <c r="M2691" t="s">
        <v>9056</v>
      </c>
      <c r="N2691" t="s">
        <v>64</v>
      </c>
      <c r="O2691" t="s">
        <v>46</v>
      </c>
      <c r="P2691" t="s">
        <v>46</v>
      </c>
      <c r="Y2691" t="s">
        <v>9063</v>
      </c>
    </row>
    <row r="2692" spans="1:25">
      <c r="A2692" t="s">
        <v>9064</v>
      </c>
      <c r="B2692" t="s">
        <v>9065</v>
      </c>
      <c r="D2692" t="s">
        <v>40</v>
      </c>
      <c r="E2692" t="s">
        <v>41</v>
      </c>
      <c r="J2692" t="s">
        <v>42</v>
      </c>
      <c r="K2692" t="s">
        <v>43</v>
      </c>
      <c r="L2692">
        <v>10</v>
      </c>
      <c r="M2692" t="s">
        <v>9066</v>
      </c>
      <c r="N2692" t="s">
        <v>305</v>
      </c>
      <c r="O2692" t="s">
        <v>46</v>
      </c>
      <c r="P2692" t="s">
        <v>46</v>
      </c>
      <c r="Y2692" t="s">
        <v>9067</v>
      </c>
    </row>
    <row r="2693" spans="1:25">
      <c r="A2693" t="s">
        <v>9068</v>
      </c>
      <c r="B2693" t="s">
        <v>9069</v>
      </c>
      <c r="D2693" t="s">
        <v>40</v>
      </c>
      <c r="E2693" t="s">
        <v>41</v>
      </c>
      <c r="J2693" t="s">
        <v>42</v>
      </c>
      <c r="K2693" t="s">
        <v>43</v>
      </c>
      <c r="L2693">
        <v>10</v>
      </c>
      <c r="M2693" t="s">
        <v>9066</v>
      </c>
      <c r="N2693" t="s">
        <v>1189</v>
      </c>
      <c r="O2693" t="s">
        <v>46</v>
      </c>
      <c r="P2693" t="s">
        <v>46</v>
      </c>
      <c r="Y2693" t="s">
        <v>9070</v>
      </c>
    </row>
    <row r="2694" spans="1:25">
      <c r="A2694" t="s">
        <v>9071</v>
      </c>
      <c r="B2694" t="s">
        <v>9072</v>
      </c>
      <c r="D2694" t="s">
        <v>40</v>
      </c>
      <c r="E2694" t="s">
        <v>41</v>
      </c>
      <c r="J2694" t="s">
        <v>76</v>
      </c>
      <c r="K2694" t="s">
        <v>77</v>
      </c>
      <c r="L2694">
        <v>10</v>
      </c>
      <c r="M2694" t="s">
        <v>9066</v>
      </c>
      <c r="N2694" t="s">
        <v>64</v>
      </c>
      <c r="O2694" t="s">
        <v>46</v>
      </c>
      <c r="P2694" t="s">
        <v>46</v>
      </c>
      <c r="Y2694" t="s">
        <v>9073</v>
      </c>
    </row>
    <row r="2695" spans="1:25">
      <c r="A2695" t="s">
        <v>9074</v>
      </c>
      <c r="B2695" t="s">
        <v>9075</v>
      </c>
      <c r="D2695" t="s">
        <v>40</v>
      </c>
      <c r="E2695" t="s">
        <v>41</v>
      </c>
      <c r="J2695" t="s">
        <v>182</v>
      </c>
      <c r="K2695" t="s">
        <v>183</v>
      </c>
      <c r="L2695">
        <v>10</v>
      </c>
      <c r="M2695" t="s">
        <v>9076</v>
      </c>
      <c r="N2695" t="s">
        <v>64</v>
      </c>
      <c r="O2695" t="s">
        <v>46</v>
      </c>
      <c r="P2695" t="s">
        <v>46</v>
      </c>
      <c r="Y2695" t="s">
        <v>9077</v>
      </c>
    </row>
    <row r="2696" spans="1:25">
      <c r="A2696" t="s">
        <v>9078</v>
      </c>
      <c r="B2696" t="s">
        <v>9079</v>
      </c>
      <c r="D2696" t="s">
        <v>40</v>
      </c>
      <c r="E2696" t="s">
        <v>41</v>
      </c>
      <c r="J2696" t="s">
        <v>264</v>
      </c>
      <c r="K2696" t="s">
        <v>265</v>
      </c>
      <c r="L2696">
        <v>10</v>
      </c>
      <c r="M2696" t="s">
        <v>9076</v>
      </c>
      <c r="N2696" t="s">
        <v>218</v>
      </c>
      <c r="O2696" t="s">
        <v>46</v>
      </c>
      <c r="P2696" t="s">
        <v>46</v>
      </c>
      <c r="Y2696" t="s">
        <v>9080</v>
      </c>
    </row>
    <row r="2697" spans="1:25">
      <c r="A2697" t="s">
        <v>9081</v>
      </c>
      <c r="B2697" t="s">
        <v>9082</v>
      </c>
      <c r="D2697" t="s">
        <v>40</v>
      </c>
      <c r="E2697" t="s">
        <v>41</v>
      </c>
      <c r="J2697" t="s">
        <v>182</v>
      </c>
      <c r="K2697" t="s">
        <v>183</v>
      </c>
      <c r="L2697">
        <v>10</v>
      </c>
      <c r="M2697" t="s">
        <v>9083</v>
      </c>
      <c r="N2697" t="s">
        <v>64</v>
      </c>
      <c r="O2697" t="s">
        <v>46</v>
      </c>
      <c r="P2697" t="s">
        <v>46</v>
      </c>
      <c r="Y2697" t="s">
        <v>9084</v>
      </c>
    </row>
    <row r="2698" spans="1:25">
      <c r="A2698" t="s">
        <v>9085</v>
      </c>
      <c r="B2698" t="s">
        <v>9086</v>
      </c>
      <c r="D2698" t="s">
        <v>40</v>
      </c>
      <c r="E2698" t="s">
        <v>41</v>
      </c>
      <c r="J2698" t="s">
        <v>76</v>
      </c>
      <c r="K2698" t="s">
        <v>77</v>
      </c>
      <c r="L2698">
        <v>10</v>
      </c>
      <c r="M2698" t="s">
        <v>9083</v>
      </c>
      <c r="N2698" t="s">
        <v>64</v>
      </c>
      <c r="O2698" t="s">
        <v>46</v>
      </c>
      <c r="P2698" t="s">
        <v>46</v>
      </c>
      <c r="Y2698" t="s">
        <v>9087</v>
      </c>
    </row>
    <row r="2699" spans="1:25">
      <c r="A2699" t="s">
        <v>9088</v>
      </c>
      <c r="B2699" t="s">
        <v>9089</v>
      </c>
      <c r="D2699" t="s">
        <v>40</v>
      </c>
      <c r="E2699" t="s">
        <v>41</v>
      </c>
      <c r="J2699" t="s">
        <v>1572</v>
      </c>
      <c r="K2699" t="s">
        <v>1573</v>
      </c>
      <c r="L2699">
        <v>10</v>
      </c>
      <c r="M2699" t="s">
        <v>9083</v>
      </c>
      <c r="N2699" t="s">
        <v>64</v>
      </c>
      <c r="O2699" t="s">
        <v>46</v>
      </c>
      <c r="P2699" t="s">
        <v>46</v>
      </c>
      <c r="Y2699" t="s">
        <v>9090</v>
      </c>
    </row>
    <row r="2700" spans="1:25">
      <c r="A2700" t="s">
        <v>9091</v>
      </c>
      <c r="B2700" t="s">
        <v>9092</v>
      </c>
      <c r="D2700" t="s">
        <v>40</v>
      </c>
      <c r="E2700" t="s">
        <v>41</v>
      </c>
      <c r="J2700" t="s">
        <v>182</v>
      </c>
      <c r="K2700" t="s">
        <v>183</v>
      </c>
      <c r="L2700">
        <v>10</v>
      </c>
      <c r="M2700" t="s">
        <v>9083</v>
      </c>
      <c r="N2700" t="s">
        <v>64</v>
      </c>
      <c r="O2700" t="s">
        <v>46</v>
      </c>
      <c r="P2700" t="s">
        <v>46</v>
      </c>
      <c r="Y2700" t="s">
        <v>9093</v>
      </c>
    </row>
    <row r="2701" spans="1:25">
      <c r="A2701" t="s">
        <v>9094</v>
      </c>
      <c r="B2701" t="s">
        <v>9095</v>
      </c>
      <c r="D2701" t="s">
        <v>40</v>
      </c>
      <c r="E2701" t="s">
        <v>41</v>
      </c>
      <c r="J2701" t="s">
        <v>42</v>
      </c>
      <c r="K2701" t="s">
        <v>43</v>
      </c>
      <c r="L2701">
        <v>10</v>
      </c>
      <c r="M2701" t="s">
        <v>9083</v>
      </c>
      <c r="N2701" t="s">
        <v>305</v>
      </c>
      <c r="O2701" t="s">
        <v>46</v>
      </c>
      <c r="P2701" t="s">
        <v>46</v>
      </c>
      <c r="Y2701" t="s">
        <v>9096</v>
      </c>
    </row>
    <row r="2702" spans="1:25">
      <c r="A2702" t="s">
        <v>9097</v>
      </c>
      <c r="B2702" t="s">
        <v>9098</v>
      </c>
      <c r="D2702" t="s">
        <v>40</v>
      </c>
      <c r="E2702" t="s">
        <v>41</v>
      </c>
      <c r="J2702" t="s">
        <v>76</v>
      </c>
      <c r="K2702" t="s">
        <v>77</v>
      </c>
      <c r="L2702">
        <v>10</v>
      </c>
      <c r="M2702" t="s">
        <v>9083</v>
      </c>
      <c r="N2702" t="s">
        <v>64</v>
      </c>
      <c r="O2702" t="s">
        <v>46</v>
      </c>
      <c r="P2702" t="s">
        <v>46</v>
      </c>
      <c r="Y2702" t="s">
        <v>9099</v>
      </c>
    </row>
    <row r="2703" spans="1:25">
      <c r="A2703" t="s">
        <v>9100</v>
      </c>
      <c r="B2703" t="s">
        <v>9101</v>
      </c>
      <c r="D2703" t="s">
        <v>40</v>
      </c>
      <c r="E2703" t="s">
        <v>41</v>
      </c>
      <c r="J2703" t="s">
        <v>182</v>
      </c>
      <c r="K2703" t="s">
        <v>183</v>
      </c>
      <c r="L2703">
        <v>10</v>
      </c>
      <c r="M2703" t="s">
        <v>9102</v>
      </c>
      <c r="N2703" t="s">
        <v>64</v>
      </c>
      <c r="O2703" t="s">
        <v>46</v>
      </c>
      <c r="P2703" t="s">
        <v>46</v>
      </c>
      <c r="Y2703" t="s">
        <v>9103</v>
      </c>
    </row>
    <row r="2704" spans="1:25">
      <c r="A2704" t="s">
        <v>9104</v>
      </c>
      <c r="B2704" t="s">
        <v>9105</v>
      </c>
      <c r="D2704" t="s">
        <v>40</v>
      </c>
      <c r="E2704" t="s">
        <v>41</v>
      </c>
      <c r="J2704" t="s">
        <v>182</v>
      </c>
      <c r="K2704" t="s">
        <v>183</v>
      </c>
      <c r="L2704">
        <v>10</v>
      </c>
      <c r="M2704" t="s">
        <v>9102</v>
      </c>
      <c r="N2704" t="s">
        <v>64</v>
      </c>
      <c r="O2704" t="s">
        <v>46</v>
      </c>
      <c r="P2704" t="s">
        <v>46</v>
      </c>
      <c r="Y2704" t="s">
        <v>9106</v>
      </c>
    </row>
    <row r="2705" spans="1:25">
      <c r="A2705" t="s">
        <v>9107</v>
      </c>
      <c r="B2705" t="s">
        <v>9108</v>
      </c>
      <c r="D2705" t="s">
        <v>40</v>
      </c>
      <c r="E2705" t="s">
        <v>41</v>
      </c>
      <c r="J2705" t="s">
        <v>42</v>
      </c>
      <c r="K2705" t="s">
        <v>43</v>
      </c>
      <c r="L2705">
        <v>10</v>
      </c>
      <c r="M2705" t="s">
        <v>9102</v>
      </c>
      <c r="N2705" t="s">
        <v>218</v>
      </c>
      <c r="O2705" t="s">
        <v>46</v>
      </c>
      <c r="P2705" t="s">
        <v>46</v>
      </c>
      <c r="Y2705" t="s">
        <v>9109</v>
      </c>
    </row>
    <row r="2706" spans="1:25">
      <c r="A2706" t="s">
        <v>9110</v>
      </c>
      <c r="B2706" t="s">
        <v>9111</v>
      </c>
      <c r="D2706" t="s">
        <v>40</v>
      </c>
      <c r="E2706" t="s">
        <v>41</v>
      </c>
      <c r="J2706" t="s">
        <v>1338</v>
      </c>
      <c r="K2706" t="s">
        <v>1339</v>
      </c>
      <c r="L2706">
        <v>10</v>
      </c>
      <c r="M2706" t="s">
        <v>9112</v>
      </c>
      <c r="N2706" t="s">
        <v>2154</v>
      </c>
      <c r="O2706" t="s">
        <v>46</v>
      </c>
      <c r="P2706" t="s">
        <v>46</v>
      </c>
      <c r="Y2706" t="s">
        <v>9113</v>
      </c>
    </row>
    <row r="2707" spans="1:25">
      <c r="A2707" t="s">
        <v>9114</v>
      </c>
      <c r="B2707" t="s">
        <v>9115</v>
      </c>
      <c r="D2707" t="s">
        <v>40</v>
      </c>
      <c r="E2707" t="s">
        <v>41</v>
      </c>
      <c r="J2707" t="s">
        <v>182</v>
      </c>
      <c r="K2707" t="s">
        <v>183</v>
      </c>
      <c r="L2707">
        <v>10</v>
      </c>
      <c r="M2707" t="s">
        <v>9116</v>
      </c>
      <c r="N2707" t="s">
        <v>64</v>
      </c>
      <c r="O2707" t="s">
        <v>46</v>
      </c>
      <c r="P2707" t="s">
        <v>46</v>
      </c>
      <c r="Y2707" t="s">
        <v>9117</v>
      </c>
    </row>
    <row r="2708" spans="1:25">
      <c r="A2708" t="s">
        <v>9118</v>
      </c>
      <c r="B2708" t="s">
        <v>9119</v>
      </c>
      <c r="D2708" t="s">
        <v>40</v>
      </c>
      <c r="E2708" t="s">
        <v>41</v>
      </c>
      <c r="J2708" t="s">
        <v>76</v>
      </c>
      <c r="K2708" t="s">
        <v>77</v>
      </c>
      <c r="L2708">
        <v>10</v>
      </c>
      <c r="M2708" t="s">
        <v>9116</v>
      </c>
      <c r="N2708" t="s">
        <v>64</v>
      </c>
      <c r="O2708" t="s">
        <v>46</v>
      </c>
      <c r="P2708" t="s">
        <v>46</v>
      </c>
      <c r="Y2708" t="s">
        <v>9120</v>
      </c>
    </row>
    <row r="2709" spans="1:25">
      <c r="A2709" t="s">
        <v>9121</v>
      </c>
      <c r="B2709" t="s">
        <v>9122</v>
      </c>
      <c r="D2709" t="s">
        <v>40</v>
      </c>
      <c r="E2709" t="s">
        <v>41</v>
      </c>
      <c r="J2709" t="s">
        <v>76</v>
      </c>
      <c r="K2709" t="s">
        <v>77</v>
      </c>
      <c r="L2709">
        <v>10</v>
      </c>
      <c r="M2709" t="s">
        <v>9123</v>
      </c>
      <c r="N2709" t="s">
        <v>64</v>
      </c>
      <c r="O2709" t="s">
        <v>46</v>
      </c>
      <c r="P2709" t="s">
        <v>46</v>
      </c>
      <c r="Y2709" t="s">
        <v>9124</v>
      </c>
    </row>
    <row r="2710" spans="1:25">
      <c r="A2710" t="s">
        <v>9125</v>
      </c>
      <c r="B2710" t="s">
        <v>9126</v>
      </c>
      <c r="D2710" t="s">
        <v>40</v>
      </c>
      <c r="E2710" t="s">
        <v>41</v>
      </c>
      <c r="J2710" t="s">
        <v>139</v>
      </c>
      <c r="K2710" t="s">
        <v>140</v>
      </c>
      <c r="L2710">
        <v>10</v>
      </c>
      <c r="M2710" t="s">
        <v>9123</v>
      </c>
      <c r="N2710" t="s">
        <v>1258</v>
      </c>
      <c r="O2710" t="s">
        <v>46</v>
      </c>
      <c r="P2710" t="s">
        <v>46</v>
      </c>
      <c r="Y2710" t="s">
        <v>9127</v>
      </c>
    </row>
    <row r="2711" spans="1:25">
      <c r="A2711" t="s">
        <v>9128</v>
      </c>
      <c r="B2711" t="s">
        <v>9129</v>
      </c>
      <c r="D2711" t="s">
        <v>40</v>
      </c>
      <c r="E2711" t="s">
        <v>41</v>
      </c>
      <c r="J2711" t="s">
        <v>182</v>
      </c>
      <c r="K2711" t="s">
        <v>183</v>
      </c>
      <c r="L2711">
        <v>10</v>
      </c>
      <c r="M2711" t="s">
        <v>9123</v>
      </c>
      <c r="N2711" t="s">
        <v>64</v>
      </c>
      <c r="O2711" t="s">
        <v>46</v>
      </c>
      <c r="P2711" t="s">
        <v>46</v>
      </c>
      <c r="Y2711" t="s">
        <v>9130</v>
      </c>
    </row>
    <row r="2712" spans="1:25">
      <c r="A2712" t="s">
        <v>9131</v>
      </c>
      <c r="B2712" t="s">
        <v>9132</v>
      </c>
      <c r="D2712" t="s">
        <v>40</v>
      </c>
      <c r="E2712" t="s">
        <v>41</v>
      </c>
      <c r="J2712" t="s">
        <v>76</v>
      </c>
      <c r="K2712" t="s">
        <v>77</v>
      </c>
      <c r="L2712">
        <v>10</v>
      </c>
      <c r="M2712" t="s">
        <v>9123</v>
      </c>
      <c r="N2712" t="s">
        <v>64</v>
      </c>
      <c r="O2712" t="s">
        <v>46</v>
      </c>
      <c r="P2712" t="s">
        <v>46</v>
      </c>
      <c r="Y2712" t="s">
        <v>9133</v>
      </c>
    </row>
    <row r="2713" spans="1:25">
      <c r="A2713" t="s">
        <v>9134</v>
      </c>
      <c r="B2713" t="s">
        <v>9135</v>
      </c>
      <c r="D2713" t="s">
        <v>40</v>
      </c>
      <c r="E2713" t="s">
        <v>41</v>
      </c>
      <c r="J2713" t="s">
        <v>182</v>
      </c>
      <c r="K2713" t="s">
        <v>183</v>
      </c>
      <c r="L2713">
        <v>10</v>
      </c>
      <c r="M2713" t="s">
        <v>9136</v>
      </c>
      <c r="N2713" t="s">
        <v>64</v>
      </c>
      <c r="O2713" t="s">
        <v>46</v>
      </c>
      <c r="P2713" t="s">
        <v>46</v>
      </c>
      <c r="Y2713" t="s">
        <v>9137</v>
      </c>
    </row>
    <row r="2714" spans="1:25">
      <c r="A2714" t="s">
        <v>9138</v>
      </c>
      <c r="B2714" t="s">
        <v>9139</v>
      </c>
      <c r="D2714" t="s">
        <v>40</v>
      </c>
      <c r="E2714" t="s">
        <v>41</v>
      </c>
      <c r="J2714" t="s">
        <v>42</v>
      </c>
      <c r="K2714" t="s">
        <v>43</v>
      </c>
      <c r="L2714">
        <v>10</v>
      </c>
      <c r="M2714" t="s">
        <v>9136</v>
      </c>
      <c r="N2714" t="s">
        <v>1189</v>
      </c>
      <c r="O2714" t="s">
        <v>46</v>
      </c>
      <c r="P2714" t="s">
        <v>46</v>
      </c>
      <c r="Y2714" t="s">
        <v>9140</v>
      </c>
    </row>
    <row r="2715" spans="1:25">
      <c r="A2715" t="s">
        <v>9141</v>
      </c>
      <c r="B2715" t="s">
        <v>9142</v>
      </c>
      <c r="D2715" t="s">
        <v>40</v>
      </c>
      <c r="E2715" t="s">
        <v>41</v>
      </c>
      <c r="J2715" t="s">
        <v>182</v>
      </c>
      <c r="K2715" t="s">
        <v>183</v>
      </c>
      <c r="L2715">
        <v>10</v>
      </c>
      <c r="M2715" t="s">
        <v>9136</v>
      </c>
      <c r="N2715" t="s">
        <v>64</v>
      </c>
      <c r="O2715" t="s">
        <v>46</v>
      </c>
      <c r="P2715" t="s">
        <v>46</v>
      </c>
      <c r="Y2715" t="s">
        <v>9143</v>
      </c>
    </row>
    <row r="2716" spans="1:25">
      <c r="A2716" t="s">
        <v>9144</v>
      </c>
      <c r="B2716" t="s">
        <v>9145</v>
      </c>
      <c r="D2716" t="s">
        <v>40</v>
      </c>
      <c r="E2716" t="s">
        <v>41</v>
      </c>
      <c r="J2716" t="s">
        <v>76</v>
      </c>
      <c r="K2716" t="s">
        <v>77</v>
      </c>
      <c r="L2716">
        <v>10</v>
      </c>
      <c r="M2716" t="s">
        <v>9136</v>
      </c>
      <c r="N2716" t="s">
        <v>64</v>
      </c>
      <c r="O2716" t="s">
        <v>46</v>
      </c>
      <c r="P2716" t="s">
        <v>46</v>
      </c>
      <c r="Y2716" t="s">
        <v>9146</v>
      </c>
    </row>
    <row r="2717" spans="1:25">
      <c r="A2717" t="s">
        <v>9147</v>
      </c>
      <c r="B2717" t="s">
        <v>9148</v>
      </c>
      <c r="D2717" t="s">
        <v>40</v>
      </c>
      <c r="E2717" t="s">
        <v>41</v>
      </c>
      <c r="J2717" t="s">
        <v>182</v>
      </c>
      <c r="K2717" t="s">
        <v>183</v>
      </c>
      <c r="L2717">
        <v>10</v>
      </c>
      <c r="M2717" t="s">
        <v>9136</v>
      </c>
      <c r="N2717" t="s">
        <v>64</v>
      </c>
      <c r="O2717" t="s">
        <v>46</v>
      </c>
      <c r="P2717" t="s">
        <v>46</v>
      </c>
      <c r="Y2717" t="s">
        <v>9149</v>
      </c>
    </row>
    <row r="2718" spans="1:25">
      <c r="A2718" t="s">
        <v>9150</v>
      </c>
      <c r="B2718" t="s">
        <v>9151</v>
      </c>
      <c r="D2718" t="s">
        <v>40</v>
      </c>
      <c r="E2718" t="s">
        <v>41</v>
      </c>
      <c r="J2718" t="s">
        <v>182</v>
      </c>
      <c r="K2718" t="s">
        <v>183</v>
      </c>
      <c r="L2718">
        <v>10</v>
      </c>
      <c r="M2718" t="s">
        <v>9152</v>
      </c>
      <c r="N2718" t="s">
        <v>64</v>
      </c>
      <c r="O2718" t="s">
        <v>46</v>
      </c>
      <c r="P2718" t="s">
        <v>46</v>
      </c>
      <c r="Y2718" t="s">
        <v>9153</v>
      </c>
    </row>
    <row r="2719" spans="1:25">
      <c r="A2719" t="s">
        <v>9154</v>
      </c>
      <c r="B2719" t="s">
        <v>9155</v>
      </c>
      <c r="D2719" t="s">
        <v>40</v>
      </c>
      <c r="E2719" t="s">
        <v>41</v>
      </c>
      <c r="J2719" t="s">
        <v>182</v>
      </c>
      <c r="K2719" t="s">
        <v>183</v>
      </c>
      <c r="L2719">
        <v>10</v>
      </c>
      <c r="M2719" t="s">
        <v>9152</v>
      </c>
      <c r="N2719" t="s">
        <v>64</v>
      </c>
      <c r="O2719" t="s">
        <v>46</v>
      </c>
      <c r="P2719" t="s">
        <v>46</v>
      </c>
      <c r="Y2719" t="s">
        <v>9156</v>
      </c>
    </row>
    <row r="2720" spans="1:25">
      <c r="A2720" t="s">
        <v>9157</v>
      </c>
      <c r="B2720" t="s">
        <v>9158</v>
      </c>
      <c r="D2720" t="s">
        <v>40</v>
      </c>
      <c r="E2720" t="s">
        <v>41</v>
      </c>
      <c r="J2720" t="s">
        <v>9159</v>
      </c>
      <c r="K2720" t="s">
        <v>9160</v>
      </c>
      <c r="L2720">
        <v>10</v>
      </c>
      <c r="M2720" t="s">
        <v>9161</v>
      </c>
      <c r="N2720" t="s">
        <v>45</v>
      </c>
      <c r="O2720" t="s">
        <v>46</v>
      </c>
      <c r="P2720" t="s">
        <v>46</v>
      </c>
      <c r="Y2720" t="s">
        <v>9162</v>
      </c>
    </row>
    <row r="2721" spans="1:25">
      <c r="A2721" t="s">
        <v>9163</v>
      </c>
      <c r="B2721" t="s">
        <v>9164</v>
      </c>
      <c r="D2721" t="s">
        <v>40</v>
      </c>
      <c r="E2721" t="s">
        <v>41</v>
      </c>
      <c r="J2721" t="s">
        <v>42</v>
      </c>
      <c r="K2721" t="s">
        <v>43</v>
      </c>
      <c r="L2721">
        <v>10</v>
      </c>
      <c r="M2721" t="s">
        <v>9165</v>
      </c>
      <c r="N2721" t="s">
        <v>305</v>
      </c>
      <c r="O2721" t="s">
        <v>46</v>
      </c>
      <c r="P2721" t="s">
        <v>46</v>
      </c>
      <c r="Y2721" t="s">
        <v>9166</v>
      </c>
    </row>
    <row r="2722" spans="1:25">
      <c r="A2722" t="s">
        <v>9167</v>
      </c>
      <c r="B2722" t="s">
        <v>9168</v>
      </c>
      <c r="D2722" t="s">
        <v>40</v>
      </c>
      <c r="E2722" t="s">
        <v>41</v>
      </c>
      <c r="J2722" t="s">
        <v>182</v>
      </c>
      <c r="K2722" t="s">
        <v>183</v>
      </c>
      <c r="L2722">
        <v>10</v>
      </c>
      <c r="M2722" t="s">
        <v>9165</v>
      </c>
      <c r="N2722" t="s">
        <v>64</v>
      </c>
      <c r="O2722" t="s">
        <v>46</v>
      </c>
      <c r="P2722" t="s">
        <v>46</v>
      </c>
      <c r="Y2722" t="s">
        <v>9169</v>
      </c>
    </row>
    <row r="2723" spans="1:25">
      <c r="A2723" t="s">
        <v>9170</v>
      </c>
      <c r="B2723" t="s">
        <v>9171</v>
      </c>
      <c r="D2723" t="s">
        <v>40</v>
      </c>
      <c r="E2723" t="s">
        <v>41</v>
      </c>
      <c r="J2723" t="s">
        <v>182</v>
      </c>
      <c r="K2723" t="s">
        <v>183</v>
      </c>
      <c r="L2723">
        <v>10</v>
      </c>
      <c r="M2723" t="s">
        <v>9165</v>
      </c>
      <c r="N2723" t="s">
        <v>64</v>
      </c>
      <c r="O2723" t="s">
        <v>46</v>
      </c>
      <c r="P2723" t="s">
        <v>46</v>
      </c>
      <c r="Y2723" t="s">
        <v>9172</v>
      </c>
    </row>
    <row r="2724" spans="1:25">
      <c r="A2724" t="s">
        <v>9173</v>
      </c>
      <c r="B2724" t="s">
        <v>9174</v>
      </c>
      <c r="D2724" t="s">
        <v>40</v>
      </c>
      <c r="E2724" t="s">
        <v>41</v>
      </c>
      <c r="J2724" t="s">
        <v>182</v>
      </c>
      <c r="K2724" t="s">
        <v>183</v>
      </c>
      <c r="L2724">
        <v>10</v>
      </c>
      <c r="M2724" t="s">
        <v>9165</v>
      </c>
      <c r="N2724" t="s">
        <v>64</v>
      </c>
      <c r="O2724" t="s">
        <v>46</v>
      </c>
      <c r="P2724" t="s">
        <v>46</v>
      </c>
      <c r="Y2724" t="s">
        <v>9175</v>
      </c>
    </row>
    <row r="2725" spans="1:25">
      <c r="A2725" t="s">
        <v>9176</v>
      </c>
      <c r="B2725" t="s">
        <v>9177</v>
      </c>
      <c r="D2725" t="s">
        <v>40</v>
      </c>
      <c r="E2725" t="s">
        <v>41</v>
      </c>
      <c r="J2725" t="s">
        <v>76</v>
      </c>
      <c r="K2725" t="s">
        <v>77</v>
      </c>
      <c r="L2725">
        <v>10</v>
      </c>
      <c r="M2725" t="s">
        <v>9165</v>
      </c>
      <c r="N2725" t="s">
        <v>64</v>
      </c>
      <c r="O2725" t="s">
        <v>46</v>
      </c>
      <c r="P2725" t="s">
        <v>46</v>
      </c>
      <c r="Y2725" t="s">
        <v>9178</v>
      </c>
    </row>
    <row r="2726" spans="1:25">
      <c r="A2726" t="s">
        <v>9179</v>
      </c>
      <c r="B2726" t="s">
        <v>9180</v>
      </c>
      <c r="D2726" t="s">
        <v>40</v>
      </c>
      <c r="E2726" t="s">
        <v>41</v>
      </c>
      <c r="J2726" t="s">
        <v>68</v>
      </c>
      <c r="K2726" t="s">
        <v>69</v>
      </c>
      <c r="L2726">
        <v>10</v>
      </c>
      <c r="M2726" t="s">
        <v>9181</v>
      </c>
      <c r="N2726" t="s">
        <v>64</v>
      </c>
      <c r="O2726" t="s">
        <v>46</v>
      </c>
      <c r="P2726" t="s">
        <v>46</v>
      </c>
      <c r="Y2726" t="s">
        <v>9182</v>
      </c>
    </row>
    <row r="2727" spans="1:25">
      <c r="A2727" t="s">
        <v>9183</v>
      </c>
      <c r="B2727" t="s">
        <v>9184</v>
      </c>
      <c r="D2727" t="s">
        <v>40</v>
      </c>
      <c r="E2727" t="s">
        <v>41</v>
      </c>
      <c r="J2727" t="s">
        <v>76</v>
      </c>
      <c r="K2727" t="s">
        <v>77</v>
      </c>
      <c r="L2727">
        <v>10</v>
      </c>
      <c r="M2727" t="s">
        <v>9181</v>
      </c>
      <c r="N2727" t="s">
        <v>64</v>
      </c>
      <c r="O2727" t="s">
        <v>46</v>
      </c>
      <c r="P2727" t="s">
        <v>46</v>
      </c>
      <c r="Y2727" t="s">
        <v>9185</v>
      </c>
    </row>
    <row r="2728" spans="1:25">
      <c r="A2728" t="s">
        <v>9186</v>
      </c>
      <c r="B2728" t="s">
        <v>9187</v>
      </c>
      <c r="D2728" t="s">
        <v>40</v>
      </c>
      <c r="E2728" t="s">
        <v>41</v>
      </c>
      <c r="J2728" t="s">
        <v>182</v>
      </c>
      <c r="K2728" t="s">
        <v>183</v>
      </c>
      <c r="L2728">
        <v>10</v>
      </c>
      <c r="M2728" t="s">
        <v>9188</v>
      </c>
      <c r="N2728" t="s">
        <v>64</v>
      </c>
      <c r="O2728" t="s">
        <v>46</v>
      </c>
      <c r="P2728" t="s">
        <v>46</v>
      </c>
      <c r="Y2728" t="s">
        <v>9189</v>
      </c>
    </row>
    <row r="2729" spans="1:25">
      <c r="A2729" t="s">
        <v>9190</v>
      </c>
      <c r="B2729" t="s">
        <v>9191</v>
      </c>
      <c r="D2729" t="s">
        <v>40</v>
      </c>
      <c r="E2729" t="s">
        <v>41</v>
      </c>
      <c r="J2729" t="s">
        <v>182</v>
      </c>
      <c r="K2729" t="s">
        <v>183</v>
      </c>
      <c r="L2729">
        <v>10</v>
      </c>
      <c r="M2729" t="s">
        <v>9192</v>
      </c>
      <c r="N2729" t="s">
        <v>64</v>
      </c>
      <c r="O2729" t="s">
        <v>46</v>
      </c>
      <c r="P2729" t="s">
        <v>46</v>
      </c>
      <c r="Y2729" t="s">
        <v>9193</v>
      </c>
    </row>
    <row r="2730" spans="1:25">
      <c r="A2730" t="s">
        <v>9194</v>
      </c>
      <c r="B2730" t="s">
        <v>9195</v>
      </c>
      <c r="D2730" t="s">
        <v>40</v>
      </c>
      <c r="E2730" t="s">
        <v>41</v>
      </c>
      <c r="J2730" t="s">
        <v>182</v>
      </c>
      <c r="K2730" t="s">
        <v>183</v>
      </c>
      <c r="L2730">
        <v>10</v>
      </c>
      <c r="M2730" t="s">
        <v>9196</v>
      </c>
      <c r="N2730" t="s">
        <v>64</v>
      </c>
      <c r="O2730" t="s">
        <v>46</v>
      </c>
      <c r="P2730" t="s">
        <v>46</v>
      </c>
      <c r="Y2730" t="s">
        <v>9197</v>
      </c>
    </row>
    <row r="2731" spans="1:25">
      <c r="A2731" t="s">
        <v>9198</v>
      </c>
      <c r="B2731" t="s">
        <v>9199</v>
      </c>
      <c r="D2731" t="s">
        <v>40</v>
      </c>
      <c r="E2731" t="s">
        <v>41</v>
      </c>
      <c r="J2731" t="s">
        <v>76</v>
      </c>
      <c r="K2731" t="s">
        <v>77</v>
      </c>
      <c r="L2731">
        <v>10</v>
      </c>
      <c r="M2731" t="s">
        <v>9196</v>
      </c>
      <c r="N2731" t="s">
        <v>64</v>
      </c>
      <c r="O2731" t="s">
        <v>46</v>
      </c>
      <c r="P2731" t="s">
        <v>46</v>
      </c>
      <c r="Y2731" t="s">
        <v>9200</v>
      </c>
    </row>
    <row r="2732" spans="1:25">
      <c r="A2732" t="s">
        <v>9201</v>
      </c>
      <c r="B2732" t="s">
        <v>9202</v>
      </c>
      <c r="D2732" t="s">
        <v>40</v>
      </c>
      <c r="E2732" t="s">
        <v>41</v>
      </c>
      <c r="J2732" t="s">
        <v>182</v>
      </c>
      <c r="K2732" t="s">
        <v>183</v>
      </c>
      <c r="L2732">
        <v>10</v>
      </c>
      <c r="M2732" t="s">
        <v>9203</v>
      </c>
      <c r="N2732" t="s">
        <v>64</v>
      </c>
      <c r="O2732" t="s">
        <v>46</v>
      </c>
      <c r="P2732" t="s">
        <v>46</v>
      </c>
      <c r="Y2732" t="s">
        <v>9204</v>
      </c>
    </row>
    <row r="2733" spans="1:25">
      <c r="A2733" t="s">
        <v>9205</v>
      </c>
      <c r="B2733" t="s">
        <v>9206</v>
      </c>
      <c r="D2733" t="s">
        <v>40</v>
      </c>
      <c r="E2733" t="s">
        <v>41</v>
      </c>
      <c r="J2733" t="s">
        <v>182</v>
      </c>
      <c r="K2733" t="s">
        <v>183</v>
      </c>
      <c r="L2733">
        <v>10</v>
      </c>
      <c r="M2733" t="s">
        <v>9203</v>
      </c>
      <c r="N2733" t="s">
        <v>64</v>
      </c>
      <c r="O2733" t="s">
        <v>46</v>
      </c>
      <c r="P2733" t="s">
        <v>46</v>
      </c>
      <c r="Y2733" t="s">
        <v>9207</v>
      </c>
    </row>
    <row r="2734" spans="1:25">
      <c r="A2734" t="s">
        <v>9208</v>
      </c>
      <c r="B2734" t="s">
        <v>9209</v>
      </c>
      <c r="D2734" t="s">
        <v>40</v>
      </c>
      <c r="E2734" t="s">
        <v>41</v>
      </c>
      <c r="J2734" t="s">
        <v>182</v>
      </c>
      <c r="K2734" t="s">
        <v>183</v>
      </c>
      <c r="L2734">
        <v>10</v>
      </c>
      <c r="M2734" t="s">
        <v>9203</v>
      </c>
      <c r="N2734" t="s">
        <v>64</v>
      </c>
      <c r="O2734" t="s">
        <v>46</v>
      </c>
      <c r="P2734" t="s">
        <v>46</v>
      </c>
      <c r="Y2734" t="s">
        <v>9210</v>
      </c>
    </row>
    <row r="2735" spans="1:25">
      <c r="A2735" t="s">
        <v>9211</v>
      </c>
      <c r="B2735" t="s">
        <v>9212</v>
      </c>
      <c r="D2735" t="s">
        <v>40</v>
      </c>
      <c r="E2735" t="s">
        <v>41</v>
      </c>
      <c r="J2735" t="s">
        <v>62</v>
      </c>
      <c r="K2735" t="s">
        <v>63</v>
      </c>
      <c r="L2735">
        <v>10</v>
      </c>
      <c r="M2735" t="s">
        <v>9203</v>
      </c>
      <c r="N2735" t="s">
        <v>64</v>
      </c>
      <c r="O2735" t="s">
        <v>46</v>
      </c>
      <c r="P2735" t="s">
        <v>46</v>
      </c>
      <c r="Y2735" t="s">
        <v>9213</v>
      </c>
    </row>
    <row r="2736" spans="1:25">
      <c r="A2736" t="s">
        <v>9214</v>
      </c>
      <c r="B2736" t="s">
        <v>9215</v>
      </c>
      <c r="D2736" t="s">
        <v>40</v>
      </c>
      <c r="E2736" t="s">
        <v>41</v>
      </c>
      <c r="J2736" t="s">
        <v>182</v>
      </c>
      <c r="K2736" t="s">
        <v>183</v>
      </c>
      <c r="L2736">
        <v>10</v>
      </c>
      <c r="M2736" t="s">
        <v>9203</v>
      </c>
      <c r="N2736" t="s">
        <v>64</v>
      </c>
      <c r="O2736" t="s">
        <v>46</v>
      </c>
      <c r="P2736" t="s">
        <v>46</v>
      </c>
      <c r="Y2736" t="s">
        <v>9216</v>
      </c>
    </row>
    <row r="2737" spans="1:25">
      <c r="A2737" t="s">
        <v>9217</v>
      </c>
      <c r="B2737" t="s">
        <v>9218</v>
      </c>
      <c r="D2737" t="s">
        <v>40</v>
      </c>
      <c r="E2737" t="s">
        <v>41</v>
      </c>
      <c r="J2737" t="s">
        <v>42</v>
      </c>
      <c r="K2737" t="s">
        <v>43</v>
      </c>
      <c r="L2737">
        <v>10</v>
      </c>
      <c r="M2737" t="s">
        <v>9219</v>
      </c>
      <c r="N2737" t="s">
        <v>1047</v>
      </c>
      <c r="O2737" t="s">
        <v>46</v>
      </c>
      <c r="P2737" t="s">
        <v>46</v>
      </c>
      <c r="Y2737" t="s">
        <v>9220</v>
      </c>
    </row>
    <row r="2738" spans="1:25">
      <c r="A2738" t="s">
        <v>9221</v>
      </c>
      <c r="B2738" t="s">
        <v>9222</v>
      </c>
      <c r="D2738" t="s">
        <v>40</v>
      </c>
      <c r="E2738" t="s">
        <v>41</v>
      </c>
      <c r="J2738" t="s">
        <v>42</v>
      </c>
      <c r="K2738" t="s">
        <v>43</v>
      </c>
      <c r="L2738">
        <v>10</v>
      </c>
      <c r="M2738" t="s">
        <v>9219</v>
      </c>
      <c r="N2738" t="s">
        <v>2154</v>
      </c>
      <c r="O2738" t="s">
        <v>46</v>
      </c>
      <c r="P2738" t="s">
        <v>46</v>
      </c>
      <c r="Y2738" t="s">
        <v>9223</v>
      </c>
    </row>
    <row r="2739" spans="1:25">
      <c r="A2739" t="s">
        <v>9224</v>
      </c>
      <c r="B2739" t="s">
        <v>9225</v>
      </c>
      <c r="D2739" t="s">
        <v>40</v>
      </c>
      <c r="E2739" t="s">
        <v>41</v>
      </c>
      <c r="J2739" t="s">
        <v>68</v>
      </c>
      <c r="K2739" t="s">
        <v>69</v>
      </c>
      <c r="L2739">
        <v>10</v>
      </c>
      <c r="M2739" t="s">
        <v>9226</v>
      </c>
      <c r="N2739" t="s">
        <v>64</v>
      </c>
      <c r="O2739" t="s">
        <v>46</v>
      </c>
      <c r="P2739" t="s">
        <v>46</v>
      </c>
      <c r="Y2739" t="s">
        <v>9227</v>
      </c>
    </row>
    <row r="2740" spans="1:25">
      <c r="A2740" t="s">
        <v>9228</v>
      </c>
      <c r="B2740" t="s">
        <v>9229</v>
      </c>
      <c r="D2740" t="s">
        <v>40</v>
      </c>
      <c r="E2740" t="s">
        <v>41</v>
      </c>
      <c r="J2740" t="s">
        <v>76</v>
      </c>
      <c r="K2740" t="s">
        <v>77</v>
      </c>
      <c r="L2740">
        <v>10</v>
      </c>
      <c r="M2740" t="s">
        <v>9226</v>
      </c>
      <c r="N2740" t="s">
        <v>64</v>
      </c>
      <c r="O2740" t="s">
        <v>46</v>
      </c>
      <c r="P2740" t="s">
        <v>46</v>
      </c>
      <c r="Y2740" t="s">
        <v>9230</v>
      </c>
    </row>
    <row r="2741" spans="1:25">
      <c r="A2741" t="s">
        <v>9231</v>
      </c>
      <c r="B2741" t="s">
        <v>9232</v>
      </c>
      <c r="D2741" t="s">
        <v>40</v>
      </c>
      <c r="E2741" t="s">
        <v>41</v>
      </c>
      <c r="J2741" t="s">
        <v>182</v>
      </c>
      <c r="K2741" t="s">
        <v>183</v>
      </c>
      <c r="L2741">
        <v>10</v>
      </c>
      <c r="M2741" t="s">
        <v>9233</v>
      </c>
      <c r="N2741" t="s">
        <v>64</v>
      </c>
      <c r="O2741" t="s">
        <v>46</v>
      </c>
      <c r="P2741" t="s">
        <v>46</v>
      </c>
      <c r="Y2741" t="s">
        <v>9234</v>
      </c>
    </row>
    <row r="2742" spans="1:25">
      <c r="A2742" t="s">
        <v>9235</v>
      </c>
      <c r="B2742" t="s">
        <v>9236</v>
      </c>
      <c r="D2742" t="s">
        <v>40</v>
      </c>
      <c r="E2742" t="s">
        <v>41</v>
      </c>
      <c r="J2742" t="s">
        <v>68</v>
      </c>
      <c r="K2742" t="s">
        <v>69</v>
      </c>
      <c r="L2742">
        <v>10</v>
      </c>
      <c r="M2742" t="s">
        <v>9233</v>
      </c>
      <c r="N2742" t="s">
        <v>64</v>
      </c>
      <c r="O2742" t="s">
        <v>46</v>
      </c>
      <c r="P2742" t="s">
        <v>46</v>
      </c>
      <c r="Y2742" t="s">
        <v>9237</v>
      </c>
    </row>
    <row r="2743" spans="1:25">
      <c r="A2743" t="s">
        <v>9238</v>
      </c>
      <c r="B2743" t="s">
        <v>9239</v>
      </c>
      <c r="D2743" t="s">
        <v>40</v>
      </c>
      <c r="E2743" t="s">
        <v>41</v>
      </c>
      <c r="J2743" t="s">
        <v>139</v>
      </c>
      <c r="K2743" t="s">
        <v>140</v>
      </c>
      <c r="L2743">
        <v>10</v>
      </c>
      <c r="M2743" t="s">
        <v>9233</v>
      </c>
      <c r="N2743" t="s">
        <v>741</v>
      </c>
      <c r="O2743" t="s">
        <v>46</v>
      </c>
      <c r="P2743" t="s">
        <v>46</v>
      </c>
      <c r="Y2743" t="s">
        <v>9240</v>
      </c>
    </row>
    <row r="2744" spans="1:25">
      <c r="A2744" t="s">
        <v>9241</v>
      </c>
      <c r="B2744" t="s">
        <v>9242</v>
      </c>
      <c r="D2744" t="s">
        <v>40</v>
      </c>
      <c r="E2744" t="s">
        <v>41</v>
      </c>
      <c r="J2744" t="s">
        <v>182</v>
      </c>
      <c r="K2744" t="s">
        <v>183</v>
      </c>
      <c r="L2744">
        <v>10</v>
      </c>
      <c r="M2744" t="s">
        <v>9233</v>
      </c>
      <c r="N2744" t="s">
        <v>64</v>
      </c>
      <c r="O2744" t="s">
        <v>46</v>
      </c>
      <c r="P2744" t="s">
        <v>46</v>
      </c>
      <c r="Y2744" t="s">
        <v>9243</v>
      </c>
    </row>
    <row r="2745" spans="1:25">
      <c r="A2745" t="s">
        <v>9244</v>
      </c>
      <c r="B2745" t="s">
        <v>9245</v>
      </c>
      <c r="D2745" t="s">
        <v>40</v>
      </c>
      <c r="E2745" t="s">
        <v>41</v>
      </c>
      <c r="J2745" t="s">
        <v>76</v>
      </c>
      <c r="K2745" t="s">
        <v>77</v>
      </c>
      <c r="L2745">
        <v>10</v>
      </c>
      <c r="M2745" t="s">
        <v>9233</v>
      </c>
      <c r="N2745" t="s">
        <v>64</v>
      </c>
      <c r="O2745" t="s">
        <v>46</v>
      </c>
      <c r="P2745" t="s">
        <v>46</v>
      </c>
      <c r="Y2745" t="s">
        <v>9246</v>
      </c>
    </row>
    <row r="2746" spans="1:25">
      <c r="A2746" t="s">
        <v>9247</v>
      </c>
      <c r="B2746" t="s">
        <v>9248</v>
      </c>
      <c r="D2746" t="s">
        <v>40</v>
      </c>
      <c r="E2746" t="s">
        <v>41</v>
      </c>
      <c r="J2746" t="s">
        <v>42</v>
      </c>
      <c r="K2746" t="s">
        <v>43</v>
      </c>
      <c r="L2746">
        <v>10</v>
      </c>
      <c r="M2746" t="s">
        <v>9249</v>
      </c>
      <c r="N2746" t="s">
        <v>218</v>
      </c>
      <c r="O2746" t="s">
        <v>46</v>
      </c>
      <c r="P2746" t="s">
        <v>46</v>
      </c>
      <c r="Y2746" t="s">
        <v>9250</v>
      </c>
    </row>
    <row r="2747" spans="1:25">
      <c r="A2747" t="s">
        <v>9251</v>
      </c>
      <c r="B2747" t="s">
        <v>9252</v>
      </c>
      <c r="D2747" t="s">
        <v>40</v>
      </c>
      <c r="E2747" t="s">
        <v>41</v>
      </c>
      <c r="J2747" t="s">
        <v>68</v>
      </c>
      <c r="K2747" t="s">
        <v>69</v>
      </c>
      <c r="L2747">
        <v>10</v>
      </c>
      <c r="M2747" t="s">
        <v>9249</v>
      </c>
      <c r="N2747" t="s">
        <v>64</v>
      </c>
      <c r="O2747" t="s">
        <v>46</v>
      </c>
      <c r="P2747" t="s">
        <v>46</v>
      </c>
      <c r="Y2747" t="s">
        <v>9253</v>
      </c>
    </row>
    <row r="2748" spans="1:25">
      <c r="A2748" t="s">
        <v>9254</v>
      </c>
      <c r="B2748" t="s">
        <v>9255</v>
      </c>
      <c r="D2748" t="s">
        <v>40</v>
      </c>
      <c r="E2748" t="s">
        <v>41</v>
      </c>
      <c r="J2748" t="s">
        <v>76</v>
      </c>
      <c r="K2748" t="s">
        <v>77</v>
      </c>
      <c r="L2748">
        <v>10</v>
      </c>
      <c r="M2748" t="s">
        <v>9249</v>
      </c>
      <c r="N2748" t="s">
        <v>64</v>
      </c>
      <c r="O2748" t="s">
        <v>46</v>
      </c>
      <c r="P2748" t="s">
        <v>46</v>
      </c>
      <c r="Y2748" t="s">
        <v>9256</v>
      </c>
    </row>
    <row r="2749" spans="1:25">
      <c r="A2749" t="s">
        <v>9257</v>
      </c>
      <c r="B2749" t="s">
        <v>9258</v>
      </c>
      <c r="D2749" t="s">
        <v>40</v>
      </c>
      <c r="E2749" t="s">
        <v>41</v>
      </c>
      <c r="J2749" t="s">
        <v>182</v>
      </c>
      <c r="K2749" t="s">
        <v>183</v>
      </c>
      <c r="L2749">
        <v>10</v>
      </c>
      <c r="M2749" t="s">
        <v>9259</v>
      </c>
      <c r="N2749" t="s">
        <v>64</v>
      </c>
      <c r="O2749" t="s">
        <v>46</v>
      </c>
      <c r="P2749" t="s">
        <v>46</v>
      </c>
      <c r="Y2749" t="s">
        <v>9260</v>
      </c>
    </row>
    <row r="2750" spans="1:25">
      <c r="A2750" t="s">
        <v>9261</v>
      </c>
      <c r="B2750" t="s">
        <v>9262</v>
      </c>
      <c r="D2750" t="s">
        <v>40</v>
      </c>
      <c r="E2750" t="s">
        <v>41</v>
      </c>
      <c r="J2750" t="s">
        <v>76</v>
      </c>
      <c r="K2750" t="s">
        <v>77</v>
      </c>
      <c r="L2750">
        <v>10</v>
      </c>
      <c r="M2750" t="s">
        <v>9263</v>
      </c>
      <c r="N2750" t="s">
        <v>64</v>
      </c>
      <c r="O2750" t="s">
        <v>46</v>
      </c>
      <c r="P2750" t="s">
        <v>46</v>
      </c>
      <c r="Y2750" t="s">
        <v>9264</v>
      </c>
    </row>
    <row r="2751" spans="1:25">
      <c r="A2751" t="s">
        <v>9265</v>
      </c>
      <c r="B2751" t="s">
        <v>9266</v>
      </c>
      <c r="D2751" t="s">
        <v>40</v>
      </c>
      <c r="E2751" t="s">
        <v>41</v>
      </c>
      <c r="J2751" t="s">
        <v>182</v>
      </c>
      <c r="K2751" t="s">
        <v>183</v>
      </c>
      <c r="L2751">
        <v>10</v>
      </c>
      <c r="M2751" t="s">
        <v>9263</v>
      </c>
      <c r="N2751" t="s">
        <v>64</v>
      </c>
      <c r="O2751" t="s">
        <v>46</v>
      </c>
      <c r="P2751" t="s">
        <v>46</v>
      </c>
      <c r="Y2751" t="s">
        <v>9267</v>
      </c>
    </row>
    <row r="2752" spans="1:25">
      <c r="A2752" t="s">
        <v>9268</v>
      </c>
      <c r="B2752" t="s">
        <v>9269</v>
      </c>
      <c r="D2752" t="s">
        <v>40</v>
      </c>
      <c r="E2752" t="s">
        <v>41</v>
      </c>
      <c r="J2752" t="s">
        <v>62</v>
      </c>
      <c r="K2752" t="s">
        <v>63</v>
      </c>
      <c r="L2752">
        <v>10</v>
      </c>
      <c r="M2752" t="s">
        <v>9270</v>
      </c>
      <c r="N2752" t="s">
        <v>64</v>
      </c>
      <c r="O2752" t="s">
        <v>46</v>
      </c>
      <c r="P2752" t="s">
        <v>46</v>
      </c>
      <c r="Y2752" t="s">
        <v>9271</v>
      </c>
    </row>
    <row r="2753" spans="1:25">
      <c r="A2753" t="s">
        <v>9272</v>
      </c>
      <c r="B2753" t="s">
        <v>9273</v>
      </c>
      <c r="D2753" t="s">
        <v>40</v>
      </c>
      <c r="E2753" t="s">
        <v>41</v>
      </c>
      <c r="J2753" t="s">
        <v>6255</v>
      </c>
      <c r="K2753" t="s">
        <v>6256</v>
      </c>
      <c r="L2753">
        <v>10</v>
      </c>
      <c r="M2753" t="s">
        <v>9274</v>
      </c>
      <c r="N2753" t="s">
        <v>1189</v>
      </c>
      <c r="O2753" t="s">
        <v>46</v>
      </c>
      <c r="P2753" t="s">
        <v>46</v>
      </c>
      <c r="Y2753" t="s">
        <v>9275</v>
      </c>
    </row>
    <row r="2754" spans="1:25">
      <c r="A2754" t="s">
        <v>9276</v>
      </c>
      <c r="B2754" t="s">
        <v>9277</v>
      </c>
      <c r="D2754" t="s">
        <v>40</v>
      </c>
      <c r="E2754" t="s">
        <v>41</v>
      </c>
      <c r="J2754" t="s">
        <v>182</v>
      </c>
      <c r="K2754" t="s">
        <v>183</v>
      </c>
      <c r="L2754">
        <v>10</v>
      </c>
      <c r="M2754" t="s">
        <v>9274</v>
      </c>
      <c r="N2754" t="s">
        <v>64</v>
      </c>
      <c r="O2754" t="s">
        <v>46</v>
      </c>
      <c r="P2754" t="s">
        <v>46</v>
      </c>
      <c r="Y2754" t="s">
        <v>9278</v>
      </c>
    </row>
    <row r="2755" spans="1:25">
      <c r="A2755" t="s">
        <v>9279</v>
      </c>
      <c r="B2755" t="s">
        <v>9280</v>
      </c>
      <c r="D2755" t="s">
        <v>40</v>
      </c>
      <c r="E2755" t="s">
        <v>41</v>
      </c>
      <c r="J2755" t="s">
        <v>68</v>
      </c>
      <c r="K2755" t="s">
        <v>69</v>
      </c>
      <c r="L2755">
        <v>10</v>
      </c>
      <c r="M2755" t="s">
        <v>9274</v>
      </c>
      <c r="N2755" t="s">
        <v>64</v>
      </c>
      <c r="O2755" t="s">
        <v>46</v>
      </c>
      <c r="P2755" t="s">
        <v>46</v>
      </c>
      <c r="Y2755" t="s">
        <v>9281</v>
      </c>
    </row>
    <row r="2756" spans="1:25">
      <c r="A2756" t="s">
        <v>9282</v>
      </c>
      <c r="B2756" t="s">
        <v>9283</v>
      </c>
      <c r="D2756" t="s">
        <v>40</v>
      </c>
      <c r="E2756" t="s">
        <v>41</v>
      </c>
      <c r="J2756" t="s">
        <v>76</v>
      </c>
      <c r="K2756" t="s">
        <v>77</v>
      </c>
      <c r="L2756">
        <v>10</v>
      </c>
      <c r="M2756" t="s">
        <v>9274</v>
      </c>
      <c r="N2756" t="s">
        <v>64</v>
      </c>
      <c r="O2756" t="s">
        <v>46</v>
      </c>
      <c r="P2756" t="s">
        <v>46</v>
      </c>
      <c r="Y2756" t="s">
        <v>9284</v>
      </c>
    </row>
    <row r="2757" spans="1:25">
      <c r="A2757" t="s">
        <v>9285</v>
      </c>
      <c r="B2757" t="s">
        <v>9286</v>
      </c>
      <c r="D2757" t="s">
        <v>40</v>
      </c>
      <c r="E2757" t="s">
        <v>41</v>
      </c>
      <c r="J2757" t="s">
        <v>42</v>
      </c>
      <c r="K2757" t="s">
        <v>43</v>
      </c>
      <c r="L2757">
        <v>10</v>
      </c>
      <c r="M2757" t="s">
        <v>9274</v>
      </c>
      <c r="N2757" t="s">
        <v>305</v>
      </c>
      <c r="O2757" t="s">
        <v>46</v>
      </c>
      <c r="P2757" t="s">
        <v>46</v>
      </c>
      <c r="Y2757" t="s">
        <v>9287</v>
      </c>
    </row>
    <row r="2758" spans="1:25">
      <c r="A2758" t="s">
        <v>9288</v>
      </c>
      <c r="B2758" t="s">
        <v>9289</v>
      </c>
      <c r="D2758" t="s">
        <v>40</v>
      </c>
      <c r="E2758" t="s">
        <v>41</v>
      </c>
      <c r="J2758" t="s">
        <v>182</v>
      </c>
      <c r="K2758" t="s">
        <v>183</v>
      </c>
      <c r="L2758">
        <v>10</v>
      </c>
      <c r="M2758" t="s">
        <v>9274</v>
      </c>
      <c r="N2758" t="s">
        <v>64</v>
      </c>
      <c r="O2758" t="s">
        <v>46</v>
      </c>
      <c r="P2758" t="s">
        <v>46</v>
      </c>
      <c r="Y2758" t="s">
        <v>9290</v>
      </c>
    </row>
    <row r="2759" spans="1:25">
      <c r="A2759" t="s">
        <v>9291</v>
      </c>
      <c r="B2759" t="s">
        <v>9292</v>
      </c>
      <c r="D2759" t="s">
        <v>40</v>
      </c>
      <c r="E2759" t="s">
        <v>41</v>
      </c>
      <c r="J2759" t="s">
        <v>182</v>
      </c>
      <c r="K2759" t="s">
        <v>183</v>
      </c>
      <c r="L2759">
        <v>10</v>
      </c>
      <c r="M2759" t="s">
        <v>9274</v>
      </c>
      <c r="N2759" t="s">
        <v>64</v>
      </c>
      <c r="O2759" t="s">
        <v>46</v>
      </c>
      <c r="P2759" t="s">
        <v>46</v>
      </c>
      <c r="Y2759" t="s">
        <v>9293</v>
      </c>
    </row>
    <row r="2760" spans="1:25">
      <c r="A2760" t="s">
        <v>9294</v>
      </c>
      <c r="B2760" t="s">
        <v>9295</v>
      </c>
      <c r="D2760" t="s">
        <v>40</v>
      </c>
      <c r="E2760" t="s">
        <v>41</v>
      </c>
      <c r="J2760" t="s">
        <v>1338</v>
      </c>
      <c r="K2760" t="s">
        <v>1339</v>
      </c>
      <c r="L2760">
        <v>10</v>
      </c>
      <c r="M2760" t="s">
        <v>9274</v>
      </c>
      <c r="N2760" t="s">
        <v>45</v>
      </c>
      <c r="O2760" t="s">
        <v>46</v>
      </c>
      <c r="P2760" t="s">
        <v>46</v>
      </c>
      <c r="Y2760" t="s">
        <v>9296</v>
      </c>
    </row>
    <row r="2761" spans="1:25">
      <c r="A2761" t="s">
        <v>9297</v>
      </c>
      <c r="B2761" t="s">
        <v>9298</v>
      </c>
      <c r="D2761" t="s">
        <v>40</v>
      </c>
      <c r="E2761" t="s">
        <v>41</v>
      </c>
      <c r="J2761" t="s">
        <v>62</v>
      </c>
      <c r="K2761" t="s">
        <v>63</v>
      </c>
      <c r="L2761">
        <v>10</v>
      </c>
      <c r="M2761" t="s">
        <v>9299</v>
      </c>
      <c r="N2761" t="s">
        <v>64</v>
      </c>
      <c r="O2761" t="s">
        <v>46</v>
      </c>
      <c r="P2761" t="s">
        <v>46</v>
      </c>
      <c r="Y2761" t="s">
        <v>9300</v>
      </c>
    </row>
    <row r="2762" spans="1:25">
      <c r="A2762" t="s">
        <v>9301</v>
      </c>
      <c r="B2762" t="s">
        <v>9302</v>
      </c>
      <c r="D2762" t="s">
        <v>40</v>
      </c>
      <c r="E2762" t="s">
        <v>41</v>
      </c>
      <c r="J2762" t="s">
        <v>182</v>
      </c>
      <c r="K2762" t="s">
        <v>183</v>
      </c>
      <c r="L2762">
        <v>10</v>
      </c>
      <c r="M2762" t="s">
        <v>9299</v>
      </c>
      <c r="N2762" t="s">
        <v>64</v>
      </c>
      <c r="O2762" t="s">
        <v>46</v>
      </c>
      <c r="P2762" t="s">
        <v>46</v>
      </c>
      <c r="Y2762" t="s">
        <v>9303</v>
      </c>
    </row>
    <row r="2763" spans="1:25">
      <c r="A2763" t="s">
        <v>9304</v>
      </c>
      <c r="B2763" t="s">
        <v>9305</v>
      </c>
      <c r="D2763" t="s">
        <v>40</v>
      </c>
      <c r="E2763" t="s">
        <v>41</v>
      </c>
      <c r="J2763" t="s">
        <v>76</v>
      </c>
      <c r="K2763" t="s">
        <v>77</v>
      </c>
      <c r="L2763">
        <v>10</v>
      </c>
      <c r="M2763" t="s">
        <v>9299</v>
      </c>
      <c r="N2763" t="s">
        <v>64</v>
      </c>
      <c r="O2763" t="s">
        <v>46</v>
      </c>
      <c r="P2763" t="s">
        <v>46</v>
      </c>
      <c r="Y2763" t="s">
        <v>9306</v>
      </c>
    </row>
    <row r="2764" spans="1:25">
      <c r="A2764" t="s">
        <v>9307</v>
      </c>
      <c r="B2764" t="s">
        <v>9308</v>
      </c>
      <c r="D2764" t="s">
        <v>40</v>
      </c>
      <c r="E2764" t="s">
        <v>41</v>
      </c>
      <c r="J2764" t="s">
        <v>182</v>
      </c>
      <c r="K2764" t="s">
        <v>183</v>
      </c>
      <c r="L2764">
        <v>10</v>
      </c>
      <c r="M2764" t="s">
        <v>9299</v>
      </c>
      <c r="N2764" t="s">
        <v>64</v>
      </c>
      <c r="O2764" t="s">
        <v>46</v>
      </c>
      <c r="P2764" t="s">
        <v>46</v>
      </c>
      <c r="Y2764" t="s">
        <v>9309</v>
      </c>
    </row>
    <row r="2765" spans="1:25">
      <c r="A2765" t="s">
        <v>9310</v>
      </c>
      <c r="B2765" t="s">
        <v>9311</v>
      </c>
      <c r="D2765" t="s">
        <v>40</v>
      </c>
      <c r="E2765" t="s">
        <v>41</v>
      </c>
      <c r="J2765" t="s">
        <v>76</v>
      </c>
      <c r="K2765" t="s">
        <v>77</v>
      </c>
      <c r="L2765">
        <v>10</v>
      </c>
      <c r="M2765" t="s">
        <v>9312</v>
      </c>
      <c r="N2765" t="s">
        <v>64</v>
      </c>
      <c r="O2765" t="s">
        <v>46</v>
      </c>
      <c r="P2765" t="s">
        <v>46</v>
      </c>
      <c r="Y2765" t="s">
        <v>9313</v>
      </c>
    </row>
    <row r="2766" spans="1:25">
      <c r="A2766" t="s">
        <v>9314</v>
      </c>
      <c r="B2766" t="s">
        <v>9315</v>
      </c>
      <c r="D2766" t="s">
        <v>40</v>
      </c>
      <c r="E2766" t="s">
        <v>41</v>
      </c>
      <c r="J2766" t="s">
        <v>1338</v>
      </c>
      <c r="K2766" t="s">
        <v>1339</v>
      </c>
      <c r="L2766">
        <v>10</v>
      </c>
      <c r="M2766" t="s">
        <v>9316</v>
      </c>
      <c r="N2766" t="s">
        <v>2154</v>
      </c>
      <c r="O2766" t="s">
        <v>46</v>
      </c>
      <c r="P2766" t="s">
        <v>46</v>
      </c>
      <c r="Y2766" t="s">
        <v>9317</v>
      </c>
    </row>
    <row r="2767" spans="1:25">
      <c r="A2767" t="s">
        <v>9318</v>
      </c>
      <c r="B2767" t="s">
        <v>9319</v>
      </c>
      <c r="D2767" t="s">
        <v>40</v>
      </c>
      <c r="E2767" t="s">
        <v>41</v>
      </c>
      <c r="J2767" t="s">
        <v>182</v>
      </c>
      <c r="K2767" t="s">
        <v>183</v>
      </c>
      <c r="L2767">
        <v>10</v>
      </c>
      <c r="M2767" t="s">
        <v>9316</v>
      </c>
      <c r="N2767" t="s">
        <v>64</v>
      </c>
      <c r="O2767" t="s">
        <v>46</v>
      </c>
      <c r="P2767" t="s">
        <v>46</v>
      </c>
      <c r="Y2767" t="s">
        <v>9320</v>
      </c>
    </row>
    <row r="2768" spans="1:25">
      <c r="A2768" t="s">
        <v>9321</v>
      </c>
      <c r="B2768" t="s">
        <v>9322</v>
      </c>
      <c r="D2768" t="s">
        <v>40</v>
      </c>
      <c r="E2768" t="s">
        <v>41</v>
      </c>
      <c r="J2768" t="s">
        <v>182</v>
      </c>
      <c r="K2768" t="s">
        <v>183</v>
      </c>
      <c r="L2768">
        <v>10</v>
      </c>
      <c r="M2768" t="s">
        <v>9316</v>
      </c>
      <c r="N2768" t="s">
        <v>64</v>
      </c>
      <c r="O2768" t="s">
        <v>46</v>
      </c>
      <c r="P2768" t="s">
        <v>46</v>
      </c>
      <c r="Y2768" t="s">
        <v>9323</v>
      </c>
    </row>
    <row r="2769" spans="1:25">
      <c r="A2769" t="s">
        <v>9324</v>
      </c>
      <c r="B2769" t="s">
        <v>9325</v>
      </c>
      <c r="D2769" t="s">
        <v>40</v>
      </c>
      <c r="E2769" t="s">
        <v>41</v>
      </c>
      <c r="J2769" t="s">
        <v>76</v>
      </c>
      <c r="K2769" t="s">
        <v>77</v>
      </c>
      <c r="L2769">
        <v>10</v>
      </c>
      <c r="M2769" t="s">
        <v>9326</v>
      </c>
      <c r="N2769" t="s">
        <v>64</v>
      </c>
      <c r="O2769" t="s">
        <v>46</v>
      </c>
      <c r="P2769" t="s">
        <v>46</v>
      </c>
      <c r="Y2769" t="s">
        <v>9327</v>
      </c>
    </row>
    <row r="2770" spans="1:25">
      <c r="A2770" t="s">
        <v>9328</v>
      </c>
      <c r="B2770" t="s">
        <v>9329</v>
      </c>
      <c r="D2770" t="s">
        <v>40</v>
      </c>
      <c r="E2770" t="s">
        <v>41</v>
      </c>
      <c r="J2770" t="s">
        <v>182</v>
      </c>
      <c r="K2770" t="s">
        <v>183</v>
      </c>
      <c r="L2770">
        <v>10</v>
      </c>
      <c r="M2770" t="s">
        <v>9326</v>
      </c>
      <c r="N2770" t="s">
        <v>64</v>
      </c>
      <c r="O2770" t="s">
        <v>46</v>
      </c>
      <c r="P2770" t="s">
        <v>46</v>
      </c>
      <c r="Y2770" t="s">
        <v>9330</v>
      </c>
    </row>
    <row r="2771" spans="1:25">
      <c r="A2771" t="s">
        <v>9331</v>
      </c>
      <c r="B2771" t="s">
        <v>9332</v>
      </c>
      <c r="D2771" t="s">
        <v>40</v>
      </c>
      <c r="E2771" t="s">
        <v>41</v>
      </c>
      <c r="J2771" t="s">
        <v>76</v>
      </c>
      <c r="K2771" t="s">
        <v>77</v>
      </c>
      <c r="L2771">
        <v>10</v>
      </c>
      <c r="M2771" t="s">
        <v>9333</v>
      </c>
      <c r="N2771" t="s">
        <v>64</v>
      </c>
      <c r="O2771" t="s">
        <v>46</v>
      </c>
      <c r="P2771" t="s">
        <v>46</v>
      </c>
      <c r="Y2771" t="s">
        <v>9334</v>
      </c>
    </row>
    <row r="2772" spans="1:25">
      <c r="A2772" t="s">
        <v>9335</v>
      </c>
      <c r="B2772" t="s">
        <v>9336</v>
      </c>
      <c r="D2772" t="s">
        <v>40</v>
      </c>
      <c r="E2772" t="s">
        <v>41</v>
      </c>
      <c r="J2772" t="s">
        <v>182</v>
      </c>
      <c r="K2772" t="s">
        <v>183</v>
      </c>
      <c r="L2772">
        <v>10</v>
      </c>
      <c r="M2772" t="s">
        <v>9333</v>
      </c>
      <c r="N2772" t="s">
        <v>64</v>
      </c>
      <c r="O2772" t="s">
        <v>46</v>
      </c>
      <c r="P2772" t="s">
        <v>46</v>
      </c>
      <c r="Y2772" t="s">
        <v>9337</v>
      </c>
    </row>
    <row r="2773" spans="1:25">
      <c r="A2773" t="s">
        <v>9338</v>
      </c>
      <c r="B2773" t="s">
        <v>9339</v>
      </c>
      <c r="D2773" t="s">
        <v>40</v>
      </c>
      <c r="E2773" t="s">
        <v>41</v>
      </c>
      <c r="J2773" t="s">
        <v>76</v>
      </c>
      <c r="K2773" t="s">
        <v>77</v>
      </c>
      <c r="L2773">
        <v>10</v>
      </c>
      <c r="M2773" t="s">
        <v>9340</v>
      </c>
      <c r="N2773" t="s">
        <v>64</v>
      </c>
      <c r="O2773" t="s">
        <v>46</v>
      </c>
      <c r="P2773" t="s">
        <v>46</v>
      </c>
      <c r="Y2773" t="s">
        <v>9341</v>
      </c>
    </row>
    <row r="2774" spans="1:25">
      <c r="A2774" t="s">
        <v>9342</v>
      </c>
      <c r="B2774" t="s">
        <v>9343</v>
      </c>
      <c r="D2774" t="s">
        <v>40</v>
      </c>
      <c r="E2774" t="s">
        <v>41</v>
      </c>
      <c r="J2774" t="s">
        <v>76</v>
      </c>
      <c r="K2774" t="s">
        <v>77</v>
      </c>
      <c r="L2774">
        <v>10</v>
      </c>
      <c r="M2774" t="s">
        <v>9340</v>
      </c>
      <c r="N2774" t="s">
        <v>64</v>
      </c>
      <c r="O2774" t="s">
        <v>46</v>
      </c>
      <c r="P2774" t="s">
        <v>46</v>
      </c>
      <c r="Y2774" t="s">
        <v>9344</v>
      </c>
    </row>
    <row r="2775" spans="1:25">
      <c r="A2775" t="s">
        <v>9345</v>
      </c>
      <c r="B2775" t="s">
        <v>9346</v>
      </c>
      <c r="D2775" t="s">
        <v>40</v>
      </c>
      <c r="E2775" t="s">
        <v>41</v>
      </c>
      <c r="J2775" t="s">
        <v>182</v>
      </c>
      <c r="K2775" t="s">
        <v>183</v>
      </c>
      <c r="L2775">
        <v>10</v>
      </c>
      <c r="M2775" t="s">
        <v>9340</v>
      </c>
      <c r="N2775" t="s">
        <v>64</v>
      </c>
      <c r="O2775" t="s">
        <v>46</v>
      </c>
      <c r="P2775" t="s">
        <v>46</v>
      </c>
      <c r="Y2775" t="s">
        <v>9347</v>
      </c>
    </row>
    <row r="2776" spans="1:25">
      <c r="A2776" t="s">
        <v>9348</v>
      </c>
      <c r="B2776" t="s">
        <v>9349</v>
      </c>
      <c r="D2776" t="s">
        <v>40</v>
      </c>
      <c r="E2776" t="s">
        <v>41</v>
      </c>
      <c r="J2776" t="s">
        <v>76</v>
      </c>
      <c r="K2776" t="s">
        <v>77</v>
      </c>
      <c r="L2776">
        <v>10</v>
      </c>
      <c r="M2776" t="s">
        <v>9340</v>
      </c>
      <c r="N2776" t="s">
        <v>64</v>
      </c>
      <c r="O2776" t="s">
        <v>46</v>
      </c>
      <c r="P2776" t="s">
        <v>46</v>
      </c>
      <c r="Y2776" t="s">
        <v>9350</v>
      </c>
    </row>
    <row r="2777" spans="1:25">
      <c r="A2777" t="s">
        <v>9351</v>
      </c>
      <c r="B2777" t="s">
        <v>9352</v>
      </c>
      <c r="D2777" t="s">
        <v>40</v>
      </c>
      <c r="E2777" t="s">
        <v>41</v>
      </c>
      <c r="J2777" t="s">
        <v>182</v>
      </c>
      <c r="K2777" t="s">
        <v>183</v>
      </c>
      <c r="L2777">
        <v>10</v>
      </c>
      <c r="M2777" t="s">
        <v>9353</v>
      </c>
      <c r="N2777" t="s">
        <v>64</v>
      </c>
      <c r="O2777" t="s">
        <v>46</v>
      </c>
      <c r="P2777" t="s">
        <v>46</v>
      </c>
      <c r="Y2777" t="s">
        <v>9354</v>
      </c>
    </row>
    <row r="2778" spans="1:25">
      <c r="A2778" t="s">
        <v>9355</v>
      </c>
      <c r="B2778" t="s">
        <v>9356</v>
      </c>
      <c r="D2778" t="s">
        <v>40</v>
      </c>
      <c r="E2778" t="s">
        <v>41</v>
      </c>
      <c r="J2778" t="s">
        <v>76</v>
      </c>
      <c r="K2778" t="s">
        <v>77</v>
      </c>
      <c r="L2778">
        <v>10</v>
      </c>
      <c r="M2778" t="s">
        <v>9353</v>
      </c>
      <c r="N2778" t="s">
        <v>64</v>
      </c>
      <c r="O2778" t="s">
        <v>46</v>
      </c>
      <c r="P2778" t="s">
        <v>46</v>
      </c>
      <c r="Y2778" t="s">
        <v>9357</v>
      </c>
    </row>
    <row r="2779" spans="1:25">
      <c r="A2779" t="s">
        <v>9358</v>
      </c>
      <c r="B2779" t="s">
        <v>9359</v>
      </c>
      <c r="D2779" t="s">
        <v>40</v>
      </c>
      <c r="E2779" t="s">
        <v>41</v>
      </c>
      <c r="J2779" t="s">
        <v>182</v>
      </c>
      <c r="K2779" t="s">
        <v>183</v>
      </c>
      <c r="L2779">
        <v>10</v>
      </c>
      <c r="M2779" t="s">
        <v>9353</v>
      </c>
      <c r="N2779" t="s">
        <v>64</v>
      </c>
      <c r="O2779" t="s">
        <v>46</v>
      </c>
      <c r="P2779" t="s">
        <v>46</v>
      </c>
      <c r="Y2779" t="s">
        <v>9360</v>
      </c>
    </row>
    <row r="2780" spans="1:25">
      <c r="A2780" t="s">
        <v>9361</v>
      </c>
      <c r="B2780" t="s">
        <v>9362</v>
      </c>
      <c r="D2780" t="s">
        <v>40</v>
      </c>
      <c r="E2780" t="s">
        <v>41</v>
      </c>
      <c r="J2780" t="s">
        <v>182</v>
      </c>
      <c r="K2780" t="s">
        <v>183</v>
      </c>
      <c r="L2780">
        <v>10</v>
      </c>
      <c r="M2780" t="s">
        <v>9363</v>
      </c>
      <c r="N2780" t="s">
        <v>64</v>
      </c>
      <c r="O2780" t="s">
        <v>46</v>
      </c>
      <c r="P2780" t="s">
        <v>46</v>
      </c>
      <c r="Y2780" t="s">
        <v>9364</v>
      </c>
    </row>
    <row r="2781" spans="1:25">
      <c r="A2781" t="s">
        <v>9365</v>
      </c>
      <c r="B2781" t="s">
        <v>9366</v>
      </c>
      <c r="D2781" t="s">
        <v>40</v>
      </c>
      <c r="E2781" t="s">
        <v>41</v>
      </c>
      <c r="J2781" t="s">
        <v>288</v>
      </c>
      <c r="K2781" t="s">
        <v>289</v>
      </c>
      <c r="L2781">
        <v>10</v>
      </c>
      <c r="M2781" t="s">
        <v>9363</v>
      </c>
      <c r="N2781" t="s">
        <v>2154</v>
      </c>
      <c r="O2781" t="s">
        <v>46</v>
      </c>
      <c r="P2781" t="s">
        <v>46</v>
      </c>
      <c r="Y2781" t="s">
        <v>9367</v>
      </c>
    </row>
    <row r="2782" spans="1:25">
      <c r="A2782" t="s">
        <v>9368</v>
      </c>
      <c r="B2782" t="s">
        <v>9369</v>
      </c>
      <c r="D2782" t="s">
        <v>40</v>
      </c>
      <c r="E2782" t="s">
        <v>41</v>
      </c>
      <c r="J2782" t="s">
        <v>42</v>
      </c>
      <c r="K2782" t="s">
        <v>43</v>
      </c>
      <c r="L2782">
        <v>10</v>
      </c>
      <c r="M2782" t="s">
        <v>9363</v>
      </c>
      <c r="N2782" t="s">
        <v>218</v>
      </c>
      <c r="O2782" t="s">
        <v>46</v>
      </c>
      <c r="P2782" t="s">
        <v>46</v>
      </c>
      <c r="Y2782" t="s">
        <v>9370</v>
      </c>
    </row>
    <row r="2783" spans="1:25">
      <c r="A2783" t="s">
        <v>9371</v>
      </c>
      <c r="B2783" t="s">
        <v>9372</v>
      </c>
      <c r="D2783" t="s">
        <v>40</v>
      </c>
      <c r="E2783" t="s">
        <v>41</v>
      </c>
      <c r="J2783" t="s">
        <v>76</v>
      </c>
      <c r="K2783" t="s">
        <v>77</v>
      </c>
      <c r="L2783">
        <v>10</v>
      </c>
      <c r="M2783" t="s">
        <v>9363</v>
      </c>
      <c r="N2783" t="s">
        <v>64</v>
      </c>
      <c r="O2783" t="s">
        <v>46</v>
      </c>
      <c r="P2783" t="s">
        <v>46</v>
      </c>
      <c r="Y2783" t="s">
        <v>9373</v>
      </c>
    </row>
    <row r="2784" spans="1:25">
      <c r="A2784" t="s">
        <v>9374</v>
      </c>
      <c r="B2784" t="s">
        <v>9375</v>
      </c>
      <c r="D2784" t="s">
        <v>40</v>
      </c>
      <c r="E2784" t="s">
        <v>41</v>
      </c>
      <c r="J2784" t="s">
        <v>182</v>
      </c>
      <c r="K2784" t="s">
        <v>183</v>
      </c>
      <c r="L2784">
        <v>10</v>
      </c>
      <c r="M2784" t="s">
        <v>9363</v>
      </c>
      <c r="N2784" t="s">
        <v>64</v>
      </c>
      <c r="O2784" t="s">
        <v>46</v>
      </c>
      <c r="P2784" t="s">
        <v>46</v>
      </c>
      <c r="Y2784" t="s">
        <v>9376</v>
      </c>
    </row>
    <row r="2785" spans="1:25">
      <c r="A2785" t="s">
        <v>9377</v>
      </c>
      <c r="B2785" t="s">
        <v>9378</v>
      </c>
      <c r="D2785" t="s">
        <v>40</v>
      </c>
      <c r="E2785" t="s">
        <v>41</v>
      </c>
      <c r="J2785" t="s">
        <v>68</v>
      </c>
      <c r="K2785" t="s">
        <v>69</v>
      </c>
      <c r="L2785">
        <v>10</v>
      </c>
      <c r="M2785" t="s">
        <v>9363</v>
      </c>
      <c r="N2785" t="s">
        <v>64</v>
      </c>
      <c r="O2785" t="s">
        <v>46</v>
      </c>
      <c r="P2785" t="s">
        <v>46</v>
      </c>
      <c r="Y2785" t="s">
        <v>9379</v>
      </c>
    </row>
    <row r="2786" spans="1:25">
      <c r="A2786" t="s">
        <v>9380</v>
      </c>
      <c r="B2786" t="s">
        <v>9381</v>
      </c>
      <c r="D2786" t="s">
        <v>40</v>
      </c>
      <c r="E2786" t="s">
        <v>41</v>
      </c>
      <c r="J2786" t="s">
        <v>182</v>
      </c>
      <c r="K2786" t="s">
        <v>183</v>
      </c>
      <c r="L2786">
        <v>10</v>
      </c>
      <c r="M2786" t="s">
        <v>9382</v>
      </c>
      <c r="N2786" t="s">
        <v>64</v>
      </c>
      <c r="O2786" t="s">
        <v>46</v>
      </c>
      <c r="P2786" t="s">
        <v>46</v>
      </c>
      <c r="Y2786" t="s">
        <v>9383</v>
      </c>
    </row>
    <row r="2787" spans="1:25">
      <c r="A2787" t="s">
        <v>9384</v>
      </c>
      <c r="B2787" t="s">
        <v>9385</v>
      </c>
      <c r="D2787" t="s">
        <v>40</v>
      </c>
      <c r="E2787" t="s">
        <v>41</v>
      </c>
      <c r="J2787" t="s">
        <v>76</v>
      </c>
      <c r="K2787" t="s">
        <v>77</v>
      </c>
      <c r="L2787">
        <v>10</v>
      </c>
      <c r="M2787" t="s">
        <v>9382</v>
      </c>
      <c r="N2787" t="s">
        <v>64</v>
      </c>
      <c r="O2787" t="s">
        <v>46</v>
      </c>
      <c r="P2787" t="s">
        <v>46</v>
      </c>
      <c r="Y2787" t="s">
        <v>9386</v>
      </c>
    </row>
    <row r="2788" spans="1:25">
      <c r="A2788" t="s">
        <v>9387</v>
      </c>
      <c r="B2788" t="s">
        <v>9388</v>
      </c>
      <c r="D2788" t="s">
        <v>40</v>
      </c>
      <c r="E2788" t="s">
        <v>41</v>
      </c>
      <c r="J2788" t="s">
        <v>76</v>
      </c>
      <c r="K2788" t="s">
        <v>77</v>
      </c>
      <c r="L2788">
        <v>10</v>
      </c>
      <c r="M2788" t="s">
        <v>9382</v>
      </c>
      <c r="N2788" t="s">
        <v>64</v>
      </c>
      <c r="O2788" t="s">
        <v>46</v>
      </c>
      <c r="P2788" t="s">
        <v>46</v>
      </c>
      <c r="Y2788" t="s">
        <v>9389</v>
      </c>
    </row>
    <row r="2789" spans="1:25">
      <c r="A2789" t="s">
        <v>9390</v>
      </c>
      <c r="B2789" t="s">
        <v>9391</v>
      </c>
      <c r="D2789" t="s">
        <v>40</v>
      </c>
      <c r="E2789" t="s">
        <v>41</v>
      </c>
      <c r="J2789" t="s">
        <v>76</v>
      </c>
      <c r="K2789" t="s">
        <v>77</v>
      </c>
      <c r="L2789">
        <v>10</v>
      </c>
      <c r="M2789" t="s">
        <v>9382</v>
      </c>
      <c r="N2789" t="s">
        <v>64</v>
      </c>
      <c r="O2789" t="s">
        <v>46</v>
      </c>
      <c r="P2789" t="s">
        <v>46</v>
      </c>
      <c r="Y2789" t="s">
        <v>9392</v>
      </c>
    </row>
    <row r="2790" spans="1:25">
      <c r="A2790" t="s">
        <v>9393</v>
      </c>
      <c r="B2790" t="s">
        <v>9394</v>
      </c>
      <c r="D2790" t="s">
        <v>40</v>
      </c>
      <c r="E2790" t="s">
        <v>41</v>
      </c>
      <c r="J2790" t="s">
        <v>42</v>
      </c>
      <c r="K2790" t="s">
        <v>43</v>
      </c>
      <c r="L2790">
        <v>10</v>
      </c>
      <c r="M2790" t="s">
        <v>9382</v>
      </c>
      <c r="N2790" t="s">
        <v>1047</v>
      </c>
      <c r="O2790" t="s">
        <v>46</v>
      </c>
      <c r="P2790" t="s">
        <v>46</v>
      </c>
      <c r="Y2790" t="s">
        <v>9395</v>
      </c>
    </row>
    <row r="2791" spans="1:25">
      <c r="A2791" t="s">
        <v>9396</v>
      </c>
      <c r="B2791" t="s">
        <v>9397</v>
      </c>
      <c r="D2791" t="s">
        <v>40</v>
      </c>
      <c r="E2791" t="s">
        <v>41</v>
      </c>
      <c r="J2791" t="s">
        <v>182</v>
      </c>
      <c r="K2791" t="s">
        <v>183</v>
      </c>
      <c r="L2791">
        <v>10</v>
      </c>
      <c r="M2791" t="s">
        <v>9382</v>
      </c>
      <c r="N2791" t="s">
        <v>64</v>
      </c>
      <c r="O2791" t="s">
        <v>46</v>
      </c>
      <c r="P2791" t="s">
        <v>46</v>
      </c>
      <c r="Y2791" t="s">
        <v>9398</v>
      </c>
    </row>
    <row r="2792" spans="1:25">
      <c r="A2792" t="s">
        <v>9399</v>
      </c>
      <c r="B2792" t="s">
        <v>9400</v>
      </c>
      <c r="D2792" t="s">
        <v>40</v>
      </c>
      <c r="E2792" t="s">
        <v>41</v>
      </c>
      <c r="J2792" t="s">
        <v>76</v>
      </c>
      <c r="K2792" t="s">
        <v>77</v>
      </c>
      <c r="L2792">
        <v>10</v>
      </c>
      <c r="M2792" t="s">
        <v>9401</v>
      </c>
      <c r="N2792" t="s">
        <v>64</v>
      </c>
      <c r="O2792" t="s">
        <v>46</v>
      </c>
      <c r="P2792" t="s">
        <v>46</v>
      </c>
      <c r="Y2792" t="s">
        <v>9402</v>
      </c>
    </row>
    <row r="2793" spans="1:25">
      <c r="A2793" t="s">
        <v>9403</v>
      </c>
      <c r="B2793" t="s">
        <v>9404</v>
      </c>
      <c r="D2793" t="s">
        <v>40</v>
      </c>
      <c r="E2793" t="s">
        <v>41</v>
      </c>
      <c r="J2793" t="s">
        <v>182</v>
      </c>
      <c r="K2793" t="s">
        <v>183</v>
      </c>
      <c r="L2793">
        <v>10</v>
      </c>
      <c r="M2793" t="s">
        <v>9401</v>
      </c>
      <c r="N2793" t="s">
        <v>64</v>
      </c>
      <c r="O2793" t="s">
        <v>46</v>
      </c>
      <c r="P2793" t="s">
        <v>46</v>
      </c>
      <c r="Y2793" t="s">
        <v>9405</v>
      </c>
    </row>
    <row r="2794" spans="1:25">
      <c r="A2794" t="s">
        <v>9406</v>
      </c>
      <c r="B2794" t="s">
        <v>9407</v>
      </c>
      <c r="D2794" t="s">
        <v>40</v>
      </c>
      <c r="E2794" t="s">
        <v>41</v>
      </c>
      <c r="J2794" t="s">
        <v>76</v>
      </c>
      <c r="K2794" t="s">
        <v>77</v>
      </c>
      <c r="L2794">
        <v>10</v>
      </c>
      <c r="M2794" t="s">
        <v>9408</v>
      </c>
      <c r="N2794" t="s">
        <v>64</v>
      </c>
      <c r="O2794" t="s">
        <v>46</v>
      </c>
      <c r="P2794" t="s">
        <v>46</v>
      </c>
      <c r="Y2794" t="s">
        <v>9409</v>
      </c>
    </row>
    <row r="2795" spans="1:25">
      <c r="A2795" t="s">
        <v>9410</v>
      </c>
      <c r="B2795" t="s">
        <v>9411</v>
      </c>
      <c r="D2795" t="s">
        <v>40</v>
      </c>
      <c r="E2795" t="s">
        <v>41</v>
      </c>
      <c r="J2795" t="s">
        <v>182</v>
      </c>
      <c r="K2795" t="s">
        <v>183</v>
      </c>
      <c r="L2795">
        <v>10</v>
      </c>
      <c r="M2795" t="s">
        <v>9408</v>
      </c>
      <c r="N2795" t="s">
        <v>64</v>
      </c>
      <c r="O2795" t="s">
        <v>46</v>
      </c>
      <c r="P2795" t="s">
        <v>46</v>
      </c>
      <c r="Y2795" t="s">
        <v>9412</v>
      </c>
    </row>
    <row r="2796" spans="1:25">
      <c r="A2796" t="s">
        <v>9413</v>
      </c>
      <c r="B2796" t="s">
        <v>9414</v>
      </c>
      <c r="D2796" t="s">
        <v>40</v>
      </c>
      <c r="E2796" t="s">
        <v>41</v>
      </c>
      <c r="J2796" t="s">
        <v>42</v>
      </c>
      <c r="K2796" t="s">
        <v>43</v>
      </c>
      <c r="L2796">
        <v>10</v>
      </c>
      <c r="M2796" t="s">
        <v>9408</v>
      </c>
      <c r="N2796" t="s">
        <v>291</v>
      </c>
      <c r="O2796" t="s">
        <v>46</v>
      </c>
      <c r="P2796" t="s">
        <v>46</v>
      </c>
      <c r="Y2796" t="s">
        <v>9415</v>
      </c>
    </row>
    <row r="2797" spans="1:25">
      <c r="A2797" t="s">
        <v>9416</v>
      </c>
      <c r="B2797" t="s">
        <v>9417</v>
      </c>
      <c r="D2797" t="s">
        <v>40</v>
      </c>
      <c r="E2797" t="s">
        <v>41</v>
      </c>
      <c r="J2797" t="s">
        <v>76</v>
      </c>
      <c r="K2797" t="s">
        <v>77</v>
      </c>
      <c r="L2797">
        <v>10</v>
      </c>
      <c r="M2797" t="s">
        <v>9408</v>
      </c>
      <c r="N2797" t="s">
        <v>64</v>
      </c>
      <c r="O2797" t="s">
        <v>46</v>
      </c>
      <c r="P2797" t="s">
        <v>46</v>
      </c>
      <c r="Y2797" t="s">
        <v>9418</v>
      </c>
    </row>
    <row r="2798" spans="1:25">
      <c r="A2798" t="s">
        <v>9419</v>
      </c>
      <c r="B2798" t="s">
        <v>9420</v>
      </c>
      <c r="D2798" t="s">
        <v>40</v>
      </c>
      <c r="E2798" t="s">
        <v>41</v>
      </c>
      <c r="J2798" t="s">
        <v>182</v>
      </c>
      <c r="K2798" t="s">
        <v>183</v>
      </c>
      <c r="L2798">
        <v>10</v>
      </c>
      <c r="M2798" t="s">
        <v>9408</v>
      </c>
      <c r="N2798" t="s">
        <v>64</v>
      </c>
      <c r="O2798" t="s">
        <v>46</v>
      </c>
      <c r="P2798" t="s">
        <v>46</v>
      </c>
      <c r="Y2798" t="s">
        <v>9421</v>
      </c>
    </row>
    <row r="2799" spans="1:25">
      <c r="A2799" t="s">
        <v>9422</v>
      </c>
      <c r="B2799" t="s">
        <v>9423</v>
      </c>
      <c r="D2799" t="s">
        <v>40</v>
      </c>
      <c r="E2799" t="s">
        <v>41</v>
      </c>
      <c r="J2799" t="s">
        <v>182</v>
      </c>
      <c r="K2799" t="s">
        <v>183</v>
      </c>
      <c r="L2799">
        <v>10</v>
      </c>
      <c r="M2799" t="s">
        <v>9424</v>
      </c>
      <c r="N2799" t="s">
        <v>64</v>
      </c>
      <c r="O2799" t="s">
        <v>46</v>
      </c>
      <c r="P2799" t="s">
        <v>46</v>
      </c>
      <c r="Y2799" t="s">
        <v>9425</v>
      </c>
    </row>
    <row r="2800" spans="1:25">
      <c r="A2800" t="s">
        <v>9426</v>
      </c>
      <c r="B2800" t="s">
        <v>9427</v>
      </c>
      <c r="D2800" t="s">
        <v>40</v>
      </c>
      <c r="E2800" t="s">
        <v>41</v>
      </c>
      <c r="J2800" t="s">
        <v>76</v>
      </c>
      <c r="K2800" t="s">
        <v>77</v>
      </c>
      <c r="L2800">
        <v>10</v>
      </c>
      <c r="M2800" t="s">
        <v>9428</v>
      </c>
      <c r="N2800" t="s">
        <v>64</v>
      </c>
      <c r="O2800" t="s">
        <v>46</v>
      </c>
      <c r="P2800" t="s">
        <v>46</v>
      </c>
      <c r="Y2800" t="s">
        <v>9429</v>
      </c>
    </row>
    <row r="2801" spans="1:25">
      <c r="A2801" t="s">
        <v>9430</v>
      </c>
      <c r="B2801" t="s">
        <v>9431</v>
      </c>
      <c r="D2801" t="s">
        <v>40</v>
      </c>
      <c r="E2801" t="s">
        <v>41</v>
      </c>
      <c r="J2801" t="s">
        <v>76</v>
      </c>
      <c r="K2801" t="s">
        <v>77</v>
      </c>
      <c r="L2801">
        <v>10</v>
      </c>
      <c r="M2801" t="s">
        <v>9428</v>
      </c>
      <c r="N2801" t="s">
        <v>64</v>
      </c>
      <c r="O2801" t="s">
        <v>46</v>
      </c>
      <c r="P2801" t="s">
        <v>46</v>
      </c>
      <c r="Y2801" t="s">
        <v>9432</v>
      </c>
    </row>
    <row r="2802" spans="1:25">
      <c r="A2802" t="s">
        <v>9433</v>
      </c>
      <c r="B2802" t="s">
        <v>9434</v>
      </c>
      <c r="D2802" t="s">
        <v>40</v>
      </c>
      <c r="E2802" t="s">
        <v>41</v>
      </c>
      <c r="J2802" t="s">
        <v>182</v>
      </c>
      <c r="K2802" t="s">
        <v>183</v>
      </c>
      <c r="L2802">
        <v>10</v>
      </c>
      <c r="M2802" t="s">
        <v>9428</v>
      </c>
      <c r="N2802" t="s">
        <v>64</v>
      </c>
      <c r="O2802" t="s">
        <v>46</v>
      </c>
      <c r="P2802" t="s">
        <v>46</v>
      </c>
      <c r="Y2802" t="s">
        <v>9435</v>
      </c>
    </row>
    <row r="2803" spans="1:25">
      <c r="A2803" t="s">
        <v>9436</v>
      </c>
      <c r="B2803" t="s">
        <v>9437</v>
      </c>
      <c r="D2803" t="s">
        <v>40</v>
      </c>
      <c r="E2803" t="s">
        <v>41</v>
      </c>
      <c r="J2803" t="s">
        <v>68</v>
      </c>
      <c r="K2803" t="s">
        <v>69</v>
      </c>
      <c r="L2803">
        <v>10</v>
      </c>
      <c r="M2803" t="s">
        <v>9428</v>
      </c>
      <c r="N2803" t="s">
        <v>64</v>
      </c>
      <c r="O2803" t="s">
        <v>46</v>
      </c>
      <c r="P2803" t="s">
        <v>46</v>
      </c>
      <c r="Y2803" t="s">
        <v>9438</v>
      </c>
    </row>
    <row r="2804" spans="1:25">
      <c r="A2804" t="s">
        <v>9439</v>
      </c>
      <c r="B2804" t="s">
        <v>9440</v>
      </c>
      <c r="D2804" t="s">
        <v>40</v>
      </c>
      <c r="E2804" t="s">
        <v>41</v>
      </c>
      <c r="J2804" t="s">
        <v>182</v>
      </c>
      <c r="K2804" t="s">
        <v>183</v>
      </c>
      <c r="L2804">
        <v>10</v>
      </c>
      <c r="M2804" t="s">
        <v>9428</v>
      </c>
      <c r="N2804" t="s">
        <v>64</v>
      </c>
      <c r="O2804" t="s">
        <v>46</v>
      </c>
      <c r="P2804" t="s">
        <v>46</v>
      </c>
      <c r="Y2804" t="s">
        <v>9441</v>
      </c>
    </row>
    <row r="2805" spans="1:25">
      <c r="A2805" t="s">
        <v>9442</v>
      </c>
      <c r="B2805" t="s">
        <v>9443</v>
      </c>
      <c r="D2805" t="s">
        <v>40</v>
      </c>
      <c r="E2805" t="s">
        <v>41</v>
      </c>
      <c r="J2805" t="s">
        <v>42</v>
      </c>
      <c r="K2805" t="s">
        <v>43</v>
      </c>
      <c r="L2805">
        <v>10</v>
      </c>
      <c r="M2805" t="s">
        <v>9428</v>
      </c>
      <c r="N2805" t="s">
        <v>305</v>
      </c>
      <c r="O2805" t="s">
        <v>46</v>
      </c>
      <c r="P2805" t="s">
        <v>46</v>
      </c>
      <c r="Y2805" t="s">
        <v>9444</v>
      </c>
    </row>
    <row r="2806" spans="1:25">
      <c r="A2806" t="s">
        <v>9445</v>
      </c>
      <c r="B2806" t="s">
        <v>9446</v>
      </c>
      <c r="D2806" t="s">
        <v>40</v>
      </c>
      <c r="E2806" t="s">
        <v>41</v>
      </c>
      <c r="J2806" t="s">
        <v>68</v>
      </c>
      <c r="K2806" t="s">
        <v>69</v>
      </c>
      <c r="L2806">
        <v>10</v>
      </c>
      <c r="M2806" t="s">
        <v>9428</v>
      </c>
      <c r="N2806" t="s">
        <v>64</v>
      </c>
      <c r="O2806" t="s">
        <v>46</v>
      </c>
      <c r="P2806" t="s">
        <v>46</v>
      </c>
      <c r="Y2806" t="s">
        <v>9447</v>
      </c>
    </row>
    <row r="2807" spans="1:25">
      <c r="A2807" t="s">
        <v>9448</v>
      </c>
      <c r="B2807" t="s">
        <v>9449</v>
      </c>
      <c r="D2807" t="s">
        <v>40</v>
      </c>
      <c r="E2807" t="s">
        <v>41</v>
      </c>
      <c r="J2807" t="s">
        <v>182</v>
      </c>
      <c r="K2807" t="s">
        <v>183</v>
      </c>
      <c r="L2807">
        <v>10</v>
      </c>
      <c r="M2807" t="s">
        <v>9450</v>
      </c>
      <c r="N2807" t="s">
        <v>64</v>
      </c>
      <c r="O2807" t="s">
        <v>46</v>
      </c>
      <c r="P2807" t="s">
        <v>46</v>
      </c>
      <c r="Y2807" t="s">
        <v>9451</v>
      </c>
    </row>
    <row r="2808" spans="1:25">
      <c r="A2808" t="s">
        <v>9452</v>
      </c>
      <c r="B2808" t="s">
        <v>9453</v>
      </c>
      <c r="D2808" t="s">
        <v>40</v>
      </c>
      <c r="E2808" t="s">
        <v>41</v>
      </c>
      <c r="J2808" t="s">
        <v>182</v>
      </c>
      <c r="K2808" t="s">
        <v>183</v>
      </c>
      <c r="L2808">
        <v>10</v>
      </c>
      <c r="M2808" t="s">
        <v>9450</v>
      </c>
      <c r="N2808" t="s">
        <v>64</v>
      </c>
      <c r="O2808" t="s">
        <v>46</v>
      </c>
      <c r="P2808" t="s">
        <v>46</v>
      </c>
      <c r="Y2808" t="s">
        <v>9454</v>
      </c>
    </row>
    <row r="2809" spans="1:25">
      <c r="A2809" t="s">
        <v>9455</v>
      </c>
      <c r="B2809" t="s">
        <v>9456</v>
      </c>
      <c r="D2809" t="s">
        <v>40</v>
      </c>
      <c r="E2809" t="s">
        <v>41</v>
      </c>
      <c r="J2809" t="s">
        <v>182</v>
      </c>
      <c r="K2809" t="s">
        <v>183</v>
      </c>
      <c r="L2809">
        <v>10</v>
      </c>
      <c r="M2809" t="s">
        <v>9450</v>
      </c>
      <c r="N2809" t="s">
        <v>64</v>
      </c>
      <c r="O2809" t="s">
        <v>46</v>
      </c>
      <c r="P2809" t="s">
        <v>46</v>
      </c>
      <c r="Y2809" t="s">
        <v>9457</v>
      </c>
    </row>
    <row r="2810" spans="1:25">
      <c r="A2810" t="s">
        <v>9458</v>
      </c>
      <c r="B2810" t="s">
        <v>9459</v>
      </c>
      <c r="D2810" t="s">
        <v>40</v>
      </c>
      <c r="E2810" t="s">
        <v>41</v>
      </c>
      <c r="J2810" t="s">
        <v>76</v>
      </c>
      <c r="K2810" t="s">
        <v>77</v>
      </c>
      <c r="L2810">
        <v>10</v>
      </c>
      <c r="M2810" t="s">
        <v>9450</v>
      </c>
      <c r="N2810" t="s">
        <v>64</v>
      </c>
      <c r="O2810" t="s">
        <v>46</v>
      </c>
      <c r="P2810" t="s">
        <v>46</v>
      </c>
      <c r="Y2810" t="s">
        <v>9460</v>
      </c>
    </row>
    <row r="2811" spans="1:25">
      <c r="A2811" t="s">
        <v>9461</v>
      </c>
      <c r="B2811" t="s">
        <v>9462</v>
      </c>
      <c r="D2811" t="s">
        <v>40</v>
      </c>
      <c r="E2811" t="s">
        <v>41</v>
      </c>
      <c r="J2811" t="s">
        <v>248</v>
      </c>
      <c r="K2811" t="s">
        <v>249</v>
      </c>
      <c r="L2811">
        <v>10</v>
      </c>
      <c r="M2811" t="s">
        <v>9463</v>
      </c>
      <c r="N2811" t="s">
        <v>741</v>
      </c>
      <c r="O2811" t="s">
        <v>46</v>
      </c>
      <c r="P2811" t="s">
        <v>46</v>
      </c>
      <c r="Y2811" t="s">
        <v>9464</v>
      </c>
    </row>
    <row r="2812" spans="1:25">
      <c r="A2812" t="s">
        <v>9465</v>
      </c>
      <c r="B2812" t="s">
        <v>9466</v>
      </c>
      <c r="D2812" t="s">
        <v>40</v>
      </c>
      <c r="E2812" t="s">
        <v>41</v>
      </c>
      <c r="J2812" t="s">
        <v>68</v>
      </c>
      <c r="K2812" t="s">
        <v>69</v>
      </c>
      <c r="L2812">
        <v>10</v>
      </c>
      <c r="M2812" t="s">
        <v>9463</v>
      </c>
      <c r="N2812" t="s">
        <v>64</v>
      </c>
      <c r="O2812" t="s">
        <v>46</v>
      </c>
      <c r="P2812" t="s">
        <v>46</v>
      </c>
      <c r="Y2812" t="s">
        <v>9467</v>
      </c>
    </row>
    <row r="2813" spans="1:25">
      <c r="A2813" t="s">
        <v>9468</v>
      </c>
      <c r="B2813" t="s">
        <v>9469</v>
      </c>
      <c r="D2813" t="s">
        <v>40</v>
      </c>
      <c r="E2813" t="s">
        <v>41</v>
      </c>
      <c r="J2813" t="s">
        <v>182</v>
      </c>
      <c r="K2813" t="s">
        <v>183</v>
      </c>
      <c r="L2813">
        <v>10</v>
      </c>
      <c r="M2813" t="s">
        <v>9463</v>
      </c>
      <c r="N2813" t="s">
        <v>64</v>
      </c>
      <c r="O2813" t="s">
        <v>46</v>
      </c>
      <c r="P2813" t="s">
        <v>46</v>
      </c>
      <c r="Y2813" t="s">
        <v>9470</v>
      </c>
    </row>
    <row r="2814" spans="1:25">
      <c r="A2814" t="s">
        <v>9471</v>
      </c>
      <c r="B2814" t="s">
        <v>9472</v>
      </c>
      <c r="D2814" t="s">
        <v>40</v>
      </c>
      <c r="E2814" t="s">
        <v>41</v>
      </c>
      <c r="J2814" t="s">
        <v>76</v>
      </c>
      <c r="K2814" t="s">
        <v>77</v>
      </c>
      <c r="L2814">
        <v>10</v>
      </c>
      <c r="M2814" t="s">
        <v>9463</v>
      </c>
      <c r="N2814" t="s">
        <v>64</v>
      </c>
      <c r="O2814" t="s">
        <v>46</v>
      </c>
      <c r="P2814" t="s">
        <v>46</v>
      </c>
      <c r="Y2814" t="s">
        <v>9473</v>
      </c>
    </row>
    <row r="2815" spans="1:25">
      <c r="A2815" t="s">
        <v>9474</v>
      </c>
      <c r="B2815" t="s">
        <v>9475</v>
      </c>
      <c r="D2815" t="s">
        <v>40</v>
      </c>
      <c r="E2815" t="s">
        <v>41</v>
      </c>
      <c r="J2815" t="s">
        <v>1572</v>
      </c>
      <c r="K2815" t="s">
        <v>1573</v>
      </c>
      <c r="L2815">
        <v>10</v>
      </c>
      <c r="M2815" t="s">
        <v>9476</v>
      </c>
      <c r="N2815" t="s">
        <v>64</v>
      </c>
      <c r="O2815" t="s">
        <v>46</v>
      </c>
      <c r="P2815" t="s">
        <v>46</v>
      </c>
      <c r="Y2815" t="s">
        <v>9477</v>
      </c>
    </row>
    <row r="2816" spans="1:25">
      <c r="A2816" t="s">
        <v>9478</v>
      </c>
      <c r="B2816" t="s">
        <v>9479</v>
      </c>
      <c r="D2816" t="s">
        <v>40</v>
      </c>
      <c r="E2816" t="s">
        <v>41</v>
      </c>
      <c r="J2816" t="s">
        <v>182</v>
      </c>
      <c r="K2816" t="s">
        <v>183</v>
      </c>
      <c r="L2816">
        <v>10</v>
      </c>
      <c r="M2816" t="s">
        <v>9480</v>
      </c>
      <c r="N2816" t="s">
        <v>64</v>
      </c>
      <c r="O2816" t="s">
        <v>46</v>
      </c>
      <c r="P2816" t="s">
        <v>46</v>
      </c>
      <c r="Y2816" t="s">
        <v>9481</v>
      </c>
    </row>
    <row r="2817" spans="1:25">
      <c r="A2817" t="s">
        <v>9482</v>
      </c>
      <c r="B2817" t="s">
        <v>9483</v>
      </c>
      <c r="D2817" t="s">
        <v>40</v>
      </c>
      <c r="E2817" t="s">
        <v>41</v>
      </c>
      <c r="J2817" t="s">
        <v>76</v>
      </c>
      <c r="K2817" t="s">
        <v>77</v>
      </c>
      <c r="L2817">
        <v>10</v>
      </c>
      <c r="M2817" t="s">
        <v>9484</v>
      </c>
      <c r="N2817" t="s">
        <v>64</v>
      </c>
      <c r="O2817" t="s">
        <v>46</v>
      </c>
      <c r="P2817" t="s">
        <v>46</v>
      </c>
      <c r="Y2817" t="s">
        <v>9485</v>
      </c>
    </row>
    <row r="2818" spans="1:25">
      <c r="A2818" t="s">
        <v>9486</v>
      </c>
      <c r="B2818" t="s">
        <v>9487</v>
      </c>
      <c r="D2818" t="s">
        <v>40</v>
      </c>
      <c r="E2818" t="s">
        <v>41</v>
      </c>
      <c r="J2818" t="s">
        <v>62</v>
      </c>
      <c r="K2818" t="s">
        <v>63</v>
      </c>
      <c r="L2818">
        <v>10</v>
      </c>
      <c r="M2818" t="s">
        <v>9484</v>
      </c>
      <c r="N2818" t="s">
        <v>64</v>
      </c>
      <c r="O2818" t="s">
        <v>46</v>
      </c>
      <c r="P2818" t="s">
        <v>46</v>
      </c>
      <c r="Y2818" t="s">
        <v>9488</v>
      </c>
    </row>
    <row r="2819" spans="1:25">
      <c r="A2819" t="s">
        <v>9489</v>
      </c>
      <c r="B2819" t="s">
        <v>9490</v>
      </c>
      <c r="D2819" t="s">
        <v>40</v>
      </c>
      <c r="E2819" t="s">
        <v>41</v>
      </c>
      <c r="J2819" t="s">
        <v>139</v>
      </c>
      <c r="K2819" t="s">
        <v>140</v>
      </c>
      <c r="L2819">
        <v>10</v>
      </c>
      <c r="M2819" t="s">
        <v>9491</v>
      </c>
      <c r="N2819" t="s">
        <v>1258</v>
      </c>
      <c r="O2819" t="s">
        <v>46</v>
      </c>
      <c r="P2819" t="s">
        <v>46</v>
      </c>
      <c r="Y2819" t="s">
        <v>9492</v>
      </c>
    </row>
    <row r="2820" spans="1:25">
      <c r="A2820" t="s">
        <v>9493</v>
      </c>
      <c r="B2820" t="s">
        <v>9494</v>
      </c>
      <c r="D2820" t="s">
        <v>40</v>
      </c>
      <c r="E2820" t="s">
        <v>41</v>
      </c>
      <c r="J2820" t="s">
        <v>42</v>
      </c>
      <c r="K2820" t="s">
        <v>43</v>
      </c>
      <c r="L2820">
        <v>10</v>
      </c>
      <c r="M2820" t="s">
        <v>9491</v>
      </c>
      <c r="N2820" t="s">
        <v>1047</v>
      </c>
      <c r="O2820" t="s">
        <v>46</v>
      </c>
      <c r="P2820" t="s">
        <v>46</v>
      </c>
      <c r="Y2820" t="s">
        <v>9495</v>
      </c>
    </row>
    <row r="2821" spans="1:25">
      <c r="A2821" t="s">
        <v>9496</v>
      </c>
      <c r="B2821" t="s">
        <v>9497</v>
      </c>
      <c r="D2821" t="s">
        <v>40</v>
      </c>
      <c r="E2821" t="s">
        <v>41</v>
      </c>
      <c r="J2821" t="s">
        <v>68</v>
      </c>
      <c r="K2821" t="s">
        <v>69</v>
      </c>
      <c r="L2821">
        <v>10</v>
      </c>
      <c r="M2821" t="s">
        <v>9491</v>
      </c>
      <c r="N2821" t="s">
        <v>64</v>
      </c>
      <c r="O2821" t="s">
        <v>46</v>
      </c>
      <c r="P2821" t="s">
        <v>46</v>
      </c>
      <c r="Y2821" t="s">
        <v>9498</v>
      </c>
    </row>
    <row r="2822" spans="1:25">
      <c r="A2822" t="s">
        <v>9499</v>
      </c>
      <c r="B2822" t="s">
        <v>9500</v>
      </c>
      <c r="D2822" t="s">
        <v>40</v>
      </c>
      <c r="E2822" t="s">
        <v>41</v>
      </c>
      <c r="J2822" t="s">
        <v>68</v>
      </c>
      <c r="K2822" t="s">
        <v>69</v>
      </c>
      <c r="L2822">
        <v>10</v>
      </c>
      <c r="M2822" t="s">
        <v>9491</v>
      </c>
      <c r="N2822" t="s">
        <v>64</v>
      </c>
      <c r="O2822" t="s">
        <v>46</v>
      </c>
      <c r="P2822" t="s">
        <v>46</v>
      </c>
      <c r="Y2822" t="s">
        <v>9501</v>
      </c>
    </row>
    <row r="2823" spans="1:25">
      <c r="A2823" t="s">
        <v>9502</v>
      </c>
      <c r="B2823" t="s">
        <v>9503</v>
      </c>
      <c r="D2823" t="s">
        <v>40</v>
      </c>
      <c r="E2823" t="s">
        <v>41</v>
      </c>
      <c r="J2823" t="s">
        <v>182</v>
      </c>
      <c r="K2823" t="s">
        <v>183</v>
      </c>
      <c r="L2823">
        <v>10</v>
      </c>
      <c r="M2823" t="s">
        <v>9504</v>
      </c>
      <c r="N2823" t="s">
        <v>64</v>
      </c>
      <c r="O2823" t="s">
        <v>46</v>
      </c>
      <c r="P2823" t="s">
        <v>46</v>
      </c>
      <c r="Y2823" t="s">
        <v>9505</v>
      </c>
    </row>
    <row r="2824" spans="1:25">
      <c r="A2824" t="s">
        <v>9506</v>
      </c>
      <c r="B2824" t="s">
        <v>9507</v>
      </c>
      <c r="D2824" t="s">
        <v>40</v>
      </c>
      <c r="E2824" t="s">
        <v>41</v>
      </c>
      <c r="J2824" t="s">
        <v>42</v>
      </c>
      <c r="K2824" t="s">
        <v>43</v>
      </c>
      <c r="L2824">
        <v>10</v>
      </c>
      <c r="M2824" t="s">
        <v>9504</v>
      </c>
      <c r="N2824" t="s">
        <v>305</v>
      </c>
      <c r="O2824" t="s">
        <v>46</v>
      </c>
      <c r="P2824" t="s">
        <v>46</v>
      </c>
      <c r="Y2824" t="s">
        <v>9508</v>
      </c>
    </row>
    <row r="2825" spans="1:25">
      <c r="A2825" t="s">
        <v>9509</v>
      </c>
      <c r="B2825" t="s">
        <v>9510</v>
      </c>
      <c r="D2825" t="s">
        <v>40</v>
      </c>
      <c r="E2825" t="s">
        <v>41</v>
      </c>
      <c r="J2825" t="s">
        <v>76</v>
      </c>
      <c r="K2825" t="s">
        <v>77</v>
      </c>
      <c r="L2825">
        <v>10</v>
      </c>
      <c r="M2825" t="s">
        <v>9504</v>
      </c>
      <c r="N2825" t="s">
        <v>64</v>
      </c>
      <c r="O2825" t="s">
        <v>46</v>
      </c>
      <c r="P2825" t="s">
        <v>46</v>
      </c>
      <c r="Y2825" t="s">
        <v>9511</v>
      </c>
    </row>
    <row r="2826" spans="1:25">
      <c r="A2826" t="s">
        <v>9512</v>
      </c>
      <c r="B2826" t="s">
        <v>9513</v>
      </c>
      <c r="D2826" t="s">
        <v>40</v>
      </c>
      <c r="E2826" t="s">
        <v>41</v>
      </c>
      <c r="J2826" t="s">
        <v>68</v>
      </c>
      <c r="K2826" t="s">
        <v>69</v>
      </c>
      <c r="L2826">
        <v>10</v>
      </c>
      <c r="M2826" t="s">
        <v>9504</v>
      </c>
      <c r="N2826" t="s">
        <v>64</v>
      </c>
      <c r="O2826" t="s">
        <v>46</v>
      </c>
      <c r="P2826" t="s">
        <v>46</v>
      </c>
      <c r="Y2826" t="s">
        <v>9514</v>
      </c>
    </row>
    <row r="2827" spans="1:25">
      <c r="A2827" t="s">
        <v>9515</v>
      </c>
      <c r="B2827" t="s">
        <v>9516</v>
      </c>
      <c r="D2827" t="s">
        <v>40</v>
      </c>
      <c r="E2827" t="s">
        <v>41</v>
      </c>
      <c r="J2827" t="s">
        <v>182</v>
      </c>
      <c r="K2827" t="s">
        <v>183</v>
      </c>
      <c r="L2827">
        <v>10</v>
      </c>
      <c r="M2827" t="s">
        <v>9504</v>
      </c>
      <c r="N2827" t="s">
        <v>64</v>
      </c>
      <c r="O2827" t="s">
        <v>46</v>
      </c>
      <c r="P2827" t="s">
        <v>46</v>
      </c>
      <c r="Y2827" t="s">
        <v>9517</v>
      </c>
    </row>
    <row r="2828" spans="1:25">
      <c r="A2828" t="s">
        <v>9518</v>
      </c>
      <c r="B2828" t="s">
        <v>9519</v>
      </c>
      <c r="D2828" t="s">
        <v>40</v>
      </c>
      <c r="E2828" t="s">
        <v>41</v>
      </c>
      <c r="J2828" t="s">
        <v>76</v>
      </c>
      <c r="K2828" t="s">
        <v>77</v>
      </c>
      <c r="L2828">
        <v>10</v>
      </c>
      <c r="M2828" t="s">
        <v>9504</v>
      </c>
      <c r="N2828" t="s">
        <v>64</v>
      </c>
      <c r="O2828" t="s">
        <v>46</v>
      </c>
      <c r="P2828" t="s">
        <v>46</v>
      </c>
      <c r="Y2828" t="s">
        <v>9520</v>
      </c>
    </row>
    <row r="2829" spans="1:25">
      <c r="A2829" t="s">
        <v>9521</v>
      </c>
      <c r="B2829" t="s">
        <v>9522</v>
      </c>
      <c r="D2829" t="s">
        <v>40</v>
      </c>
      <c r="E2829" t="s">
        <v>41</v>
      </c>
      <c r="J2829" t="s">
        <v>68</v>
      </c>
      <c r="K2829" t="s">
        <v>69</v>
      </c>
      <c r="L2829">
        <v>10</v>
      </c>
      <c r="M2829" t="s">
        <v>9504</v>
      </c>
      <c r="N2829" t="s">
        <v>64</v>
      </c>
      <c r="O2829" t="s">
        <v>46</v>
      </c>
      <c r="P2829" t="s">
        <v>46</v>
      </c>
      <c r="Y2829" t="s">
        <v>9523</v>
      </c>
    </row>
    <row r="2830" spans="1:25">
      <c r="A2830" t="s">
        <v>9524</v>
      </c>
      <c r="B2830" t="s">
        <v>9525</v>
      </c>
      <c r="D2830" t="s">
        <v>40</v>
      </c>
      <c r="E2830" t="s">
        <v>41</v>
      </c>
      <c r="J2830" t="s">
        <v>76</v>
      </c>
      <c r="K2830" t="s">
        <v>77</v>
      </c>
      <c r="L2830">
        <v>10</v>
      </c>
      <c r="M2830" t="s">
        <v>9526</v>
      </c>
      <c r="N2830" t="s">
        <v>64</v>
      </c>
      <c r="O2830" t="s">
        <v>46</v>
      </c>
      <c r="P2830" t="s">
        <v>46</v>
      </c>
      <c r="Y2830" t="s">
        <v>9527</v>
      </c>
    </row>
    <row r="2831" spans="1:25">
      <c r="A2831" t="s">
        <v>9528</v>
      </c>
      <c r="B2831" t="s">
        <v>9529</v>
      </c>
      <c r="D2831" t="s">
        <v>40</v>
      </c>
      <c r="E2831" t="s">
        <v>41</v>
      </c>
      <c r="J2831" t="s">
        <v>76</v>
      </c>
      <c r="K2831" t="s">
        <v>77</v>
      </c>
      <c r="L2831">
        <v>10</v>
      </c>
      <c r="M2831" t="s">
        <v>9526</v>
      </c>
      <c r="N2831" t="s">
        <v>64</v>
      </c>
      <c r="O2831" t="s">
        <v>46</v>
      </c>
      <c r="P2831" t="s">
        <v>46</v>
      </c>
      <c r="Y2831" t="s">
        <v>9530</v>
      </c>
    </row>
    <row r="2832" spans="1:25">
      <c r="A2832" t="s">
        <v>9531</v>
      </c>
      <c r="B2832" t="s">
        <v>9532</v>
      </c>
      <c r="D2832" t="s">
        <v>40</v>
      </c>
      <c r="E2832" t="s">
        <v>41</v>
      </c>
      <c r="J2832" t="s">
        <v>76</v>
      </c>
      <c r="K2832" t="s">
        <v>77</v>
      </c>
      <c r="L2832">
        <v>10</v>
      </c>
      <c r="M2832" t="s">
        <v>9526</v>
      </c>
      <c r="N2832" t="s">
        <v>64</v>
      </c>
      <c r="O2832" t="s">
        <v>46</v>
      </c>
      <c r="P2832" t="s">
        <v>46</v>
      </c>
      <c r="Y2832" t="s">
        <v>9533</v>
      </c>
    </row>
    <row r="2833" spans="1:25">
      <c r="A2833" t="s">
        <v>9534</v>
      </c>
      <c r="B2833" t="s">
        <v>9535</v>
      </c>
      <c r="D2833" t="s">
        <v>40</v>
      </c>
      <c r="E2833" t="s">
        <v>41</v>
      </c>
      <c r="J2833" t="s">
        <v>182</v>
      </c>
      <c r="K2833" t="s">
        <v>183</v>
      </c>
      <c r="L2833">
        <v>10</v>
      </c>
      <c r="M2833" t="s">
        <v>9526</v>
      </c>
      <c r="N2833" t="s">
        <v>64</v>
      </c>
      <c r="O2833" t="s">
        <v>46</v>
      </c>
      <c r="P2833" t="s">
        <v>46</v>
      </c>
      <c r="Y2833" t="s">
        <v>9536</v>
      </c>
    </row>
    <row r="2834" spans="1:25">
      <c r="A2834" t="s">
        <v>9537</v>
      </c>
      <c r="B2834" t="s">
        <v>9538</v>
      </c>
      <c r="D2834" t="s">
        <v>40</v>
      </c>
      <c r="E2834" t="s">
        <v>41</v>
      </c>
      <c r="J2834" t="s">
        <v>182</v>
      </c>
      <c r="K2834" t="s">
        <v>183</v>
      </c>
      <c r="L2834">
        <v>10</v>
      </c>
      <c r="M2834" t="s">
        <v>9526</v>
      </c>
      <c r="N2834" t="s">
        <v>64</v>
      </c>
      <c r="O2834" t="s">
        <v>46</v>
      </c>
      <c r="P2834" t="s">
        <v>46</v>
      </c>
      <c r="Y2834" t="s">
        <v>9539</v>
      </c>
    </row>
    <row r="2835" spans="1:25">
      <c r="A2835" t="s">
        <v>9540</v>
      </c>
      <c r="B2835" t="s">
        <v>9541</v>
      </c>
      <c r="D2835" t="s">
        <v>40</v>
      </c>
      <c r="E2835" t="s">
        <v>41</v>
      </c>
      <c r="J2835" t="s">
        <v>182</v>
      </c>
      <c r="K2835" t="s">
        <v>183</v>
      </c>
      <c r="L2835">
        <v>10</v>
      </c>
      <c r="M2835" t="s">
        <v>9542</v>
      </c>
      <c r="N2835" t="s">
        <v>64</v>
      </c>
      <c r="O2835" t="s">
        <v>46</v>
      </c>
      <c r="P2835" t="s">
        <v>46</v>
      </c>
      <c r="Y2835" t="s">
        <v>9543</v>
      </c>
    </row>
    <row r="2836" spans="1:25">
      <c r="A2836" t="s">
        <v>9544</v>
      </c>
      <c r="B2836" t="s">
        <v>9545</v>
      </c>
      <c r="D2836" t="s">
        <v>40</v>
      </c>
      <c r="E2836" t="s">
        <v>41</v>
      </c>
      <c r="J2836" t="s">
        <v>68</v>
      </c>
      <c r="K2836" t="s">
        <v>69</v>
      </c>
      <c r="L2836">
        <v>10</v>
      </c>
      <c r="M2836" t="s">
        <v>9542</v>
      </c>
      <c r="N2836" t="s">
        <v>64</v>
      </c>
      <c r="O2836" t="s">
        <v>46</v>
      </c>
      <c r="P2836" t="s">
        <v>46</v>
      </c>
      <c r="Y2836" t="s">
        <v>9546</v>
      </c>
    </row>
    <row r="2837" spans="1:25">
      <c r="A2837" t="s">
        <v>9547</v>
      </c>
      <c r="B2837" t="s">
        <v>9548</v>
      </c>
      <c r="D2837" t="s">
        <v>40</v>
      </c>
      <c r="E2837" t="s">
        <v>41</v>
      </c>
      <c r="J2837" t="s">
        <v>182</v>
      </c>
      <c r="K2837" t="s">
        <v>183</v>
      </c>
      <c r="L2837">
        <v>10</v>
      </c>
      <c r="M2837" t="s">
        <v>9542</v>
      </c>
      <c r="N2837" t="s">
        <v>64</v>
      </c>
      <c r="O2837" t="s">
        <v>46</v>
      </c>
      <c r="P2837" t="s">
        <v>46</v>
      </c>
      <c r="Y2837" t="s">
        <v>9549</v>
      </c>
    </row>
    <row r="2838" spans="1:25">
      <c r="A2838" t="s">
        <v>9550</v>
      </c>
      <c r="B2838" t="s">
        <v>9551</v>
      </c>
      <c r="D2838" t="s">
        <v>40</v>
      </c>
      <c r="E2838" t="s">
        <v>41</v>
      </c>
      <c r="J2838" t="s">
        <v>182</v>
      </c>
      <c r="K2838" t="s">
        <v>183</v>
      </c>
      <c r="L2838">
        <v>10</v>
      </c>
      <c r="M2838" t="s">
        <v>9542</v>
      </c>
      <c r="N2838" t="s">
        <v>64</v>
      </c>
      <c r="O2838" t="s">
        <v>46</v>
      </c>
      <c r="P2838" t="s">
        <v>46</v>
      </c>
      <c r="Y2838" t="s">
        <v>9552</v>
      </c>
    </row>
    <row r="2839" spans="1:25">
      <c r="A2839" t="s">
        <v>9553</v>
      </c>
      <c r="B2839" t="s">
        <v>9554</v>
      </c>
      <c r="D2839" t="s">
        <v>40</v>
      </c>
      <c r="E2839" t="s">
        <v>41</v>
      </c>
      <c r="J2839" t="s">
        <v>76</v>
      </c>
      <c r="K2839" t="s">
        <v>77</v>
      </c>
      <c r="L2839">
        <v>10</v>
      </c>
      <c r="M2839" t="s">
        <v>9542</v>
      </c>
      <c r="N2839" t="s">
        <v>64</v>
      </c>
      <c r="O2839" t="s">
        <v>46</v>
      </c>
      <c r="P2839" t="s">
        <v>46</v>
      </c>
      <c r="Y2839" t="s">
        <v>9555</v>
      </c>
    </row>
    <row r="2840" spans="1:25">
      <c r="A2840" t="s">
        <v>9556</v>
      </c>
      <c r="B2840" t="s">
        <v>9557</v>
      </c>
      <c r="D2840" t="s">
        <v>40</v>
      </c>
      <c r="E2840" t="s">
        <v>41</v>
      </c>
      <c r="J2840" t="s">
        <v>182</v>
      </c>
      <c r="K2840" t="s">
        <v>183</v>
      </c>
      <c r="L2840">
        <v>10</v>
      </c>
      <c r="M2840" t="s">
        <v>9558</v>
      </c>
      <c r="N2840" t="s">
        <v>64</v>
      </c>
      <c r="O2840" t="s">
        <v>46</v>
      </c>
      <c r="P2840" t="s">
        <v>46</v>
      </c>
      <c r="Y2840" t="s">
        <v>9559</v>
      </c>
    </row>
    <row r="2841" spans="1:25">
      <c r="A2841" t="s">
        <v>9560</v>
      </c>
      <c r="B2841" t="s">
        <v>9561</v>
      </c>
      <c r="D2841" t="s">
        <v>40</v>
      </c>
      <c r="E2841" t="s">
        <v>41</v>
      </c>
      <c r="J2841" t="s">
        <v>76</v>
      </c>
      <c r="K2841" t="s">
        <v>77</v>
      </c>
      <c r="L2841">
        <v>10</v>
      </c>
      <c r="M2841" t="s">
        <v>9562</v>
      </c>
      <c r="N2841" t="s">
        <v>64</v>
      </c>
      <c r="O2841" t="s">
        <v>46</v>
      </c>
      <c r="P2841" t="s">
        <v>46</v>
      </c>
      <c r="Y2841" t="s">
        <v>9563</v>
      </c>
    </row>
    <row r="2842" spans="1:25">
      <c r="A2842" t="s">
        <v>9564</v>
      </c>
      <c r="B2842" t="s">
        <v>9565</v>
      </c>
      <c r="D2842" t="s">
        <v>40</v>
      </c>
      <c r="E2842" t="s">
        <v>41</v>
      </c>
      <c r="J2842" t="s">
        <v>182</v>
      </c>
      <c r="K2842" t="s">
        <v>183</v>
      </c>
      <c r="L2842">
        <v>10</v>
      </c>
      <c r="M2842" t="s">
        <v>9562</v>
      </c>
      <c r="N2842" t="s">
        <v>64</v>
      </c>
      <c r="O2842" t="s">
        <v>46</v>
      </c>
      <c r="P2842" t="s">
        <v>46</v>
      </c>
      <c r="Y2842" t="s">
        <v>9566</v>
      </c>
    </row>
    <row r="2843" spans="1:25">
      <c r="A2843" t="s">
        <v>9567</v>
      </c>
      <c r="B2843" t="s">
        <v>9568</v>
      </c>
      <c r="D2843" t="s">
        <v>40</v>
      </c>
      <c r="E2843" t="s">
        <v>41</v>
      </c>
      <c r="J2843" t="s">
        <v>182</v>
      </c>
      <c r="K2843" t="s">
        <v>183</v>
      </c>
      <c r="L2843">
        <v>10</v>
      </c>
      <c r="M2843" t="s">
        <v>9562</v>
      </c>
      <c r="N2843" t="s">
        <v>64</v>
      </c>
      <c r="O2843" t="s">
        <v>46</v>
      </c>
      <c r="P2843" t="s">
        <v>46</v>
      </c>
      <c r="Y2843" t="s">
        <v>9569</v>
      </c>
    </row>
    <row r="2844" spans="1:25">
      <c r="A2844" t="s">
        <v>9570</v>
      </c>
      <c r="B2844" t="s">
        <v>9571</v>
      </c>
      <c r="D2844" t="s">
        <v>40</v>
      </c>
      <c r="E2844" t="s">
        <v>41</v>
      </c>
      <c r="J2844" t="s">
        <v>68</v>
      </c>
      <c r="K2844" t="s">
        <v>69</v>
      </c>
      <c r="L2844">
        <v>10</v>
      </c>
      <c r="M2844" t="s">
        <v>9562</v>
      </c>
      <c r="N2844" t="s">
        <v>64</v>
      </c>
      <c r="O2844" t="s">
        <v>46</v>
      </c>
      <c r="P2844" t="s">
        <v>46</v>
      </c>
      <c r="Y2844" t="s">
        <v>9572</v>
      </c>
    </row>
    <row r="2845" spans="1:25">
      <c r="A2845" t="s">
        <v>9573</v>
      </c>
      <c r="B2845" t="s">
        <v>9574</v>
      </c>
      <c r="D2845" t="s">
        <v>40</v>
      </c>
      <c r="E2845" t="s">
        <v>41</v>
      </c>
      <c r="J2845" t="s">
        <v>182</v>
      </c>
      <c r="K2845" t="s">
        <v>183</v>
      </c>
      <c r="L2845">
        <v>10</v>
      </c>
      <c r="M2845" t="s">
        <v>9575</v>
      </c>
      <c r="N2845" t="s">
        <v>64</v>
      </c>
      <c r="O2845" t="s">
        <v>46</v>
      </c>
      <c r="P2845" t="s">
        <v>46</v>
      </c>
      <c r="Y2845" t="s">
        <v>9576</v>
      </c>
    </row>
    <row r="2846" spans="1:25">
      <c r="A2846" t="s">
        <v>9577</v>
      </c>
      <c r="B2846" t="s">
        <v>9578</v>
      </c>
      <c r="D2846" t="s">
        <v>40</v>
      </c>
      <c r="E2846" t="s">
        <v>41</v>
      </c>
      <c r="J2846" t="s">
        <v>42</v>
      </c>
      <c r="K2846" t="s">
        <v>43</v>
      </c>
      <c r="L2846">
        <v>10</v>
      </c>
      <c r="M2846" t="s">
        <v>9575</v>
      </c>
      <c r="N2846" t="s">
        <v>741</v>
      </c>
      <c r="O2846" t="s">
        <v>46</v>
      </c>
      <c r="P2846" t="s">
        <v>46</v>
      </c>
      <c r="Y2846" t="s">
        <v>9579</v>
      </c>
    </row>
    <row r="2847" spans="1:25">
      <c r="A2847" t="s">
        <v>9580</v>
      </c>
      <c r="B2847" t="s">
        <v>9581</v>
      </c>
      <c r="D2847" t="s">
        <v>40</v>
      </c>
      <c r="E2847" t="s">
        <v>41</v>
      </c>
      <c r="J2847" t="s">
        <v>42</v>
      </c>
      <c r="K2847" t="s">
        <v>43</v>
      </c>
      <c r="L2847">
        <v>10</v>
      </c>
      <c r="M2847" t="s">
        <v>9582</v>
      </c>
      <c r="N2847" t="s">
        <v>305</v>
      </c>
      <c r="O2847" t="s">
        <v>46</v>
      </c>
      <c r="P2847" t="s">
        <v>46</v>
      </c>
      <c r="Y2847" t="s">
        <v>9583</v>
      </c>
    </row>
    <row r="2848" spans="1:25">
      <c r="A2848" t="s">
        <v>9584</v>
      </c>
      <c r="B2848" t="s">
        <v>9585</v>
      </c>
      <c r="D2848" t="s">
        <v>40</v>
      </c>
      <c r="E2848" t="s">
        <v>41</v>
      </c>
      <c r="J2848" t="s">
        <v>139</v>
      </c>
      <c r="K2848" t="s">
        <v>140</v>
      </c>
      <c r="L2848">
        <v>10</v>
      </c>
      <c r="M2848" t="s">
        <v>9582</v>
      </c>
      <c r="N2848" t="s">
        <v>5995</v>
      </c>
      <c r="O2848" t="s">
        <v>46</v>
      </c>
      <c r="P2848" t="s">
        <v>46</v>
      </c>
      <c r="Y2848" t="s">
        <v>9586</v>
      </c>
    </row>
    <row r="2849" spans="1:25">
      <c r="A2849" t="s">
        <v>9587</v>
      </c>
      <c r="B2849" t="s">
        <v>9588</v>
      </c>
      <c r="D2849" t="s">
        <v>40</v>
      </c>
      <c r="E2849" t="s">
        <v>41</v>
      </c>
      <c r="J2849" t="s">
        <v>76</v>
      </c>
      <c r="K2849" t="s">
        <v>77</v>
      </c>
      <c r="L2849">
        <v>10</v>
      </c>
      <c r="M2849" t="s">
        <v>9582</v>
      </c>
      <c r="N2849" t="s">
        <v>64</v>
      </c>
      <c r="O2849" t="s">
        <v>46</v>
      </c>
      <c r="P2849" t="s">
        <v>46</v>
      </c>
      <c r="Y2849" t="s">
        <v>9589</v>
      </c>
    </row>
    <row r="2850" spans="1:25">
      <c r="A2850" t="s">
        <v>9590</v>
      </c>
      <c r="B2850" t="s">
        <v>9591</v>
      </c>
      <c r="D2850" t="s">
        <v>40</v>
      </c>
      <c r="E2850" t="s">
        <v>41</v>
      </c>
      <c r="J2850" t="s">
        <v>68</v>
      </c>
      <c r="K2850" t="s">
        <v>69</v>
      </c>
      <c r="L2850">
        <v>10</v>
      </c>
      <c r="M2850" t="s">
        <v>9582</v>
      </c>
      <c r="N2850" t="s">
        <v>64</v>
      </c>
      <c r="O2850" t="s">
        <v>46</v>
      </c>
      <c r="P2850" t="s">
        <v>46</v>
      </c>
      <c r="Y2850" t="s">
        <v>9592</v>
      </c>
    </row>
    <row r="2851" spans="1:25">
      <c r="A2851" t="s">
        <v>9593</v>
      </c>
      <c r="B2851" t="s">
        <v>9594</v>
      </c>
      <c r="D2851" t="s">
        <v>40</v>
      </c>
      <c r="E2851" t="s">
        <v>41</v>
      </c>
      <c r="J2851" t="s">
        <v>182</v>
      </c>
      <c r="K2851" t="s">
        <v>183</v>
      </c>
      <c r="L2851">
        <v>10</v>
      </c>
      <c r="M2851" t="s">
        <v>9582</v>
      </c>
      <c r="N2851" t="s">
        <v>64</v>
      </c>
      <c r="O2851" t="s">
        <v>46</v>
      </c>
      <c r="P2851" t="s">
        <v>46</v>
      </c>
      <c r="Y2851" t="s">
        <v>9595</v>
      </c>
    </row>
    <row r="2852" spans="1:25">
      <c r="A2852" t="s">
        <v>9596</v>
      </c>
      <c r="B2852" t="s">
        <v>9597</v>
      </c>
      <c r="D2852" t="s">
        <v>40</v>
      </c>
      <c r="E2852" t="s">
        <v>41</v>
      </c>
      <c r="J2852" t="s">
        <v>182</v>
      </c>
      <c r="K2852" t="s">
        <v>183</v>
      </c>
      <c r="L2852">
        <v>10</v>
      </c>
      <c r="M2852" t="s">
        <v>9598</v>
      </c>
      <c r="N2852" t="s">
        <v>64</v>
      </c>
      <c r="O2852" t="s">
        <v>46</v>
      </c>
      <c r="P2852" t="s">
        <v>46</v>
      </c>
      <c r="Y2852" t="s">
        <v>9599</v>
      </c>
    </row>
    <row r="2853" spans="1:25">
      <c r="A2853" t="s">
        <v>9600</v>
      </c>
      <c r="B2853" t="s">
        <v>9601</v>
      </c>
      <c r="D2853" t="s">
        <v>40</v>
      </c>
      <c r="E2853" t="s">
        <v>41</v>
      </c>
      <c r="J2853" t="s">
        <v>182</v>
      </c>
      <c r="K2853" t="s">
        <v>183</v>
      </c>
      <c r="L2853">
        <v>10</v>
      </c>
      <c r="M2853" t="s">
        <v>9598</v>
      </c>
      <c r="N2853" t="s">
        <v>64</v>
      </c>
      <c r="O2853" t="s">
        <v>46</v>
      </c>
      <c r="P2853" t="s">
        <v>46</v>
      </c>
      <c r="Y2853" t="s">
        <v>9602</v>
      </c>
    </row>
    <row r="2854" spans="1:25">
      <c r="A2854" t="s">
        <v>9603</v>
      </c>
      <c r="B2854" t="s">
        <v>9604</v>
      </c>
      <c r="D2854" t="s">
        <v>40</v>
      </c>
      <c r="E2854" t="s">
        <v>41</v>
      </c>
      <c r="J2854" t="s">
        <v>182</v>
      </c>
      <c r="K2854" t="s">
        <v>183</v>
      </c>
      <c r="L2854">
        <v>10</v>
      </c>
      <c r="M2854" t="s">
        <v>9605</v>
      </c>
      <c r="N2854" t="s">
        <v>64</v>
      </c>
      <c r="O2854" t="s">
        <v>46</v>
      </c>
      <c r="P2854" t="s">
        <v>46</v>
      </c>
      <c r="Y2854" t="s">
        <v>9606</v>
      </c>
    </row>
    <row r="2855" spans="1:25">
      <c r="A2855" t="s">
        <v>9607</v>
      </c>
      <c r="B2855" t="s">
        <v>9608</v>
      </c>
      <c r="D2855" t="s">
        <v>40</v>
      </c>
      <c r="E2855" t="s">
        <v>41</v>
      </c>
      <c r="J2855" t="s">
        <v>68</v>
      </c>
      <c r="K2855" t="s">
        <v>69</v>
      </c>
      <c r="L2855">
        <v>10</v>
      </c>
      <c r="M2855" t="s">
        <v>9605</v>
      </c>
      <c r="N2855" t="s">
        <v>64</v>
      </c>
      <c r="O2855" t="s">
        <v>46</v>
      </c>
      <c r="P2855" t="s">
        <v>46</v>
      </c>
      <c r="Y2855" t="s">
        <v>9609</v>
      </c>
    </row>
    <row r="2856" spans="1:25">
      <c r="A2856" t="s">
        <v>9610</v>
      </c>
      <c r="B2856" t="s">
        <v>9611</v>
      </c>
      <c r="D2856" t="s">
        <v>40</v>
      </c>
      <c r="E2856" t="s">
        <v>41</v>
      </c>
      <c r="J2856" t="s">
        <v>68</v>
      </c>
      <c r="K2856" t="s">
        <v>69</v>
      </c>
      <c r="L2856">
        <v>10</v>
      </c>
      <c r="M2856" t="s">
        <v>9612</v>
      </c>
      <c r="N2856" t="s">
        <v>64</v>
      </c>
      <c r="O2856" t="s">
        <v>46</v>
      </c>
      <c r="P2856" t="s">
        <v>46</v>
      </c>
      <c r="Y2856" t="s">
        <v>9613</v>
      </c>
    </row>
    <row r="2857" spans="1:25">
      <c r="A2857" t="s">
        <v>9614</v>
      </c>
      <c r="B2857" t="s">
        <v>9615</v>
      </c>
      <c r="D2857" t="s">
        <v>40</v>
      </c>
      <c r="E2857" t="s">
        <v>41</v>
      </c>
      <c r="J2857" t="s">
        <v>182</v>
      </c>
      <c r="K2857" t="s">
        <v>183</v>
      </c>
      <c r="L2857">
        <v>10</v>
      </c>
      <c r="M2857" t="s">
        <v>9612</v>
      </c>
      <c r="N2857" t="s">
        <v>64</v>
      </c>
      <c r="O2857" t="s">
        <v>46</v>
      </c>
      <c r="P2857" t="s">
        <v>46</v>
      </c>
      <c r="Y2857" t="s">
        <v>9616</v>
      </c>
    </row>
    <row r="2858" spans="1:25">
      <c r="A2858" t="s">
        <v>9617</v>
      </c>
      <c r="B2858" t="s">
        <v>9618</v>
      </c>
      <c r="D2858" t="s">
        <v>40</v>
      </c>
      <c r="E2858" t="s">
        <v>41</v>
      </c>
      <c r="J2858" t="s">
        <v>182</v>
      </c>
      <c r="K2858" t="s">
        <v>183</v>
      </c>
      <c r="L2858">
        <v>10</v>
      </c>
      <c r="M2858" t="s">
        <v>9619</v>
      </c>
      <c r="N2858" t="s">
        <v>64</v>
      </c>
      <c r="O2858" t="s">
        <v>46</v>
      </c>
      <c r="P2858" t="s">
        <v>46</v>
      </c>
      <c r="Y2858" t="s">
        <v>9620</v>
      </c>
    </row>
    <row r="2859" spans="1:25">
      <c r="A2859" t="s">
        <v>9621</v>
      </c>
      <c r="B2859" t="s">
        <v>9622</v>
      </c>
      <c r="D2859" t="s">
        <v>40</v>
      </c>
      <c r="E2859" t="s">
        <v>41</v>
      </c>
      <c r="J2859" t="s">
        <v>182</v>
      </c>
      <c r="K2859" t="s">
        <v>183</v>
      </c>
      <c r="L2859">
        <v>10</v>
      </c>
      <c r="M2859" t="s">
        <v>9619</v>
      </c>
      <c r="N2859" t="s">
        <v>64</v>
      </c>
      <c r="O2859" t="s">
        <v>46</v>
      </c>
      <c r="P2859" t="s">
        <v>46</v>
      </c>
      <c r="Y2859" t="s">
        <v>9623</v>
      </c>
    </row>
    <row r="2860" spans="1:25">
      <c r="A2860" t="s">
        <v>9624</v>
      </c>
      <c r="B2860" t="s">
        <v>9625</v>
      </c>
      <c r="D2860" t="s">
        <v>40</v>
      </c>
      <c r="E2860" t="s">
        <v>41</v>
      </c>
      <c r="J2860" t="s">
        <v>42</v>
      </c>
      <c r="K2860" t="s">
        <v>43</v>
      </c>
      <c r="L2860">
        <v>10</v>
      </c>
      <c r="M2860" t="s">
        <v>9619</v>
      </c>
      <c r="N2860" t="s">
        <v>315</v>
      </c>
      <c r="O2860" t="s">
        <v>46</v>
      </c>
      <c r="P2860" t="s">
        <v>46</v>
      </c>
      <c r="Y2860" t="s">
        <v>9626</v>
      </c>
    </row>
    <row r="2861" spans="1:25">
      <c r="A2861" t="s">
        <v>9627</v>
      </c>
      <c r="B2861" t="s">
        <v>9628</v>
      </c>
      <c r="D2861" t="s">
        <v>40</v>
      </c>
      <c r="E2861" t="s">
        <v>41</v>
      </c>
      <c r="J2861" t="s">
        <v>42</v>
      </c>
      <c r="K2861" t="s">
        <v>43</v>
      </c>
      <c r="L2861">
        <v>10</v>
      </c>
      <c r="M2861" t="s">
        <v>9619</v>
      </c>
      <c r="N2861" t="s">
        <v>1047</v>
      </c>
      <c r="O2861" t="s">
        <v>46</v>
      </c>
      <c r="P2861" t="s">
        <v>46</v>
      </c>
      <c r="Y2861" t="s">
        <v>9629</v>
      </c>
    </row>
    <row r="2862" spans="1:25">
      <c r="A2862" t="s">
        <v>9630</v>
      </c>
      <c r="B2862" t="s">
        <v>9631</v>
      </c>
      <c r="D2862" t="s">
        <v>40</v>
      </c>
      <c r="E2862" t="s">
        <v>41</v>
      </c>
      <c r="J2862" t="s">
        <v>182</v>
      </c>
      <c r="K2862" t="s">
        <v>183</v>
      </c>
      <c r="L2862">
        <v>10</v>
      </c>
      <c r="M2862" t="s">
        <v>9632</v>
      </c>
      <c r="N2862" t="s">
        <v>64</v>
      </c>
      <c r="O2862" t="s">
        <v>46</v>
      </c>
      <c r="P2862" t="s">
        <v>46</v>
      </c>
      <c r="Y2862" t="s">
        <v>9633</v>
      </c>
    </row>
    <row r="2863" spans="1:25">
      <c r="A2863" t="s">
        <v>9634</v>
      </c>
      <c r="B2863" t="s">
        <v>9635</v>
      </c>
      <c r="D2863" t="s">
        <v>40</v>
      </c>
      <c r="E2863" t="s">
        <v>41</v>
      </c>
      <c r="J2863" t="s">
        <v>182</v>
      </c>
      <c r="K2863" t="s">
        <v>183</v>
      </c>
      <c r="L2863">
        <v>10</v>
      </c>
      <c r="M2863" t="s">
        <v>9636</v>
      </c>
      <c r="N2863" t="s">
        <v>64</v>
      </c>
      <c r="O2863" t="s">
        <v>46</v>
      </c>
      <c r="P2863" t="s">
        <v>46</v>
      </c>
      <c r="Y2863" t="s">
        <v>9637</v>
      </c>
    </row>
    <row r="2864" spans="1:25">
      <c r="A2864" t="s">
        <v>9638</v>
      </c>
      <c r="B2864" t="s">
        <v>9639</v>
      </c>
      <c r="D2864" t="s">
        <v>40</v>
      </c>
      <c r="E2864" t="s">
        <v>41</v>
      </c>
      <c r="J2864" t="s">
        <v>76</v>
      </c>
      <c r="K2864" t="s">
        <v>77</v>
      </c>
      <c r="L2864">
        <v>10</v>
      </c>
      <c r="M2864" t="s">
        <v>9636</v>
      </c>
      <c r="N2864" t="s">
        <v>64</v>
      </c>
      <c r="O2864" t="s">
        <v>46</v>
      </c>
      <c r="P2864" t="s">
        <v>46</v>
      </c>
      <c r="Y2864" t="s">
        <v>9640</v>
      </c>
    </row>
    <row r="2865" spans="1:25">
      <c r="A2865" t="s">
        <v>9641</v>
      </c>
      <c r="B2865" t="s">
        <v>9642</v>
      </c>
      <c r="D2865" t="s">
        <v>40</v>
      </c>
      <c r="E2865" t="s">
        <v>41</v>
      </c>
      <c r="J2865" t="s">
        <v>182</v>
      </c>
      <c r="K2865" t="s">
        <v>183</v>
      </c>
      <c r="L2865">
        <v>10</v>
      </c>
      <c r="M2865" t="s">
        <v>9643</v>
      </c>
      <c r="N2865" t="s">
        <v>64</v>
      </c>
      <c r="O2865" t="s">
        <v>46</v>
      </c>
      <c r="P2865" t="s">
        <v>46</v>
      </c>
      <c r="Y2865" t="s">
        <v>9644</v>
      </c>
    </row>
    <row r="2866" spans="1:25">
      <c r="A2866" t="s">
        <v>9645</v>
      </c>
      <c r="B2866" t="s">
        <v>9646</v>
      </c>
      <c r="D2866" t="s">
        <v>40</v>
      </c>
      <c r="E2866" t="s">
        <v>41</v>
      </c>
      <c r="J2866" t="s">
        <v>182</v>
      </c>
      <c r="K2866" t="s">
        <v>183</v>
      </c>
      <c r="L2866">
        <v>10</v>
      </c>
      <c r="M2866" t="s">
        <v>9647</v>
      </c>
      <c r="N2866" t="s">
        <v>64</v>
      </c>
      <c r="O2866" t="s">
        <v>46</v>
      </c>
      <c r="P2866" t="s">
        <v>46</v>
      </c>
      <c r="Y2866" t="s">
        <v>9648</v>
      </c>
    </row>
    <row r="2867" spans="1:25">
      <c r="A2867" t="s">
        <v>9649</v>
      </c>
      <c r="B2867" t="s">
        <v>9650</v>
      </c>
      <c r="D2867" t="s">
        <v>40</v>
      </c>
      <c r="E2867" t="s">
        <v>41</v>
      </c>
      <c r="J2867" t="s">
        <v>182</v>
      </c>
      <c r="K2867" t="s">
        <v>183</v>
      </c>
      <c r="L2867">
        <v>10</v>
      </c>
      <c r="M2867" t="s">
        <v>9647</v>
      </c>
      <c r="N2867" t="s">
        <v>64</v>
      </c>
      <c r="O2867" t="s">
        <v>46</v>
      </c>
      <c r="P2867" t="s">
        <v>46</v>
      </c>
      <c r="Y2867" t="s">
        <v>9651</v>
      </c>
    </row>
    <row r="2868" spans="1:25">
      <c r="A2868" t="s">
        <v>9652</v>
      </c>
      <c r="B2868" t="s">
        <v>9653</v>
      </c>
      <c r="D2868" t="s">
        <v>40</v>
      </c>
      <c r="E2868" t="s">
        <v>41</v>
      </c>
      <c r="J2868" t="s">
        <v>182</v>
      </c>
      <c r="K2868" t="s">
        <v>183</v>
      </c>
      <c r="L2868">
        <v>10</v>
      </c>
      <c r="M2868" t="s">
        <v>9647</v>
      </c>
      <c r="N2868" t="s">
        <v>64</v>
      </c>
      <c r="O2868" t="s">
        <v>46</v>
      </c>
      <c r="P2868" t="s">
        <v>46</v>
      </c>
      <c r="Y2868" t="s">
        <v>9654</v>
      </c>
    </row>
    <row r="2869" spans="1:25">
      <c r="A2869" t="s">
        <v>9655</v>
      </c>
      <c r="B2869" t="s">
        <v>9656</v>
      </c>
      <c r="D2869" t="s">
        <v>40</v>
      </c>
      <c r="E2869" t="s">
        <v>41</v>
      </c>
      <c r="J2869" t="s">
        <v>182</v>
      </c>
      <c r="K2869" t="s">
        <v>183</v>
      </c>
      <c r="L2869">
        <v>10</v>
      </c>
      <c r="M2869" t="s">
        <v>9647</v>
      </c>
      <c r="N2869" t="s">
        <v>64</v>
      </c>
      <c r="O2869" t="s">
        <v>46</v>
      </c>
      <c r="P2869" t="s">
        <v>46</v>
      </c>
      <c r="Y2869" t="s">
        <v>9657</v>
      </c>
    </row>
    <row r="2870" spans="1:25">
      <c r="A2870" t="s">
        <v>9658</v>
      </c>
      <c r="B2870" t="s">
        <v>9659</v>
      </c>
      <c r="D2870" t="s">
        <v>40</v>
      </c>
      <c r="E2870" t="s">
        <v>41</v>
      </c>
      <c r="J2870" t="s">
        <v>50</v>
      </c>
      <c r="K2870" t="s">
        <v>51</v>
      </c>
      <c r="L2870">
        <v>8</v>
      </c>
      <c r="M2870" t="s">
        <v>9647</v>
      </c>
      <c r="N2870" t="s">
        <v>1047</v>
      </c>
      <c r="O2870" t="s">
        <v>46</v>
      </c>
      <c r="P2870" t="s">
        <v>46</v>
      </c>
      <c r="Y2870" t="s">
        <v>9660</v>
      </c>
    </row>
    <row r="2871" spans="1:25">
      <c r="A2871" t="s">
        <v>9661</v>
      </c>
      <c r="B2871" t="s">
        <v>9662</v>
      </c>
      <c r="D2871" t="s">
        <v>40</v>
      </c>
      <c r="E2871" t="s">
        <v>41</v>
      </c>
      <c r="J2871" t="s">
        <v>182</v>
      </c>
      <c r="K2871" t="s">
        <v>183</v>
      </c>
      <c r="L2871">
        <v>9</v>
      </c>
      <c r="M2871" t="s">
        <v>9647</v>
      </c>
      <c r="N2871" t="s">
        <v>64</v>
      </c>
      <c r="O2871" t="s">
        <v>46</v>
      </c>
      <c r="P2871" t="s">
        <v>46</v>
      </c>
      <c r="Y2871" t="s">
        <v>9663</v>
      </c>
    </row>
    <row r="2872" spans="1:25">
      <c r="A2872" t="s">
        <v>9664</v>
      </c>
      <c r="B2872" t="s">
        <v>9665</v>
      </c>
      <c r="D2872" t="s">
        <v>40</v>
      </c>
      <c r="E2872" t="s">
        <v>41</v>
      </c>
      <c r="J2872" t="s">
        <v>76</v>
      </c>
      <c r="K2872" t="s">
        <v>77</v>
      </c>
      <c r="L2872">
        <v>9</v>
      </c>
      <c r="M2872" t="s">
        <v>9666</v>
      </c>
      <c r="N2872" t="s">
        <v>64</v>
      </c>
      <c r="O2872" t="s">
        <v>46</v>
      </c>
      <c r="P2872" t="s">
        <v>46</v>
      </c>
      <c r="Y2872" t="s">
        <v>9667</v>
      </c>
    </row>
    <row r="2873" spans="1:25">
      <c r="A2873" t="s">
        <v>9668</v>
      </c>
      <c r="B2873" t="s">
        <v>9669</v>
      </c>
      <c r="D2873" t="s">
        <v>40</v>
      </c>
      <c r="E2873" t="s">
        <v>41</v>
      </c>
      <c r="J2873" t="s">
        <v>68</v>
      </c>
      <c r="K2873" t="s">
        <v>69</v>
      </c>
      <c r="L2873">
        <v>10</v>
      </c>
      <c r="M2873" t="s">
        <v>9670</v>
      </c>
      <c r="N2873" t="s">
        <v>64</v>
      </c>
      <c r="O2873" t="s">
        <v>46</v>
      </c>
      <c r="P2873" t="s">
        <v>46</v>
      </c>
      <c r="Y2873" t="s">
        <v>9671</v>
      </c>
    </row>
    <row r="2874" spans="1:25">
      <c r="A2874" t="s">
        <v>9672</v>
      </c>
      <c r="B2874" t="s">
        <v>9673</v>
      </c>
      <c r="D2874" t="s">
        <v>40</v>
      </c>
      <c r="E2874" t="s">
        <v>41</v>
      </c>
      <c r="J2874" t="s">
        <v>264</v>
      </c>
      <c r="K2874" t="s">
        <v>265</v>
      </c>
      <c r="L2874">
        <v>12</v>
      </c>
      <c r="M2874" t="s">
        <v>9670</v>
      </c>
      <c r="N2874" t="s">
        <v>5995</v>
      </c>
      <c r="O2874" t="s">
        <v>46</v>
      </c>
      <c r="P2874" t="s">
        <v>46</v>
      </c>
      <c r="Y2874" t="s">
        <v>9674</v>
      </c>
    </row>
    <row r="2875" spans="1:25">
      <c r="A2875" t="s">
        <v>9675</v>
      </c>
      <c r="B2875" t="s">
        <v>9676</v>
      </c>
      <c r="D2875" t="s">
        <v>40</v>
      </c>
      <c r="E2875" t="s">
        <v>41</v>
      </c>
      <c r="J2875" t="s">
        <v>42</v>
      </c>
      <c r="K2875" t="s">
        <v>43</v>
      </c>
      <c r="L2875">
        <v>10</v>
      </c>
      <c r="M2875" t="s">
        <v>9677</v>
      </c>
      <c r="N2875" t="s">
        <v>45</v>
      </c>
      <c r="O2875" t="s">
        <v>46</v>
      </c>
      <c r="P2875" t="s">
        <v>46</v>
      </c>
      <c r="Y2875" t="s">
        <v>9678</v>
      </c>
    </row>
    <row r="2876" spans="1:25">
      <c r="A2876" t="s">
        <v>9679</v>
      </c>
      <c r="B2876" t="s">
        <v>9680</v>
      </c>
      <c r="D2876" t="s">
        <v>40</v>
      </c>
      <c r="E2876" t="s">
        <v>41</v>
      </c>
      <c r="J2876" t="s">
        <v>182</v>
      </c>
      <c r="K2876" t="s">
        <v>183</v>
      </c>
      <c r="L2876">
        <v>10</v>
      </c>
      <c r="M2876" t="s">
        <v>9681</v>
      </c>
      <c r="N2876" t="s">
        <v>64</v>
      </c>
      <c r="O2876" t="s">
        <v>46</v>
      </c>
      <c r="P2876" t="s">
        <v>46</v>
      </c>
      <c r="Y2876" t="s">
        <v>9682</v>
      </c>
    </row>
    <row r="2877" spans="1:25">
      <c r="A2877" t="s">
        <v>9683</v>
      </c>
      <c r="B2877" t="s">
        <v>9684</v>
      </c>
      <c r="D2877" t="s">
        <v>40</v>
      </c>
      <c r="E2877" t="s">
        <v>41</v>
      </c>
      <c r="J2877" t="s">
        <v>182</v>
      </c>
      <c r="K2877" t="s">
        <v>183</v>
      </c>
      <c r="L2877">
        <v>10</v>
      </c>
      <c r="M2877" t="s">
        <v>9685</v>
      </c>
      <c r="N2877" t="s">
        <v>64</v>
      </c>
      <c r="O2877" t="s">
        <v>46</v>
      </c>
      <c r="P2877" t="s">
        <v>46</v>
      </c>
      <c r="Y2877" t="s">
        <v>9686</v>
      </c>
    </row>
    <row r="2878" spans="1:25">
      <c r="A2878" t="s">
        <v>9687</v>
      </c>
      <c r="B2878" t="s">
        <v>9688</v>
      </c>
      <c r="D2878" t="s">
        <v>40</v>
      </c>
      <c r="E2878" t="s">
        <v>41</v>
      </c>
      <c r="J2878" t="s">
        <v>76</v>
      </c>
      <c r="K2878" t="s">
        <v>77</v>
      </c>
      <c r="L2878">
        <v>10</v>
      </c>
      <c r="M2878" t="s">
        <v>9685</v>
      </c>
      <c r="N2878" t="s">
        <v>64</v>
      </c>
      <c r="O2878" t="s">
        <v>46</v>
      </c>
      <c r="P2878" t="s">
        <v>46</v>
      </c>
      <c r="Y2878" t="s">
        <v>9689</v>
      </c>
    </row>
    <row r="2879" spans="1:25">
      <c r="A2879" t="s">
        <v>9690</v>
      </c>
      <c r="B2879" t="s">
        <v>9691</v>
      </c>
      <c r="D2879" t="s">
        <v>40</v>
      </c>
      <c r="E2879" t="s">
        <v>41</v>
      </c>
      <c r="J2879" t="s">
        <v>76</v>
      </c>
      <c r="K2879" t="s">
        <v>77</v>
      </c>
      <c r="L2879">
        <v>10</v>
      </c>
      <c r="M2879" t="s">
        <v>9685</v>
      </c>
      <c r="N2879" t="s">
        <v>64</v>
      </c>
      <c r="O2879" t="s">
        <v>46</v>
      </c>
      <c r="P2879" t="s">
        <v>46</v>
      </c>
      <c r="Y2879" t="s">
        <v>9692</v>
      </c>
    </row>
    <row r="2880" spans="1:25">
      <c r="A2880" t="s">
        <v>9693</v>
      </c>
      <c r="B2880" t="s">
        <v>9694</v>
      </c>
      <c r="D2880" t="s">
        <v>40</v>
      </c>
      <c r="E2880" t="s">
        <v>41</v>
      </c>
      <c r="J2880" t="s">
        <v>182</v>
      </c>
      <c r="K2880" t="s">
        <v>183</v>
      </c>
      <c r="L2880">
        <v>10</v>
      </c>
      <c r="M2880" t="s">
        <v>9685</v>
      </c>
      <c r="N2880" t="s">
        <v>64</v>
      </c>
      <c r="O2880" t="s">
        <v>46</v>
      </c>
      <c r="P2880" t="s">
        <v>46</v>
      </c>
      <c r="Y2880" t="s">
        <v>9695</v>
      </c>
    </row>
    <row r="2881" spans="1:25">
      <c r="A2881" t="s">
        <v>9696</v>
      </c>
      <c r="B2881" t="s">
        <v>9697</v>
      </c>
      <c r="D2881" t="s">
        <v>40</v>
      </c>
      <c r="E2881" t="s">
        <v>41</v>
      </c>
      <c r="J2881" t="s">
        <v>76</v>
      </c>
      <c r="K2881" t="s">
        <v>77</v>
      </c>
      <c r="L2881">
        <v>10</v>
      </c>
      <c r="M2881" t="s">
        <v>9685</v>
      </c>
      <c r="N2881" t="s">
        <v>64</v>
      </c>
      <c r="O2881" t="s">
        <v>46</v>
      </c>
      <c r="P2881" t="s">
        <v>46</v>
      </c>
      <c r="Y2881" t="s">
        <v>9698</v>
      </c>
    </row>
    <row r="2882" spans="1:25">
      <c r="A2882" t="s">
        <v>9699</v>
      </c>
      <c r="B2882" t="s">
        <v>9700</v>
      </c>
      <c r="D2882" t="s">
        <v>40</v>
      </c>
      <c r="E2882" t="s">
        <v>41</v>
      </c>
      <c r="J2882" t="s">
        <v>76</v>
      </c>
      <c r="K2882" t="s">
        <v>77</v>
      </c>
      <c r="L2882">
        <v>10</v>
      </c>
      <c r="M2882" t="s">
        <v>9701</v>
      </c>
      <c r="N2882" t="s">
        <v>64</v>
      </c>
      <c r="O2882" t="s">
        <v>46</v>
      </c>
      <c r="P2882" t="s">
        <v>46</v>
      </c>
      <c r="Y2882" t="s">
        <v>9702</v>
      </c>
    </row>
    <row r="2883" spans="1:25">
      <c r="A2883" t="s">
        <v>9703</v>
      </c>
      <c r="B2883" t="s">
        <v>9704</v>
      </c>
      <c r="D2883" t="s">
        <v>40</v>
      </c>
      <c r="E2883" t="s">
        <v>41</v>
      </c>
      <c r="J2883" t="s">
        <v>182</v>
      </c>
      <c r="K2883" t="s">
        <v>183</v>
      </c>
      <c r="L2883">
        <v>10</v>
      </c>
      <c r="M2883" t="s">
        <v>9705</v>
      </c>
      <c r="N2883" t="s">
        <v>64</v>
      </c>
      <c r="O2883" t="s">
        <v>46</v>
      </c>
      <c r="P2883" t="s">
        <v>46</v>
      </c>
      <c r="Y2883" t="s">
        <v>9706</v>
      </c>
    </row>
    <row r="2884" spans="1:25">
      <c r="A2884" t="s">
        <v>9707</v>
      </c>
      <c r="B2884" t="s">
        <v>9708</v>
      </c>
      <c r="D2884" t="s">
        <v>40</v>
      </c>
      <c r="E2884" t="s">
        <v>41</v>
      </c>
      <c r="J2884" t="s">
        <v>76</v>
      </c>
      <c r="K2884" t="s">
        <v>77</v>
      </c>
      <c r="L2884">
        <v>10</v>
      </c>
      <c r="M2884" t="s">
        <v>9705</v>
      </c>
      <c r="N2884" t="s">
        <v>64</v>
      </c>
      <c r="O2884" t="s">
        <v>46</v>
      </c>
      <c r="P2884" t="s">
        <v>46</v>
      </c>
      <c r="Y2884" t="s">
        <v>9709</v>
      </c>
    </row>
    <row r="2885" spans="1:25">
      <c r="A2885" t="s">
        <v>9710</v>
      </c>
      <c r="B2885" t="s">
        <v>9711</v>
      </c>
      <c r="D2885" t="s">
        <v>40</v>
      </c>
      <c r="E2885" t="s">
        <v>41</v>
      </c>
      <c r="J2885" t="s">
        <v>76</v>
      </c>
      <c r="K2885" t="s">
        <v>77</v>
      </c>
      <c r="L2885">
        <v>10</v>
      </c>
      <c r="M2885" t="s">
        <v>9712</v>
      </c>
      <c r="N2885" t="s">
        <v>64</v>
      </c>
      <c r="O2885" t="s">
        <v>46</v>
      </c>
      <c r="P2885" t="s">
        <v>46</v>
      </c>
      <c r="Y2885" t="s">
        <v>9713</v>
      </c>
    </row>
    <row r="2886" spans="1:25">
      <c r="A2886" t="s">
        <v>9714</v>
      </c>
      <c r="B2886" t="s">
        <v>9715</v>
      </c>
      <c r="D2886" t="s">
        <v>40</v>
      </c>
      <c r="E2886" t="s">
        <v>41</v>
      </c>
      <c r="J2886" t="s">
        <v>68</v>
      </c>
      <c r="K2886" t="s">
        <v>69</v>
      </c>
      <c r="L2886">
        <v>10</v>
      </c>
      <c r="M2886" t="s">
        <v>9712</v>
      </c>
      <c r="N2886" t="s">
        <v>64</v>
      </c>
      <c r="O2886" t="s">
        <v>46</v>
      </c>
      <c r="P2886" t="s">
        <v>46</v>
      </c>
      <c r="Y2886" t="s">
        <v>9716</v>
      </c>
    </row>
    <row r="2887" spans="1:25">
      <c r="A2887" t="s">
        <v>9717</v>
      </c>
      <c r="B2887" t="s">
        <v>9718</v>
      </c>
      <c r="D2887" t="s">
        <v>40</v>
      </c>
      <c r="E2887" t="s">
        <v>41</v>
      </c>
      <c r="J2887" t="s">
        <v>182</v>
      </c>
      <c r="K2887" t="s">
        <v>183</v>
      </c>
      <c r="L2887">
        <v>10</v>
      </c>
      <c r="M2887" t="s">
        <v>9712</v>
      </c>
      <c r="N2887" t="s">
        <v>64</v>
      </c>
      <c r="O2887" t="s">
        <v>46</v>
      </c>
      <c r="P2887" t="s">
        <v>46</v>
      </c>
      <c r="Y2887" t="s">
        <v>9719</v>
      </c>
    </row>
    <row r="2888" spans="1:25">
      <c r="A2888" t="s">
        <v>9720</v>
      </c>
      <c r="B2888" t="s">
        <v>9721</v>
      </c>
      <c r="D2888" t="s">
        <v>40</v>
      </c>
      <c r="E2888" t="s">
        <v>41</v>
      </c>
      <c r="J2888" t="s">
        <v>76</v>
      </c>
      <c r="K2888" t="s">
        <v>77</v>
      </c>
      <c r="L2888">
        <v>10</v>
      </c>
      <c r="M2888" t="s">
        <v>9722</v>
      </c>
      <c r="N2888" t="s">
        <v>64</v>
      </c>
      <c r="O2888" t="s">
        <v>46</v>
      </c>
      <c r="P2888" t="s">
        <v>46</v>
      </c>
      <c r="Y2888" t="s">
        <v>9723</v>
      </c>
    </row>
    <row r="2889" spans="1:25">
      <c r="A2889" t="s">
        <v>9724</v>
      </c>
      <c r="B2889" t="s">
        <v>9725</v>
      </c>
      <c r="D2889" t="s">
        <v>40</v>
      </c>
      <c r="E2889" t="s">
        <v>41</v>
      </c>
      <c r="J2889" t="s">
        <v>182</v>
      </c>
      <c r="K2889" t="s">
        <v>183</v>
      </c>
      <c r="L2889">
        <v>10</v>
      </c>
      <c r="M2889" t="s">
        <v>9722</v>
      </c>
      <c r="N2889" t="s">
        <v>64</v>
      </c>
      <c r="O2889" t="s">
        <v>46</v>
      </c>
      <c r="P2889" t="s">
        <v>46</v>
      </c>
      <c r="Y2889" t="s">
        <v>9726</v>
      </c>
    </row>
    <row r="2890" spans="1:25">
      <c r="A2890" t="s">
        <v>9727</v>
      </c>
      <c r="B2890" t="s">
        <v>9728</v>
      </c>
      <c r="D2890" t="s">
        <v>40</v>
      </c>
      <c r="E2890" t="s">
        <v>41</v>
      </c>
      <c r="J2890" t="s">
        <v>68</v>
      </c>
      <c r="K2890" t="s">
        <v>69</v>
      </c>
      <c r="L2890">
        <v>10</v>
      </c>
      <c r="M2890" t="s">
        <v>9722</v>
      </c>
      <c r="N2890" t="s">
        <v>64</v>
      </c>
      <c r="O2890" t="s">
        <v>46</v>
      </c>
      <c r="P2890" t="s">
        <v>46</v>
      </c>
      <c r="Y2890" t="s">
        <v>9729</v>
      </c>
    </row>
    <row r="2891" spans="1:25">
      <c r="A2891" t="s">
        <v>9730</v>
      </c>
      <c r="B2891" t="s">
        <v>9731</v>
      </c>
      <c r="D2891" t="s">
        <v>40</v>
      </c>
      <c r="E2891" t="s">
        <v>41</v>
      </c>
      <c r="J2891" t="s">
        <v>76</v>
      </c>
      <c r="K2891" t="s">
        <v>77</v>
      </c>
      <c r="L2891">
        <v>10</v>
      </c>
      <c r="M2891" t="s">
        <v>9722</v>
      </c>
      <c r="N2891" t="s">
        <v>64</v>
      </c>
      <c r="O2891" t="s">
        <v>46</v>
      </c>
      <c r="P2891" t="s">
        <v>46</v>
      </c>
      <c r="Y2891" t="s">
        <v>9732</v>
      </c>
    </row>
    <row r="2892" spans="1:25">
      <c r="A2892" t="s">
        <v>9733</v>
      </c>
      <c r="B2892" t="s">
        <v>9734</v>
      </c>
      <c r="D2892" t="s">
        <v>40</v>
      </c>
      <c r="E2892" t="s">
        <v>41</v>
      </c>
      <c r="J2892" t="s">
        <v>1572</v>
      </c>
      <c r="K2892" t="s">
        <v>1573</v>
      </c>
      <c r="L2892">
        <v>10</v>
      </c>
      <c r="M2892" t="s">
        <v>9735</v>
      </c>
      <c r="N2892" t="s">
        <v>64</v>
      </c>
      <c r="O2892" t="s">
        <v>46</v>
      </c>
      <c r="P2892" t="s">
        <v>46</v>
      </c>
      <c r="Y2892" t="s">
        <v>9736</v>
      </c>
    </row>
    <row r="2893" spans="1:25">
      <c r="A2893" t="s">
        <v>9737</v>
      </c>
      <c r="B2893" t="s">
        <v>9738</v>
      </c>
      <c r="D2893" t="s">
        <v>40</v>
      </c>
      <c r="E2893" t="s">
        <v>41</v>
      </c>
      <c r="J2893" t="s">
        <v>182</v>
      </c>
      <c r="K2893" t="s">
        <v>183</v>
      </c>
      <c r="L2893">
        <v>10</v>
      </c>
      <c r="M2893" t="s">
        <v>9735</v>
      </c>
      <c r="N2893" t="s">
        <v>64</v>
      </c>
      <c r="O2893" t="s">
        <v>46</v>
      </c>
      <c r="P2893" t="s">
        <v>46</v>
      </c>
      <c r="Y2893" t="s">
        <v>9739</v>
      </c>
    </row>
    <row r="2894" spans="1:25">
      <c r="A2894" t="s">
        <v>9740</v>
      </c>
      <c r="B2894" t="s">
        <v>9741</v>
      </c>
      <c r="D2894" t="s">
        <v>40</v>
      </c>
      <c r="E2894" t="s">
        <v>41</v>
      </c>
      <c r="J2894" t="s">
        <v>182</v>
      </c>
      <c r="K2894" t="s">
        <v>183</v>
      </c>
      <c r="L2894">
        <v>10</v>
      </c>
      <c r="M2894" t="s">
        <v>9735</v>
      </c>
      <c r="N2894" t="s">
        <v>64</v>
      </c>
      <c r="O2894" t="s">
        <v>46</v>
      </c>
      <c r="P2894" t="s">
        <v>46</v>
      </c>
      <c r="Y2894" t="s">
        <v>9742</v>
      </c>
    </row>
    <row r="2895" spans="1:25">
      <c r="A2895" t="s">
        <v>9743</v>
      </c>
      <c r="B2895" t="s">
        <v>9744</v>
      </c>
      <c r="D2895" t="s">
        <v>40</v>
      </c>
      <c r="E2895" t="s">
        <v>41</v>
      </c>
      <c r="J2895" t="s">
        <v>139</v>
      </c>
      <c r="K2895" t="s">
        <v>140</v>
      </c>
      <c r="L2895">
        <v>10</v>
      </c>
      <c r="M2895" t="s">
        <v>9735</v>
      </c>
      <c r="N2895" t="s">
        <v>305</v>
      </c>
      <c r="O2895" t="s">
        <v>46</v>
      </c>
      <c r="P2895" t="s">
        <v>46</v>
      </c>
      <c r="Y2895" t="s">
        <v>9745</v>
      </c>
    </row>
    <row r="2896" spans="1:25">
      <c r="A2896" t="s">
        <v>9746</v>
      </c>
      <c r="B2896" t="s">
        <v>9747</v>
      </c>
      <c r="D2896" t="s">
        <v>40</v>
      </c>
      <c r="E2896" t="s">
        <v>41</v>
      </c>
      <c r="J2896" t="s">
        <v>68</v>
      </c>
      <c r="K2896" t="s">
        <v>69</v>
      </c>
      <c r="L2896">
        <v>10</v>
      </c>
      <c r="M2896" t="s">
        <v>9735</v>
      </c>
      <c r="N2896" t="s">
        <v>64</v>
      </c>
      <c r="O2896" t="s">
        <v>46</v>
      </c>
      <c r="P2896" t="s">
        <v>46</v>
      </c>
      <c r="Y2896" t="s">
        <v>9748</v>
      </c>
    </row>
    <row r="2897" spans="1:25">
      <c r="A2897" t="s">
        <v>9749</v>
      </c>
      <c r="B2897" t="s">
        <v>9750</v>
      </c>
      <c r="D2897" t="s">
        <v>40</v>
      </c>
      <c r="E2897" t="s">
        <v>41</v>
      </c>
      <c r="J2897" t="s">
        <v>182</v>
      </c>
      <c r="K2897" t="s">
        <v>183</v>
      </c>
      <c r="L2897">
        <v>10</v>
      </c>
      <c r="M2897" t="s">
        <v>9751</v>
      </c>
      <c r="N2897" t="s">
        <v>64</v>
      </c>
      <c r="O2897" t="s">
        <v>46</v>
      </c>
      <c r="P2897" t="s">
        <v>46</v>
      </c>
      <c r="Y2897" t="s">
        <v>9752</v>
      </c>
    </row>
    <row r="2898" spans="1:25">
      <c r="A2898" t="s">
        <v>9753</v>
      </c>
      <c r="B2898" t="s">
        <v>9754</v>
      </c>
      <c r="D2898" t="s">
        <v>40</v>
      </c>
      <c r="E2898" t="s">
        <v>41</v>
      </c>
      <c r="J2898" t="s">
        <v>76</v>
      </c>
      <c r="K2898" t="s">
        <v>77</v>
      </c>
      <c r="L2898">
        <v>10</v>
      </c>
      <c r="M2898" t="s">
        <v>9751</v>
      </c>
      <c r="N2898" t="s">
        <v>64</v>
      </c>
      <c r="O2898" t="s">
        <v>46</v>
      </c>
      <c r="P2898" t="s">
        <v>46</v>
      </c>
      <c r="Y2898" t="s">
        <v>9755</v>
      </c>
    </row>
    <row r="2899" spans="1:25">
      <c r="A2899" t="s">
        <v>9756</v>
      </c>
      <c r="B2899" t="s">
        <v>9757</v>
      </c>
      <c r="D2899" t="s">
        <v>40</v>
      </c>
      <c r="E2899" t="s">
        <v>41</v>
      </c>
      <c r="J2899" t="s">
        <v>76</v>
      </c>
      <c r="K2899" t="s">
        <v>77</v>
      </c>
      <c r="L2899">
        <v>10</v>
      </c>
      <c r="M2899" t="s">
        <v>9751</v>
      </c>
      <c r="N2899" t="s">
        <v>64</v>
      </c>
      <c r="O2899" t="s">
        <v>46</v>
      </c>
      <c r="P2899" t="s">
        <v>46</v>
      </c>
      <c r="Y2899" t="s">
        <v>9758</v>
      </c>
    </row>
    <row r="2900" spans="1:25">
      <c r="A2900" t="s">
        <v>9759</v>
      </c>
      <c r="B2900" t="s">
        <v>9760</v>
      </c>
      <c r="D2900" t="s">
        <v>40</v>
      </c>
      <c r="E2900" t="s">
        <v>41</v>
      </c>
      <c r="J2900" t="s">
        <v>1572</v>
      </c>
      <c r="K2900" t="s">
        <v>1573</v>
      </c>
      <c r="L2900">
        <v>8</v>
      </c>
      <c r="M2900" t="s">
        <v>9761</v>
      </c>
      <c r="N2900" t="s">
        <v>64</v>
      </c>
      <c r="O2900" t="s">
        <v>46</v>
      </c>
      <c r="P2900" t="s">
        <v>46</v>
      </c>
      <c r="Y2900" t="s">
        <v>9762</v>
      </c>
    </row>
    <row r="2901" spans="1:25">
      <c r="A2901" t="s">
        <v>9763</v>
      </c>
      <c r="B2901" t="s">
        <v>9764</v>
      </c>
      <c r="D2901" t="s">
        <v>40</v>
      </c>
      <c r="E2901" t="s">
        <v>41</v>
      </c>
      <c r="J2901" t="s">
        <v>182</v>
      </c>
      <c r="K2901" t="s">
        <v>183</v>
      </c>
      <c r="L2901">
        <v>10</v>
      </c>
      <c r="M2901" t="s">
        <v>9761</v>
      </c>
      <c r="N2901" t="s">
        <v>64</v>
      </c>
      <c r="O2901" t="s">
        <v>46</v>
      </c>
      <c r="P2901" t="s">
        <v>46</v>
      </c>
      <c r="Y2901" t="s">
        <v>9765</v>
      </c>
    </row>
    <row r="2902" spans="1:25">
      <c r="A2902" t="s">
        <v>9766</v>
      </c>
      <c r="B2902" t="s">
        <v>9767</v>
      </c>
      <c r="D2902" t="s">
        <v>40</v>
      </c>
      <c r="E2902" t="s">
        <v>41</v>
      </c>
      <c r="J2902" t="s">
        <v>1572</v>
      </c>
      <c r="K2902" t="s">
        <v>1573</v>
      </c>
      <c r="L2902">
        <v>8</v>
      </c>
      <c r="M2902" t="s">
        <v>9761</v>
      </c>
      <c r="N2902" t="s">
        <v>64</v>
      </c>
      <c r="O2902" t="s">
        <v>46</v>
      </c>
      <c r="P2902" t="s">
        <v>46</v>
      </c>
      <c r="Y2902" t="s">
        <v>9768</v>
      </c>
    </row>
    <row r="2903" spans="1:25">
      <c r="A2903" t="s">
        <v>9769</v>
      </c>
      <c r="B2903" t="s">
        <v>9770</v>
      </c>
      <c r="D2903" t="s">
        <v>40</v>
      </c>
      <c r="E2903" t="s">
        <v>41</v>
      </c>
      <c r="J2903" t="s">
        <v>1554</v>
      </c>
      <c r="K2903" t="s">
        <v>1555</v>
      </c>
      <c r="L2903">
        <v>11</v>
      </c>
      <c r="M2903" t="s">
        <v>9761</v>
      </c>
      <c r="N2903" t="s">
        <v>315</v>
      </c>
      <c r="O2903" t="s">
        <v>46</v>
      </c>
      <c r="P2903" t="s">
        <v>46</v>
      </c>
      <c r="Y2903" t="s">
        <v>9771</v>
      </c>
    </row>
    <row r="2904" spans="1:25">
      <c r="A2904" t="s">
        <v>9772</v>
      </c>
      <c r="B2904" t="s">
        <v>9773</v>
      </c>
      <c r="D2904" t="s">
        <v>40</v>
      </c>
      <c r="E2904" t="s">
        <v>41</v>
      </c>
      <c r="J2904" t="s">
        <v>182</v>
      </c>
      <c r="K2904" t="s">
        <v>183</v>
      </c>
      <c r="L2904">
        <v>10</v>
      </c>
      <c r="M2904" t="s">
        <v>9774</v>
      </c>
      <c r="N2904" t="s">
        <v>64</v>
      </c>
      <c r="O2904" t="s">
        <v>46</v>
      </c>
      <c r="P2904" t="s">
        <v>46</v>
      </c>
      <c r="Y2904" t="s">
        <v>9775</v>
      </c>
    </row>
    <row r="2905" spans="1:25">
      <c r="A2905" t="s">
        <v>9776</v>
      </c>
      <c r="B2905" t="s">
        <v>9777</v>
      </c>
      <c r="D2905" t="s">
        <v>40</v>
      </c>
      <c r="E2905" t="s">
        <v>41</v>
      </c>
      <c r="J2905" t="s">
        <v>76</v>
      </c>
      <c r="K2905" t="s">
        <v>77</v>
      </c>
      <c r="L2905">
        <v>10</v>
      </c>
      <c r="M2905" t="s">
        <v>9774</v>
      </c>
      <c r="N2905" t="s">
        <v>64</v>
      </c>
      <c r="O2905" t="s">
        <v>46</v>
      </c>
      <c r="P2905" t="s">
        <v>46</v>
      </c>
      <c r="Y2905" t="s">
        <v>9778</v>
      </c>
    </row>
    <row r="2906" spans="1:25">
      <c r="A2906" t="s">
        <v>9779</v>
      </c>
      <c r="B2906" t="s">
        <v>9780</v>
      </c>
      <c r="D2906" t="s">
        <v>40</v>
      </c>
      <c r="E2906" t="s">
        <v>41</v>
      </c>
      <c r="J2906" t="s">
        <v>68</v>
      </c>
      <c r="K2906" t="s">
        <v>69</v>
      </c>
      <c r="L2906">
        <v>10</v>
      </c>
      <c r="M2906" t="s">
        <v>9781</v>
      </c>
      <c r="N2906" t="s">
        <v>64</v>
      </c>
      <c r="O2906" t="s">
        <v>46</v>
      </c>
      <c r="P2906" t="s">
        <v>46</v>
      </c>
      <c r="Y2906" t="s">
        <v>9782</v>
      </c>
    </row>
    <row r="2907" spans="1:25">
      <c r="A2907" t="s">
        <v>9783</v>
      </c>
      <c r="B2907" t="s">
        <v>9784</v>
      </c>
      <c r="D2907" t="s">
        <v>40</v>
      </c>
      <c r="E2907" t="s">
        <v>41</v>
      </c>
      <c r="J2907" t="s">
        <v>76</v>
      </c>
      <c r="K2907" t="s">
        <v>77</v>
      </c>
      <c r="L2907">
        <v>10</v>
      </c>
      <c r="M2907" t="s">
        <v>9785</v>
      </c>
      <c r="N2907" t="s">
        <v>64</v>
      </c>
      <c r="O2907" t="s">
        <v>46</v>
      </c>
      <c r="P2907" t="s">
        <v>46</v>
      </c>
      <c r="Y2907" t="s">
        <v>9786</v>
      </c>
    </row>
    <row r="2908" spans="1:25">
      <c r="A2908" t="s">
        <v>9787</v>
      </c>
      <c r="B2908" t="s">
        <v>9788</v>
      </c>
      <c r="D2908" t="s">
        <v>40</v>
      </c>
      <c r="E2908" t="s">
        <v>41</v>
      </c>
      <c r="J2908" t="s">
        <v>248</v>
      </c>
      <c r="K2908" t="s">
        <v>249</v>
      </c>
      <c r="L2908">
        <v>10</v>
      </c>
      <c r="M2908" t="s">
        <v>9785</v>
      </c>
      <c r="N2908" t="s">
        <v>1047</v>
      </c>
      <c r="O2908" t="s">
        <v>46</v>
      </c>
      <c r="P2908" t="s">
        <v>46</v>
      </c>
      <c r="Y2908" t="s">
        <v>9789</v>
      </c>
    </row>
    <row r="2909" spans="1:25">
      <c r="A2909" t="s">
        <v>9790</v>
      </c>
      <c r="B2909" t="s">
        <v>9791</v>
      </c>
      <c r="D2909" t="s">
        <v>40</v>
      </c>
      <c r="E2909" t="s">
        <v>41</v>
      </c>
      <c r="J2909" t="s">
        <v>76</v>
      </c>
      <c r="K2909" t="s">
        <v>77</v>
      </c>
      <c r="L2909">
        <v>10</v>
      </c>
      <c r="M2909" t="s">
        <v>9785</v>
      </c>
      <c r="N2909" t="s">
        <v>64</v>
      </c>
      <c r="O2909" t="s">
        <v>46</v>
      </c>
      <c r="P2909" t="s">
        <v>46</v>
      </c>
      <c r="Y2909" t="s">
        <v>9792</v>
      </c>
    </row>
    <row r="2910" spans="1:25">
      <c r="A2910" t="s">
        <v>9793</v>
      </c>
      <c r="B2910" t="s">
        <v>9794</v>
      </c>
      <c r="D2910" t="s">
        <v>40</v>
      </c>
      <c r="E2910" t="s">
        <v>41</v>
      </c>
      <c r="J2910" t="s">
        <v>76</v>
      </c>
      <c r="K2910" t="s">
        <v>77</v>
      </c>
      <c r="L2910">
        <v>10</v>
      </c>
      <c r="M2910" t="s">
        <v>9785</v>
      </c>
      <c r="N2910" t="s">
        <v>64</v>
      </c>
      <c r="O2910" t="s">
        <v>46</v>
      </c>
      <c r="P2910" t="s">
        <v>46</v>
      </c>
      <c r="Y2910" t="s">
        <v>9795</v>
      </c>
    </row>
    <row r="2911" spans="1:25">
      <c r="A2911" t="s">
        <v>9796</v>
      </c>
      <c r="B2911" t="s">
        <v>9797</v>
      </c>
      <c r="D2911" t="s">
        <v>40</v>
      </c>
      <c r="E2911" t="s">
        <v>41</v>
      </c>
      <c r="J2911" t="s">
        <v>76</v>
      </c>
      <c r="K2911" t="s">
        <v>77</v>
      </c>
      <c r="L2911">
        <v>10</v>
      </c>
      <c r="M2911" t="s">
        <v>9785</v>
      </c>
      <c r="N2911" t="s">
        <v>64</v>
      </c>
      <c r="O2911" t="s">
        <v>46</v>
      </c>
      <c r="P2911" t="s">
        <v>46</v>
      </c>
      <c r="Y2911" t="s">
        <v>9798</v>
      </c>
    </row>
    <row r="2912" spans="1:25">
      <c r="A2912" t="s">
        <v>9799</v>
      </c>
      <c r="B2912" t="s">
        <v>9800</v>
      </c>
      <c r="D2912" t="s">
        <v>40</v>
      </c>
      <c r="E2912" t="s">
        <v>41</v>
      </c>
      <c r="J2912" t="s">
        <v>76</v>
      </c>
      <c r="K2912" t="s">
        <v>77</v>
      </c>
      <c r="L2912">
        <v>10</v>
      </c>
      <c r="M2912" t="s">
        <v>9801</v>
      </c>
      <c r="N2912" t="s">
        <v>64</v>
      </c>
      <c r="O2912" t="s">
        <v>46</v>
      </c>
      <c r="P2912" t="s">
        <v>46</v>
      </c>
      <c r="Y2912" t="s">
        <v>9802</v>
      </c>
    </row>
    <row r="2913" spans="1:25">
      <c r="A2913" t="s">
        <v>9803</v>
      </c>
      <c r="B2913" t="s">
        <v>9804</v>
      </c>
      <c r="D2913" t="s">
        <v>40</v>
      </c>
      <c r="E2913" t="s">
        <v>41</v>
      </c>
      <c r="J2913" t="s">
        <v>182</v>
      </c>
      <c r="K2913" t="s">
        <v>183</v>
      </c>
      <c r="L2913">
        <v>10</v>
      </c>
      <c r="M2913" t="s">
        <v>9805</v>
      </c>
      <c r="N2913" t="s">
        <v>64</v>
      </c>
      <c r="O2913" t="s">
        <v>46</v>
      </c>
      <c r="P2913" t="s">
        <v>46</v>
      </c>
      <c r="Y2913" t="s">
        <v>9806</v>
      </c>
    </row>
    <row r="2914" spans="1:25">
      <c r="A2914" t="s">
        <v>9807</v>
      </c>
      <c r="B2914" t="s">
        <v>9808</v>
      </c>
      <c r="D2914" t="s">
        <v>40</v>
      </c>
      <c r="E2914" t="s">
        <v>41</v>
      </c>
      <c r="J2914" t="s">
        <v>76</v>
      </c>
      <c r="K2914" t="s">
        <v>77</v>
      </c>
      <c r="L2914">
        <v>10</v>
      </c>
      <c r="M2914" t="s">
        <v>9809</v>
      </c>
      <c r="N2914" t="s">
        <v>64</v>
      </c>
      <c r="O2914" t="s">
        <v>46</v>
      </c>
      <c r="P2914" t="s">
        <v>46</v>
      </c>
      <c r="Y2914" t="s">
        <v>9810</v>
      </c>
    </row>
    <row r="2915" spans="1:25">
      <c r="A2915" t="s">
        <v>9811</v>
      </c>
      <c r="B2915" t="s">
        <v>9812</v>
      </c>
      <c r="D2915" t="s">
        <v>40</v>
      </c>
      <c r="E2915" t="s">
        <v>41</v>
      </c>
      <c r="J2915" t="s">
        <v>76</v>
      </c>
      <c r="K2915" t="s">
        <v>77</v>
      </c>
      <c r="L2915">
        <v>10</v>
      </c>
      <c r="M2915" t="s">
        <v>9809</v>
      </c>
      <c r="N2915" t="s">
        <v>64</v>
      </c>
      <c r="O2915" t="s">
        <v>46</v>
      </c>
      <c r="P2915" t="s">
        <v>46</v>
      </c>
      <c r="Y2915" t="s">
        <v>9813</v>
      </c>
    </row>
    <row r="2916" spans="1:25">
      <c r="A2916" t="s">
        <v>9814</v>
      </c>
      <c r="B2916" t="s">
        <v>9815</v>
      </c>
      <c r="D2916" t="s">
        <v>40</v>
      </c>
      <c r="E2916" t="s">
        <v>41</v>
      </c>
      <c r="J2916" t="s">
        <v>182</v>
      </c>
      <c r="K2916" t="s">
        <v>183</v>
      </c>
      <c r="L2916">
        <v>10</v>
      </c>
      <c r="M2916" t="s">
        <v>9809</v>
      </c>
      <c r="N2916" t="s">
        <v>64</v>
      </c>
      <c r="O2916" t="s">
        <v>46</v>
      </c>
      <c r="P2916" t="s">
        <v>46</v>
      </c>
      <c r="Y2916" t="s">
        <v>9816</v>
      </c>
    </row>
    <row r="2917" spans="1:25">
      <c r="A2917" t="s">
        <v>9817</v>
      </c>
      <c r="B2917" t="s">
        <v>9818</v>
      </c>
      <c r="D2917" t="s">
        <v>40</v>
      </c>
      <c r="E2917" t="s">
        <v>41</v>
      </c>
      <c r="J2917" t="s">
        <v>42</v>
      </c>
      <c r="K2917" t="s">
        <v>43</v>
      </c>
      <c r="L2917">
        <v>10</v>
      </c>
      <c r="M2917" t="s">
        <v>9809</v>
      </c>
      <c r="N2917" t="s">
        <v>5995</v>
      </c>
      <c r="O2917" t="s">
        <v>46</v>
      </c>
      <c r="P2917" t="s">
        <v>46</v>
      </c>
      <c r="Y2917" t="s">
        <v>9819</v>
      </c>
    </row>
    <row r="2918" spans="1:25">
      <c r="A2918" t="s">
        <v>9820</v>
      </c>
      <c r="B2918" t="s">
        <v>9821</v>
      </c>
      <c r="D2918" t="s">
        <v>40</v>
      </c>
      <c r="E2918" t="s">
        <v>41</v>
      </c>
      <c r="J2918" t="s">
        <v>76</v>
      </c>
      <c r="K2918" t="s">
        <v>77</v>
      </c>
      <c r="L2918">
        <v>10</v>
      </c>
      <c r="M2918" t="s">
        <v>9809</v>
      </c>
      <c r="N2918" t="s">
        <v>64</v>
      </c>
      <c r="O2918" t="s">
        <v>46</v>
      </c>
      <c r="P2918" t="s">
        <v>46</v>
      </c>
      <c r="Y2918" t="s">
        <v>9822</v>
      </c>
    </row>
    <row r="2919" spans="1:25">
      <c r="A2919" t="s">
        <v>9823</v>
      </c>
      <c r="B2919" t="s">
        <v>9824</v>
      </c>
      <c r="D2919" t="s">
        <v>40</v>
      </c>
      <c r="E2919" t="s">
        <v>41</v>
      </c>
      <c r="J2919" t="s">
        <v>182</v>
      </c>
      <c r="K2919" t="s">
        <v>183</v>
      </c>
      <c r="L2919">
        <v>10</v>
      </c>
      <c r="M2919" t="s">
        <v>9825</v>
      </c>
      <c r="N2919" t="s">
        <v>64</v>
      </c>
      <c r="O2919" t="s">
        <v>46</v>
      </c>
      <c r="P2919" t="s">
        <v>46</v>
      </c>
      <c r="Y2919" t="s">
        <v>9826</v>
      </c>
    </row>
    <row r="2920" spans="1:25">
      <c r="A2920" t="s">
        <v>9827</v>
      </c>
      <c r="B2920" t="s">
        <v>9828</v>
      </c>
      <c r="D2920" t="s">
        <v>40</v>
      </c>
      <c r="E2920" t="s">
        <v>41</v>
      </c>
      <c r="J2920" t="s">
        <v>182</v>
      </c>
      <c r="K2920" t="s">
        <v>183</v>
      </c>
      <c r="L2920">
        <v>10</v>
      </c>
      <c r="M2920" t="s">
        <v>9829</v>
      </c>
      <c r="N2920" t="s">
        <v>64</v>
      </c>
      <c r="O2920" t="s">
        <v>46</v>
      </c>
      <c r="P2920" t="s">
        <v>46</v>
      </c>
      <c r="Y2920" t="s">
        <v>9830</v>
      </c>
    </row>
    <row r="2921" spans="1:25">
      <c r="A2921" t="s">
        <v>9831</v>
      </c>
      <c r="B2921" t="s">
        <v>9832</v>
      </c>
      <c r="D2921" t="s">
        <v>40</v>
      </c>
      <c r="E2921" t="s">
        <v>41</v>
      </c>
      <c r="J2921" t="s">
        <v>182</v>
      </c>
      <c r="K2921" t="s">
        <v>183</v>
      </c>
      <c r="L2921">
        <v>10</v>
      </c>
      <c r="M2921" t="s">
        <v>9829</v>
      </c>
      <c r="N2921" t="s">
        <v>64</v>
      </c>
      <c r="O2921" t="s">
        <v>46</v>
      </c>
      <c r="P2921" t="s">
        <v>46</v>
      </c>
      <c r="Y2921" t="s">
        <v>9833</v>
      </c>
    </row>
    <row r="2922" spans="1:25">
      <c r="A2922" t="s">
        <v>9834</v>
      </c>
      <c r="B2922" t="s">
        <v>9835</v>
      </c>
      <c r="D2922" t="s">
        <v>40</v>
      </c>
      <c r="E2922" t="s">
        <v>41</v>
      </c>
      <c r="J2922" t="s">
        <v>182</v>
      </c>
      <c r="K2922" t="s">
        <v>183</v>
      </c>
      <c r="L2922">
        <v>10</v>
      </c>
      <c r="M2922" t="s">
        <v>9829</v>
      </c>
      <c r="N2922" t="s">
        <v>64</v>
      </c>
      <c r="O2922" t="s">
        <v>46</v>
      </c>
      <c r="P2922" t="s">
        <v>46</v>
      </c>
      <c r="Y2922" t="s">
        <v>9836</v>
      </c>
    </row>
    <row r="2923" spans="1:25">
      <c r="A2923" t="s">
        <v>9837</v>
      </c>
      <c r="B2923" t="s">
        <v>9838</v>
      </c>
      <c r="D2923" t="s">
        <v>40</v>
      </c>
      <c r="E2923" t="s">
        <v>41</v>
      </c>
      <c r="J2923" t="s">
        <v>182</v>
      </c>
      <c r="K2923" t="s">
        <v>183</v>
      </c>
      <c r="L2923">
        <v>10</v>
      </c>
      <c r="M2923" t="s">
        <v>9839</v>
      </c>
      <c r="N2923" t="s">
        <v>64</v>
      </c>
      <c r="O2923" t="s">
        <v>46</v>
      </c>
      <c r="P2923" t="s">
        <v>46</v>
      </c>
      <c r="Y2923" t="s">
        <v>9840</v>
      </c>
    </row>
    <row r="2924" spans="1:25">
      <c r="A2924" t="s">
        <v>9841</v>
      </c>
      <c r="B2924" t="s">
        <v>9842</v>
      </c>
      <c r="D2924" t="s">
        <v>40</v>
      </c>
      <c r="E2924" t="s">
        <v>41</v>
      </c>
      <c r="J2924" t="s">
        <v>264</v>
      </c>
      <c r="K2924" t="s">
        <v>265</v>
      </c>
      <c r="L2924">
        <v>8</v>
      </c>
      <c r="M2924" t="s">
        <v>9843</v>
      </c>
      <c r="N2924" t="s">
        <v>218</v>
      </c>
      <c r="O2924" t="s">
        <v>46</v>
      </c>
      <c r="P2924" t="s">
        <v>46</v>
      </c>
      <c r="Y2924" t="s">
        <v>9844</v>
      </c>
    </row>
    <row r="2925" spans="1:25">
      <c r="A2925" t="s">
        <v>9845</v>
      </c>
      <c r="B2925" t="s">
        <v>9846</v>
      </c>
      <c r="D2925" t="s">
        <v>40</v>
      </c>
      <c r="E2925" t="s">
        <v>41</v>
      </c>
      <c r="J2925" t="s">
        <v>76</v>
      </c>
      <c r="K2925" t="s">
        <v>77</v>
      </c>
      <c r="L2925">
        <v>10</v>
      </c>
      <c r="M2925" t="s">
        <v>9847</v>
      </c>
      <c r="N2925" t="s">
        <v>64</v>
      </c>
      <c r="O2925" t="s">
        <v>46</v>
      </c>
      <c r="P2925" t="s">
        <v>46</v>
      </c>
      <c r="Y2925" t="s">
        <v>9848</v>
      </c>
    </row>
    <row r="2926" spans="1:25">
      <c r="A2926" t="s">
        <v>9849</v>
      </c>
      <c r="B2926" t="s">
        <v>9850</v>
      </c>
      <c r="D2926" t="s">
        <v>40</v>
      </c>
      <c r="E2926" t="s">
        <v>41</v>
      </c>
      <c r="J2926" t="s">
        <v>182</v>
      </c>
      <c r="K2926" t="s">
        <v>183</v>
      </c>
      <c r="L2926">
        <v>10</v>
      </c>
      <c r="M2926" t="s">
        <v>9847</v>
      </c>
      <c r="N2926" t="s">
        <v>64</v>
      </c>
      <c r="O2926" t="s">
        <v>46</v>
      </c>
      <c r="P2926" t="s">
        <v>46</v>
      </c>
      <c r="Y2926" t="s">
        <v>9851</v>
      </c>
    </row>
    <row r="2927" spans="1:25">
      <c r="A2927" t="s">
        <v>9852</v>
      </c>
      <c r="B2927" t="s">
        <v>9853</v>
      </c>
      <c r="D2927" t="s">
        <v>40</v>
      </c>
      <c r="E2927" t="s">
        <v>41</v>
      </c>
      <c r="J2927" t="s">
        <v>76</v>
      </c>
      <c r="K2927" t="s">
        <v>77</v>
      </c>
      <c r="L2927">
        <v>10</v>
      </c>
      <c r="M2927" t="s">
        <v>9854</v>
      </c>
      <c r="N2927" t="s">
        <v>64</v>
      </c>
      <c r="O2927" t="s">
        <v>46</v>
      </c>
      <c r="P2927" t="s">
        <v>46</v>
      </c>
      <c r="Y2927" t="s">
        <v>9855</v>
      </c>
    </row>
    <row r="2928" spans="1:25">
      <c r="A2928" t="s">
        <v>9856</v>
      </c>
      <c r="B2928" t="s">
        <v>9857</v>
      </c>
      <c r="D2928" t="s">
        <v>40</v>
      </c>
      <c r="E2928" t="s">
        <v>41</v>
      </c>
      <c r="J2928" t="s">
        <v>182</v>
      </c>
      <c r="K2928" t="s">
        <v>183</v>
      </c>
      <c r="L2928">
        <v>10</v>
      </c>
      <c r="M2928" t="s">
        <v>9854</v>
      </c>
      <c r="N2928" t="s">
        <v>64</v>
      </c>
      <c r="O2928" t="s">
        <v>46</v>
      </c>
      <c r="P2928" t="s">
        <v>46</v>
      </c>
      <c r="Y2928" t="s">
        <v>9858</v>
      </c>
    </row>
    <row r="2929" spans="1:25">
      <c r="A2929" t="s">
        <v>9859</v>
      </c>
      <c r="B2929" t="s">
        <v>9860</v>
      </c>
      <c r="D2929" t="s">
        <v>40</v>
      </c>
      <c r="E2929" t="s">
        <v>41</v>
      </c>
      <c r="J2929" t="s">
        <v>76</v>
      </c>
      <c r="K2929" t="s">
        <v>77</v>
      </c>
      <c r="L2929">
        <v>10</v>
      </c>
      <c r="M2929" t="s">
        <v>9854</v>
      </c>
      <c r="N2929" t="s">
        <v>64</v>
      </c>
      <c r="O2929" t="s">
        <v>46</v>
      </c>
      <c r="P2929" t="s">
        <v>46</v>
      </c>
      <c r="Y2929" t="s">
        <v>9861</v>
      </c>
    </row>
    <row r="2930" spans="1:25">
      <c r="A2930" t="s">
        <v>9862</v>
      </c>
      <c r="B2930" t="s">
        <v>9863</v>
      </c>
      <c r="D2930" t="s">
        <v>40</v>
      </c>
      <c r="E2930" t="s">
        <v>41</v>
      </c>
      <c r="J2930" t="s">
        <v>76</v>
      </c>
      <c r="K2930" t="s">
        <v>77</v>
      </c>
      <c r="L2930">
        <v>10</v>
      </c>
      <c r="M2930" t="s">
        <v>9854</v>
      </c>
      <c r="N2930" t="s">
        <v>64</v>
      </c>
      <c r="O2930" t="s">
        <v>46</v>
      </c>
      <c r="P2930" t="s">
        <v>46</v>
      </c>
      <c r="Y2930" t="s">
        <v>9864</v>
      </c>
    </row>
    <row r="2931" spans="1:25">
      <c r="A2931" t="s">
        <v>9865</v>
      </c>
      <c r="B2931" t="s">
        <v>9866</v>
      </c>
      <c r="D2931" t="s">
        <v>40</v>
      </c>
      <c r="E2931" t="s">
        <v>41</v>
      </c>
      <c r="J2931" t="s">
        <v>182</v>
      </c>
      <c r="K2931" t="s">
        <v>183</v>
      </c>
      <c r="L2931">
        <v>10</v>
      </c>
      <c r="M2931" t="s">
        <v>9867</v>
      </c>
      <c r="N2931" t="s">
        <v>64</v>
      </c>
      <c r="O2931" t="s">
        <v>46</v>
      </c>
      <c r="P2931" t="s">
        <v>46</v>
      </c>
      <c r="Y2931" t="s">
        <v>9868</v>
      </c>
    </row>
    <row r="2932" spans="1:25">
      <c r="A2932" t="s">
        <v>9869</v>
      </c>
      <c r="B2932" t="s">
        <v>9870</v>
      </c>
      <c r="D2932" t="s">
        <v>40</v>
      </c>
      <c r="E2932" t="s">
        <v>41</v>
      </c>
      <c r="J2932" t="s">
        <v>182</v>
      </c>
      <c r="K2932" t="s">
        <v>183</v>
      </c>
      <c r="L2932">
        <v>10</v>
      </c>
      <c r="M2932" t="s">
        <v>9871</v>
      </c>
      <c r="N2932" t="s">
        <v>64</v>
      </c>
      <c r="O2932" t="s">
        <v>46</v>
      </c>
      <c r="P2932" t="s">
        <v>46</v>
      </c>
      <c r="Y2932" t="s">
        <v>9872</v>
      </c>
    </row>
    <row r="2933" spans="1:25">
      <c r="A2933" t="s">
        <v>9873</v>
      </c>
      <c r="B2933" t="s">
        <v>9874</v>
      </c>
      <c r="D2933" t="s">
        <v>40</v>
      </c>
      <c r="E2933" t="s">
        <v>41</v>
      </c>
      <c r="J2933" t="s">
        <v>76</v>
      </c>
      <c r="K2933" t="s">
        <v>77</v>
      </c>
      <c r="L2933">
        <v>10</v>
      </c>
      <c r="M2933" t="s">
        <v>9871</v>
      </c>
      <c r="N2933" t="s">
        <v>64</v>
      </c>
      <c r="O2933" t="s">
        <v>46</v>
      </c>
      <c r="P2933" t="s">
        <v>46</v>
      </c>
      <c r="Y2933" t="s">
        <v>9875</v>
      </c>
    </row>
    <row r="2934" spans="1:25">
      <c r="A2934" t="s">
        <v>9876</v>
      </c>
      <c r="B2934" t="s">
        <v>9877</v>
      </c>
      <c r="D2934" t="s">
        <v>40</v>
      </c>
      <c r="E2934" t="s">
        <v>41</v>
      </c>
      <c r="J2934" t="s">
        <v>68</v>
      </c>
      <c r="K2934" t="s">
        <v>69</v>
      </c>
      <c r="L2934">
        <v>10</v>
      </c>
      <c r="M2934" t="s">
        <v>9871</v>
      </c>
      <c r="N2934" t="s">
        <v>64</v>
      </c>
      <c r="O2934" t="s">
        <v>46</v>
      </c>
      <c r="P2934" t="s">
        <v>46</v>
      </c>
      <c r="Y2934" t="s">
        <v>9878</v>
      </c>
    </row>
    <row r="2935" spans="1:25">
      <c r="A2935" t="s">
        <v>9879</v>
      </c>
      <c r="B2935" t="s">
        <v>9880</v>
      </c>
      <c r="D2935" t="s">
        <v>40</v>
      </c>
      <c r="E2935" t="s">
        <v>41</v>
      </c>
      <c r="J2935" t="s">
        <v>1572</v>
      </c>
      <c r="K2935" t="s">
        <v>1573</v>
      </c>
      <c r="L2935">
        <v>10</v>
      </c>
      <c r="M2935" t="s">
        <v>9881</v>
      </c>
      <c r="N2935" t="s">
        <v>64</v>
      </c>
      <c r="O2935" t="s">
        <v>46</v>
      </c>
      <c r="P2935" t="s">
        <v>46</v>
      </c>
      <c r="Y2935" t="s">
        <v>9882</v>
      </c>
    </row>
    <row r="2936" spans="1:25">
      <c r="A2936" t="s">
        <v>9883</v>
      </c>
      <c r="B2936" t="s">
        <v>9884</v>
      </c>
      <c r="D2936" t="s">
        <v>40</v>
      </c>
      <c r="E2936" t="s">
        <v>41</v>
      </c>
      <c r="J2936" t="s">
        <v>182</v>
      </c>
      <c r="K2936" t="s">
        <v>183</v>
      </c>
      <c r="L2936">
        <v>10</v>
      </c>
      <c r="M2936" t="s">
        <v>9881</v>
      </c>
      <c r="N2936" t="s">
        <v>64</v>
      </c>
      <c r="O2936" t="s">
        <v>46</v>
      </c>
      <c r="P2936" t="s">
        <v>46</v>
      </c>
      <c r="Y2936" t="s">
        <v>9885</v>
      </c>
    </row>
    <row r="2937" spans="1:25">
      <c r="A2937" t="s">
        <v>9886</v>
      </c>
      <c r="B2937" t="s">
        <v>9887</v>
      </c>
      <c r="D2937" t="s">
        <v>40</v>
      </c>
      <c r="E2937" t="s">
        <v>41</v>
      </c>
      <c r="J2937" t="s">
        <v>182</v>
      </c>
      <c r="K2937" t="s">
        <v>183</v>
      </c>
      <c r="L2937">
        <v>9</v>
      </c>
      <c r="M2937" t="s">
        <v>9881</v>
      </c>
      <c r="N2937" t="s">
        <v>64</v>
      </c>
      <c r="O2937" t="s">
        <v>46</v>
      </c>
      <c r="P2937" t="s">
        <v>46</v>
      </c>
      <c r="Y2937" t="s">
        <v>9888</v>
      </c>
    </row>
    <row r="2938" spans="1:25">
      <c r="A2938" t="s">
        <v>9889</v>
      </c>
      <c r="B2938" t="s">
        <v>9890</v>
      </c>
      <c r="D2938" t="s">
        <v>40</v>
      </c>
      <c r="E2938" t="s">
        <v>41</v>
      </c>
      <c r="J2938" t="s">
        <v>1572</v>
      </c>
      <c r="K2938" t="s">
        <v>1573</v>
      </c>
      <c r="L2938">
        <v>9</v>
      </c>
      <c r="M2938" t="s">
        <v>9881</v>
      </c>
      <c r="N2938" t="s">
        <v>64</v>
      </c>
      <c r="O2938" t="s">
        <v>46</v>
      </c>
      <c r="P2938" t="s">
        <v>46</v>
      </c>
      <c r="Y2938" t="s">
        <v>9891</v>
      </c>
    </row>
    <row r="2939" spans="1:25">
      <c r="A2939" t="s">
        <v>9892</v>
      </c>
      <c r="B2939" t="s">
        <v>9893</v>
      </c>
      <c r="D2939" t="s">
        <v>40</v>
      </c>
      <c r="E2939" t="s">
        <v>41</v>
      </c>
      <c r="J2939" t="s">
        <v>9894</v>
      </c>
      <c r="K2939" t="s">
        <v>9895</v>
      </c>
      <c r="L2939">
        <v>10</v>
      </c>
      <c r="M2939" t="s">
        <v>9896</v>
      </c>
      <c r="N2939" t="s">
        <v>64</v>
      </c>
      <c r="O2939" t="s">
        <v>46</v>
      </c>
      <c r="P2939" t="s">
        <v>46</v>
      </c>
      <c r="Y2939" t="s">
        <v>9897</v>
      </c>
    </row>
    <row r="2940" spans="1:25">
      <c r="A2940" t="s">
        <v>9898</v>
      </c>
      <c r="B2940" t="s">
        <v>9899</v>
      </c>
      <c r="D2940" t="s">
        <v>40</v>
      </c>
      <c r="E2940" t="s">
        <v>41</v>
      </c>
      <c r="J2940" t="s">
        <v>139</v>
      </c>
      <c r="K2940" t="s">
        <v>140</v>
      </c>
      <c r="L2940">
        <v>10</v>
      </c>
      <c r="M2940" t="s">
        <v>9900</v>
      </c>
      <c r="N2940" t="s">
        <v>1258</v>
      </c>
      <c r="O2940" t="s">
        <v>46</v>
      </c>
      <c r="P2940" t="s">
        <v>46</v>
      </c>
      <c r="Y2940" t="s">
        <v>9901</v>
      </c>
    </row>
    <row r="2941" spans="1:25">
      <c r="A2941" t="s">
        <v>9902</v>
      </c>
      <c r="B2941" t="s">
        <v>9903</v>
      </c>
      <c r="D2941" t="s">
        <v>40</v>
      </c>
      <c r="E2941" t="s">
        <v>41</v>
      </c>
      <c r="J2941" t="s">
        <v>264</v>
      </c>
      <c r="K2941" t="s">
        <v>265</v>
      </c>
      <c r="L2941">
        <v>4</v>
      </c>
      <c r="M2941" t="s">
        <v>9900</v>
      </c>
      <c r="N2941" t="s">
        <v>5995</v>
      </c>
      <c r="O2941" t="s">
        <v>46</v>
      </c>
      <c r="P2941" t="s">
        <v>46</v>
      </c>
      <c r="Y2941" t="s">
        <v>9904</v>
      </c>
    </row>
    <row r="2942" spans="1:25">
      <c r="A2942" t="s">
        <v>9905</v>
      </c>
      <c r="B2942" t="s">
        <v>9906</v>
      </c>
      <c r="D2942" t="s">
        <v>40</v>
      </c>
      <c r="E2942" t="s">
        <v>41</v>
      </c>
      <c r="J2942" t="s">
        <v>248</v>
      </c>
      <c r="K2942" t="s">
        <v>249</v>
      </c>
      <c r="L2942">
        <v>10</v>
      </c>
      <c r="M2942" t="s">
        <v>9907</v>
      </c>
      <c r="N2942" t="s">
        <v>305</v>
      </c>
      <c r="O2942" t="s">
        <v>46</v>
      </c>
      <c r="P2942" t="s">
        <v>46</v>
      </c>
      <c r="Y2942" t="s">
        <v>9908</v>
      </c>
    </row>
    <row r="2943" spans="1:25">
      <c r="A2943" t="s">
        <v>9909</v>
      </c>
      <c r="B2943" t="s">
        <v>9910</v>
      </c>
      <c r="D2943" t="s">
        <v>40</v>
      </c>
      <c r="E2943" t="s">
        <v>41</v>
      </c>
      <c r="J2943" t="s">
        <v>76</v>
      </c>
      <c r="K2943" t="s">
        <v>77</v>
      </c>
      <c r="L2943">
        <v>10</v>
      </c>
      <c r="M2943" t="s">
        <v>9907</v>
      </c>
      <c r="N2943" t="s">
        <v>64</v>
      </c>
      <c r="O2943" t="s">
        <v>46</v>
      </c>
      <c r="P2943" t="s">
        <v>46</v>
      </c>
      <c r="Y2943" t="s">
        <v>9911</v>
      </c>
    </row>
    <row r="2944" spans="1:25">
      <c r="A2944" t="s">
        <v>9912</v>
      </c>
      <c r="B2944" t="s">
        <v>9913</v>
      </c>
      <c r="D2944" t="s">
        <v>40</v>
      </c>
      <c r="E2944" t="s">
        <v>41</v>
      </c>
      <c r="J2944" t="s">
        <v>68</v>
      </c>
      <c r="K2944" t="s">
        <v>69</v>
      </c>
      <c r="L2944">
        <v>10</v>
      </c>
      <c r="M2944" t="s">
        <v>9914</v>
      </c>
      <c r="N2944" t="s">
        <v>64</v>
      </c>
      <c r="O2944" t="s">
        <v>46</v>
      </c>
      <c r="P2944" t="s">
        <v>46</v>
      </c>
      <c r="Y2944" t="s">
        <v>9915</v>
      </c>
    </row>
    <row r="2945" spans="1:25">
      <c r="A2945" t="s">
        <v>9916</v>
      </c>
      <c r="B2945" t="s">
        <v>9917</v>
      </c>
      <c r="D2945" t="s">
        <v>40</v>
      </c>
      <c r="E2945" t="s">
        <v>41</v>
      </c>
      <c r="J2945" t="s">
        <v>62</v>
      </c>
      <c r="K2945" t="s">
        <v>63</v>
      </c>
      <c r="L2945">
        <v>7</v>
      </c>
      <c r="M2945" t="s">
        <v>9914</v>
      </c>
      <c r="N2945" t="s">
        <v>64</v>
      </c>
      <c r="O2945" t="s">
        <v>46</v>
      </c>
      <c r="P2945" t="s">
        <v>46</v>
      </c>
      <c r="Y2945" t="s">
        <v>9918</v>
      </c>
    </row>
    <row r="2946" spans="1:25">
      <c r="A2946" t="s">
        <v>9919</v>
      </c>
      <c r="B2946" t="s">
        <v>9920</v>
      </c>
      <c r="D2946" t="s">
        <v>40</v>
      </c>
      <c r="E2946" t="s">
        <v>41</v>
      </c>
      <c r="J2946" t="s">
        <v>182</v>
      </c>
      <c r="K2946" t="s">
        <v>183</v>
      </c>
      <c r="L2946">
        <v>7</v>
      </c>
      <c r="M2946" t="s">
        <v>9914</v>
      </c>
      <c r="N2946" t="s">
        <v>64</v>
      </c>
      <c r="O2946" t="s">
        <v>46</v>
      </c>
      <c r="P2946" t="s">
        <v>46</v>
      </c>
      <c r="Y2946" t="s">
        <v>9921</v>
      </c>
    </row>
    <row r="2947" spans="1:25">
      <c r="A2947" t="s">
        <v>9922</v>
      </c>
      <c r="B2947" t="s">
        <v>9923</v>
      </c>
      <c r="D2947" t="s">
        <v>40</v>
      </c>
      <c r="E2947" t="s">
        <v>41</v>
      </c>
      <c r="J2947" t="s">
        <v>182</v>
      </c>
      <c r="K2947" t="s">
        <v>183</v>
      </c>
      <c r="L2947">
        <v>10</v>
      </c>
      <c r="M2947" t="s">
        <v>9924</v>
      </c>
      <c r="N2947" t="s">
        <v>64</v>
      </c>
      <c r="O2947" t="s">
        <v>46</v>
      </c>
      <c r="P2947" t="s">
        <v>46</v>
      </c>
      <c r="Y2947" t="s">
        <v>9925</v>
      </c>
    </row>
    <row r="2948" spans="1:25">
      <c r="A2948" t="s">
        <v>9926</v>
      </c>
      <c r="B2948" t="s">
        <v>9927</v>
      </c>
      <c r="D2948" t="s">
        <v>40</v>
      </c>
      <c r="E2948" t="s">
        <v>41</v>
      </c>
      <c r="J2948" t="s">
        <v>76</v>
      </c>
      <c r="K2948" t="s">
        <v>77</v>
      </c>
      <c r="L2948">
        <v>10</v>
      </c>
      <c r="M2948" t="s">
        <v>9924</v>
      </c>
      <c r="N2948" t="s">
        <v>64</v>
      </c>
      <c r="O2948" t="s">
        <v>46</v>
      </c>
      <c r="P2948" t="s">
        <v>46</v>
      </c>
      <c r="Y2948" t="s">
        <v>9928</v>
      </c>
    </row>
    <row r="2949" spans="1:25">
      <c r="A2949" t="s">
        <v>9929</v>
      </c>
      <c r="B2949" t="s">
        <v>9930</v>
      </c>
      <c r="D2949" t="s">
        <v>40</v>
      </c>
      <c r="E2949" t="s">
        <v>41</v>
      </c>
      <c r="J2949" t="s">
        <v>182</v>
      </c>
      <c r="K2949" t="s">
        <v>183</v>
      </c>
      <c r="L2949">
        <v>10</v>
      </c>
      <c r="M2949" t="s">
        <v>9931</v>
      </c>
      <c r="N2949" t="s">
        <v>64</v>
      </c>
      <c r="O2949" t="s">
        <v>46</v>
      </c>
      <c r="P2949" t="s">
        <v>46</v>
      </c>
      <c r="Y2949" t="s">
        <v>9932</v>
      </c>
    </row>
    <row r="2950" spans="1:25">
      <c r="A2950" t="s">
        <v>9933</v>
      </c>
      <c r="B2950" t="s">
        <v>9934</v>
      </c>
      <c r="D2950" t="s">
        <v>40</v>
      </c>
      <c r="E2950" t="s">
        <v>41</v>
      </c>
      <c r="J2950" t="s">
        <v>182</v>
      </c>
      <c r="K2950" t="s">
        <v>183</v>
      </c>
      <c r="L2950">
        <v>10</v>
      </c>
      <c r="M2950" t="s">
        <v>9931</v>
      </c>
      <c r="N2950" t="s">
        <v>64</v>
      </c>
      <c r="O2950" t="s">
        <v>46</v>
      </c>
      <c r="P2950" t="s">
        <v>46</v>
      </c>
      <c r="Y2950" t="s">
        <v>9935</v>
      </c>
    </row>
    <row r="2951" spans="1:25">
      <c r="A2951" t="s">
        <v>9936</v>
      </c>
      <c r="B2951" t="s">
        <v>9937</v>
      </c>
      <c r="D2951" t="s">
        <v>40</v>
      </c>
      <c r="E2951" t="s">
        <v>41</v>
      </c>
      <c r="J2951" t="s">
        <v>182</v>
      </c>
      <c r="K2951" t="s">
        <v>183</v>
      </c>
      <c r="L2951">
        <v>10</v>
      </c>
      <c r="M2951" t="s">
        <v>9938</v>
      </c>
      <c r="N2951" t="s">
        <v>64</v>
      </c>
      <c r="O2951" t="s">
        <v>46</v>
      </c>
      <c r="P2951" t="s">
        <v>46</v>
      </c>
      <c r="Y2951" t="s">
        <v>9939</v>
      </c>
    </row>
    <row r="2952" spans="1:25">
      <c r="A2952" t="s">
        <v>9940</v>
      </c>
      <c r="B2952" t="s">
        <v>9941</v>
      </c>
      <c r="D2952" t="s">
        <v>40</v>
      </c>
      <c r="E2952" t="s">
        <v>41</v>
      </c>
      <c r="J2952" t="s">
        <v>182</v>
      </c>
      <c r="K2952" t="s">
        <v>183</v>
      </c>
      <c r="L2952">
        <v>10</v>
      </c>
      <c r="M2952" t="s">
        <v>9942</v>
      </c>
      <c r="N2952" t="s">
        <v>64</v>
      </c>
      <c r="O2952" t="s">
        <v>46</v>
      </c>
      <c r="P2952" t="s">
        <v>46</v>
      </c>
      <c r="Y2952" t="s">
        <v>9943</v>
      </c>
    </row>
    <row r="2953" spans="1:25">
      <c r="A2953" t="s">
        <v>9944</v>
      </c>
      <c r="B2953" t="s">
        <v>9945</v>
      </c>
      <c r="D2953" t="s">
        <v>40</v>
      </c>
      <c r="E2953" t="s">
        <v>41</v>
      </c>
      <c r="J2953" t="s">
        <v>182</v>
      </c>
      <c r="K2953" t="s">
        <v>183</v>
      </c>
      <c r="L2953">
        <v>10</v>
      </c>
      <c r="M2953" t="s">
        <v>9946</v>
      </c>
      <c r="N2953" t="s">
        <v>64</v>
      </c>
      <c r="O2953" t="s">
        <v>46</v>
      </c>
      <c r="P2953" t="s">
        <v>46</v>
      </c>
      <c r="Y2953" t="s">
        <v>9947</v>
      </c>
    </row>
    <row r="2954" spans="1:25">
      <c r="A2954" t="s">
        <v>9948</v>
      </c>
      <c r="B2954" t="s">
        <v>9949</v>
      </c>
      <c r="D2954" t="s">
        <v>40</v>
      </c>
      <c r="E2954" t="s">
        <v>41</v>
      </c>
      <c r="J2954" t="s">
        <v>182</v>
      </c>
      <c r="K2954" t="s">
        <v>183</v>
      </c>
      <c r="L2954">
        <v>10</v>
      </c>
      <c r="M2954" t="s">
        <v>9946</v>
      </c>
      <c r="N2954" t="s">
        <v>64</v>
      </c>
      <c r="O2954" t="s">
        <v>46</v>
      </c>
      <c r="P2954" t="s">
        <v>46</v>
      </c>
      <c r="Y2954" t="s">
        <v>9950</v>
      </c>
    </row>
    <row r="2955" spans="1:25">
      <c r="A2955" t="s">
        <v>9951</v>
      </c>
      <c r="B2955" t="s">
        <v>9952</v>
      </c>
      <c r="D2955" t="s">
        <v>40</v>
      </c>
      <c r="E2955" t="s">
        <v>41</v>
      </c>
      <c r="J2955" t="s">
        <v>1572</v>
      </c>
      <c r="K2955" t="s">
        <v>1573</v>
      </c>
      <c r="L2955">
        <v>10</v>
      </c>
      <c r="M2955" t="s">
        <v>9946</v>
      </c>
      <c r="N2955" t="s">
        <v>64</v>
      </c>
      <c r="O2955" t="s">
        <v>46</v>
      </c>
      <c r="P2955" t="s">
        <v>46</v>
      </c>
      <c r="Y2955" t="s">
        <v>9953</v>
      </c>
    </row>
    <row r="2956" spans="1:25">
      <c r="A2956" t="s">
        <v>9954</v>
      </c>
      <c r="B2956" t="s">
        <v>9955</v>
      </c>
      <c r="D2956" t="s">
        <v>40</v>
      </c>
      <c r="E2956" t="s">
        <v>41</v>
      </c>
      <c r="J2956" t="s">
        <v>42</v>
      </c>
      <c r="K2956" t="s">
        <v>43</v>
      </c>
      <c r="L2956">
        <v>10</v>
      </c>
      <c r="M2956" t="s">
        <v>9946</v>
      </c>
      <c r="N2956" t="s">
        <v>305</v>
      </c>
      <c r="O2956" t="s">
        <v>46</v>
      </c>
      <c r="P2956" t="s">
        <v>46</v>
      </c>
      <c r="Y2956" t="s">
        <v>9956</v>
      </c>
    </row>
    <row r="2957" spans="1:25">
      <c r="A2957" t="s">
        <v>9957</v>
      </c>
      <c r="B2957" t="s">
        <v>9958</v>
      </c>
      <c r="D2957" t="s">
        <v>40</v>
      </c>
      <c r="E2957" t="s">
        <v>41</v>
      </c>
      <c r="J2957" t="s">
        <v>68</v>
      </c>
      <c r="K2957" t="s">
        <v>69</v>
      </c>
      <c r="L2957">
        <v>10</v>
      </c>
      <c r="M2957" t="s">
        <v>9946</v>
      </c>
      <c r="N2957" t="s">
        <v>64</v>
      </c>
      <c r="O2957" t="s">
        <v>46</v>
      </c>
      <c r="P2957" t="s">
        <v>46</v>
      </c>
      <c r="Y2957" t="s">
        <v>9959</v>
      </c>
    </row>
    <row r="2958" spans="1:25">
      <c r="A2958" t="s">
        <v>9960</v>
      </c>
      <c r="B2958" t="s">
        <v>9961</v>
      </c>
      <c r="D2958" t="s">
        <v>40</v>
      </c>
      <c r="E2958" t="s">
        <v>41</v>
      </c>
      <c r="J2958" t="s">
        <v>182</v>
      </c>
      <c r="K2958" t="s">
        <v>183</v>
      </c>
      <c r="L2958">
        <v>10</v>
      </c>
      <c r="M2958" t="s">
        <v>9946</v>
      </c>
      <c r="N2958" t="s">
        <v>64</v>
      </c>
      <c r="O2958" t="s">
        <v>46</v>
      </c>
      <c r="P2958" t="s">
        <v>46</v>
      </c>
      <c r="Y2958" t="s">
        <v>9962</v>
      </c>
    </row>
    <row r="2959" spans="1:25">
      <c r="A2959" t="s">
        <v>9963</v>
      </c>
      <c r="B2959" t="s">
        <v>9964</v>
      </c>
      <c r="D2959" t="s">
        <v>40</v>
      </c>
      <c r="E2959" t="s">
        <v>41</v>
      </c>
      <c r="J2959" t="s">
        <v>182</v>
      </c>
      <c r="K2959" t="s">
        <v>183</v>
      </c>
      <c r="L2959">
        <v>10</v>
      </c>
      <c r="M2959" t="s">
        <v>9946</v>
      </c>
      <c r="N2959" t="s">
        <v>64</v>
      </c>
      <c r="O2959" t="s">
        <v>46</v>
      </c>
      <c r="P2959" t="s">
        <v>46</v>
      </c>
      <c r="Y2959" t="s">
        <v>9965</v>
      </c>
    </row>
    <row r="2960" spans="1:25">
      <c r="A2960" t="s">
        <v>9966</v>
      </c>
      <c r="B2960" t="s">
        <v>9967</v>
      </c>
      <c r="D2960" t="s">
        <v>40</v>
      </c>
      <c r="E2960" t="s">
        <v>41</v>
      </c>
      <c r="J2960" t="s">
        <v>182</v>
      </c>
      <c r="K2960" t="s">
        <v>183</v>
      </c>
      <c r="L2960">
        <v>10</v>
      </c>
      <c r="M2960" t="s">
        <v>9968</v>
      </c>
      <c r="N2960" t="s">
        <v>64</v>
      </c>
      <c r="O2960" t="s">
        <v>46</v>
      </c>
      <c r="P2960" t="s">
        <v>46</v>
      </c>
      <c r="Y2960" t="s">
        <v>9969</v>
      </c>
    </row>
    <row r="2961" spans="1:25">
      <c r="A2961" t="s">
        <v>9970</v>
      </c>
      <c r="B2961" t="s">
        <v>9971</v>
      </c>
      <c r="D2961" t="s">
        <v>40</v>
      </c>
      <c r="E2961" t="s">
        <v>41</v>
      </c>
      <c r="J2961" t="s">
        <v>68</v>
      </c>
      <c r="K2961" t="s">
        <v>69</v>
      </c>
      <c r="L2961">
        <v>10</v>
      </c>
      <c r="M2961" t="s">
        <v>9968</v>
      </c>
      <c r="N2961" t="s">
        <v>64</v>
      </c>
      <c r="O2961" t="s">
        <v>46</v>
      </c>
      <c r="P2961" t="s">
        <v>46</v>
      </c>
      <c r="Y2961" t="s">
        <v>9972</v>
      </c>
    </row>
    <row r="2962" spans="1:25">
      <c r="A2962" t="s">
        <v>9973</v>
      </c>
      <c r="B2962" t="s">
        <v>9974</v>
      </c>
      <c r="D2962" t="s">
        <v>40</v>
      </c>
      <c r="E2962" t="s">
        <v>41</v>
      </c>
      <c r="J2962" t="s">
        <v>182</v>
      </c>
      <c r="K2962" t="s">
        <v>183</v>
      </c>
      <c r="L2962">
        <v>10</v>
      </c>
      <c r="M2962" t="s">
        <v>9968</v>
      </c>
      <c r="N2962" t="s">
        <v>64</v>
      </c>
      <c r="O2962" t="s">
        <v>46</v>
      </c>
      <c r="P2962" t="s">
        <v>46</v>
      </c>
      <c r="Y2962" t="s">
        <v>9975</v>
      </c>
    </row>
    <row r="2963" spans="1:25">
      <c r="A2963" t="s">
        <v>9976</v>
      </c>
      <c r="B2963" t="s">
        <v>9977</v>
      </c>
      <c r="D2963" t="s">
        <v>40</v>
      </c>
      <c r="E2963" t="s">
        <v>41</v>
      </c>
      <c r="J2963" t="s">
        <v>182</v>
      </c>
      <c r="K2963" t="s">
        <v>183</v>
      </c>
      <c r="L2963">
        <v>10</v>
      </c>
      <c r="M2963" t="s">
        <v>9968</v>
      </c>
      <c r="N2963" t="s">
        <v>64</v>
      </c>
      <c r="O2963" t="s">
        <v>46</v>
      </c>
      <c r="P2963" t="s">
        <v>46</v>
      </c>
      <c r="Y2963" t="s">
        <v>9978</v>
      </c>
    </row>
    <row r="2964" spans="1:25">
      <c r="A2964" t="s">
        <v>9979</v>
      </c>
      <c r="B2964" t="s">
        <v>9980</v>
      </c>
      <c r="D2964" t="s">
        <v>40</v>
      </c>
      <c r="E2964" t="s">
        <v>41</v>
      </c>
      <c r="J2964" t="s">
        <v>76</v>
      </c>
      <c r="K2964" t="s">
        <v>77</v>
      </c>
      <c r="L2964">
        <v>10</v>
      </c>
      <c r="M2964" t="s">
        <v>9981</v>
      </c>
      <c r="N2964" t="s">
        <v>64</v>
      </c>
      <c r="O2964" t="s">
        <v>46</v>
      </c>
      <c r="P2964" t="s">
        <v>46</v>
      </c>
      <c r="Y2964" t="s">
        <v>9982</v>
      </c>
    </row>
    <row r="2965" spans="1:25">
      <c r="A2965" t="s">
        <v>9983</v>
      </c>
      <c r="B2965" t="s">
        <v>9984</v>
      </c>
      <c r="D2965" t="s">
        <v>40</v>
      </c>
      <c r="E2965" t="s">
        <v>41</v>
      </c>
      <c r="J2965" t="s">
        <v>68</v>
      </c>
      <c r="K2965" t="s">
        <v>69</v>
      </c>
      <c r="L2965">
        <v>10</v>
      </c>
      <c r="M2965" t="s">
        <v>9985</v>
      </c>
      <c r="N2965" t="s">
        <v>64</v>
      </c>
      <c r="O2965" t="s">
        <v>46</v>
      </c>
      <c r="P2965" t="s">
        <v>46</v>
      </c>
      <c r="Y2965" t="s">
        <v>9986</v>
      </c>
    </row>
    <row r="2966" spans="1:25">
      <c r="A2966" t="s">
        <v>9987</v>
      </c>
      <c r="B2966" t="s">
        <v>9988</v>
      </c>
      <c r="D2966" t="s">
        <v>40</v>
      </c>
      <c r="E2966" t="s">
        <v>41</v>
      </c>
      <c r="J2966" t="s">
        <v>182</v>
      </c>
      <c r="K2966" t="s">
        <v>183</v>
      </c>
      <c r="L2966">
        <v>10</v>
      </c>
      <c r="M2966" t="s">
        <v>9989</v>
      </c>
      <c r="N2966" t="s">
        <v>64</v>
      </c>
      <c r="O2966" t="s">
        <v>46</v>
      </c>
      <c r="P2966" t="s">
        <v>46</v>
      </c>
      <c r="Y2966" t="s">
        <v>9990</v>
      </c>
    </row>
    <row r="2967" spans="1:25">
      <c r="A2967" t="s">
        <v>9991</v>
      </c>
      <c r="B2967" t="s">
        <v>9992</v>
      </c>
      <c r="D2967" t="s">
        <v>40</v>
      </c>
      <c r="E2967" t="s">
        <v>41</v>
      </c>
      <c r="J2967" t="s">
        <v>182</v>
      </c>
      <c r="K2967" t="s">
        <v>183</v>
      </c>
      <c r="L2967">
        <v>10</v>
      </c>
      <c r="M2967" t="s">
        <v>9989</v>
      </c>
      <c r="N2967" t="s">
        <v>64</v>
      </c>
      <c r="O2967" t="s">
        <v>46</v>
      </c>
      <c r="P2967" t="s">
        <v>46</v>
      </c>
      <c r="Y2967" t="s">
        <v>9993</v>
      </c>
    </row>
    <row r="2968" spans="1:25">
      <c r="A2968" t="s">
        <v>9994</v>
      </c>
      <c r="B2968" t="s">
        <v>9995</v>
      </c>
      <c r="D2968" t="s">
        <v>40</v>
      </c>
      <c r="E2968" t="s">
        <v>41</v>
      </c>
      <c r="J2968" t="s">
        <v>76</v>
      </c>
      <c r="K2968" t="s">
        <v>77</v>
      </c>
      <c r="L2968">
        <v>10</v>
      </c>
      <c r="M2968" t="s">
        <v>9989</v>
      </c>
      <c r="N2968" t="s">
        <v>64</v>
      </c>
      <c r="O2968" t="s">
        <v>46</v>
      </c>
      <c r="P2968" t="s">
        <v>46</v>
      </c>
      <c r="Y2968" t="s">
        <v>9996</v>
      </c>
    </row>
    <row r="2969" spans="1:25">
      <c r="A2969" t="s">
        <v>9997</v>
      </c>
      <c r="B2969" t="s">
        <v>9998</v>
      </c>
      <c r="D2969" t="s">
        <v>40</v>
      </c>
      <c r="E2969" t="s">
        <v>41</v>
      </c>
      <c r="J2969" t="s">
        <v>182</v>
      </c>
      <c r="K2969" t="s">
        <v>183</v>
      </c>
      <c r="L2969">
        <v>10</v>
      </c>
      <c r="M2969" t="s">
        <v>9989</v>
      </c>
      <c r="N2969" t="s">
        <v>64</v>
      </c>
      <c r="O2969" t="s">
        <v>46</v>
      </c>
      <c r="P2969" t="s">
        <v>46</v>
      </c>
      <c r="Y2969" t="s">
        <v>9999</v>
      </c>
    </row>
    <row r="2970" spans="1:25">
      <c r="A2970" t="s">
        <v>10000</v>
      </c>
      <c r="B2970" t="s">
        <v>10001</v>
      </c>
      <c r="D2970" t="s">
        <v>40</v>
      </c>
      <c r="E2970" t="s">
        <v>41</v>
      </c>
      <c r="J2970" t="s">
        <v>182</v>
      </c>
      <c r="K2970" t="s">
        <v>183</v>
      </c>
      <c r="L2970">
        <v>10</v>
      </c>
      <c r="M2970" t="s">
        <v>10002</v>
      </c>
      <c r="N2970" t="s">
        <v>64</v>
      </c>
      <c r="O2970" t="s">
        <v>46</v>
      </c>
      <c r="P2970" t="s">
        <v>46</v>
      </c>
      <c r="Y2970" t="s">
        <v>10003</v>
      </c>
    </row>
    <row r="2971" spans="1:25">
      <c r="A2971" t="s">
        <v>10004</v>
      </c>
      <c r="B2971" t="s">
        <v>10005</v>
      </c>
      <c r="D2971" t="s">
        <v>40</v>
      </c>
      <c r="E2971" t="s">
        <v>41</v>
      </c>
      <c r="J2971" t="s">
        <v>182</v>
      </c>
      <c r="K2971" t="s">
        <v>183</v>
      </c>
      <c r="L2971">
        <v>10</v>
      </c>
      <c r="M2971" t="s">
        <v>10002</v>
      </c>
      <c r="N2971" t="s">
        <v>64</v>
      </c>
      <c r="O2971" t="s">
        <v>46</v>
      </c>
      <c r="P2971" t="s">
        <v>46</v>
      </c>
      <c r="Y2971" t="s">
        <v>10006</v>
      </c>
    </row>
    <row r="2972" spans="1:25">
      <c r="A2972" t="s">
        <v>10007</v>
      </c>
      <c r="B2972" t="s">
        <v>10008</v>
      </c>
      <c r="D2972" t="s">
        <v>40</v>
      </c>
      <c r="E2972" t="s">
        <v>41</v>
      </c>
      <c r="J2972" t="s">
        <v>182</v>
      </c>
      <c r="K2972" t="s">
        <v>183</v>
      </c>
      <c r="L2972">
        <v>10</v>
      </c>
      <c r="M2972" t="s">
        <v>10002</v>
      </c>
      <c r="N2972" t="s">
        <v>64</v>
      </c>
      <c r="O2972" t="s">
        <v>46</v>
      </c>
      <c r="P2972" t="s">
        <v>46</v>
      </c>
      <c r="Y2972" t="s">
        <v>10009</v>
      </c>
    </row>
    <row r="2973" spans="1:25">
      <c r="A2973" t="s">
        <v>10010</v>
      </c>
      <c r="B2973" t="s">
        <v>10011</v>
      </c>
      <c r="D2973" t="s">
        <v>40</v>
      </c>
      <c r="E2973" t="s">
        <v>41</v>
      </c>
      <c r="J2973" t="s">
        <v>76</v>
      </c>
      <c r="K2973" t="s">
        <v>77</v>
      </c>
      <c r="L2973">
        <v>10</v>
      </c>
      <c r="M2973" t="s">
        <v>10002</v>
      </c>
      <c r="N2973" t="s">
        <v>64</v>
      </c>
      <c r="O2973" t="s">
        <v>46</v>
      </c>
      <c r="P2973" t="s">
        <v>46</v>
      </c>
      <c r="Y2973" t="s">
        <v>10012</v>
      </c>
    </row>
    <row r="2974" spans="1:25">
      <c r="A2974" t="s">
        <v>10013</v>
      </c>
      <c r="B2974" t="s">
        <v>10014</v>
      </c>
      <c r="D2974" t="s">
        <v>40</v>
      </c>
      <c r="E2974" t="s">
        <v>41</v>
      </c>
      <c r="J2974" t="s">
        <v>182</v>
      </c>
      <c r="K2974" t="s">
        <v>183</v>
      </c>
      <c r="L2974">
        <v>10</v>
      </c>
      <c r="M2974" t="s">
        <v>10002</v>
      </c>
      <c r="N2974" t="s">
        <v>64</v>
      </c>
      <c r="O2974" t="s">
        <v>46</v>
      </c>
      <c r="P2974" t="s">
        <v>46</v>
      </c>
      <c r="Y2974" t="s">
        <v>10015</v>
      </c>
    </row>
    <row r="2975" spans="1:25">
      <c r="A2975" t="s">
        <v>10016</v>
      </c>
      <c r="B2975" t="s">
        <v>10017</v>
      </c>
      <c r="D2975" t="s">
        <v>40</v>
      </c>
      <c r="E2975" t="s">
        <v>41</v>
      </c>
      <c r="J2975" t="s">
        <v>76</v>
      </c>
      <c r="K2975" t="s">
        <v>77</v>
      </c>
      <c r="L2975">
        <v>10</v>
      </c>
      <c r="M2975" t="s">
        <v>10018</v>
      </c>
      <c r="N2975" t="s">
        <v>64</v>
      </c>
      <c r="O2975" t="s">
        <v>46</v>
      </c>
      <c r="P2975" t="s">
        <v>46</v>
      </c>
      <c r="Y2975" t="s">
        <v>10019</v>
      </c>
    </row>
    <row r="2976" spans="1:25">
      <c r="A2976" t="s">
        <v>10020</v>
      </c>
      <c r="B2976" t="s">
        <v>10021</v>
      </c>
      <c r="D2976" t="s">
        <v>40</v>
      </c>
      <c r="E2976" t="s">
        <v>41</v>
      </c>
      <c r="J2976" t="s">
        <v>76</v>
      </c>
      <c r="K2976" t="s">
        <v>77</v>
      </c>
      <c r="L2976">
        <v>10</v>
      </c>
      <c r="M2976" t="s">
        <v>10018</v>
      </c>
      <c r="N2976" t="s">
        <v>64</v>
      </c>
      <c r="O2976" t="s">
        <v>46</v>
      </c>
      <c r="P2976" t="s">
        <v>46</v>
      </c>
      <c r="Y2976" t="s">
        <v>10022</v>
      </c>
    </row>
    <row r="2977" spans="1:25">
      <c r="A2977" t="s">
        <v>10023</v>
      </c>
      <c r="B2977" t="s">
        <v>10024</v>
      </c>
      <c r="D2977" t="s">
        <v>40</v>
      </c>
      <c r="E2977" t="s">
        <v>41</v>
      </c>
      <c r="J2977" t="s">
        <v>76</v>
      </c>
      <c r="K2977" t="s">
        <v>77</v>
      </c>
      <c r="L2977">
        <v>10</v>
      </c>
      <c r="M2977" t="s">
        <v>10018</v>
      </c>
      <c r="N2977" t="s">
        <v>64</v>
      </c>
      <c r="O2977" t="s">
        <v>46</v>
      </c>
      <c r="P2977" t="s">
        <v>46</v>
      </c>
      <c r="Y2977" t="s">
        <v>10025</v>
      </c>
    </row>
    <row r="2978" spans="1:25">
      <c r="A2978" t="s">
        <v>10026</v>
      </c>
      <c r="B2978" t="s">
        <v>10027</v>
      </c>
      <c r="D2978" t="s">
        <v>40</v>
      </c>
      <c r="E2978" t="s">
        <v>41</v>
      </c>
      <c r="J2978" t="s">
        <v>76</v>
      </c>
      <c r="K2978" t="s">
        <v>77</v>
      </c>
      <c r="L2978">
        <v>10</v>
      </c>
      <c r="M2978" t="s">
        <v>10028</v>
      </c>
      <c r="N2978" t="s">
        <v>64</v>
      </c>
      <c r="O2978" t="s">
        <v>46</v>
      </c>
      <c r="P2978" t="s">
        <v>46</v>
      </c>
      <c r="Y2978" t="s">
        <v>10029</v>
      </c>
    </row>
    <row r="2979" spans="1:25">
      <c r="A2979" t="s">
        <v>10030</v>
      </c>
      <c r="B2979" t="s">
        <v>10031</v>
      </c>
      <c r="D2979" t="s">
        <v>40</v>
      </c>
      <c r="E2979" t="s">
        <v>41</v>
      </c>
      <c r="J2979" t="s">
        <v>182</v>
      </c>
      <c r="K2979" t="s">
        <v>183</v>
      </c>
      <c r="L2979">
        <v>10</v>
      </c>
      <c r="M2979" t="s">
        <v>10028</v>
      </c>
      <c r="N2979" t="s">
        <v>64</v>
      </c>
      <c r="O2979" t="s">
        <v>46</v>
      </c>
      <c r="P2979" t="s">
        <v>46</v>
      </c>
      <c r="Y2979" t="s">
        <v>10032</v>
      </c>
    </row>
    <row r="2980" spans="1:25">
      <c r="A2980" t="s">
        <v>10033</v>
      </c>
      <c r="B2980" t="s">
        <v>10034</v>
      </c>
      <c r="D2980" t="s">
        <v>40</v>
      </c>
      <c r="E2980" t="s">
        <v>41</v>
      </c>
      <c r="J2980" t="s">
        <v>182</v>
      </c>
      <c r="K2980" t="s">
        <v>183</v>
      </c>
      <c r="L2980">
        <v>10</v>
      </c>
      <c r="M2980" t="s">
        <v>10028</v>
      </c>
      <c r="N2980" t="s">
        <v>64</v>
      </c>
      <c r="O2980" t="s">
        <v>46</v>
      </c>
      <c r="P2980" t="s">
        <v>46</v>
      </c>
      <c r="Y2980" t="s">
        <v>10035</v>
      </c>
    </row>
    <row r="2981" spans="1:25">
      <c r="A2981" t="s">
        <v>10036</v>
      </c>
      <c r="B2981" t="s">
        <v>10037</v>
      </c>
      <c r="D2981" t="s">
        <v>40</v>
      </c>
      <c r="E2981" t="s">
        <v>41</v>
      </c>
      <c r="J2981" t="s">
        <v>182</v>
      </c>
      <c r="K2981" t="s">
        <v>183</v>
      </c>
      <c r="L2981">
        <v>10</v>
      </c>
      <c r="M2981" t="s">
        <v>10028</v>
      </c>
      <c r="N2981" t="s">
        <v>64</v>
      </c>
      <c r="O2981" t="s">
        <v>46</v>
      </c>
      <c r="P2981" t="s">
        <v>46</v>
      </c>
      <c r="Y2981" t="s">
        <v>10038</v>
      </c>
    </row>
    <row r="2982" spans="1:25">
      <c r="A2982" t="s">
        <v>10039</v>
      </c>
      <c r="B2982" t="s">
        <v>10040</v>
      </c>
      <c r="D2982" t="s">
        <v>40</v>
      </c>
      <c r="E2982" t="s">
        <v>41</v>
      </c>
      <c r="J2982" t="s">
        <v>9159</v>
      </c>
      <c r="K2982" t="s">
        <v>9160</v>
      </c>
      <c r="L2982">
        <v>10</v>
      </c>
      <c r="M2982" t="s">
        <v>10041</v>
      </c>
      <c r="N2982" t="s">
        <v>1369</v>
      </c>
      <c r="O2982" t="s">
        <v>46</v>
      </c>
      <c r="P2982" t="s">
        <v>46</v>
      </c>
      <c r="Y2982" t="s">
        <v>10042</v>
      </c>
    </row>
    <row r="2983" spans="1:25">
      <c r="A2983" t="s">
        <v>10043</v>
      </c>
      <c r="B2983" t="s">
        <v>10044</v>
      </c>
      <c r="D2983" t="s">
        <v>40</v>
      </c>
      <c r="E2983" t="s">
        <v>41</v>
      </c>
      <c r="J2983" t="s">
        <v>6179</v>
      </c>
      <c r="K2983" t="s">
        <v>6180</v>
      </c>
      <c r="L2983">
        <v>3</v>
      </c>
      <c r="M2983" t="s">
        <v>10045</v>
      </c>
      <c r="N2983" t="s">
        <v>1369</v>
      </c>
      <c r="O2983" t="s">
        <v>46</v>
      </c>
      <c r="P2983" t="s">
        <v>46</v>
      </c>
      <c r="Y2983" t="s">
        <v>10046</v>
      </c>
    </row>
    <row r="2984" spans="1:25">
      <c r="A2984" t="s">
        <v>10047</v>
      </c>
      <c r="B2984" t="s">
        <v>10048</v>
      </c>
      <c r="D2984" t="s">
        <v>40</v>
      </c>
      <c r="E2984" t="s">
        <v>41</v>
      </c>
      <c r="J2984" t="s">
        <v>76</v>
      </c>
      <c r="K2984" t="s">
        <v>77</v>
      </c>
      <c r="L2984">
        <v>10</v>
      </c>
      <c r="M2984" t="s">
        <v>10049</v>
      </c>
      <c r="N2984" t="s">
        <v>64</v>
      </c>
      <c r="O2984" t="s">
        <v>46</v>
      </c>
      <c r="P2984" t="s">
        <v>46</v>
      </c>
      <c r="Y2984" t="s">
        <v>10050</v>
      </c>
    </row>
    <row r="2985" spans="1:25">
      <c r="A2985" t="s">
        <v>10051</v>
      </c>
      <c r="B2985" t="s">
        <v>10052</v>
      </c>
      <c r="D2985" t="s">
        <v>40</v>
      </c>
      <c r="E2985" t="s">
        <v>41</v>
      </c>
      <c r="J2985" t="s">
        <v>76</v>
      </c>
      <c r="K2985" t="s">
        <v>77</v>
      </c>
      <c r="L2985">
        <v>10</v>
      </c>
      <c r="M2985" t="s">
        <v>10053</v>
      </c>
      <c r="N2985" t="s">
        <v>64</v>
      </c>
      <c r="O2985" t="s">
        <v>46</v>
      </c>
      <c r="P2985" t="s">
        <v>46</v>
      </c>
      <c r="Y2985" t="s">
        <v>10054</v>
      </c>
    </row>
    <row r="2986" spans="1:25">
      <c r="A2986" t="s">
        <v>10055</v>
      </c>
      <c r="B2986" t="s">
        <v>10056</v>
      </c>
      <c r="D2986" t="s">
        <v>40</v>
      </c>
      <c r="E2986" t="s">
        <v>41</v>
      </c>
      <c r="J2986" t="s">
        <v>182</v>
      </c>
      <c r="K2986" t="s">
        <v>183</v>
      </c>
      <c r="L2986">
        <v>10</v>
      </c>
      <c r="M2986" t="s">
        <v>10057</v>
      </c>
      <c r="N2986" t="s">
        <v>64</v>
      </c>
      <c r="O2986" t="s">
        <v>46</v>
      </c>
      <c r="P2986" t="s">
        <v>46</v>
      </c>
      <c r="Y2986" t="s">
        <v>10058</v>
      </c>
    </row>
    <row r="2987" spans="1:25">
      <c r="A2987" t="s">
        <v>10059</v>
      </c>
      <c r="B2987" t="s">
        <v>10060</v>
      </c>
      <c r="D2987" t="s">
        <v>40</v>
      </c>
      <c r="E2987" t="s">
        <v>41</v>
      </c>
      <c r="J2987" t="s">
        <v>68</v>
      </c>
      <c r="K2987" t="s">
        <v>69</v>
      </c>
      <c r="L2987">
        <v>10</v>
      </c>
      <c r="M2987" t="s">
        <v>10057</v>
      </c>
      <c r="N2987" t="s">
        <v>64</v>
      </c>
      <c r="O2987" t="s">
        <v>46</v>
      </c>
      <c r="P2987" t="s">
        <v>46</v>
      </c>
      <c r="Y2987" t="s">
        <v>10061</v>
      </c>
    </row>
    <row r="2988" spans="1:25">
      <c r="A2988" t="s">
        <v>10062</v>
      </c>
      <c r="B2988" t="s">
        <v>10063</v>
      </c>
      <c r="D2988" t="s">
        <v>40</v>
      </c>
      <c r="E2988" t="s">
        <v>41</v>
      </c>
      <c r="J2988" t="s">
        <v>182</v>
      </c>
      <c r="K2988" t="s">
        <v>183</v>
      </c>
      <c r="L2988">
        <v>10</v>
      </c>
      <c r="M2988" t="s">
        <v>10057</v>
      </c>
      <c r="N2988" t="s">
        <v>64</v>
      </c>
      <c r="O2988" t="s">
        <v>46</v>
      </c>
      <c r="P2988" t="s">
        <v>46</v>
      </c>
      <c r="Y2988" t="s">
        <v>10064</v>
      </c>
    </row>
    <row r="2989" spans="1:25">
      <c r="A2989" t="s">
        <v>10065</v>
      </c>
      <c r="B2989" t="s">
        <v>10066</v>
      </c>
      <c r="D2989" t="s">
        <v>40</v>
      </c>
      <c r="E2989" t="s">
        <v>41</v>
      </c>
      <c r="J2989" t="s">
        <v>182</v>
      </c>
      <c r="K2989" t="s">
        <v>183</v>
      </c>
      <c r="L2989">
        <v>10</v>
      </c>
      <c r="M2989" t="s">
        <v>10067</v>
      </c>
      <c r="N2989" t="s">
        <v>64</v>
      </c>
      <c r="O2989" t="s">
        <v>46</v>
      </c>
      <c r="P2989" t="s">
        <v>46</v>
      </c>
      <c r="Y2989" t="s">
        <v>10068</v>
      </c>
    </row>
    <row r="2990" spans="1:25">
      <c r="A2990" t="s">
        <v>10069</v>
      </c>
      <c r="B2990" t="s">
        <v>10070</v>
      </c>
      <c r="D2990" t="s">
        <v>40</v>
      </c>
      <c r="E2990" t="s">
        <v>41</v>
      </c>
      <c r="J2990" t="s">
        <v>76</v>
      </c>
      <c r="K2990" t="s">
        <v>77</v>
      </c>
      <c r="L2990">
        <v>10</v>
      </c>
      <c r="M2990" t="s">
        <v>10071</v>
      </c>
      <c r="N2990" t="s">
        <v>64</v>
      </c>
      <c r="O2990" t="s">
        <v>46</v>
      </c>
      <c r="P2990" t="s">
        <v>46</v>
      </c>
      <c r="Y2990" t="s">
        <v>10072</v>
      </c>
    </row>
    <row r="2991" spans="1:25">
      <c r="A2991" t="s">
        <v>10073</v>
      </c>
      <c r="B2991" t="s">
        <v>10074</v>
      </c>
      <c r="D2991" t="s">
        <v>40</v>
      </c>
      <c r="E2991" t="s">
        <v>41</v>
      </c>
      <c r="J2991" t="s">
        <v>68</v>
      </c>
      <c r="K2991" t="s">
        <v>69</v>
      </c>
      <c r="L2991">
        <v>10</v>
      </c>
      <c r="M2991" t="s">
        <v>10075</v>
      </c>
      <c r="N2991" t="s">
        <v>64</v>
      </c>
      <c r="O2991" t="s">
        <v>46</v>
      </c>
      <c r="P2991" t="s">
        <v>46</v>
      </c>
      <c r="Y2991" t="s">
        <v>10076</v>
      </c>
    </row>
    <row r="2992" spans="1:25">
      <c r="A2992" t="s">
        <v>10077</v>
      </c>
      <c r="B2992" t="s">
        <v>10078</v>
      </c>
      <c r="D2992" t="s">
        <v>40</v>
      </c>
      <c r="E2992" t="s">
        <v>41</v>
      </c>
      <c r="J2992" t="s">
        <v>182</v>
      </c>
      <c r="K2992" t="s">
        <v>183</v>
      </c>
      <c r="L2992">
        <v>10</v>
      </c>
      <c r="M2992" t="s">
        <v>10079</v>
      </c>
      <c r="N2992" t="s">
        <v>64</v>
      </c>
      <c r="O2992" t="s">
        <v>46</v>
      </c>
      <c r="P2992" t="s">
        <v>46</v>
      </c>
      <c r="Y2992" t="s">
        <v>10080</v>
      </c>
    </row>
    <row r="2993" spans="1:25">
      <c r="A2993" t="s">
        <v>10081</v>
      </c>
      <c r="B2993" t="s">
        <v>10082</v>
      </c>
      <c r="D2993" t="s">
        <v>40</v>
      </c>
      <c r="E2993" t="s">
        <v>41</v>
      </c>
      <c r="J2993" t="s">
        <v>62</v>
      </c>
      <c r="K2993" t="s">
        <v>63</v>
      </c>
      <c r="L2993">
        <v>10</v>
      </c>
      <c r="M2993" t="s">
        <v>10079</v>
      </c>
      <c r="N2993" t="s">
        <v>64</v>
      </c>
      <c r="O2993" t="s">
        <v>46</v>
      </c>
      <c r="P2993" t="s">
        <v>46</v>
      </c>
      <c r="Y2993" t="s">
        <v>10083</v>
      </c>
    </row>
    <row r="2994" spans="1:25">
      <c r="A2994" t="s">
        <v>10084</v>
      </c>
      <c r="B2994" t="s">
        <v>10085</v>
      </c>
      <c r="D2994" t="s">
        <v>40</v>
      </c>
      <c r="E2994" t="s">
        <v>41</v>
      </c>
      <c r="J2994" t="s">
        <v>182</v>
      </c>
      <c r="K2994" t="s">
        <v>183</v>
      </c>
      <c r="L2994">
        <v>10</v>
      </c>
      <c r="M2994" t="s">
        <v>10086</v>
      </c>
      <c r="N2994" t="s">
        <v>64</v>
      </c>
      <c r="O2994" t="s">
        <v>46</v>
      </c>
      <c r="P2994" t="s">
        <v>46</v>
      </c>
      <c r="Y2994" t="s">
        <v>10087</v>
      </c>
    </row>
    <row r="2995" spans="1:25">
      <c r="A2995" t="s">
        <v>10088</v>
      </c>
      <c r="B2995" t="s">
        <v>10089</v>
      </c>
      <c r="D2995" t="s">
        <v>40</v>
      </c>
      <c r="E2995" t="s">
        <v>41</v>
      </c>
      <c r="J2995" t="s">
        <v>182</v>
      </c>
      <c r="K2995" t="s">
        <v>183</v>
      </c>
      <c r="L2995">
        <v>10</v>
      </c>
      <c r="M2995" t="s">
        <v>10086</v>
      </c>
      <c r="N2995" t="s">
        <v>64</v>
      </c>
      <c r="O2995" t="s">
        <v>46</v>
      </c>
      <c r="P2995" t="s">
        <v>46</v>
      </c>
      <c r="Y2995" t="s">
        <v>10090</v>
      </c>
    </row>
    <row r="2996" spans="1:25">
      <c r="A2996" t="s">
        <v>10091</v>
      </c>
      <c r="B2996" t="s">
        <v>10092</v>
      </c>
      <c r="D2996" t="s">
        <v>40</v>
      </c>
      <c r="E2996" t="s">
        <v>41</v>
      </c>
      <c r="J2996" t="s">
        <v>182</v>
      </c>
      <c r="K2996" t="s">
        <v>183</v>
      </c>
      <c r="L2996">
        <v>10</v>
      </c>
      <c r="M2996" t="s">
        <v>10086</v>
      </c>
      <c r="N2996" t="s">
        <v>64</v>
      </c>
      <c r="O2996" t="s">
        <v>46</v>
      </c>
      <c r="P2996" t="s">
        <v>46</v>
      </c>
      <c r="Y2996" t="s">
        <v>10093</v>
      </c>
    </row>
    <row r="2997" spans="1:25">
      <c r="A2997" t="s">
        <v>10094</v>
      </c>
      <c r="B2997" t="s">
        <v>10095</v>
      </c>
      <c r="D2997" t="s">
        <v>40</v>
      </c>
      <c r="E2997" t="s">
        <v>41</v>
      </c>
      <c r="J2997" t="s">
        <v>62</v>
      </c>
      <c r="K2997" t="s">
        <v>63</v>
      </c>
      <c r="L2997">
        <v>10</v>
      </c>
      <c r="M2997" t="s">
        <v>10086</v>
      </c>
      <c r="N2997" t="s">
        <v>64</v>
      </c>
      <c r="O2997" t="s">
        <v>46</v>
      </c>
      <c r="P2997" t="s">
        <v>46</v>
      </c>
      <c r="Y2997" t="s">
        <v>10096</v>
      </c>
    </row>
    <row r="2998" spans="1:25">
      <c r="A2998" t="s">
        <v>10097</v>
      </c>
      <c r="B2998" t="s">
        <v>10098</v>
      </c>
      <c r="D2998" t="s">
        <v>40</v>
      </c>
      <c r="E2998" t="s">
        <v>41</v>
      </c>
      <c r="J2998" t="s">
        <v>182</v>
      </c>
      <c r="K2998" t="s">
        <v>183</v>
      </c>
      <c r="L2998">
        <v>10</v>
      </c>
      <c r="M2998" t="s">
        <v>10099</v>
      </c>
      <c r="N2998" t="s">
        <v>64</v>
      </c>
      <c r="O2998" t="s">
        <v>46</v>
      </c>
      <c r="P2998" t="s">
        <v>46</v>
      </c>
      <c r="Y2998" t="s">
        <v>10100</v>
      </c>
    </row>
    <row r="2999" spans="1:25">
      <c r="A2999" t="s">
        <v>10101</v>
      </c>
      <c r="B2999" t="s">
        <v>10102</v>
      </c>
      <c r="D2999" t="s">
        <v>40</v>
      </c>
      <c r="E2999" t="s">
        <v>41</v>
      </c>
      <c r="J2999" t="s">
        <v>139</v>
      </c>
      <c r="K2999" t="s">
        <v>140</v>
      </c>
      <c r="L2999">
        <v>10</v>
      </c>
      <c r="M2999" t="s">
        <v>10103</v>
      </c>
      <c r="N2999" t="s">
        <v>756</v>
      </c>
      <c r="O2999" t="s">
        <v>46</v>
      </c>
      <c r="P2999" t="s">
        <v>46</v>
      </c>
      <c r="Y2999" t="s">
        <v>10104</v>
      </c>
    </row>
    <row r="3000" spans="1:25">
      <c r="A3000" t="s">
        <v>10105</v>
      </c>
      <c r="B3000" t="s">
        <v>10106</v>
      </c>
      <c r="D3000" t="s">
        <v>40</v>
      </c>
      <c r="E3000" t="s">
        <v>41</v>
      </c>
      <c r="J3000" t="s">
        <v>68</v>
      </c>
      <c r="K3000" t="s">
        <v>69</v>
      </c>
      <c r="L3000">
        <v>10</v>
      </c>
      <c r="M3000" t="s">
        <v>10107</v>
      </c>
      <c r="N3000" t="s">
        <v>64</v>
      </c>
      <c r="O3000" t="s">
        <v>46</v>
      </c>
      <c r="P3000" t="s">
        <v>46</v>
      </c>
      <c r="Y3000" t="s">
        <v>10108</v>
      </c>
    </row>
    <row r="3001" spans="1:25">
      <c r="A3001" t="s">
        <v>10109</v>
      </c>
      <c r="B3001" t="s">
        <v>10110</v>
      </c>
      <c r="D3001" t="s">
        <v>40</v>
      </c>
      <c r="E3001" t="s">
        <v>41</v>
      </c>
      <c r="J3001" t="s">
        <v>182</v>
      </c>
      <c r="K3001" t="s">
        <v>183</v>
      </c>
      <c r="L3001">
        <v>10</v>
      </c>
      <c r="M3001" t="s">
        <v>10111</v>
      </c>
      <c r="N3001" t="s">
        <v>64</v>
      </c>
      <c r="O3001" t="s">
        <v>46</v>
      </c>
      <c r="P3001" t="s">
        <v>46</v>
      </c>
      <c r="Y3001" t="s">
        <v>10112</v>
      </c>
    </row>
    <row r="3002" spans="1:25">
      <c r="A3002" t="s">
        <v>10113</v>
      </c>
      <c r="B3002" t="s">
        <v>10114</v>
      </c>
      <c r="D3002" t="s">
        <v>40</v>
      </c>
      <c r="E3002" t="s">
        <v>41</v>
      </c>
      <c r="J3002" t="s">
        <v>182</v>
      </c>
      <c r="K3002" t="s">
        <v>183</v>
      </c>
      <c r="L3002">
        <v>10</v>
      </c>
      <c r="M3002" t="s">
        <v>10115</v>
      </c>
      <c r="N3002" t="s">
        <v>64</v>
      </c>
      <c r="O3002" t="s">
        <v>46</v>
      </c>
      <c r="P3002" t="s">
        <v>46</v>
      </c>
      <c r="Y3002" t="s">
        <v>10116</v>
      </c>
    </row>
    <row r="3003" spans="1:25">
      <c r="A3003" t="s">
        <v>10117</v>
      </c>
      <c r="B3003" t="s">
        <v>10118</v>
      </c>
      <c r="D3003" t="s">
        <v>40</v>
      </c>
      <c r="E3003" t="s">
        <v>41</v>
      </c>
      <c r="J3003" t="s">
        <v>76</v>
      </c>
      <c r="K3003" t="s">
        <v>77</v>
      </c>
      <c r="L3003">
        <v>10</v>
      </c>
      <c r="M3003" t="s">
        <v>10119</v>
      </c>
      <c r="N3003" t="s">
        <v>64</v>
      </c>
      <c r="O3003" t="s">
        <v>46</v>
      </c>
      <c r="P3003" t="s">
        <v>46</v>
      </c>
      <c r="Y3003" t="s">
        <v>10120</v>
      </c>
    </row>
    <row r="3004" spans="1:25">
      <c r="A3004" t="s">
        <v>10121</v>
      </c>
      <c r="B3004" t="s">
        <v>10122</v>
      </c>
      <c r="D3004" t="s">
        <v>40</v>
      </c>
      <c r="E3004" t="s">
        <v>41</v>
      </c>
      <c r="J3004" t="s">
        <v>76</v>
      </c>
      <c r="K3004" t="s">
        <v>77</v>
      </c>
      <c r="L3004">
        <v>10</v>
      </c>
      <c r="M3004" t="s">
        <v>10119</v>
      </c>
      <c r="N3004" t="s">
        <v>64</v>
      </c>
      <c r="O3004" t="s">
        <v>46</v>
      </c>
      <c r="P3004" t="s">
        <v>46</v>
      </c>
      <c r="Y3004" t="s">
        <v>10123</v>
      </c>
    </row>
    <row r="3005" spans="1:25">
      <c r="A3005" t="s">
        <v>10124</v>
      </c>
      <c r="B3005" t="s">
        <v>10125</v>
      </c>
      <c r="D3005" t="s">
        <v>40</v>
      </c>
      <c r="E3005" t="s">
        <v>41</v>
      </c>
      <c r="J3005" t="s">
        <v>182</v>
      </c>
      <c r="K3005" t="s">
        <v>183</v>
      </c>
      <c r="L3005">
        <v>10</v>
      </c>
      <c r="M3005" t="s">
        <v>10119</v>
      </c>
      <c r="N3005" t="s">
        <v>64</v>
      </c>
      <c r="O3005" t="s">
        <v>46</v>
      </c>
      <c r="P3005" t="s">
        <v>46</v>
      </c>
      <c r="Y3005" t="s">
        <v>10126</v>
      </c>
    </row>
    <row r="3006" spans="1:25">
      <c r="A3006" t="s">
        <v>10127</v>
      </c>
      <c r="B3006" t="s">
        <v>10128</v>
      </c>
      <c r="D3006" t="s">
        <v>40</v>
      </c>
      <c r="E3006" t="s">
        <v>41</v>
      </c>
      <c r="J3006" t="s">
        <v>68</v>
      </c>
      <c r="K3006" t="s">
        <v>69</v>
      </c>
      <c r="L3006">
        <v>10</v>
      </c>
      <c r="M3006" t="s">
        <v>10119</v>
      </c>
      <c r="N3006" t="s">
        <v>64</v>
      </c>
      <c r="O3006" t="s">
        <v>46</v>
      </c>
      <c r="P3006" t="s">
        <v>46</v>
      </c>
      <c r="Y3006" t="s">
        <v>10129</v>
      </c>
    </row>
    <row r="3007" spans="1:25">
      <c r="A3007" t="s">
        <v>10130</v>
      </c>
      <c r="B3007" t="s">
        <v>10131</v>
      </c>
      <c r="D3007" t="s">
        <v>40</v>
      </c>
      <c r="E3007" t="s">
        <v>41</v>
      </c>
      <c r="J3007" t="s">
        <v>182</v>
      </c>
      <c r="K3007" t="s">
        <v>183</v>
      </c>
      <c r="L3007">
        <v>10</v>
      </c>
      <c r="M3007" t="s">
        <v>10119</v>
      </c>
      <c r="N3007" t="s">
        <v>64</v>
      </c>
      <c r="O3007" t="s">
        <v>46</v>
      </c>
      <c r="P3007" t="s">
        <v>46</v>
      </c>
      <c r="Y3007" t="s">
        <v>10132</v>
      </c>
    </row>
    <row r="3008" spans="1:25">
      <c r="A3008" t="s">
        <v>10133</v>
      </c>
      <c r="B3008" t="s">
        <v>10134</v>
      </c>
      <c r="D3008" t="s">
        <v>40</v>
      </c>
      <c r="E3008" t="s">
        <v>41</v>
      </c>
      <c r="J3008" t="s">
        <v>76</v>
      </c>
      <c r="K3008" t="s">
        <v>77</v>
      </c>
      <c r="L3008">
        <v>10</v>
      </c>
      <c r="M3008" t="s">
        <v>10135</v>
      </c>
      <c r="N3008" t="s">
        <v>64</v>
      </c>
      <c r="O3008" t="s">
        <v>46</v>
      </c>
      <c r="P3008" t="s">
        <v>46</v>
      </c>
      <c r="Y3008" t="s">
        <v>10136</v>
      </c>
    </row>
    <row r="3009" spans="1:25">
      <c r="A3009" t="s">
        <v>10137</v>
      </c>
      <c r="B3009" t="s">
        <v>10138</v>
      </c>
      <c r="D3009" t="s">
        <v>40</v>
      </c>
      <c r="E3009" t="s">
        <v>41</v>
      </c>
      <c r="J3009" t="s">
        <v>248</v>
      </c>
      <c r="K3009" t="s">
        <v>249</v>
      </c>
      <c r="L3009">
        <v>10</v>
      </c>
      <c r="M3009" t="s">
        <v>10139</v>
      </c>
      <c r="N3009" t="s">
        <v>1369</v>
      </c>
      <c r="O3009" t="s">
        <v>46</v>
      </c>
      <c r="P3009" t="s">
        <v>46</v>
      </c>
      <c r="Y3009" t="s">
        <v>10140</v>
      </c>
    </row>
    <row r="3010" spans="1:25">
      <c r="A3010" t="s">
        <v>10141</v>
      </c>
      <c r="B3010" t="s">
        <v>10142</v>
      </c>
      <c r="D3010" t="s">
        <v>40</v>
      </c>
      <c r="E3010" t="s">
        <v>41</v>
      </c>
      <c r="J3010" t="s">
        <v>1572</v>
      </c>
      <c r="K3010" t="s">
        <v>1573</v>
      </c>
      <c r="L3010">
        <v>10</v>
      </c>
      <c r="M3010" t="s">
        <v>10143</v>
      </c>
      <c r="N3010" t="s">
        <v>64</v>
      </c>
      <c r="O3010" t="s">
        <v>46</v>
      </c>
      <c r="P3010" t="s">
        <v>46</v>
      </c>
      <c r="Y3010" t="s">
        <v>10144</v>
      </c>
    </row>
    <row r="3011" spans="1:25">
      <c r="A3011" t="s">
        <v>10145</v>
      </c>
      <c r="B3011" t="s">
        <v>10146</v>
      </c>
      <c r="D3011" t="s">
        <v>40</v>
      </c>
      <c r="E3011" t="s">
        <v>41</v>
      </c>
      <c r="J3011" t="s">
        <v>182</v>
      </c>
      <c r="K3011" t="s">
        <v>183</v>
      </c>
      <c r="L3011">
        <v>10</v>
      </c>
      <c r="M3011" t="s">
        <v>10147</v>
      </c>
      <c r="N3011" t="s">
        <v>64</v>
      </c>
      <c r="O3011" t="s">
        <v>46</v>
      </c>
      <c r="P3011" t="s">
        <v>46</v>
      </c>
      <c r="Y3011" t="s">
        <v>10148</v>
      </c>
    </row>
    <row r="3012" spans="1:25">
      <c r="A3012" t="s">
        <v>10149</v>
      </c>
      <c r="B3012" t="s">
        <v>10150</v>
      </c>
      <c r="D3012" t="s">
        <v>40</v>
      </c>
      <c r="E3012" t="s">
        <v>41</v>
      </c>
      <c r="J3012" t="s">
        <v>76</v>
      </c>
      <c r="K3012" t="s">
        <v>77</v>
      </c>
      <c r="L3012">
        <v>10</v>
      </c>
      <c r="M3012" t="s">
        <v>10147</v>
      </c>
      <c r="N3012" t="s">
        <v>64</v>
      </c>
      <c r="O3012" t="s">
        <v>46</v>
      </c>
      <c r="P3012" t="s">
        <v>46</v>
      </c>
      <c r="Y3012" t="s">
        <v>10151</v>
      </c>
    </row>
    <row r="3013" spans="1:25">
      <c r="A3013" t="s">
        <v>10152</v>
      </c>
      <c r="B3013" t="s">
        <v>10153</v>
      </c>
      <c r="D3013" t="s">
        <v>40</v>
      </c>
      <c r="E3013" t="s">
        <v>41</v>
      </c>
      <c r="J3013" t="s">
        <v>68</v>
      </c>
      <c r="K3013" t="s">
        <v>69</v>
      </c>
      <c r="L3013">
        <v>10</v>
      </c>
      <c r="M3013" t="s">
        <v>10154</v>
      </c>
      <c r="N3013" t="s">
        <v>64</v>
      </c>
      <c r="O3013" t="s">
        <v>46</v>
      </c>
      <c r="P3013" t="s">
        <v>46</v>
      </c>
      <c r="Y3013" t="s">
        <v>10155</v>
      </c>
    </row>
    <row r="3014" spans="1:25">
      <c r="A3014" t="s">
        <v>10156</v>
      </c>
      <c r="B3014" t="s">
        <v>10157</v>
      </c>
      <c r="D3014" t="s">
        <v>40</v>
      </c>
      <c r="E3014" t="s">
        <v>41</v>
      </c>
      <c r="J3014" t="s">
        <v>264</v>
      </c>
      <c r="K3014" t="s">
        <v>265</v>
      </c>
      <c r="L3014">
        <v>9</v>
      </c>
      <c r="M3014" t="s">
        <v>10158</v>
      </c>
      <c r="N3014" t="s">
        <v>2346</v>
      </c>
      <c r="O3014" t="s">
        <v>46</v>
      </c>
      <c r="P3014" t="s">
        <v>46</v>
      </c>
      <c r="Y3014" t="s">
        <v>10159</v>
      </c>
    </row>
    <row r="3015" spans="1:25">
      <c r="A3015" t="s">
        <v>10160</v>
      </c>
      <c r="B3015" t="s">
        <v>10161</v>
      </c>
      <c r="D3015" t="s">
        <v>40</v>
      </c>
      <c r="E3015" t="s">
        <v>41</v>
      </c>
      <c r="J3015" t="s">
        <v>182</v>
      </c>
      <c r="K3015" t="s">
        <v>183</v>
      </c>
      <c r="L3015">
        <v>10</v>
      </c>
      <c r="M3015" t="s">
        <v>10162</v>
      </c>
      <c r="N3015" t="s">
        <v>64</v>
      </c>
      <c r="O3015" t="s">
        <v>46</v>
      </c>
      <c r="P3015" t="s">
        <v>46</v>
      </c>
      <c r="Y3015" t="s">
        <v>10163</v>
      </c>
    </row>
    <row r="3016" spans="1:25">
      <c r="A3016" t="s">
        <v>10164</v>
      </c>
      <c r="B3016" t="s">
        <v>10165</v>
      </c>
      <c r="D3016" t="s">
        <v>40</v>
      </c>
      <c r="E3016" t="s">
        <v>41</v>
      </c>
      <c r="J3016" t="s">
        <v>76</v>
      </c>
      <c r="K3016" t="s">
        <v>77</v>
      </c>
      <c r="L3016">
        <v>10</v>
      </c>
      <c r="M3016" t="s">
        <v>10162</v>
      </c>
      <c r="N3016" t="s">
        <v>64</v>
      </c>
      <c r="O3016" t="s">
        <v>46</v>
      </c>
      <c r="P3016" t="s">
        <v>46</v>
      </c>
      <c r="Y3016" t="s">
        <v>10166</v>
      </c>
    </row>
    <row r="3017" spans="1:25">
      <c r="A3017" t="s">
        <v>10167</v>
      </c>
      <c r="B3017" t="s">
        <v>10168</v>
      </c>
      <c r="D3017" t="s">
        <v>40</v>
      </c>
      <c r="E3017" t="s">
        <v>41</v>
      </c>
      <c r="J3017" t="s">
        <v>68</v>
      </c>
      <c r="K3017" t="s">
        <v>69</v>
      </c>
      <c r="L3017">
        <v>10</v>
      </c>
      <c r="M3017" t="s">
        <v>10169</v>
      </c>
      <c r="N3017" t="s">
        <v>64</v>
      </c>
      <c r="O3017" t="s">
        <v>46</v>
      </c>
      <c r="P3017" t="s">
        <v>46</v>
      </c>
      <c r="Y3017" t="s">
        <v>10170</v>
      </c>
    </row>
    <row r="3018" spans="1:25">
      <c r="A3018" t="s">
        <v>10171</v>
      </c>
      <c r="B3018" t="s">
        <v>10172</v>
      </c>
      <c r="D3018" t="s">
        <v>40</v>
      </c>
      <c r="E3018" t="s">
        <v>41</v>
      </c>
      <c r="J3018" t="s">
        <v>42</v>
      </c>
      <c r="K3018" t="s">
        <v>43</v>
      </c>
      <c r="L3018">
        <v>10</v>
      </c>
      <c r="M3018" t="s">
        <v>10173</v>
      </c>
      <c r="N3018" t="s">
        <v>756</v>
      </c>
      <c r="O3018" t="s">
        <v>46</v>
      </c>
      <c r="P3018" t="s">
        <v>46</v>
      </c>
      <c r="Y3018" t="s">
        <v>10174</v>
      </c>
    </row>
    <row r="3019" spans="1:25">
      <c r="A3019" t="s">
        <v>10175</v>
      </c>
      <c r="B3019" t="s">
        <v>10176</v>
      </c>
      <c r="D3019" t="s">
        <v>40</v>
      </c>
      <c r="E3019" t="s">
        <v>41</v>
      </c>
      <c r="J3019" t="s">
        <v>76</v>
      </c>
      <c r="K3019" t="s">
        <v>77</v>
      </c>
      <c r="L3019">
        <v>10</v>
      </c>
      <c r="M3019" t="s">
        <v>10177</v>
      </c>
      <c r="N3019" t="s">
        <v>64</v>
      </c>
      <c r="O3019" t="s">
        <v>46</v>
      </c>
      <c r="P3019" t="s">
        <v>46</v>
      </c>
      <c r="Y3019" t="s">
        <v>10178</v>
      </c>
    </row>
    <row r="3020" spans="1:25">
      <c r="A3020" t="s">
        <v>10179</v>
      </c>
      <c r="B3020" t="s">
        <v>10180</v>
      </c>
      <c r="D3020" t="s">
        <v>40</v>
      </c>
      <c r="E3020" t="s">
        <v>41</v>
      </c>
      <c r="J3020" t="s">
        <v>182</v>
      </c>
      <c r="K3020" t="s">
        <v>183</v>
      </c>
      <c r="L3020">
        <v>10</v>
      </c>
      <c r="M3020" t="s">
        <v>10177</v>
      </c>
      <c r="N3020" t="s">
        <v>64</v>
      </c>
      <c r="O3020" t="s">
        <v>46</v>
      </c>
      <c r="P3020" t="s">
        <v>46</v>
      </c>
      <c r="Y3020" t="s">
        <v>10181</v>
      </c>
    </row>
    <row r="3021" spans="1:25">
      <c r="A3021" t="s">
        <v>10182</v>
      </c>
      <c r="B3021" t="s">
        <v>10183</v>
      </c>
      <c r="D3021" t="s">
        <v>40</v>
      </c>
      <c r="E3021" t="s">
        <v>41</v>
      </c>
      <c r="J3021" t="s">
        <v>182</v>
      </c>
      <c r="K3021" t="s">
        <v>183</v>
      </c>
      <c r="L3021">
        <v>10</v>
      </c>
      <c r="M3021" t="s">
        <v>10184</v>
      </c>
      <c r="N3021" t="s">
        <v>64</v>
      </c>
      <c r="O3021" t="s">
        <v>46</v>
      </c>
      <c r="P3021" t="s">
        <v>46</v>
      </c>
      <c r="Y3021" t="s">
        <v>10185</v>
      </c>
    </row>
    <row r="3022" spans="1:25">
      <c r="A3022" t="s">
        <v>10186</v>
      </c>
      <c r="B3022" t="s">
        <v>10187</v>
      </c>
      <c r="D3022" t="s">
        <v>40</v>
      </c>
      <c r="E3022" t="s">
        <v>41</v>
      </c>
      <c r="J3022" t="s">
        <v>76</v>
      </c>
      <c r="K3022" t="s">
        <v>77</v>
      </c>
      <c r="L3022">
        <v>10</v>
      </c>
      <c r="M3022" t="s">
        <v>10188</v>
      </c>
      <c r="N3022" t="s">
        <v>64</v>
      </c>
      <c r="O3022" t="s">
        <v>46</v>
      </c>
      <c r="P3022" t="s">
        <v>46</v>
      </c>
      <c r="Y3022" t="s">
        <v>10189</v>
      </c>
    </row>
    <row r="3023" spans="1:25">
      <c r="A3023" t="s">
        <v>10190</v>
      </c>
      <c r="B3023" t="s">
        <v>10191</v>
      </c>
      <c r="D3023" t="s">
        <v>40</v>
      </c>
      <c r="E3023" t="s">
        <v>41</v>
      </c>
      <c r="J3023" t="s">
        <v>76</v>
      </c>
      <c r="K3023" t="s">
        <v>77</v>
      </c>
      <c r="L3023">
        <v>10</v>
      </c>
      <c r="M3023" t="s">
        <v>10188</v>
      </c>
      <c r="N3023" t="s">
        <v>64</v>
      </c>
      <c r="O3023" t="s">
        <v>46</v>
      </c>
      <c r="P3023" t="s">
        <v>46</v>
      </c>
      <c r="Y3023" t="s">
        <v>10192</v>
      </c>
    </row>
    <row r="3024" spans="1:25">
      <c r="A3024" t="s">
        <v>10193</v>
      </c>
      <c r="B3024" t="s">
        <v>10194</v>
      </c>
      <c r="D3024" t="s">
        <v>40</v>
      </c>
      <c r="E3024" t="s">
        <v>41</v>
      </c>
      <c r="J3024" t="s">
        <v>182</v>
      </c>
      <c r="K3024" t="s">
        <v>183</v>
      </c>
      <c r="L3024">
        <v>10</v>
      </c>
      <c r="M3024" t="s">
        <v>10188</v>
      </c>
      <c r="N3024" t="s">
        <v>64</v>
      </c>
      <c r="O3024" t="s">
        <v>46</v>
      </c>
      <c r="P3024" t="s">
        <v>46</v>
      </c>
      <c r="Y3024" t="s">
        <v>10195</v>
      </c>
    </row>
    <row r="3025" spans="1:25">
      <c r="A3025" t="s">
        <v>10196</v>
      </c>
      <c r="B3025" t="s">
        <v>10197</v>
      </c>
      <c r="D3025" t="s">
        <v>40</v>
      </c>
      <c r="E3025" t="s">
        <v>41</v>
      </c>
      <c r="J3025" t="s">
        <v>182</v>
      </c>
      <c r="K3025" t="s">
        <v>183</v>
      </c>
      <c r="L3025">
        <v>10</v>
      </c>
      <c r="M3025" t="s">
        <v>10188</v>
      </c>
      <c r="N3025" t="s">
        <v>64</v>
      </c>
      <c r="O3025" t="s">
        <v>46</v>
      </c>
      <c r="P3025" t="s">
        <v>46</v>
      </c>
      <c r="Y3025" t="s">
        <v>10198</v>
      </c>
    </row>
    <row r="3026" spans="1:25">
      <c r="A3026" t="s">
        <v>10199</v>
      </c>
      <c r="B3026" t="s">
        <v>10200</v>
      </c>
      <c r="D3026" t="s">
        <v>40</v>
      </c>
      <c r="E3026" t="s">
        <v>41</v>
      </c>
      <c r="J3026" t="s">
        <v>76</v>
      </c>
      <c r="K3026" t="s">
        <v>77</v>
      </c>
      <c r="L3026">
        <v>10</v>
      </c>
      <c r="M3026" t="s">
        <v>10188</v>
      </c>
      <c r="N3026" t="s">
        <v>64</v>
      </c>
      <c r="O3026" t="s">
        <v>46</v>
      </c>
      <c r="P3026" t="s">
        <v>46</v>
      </c>
      <c r="Y3026" t="s">
        <v>10201</v>
      </c>
    </row>
    <row r="3027" spans="1:25">
      <c r="A3027" t="s">
        <v>10202</v>
      </c>
      <c r="B3027" t="s">
        <v>10203</v>
      </c>
      <c r="D3027" t="s">
        <v>40</v>
      </c>
      <c r="E3027" t="s">
        <v>41</v>
      </c>
      <c r="J3027" t="s">
        <v>76</v>
      </c>
      <c r="K3027" t="s">
        <v>77</v>
      </c>
      <c r="L3027">
        <v>10</v>
      </c>
      <c r="M3027" t="s">
        <v>10204</v>
      </c>
      <c r="N3027" t="s">
        <v>64</v>
      </c>
      <c r="O3027" t="s">
        <v>46</v>
      </c>
      <c r="P3027" t="s">
        <v>46</v>
      </c>
      <c r="Y3027" t="s">
        <v>10205</v>
      </c>
    </row>
    <row r="3028" spans="1:25">
      <c r="A3028" t="s">
        <v>10206</v>
      </c>
      <c r="B3028" t="s">
        <v>10207</v>
      </c>
      <c r="D3028" t="s">
        <v>40</v>
      </c>
      <c r="E3028" t="s">
        <v>41</v>
      </c>
      <c r="J3028" t="s">
        <v>182</v>
      </c>
      <c r="K3028" t="s">
        <v>183</v>
      </c>
      <c r="L3028">
        <v>10</v>
      </c>
      <c r="M3028" t="s">
        <v>10208</v>
      </c>
      <c r="N3028" t="s">
        <v>64</v>
      </c>
      <c r="O3028" t="s">
        <v>46</v>
      </c>
      <c r="P3028" t="s">
        <v>46</v>
      </c>
      <c r="Y3028" t="s">
        <v>10209</v>
      </c>
    </row>
    <row r="3029" spans="1:25">
      <c r="A3029" t="s">
        <v>10210</v>
      </c>
      <c r="B3029" t="s">
        <v>10211</v>
      </c>
      <c r="D3029" t="s">
        <v>40</v>
      </c>
      <c r="E3029" t="s">
        <v>41</v>
      </c>
      <c r="J3029" t="s">
        <v>182</v>
      </c>
      <c r="K3029" t="s">
        <v>183</v>
      </c>
      <c r="L3029">
        <v>10</v>
      </c>
      <c r="M3029" t="s">
        <v>10208</v>
      </c>
      <c r="N3029" t="s">
        <v>64</v>
      </c>
      <c r="O3029" t="s">
        <v>46</v>
      </c>
      <c r="P3029" t="s">
        <v>46</v>
      </c>
      <c r="Y3029" t="s">
        <v>10212</v>
      </c>
    </row>
    <row r="3030" spans="1:25">
      <c r="A3030" t="s">
        <v>10213</v>
      </c>
      <c r="B3030" t="s">
        <v>10214</v>
      </c>
      <c r="D3030" t="s">
        <v>40</v>
      </c>
      <c r="E3030" t="s">
        <v>41</v>
      </c>
      <c r="J3030" t="s">
        <v>182</v>
      </c>
      <c r="K3030" t="s">
        <v>183</v>
      </c>
      <c r="L3030">
        <v>10</v>
      </c>
      <c r="M3030" t="s">
        <v>10208</v>
      </c>
      <c r="N3030" t="s">
        <v>64</v>
      </c>
      <c r="O3030" t="s">
        <v>46</v>
      </c>
      <c r="P3030" t="s">
        <v>46</v>
      </c>
      <c r="Y3030" t="s">
        <v>10215</v>
      </c>
    </row>
    <row r="3031" spans="1:25">
      <c r="A3031" t="s">
        <v>10216</v>
      </c>
      <c r="B3031" t="s">
        <v>10217</v>
      </c>
      <c r="D3031" t="s">
        <v>40</v>
      </c>
      <c r="E3031" t="s">
        <v>41</v>
      </c>
      <c r="J3031" t="s">
        <v>76</v>
      </c>
      <c r="K3031" t="s">
        <v>77</v>
      </c>
      <c r="L3031">
        <v>10</v>
      </c>
      <c r="M3031" t="s">
        <v>10208</v>
      </c>
      <c r="N3031" t="s">
        <v>64</v>
      </c>
      <c r="O3031" t="s">
        <v>46</v>
      </c>
      <c r="P3031" t="s">
        <v>46</v>
      </c>
      <c r="Y3031" t="s">
        <v>10218</v>
      </c>
    </row>
    <row r="3032" spans="1:25">
      <c r="A3032" t="s">
        <v>10219</v>
      </c>
      <c r="B3032" t="s">
        <v>10220</v>
      </c>
      <c r="D3032" t="s">
        <v>40</v>
      </c>
      <c r="E3032" t="s">
        <v>41</v>
      </c>
      <c r="J3032" t="s">
        <v>182</v>
      </c>
      <c r="K3032" t="s">
        <v>183</v>
      </c>
      <c r="L3032">
        <v>10</v>
      </c>
      <c r="M3032" t="s">
        <v>10208</v>
      </c>
      <c r="N3032" t="s">
        <v>64</v>
      </c>
      <c r="O3032" t="s">
        <v>46</v>
      </c>
      <c r="P3032" t="s">
        <v>46</v>
      </c>
      <c r="Y3032" t="s">
        <v>10221</v>
      </c>
    </row>
    <row r="3033" spans="1:25">
      <c r="A3033" t="s">
        <v>10222</v>
      </c>
      <c r="B3033" t="s">
        <v>10223</v>
      </c>
      <c r="D3033" t="s">
        <v>40</v>
      </c>
      <c r="E3033" t="s">
        <v>41</v>
      </c>
      <c r="J3033" t="s">
        <v>182</v>
      </c>
      <c r="K3033" t="s">
        <v>183</v>
      </c>
      <c r="L3033">
        <v>10</v>
      </c>
      <c r="M3033" t="s">
        <v>10224</v>
      </c>
      <c r="N3033" t="s">
        <v>64</v>
      </c>
      <c r="O3033" t="s">
        <v>46</v>
      </c>
      <c r="P3033" t="s">
        <v>46</v>
      </c>
      <c r="Y3033" t="s">
        <v>10225</v>
      </c>
    </row>
    <row r="3034" spans="1:25">
      <c r="A3034" t="s">
        <v>10226</v>
      </c>
      <c r="B3034" t="s">
        <v>10227</v>
      </c>
      <c r="D3034" t="s">
        <v>40</v>
      </c>
      <c r="E3034" t="s">
        <v>41</v>
      </c>
      <c r="J3034" t="s">
        <v>182</v>
      </c>
      <c r="K3034" t="s">
        <v>183</v>
      </c>
      <c r="L3034">
        <v>10</v>
      </c>
      <c r="M3034" t="s">
        <v>10228</v>
      </c>
      <c r="N3034" t="s">
        <v>64</v>
      </c>
      <c r="O3034" t="s">
        <v>46</v>
      </c>
      <c r="P3034" t="s">
        <v>46</v>
      </c>
      <c r="Y3034" t="s">
        <v>10229</v>
      </c>
    </row>
    <row r="3035" spans="1:25">
      <c r="A3035" t="s">
        <v>10230</v>
      </c>
      <c r="B3035" t="s">
        <v>10231</v>
      </c>
      <c r="D3035" t="s">
        <v>40</v>
      </c>
      <c r="E3035" t="s">
        <v>41</v>
      </c>
      <c r="J3035" t="s">
        <v>76</v>
      </c>
      <c r="K3035" t="s">
        <v>77</v>
      </c>
      <c r="L3035">
        <v>10</v>
      </c>
      <c r="M3035" t="s">
        <v>10232</v>
      </c>
      <c r="N3035" t="s">
        <v>64</v>
      </c>
      <c r="O3035" t="s">
        <v>46</v>
      </c>
      <c r="P3035" t="s">
        <v>46</v>
      </c>
      <c r="Y3035" t="s">
        <v>10233</v>
      </c>
    </row>
    <row r="3036" spans="1:25">
      <c r="A3036" t="s">
        <v>10234</v>
      </c>
      <c r="B3036" t="s">
        <v>10235</v>
      </c>
      <c r="D3036" t="s">
        <v>40</v>
      </c>
      <c r="E3036" t="s">
        <v>41</v>
      </c>
      <c r="J3036" t="s">
        <v>76</v>
      </c>
      <c r="K3036" t="s">
        <v>77</v>
      </c>
      <c r="L3036">
        <v>10</v>
      </c>
      <c r="M3036" t="s">
        <v>10232</v>
      </c>
      <c r="N3036" t="s">
        <v>64</v>
      </c>
      <c r="O3036" t="s">
        <v>46</v>
      </c>
      <c r="P3036" t="s">
        <v>46</v>
      </c>
      <c r="Y3036" t="s">
        <v>10236</v>
      </c>
    </row>
    <row r="3037" spans="1:25">
      <c r="A3037" t="s">
        <v>10237</v>
      </c>
      <c r="B3037" t="s">
        <v>10238</v>
      </c>
      <c r="D3037" t="s">
        <v>40</v>
      </c>
      <c r="E3037" t="s">
        <v>41</v>
      </c>
      <c r="J3037" t="s">
        <v>182</v>
      </c>
      <c r="K3037" t="s">
        <v>183</v>
      </c>
      <c r="L3037">
        <v>10</v>
      </c>
      <c r="M3037" t="s">
        <v>10232</v>
      </c>
      <c r="N3037" t="s">
        <v>64</v>
      </c>
      <c r="O3037" t="s">
        <v>46</v>
      </c>
      <c r="P3037" t="s">
        <v>46</v>
      </c>
      <c r="Y3037" t="s">
        <v>10239</v>
      </c>
    </row>
    <row r="3038" spans="1:25">
      <c r="A3038" t="s">
        <v>10240</v>
      </c>
      <c r="B3038" t="s">
        <v>10241</v>
      </c>
      <c r="D3038" t="s">
        <v>40</v>
      </c>
      <c r="E3038" t="s">
        <v>41</v>
      </c>
      <c r="J3038" t="s">
        <v>182</v>
      </c>
      <c r="K3038" t="s">
        <v>183</v>
      </c>
      <c r="L3038">
        <v>10</v>
      </c>
      <c r="M3038" t="s">
        <v>10242</v>
      </c>
      <c r="N3038" t="s">
        <v>64</v>
      </c>
      <c r="O3038" t="s">
        <v>46</v>
      </c>
      <c r="P3038" t="s">
        <v>46</v>
      </c>
      <c r="Y3038" t="s">
        <v>10243</v>
      </c>
    </row>
    <row r="3039" spans="1:25">
      <c r="A3039" t="s">
        <v>10244</v>
      </c>
      <c r="B3039" t="s">
        <v>10245</v>
      </c>
      <c r="D3039" t="s">
        <v>40</v>
      </c>
      <c r="E3039" t="s">
        <v>41</v>
      </c>
      <c r="J3039" t="s">
        <v>182</v>
      </c>
      <c r="K3039" t="s">
        <v>183</v>
      </c>
      <c r="L3039">
        <v>10</v>
      </c>
      <c r="M3039" t="s">
        <v>10242</v>
      </c>
      <c r="N3039" t="s">
        <v>64</v>
      </c>
      <c r="O3039" t="s">
        <v>46</v>
      </c>
      <c r="P3039" t="s">
        <v>46</v>
      </c>
      <c r="Y3039" t="s">
        <v>10246</v>
      </c>
    </row>
    <row r="3040" spans="1:25">
      <c r="A3040" t="s">
        <v>10247</v>
      </c>
      <c r="B3040" t="s">
        <v>10248</v>
      </c>
      <c r="D3040" t="s">
        <v>40</v>
      </c>
      <c r="E3040" t="s">
        <v>41</v>
      </c>
      <c r="J3040" t="s">
        <v>42</v>
      </c>
      <c r="K3040" t="s">
        <v>43</v>
      </c>
      <c r="L3040">
        <v>10</v>
      </c>
      <c r="M3040" t="s">
        <v>10242</v>
      </c>
      <c r="N3040" t="s">
        <v>756</v>
      </c>
      <c r="O3040" t="s">
        <v>46</v>
      </c>
      <c r="P3040" t="s">
        <v>46</v>
      </c>
      <c r="Y3040" t="s">
        <v>10249</v>
      </c>
    </row>
    <row r="3041" spans="1:25">
      <c r="A3041" t="s">
        <v>10250</v>
      </c>
      <c r="B3041" t="s">
        <v>10251</v>
      </c>
      <c r="D3041" t="s">
        <v>40</v>
      </c>
      <c r="E3041" t="s">
        <v>41</v>
      </c>
      <c r="J3041" t="s">
        <v>182</v>
      </c>
      <c r="K3041" t="s">
        <v>183</v>
      </c>
      <c r="L3041">
        <v>10</v>
      </c>
      <c r="M3041" t="s">
        <v>10242</v>
      </c>
      <c r="N3041" t="s">
        <v>64</v>
      </c>
      <c r="O3041" t="s">
        <v>46</v>
      </c>
      <c r="P3041" t="s">
        <v>46</v>
      </c>
      <c r="Y3041" t="s">
        <v>10252</v>
      </c>
    </row>
    <row r="3042" spans="1:25">
      <c r="A3042" t="s">
        <v>10253</v>
      </c>
      <c r="B3042" t="s">
        <v>10254</v>
      </c>
      <c r="D3042" t="s">
        <v>40</v>
      </c>
      <c r="E3042" t="s">
        <v>41</v>
      </c>
      <c r="J3042" t="s">
        <v>76</v>
      </c>
      <c r="K3042" t="s">
        <v>77</v>
      </c>
      <c r="L3042">
        <v>10</v>
      </c>
      <c r="M3042" t="s">
        <v>10242</v>
      </c>
      <c r="N3042" t="s">
        <v>64</v>
      </c>
      <c r="O3042" t="s">
        <v>46</v>
      </c>
      <c r="P3042" t="s">
        <v>46</v>
      </c>
      <c r="Y3042" t="s">
        <v>10255</v>
      </c>
    </row>
    <row r="3043" spans="1:25">
      <c r="A3043" t="s">
        <v>10256</v>
      </c>
      <c r="B3043" t="s">
        <v>10257</v>
      </c>
      <c r="D3043" t="s">
        <v>40</v>
      </c>
      <c r="E3043" t="s">
        <v>41</v>
      </c>
      <c r="J3043" t="s">
        <v>68</v>
      </c>
      <c r="K3043" t="s">
        <v>69</v>
      </c>
      <c r="L3043">
        <v>10</v>
      </c>
      <c r="M3043" t="s">
        <v>10258</v>
      </c>
      <c r="N3043" t="s">
        <v>64</v>
      </c>
      <c r="O3043" t="s">
        <v>46</v>
      </c>
      <c r="P3043" t="s">
        <v>46</v>
      </c>
      <c r="Y3043" t="s">
        <v>10259</v>
      </c>
    </row>
    <row r="3044" spans="1:25">
      <c r="A3044" t="s">
        <v>10260</v>
      </c>
      <c r="B3044" t="s">
        <v>10261</v>
      </c>
      <c r="D3044" t="s">
        <v>40</v>
      </c>
      <c r="E3044" t="s">
        <v>41</v>
      </c>
      <c r="J3044" t="s">
        <v>76</v>
      </c>
      <c r="K3044" t="s">
        <v>77</v>
      </c>
      <c r="L3044">
        <v>10</v>
      </c>
      <c r="M3044" t="s">
        <v>10262</v>
      </c>
      <c r="N3044" t="s">
        <v>64</v>
      </c>
      <c r="O3044" t="s">
        <v>46</v>
      </c>
      <c r="P3044" t="s">
        <v>46</v>
      </c>
      <c r="Y3044" t="s">
        <v>10263</v>
      </c>
    </row>
    <row r="3045" spans="1:25">
      <c r="A3045" t="s">
        <v>10264</v>
      </c>
      <c r="B3045" t="s">
        <v>10265</v>
      </c>
      <c r="D3045" t="s">
        <v>40</v>
      </c>
      <c r="E3045" t="s">
        <v>41</v>
      </c>
      <c r="J3045" t="s">
        <v>182</v>
      </c>
      <c r="K3045" t="s">
        <v>183</v>
      </c>
      <c r="L3045">
        <v>10</v>
      </c>
      <c r="M3045" t="s">
        <v>10266</v>
      </c>
      <c r="N3045" t="s">
        <v>64</v>
      </c>
      <c r="O3045" t="s">
        <v>46</v>
      </c>
      <c r="P3045" t="s">
        <v>46</v>
      </c>
      <c r="Y3045" t="s">
        <v>10267</v>
      </c>
    </row>
    <row r="3046" spans="1:25">
      <c r="A3046" t="s">
        <v>10268</v>
      </c>
      <c r="B3046" t="s">
        <v>10269</v>
      </c>
      <c r="D3046" t="s">
        <v>40</v>
      </c>
      <c r="E3046" t="s">
        <v>41</v>
      </c>
      <c r="J3046" t="s">
        <v>264</v>
      </c>
      <c r="K3046" t="s">
        <v>265</v>
      </c>
      <c r="L3046">
        <v>10</v>
      </c>
      <c r="M3046" t="s">
        <v>10270</v>
      </c>
      <c r="N3046" t="s">
        <v>2346</v>
      </c>
      <c r="O3046" t="s">
        <v>46</v>
      </c>
      <c r="P3046" t="s">
        <v>46</v>
      </c>
      <c r="Y3046" t="s">
        <v>10271</v>
      </c>
    </row>
    <row r="3047" spans="1:25">
      <c r="A3047" t="s">
        <v>10272</v>
      </c>
      <c r="B3047" t="s">
        <v>10273</v>
      </c>
      <c r="D3047" t="s">
        <v>40</v>
      </c>
      <c r="E3047" t="s">
        <v>41</v>
      </c>
      <c r="J3047" t="s">
        <v>68</v>
      </c>
      <c r="K3047" t="s">
        <v>69</v>
      </c>
      <c r="L3047">
        <v>10</v>
      </c>
      <c r="M3047" t="s">
        <v>10274</v>
      </c>
      <c r="N3047" t="s">
        <v>64</v>
      </c>
      <c r="O3047" t="s">
        <v>46</v>
      </c>
      <c r="P3047" t="s">
        <v>46</v>
      </c>
      <c r="Y3047" t="s">
        <v>10275</v>
      </c>
    </row>
    <row r="3048" spans="1:25">
      <c r="A3048" t="s">
        <v>10276</v>
      </c>
      <c r="B3048" t="s">
        <v>10277</v>
      </c>
      <c r="D3048" t="s">
        <v>40</v>
      </c>
      <c r="E3048" t="s">
        <v>41</v>
      </c>
      <c r="J3048" t="s">
        <v>182</v>
      </c>
      <c r="K3048" t="s">
        <v>183</v>
      </c>
      <c r="L3048">
        <v>10</v>
      </c>
      <c r="M3048" t="s">
        <v>10278</v>
      </c>
      <c r="N3048" t="s">
        <v>64</v>
      </c>
      <c r="O3048" t="s">
        <v>46</v>
      </c>
      <c r="P3048" t="s">
        <v>46</v>
      </c>
      <c r="Y3048" t="s">
        <v>10279</v>
      </c>
    </row>
    <row r="3049" spans="1:25">
      <c r="A3049" t="s">
        <v>10280</v>
      </c>
      <c r="B3049" t="s">
        <v>10281</v>
      </c>
      <c r="D3049" t="s">
        <v>40</v>
      </c>
      <c r="E3049" t="s">
        <v>41</v>
      </c>
      <c r="J3049" t="s">
        <v>42</v>
      </c>
      <c r="K3049" t="s">
        <v>43</v>
      </c>
      <c r="L3049">
        <v>10</v>
      </c>
      <c r="M3049" t="s">
        <v>10282</v>
      </c>
      <c r="N3049" t="s">
        <v>1344</v>
      </c>
      <c r="O3049" t="s">
        <v>46</v>
      </c>
      <c r="P3049" t="s">
        <v>46</v>
      </c>
      <c r="Y3049" t="s">
        <v>10283</v>
      </c>
    </row>
    <row r="3050" spans="1:25">
      <c r="A3050" t="s">
        <v>10284</v>
      </c>
      <c r="B3050" t="s">
        <v>10285</v>
      </c>
      <c r="D3050" t="s">
        <v>40</v>
      </c>
      <c r="E3050" t="s">
        <v>41</v>
      </c>
      <c r="J3050" t="s">
        <v>42</v>
      </c>
      <c r="K3050" t="s">
        <v>43</v>
      </c>
      <c r="L3050">
        <v>9</v>
      </c>
      <c r="M3050" t="s">
        <v>10286</v>
      </c>
      <c r="N3050" t="s">
        <v>756</v>
      </c>
      <c r="O3050" t="s">
        <v>46</v>
      </c>
      <c r="P3050" t="s">
        <v>46</v>
      </c>
      <c r="Y3050" t="s">
        <v>10287</v>
      </c>
    </row>
    <row r="3051" spans="1:25">
      <c r="A3051" t="s">
        <v>10288</v>
      </c>
      <c r="B3051" t="s">
        <v>10289</v>
      </c>
      <c r="D3051" t="s">
        <v>40</v>
      </c>
      <c r="E3051" t="s">
        <v>41</v>
      </c>
      <c r="J3051" t="s">
        <v>62</v>
      </c>
      <c r="K3051" t="s">
        <v>63</v>
      </c>
      <c r="L3051">
        <v>10</v>
      </c>
      <c r="M3051" t="s">
        <v>10290</v>
      </c>
      <c r="N3051" t="s">
        <v>64</v>
      </c>
      <c r="O3051" t="s">
        <v>46</v>
      </c>
      <c r="P3051" t="s">
        <v>46</v>
      </c>
      <c r="Y3051" t="s">
        <v>10291</v>
      </c>
    </row>
    <row r="3052" spans="1:25">
      <c r="A3052" t="s">
        <v>10292</v>
      </c>
      <c r="B3052" t="s">
        <v>10293</v>
      </c>
      <c r="D3052" t="s">
        <v>40</v>
      </c>
      <c r="E3052" t="s">
        <v>41</v>
      </c>
      <c r="J3052" t="s">
        <v>182</v>
      </c>
      <c r="K3052" t="s">
        <v>183</v>
      </c>
      <c r="L3052">
        <v>10</v>
      </c>
      <c r="M3052" t="s">
        <v>10290</v>
      </c>
      <c r="N3052" t="s">
        <v>64</v>
      </c>
      <c r="O3052" t="s">
        <v>46</v>
      </c>
      <c r="P3052" t="s">
        <v>46</v>
      </c>
      <c r="Y3052" t="s">
        <v>10294</v>
      </c>
    </row>
    <row r="3053" spans="1:25">
      <c r="A3053" t="s">
        <v>10295</v>
      </c>
      <c r="B3053" t="s">
        <v>10296</v>
      </c>
      <c r="D3053" t="s">
        <v>40</v>
      </c>
      <c r="E3053" t="s">
        <v>41</v>
      </c>
      <c r="J3053" t="s">
        <v>892</v>
      </c>
      <c r="K3053" t="s">
        <v>893</v>
      </c>
      <c r="L3053">
        <v>12</v>
      </c>
      <c r="M3053" t="s">
        <v>10290</v>
      </c>
      <c r="N3053" t="s">
        <v>440</v>
      </c>
      <c r="O3053" t="s">
        <v>46</v>
      </c>
      <c r="P3053" t="s">
        <v>46</v>
      </c>
      <c r="Y3053" t="s">
        <v>10297</v>
      </c>
    </row>
    <row r="3054" spans="1:25">
      <c r="A3054" t="s">
        <v>10298</v>
      </c>
      <c r="B3054" t="s">
        <v>10299</v>
      </c>
      <c r="D3054" t="s">
        <v>40</v>
      </c>
      <c r="E3054" t="s">
        <v>41</v>
      </c>
      <c r="J3054" t="s">
        <v>76</v>
      </c>
      <c r="K3054" t="s">
        <v>77</v>
      </c>
      <c r="L3054">
        <v>10</v>
      </c>
      <c r="M3054" t="s">
        <v>10300</v>
      </c>
      <c r="N3054" t="s">
        <v>64</v>
      </c>
      <c r="O3054" t="s">
        <v>46</v>
      </c>
      <c r="P3054" t="s">
        <v>46</v>
      </c>
      <c r="Y3054" t="s">
        <v>10301</v>
      </c>
    </row>
    <row r="3055" spans="1:25">
      <c r="A3055" t="s">
        <v>10302</v>
      </c>
      <c r="B3055" t="s">
        <v>10303</v>
      </c>
      <c r="D3055" t="s">
        <v>40</v>
      </c>
      <c r="E3055" t="s">
        <v>41</v>
      </c>
      <c r="J3055" t="s">
        <v>182</v>
      </c>
      <c r="K3055" t="s">
        <v>183</v>
      </c>
      <c r="L3055">
        <v>8</v>
      </c>
      <c r="M3055" t="s">
        <v>10300</v>
      </c>
      <c r="N3055" t="s">
        <v>64</v>
      </c>
      <c r="O3055" t="s">
        <v>46</v>
      </c>
      <c r="P3055" t="s">
        <v>46</v>
      </c>
      <c r="Y3055" t="s">
        <v>10304</v>
      </c>
    </row>
    <row r="3056" spans="1:25">
      <c r="A3056" t="s">
        <v>10305</v>
      </c>
      <c r="B3056" t="s">
        <v>10306</v>
      </c>
      <c r="D3056" t="s">
        <v>40</v>
      </c>
      <c r="E3056" t="s">
        <v>41</v>
      </c>
      <c r="J3056" t="s">
        <v>68</v>
      </c>
      <c r="K3056" t="s">
        <v>69</v>
      </c>
      <c r="L3056">
        <v>10</v>
      </c>
      <c r="M3056" t="s">
        <v>10307</v>
      </c>
      <c r="N3056" t="s">
        <v>64</v>
      </c>
      <c r="O3056" t="s">
        <v>46</v>
      </c>
      <c r="P3056" t="s">
        <v>46</v>
      </c>
      <c r="Y3056" t="s">
        <v>10308</v>
      </c>
    </row>
    <row r="3057" spans="1:25">
      <c r="A3057" t="s">
        <v>10309</v>
      </c>
      <c r="B3057" t="s">
        <v>10310</v>
      </c>
      <c r="D3057" t="s">
        <v>40</v>
      </c>
      <c r="E3057" t="s">
        <v>41</v>
      </c>
      <c r="J3057" t="s">
        <v>76</v>
      </c>
      <c r="K3057" t="s">
        <v>77</v>
      </c>
      <c r="L3057">
        <v>10</v>
      </c>
      <c r="M3057" t="s">
        <v>10307</v>
      </c>
      <c r="N3057" t="s">
        <v>64</v>
      </c>
      <c r="O3057" t="s">
        <v>46</v>
      </c>
      <c r="P3057" t="s">
        <v>46</v>
      </c>
      <c r="Y3057" t="s">
        <v>10311</v>
      </c>
    </row>
    <row r="3058" spans="1:25">
      <c r="A3058" t="s">
        <v>10312</v>
      </c>
      <c r="B3058" t="s">
        <v>10313</v>
      </c>
      <c r="D3058" t="s">
        <v>40</v>
      </c>
      <c r="E3058" t="s">
        <v>41</v>
      </c>
      <c r="J3058" t="s">
        <v>68</v>
      </c>
      <c r="K3058" t="s">
        <v>69</v>
      </c>
      <c r="L3058">
        <v>10</v>
      </c>
      <c r="M3058" t="s">
        <v>10307</v>
      </c>
      <c r="N3058" t="s">
        <v>64</v>
      </c>
      <c r="O3058" t="s">
        <v>46</v>
      </c>
      <c r="P3058" t="s">
        <v>46</v>
      </c>
      <c r="Y3058" t="s">
        <v>10314</v>
      </c>
    </row>
    <row r="3059" spans="1:25">
      <c r="A3059" t="s">
        <v>10315</v>
      </c>
      <c r="B3059" t="s">
        <v>10316</v>
      </c>
      <c r="D3059" t="s">
        <v>40</v>
      </c>
      <c r="E3059" t="s">
        <v>41</v>
      </c>
      <c r="J3059" t="s">
        <v>182</v>
      </c>
      <c r="K3059" t="s">
        <v>183</v>
      </c>
      <c r="L3059">
        <v>10</v>
      </c>
      <c r="M3059" t="s">
        <v>10307</v>
      </c>
      <c r="N3059" t="s">
        <v>64</v>
      </c>
      <c r="O3059" t="s">
        <v>46</v>
      </c>
      <c r="P3059" t="s">
        <v>46</v>
      </c>
      <c r="Y3059" t="s">
        <v>10317</v>
      </c>
    </row>
    <row r="3060" spans="1:25">
      <c r="A3060" t="s">
        <v>10318</v>
      </c>
      <c r="B3060" t="s">
        <v>10319</v>
      </c>
      <c r="D3060" t="s">
        <v>40</v>
      </c>
      <c r="E3060" t="s">
        <v>41</v>
      </c>
      <c r="J3060" t="s">
        <v>1572</v>
      </c>
      <c r="K3060" t="s">
        <v>1573</v>
      </c>
      <c r="L3060">
        <v>10</v>
      </c>
      <c r="M3060" t="s">
        <v>10320</v>
      </c>
      <c r="N3060" t="s">
        <v>64</v>
      </c>
      <c r="O3060" t="s">
        <v>46</v>
      </c>
      <c r="P3060" t="s">
        <v>46</v>
      </c>
      <c r="Y3060" t="s">
        <v>10321</v>
      </c>
    </row>
    <row r="3061" spans="1:25">
      <c r="A3061" t="s">
        <v>10322</v>
      </c>
      <c r="B3061" t="s">
        <v>10323</v>
      </c>
      <c r="D3061" t="s">
        <v>40</v>
      </c>
      <c r="E3061" t="s">
        <v>41</v>
      </c>
      <c r="J3061" t="s">
        <v>76</v>
      </c>
      <c r="K3061" t="s">
        <v>77</v>
      </c>
      <c r="L3061">
        <v>10</v>
      </c>
      <c r="M3061" t="s">
        <v>10320</v>
      </c>
      <c r="N3061" t="s">
        <v>64</v>
      </c>
      <c r="O3061" t="s">
        <v>46</v>
      </c>
      <c r="P3061" t="s">
        <v>46</v>
      </c>
      <c r="Y3061" t="s">
        <v>10324</v>
      </c>
    </row>
    <row r="3062" spans="1:25">
      <c r="A3062" t="s">
        <v>10325</v>
      </c>
      <c r="B3062" t="s">
        <v>10326</v>
      </c>
      <c r="D3062" t="s">
        <v>40</v>
      </c>
      <c r="E3062" t="s">
        <v>41</v>
      </c>
      <c r="J3062" t="s">
        <v>182</v>
      </c>
      <c r="K3062" t="s">
        <v>183</v>
      </c>
      <c r="L3062">
        <v>10</v>
      </c>
      <c r="M3062" t="s">
        <v>10320</v>
      </c>
      <c r="N3062" t="s">
        <v>64</v>
      </c>
      <c r="O3062" t="s">
        <v>46</v>
      </c>
      <c r="P3062" t="s">
        <v>46</v>
      </c>
      <c r="Y3062" t="s">
        <v>10327</v>
      </c>
    </row>
    <row r="3063" spans="1:25">
      <c r="A3063" t="s">
        <v>10328</v>
      </c>
      <c r="B3063" t="s">
        <v>10329</v>
      </c>
      <c r="D3063" t="s">
        <v>40</v>
      </c>
      <c r="E3063" t="s">
        <v>41</v>
      </c>
      <c r="J3063" t="s">
        <v>68</v>
      </c>
      <c r="K3063" t="s">
        <v>69</v>
      </c>
      <c r="L3063">
        <v>10</v>
      </c>
      <c r="M3063" t="s">
        <v>10320</v>
      </c>
      <c r="N3063" t="s">
        <v>64</v>
      </c>
      <c r="O3063" t="s">
        <v>46</v>
      </c>
      <c r="P3063" t="s">
        <v>46</v>
      </c>
      <c r="Y3063" t="s">
        <v>10330</v>
      </c>
    </row>
    <row r="3064" spans="1:25">
      <c r="A3064" t="s">
        <v>10331</v>
      </c>
      <c r="B3064" t="s">
        <v>10332</v>
      </c>
      <c r="D3064" t="s">
        <v>40</v>
      </c>
      <c r="E3064" t="s">
        <v>41</v>
      </c>
      <c r="J3064" t="s">
        <v>76</v>
      </c>
      <c r="K3064" t="s">
        <v>77</v>
      </c>
      <c r="L3064">
        <v>10</v>
      </c>
      <c r="M3064" t="s">
        <v>10320</v>
      </c>
      <c r="N3064" t="s">
        <v>64</v>
      </c>
      <c r="O3064" t="s">
        <v>46</v>
      </c>
      <c r="P3064" t="s">
        <v>46</v>
      </c>
      <c r="Y3064" t="s">
        <v>10333</v>
      </c>
    </row>
    <row r="3065" spans="1:25">
      <c r="A3065" t="s">
        <v>10334</v>
      </c>
      <c r="B3065" t="s">
        <v>10335</v>
      </c>
      <c r="D3065" t="s">
        <v>40</v>
      </c>
      <c r="E3065" t="s">
        <v>41</v>
      </c>
      <c r="J3065" t="s">
        <v>1572</v>
      </c>
      <c r="K3065" t="s">
        <v>1573</v>
      </c>
      <c r="L3065">
        <v>10</v>
      </c>
      <c r="M3065" t="s">
        <v>10336</v>
      </c>
      <c r="N3065" t="s">
        <v>64</v>
      </c>
      <c r="O3065" t="s">
        <v>46</v>
      </c>
      <c r="P3065" t="s">
        <v>46</v>
      </c>
      <c r="Y3065" t="s">
        <v>10337</v>
      </c>
    </row>
    <row r="3066" spans="1:25">
      <c r="A3066" t="s">
        <v>10338</v>
      </c>
      <c r="B3066" t="s">
        <v>10339</v>
      </c>
      <c r="D3066" t="s">
        <v>40</v>
      </c>
      <c r="E3066" t="s">
        <v>41</v>
      </c>
      <c r="J3066" t="s">
        <v>76</v>
      </c>
      <c r="K3066" t="s">
        <v>77</v>
      </c>
      <c r="L3066">
        <v>10</v>
      </c>
      <c r="M3066" t="s">
        <v>10336</v>
      </c>
      <c r="N3066" t="s">
        <v>64</v>
      </c>
      <c r="O3066" t="s">
        <v>46</v>
      </c>
      <c r="P3066" t="s">
        <v>46</v>
      </c>
      <c r="Y3066" t="s">
        <v>10340</v>
      </c>
    </row>
    <row r="3067" spans="1:25">
      <c r="A3067" t="s">
        <v>10341</v>
      </c>
      <c r="B3067" t="s">
        <v>10342</v>
      </c>
      <c r="D3067" t="s">
        <v>40</v>
      </c>
      <c r="E3067" t="s">
        <v>41</v>
      </c>
      <c r="J3067" t="s">
        <v>68</v>
      </c>
      <c r="K3067" t="s">
        <v>69</v>
      </c>
      <c r="L3067">
        <v>10</v>
      </c>
      <c r="M3067" t="s">
        <v>10343</v>
      </c>
      <c r="N3067" t="s">
        <v>64</v>
      </c>
      <c r="O3067" t="s">
        <v>46</v>
      </c>
      <c r="P3067" t="s">
        <v>46</v>
      </c>
      <c r="Y3067" t="s">
        <v>10344</v>
      </c>
    </row>
    <row r="3068" spans="1:25">
      <c r="A3068" t="s">
        <v>10345</v>
      </c>
      <c r="B3068" t="s">
        <v>10346</v>
      </c>
      <c r="D3068" t="s">
        <v>40</v>
      </c>
      <c r="E3068" t="s">
        <v>41</v>
      </c>
      <c r="J3068" t="s">
        <v>76</v>
      </c>
      <c r="K3068" t="s">
        <v>77</v>
      </c>
      <c r="L3068">
        <v>10</v>
      </c>
      <c r="M3068" t="s">
        <v>10343</v>
      </c>
      <c r="N3068" t="s">
        <v>64</v>
      </c>
      <c r="O3068" t="s">
        <v>46</v>
      </c>
      <c r="P3068" t="s">
        <v>46</v>
      </c>
      <c r="Y3068" t="s">
        <v>10347</v>
      </c>
    </row>
    <row r="3069" spans="1:25">
      <c r="A3069" t="s">
        <v>10348</v>
      </c>
      <c r="B3069" t="s">
        <v>10349</v>
      </c>
      <c r="D3069" t="s">
        <v>40</v>
      </c>
      <c r="E3069" t="s">
        <v>41</v>
      </c>
      <c r="J3069" t="s">
        <v>76</v>
      </c>
      <c r="K3069" t="s">
        <v>77</v>
      </c>
      <c r="L3069">
        <v>10</v>
      </c>
      <c r="M3069" t="s">
        <v>10343</v>
      </c>
      <c r="N3069" t="s">
        <v>64</v>
      </c>
      <c r="O3069" t="s">
        <v>46</v>
      </c>
      <c r="P3069" t="s">
        <v>46</v>
      </c>
      <c r="Y3069" t="s">
        <v>10350</v>
      </c>
    </row>
    <row r="3070" spans="1:25">
      <c r="A3070" t="s">
        <v>10351</v>
      </c>
      <c r="B3070" t="s">
        <v>10352</v>
      </c>
      <c r="D3070" t="s">
        <v>40</v>
      </c>
      <c r="E3070" t="s">
        <v>41</v>
      </c>
      <c r="J3070" t="s">
        <v>1142</v>
      </c>
      <c r="K3070" t="s">
        <v>1143</v>
      </c>
      <c r="L3070">
        <v>10</v>
      </c>
      <c r="M3070" t="s">
        <v>10353</v>
      </c>
      <c r="N3070" t="s">
        <v>1369</v>
      </c>
      <c r="O3070" t="s">
        <v>46</v>
      </c>
      <c r="P3070" t="s">
        <v>46</v>
      </c>
      <c r="Y3070" t="s">
        <v>10354</v>
      </c>
    </row>
    <row r="3071" spans="1:25">
      <c r="A3071" t="s">
        <v>10355</v>
      </c>
      <c r="B3071" t="s">
        <v>10356</v>
      </c>
      <c r="D3071" t="s">
        <v>40</v>
      </c>
      <c r="E3071" t="s">
        <v>41</v>
      </c>
      <c r="J3071" t="s">
        <v>182</v>
      </c>
      <c r="K3071" t="s">
        <v>183</v>
      </c>
      <c r="L3071">
        <v>10</v>
      </c>
      <c r="M3071" t="s">
        <v>10353</v>
      </c>
      <c r="N3071" t="s">
        <v>64</v>
      </c>
      <c r="O3071" t="s">
        <v>46</v>
      </c>
      <c r="P3071" t="s">
        <v>46</v>
      </c>
      <c r="Y3071" t="s">
        <v>10357</v>
      </c>
    </row>
    <row r="3072" spans="1:25">
      <c r="A3072" t="s">
        <v>10358</v>
      </c>
      <c r="B3072" t="s">
        <v>10359</v>
      </c>
      <c r="D3072" t="s">
        <v>40</v>
      </c>
      <c r="E3072" t="s">
        <v>41</v>
      </c>
      <c r="J3072" t="s">
        <v>182</v>
      </c>
      <c r="K3072" t="s">
        <v>183</v>
      </c>
      <c r="L3072">
        <v>10</v>
      </c>
      <c r="M3072" t="s">
        <v>10360</v>
      </c>
      <c r="N3072" t="s">
        <v>64</v>
      </c>
      <c r="O3072" t="s">
        <v>46</v>
      </c>
      <c r="P3072" t="s">
        <v>46</v>
      </c>
      <c r="Y3072" t="s">
        <v>10361</v>
      </c>
    </row>
    <row r="3073" spans="1:25">
      <c r="A3073" t="s">
        <v>10362</v>
      </c>
      <c r="B3073" t="s">
        <v>10363</v>
      </c>
      <c r="D3073" t="s">
        <v>40</v>
      </c>
      <c r="E3073" t="s">
        <v>41</v>
      </c>
      <c r="J3073" t="s">
        <v>62</v>
      </c>
      <c r="K3073" t="s">
        <v>63</v>
      </c>
      <c r="L3073">
        <v>10</v>
      </c>
      <c r="M3073" t="s">
        <v>10364</v>
      </c>
      <c r="N3073" t="s">
        <v>64</v>
      </c>
      <c r="O3073" t="s">
        <v>46</v>
      </c>
      <c r="P3073" t="s">
        <v>46</v>
      </c>
      <c r="Y3073" t="s">
        <v>10365</v>
      </c>
    </row>
    <row r="3074" spans="1:25">
      <c r="A3074" t="s">
        <v>10366</v>
      </c>
      <c r="B3074" t="s">
        <v>10367</v>
      </c>
      <c r="D3074" t="s">
        <v>40</v>
      </c>
      <c r="E3074" t="s">
        <v>41</v>
      </c>
      <c r="J3074" t="s">
        <v>76</v>
      </c>
      <c r="K3074" t="s">
        <v>77</v>
      </c>
      <c r="L3074">
        <v>10</v>
      </c>
      <c r="M3074" t="s">
        <v>10364</v>
      </c>
      <c r="N3074" t="s">
        <v>64</v>
      </c>
      <c r="O3074" t="s">
        <v>46</v>
      </c>
      <c r="P3074" t="s">
        <v>46</v>
      </c>
      <c r="Y3074" t="s">
        <v>10368</v>
      </c>
    </row>
    <row r="3075" spans="1:25">
      <c r="A3075" t="s">
        <v>10369</v>
      </c>
      <c r="B3075" t="s">
        <v>10370</v>
      </c>
      <c r="D3075" t="s">
        <v>40</v>
      </c>
      <c r="E3075" t="s">
        <v>41</v>
      </c>
      <c r="J3075" t="s">
        <v>182</v>
      </c>
      <c r="K3075" t="s">
        <v>183</v>
      </c>
      <c r="L3075">
        <v>10</v>
      </c>
      <c r="M3075" t="s">
        <v>10371</v>
      </c>
      <c r="N3075" t="s">
        <v>64</v>
      </c>
      <c r="O3075" t="s">
        <v>46</v>
      </c>
      <c r="P3075" t="s">
        <v>46</v>
      </c>
      <c r="Y3075" t="s">
        <v>10372</v>
      </c>
    </row>
    <row r="3076" spans="1:25">
      <c r="A3076" t="s">
        <v>10373</v>
      </c>
      <c r="B3076" t="s">
        <v>10374</v>
      </c>
      <c r="D3076" t="s">
        <v>40</v>
      </c>
      <c r="E3076" t="s">
        <v>41</v>
      </c>
      <c r="J3076" t="s">
        <v>182</v>
      </c>
      <c r="K3076" t="s">
        <v>183</v>
      </c>
      <c r="L3076">
        <v>10</v>
      </c>
      <c r="M3076" t="s">
        <v>10371</v>
      </c>
      <c r="N3076" t="s">
        <v>64</v>
      </c>
      <c r="O3076" t="s">
        <v>46</v>
      </c>
      <c r="P3076" t="s">
        <v>46</v>
      </c>
      <c r="Y3076" t="s">
        <v>10375</v>
      </c>
    </row>
    <row r="3077" spans="1:25">
      <c r="A3077" t="s">
        <v>10376</v>
      </c>
      <c r="B3077" t="s">
        <v>10377</v>
      </c>
      <c r="D3077" t="s">
        <v>40</v>
      </c>
      <c r="E3077" t="s">
        <v>41</v>
      </c>
      <c r="J3077" t="s">
        <v>139</v>
      </c>
      <c r="K3077" t="s">
        <v>140</v>
      </c>
      <c r="L3077">
        <v>10</v>
      </c>
      <c r="M3077" t="s">
        <v>10378</v>
      </c>
      <c r="N3077" t="s">
        <v>3013</v>
      </c>
      <c r="O3077" t="s">
        <v>46</v>
      </c>
      <c r="P3077" t="s">
        <v>46</v>
      </c>
      <c r="Y3077" t="s">
        <v>10379</v>
      </c>
    </row>
    <row r="3078" spans="1:25">
      <c r="A3078" t="s">
        <v>10380</v>
      </c>
      <c r="B3078" t="s">
        <v>10381</v>
      </c>
      <c r="D3078" t="s">
        <v>40</v>
      </c>
      <c r="E3078" t="s">
        <v>41</v>
      </c>
      <c r="J3078" t="s">
        <v>68</v>
      </c>
      <c r="K3078" t="s">
        <v>69</v>
      </c>
      <c r="L3078">
        <v>10</v>
      </c>
      <c r="M3078" t="s">
        <v>10378</v>
      </c>
      <c r="N3078" t="s">
        <v>64</v>
      </c>
      <c r="O3078" t="s">
        <v>46</v>
      </c>
      <c r="P3078" t="s">
        <v>46</v>
      </c>
      <c r="Y3078" t="s">
        <v>10382</v>
      </c>
    </row>
    <row r="3079" spans="1:25">
      <c r="A3079" t="s">
        <v>10383</v>
      </c>
      <c r="B3079" t="s">
        <v>10384</v>
      </c>
      <c r="D3079" t="s">
        <v>40</v>
      </c>
      <c r="E3079" t="s">
        <v>41</v>
      </c>
      <c r="J3079" t="s">
        <v>182</v>
      </c>
      <c r="K3079" t="s">
        <v>183</v>
      </c>
      <c r="L3079">
        <v>10</v>
      </c>
      <c r="M3079" t="s">
        <v>10378</v>
      </c>
      <c r="N3079" t="s">
        <v>64</v>
      </c>
      <c r="O3079" t="s">
        <v>46</v>
      </c>
      <c r="P3079" t="s">
        <v>46</v>
      </c>
      <c r="Y3079" t="s">
        <v>10385</v>
      </c>
    </row>
    <row r="3080" spans="1:25">
      <c r="A3080" t="s">
        <v>10386</v>
      </c>
      <c r="B3080" t="s">
        <v>10387</v>
      </c>
      <c r="D3080" t="s">
        <v>40</v>
      </c>
      <c r="E3080" t="s">
        <v>41</v>
      </c>
      <c r="J3080" t="s">
        <v>62</v>
      </c>
      <c r="K3080" t="s">
        <v>63</v>
      </c>
      <c r="L3080">
        <v>10</v>
      </c>
      <c r="M3080" t="s">
        <v>10378</v>
      </c>
      <c r="N3080" t="s">
        <v>64</v>
      </c>
      <c r="O3080" t="s">
        <v>46</v>
      </c>
      <c r="P3080" t="s">
        <v>46</v>
      </c>
      <c r="Y3080" t="s">
        <v>10388</v>
      </c>
    </row>
    <row r="3081" spans="1:25">
      <c r="A3081" t="s">
        <v>10389</v>
      </c>
      <c r="B3081" t="s">
        <v>10390</v>
      </c>
      <c r="D3081" t="s">
        <v>40</v>
      </c>
      <c r="E3081" t="s">
        <v>41</v>
      </c>
      <c r="J3081" t="s">
        <v>182</v>
      </c>
      <c r="K3081" t="s">
        <v>183</v>
      </c>
      <c r="L3081">
        <v>10</v>
      </c>
      <c r="M3081" t="s">
        <v>10391</v>
      </c>
      <c r="N3081" t="s">
        <v>64</v>
      </c>
      <c r="O3081" t="s">
        <v>46</v>
      </c>
      <c r="P3081" t="s">
        <v>46</v>
      </c>
      <c r="Y3081" t="s">
        <v>10392</v>
      </c>
    </row>
    <row r="3082" spans="1:25">
      <c r="A3082" t="s">
        <v>10393</v>
      </c>
      <c r="B3082" t="s">
        <v>10394</v>
      </c>
      <c r="D3082" t="s">
        <v>40</v>
      </c>
      <c r="E3082" t="s">
        <v>41</v>
      </c>
      <c r="J3082" t="s">
        <v>42</v>
      </c>
      <c r="K3082" t="s">
        <v>43</v>
      </c>
      <c r="L3082">
        <v>10</v>
      </c>
      <c r="M3082" t="s">
        <v>10395</v>
      </c>
      <c r="N3082" t="s">
        <v>756</v>
      </c>
      <c r="O3082" t="s">
        <v>46</v>
      </c>
      <c r="P3082" t="s">
        <v>46</v>
      </c>
      <c r="Y3082" t="s">
        <v>10396</v>
      </c>
    </row>
    <row r="3083" spans="1:25">
      <c r="A3083" t="s">
        <v>10397</v>
      </c>
      <c r="B3083" t="s">
        <v>10398</v>
      </c>
      <c r="D3083" t="s">
        <v>40</v>
      </c>
      <c r="E3083" t="s">
        <v>41</v>
      </c>
      <c r="J3083" t="s">
        <v>264</v>
      </c>
      <c r="K3083" t="s">
        <v>265</v>
      </c>
      <c r="L3083">
        <v>10</v>
      </c>
      <c r="M3083" t="s">
        <v>10399</v>
      </c>
      <c r="N3083" t="s">
        <v>2346</v>
      </c>
      <c r="O3083" t="s">
        <v>46</v>
      </c>
      <c r="P3083" t="s">
        <v>46</v>
      </c>
      <c r="Y3083" t="s">
        <v>10400</v>
      </c>
    </row>
    <row r="3084" spans="1:25">
      <c r="A3084" t="s">
        <v>10401</v>
      </c>
      <c r="B3084" t="s">
        <v>10402</v>
      </c>
      <c r="D3084" t="s">
        <v>40</v>
      </c>
      <c r="E3084" t="s">
        <v>41</v>
      </c>
      <c r="J3084" t="s">
        <v>139</v>
      </c>
      <c r="K3084" t="s">
        <v>140</v>
      </c>
      <c r="L3084">
        <v>10</v>
      </c>
      <c r="M3084" t="s">
        <v>10403</v>
      </c>
      <c r="N3084" t="s">
        <v>1397</v>
      </c>
      <c r="O3084" t="s">
        <v>46</v>
      </c>
      <c r="P3084" t="s">
        <v>46</v>
      </c>
      <c r="Y3084" t="s">
        <v>10404</v>
      </c>
    </row>
    <row r="3085" spans="1:25">
      <c r="A3085" t="s">
        <v>10405</v>
      </c>
      <c r="B3085" t="s">
        <v>10406</v>
      </c>
      <c r="D3085" t="s">
        <v>40</v>
      </c>
      <c r="E3085" t="s">
        <v>41</v>
      </c>
      <c r="J3085" t="s">
        <v>182</v>
      </c>
      <c r="K3085" t="s">
        <v>183</v>
      </c>
      <c r="L3085">
        <v>10</v>
      </c>
      <c r="M3085" t="s">
        <v>10403</v>
      </c>
      <c r="N3085" t="s">
        <v>64</v>
      </c>
      <c r="O3085" t="s">
        <v>46</v>
      </c>
      <c r="P3085" t="s">
        <v>46</v>
      </c>
      <c r="Y3085" t="s">
        <v>10407</v>
      </c>
    </row>
    <row r="3086" spans="1:25">
      <c r="A3086" t="s">
        <v>10408</v>
      </c>
      <c r="B3086" t="s">
        <v>10409</v>
      </c>
      <c r="D3086" t="s">
        <v>40</v>
      </c>
      <c r="E3086" t="s">
        <v>41</v>
      </c>
      <c r="J3086" t="s">
        <v>182</v>
      </c>
      <c r="K3086" t="s">
        <v>183</v>
      </c>
      <c r="L3086">
        <v>10</v>
      </c>
      <c r="M3086" t="s">
        <v>10410</v>
      </c>
      <c r="N3086" t="s">
        <v>64</v>
      </c>
      <c r="O3086" t="s">
        <v>46</v>
      </c>
      <c r="P3086" t="s">
        <v>46</v>
      </c>
      <c r="Y3086" t="s">
        <v>10411</v>
      </c>
    </row>
    <row r="3087" spans="1:25">
      <c r="A3087" t="s">
        <v>10412</v>
      </c>
      <c r="B3087" t="s">
        <v>10413</v>
      </c>
      <c r="D3087" t="s">
        <v>40</v>
      </c>
      <c r="E3087" t="s">
        <v>41</v>
      </c>
      <c r="J3087" t="s">
        <v>76</v>
      </c>
      <c r="K3087" t="s">
        <v>77</v>
      </c>
      <c r="L3087">
        <v>10</v>
      </c>
      <c r="M3087" t="s">
        <v>10410</v>
      </c>
      <c r="N3087" t="s">
        <v>64</v>
      </c>
      <c r="O3087" t="s">
        <v>46</v>
      </c>
      <c r="P3087" t="s">
        <v>46</v>
      </c>
      <c r="Y3087" t="s">
        <v>10414</v>
      </c>
    </row>
    <row r="3088" spans="1:25">
      <c r="A3088" t="s">
        <v>10415</v>
      </c>
      <c r="B3088" t="s">
        <v>10416</v>
      </c>
      <c r="D3088" t="s">
        <v>40</v>
      </c>
      <c r="E3088" t="s">
        <v>41</v>
      </c>
      <c r="J3088" t="s">
        <v>76</v>
      </c>
      <c r="K3088" t="s">
        <v>77</v>
      </c>
      <c r="L3088">
        <v>10</v>
      </c>
      <c r="M3088" t="s">
        <v>10410</v>
      </c>
      <c r="N3088" t="s">
        <v>64</v>
      </c>
      <c r="O3088" t="s">
        <v>46</v>
      </c>
      <c r="P3088" t="s">
        <v>46</v>
      </c>
      <c r="Y3088" t="s">
        <v>10417</v>
      </c>
    </row>
    <row r="3089" spans="1:25">
      <c r="A3089" t="s">
        <v>10418</v>
      </c>
      <c r="B3089" t="s">
        <v>10419</v>
      </c>
      <c r="D3089" t="s">
        <v>40</v>
      </c>
      <c r="E3089" t="s">
        <v>41</v>
      </c>
      <c r="J3089" t="s">
        <v>42</v>
      </c>
      <c r="K3089" t="s">
        <v>43</v>
      </c>
      <c r="L3089">
        <v>10</v>
      </c>
      <c r="M3089" t="s">
        <v>10410</v>
      </c>
      <c r="N3089" t="s">
        <v>1344</v>
      </c>
      <c r="O3089" t="s">
        <v>46</v>
      </c>
      <c r="P3089" t="s">
        <v>46</v>
      </c>
      <c r="Y3089" t="s">
        <v>10420</v>
      </c>
    </row>
    <row r="3090" spans="1:25">
      <c r="A3090" t="s">
        <v>10421</v>
      </c>
      <c r="B3090" t="s">
        <v>10422</v>
      </c>
      <c r="D3090" t="s">
        <v>40</v>
      </c>
      <c r="E3090" t="s">
        <v>41</v>
      </c>
      <c r="J3090" t="s">
        <v>76</v>
      </c>
      <c r="K3090" t="s">
        <v>77</v>
      </c>
      <c r="L3090">
        <v>10</v>
      </c>
      <c r="M3090" t="s">
        <v>10423</v>
      </c>
      <c r="N3090" t="s">
        <v>64</v>
      </c>
      <c r="O3090" t="s">
        <v>46</v>
      </c>
      <c r="P3090" t="s">
        <v>46</v>
      </c>
      <c r="Y3090" t="s">
        <v>10424</v>
      </c>
    </row>
    <row r="3091" spans="1:25">
      <c r="A3091" t="s">
        <v>10425</v>
      </c>
      <c r="B3091" t="s">
        <v>10426</v>
      </c>
      <c r="D3091" t="s">
        <v>40</v>
      </c>
      <c r="E3091" t="s">
        <v>41</v>
      </c>
      <c r="J3091" t="s">
        <v>76</v>
      </c>
      <c r="K3091" t="s">
        <v>77</v>
      </c>
      <c r="L3091">
        <v>10</v>
      </c>
      <c r="M3091" t="s">
        <v>10423</v>
      </c>
      <c r="N3091" t="s">
        <v>64</v>
      </c>
      <c r="O3091" t="s">
        <v>46</v>
      </c>
      <c r="P3091" t="s">
        <v>46</v>
      </c>
      <c r="Y3091" t="s">
        <v>10427</v>
      </c>
    </row>
    <row r="3092" spans="1:25">
      <c r="A3092" t="s">
        <v>10428</v>
      </c>
      <c r="B3092" t="s">
        <v>10429</v>
      </c>
      <c r="D3092" t="s">
        <v>40</v>
      </c>
      <c r="E3092" t="s">
        <v>41</v>
      </c>
      <c r="J3092" t="s">
        <v>182</v>
      </c>
      <c r="K3092" t="s">
        <v>183</v>
      </c>
      <c r="L3092">
        <v>10</v>
      </c>
      <c r="M3092" t="s">
        <v>10423</v>
      </c>
      <c r="N3092" t="s">
        <v>64</v>
      </c>
      <c r="O3092" t="s">
        <v>46</v>
      </c>
      <c r="P3092" t="s">
        <v>46</v>
      </c>
      <c r="Y3092" t="s">
        <v>10430</v>
      </c>
    </row>
    <row r="3093" spans="1:25">
      <c r="A3093" t="s">
        <v>10431</v>
      </c>
      <c r="B3093" t="s">
        <v>10432</v>
      </c>
      <c r="D3093" t="s">
        <v>40</v>
      </c>
      <c r="E3093" t="s">
        <v>41</v>
      </c>
      <c r="J3093" t="s">
        <v>68</v>
      </c>
      <c r="K3093" t="s">
        <v>69</v>
      </c>
      <c r="L3093">
        <v>10</v>
      </c>
      <c r="M3093" t="s">
        <v>10423</v>
      </c>
      <c r="N3093" t="s">
        <v>64</v>
      </c>
      <c r="O3093" t="s">
        <v>46</v>
      </c>
      <c r="P3093" t="s">
        <v>46</v>
      </c>
      <c r="Y3093" t="s">
        <v>10433</v>
      </c>
    </row>
    <row r="3094" spans="1:25">
      <c r="A3094" t="s">
        <v>10434</v>
      </c>
      <c r="B3094" t="s">
        <v>10435</v>
      </c>
      <c r="D3094" t="s">
        <v>40</v>
      </c>
      <c r="E3094" t="s">
        <v>41</v>
      </c>
      <c r="J3094" t="s">
        <v>182</v>
      </c>
      <c r="K3094" t="s">
        <v>183</v>
      </c>
      <c r="L3094">
        <v>10</v>
      </c>
      <c r="M3094" t="s">
        <v>10436</v>
      </c>
      <c r="N3094" t="s">
        <v>64</v>
      </c>
      <c r="O3094" t="s">
        <v>46</v>
      </c>
      <c r="P3094" t="s">
        <v>46</v>
      </c>
      <c r="Y3094" t="s">
        <v>10437</v>
      </c>
    </row>
    <row r="3095" spans="1:25">
      <c r="A3095" t="s">
        <v>10438</v>
      </c>
      <c r="B3095" t="s">
        <v>10439</v>
      </c>
      <c r="D3095" t="s">
        <v>40</v>
      </c>
      <c r="E3095" t="s">
        <v>41</v>
      </c>
      <c r="J3095" t="s">
        <v>182</v>
      </c>
      <c r="K3095" t="s">
        <v>183</v>
      </c>
      <c r="L3095">
        <v>10</v>
      </c>
      <c r="M3095" t="s">
        <v>10436</v>
      </c>
      <c r="N3095" t="s">
        <v>64</v>
      </c>
      <c r="O3095" t="s">
        <v>46</v>
      </c>
      <c r="P3095" t="s">
        <v>46</v>
      </c>
      <c r="Y3095" t="s">
        <v>10440</v>
      </c>
    </row>
    <row r="3096" spans="1:25">
      <c r="A3096" t="s">
        <v>10441</v>
      </c>
      <c r="B3096" t="s">
        <v>10442</v>
      </c>
      <c r="D3096" t="s">
        <v>40</v>
      </c>
      <c r="E3096" t="s">
        <v>41</v>
      </c>
      <c r="J3096" t="s">
        <v>182</v>
      </c>
      <c r="K3096" t="s">
        <v>183</v>
      </c>
      <c r="L3096">
        <v>10</v>
      </c>
      <c r="M3096" t="s">
        <v>10443</v>
      </c>
      <c r="N3096" t="s">
        <v>64</v>
      </c>
      <c r="O3096" t="s">
        <v>46</v>
      </c>
      <c r="P3096" t="s">
        <v>46</v>
      </c>
      <c r="Y3096" t="s">
        <v>10444</v>
      </c>
    </row>
    <row r="3097" spans="1:25">
      <c r="A3097" t="s">
        <v>10445</v>
      </c>
      <c r="B3097" t="s">
        <v>10446</v>
      </c>
      <c r="D3097" t="s">
        <v>40</v>
      </c>
      <c r="E3097" t="s">
        <v>41</v>
      </c>
      <c r="J3097" t="s">
        <v>182</v>
      </c>
      <c r="K3097" t="s">
        <v>183</v>
      </c>
      <c r="L3097">
        <v>10</v>
      </c>
      <c r="M3097" t="s">
        <v>10443</v>
      </c>
      <c r="N3097" t="s">
        <v>64</v>
      </c>
      <c r="O3097" t="s">
        <v>46</v>
      </c>
      <c r="P3097" t="s">
        <v>46</v>
      </c>
      <c r="Y3097" t="s">
        <v>10447</v>
      </c>
    </row>
    <row r="3098" spans="1:25">
      <c r="A3098" t="s">
        <v>10448</v>
      </c>
      <c r="B3098" t="s">
        <v>10449</v>
      </c>
      <c r="D3098" t="s">
        <v>40</v>
      </c>
      <c r="E3098" t="s">
        <v>41</v>
      </c>
      <c r="J3098" t="s">
        <v>182</v>
      </c>
      <c r="K3098" t="s">
        <v>183</v>
      </c>
      <c r="L3098">
        <v>10</v>
      </c>
      <c r="M3098" t="s">
        <v>10450</v>
      </c>
      <c r="N3098" t="s">
        <v>64</v>
      </c>
      <c r="O3098" t="s">
        <v>46</v>
      </c>
      <c r="P3098" t="s">
        <v>46</v>
      </c>
      <c r="Y3098" t="s">
        <v>10451</v>
      </c>
    </row>
    <row r="3099" spans="1:25">
      <c r="A3099" t="s">
        <v>10452</v>
      </c>
      <c r="B3099" t="s">
        <v>10453</v>
      </c>
      <c r="D3099" t="s">
        <v>40</v>
      </c>
      <c r="E3099" t="s">
        <v>41</v>
      </c>
      <c r="J3099" t="s">
        <v>68</v>
      </c>
      <c r="K3099" t="s">
        <v>69</v>
      </c>
      <c r="L3099">
        <v>10</v>
      </c>
      <c r="M3099" t="s">
        <v>10454</v>
      </c>
      <c r="N3099" t="s">
        <v>64</v>
      </c>
      <c r="O3099" t="s">
        <v>46</v>
      </c>
      <c r="P3099" t="s">
        <v>46</v>
      </c>
      <c r="Y3099" t="s">
        <v>10455</v>
      </c>
    </row>
    <row r="3100" spans="1:25">
      <c r="A3100" t="s">
        <v>10456</v>
      </c>
      <c r="B3100" t="s">
        <v>10457</v>
      </c>
      <c r="D3100" t="s">
        <v>40</v>
      </c>
      <c r="E3100" t="s">
        <v>41</v>
      </c>
      <c r="J3100" t="s">
        <v>182</v>
      </c>
      <c r="K3100" t="s">
        <v>183</v>
      </c>
      <c r="L3100">
        <v>10</v>
      </c>
      <c r="M3100" t="s">
        <v>10454</v>
      </c>
      <c r="N3100" t="s">
        <v>64</v>
      </c>
      <c r="O3100" t="s">
        <v>46</v>
      </c>
      <c r="P3100" t="s">
        <v>46</v>
      </c>
      <c r="Y3100" t="s">
        <v>10458</v>
      </c>
    </row>
    <row r="3101" spans="1:25">
      <c r="A3101" t="s">
        <v>10459</v>
      </c>
      <c r="B3101" t="s">
        <v>10460</v>
      </c>
      <c r="D3101" t="s">
        <v>40</v>
      </c>
      <c r="E3101" t="s">
        <v>41</v>
      </c>
      <c r="J3101" t="s">
        <v>182</v>
      </c>
      <c r="K3101" t="s">
        <v>183</v>
      </c>
      <c r="L3101">
        <v>10</v>
      </c>
      <c r="M3101" t="s">
        <v>10461</v>
      </c>
      <c r="N3101" t="s">
        <v>64</v>
      </c>
      <c r="O3101" t="s">
        <v>46</v>
      </c>
      <c r="P3101" t="s">
        <v>46</v>
      </c>
      <c r="Y3101" t="s">
        <v>10462</v>
      </c>
    </row>
    <row r="3102" spans="1:25">
      <c r="A3102" t="s">
        <v>10463</v>
      </c>
      <c r="B3102" t="s">
        <v>10464</v>
      </c>
      <c r="D3102" t="s">
        <v>40</v>
      </c>
      <c r="E3102" t="s">
        <v>41</v>
      </c>
      <c r="J3102" t="s">
        <v>76</v>
      </c>
      <c r="K3102" t="s">
        <v>77</v>
      </c>
      <c r="L3102">
        <v>10</v>
      </c>
      <c r="M3102" t="s">
        <v>10461</v>
      </c>
      <c r="N3102" t="s">
        <v>64</v>
      </c>
      <c r="O3102" t="s">
        <v>46</v>
      </c>
      <c r="P3102" t="s">
        <v>46</v>
      </c>
      <c r="Y3102" t="s">
        <v>10465</v>
      </c>
    </row>
    <row r="3103" spans="1:25">
      <c r="A3103" t="s">
        <v>10466</v>
      </c>
      <c r="B3103" t="s">
        <v>10467</v>
      </c>
      <c r="D3103" t="s">
        <v>40</v>
      </c>
      <c r="E3103" t="s">
        <v>41</v>
      </c>
      <c r="J3103" t="s">
        <v>182</v>
      </c>
      <c r="K3103" t="s">
        <v>183</v>
      </c>
      <c r="L3103">
        <v>10</v>
      </c>
      <c r="M3103" t="s">
        <v>10461</v>
      </c>
      <c r="N3103" t="s">
        <v>64</v>
      </c>
      <c r="O3103" t="s">
        <v>46</v>
      </c>
      <c r="P3103" t="s">
        <v>46</v>
      </c>
      <c r="Y3103" t="s">
        <v>10468</v>
      </c>
    </row>
    <row r="3104" spans="1:25">
      <c r="A3104" t="s">
        <v>10469</v>
      </c>
      <c r="B3104" t="s">
        <v>10470</v>
      </c>
      <c r="D3104" t="s">
        <v>40</v>
      </c>
      <c r="E3104" t="s">
        <v>41</v>
      </c>
      <c r="J3104" t="s">
        <v>68</v>
      </c>
      <c r="K3104" t="s">
        <v>69</v>
      </c>
      <c r="L3104">
        <v>10</v>
      </c>
      <c r="M3104" t="s">
        <v>10461</v>
      </c>
      <c r="N3104" t="s">
        <v>64</v>
      </c>
      <c r="O3104" t="s">
        <v>46</v>
      </c>
      <c r="P3104" t="s">
        <v>46</v>
      </c>
      <c r="Y3104" t="s">
        <v>10471</v>
      </c>
    </row>
    <row r="3105" spans="1:25">
      <c r="A3105" t="s">
        <v>10472</v>
      </c>
      <c r="B3105" t="s">
        <v>10473</v>
      </c>
      <c r="D3105" t="s">
        <v>40</v>
      </c>
      <c r="E3105" t="s">
        <v>41</v>
      </c>
      <c r="J3105" t="s">
        <v>182</v>
      </c>
      <c r="K3105" t="s">
        <v>183</v>
      </c>
      <c r="L3105">
        <v>10</v>
      </c>
      <c r="M3105" t="s">
        <v>10474</v>
      </c>
      <c r="N3105" t="s">
        <v>64</v>
      </c>
      <c r="O3105" t="s">
        <v>46</v>
      </c>
      <c r="P3105" t="s">
        <v>46</v>
      </c>
      <c r="Y3105" t="s">
        <v>10475</v>
      </c>
    </row>
    <row r="3106" spans="1:25">
      <c r="A3106" t="s">
        <v>10476</v>
      </c>
      <c r="B3106" t="s">
        <v>10477</v>
      </c>
      <c r="D3106" t="s">
        <v>40</v>
      </c>
      <c r="E3106" t="s">
        <v>41</v>
      </c>
      <c r="J3106" t="s">
        <v>182</v>
      </c>
      <c r="K3106" t="s">
        <v>183</v>
      </c>
      <c r="L3106">
        <v>10</v>
      </c>
      <c r="M3106" t="s">
        <v>10474</v>
      </c>
      <c r="N3106" t="s">
        <v>64</v>
      </c>
      <c r="O3106" t="s">
        <v>46</v>
      </c>
      <c r="P3106" t="s">
        <v>46</v>
      </c>
      <c r="Y3106" t="s">
        <v>10478</v>
      </c>
    </row>
    <row r="3107" spans="1:25">
      <c r="A3107" t="s">
        <v>10479</v>
      </c>
      <c r="B3107" t="s">
        <v>10480</v>
      </c>
      <c r="D3107" t="s">
        <v>40</v>
      </c>
      <c r="E3107" t="s">
        <v>41</v>
      </c>
      <c r="J3107" t="s">
        <v>182</v>
      </c>
      <c r="K3107" t="s">
        <v>183</v>
      </c>
      <c r="L3107">
        <v>10</v>
      </c>
      <c r="M3107" t="s">
        <v>10481</v>
      </c>
      <c r="N3107" t="s">
        <v>64</v>
      </c>
      <c r="O3107" t="s">
        <v>46</v>
      </c>
      <c r="P3107" t="s">
        <v>46</v>
      </c>
      <c r="Y3107" t="s">
        <v>10482</v>
      </c>
    </row>
    <row r="3108" spans="1:25">
      <c r="A3108" t="s">
        <v>10483</v>
      </c>
      <c r="B3108" t="s">
        <v>10484</v>
      </c>
      <c r="D3108" t="s">
        <v>40</v>
      </c>
      <c r="E3108" t="s">
        <v>41</v>
      </c>
      <c r="J3108" t="s">
        <v>182</v>
      </c>
      <c r="K3108" t="s">
        <v>183</v>
      </c>
      <c r="L3108">
        <v>10</v>
      </c>
      <c r="M3108" t="s">
        <v>10485</v>
      </c>
      <c r="N3108" t="s">
        <v>64</v>
      </c>
      <c r="O3108" t="s">
        <v>46</v>
      </c>
      <c r="P3108" t="s">
        <v>46</v>
      </c>
      <c r="Y3108" t="s">
        <v>10486</v>
      </c>
    </row>
    <row r="3109" spans="1:25">
      <c r="A3109" t="s">
        <v>10487</v>
      </c>
      <c r="B3109" t="s">
        <v>10488</v>
      </c>
      <c r="D3109" t="s">
        <v>40</v>
      </c>
      <c r="E3109" t="s">
        <v>41</v>
      </c>
      <c r="J3109" t="s">
        <v>182</v>
      </c>
      <c r="K3109" t="s">
        <v>183</v>
      </c>
      <c r="L3109">
        <v>10</v>
      </c>
      <c r="M3109" t="s">
        <v>10485</v>
      </c>
      <c r="N3109" t="s">
        <v>64</v>
      </c>
      <c r="O3109" t="s">
        <v>46</v>
      </c>
      <c r="P3109" t="s">
        <v>46</v>
      </c>
      <c r="Y3109" t="s">
        <v>10489</v>
      </c>
    </row>
    <row r="3110" spans="1:25">
      <c r="A3110" t="s">
        <v>10490</v>
      </c>
      <c r="B3110" t="s">
        <v>10491</v>
      </c>
      <c r="D3110" t="s">
        <v>40</v>
      </c>
      <c r="E3110" t="s">
        <v>41</v>
      </c>
      <c r="J3110" t="s">
        <v>248</v>
      </c>
      <c r="K3110" t="s">
        <v>249</v>
      </c>
      <c r="L3110">
        <v>10</v>
      </c>
      <c r="M3110" t="s">
        <v>10492</v>
      </c>
      <c r="N3110" t="s">
        <v>436</v>
      </c>
      <c r="O3110" t="s">
        <v>46</v>
      </c>
      <c r="P3110" t="s">
        <v>46</v>
      </c>
      <c r="Y3110" t="s">
        <v>10493</v>
      </c>
    </row>
    <row r="3111" spans="1:25">
      <c r="A3111" t="s">
        <v>10494</v>
      </c>
      <c r="B3111" t="s">
        <v>10495</v>
      </c>
      <c r="D3111" t="s">
        <v>40</v>
      </c>
      <c r="E3111" t="s">
        <v>41</v>
      </c>
      <c r="J3111" t="s">
        <v>76</v>
      </c>
      <c r="K3111" t="s">
        <v>77</v>
      </c>
      <c r="L3111">
        <v>10</v>
      </c>
      <c r="M3111" t="s">
        <v>10496</v>
      </c>
      <c r="N3111" t="s">
        <v>64</v>
      </c>
      <c r="O3111" t="s">
        <v>46</v>
      </c>
      <c r="P3111" t="s">
        <v>46</v>
      </c>
      <c r="Y3111" t="s">
        <v>10497</v>
      </c>
    </row>
    <row r="3112" spans="1:25">
      <c r="A3112" t="s">
        <v>10498</v>
      </c>
      <c r="B3112" t="s">
        <v>10499</v>
      </c>
      <c r="D3112" t="s">
        <v>40</v>
      </c>
      <c r="E3112" t="s">
        <v>41</v>
      </c>
      <c r="J3112" t="s">
        <v>182</v>
      </c>
      <c r="K3112" t="s">
        <v>183</v>
      </c>
      <c r="L3112">
        <v>10</v>
      </c>
      <c r="M3112" t="s">
        <v>10500</v>
      </c>
      <c r="N3112" t="s">
        <v>64</v>
      </c>
      <c r="O3112" t="s">
        <v>46</v>
      </c>
      <c r="P3112" t="s">
        <v>46</v>
      </c>
      <c r="Y3112" t="s">
        <v>10501</v>
      </c>
    </row>
    <row r="3113" spans="1:25">
      <c r="A3113" t="s">
        <v>10502</v>
      </c>
      <c r="B3113" t="s">
        <v>10503</v>
      </c>
      <c r="D3113" t="s">
        <v>40</v>
      </c>
      <c r="E3113" t="s">
        <v>41</v>
      </c>
      <c r="J3113" t="s">
        <v>68</v>
      </c>
      <c r="K3113" t="s">
        <v>69</v>
      </c>
      <c r="L3113">
        <v>10</v>
      </c>
      <c r="M3113" t="s">
        <v>10500</v>
      </c>
      <c r="N3113" t="s">
        <v>64</v>
      </c>
      <c r="O3113" t="s">
        <v>46</v>
      </c>
      <c r="P3113" t="s">
        <v>46</v>
      </c>
      <c r="Y3113" t="s">
        <v>10504</v>
      </c>
    </row>
    <row r="3114" spans="1:25">
      <c r="A3114" t="s">
        <v>10505</v>
      </c>
      <c r="B3114" t="s">
        <v>10506</v>
      </c>
      <c r="D3114" t="s">
        <v>40</v>
      </c>
      <c r="E3114" t="s">
        <v>41</v>
      </c>
      <c r="J3114" t="s">
        <v>182</v>
      </c>
      <c r="K3114" t="s">
        <v>183</v>
      </c>
      <c r="L3114">
        <v>10</v>
      </c>
      <c r="M3114" t="s">
        <v>10507</v>
      </c>
      <c r="N3114" t="s">
        <v>64</v>
      </c>
      <c r="O3114" t="s">
        <v>46</v>
      </c>
      <c r="P3114" t="s">
        <v>46</v>
      </c>
      <c r="Y3114" t="s">
        <v>10508</v>
      </c>
    </row>
    <row r="3115" spans="1:25">
      <c r="A3115" t="s">
        <v>10509</v>
      </c>
      <c r="B3115" t="s">
        <v>10510</v>
      </c>
      <c r="D3115" t="s">
        <v>40</v>
      </c>
      <c r="E3115" t="s">
        <v>41</v>
      </c>
      <c r="J3115" t="s">
        <v>182</v>
      </c>
      <c r="K3115" t="s">
        <v>183</v>
      </c>
      <c r="L3115">
        <v>10</v>
      </c>
      <c r="M3115" t="s">
        <v>10511</v>
      </c>
      <c r="N3115" t="s">
        <v>64</v>
      </c>
      <c r="O3115" t="s">
        <v>46</v>
      </c>
      <c r="P3115" t="s">
        <v>46</v>
      </c>
      <c r="Y3115" t="s">
        <v>10512</v>
      </c>
    </row>
    <row r="3116" spans="1:25">
      <c r="A3116" t="s">
        <v>10513</v>
      </c>
      <c r="B3116" t="s">
        <v>10514</v>
      </c>
      <c r="D3116" t="s">
        <v>40</v>
      </c>
      <c r="E3116" t="s">
        <v>41</v>
      </c>
      <c r="J3116" t="s">
        <v>76</v>
      </c>
      <c r="K3116" t="s">
        <v>77</v>
      </c>
      <c r="L3116">
        <v>10</v>
      </c>
      <c r="M3116" t="s">
        <v>10511</v>
      </c>
      <c r="N3116" t="s">
        <v>64</v>
      </c>
      <c r="O3116" t="s">
        <v>46</v>
      </c>
      <c r="P3116" t="s">
        <v>46</v>
      </c>
      <c r="Y3116" t="s">
        <v>10515</v>
      </c>
    </row>
    <row r="3117" spans="1:25">
      <c r="A3117" t="s">
        <v>10516</v>
      </c>
      <c r="B3117" t="s">
        <v>10517</v>
      </c>
      <c r="D3117" t="s">
        <v>40</v>
      </c>
      <c r="E3117" t="s">
        <v>41</v>
      </c>
      <c r="J3117" t="s">
        <v>182</v>
      </c>
      <c r="K3117" t="s">
        <v>183</v>
      </c>
      <c r="L3117">
        <v>10</v>
      </c>
      <c r="M3117" t="s">
        <v>10511</v>
      </c>
      <c r="N3117" t="s">
        <v>64</v>
      </c>
      <c r="O3117" t="s">
        <v>46</v>
      </c>
      <c r="P3117" t="s">
        <v>46</v>
      </c>
      <c r="Y3117" t="s">
        <v>10518</v>
      </c>
    </row>
    <row r="3118" spans="1:25">
      <c r="A3118" t="s">
        <v>10519</v>
      </c>
      <c r="B3118" t="s">
        <v>10520</v>
      </c>
      <c r="D3118" t="s">
        <v>40</v>
      </c>
      <c r="E3118" t="s">
        <v>41</v>
      </c>
      <c r="J3118" t="s">
        <v>182</v>
      </c>
      <c r="K3118" t="s">
        <v>183</v>
      </c>
      <c r="L3118">
        <v>10</v>
      </c>
      <c r="M3118" t="s">
        <v>10511</v>
      </c>
      <c r="N3118" t="s">
        <v>64</v>
      </c>
      <c r="O3118" t="s">
        <v>46</v>
      </c>
      <c r="P3118" t="s">
        <v>46</v>
      </c>
      <c r="Y3118" t="s">
        <v>10521</v>
      </c>
    </row>
    <row r="3119" spans="1:25">
      <c r="A3119" t="s">
        <v>10522</v>
      </c>
      <c r="B3119" t="s">
        <v>10523</v>
      </c>
      <c r="D3119" t="s">
        <v>40</v>
      </c>
      <c r="E3119" t="s">
        <v>41</v>
      </c>
      <c r="J3119" t="s">
        <v>182</v>
      </c>
      <c r="K3119" t="s">
        <v>183</v>
      </c>
      <c r="L3119">
        <v>10</v>
      </c>
      <c r="M3119" t="s">
        <v>10524</v>
      </c>
      <c r="N3119" t="s">
        <v>64</v>
      </c>
      <c r="O3119" t="s">
        <v>46</v>
      </c>
      <c r="P3119" t="s">
        <v>46</v>
      </c>
      <c r="Y3119" t="s">
        <v>10525</v>
      </c>
    </row>
    <row r="3120" spans="1:25">
      <c r="A3120" t="s">
        <v>10526</v>
      </c>
      <c r="B3120" t="s">
        <v>10527</v>
      </c>
      <c r="D3120" t="s">
        <v>40</v>
      </c>
      <c r="E3120" t="s">
        <v>41</v>
      </c>
      <c r="J3120" t="s">
        <v>182</v>
      </c>
      <c r="K3120" t="s">
        <v>183</v>
      </c>
      <c r="L3120">
        <v>10</v>
      </c>
      <c r="M3120" t="s">
        <v>10524</v>
      </c>
      <c r="N3120" t="s">
        <v>64</v>
      </c>
      <c r="O3120" t="s">
        <v>46</v>
      </c>
      <c r="P3120" t="s">
        <v>46</v>
      </c>
      <c r="Y3120" t="s">
        <v>10528</v>
      </c>
    </row>
    <row r="3121" spans="1:25">
      <c r="A3121" t="s">
        <v>10529</v>
      </c>
      <c r="B3121" t="s">
        <v>10530</v>
      </c>
      <c r="D3121" t="s">
        <v>40</v>
      </c>
      <c r="E3121" t="s">
        <v>41</v>
      </c>
      <c r="J3121" t="s">
        <v>76</v>
      </c>
      <c r="K3121" t="s">
        <v>77</v>
      </c>
      <c r="L3121">
        <v>10</v>
      </c>
      <c r="M3121" t="s">
        <v>10524</v>
      </c>
      <c r="N3121" t="s">
        <v>64</v>
      </c>
      <c r="O3121" t="s">
        <v>46</v>
      </c>
      <c r="P3121" t="s">
        <v>46</v>
      </c>
      <c r="Y3121" t="s">
        <v>10531</v>
      </c>
    </row>
    <row r="3122" spans="1:25">
      <c r="A3122" t="s">
        <v>10532</v>
      </c>
      <c r="B3122" t="s">
        <v>10533</v>
      </c>
      <c r="D3122" t="s">
        <v>40</v>
      </c>
      <c r="E3122" t="s">
        <v>41</v>
      </c>
      <c r="J3122" t="s">
        <v>76</v>
      </c>
      <c r="K3122" t="s">
        <v>77</v>
      </c>
      <c r="L3122">
        <v>10</v>
      </c>
      <c r="M3122" t="s">
        <v>10534</v>
      </c>
      <c r="N3122" t="s">
        <v>64</v>
      </c>
      <c r="O3122" t="s">
        <v>46</v>
      </c>
      <c r="P3122" t="s">
        <v>46</v>
      </c>
      <c r="Y3122" t="s">
        <v>10535</v>
      </c>
    </row>
    <row r="3123" spans="1:25">
      <c r="A3123" t="s">
        <v>10536</v>
      </c>
      <c r="B3123" t="s">
        <v>10537</v>
      </c>
      <c r="D3123" t="s">
        <v>40</v>
      </c>
      <c r="E3123" t="s">
        <v>41</v>
      </c>
      <c r="J3123" t="s">
        <v>68</v>
      </c>
      <c r="K3123" t="s">
        <v>69</v>
      </c>
      <c r="L3123">
        <v>10</v>
      </c>
      <c r="M3123" t="s">
        <v>10534</v>
      </c>
      <c r="N3123" t="s">
        <v>64</v>
      </c>
      <c r="O3123" t="s">
        <v>46</v>
      </c>
      <c r="P3123" t="s">
        <v>46</v>
      </c>
      <c r="Y3123" t="s">
        <v>10538</v>
      </c>
    </row>
    <row r="3124" spans="1:25">
      <c r="A3124" t="s">
        <v>10539</v>
      </c>
      <c r="B3124" t="s">
        <v>10540</v>
      </c>
      <c r="D3124" t="s">
        <v>40</v>
      </c>
      <c r="E3124" t="s">
        <v>41</v>
      </c>
      <c r="J3124" t="s">
        <v>76</v>
      </c>
      <c r="K3124" t="s">
        <v>77</v>
      </c>
      <c r="L3124">
        <v>10</v>
      </c>
      <c r="M3124" t="s">
        <v>10541</v>
      </c>
      <c r="N3124" t="s">
        <v>64</v>
      </c>
      <c r="O3124" t="s">
        <v>46</v>
      </c>
      <c r="P3124" t="s">
        <v>46</v>
      </c>
      <c r="Y3124" t="s">
        <v>10542</v>
      </c>
    </row>
    <row r="3125" spans="1:25">
      <c r="A3125" t="s">
        <v>10543</v>
      </c>
      <c r="B3125" t="s">
        <v>10544</v>
      </c>
      <c r="D3125" t="s">
        <v>40</v>
      </c>
      <c r="E3125" t="s">
        <v>41</v>
      </c>
      <c r="J3125" t="s">
        <v>76</v>
      </c>
      <c r="K3125" t="s">
        <v>77</v>
      </c>
      <c r="L3125">
        <v>10</v>
      </c>
      <c r="M3125" t="s">
        <v>10541</v>
      </c>
      <c r="N3125" t="s">
        <v>64</v>
      </c>
      <c r="O3125" t="s">
        <v>46</v>
      </c>
      <c r="P3125" t="s">
        <v>46</v>
      </c>
      <c r="Y3125" t="s">
        <v>10545</v>
      </c>
    </row>
    <row r="3126" spans="1:25">
      <c r="A3126" t="s">
        <v>10546</v>
      </c>
      <c r="B3126" t="s">
        <v>10547</v>
      </c>
      <c r="D3126" t="s">
        <v>40</v>
      </c>
      <c r="E3126" t="s">
        <v>41</v>
      </c>
      <c r="J3126" t="s">
        <v>42</v>
      </c>
      <c r="K3126" t="s">
        <v>43</v>
      </c>
      <c r="L3126">
        <v>10</v>
      </c>
      <c r="M3126" t="s">
        <v>10541</v>
      </c>
      <c r="N3126" t="s">
        <v>4037</v>
      </c>
      <c r="O3126" t="s">
        <v>46</v>
      </c>
      <c r="P3126" t="s">
        <v>46</v>
      </c>
      <c r="Y3126" t="s">
        <v>10548</v>
      </c>
    </row>
    <row r="3127" spans="1:25">
      <c r="A3127" t="s">
        <v>10549</v>
      </c>
      <c r="B3127" t="s">
        <v>10550</v>
      </c>
      <c r="D3127" t="s">
        <v>40</v>
      </c>
      <c r="E3127" t="s">
        <v>41</v>
      </c>
      <c r="J3127" t="s">
        <v>182</v>
      </c>
      <c r="K3127" t="s">
        <v>183</v>
      </c>
      <c r="L3127">
        <v>10</v>
      </c>
      <c r="M3127" t="s">
        <v>10541</v>
      </c>
      <c r="N3127" t="s">
        <v>64</v>
      </c>
      <c r="O3127" t="s">
        <v>46</v>
      </c>
      <c r="P3127" t="s">
        <v>46</v>
      </c>
      <c r="Y3127" t="s">
        <v>10551</v>
      </c>
    </row>
    <row r="3128" spans="1:25">
      <c r="A3128" t="s">
        <v>10552</v>
      </c>
      <c r="B3128" t="s">
        <v>10553</v>
      </c>
      <c r="D3128" t="s">
        <v>40</v>
      </c>
      <c r="E3128" t="s">
        <v>41</v>
      </c>
      <c r="J3128" t="s">
        <v>264</v>
      </c>
      <c r="K3128" t="s">
        <v>265</v>
      </c>
      <c r="L3128">
        <v>10</v>
      </c>
      <c r="M3128" t="s">
        <v>10541</v>
      </c>
      <c r="N3128" t="s">
        <v>2346</v>
      </c>
      <c r="O3128" t="s">
        <v>46</v>
      </c>
      <c r="P3128" t="s">
        <v>46</v>
      </c>
      <c r="Y3128" t="s">
        <v>10554</v>
      </c>
    </row>
    <row r="3129" spans="1:25">
      <c r="A3129" t="s">
        <v>10555</v>
      </c>
      <c r="B3129" t="s">
        <v>10556</v>
      </c>
      <c r="D3129" t="s">
        <v>40</v>
      </c>
      <c r="E3129" t="s">
        <v>41</v>
      </c>
      <c r="J3129" t="s">
        <v>68</v>
      </c>
      <c r="K3129" t="s">
        <v>69</v>
      </c>
      <c r="L3129">
        <v>10</v>
      </c>
      <c r="M3129" t="s">
        <v>10557</v>
      </c>
      <c r="N3129" t="s">
        <v>64</v>
      </c>
      <c r="O3129" t="s">
        <v>46</v>
      </c>
      <c r="P3129" t="s">
        <v>46</v>
      </c>
      <c r="Y3129" t="s">
        <v>10558</v>
      </c>
    </row>
    <row r="3130" spans="1:25">
      <c r="A3130" t="s">
        <v>10559</v>
      </c>
      <c r="B3130" t="s">
        <v>10560</v>
      </c>
      <c r="D3130" t="s">
        <v>40</v>
      </c>
      <c r="E3130" t="s">
        <v>41</v>
      </c>
      <c r="J3130" t="s">
        <v>182</v>
      </c>
      <c r="K3130" t="s">
        <v>183</v>
      </c>
      <c r="L3130">
        <v>10</v>
      </c>
      <c r="M3130" t="s">
        <v>10557</v>
      </c>
      <c r="N3130" t="s">
        <v>64</v>
      </c>
      <c r="O3130" t="s">
        <v>46</v>
      </c>
      <c r="P3130" t="s">
        <v>46</v>
      </c>
      <c r="Y3130" t="s">
        <v>10561</v>
      </c>
    </row>
    <row r="3131" spans="1:25">
      <c r="A3131" t="s">
        <v>10562</v>
      </c>
      <c r="B3131" t="s">
        <v>10563</v>
      </c>
      <c r="D3131" t="s">
        <v>40</v>
      </c>
      <c r="E3131" t="s">
        <v>41</v>
      </c>
      <c r="J3131" t="s">
        <v>68</v>
      </c>
      <c r="K3131" t="s">
        <v>69</v>
      </c>
      <c r="L3131">
        <v>10</v>
      </c>
      <c r="M3131" t="s">
        <v>10564</v>
      </c>
      <c r="N3131" t="s">
        <v>64</v>
      </c>
      <c r="O3131" t="s">
        <v>46</v>
      </c>
      <c r="P3131" t="s">
        <v>46</v>
      </c>
      <c r="Y3131" t="s">
        <v>10565</v>
      </c>
    </row>
    <row r="3132" spans="1:25">
      <c r="A3132" t="s">
        <v>10566</v>
      </c>
      <c r="B3132" t="s">
        <v>10567</v>
      </c>
      <c r="D3132" t="s">
        <v>40</v>
      </c>
      <c r="E3132" t="s">
        <v>41</v>
      </c>
      <c r="J3132" t="s">
        <v>68</v>
      </c>
      <c r="K3132" t="s">
        <v>69</v>
      </c>
      <c r="L3132">
        <v>10</v>
      </c>
      <c r="M3132" t="s">
        <v>10564</v>
      </c>
      <c r="N3132" t="s">
        <v>64</v>
      </c>
      <c r="O3132" t="s">
        <v>46</v>
      </c>
      <c r="P3132" t="s">
        <v>46</v>
      </c>
      <c r="Y3132" t="s">
        <v>10568</v>
      </c>
    </row>
    <row r="3133" spans="1:25">
      <c r="A3133" t="s">
        <v>10569</v>
      </c>
      <c r="B3133" t="s">
        <v>10570</v>
      </c>
      <c r="D3133" t="s">
        <v>40</v>
      </c>
      <c r="E3133" t="s">
        <v>41</v>
      </c>
      <c r="J3133" t="s">
        <v>42</v>
      </c>
      <c r="K3133" t="s">
        <v>43</v>
      </c>
      <c r="L3133">
        <v>10</v>
      </c>
      <c r="M3133" t="s">
        <v>10564</v>
      </c>
      <c r="N3133" t="s">
        <v>1392</v>
      </c>
      <c r="O3133" t="s">
        <v>46</v>
      </c>
      <c r="P3133" t="s">
        <v>46</v>
      </c>
      <c r="Y3133" t="s">
        <v>10571</v>
      </c>
    </row>
    <row r="3134" spans="1:25">
      <c r="A3134" t="s">
        <v>10572</v>
      </c>
      <c r="B3134" t="s">
        <v>10573</v>
      </c>
      <c r="D3134" t="s">
        <v>40</v>
      </c>
      <c r="E3134" t="s">
        <v>41</v>
      </c>
      <c r="J3134" t="s">
        <v>76</v>
      </c>
      <c r="K3134" t="s">
        <v>77</v>
      </c>
      <c r="L3134">
        <v>10</v>
      </c>
      <c r="M3134" t="s">
        <v>10564</v>
      </c>
      <c r="N3134" t="s">
        <v>64</v>
      </c>
      <c r="O3134" t="s">
        <v>46</v>
      </c>
      <c r="P3134" t="s">
        <v>46</v>
      </c>
      <c r="Y3134" t="s">
        <v>10574</v>
      </c>
    </row>
    <row r="3135" spans="1:25">
      <c r="A3135" t="s">
        <v>10575</v>
      </c>
      <c r="B3135" t="s">
        <v>10576</v>
      </c>
      <c r="D3135" t="s">
        <v>40</v>
      </c>
      <c r="E3135" t="s">
        <v>41</v>
      </c>
      <c r="J3135" t="s">
        <v>182</v>
      </c>
      <c r="K3135" t="s">
        <v>183</v>
      </c>
      <c r="L3135">
        <v>10</v>
      </c>
      <c r="M3135" t="s">
        <v>10564</v>
      </c>
      <c r="N3135" t="s">
        <v>64</v>
      </c>
      <c r="O3135" t="s">
        <v>46</v>
      </c>
      <c r="P3135" t="s">
        <v>46</v>
      </c>
      <c r="Y3135" t="s">
        <v>10577</v>
      </c>
    </row>
    <row r="3136" spans="1:25">
      <c r="A3136" t="s">
        <v>10578</v>
      </c>
      <c r="B3136" t="s">
        <v>10579</v>
      </c>
      <c r="D3136" t="s">
        <v>40</v>
      </c>
      <c r="E3136" t="s">
        <v>41</v>
      </c>
      <c r="J3136" t="s">
        <v>182</v>
      </c>
      <c r="K3136" t="s">
        <v>183</v>
      </c>
      <c r="L3136">
        <v>10</v>
      </c>
      <c r="M3136" t="s">
        <v>10564</v>
      </c>
      <c r="N3136" t="s">
        <v>64</v>
      </c>
      <c r="O3136" t="s">
        <v>46</v>
      </c>
      <c r="P3136" t="s">
        <v>46</v>
      </c>
      <c r="Y3136" t="s">
        <v>10580</v>
      </c>
    </row>
    <row r="3137" spans="1:25">
      <c r="A3137" t="s">
        <v>10581</v>
      </c>
      <c r="B3137" t="s">
        <v>10582</v>
      </c>
      <c r="D3137" t="s">
        <v>40</v>
      </c>
      <c r="E3137" t="s">
        <v>41</v>
      </c>
      <c r="J3137" t="s">
        <v>182</v>
      </c>
      <c r="K3137" t="s">
        <v>183</v>
      </c>
      <c r="L3137">
        <v>10</v>
      </c>
      <c r="M3137" t="s">
        <v>10564</v>
      </c>
      <c r="N3137" t="s">
        <v>64</v>
      </c>
      <c r="O3137" t="s">
        <v>46</v>
      </c>
      <c r="P3137" t="s">
        <v>46</v>
      </c>
      <c r="Y3137" t="s">
        <v>10583</v>
      </c>
    </row>
    <row r="3138" spans="1:25">
      <c r="A3138" t="s">
        <v>10584</v>
      </c>
      <c r="B3138" t="s">
        <v>10585</v>
      </c>
      <c r="D3138" t="s">
        <v>40</v>
      </c>
      <c r="E3138" t="s">
        <v>41</v>
      </c>
      <c r="J3138" t="s">
        <v>76</v>
      </c>
      <c r="K3138" t="s">
        <v>77</v>
      </c>
      <c r="L3138">
        <v>10</v>
      </c>
      <c r="M3138" t="s">
        <v>10564</v>
      </c>
      <c r="N3138" t="s">
        <v>64</v>
      </c>
      <c r="O3138" t="s">
        <v>46</v>
      </c>
      <c r="P3138" t="s">
        <v>46</v>
      </c>
      <c r="Y3138" t="s">
        <v>10586</v>
      </c>
    </row>
    <row r="3139" spans="1:25">
      <c r="A3139" t="s">
        <v>10587</v>
      </c>
      <c r="B3139" t="s">
        <v>10588</v>
      </c>
      <c r="D3139" t="s">
        <v>40</v>
      </c>
      <c r="E3139" t="s">
        <v>41</v>
      </c>
      <c r="J3139" t="s">
        <v>76</v>
      </c>
      <c r="K3139" t="s">
        <v>77</v>
      </c>
      <c r="L3139">
        <v>10</v>
      </c>
      <c r="M3139" t="s">
        <v>10564</v>
      </c>
      <c r="N3139" t="s">
        <v>64</v>
      </c>
      <c r="O3139" t="s">
        <v>46</v>
      </c>
      <c r="P3139" t="s">
        <v>46</v>
      </c>
      <c r="Y3139" t="s">
        <v>10589</v>
      </c>
    </row>
    <row r="3140" spans="1:25">
      <c r="A3140" t="s">
        <v>10590</v>
      </c>
      <c r="B3140" t="s">
        <v>10591</v>
      </c>
      <c r="D3140" t="s">
        <v>40</v>
      </c>
      <c r="E3140" t="s">
        <v>41</v>
      </c>
      <c r="J3140" t="s">
        <v>182</v>
      </c>
      <c r="K3140" t="s">
        <v>183</v>
      </c>
      <c r="L3140">
        <v>10</v>
      </c>
      <c r="M3140" t="s">
        <v>10564</v>
      </c>
      <c r="N3140" t="s">
        <v>64</v>
      </c>
      <c r="O3140" t="s">
        <v>46</v>
      </c>
      <c r="P3140" t="s">
        <v>46</v>
      </c>
      <c r="Y3140" t="s">
        <v>10592</v>
      </c>
    </row>
    <row r="3141" spans="1:25">
      <c r="A3141" t="s">
        <v>10593</v>
      </c>
      <c r="B3141" t="s">
        <v>10594</v>
      </c>
      <c r="D3141" t="s">
        <v>40</v>
      </c>
      <c r="E3141" t="s">
        <v>41</v>
      </c>
      <c r="J3141" t="s">
        <v>182</v>
      </c>
      <c r="K3141" t="s">
        <v>183</v>
      </c>
      <c r="L3141">
        <v>10</v>
      </c>
      <c r="M3141" t="s">
        <v>10564</v>
      </c>
      <c r="N3141" t="s">
        <v>64</v>
      </c>
      <c r="O3141" t="s">
        <v>46</v>
      </c>
      <c r="P3141" t="s">
        <v>46</v>
      </c>
      <c r="Y3141" t="s">
        <v>10595</v>
      </c>
    </row>
    <row r="3142" spans="1:25">
      <c r="A3142" t="s">
        <v>10596</v>
      </c>
      <c r="B3142" t="s">
        <v>10597</v>
      </c>
      <c r="D3142" t="s">
        <v>40</v>
      </c>
      <c r="E3142" t="s">
        <v>41</v>
      </c>
      <c r="J3142" t="s">
        <v>76</v>
      </c>
      <c r="K3142" t="s">
        <v>77</v>
      </c>
      <c r="L3142">
        <v>10</v>
      </c>
      <c r="M3142" t="s">
        <v>10564</v>
      </c>
      <c r="N3142" t="s">
        <v>64</v>
      </c>
      <c r="O3142" t="s">
        <v>46</v>
      </c>
      <c r="P3142" t="s">
        <v>46</v>
      </c>
      <c r="Y3142" t="s">
        <v>10598</v>
      </c>
    </row>
    <row r="3143" spans="1:25">
      <c r="A3143" t="s">
        <v>10599</v>
      </c>
      <c r="B3143" t="s">
        <v>10600</v>
      </c>
      <c r="D3143" t="s">
        <v>40</v>
      </c>
      <c r="E3143" t="s">
        <v>41</v>
      </c>
      <c r="J3143" t="s">
        <v>76</v>
      </c>
      <c r="K3143" t="s">
        <v>77</v>
      </c>
      <c r="L3143">
        <v>10</v>
      </c>
      <c r="M3143" t="s">
        <v>10601</v>
      </c>
      <c r="N3143" t="s">
        <v>64</v>
      </c>
      <c r="O3143" t="s">
        <v>46</v>
      </c>
      <c r="P3143" t="s">
        <v>46</v>
      </c>
      <c r="Y3143" t="s">
        <v>10602</v>
      </c>
    </row>
    <row r="3144" spans="1:25">
      <c r="A3144" t="s">
        <v>10603</v>
      </c>
      <c r="B3144" t="s">
        <v>10604</v>
      </c>
      <c r="D3144" t="s">
        <v>40</v>
      </c>
      <c r="E3144" t="s">
        <v>41</v>
      </c>
      <c r="J3144" t="s">
        <v>182</v>
      </c>
      <c r="K3144" t="s">
        <v>183</v>
      </c>
      <c r="L3144">
        <v>10</v>
      </c>
      <c r="M3144" t="s">
        <v>10601</v>
      </c>
      <c r="N3144" t="s">
        <v>64</v>
      </c>
      <c r="O3144" t="s">
        <v>46</v>
      </c>
      <c r="P3144" t="s">
        <v>46</v>
      </c>
      <c r="Y3144" t="s">
        <v>10605</v>
      </c>
    </row>
    <row r="3145" spans="1:25">
      <c r="A3145" t="s">
        <v>10606</v>
      </c>
      <c r="B3145" t="s">
        <v>10607</v>
      </c>
      <c r="D3145" t="s">
        <v>40</v>
      </c>
      <c r="E3145" t="s">
        <v>41</v>
      </c>
      <c r="J3145" t="s">
        <v>76</v>
      </c>
      <c r="K3145" t="s">
        <v>77</v>
      </c>
      <c r="L3145">
        <v>10</v>
      </c>
      <c r="M3145" t="s">
        <v>10608</v>
      </c>
      <c r="N3145" t="s">
        <v>64</v>
      </c>
      <c r="O3145" t="s">
        <v>46</v>
      </c>
      <c r="P3145" t="s">
        <v>46</v>
      </c>
      <c r="Y3145" t="s">
        <v>10609</v>
      </c>
    </row>
    <row r="3146" spans="1:25">
      <c r="A3146" t="s">
        <v>10610</v>
      </c>
      <c r="B3146" t="s">
        <v>10611</v>
      </c>
      <c r="D3146" t="s">
        <v>40</v>
      </c>
      <c r="E3146" t="s">
        <v>41</v>
      </c>
      <c r="J3146" t="s">
        <v>182</v>
      </c>
      <c r="K3146" t="s">
        <v>183</v>
      </c>
      <c r="L3146">
        <v>10</v>
      </c>
      <c r="M3146" t="s">
        <v>10608</v>
      </c>
      <c r="N3146" t="s">
        <v>64</v>
      </c>
      <c r="O3146" t="s">
        <v>46</v>
      </c>
      <c r="P3146" t="s">
        <v>46</v>
      </c>
      <c r="Y3146" t="s">
        <v>10612</v>
      </c>
    </row>
    <row r="3147" spans="1:25">
      <c r="A3147" t="s">
        <v>10613</v>
      </c>
      <c r="B3147" t="s">
        <v>10614</v>
      </c>
      <c r="D3147" t="s">
        <v>40</v>
      </c>
      <c r="E3147" t="s">
        <v>41</v>
      </c>
      <c r="J3147" t="s">
        <v>182</v>
      </c>
      <c r="K3147" t="s">
        <v>183</v>
      </c>
      <c r="L3147">
        <v>10</v>
      </c>
      <c r="M3147" t="s">
        <v>10608</v>
      </c>
      <c r="N3147" t="s">
        <v>64</v>
      </c>
      <c r="O3147" t="s">
        <v>46</v>
      </c>
      <c r="P3147" t="s">
        <v>46</v>
      </c>
      <c r="Y3147" t="s">
        <v>10615</v>
      </c>
    </row>
    <row r="3148" spans="1:25">
      <c r="A3148" t="s">
        <v>10616</v>
      </c>
      <c r="B3148" t="s">
        <v>10617</v>
      </c>
      <c r="D3148" t="s">
        <v>40</v>
      </c>
      <c r="E3148" t="s">
        <v>41</v>
      </c>
      <c r="J3148" t="s">
        <v>76</v>
      </c>
      <c r="K3148" t="s">
        <v>77</v>
      </c>
      <c r="L3148">
        <v>10</v>
      </c>
      <c r="M3148" t="s">
        <v>10608</v>
      </c>
      <c r="N3148" t="s">
        <v>64</v>
      </c>
      <c r="O3148" t="s">
        <v>46</v>
      </c>
      <c r="P3148" t="s">
        <v>46</v>
      </c>
      <c r="Y3148" t="s">
        <v>10618</v>
      </c>
    </row>
    <row r="3149" spans="1:25">
      <c r="A3149" t="s">
        <v>10619</v>
      </c>
      <c r="B3149" t="s">
        <v>10620</v>
      </c>
      <c r="D3149" t="s">
        <v>40</v>
      </c>
      <c r="E3149" t="s">
        <v>41</v>
      </c>
      <c r="J3149" t="s">
        <v>182</v>
      </c>
      <c r="K3149" t="s">
        <v>183</v>
      </c>
      <c r="L3149">
        <v>10</v>
      </c>
      <c r="M3149" t="s">
        <v>10608</v>
      </c>
      <c r="N3149" t="s">
        <v>64</v>
      </c>
      <c r="O3149" t="s">
        <v>46</v>
      </c>
      <c r="P3149" t="s">
        <v>46</v>
      </c>
      <c r="Y3149" t="s">
        <v>10621</v>
      </c>
    </row>
    <row r="3150" spans="1:25">
      <c r="A3150" t="s">
        <v>10622</v>
      </c>
      <c r="B3150" t="s">
        <v>10623</v>
      </c>
      <c r="D3150" t="s">
        <v>40</v>
      </c>
      <c r="E3150" t="s">
        <v>41</v>
      </c>
      <c r="J3150" t="s">
        <v>182</v>
      </c>
      <c r="K3150" t="s">
        <v>183</v>
      </c>
      <c r="L3150">
        <v>10</v>
      </c>
      <c r="M3150" t="s">
        <v>10624</v>
      </c>
      <c r="N3150" t="s">
        <v>64</v>
      </c>
      <c r="O3150" t="s">
        <v>46</v>
      </c>
      <c r="P3150" t="s">
        <v>46</v>
      </c>
      <c r="Y3150" t="s">
        <v>10625</v>
      </c>
    </row>
    <row r="3151" spans="1:25">
      <c r="A3151" t="s">
        <v>10626</v>
      </c>
      <c r="B3151" t="s">
        <v>10627</v>
      </c>
      <c r="D3151" t="s">
        <v>40</v>
      </c>
      <c r="E3151" t="s">
        <v>41</v>
      </c>
      <c r="J3151" t="s">
        <v>76</v>
      </c>
      <c r="K3151" t="s">
        <v>77</v>
      </c>
      <c r="L3151">
        <v>10</v>
      </c>
      <c r="M3151" t="s">
        <v>10624</v>
      </c>
      <c r="N3151" t="s">
        <v>64</v>
      </c>
      <c r="O3151" t="s">
        <v>46</v>
      </c>
      <c r="P3151" t="s">
        <v>46</v>
      </c>
      <c r="Y3151" t="s">
        <v>10628</v>
      </c>
    </row>
    <row r="3152" spans="1:25">
      <c r="A3152" t="s">
        <v>10629</v>
      </c>
      <c r="B3152" t="s">
        <v>10630</v>
      </c>
      <c r="D3152" t="s">
        <v>40</v>
      </c>
      <c r="E3152" t="s">
        <v>41</v>
      </c>
      <c r="J3152" t="s">
        <v>182</v>
      </c>
      <c r="K3152" t="s">
        <v>183</v>
      </c>
      <c r="L3152">
        <v>10</v>
      </c>
      <c r="M3152" t="s">
        <v>10624</v>
      </c>
      <c r="N3152" t="s">
        <v>64</v>
      </c>
      <c r="O3152" t="s">
        <v>46</v>
      </c>
      <c r="P3152" t="s">
        <v>46</v>
      </c>
      <c r="Y3152" t="s">
        <v>10631</v>
      </c>
    </row>
    <row r="3153" spans="1:25">
      <c r="A3153" t="s">
        <v>10632</v>
      </c>
      <c r="B3153" t="s">
        <v>10633</v>
      </c>
      <c r="D3153" t="s">
        <v>40</v>
      </c>
      <c r="E3153" t="s">
        <v>41</v>
      </c>
      <c r="J3153" t="s">
        <v>182</v>
      </c>
      <c r="K3153" t="s">
        <v>183</v>
      </c>
      <c r="L3153">
        <v>10</v>
      </c>
      <c r="M3153" t="s">
        <v>10634</v>
      </c>
      <c r="N3153" t="s">
        <v>64</v>
      </c>
      <c r="O3153" t="s">
        <v>46</v>
      </c>
      <c r="P3153" t="s">
        <v>46</v>
      </c>
      <c r="Y3153" t="s">
        <v>10635</v>
      </c>
    </row>
    <row r="3154" spans="1:25">
      <c r="A3154" t="s">
        <v>10636</v>
      </c>
      <c r="B3154" t="s">
        <v>10637</v>
      </c>
      <c r="D3154" t="s">
        <v>40</v>
      </c>
      <c r="E3154" t="s">
        <v>41</v>
      </c>
      <c r="J3154" t="s">
        <v>68</v>
      </c>
      <c r="K3154" t="s">
        <v>69</v>
      </c>
      <c r="L3154">
        <v>10</v>
      </c>
      <c r="M3154" t="s">
        <v>10634</v>
      </c>
      <c r="N3154" t="s">
        <v>64</v>
      </c>
      <c r="O3154" t="s">
        <v>46</v>
      </c>
      <c r="P3154" t="s">
        <v>46</v>
      </c>
      <c r="Y3154" t="s">
        <v>10638</v>
      </c>
    </row>
    <row r="3155" spans="1:25">
      <c r="A3155" t="s">
        <v>10639</v>
      </c>
      <c r="B3155" t="s">
        <v>10640</v>
      </c>
      <c r="D3155" t="s">
        <v>40</v>
      </c>
      <c r="E3155" t="s">
        <v>41</v>
      </c>
      <c r="J3155" t="s">
        <v>182</v>
      </c>
      <c r="K3155" t="s">
        <v>183</v>
      </c>
      <c r="L3155">
        <v>10</v>
      </c>
      <c r="M3155" t="s">
        <v>10634</v>
      </c>
      <c r="N3155" t="s">
        <v>64</v>
      </c>
      <c r="O3155" t="s">
        <v>46</v>
      </c>
      <c r="P3155" t="s">
        <v>46</v>
      </c>
      <c r="Y3155" t="s">
        <v>10641</v>
      </c>
    </row>
    <row r="3156" spans="1:25">
      <c r="A3156" t="s">
        <v>10642</v>
      </c>
      <c r="B3156" t="s">
        <v>10643</v>
      </c>
      <c r="D3156" t="s">
        <v>40</v>
      </c>
      <c r="E3156" t="s">
        <v>41</v>
      </c>
      <c r="J3156" t="s">
        <v>68</v>
      </c>
      <c r="K3156" t="s">
        <v>69</v>
      </c>
      <c r="L3156">
        <v>10</v>
      </c>
      <c r="M3156" t="s">
        <v>10634</v>
      </c>
      <c r="N3156" t="s">
        <v>64</v>
      </c>
      <c r="O3156" t="s">
        <v>46</v>
      </c>
      <c r="P3156" t="s">
        <v>46</v>
      </c>
      <c r="Y3156" t="s">
        <v>10644</v>
      </c>
    </row>
    <row r="3157" spans="1:25">
      <c r="A3157" t="s">
        <v>10645</v>
      </c>
      <c r="B3157" t="s">
        <v>10646</v>
      </c>
      <c r="D3157" t="s">
        <v>40</v>
      </c>
      <c r="E3157" t="s">
        <v>41</v>
      </c>
      <c r="J3157" t="s">
        <v>76</v>
      </c>
      <c r="K3157" t="s">
        <v>77</v>
      </c>
      <c r="L3157">
        <v>10</v>
      </c>
      <c r="M3157" t="s">
        <v>10647</v>
      </c>
      <c r="N3157" t="s">
        <v>64</v>
      </c>
      <c r="O3157" t="s">
        <v>46</v>
      </c>
      <c r="P3157" t="s">
        <v>46</v>
      </c>
      <c r="Y3157" t="s">
        <v>10648</v>
      </c>
    </row>
    <row r="3158" spans="1:25">
      <c r="A3158" t="s">
        <v>10649</v>
      </c>
      <c r="B3158" t="s">
        <v>10650</v>
      </c>
      <c r="D3158" t="s">
        <v>40</v>
      </c>
      <c r="E3158" t="s">
        <v>41</v>
      </c>
      <c r="J3158" t="s">
        <v>182</v>
      </c>
      <c r="K3158" t="s">
        <v>183</v>
      </c>
      <c r="L3158">
        <v>10</v>
      </c>
      <c r="M3158" t="s">
        <v>10651</v>
      </c>
      <c r="N3158" t="s">
        <v>64</v>
      </c>
      <c r="O3158" t="s">
        <v>46</v>
      </c>
      <c r="P3158" t="s">
        <v>46</v>
      </c>
      <c r="Y3158" t="s">
        <v>10652</v>
      </c>
    </row>
    <row r="3159" spans="1:25">
      <c r="A3159" t="s">
        <v>10653</v>
      </c>
      <c r="B3159" t="s">
        <v>10654</v>
      </c>
      <c r="D3159" t="s">
        <v>40</v>
      </c>
      <c r="E3159" t="s">
        <v>41</v>
      </c>
      <c r="J3159" t="s">
        <v>182</v>
      </c>
      <c r="K3159" t="s">
        <v>183</v>
      </c>
      <c r="L3159">
        <v>10</v>
      </c>
      <c r="M3159" t="s">
        <v>10651</v>
      </c>
      <c r="N3159" t="s">
        <v>64</v>
      </c>
      <c r="O3159" t="s">
        <v>46</v>
      </c>
      <c r="P3159" t="s">
        <v>46</v>
      </c>
      <c r="Y3159" t="s">
        <v>10655</v>
      </c>
    </row>
    <row r="3160" spans="1:25">
      <c r="A3160" t="s">
        <v>10656</v>
      </c>
      <c r="B3160" t="s">
        <v>10657</v>
      </c>
      <c r="D3160" t="s">
        <v>40</v>
      </c>
      <c r="E3160" t="s">
        <v>41</v>
      </c>
      <c r="J3160" t="s">
        <v>182</v>
      </c>
      <c r="K3160" t="s">
        <v>183</v>
      </c>
      <c r="L3160">
        <v>10</v>
      </c>
      <c r="M3160" t="s">
        <v>10658</v>
      </c>
      <c r="N3160" t="s">
        <v>64</v>
      </c>
      <c r="O3160" t="s">
        <v>46</v>
      </c>
      <c r="P3160" t="s">
        <v>46</v>
      </c>
      <c r="Y3160" t="s">
        <v>10659</v>
      </c>
    </row>
    <row r="3161" spans="1:25">
      <c r="A3161" t="s">
        <v>10660</v>
      </c>
      <c r="B3161" t="s">
        <v>10661</v>
      </c>
      <c r="D3161" t="s">
        <v>40</v>
      </c>
      <c r="E3161" t="s">
        <v>41</v>
      </c>
      <c r="J3161" t="s">
        <v>182</v>
      </c>
      <c r="K3161" t="s">
        <v>183</v>
      </c>
      <c r="L3161">
        <v>10</v>
      </c>
      <c r="M3161" t="s">
        <v>10658</v>
      </c>
      <c r="N3161" t="s">
        <v>64</v>
      </c>
      <c r="O3161" t="s">
        <v>46</v>
      </c>
      <c r="P3161" t="s">
        <v>46</v>
      </c>
      <c r="Y3161" t="s">
        <v>10662</v>
      </c>
    </row>
    <row r="3162" spans="1:25">
      <c r="A3162" t="s">
        <v>10663</v>
      </c>
      <c r="B3162" t="s">
        <v>10664</v>
      </c>
      <c r="D3162" t="s">
        <v>40</v>
      </c>
      <c r="E3162" t="s">
        <v>41</v>
      </c>
      <c r="J3162" t="s">
        <v>182</v>
      </c>
      <c r="K3162" t="s">
        <v>183</v>
      </c>
      <c r="L3162">
        <v>10</v>
      </c>
      <c r="M3162" t="s">
        <v>10658</v>
      </c>
      <c r="N3162" t="s">
        <v>64</v>
      </c>
      <c r="O3162" t="s">
        <v>46</v>
      </c>
      <c r="P3162" t="s">
        <v>46</v>
      </c>
      <c r="Y3162" t="s">
        <v>10665</v>
      </c>
    </row>
    <row r="3163" spans="1:25">
      <c r="A3163" t="s">
        <v>10666</v>
      </c>
      <c r="B3163" t="s">
        <v>10667</v>
      </c>
      <c r="D3163" t="s">
        <v>40</v>
      </c>
      <c r="E3163" t="s">
        <v>41</v>
      </c>
      <c r="J3163" t="s">
        <v>76</v>
      </c>
      <c r="K3163" t="s">
        <v>77</v>
      </c>
      <c r="L3163">
        <v>10</v>
      </c>
      <c r="M3163" t="s">
        <v>10668</v>
      </c>
      <c r="N3163" t="s">
        <v>64</v>
      </c>
      <c r="O3163" t="s">
        <v>46</v>
      </c>
      <c r="P3163" t="s">
        <v>46</v>
      </c>
      <c r="Y3163" t="s">
        <v>10669</v>
      </c>
    </row>
    <row r="3164" spans="1:25">
      <c r="A3164" t="s">
        <v>10670</v>
      </c>
      <c r="B3164" t="s">
        <v>10671</v>
      </c>
      <c r="D3164" t="s">
        <v>40</v>
      </c>
      <c r="E3164" t="s">
        <v>41</v>
      </c>
      <c r="J3164" t="s">
        <v>76</v>
      </c>
      <c r="K3164" t="s">
        <v>77</v>
      </c>
      <c r="L3164">
        <v>10</v>
      </c>
      <c r="M3164" t="s">
        <v>10668</v>
      </c>
      <c r="N3164" t="s">
        <v>64</v>
      </c>
      <c r="O3164" t="s">
        <v>46</v>
      </c>
      <c r="P3164" t="s">
        <v>46</v>
      </c>
      <c r="Y3164" t="s">
        <v>10672</v>
      </c>
    </row>
    <row r="3165" spans="1:25">
      <c r="A3165" t="s">
        <v>10673</v>
      </c>
      <c r="B3165" t="s">
        <v>10674</v>
      </c>
      <c r="D3165" t="s">
        <v>40</v>
      </c>
      <c r="E3165" t="s">
        <v>41</v>
      </c>
      <c r="J3165" t="s">
        <v>248</v>
      </c>
      <c r="K3165" t="s">
        <v>249</v>
      </c>
      <c r="L3165">
        <v>10</v>
      </c>
      <c r="M3165" t="s">
        <v>10675</v>
      </c>
      <c r="N3165" t="s">
        <v>950</v>
      </c>
      <c r="O3165" t="s">
        <v>46</v>
      </c>
      <c r="P3165" t="s">
        <v>46</v>
      </c>
      <c r="Y3165" t="s">
        <v>10676</v>
      </c>
    </row>
    <row r="3166" spans="1:25">
      <c r="A3166" t="s">
        <v>10677</v>
      </c>
      <c r="B3166" t="s">
        <v>10678</v>
      </c>
      <c r="D3166" t="s">
        <v>40</v>
      </c>
      <c r="E3166" t="s">
        <v>41</v>
      </c>
      <c r="J3166" t="s">
        <v>182</v>
      </c>
      <c r="K3166" t="s">
        <v>183</v>
      </c>
      <c r="L3166">
        <v>10</v>
      </c>
      <c r="M3166" t="s">
        <v>10675</v>
      </c>
      <c r="N3166" t="s">
        <v>64</v>
      </c>
      <c r="O3166" t="s">
        <v>46</v>
      </c>
      <c r="P3166" t="s">
        <v>46</v>
      </c>
      <c r="Y3166" t="s">
        <v>10679</v>
      </c>
    </row>
    <row r="3167" spans="1:25">
      <c r="A3167" t="s">
        <v>10680</v>
      </c>
      <c r="B3167" t="s">
        <v>10681</v>
      </c>
      <c r="D3167" t="s">
        <v>40</v>
      </c>
      <c r="E3167" t="s">
        <v>41</v>
      </c>
      <c r="J3167" t="s">
        <v>182</v>
      </c>
      <c r="K3167" t="s">
        <v>183</v>
      </c>
      <c r="L3167">
        <v>10</v>
      </c>
      <c r="M3167" t="s">
        <v>10682</v>
      </c>
      <c r="N3167" t="s">
        <v>64</v>
      </c>
      <c r="O3167" t="s">
        <v>46</v>
      </c>
      <c r="P3167" t="s">
        <v>46</v>
      </c>
      <c r="Y3167" t="s">
        <v>10683</v>
      </c>
    </row>
    <row r="3168" spans="1:25">
      <c r="A3168" t="s">
        <v>10684</v>
      </c>
      <c r="B3168" t="s">
        <v>10685</v>
      </c>
      <c r="D3168" t="s">
        <v>40</v>
      </c>
      <c r="E3168" t="s">
        <v>41</v>
      </c>
      <c r="J3168" t="s">
        <v>76</v>
      </c>
      <c r="K3168" t="s">
        <v>77</v>
      </c>
      <c r="L3168">
        <v>10</v>
      </c>
      <c r="M3168" t="s">
        <v>10682</v>
      </c>
      <c r="N3168" t="s">
        <v>64</v>
      </c>
      <c r="O3168" t="s">
        <v>46</v>
      </c>
      <c r="P3168" t="s">
        <v>46</v>
      </c>
      <c r="Y3168" t="s">
        <v>10686</v>
      </c>
    </row>
    <row r="3169" spans="1:25">
      <c r="A3169" t="s">
        <v>10687</v>
      </c>
      <c r="B3169" t="s">
        <v>10688</v>
      </c>
      <c r="D3169" t="s">
        <v>40</v>
      </c>
      <c r="E3169" t="s">
        <v>41</v>
      </c>
      <c r="J3169" t="s">
        <v>76</v>
      </c>
      <c r="K3169" t="s">
        <v>77</v>
      </c>
      <c r="L3169">
        <v>10</v>
      </c>
      <c r="M3169" t="s">
        <v>10682</v>
      </c>
      <c r="N3169" t="s">
        <v>64</v>
      </c>
      <c r="O3169" t="s">
        <v>46</v>
      </c>
      <c r="P3169" t="s">
        <v>46</v>
      </c>
      <c r="Y3169" t="s">
        <v>10689</v>
      </c>
    </row>
    <row r="3170" spans="1:25">
      <c r="A3170" t="s">
        <v>10690</v>
      </c>
      <c r="B3170" t="s">
        <v>10691</v>
      </c>
      <c r="D3170" t="s">
        <v>40</v>
      </c>
      <c r="E3170" t="s">
        <v>41</v>
      </c>
      <c r="J3170" t="s">
        <v>76</v>
      </c>
      <c r="K3170" t="s">
        <v>77</v>
      </c>
      <c r="L3170">
        <v>10</v>
      </c>
      <c r="M3170" t="s">
        <v>10682</v>
      </c>
      <c r="N3170" t="s">
        <v>64</v>
      </c>
      <c r="O3170" t="s">
        <v>46</v>
      </c>
      <c r="P3170" t="s">
        <v>46</v>
      </c>
      <c r="Y3170" t="s">
        <v>10692</v>
      </c>
    </row>
    <row r="3171" spans="1:25">
      <c r="A3171" t="s">
        <v>10693</v>
      </c>
      <c r="B3171" t="s">
        <v>10694</v>
      </c>
      <c r="D3171" t="s">
        <v>40</v>
      </c>
      <c r="E3171" t="s">
        <v>41</v>
      </c>
      <c r="J3171" t="s">
        <v>76</v>
      </c>
      <c r="K3171" t="s">
        <v>77</v>
      </c>
      <c r="L3171">
        <v>10</v>
      </c>
      <c r="M3171" t="s">
        <v>10682</v>
      </c>
      <c r="N3171" t="s">
        <v>64</v>
      </c>
      <c r="O3171" t="s">
        <v>46</v>
      </c>
      <c r="P3171" t="s">
        <v>46</v>
      </c>
      <c r="Y3171" t="s">
        <v>10695</v>
      </c>
    </row>
    <row r="3172" spans="1:25">
      <c r="A3172" t="s">
        <v>10696</v>
      </c>
      <c r="B3172" t="s">
        <v>10697</v>
      </c>
      <c r="D3172" t="s">
        <v>40</v>
      </c>
      <c r="E3172" t="s">
        <v>41</v>
      </c>
      <c r="J3172" t="s">
        <v>182</v>
      </c>
      <c r="K3172" t="s">
        <v>183</v>
      </c>
      <c r="L3172">
        <v>10</v>
      </c>
      <c r="M3172" t="s">
        <v>10682</v>
      </c>
      <c r="N3172" t="s">
        <v>64</v>
      </c>
      <c r="O3172" t="s">
        <v>46</v>
      </c>
      <c r="P3172" t="s">
        <v>46</v>
      </c>
      <c r="Y3172" t="s">
        <v>10698</v>
      </c>
    </row>
    <row r="3173" spans="1:25">
      <c r="A3173" t="s">
        <v>10699</v>
      </c>
      <c r="B3173" t="s">
        <v>10700</v>
      </c>
      <c r="D3173" t="s">
        <v>40</v>
      </c>
      <c r="E3173" t="s">
        <v>41</v>
      </c>
      <c r="J3173" t="s">
        <v>1338</v>
      </c>
      <c r="K3173" t="s">
        <v>1339</v>
      </c>
      <c r="L3173">
        <v>10</v>
      </c>
      <c r="M3173" t="s">
        <v>10682</v>
      </c>
      <c r="N3173" t="s">
        <v>10701</v>
      </c>
      <c r="O3173" t="s">
        <v>46</v>
      </c>
      <c r="P3173" t="s">
        <v>46</v>
      </c>
      <c r="Y3173" t="s">
        <v>10702</v>
      </c>
    </row>
    <row r="3174" spans="1:25">
      <c r="A3174" t="s">
        <v>10703</v>
      </c>
      <c r="B3174" t="s">
        <v>10704</v>
      </c>
      <c r="D3174" t="s">
        <v>40</v>
      </c>
      <c r="E3174" t="s">
        <v>41</v>
      </c>
      <c r="J3174" t="s">
        <v>68</v>
      </c>
      <c r="K3174" t="s">
        <v>69</v>
      </c>
      <c r="L3174">
        <v>10</v>
      </c>
      <c r="M3174" t="s">
        <v>10705</v>
      </c>
      <c r="N3174" t="s">
        <v>64</v>
      </c>
      <c r="O3174" t="s">
        <v>46</v>
      </c>
      <c r="P3174" t="s">
        <v>46</v>
      </c>
      <c r="Y3174" t="s">
        <v>10706</v>
      </c>
    </row>
    <row r="3175" spans="1:25">
      <c r="A3175" t="s">
        <v>10707</v>
      </c>
      <c r="B3175" t="s">
        <v>10708</v>
      </c>
      <c r="D3175" t="s">
        <v>40</v>
      </c>
      <c r="E3175" t="s">
        <v>41</v>
      </c>
      <c r="J3175" t="s">
        <v>182</v>
      </c>
      <c r="K3175" t="s">
        <v>183</v>
      </c>
      <c r="L3175">
        <v>10</v>
      </c>
      <c r="M3175" t="s">
        <v>10705</v>
      </c>
      <c r="N3175" t="s">
        <v>64</v>
      </c>
      <c r="O3175" t="s">
        <v>46</v>
      </c>
      <c r="P3175" t="s">
        <v>46</v>
      </c>
      <c r="Y3175" t="s">
        <v>10709</v>
      </c>
    </row>
    <row r="3176" spans="1:25">
      <c r="A3176" t="s">
        <v>10710</v>
      </c>
      <c r="B3176" t="s">
        <v>10711</v>
      </c>
      <c r="D3176" t="s">
        <v>40</v>
      </c>
      <c r="E3176" t="s">
        <v>41</v>
      </c>
      <c r="J3176" t="s">
        <v>182</v>
      </c>
      <c r="K3176" t="s">
        <v>183</v>
      </c>
      <c r="L3176">
        <v>10</v>
      </c>
      <c r="M3176" t="s">
        <v>10705</v>
      </c>
      <c r="N3176" t="s">
        <v>64</v>
      </c>
      <c r="O3176" t="s">
        <v>46</v>
      </c>
      <c r="P3176" t="s">
        <v>46</v>
      </c>
      <c r="Y3176" t="s">
        <v>10712</v>
      </c>
    </row>
    <row r="3177" spans="1:25">
      <c r="A3177" t="s">
        <v>10713</v>
      </c>
      <c r="B3177" t="s">
        <v>10714</v>
      </c>
      <c r="D3177" t="s">
        <v>40</v>
      </c>
      <c r="E3177" t="s">
        <v>41</v>
      </c>
      <c r="J3177" t="s">
        <v>248</v>
      </c>
      <c r="K3177" t="s">
        <v>249</v>
      </c>
      <c r="L3177">
        <v>10</v>
      </c>
      <c r="M3177" t="s">
        <v>10715</v>
      </c>
      <c r="N3177" t="s">
        <v>509</v>
      </c>
      <c r="O3177" t="s">
        <v>46</v>
      </c>
      <c r="P3177" t="s">
        <v>46</v>
      </c>
      <c r="Y3177" t="s">
        <v>10716</v>
      </c>
    </row>
    <row r="3178" spans="1:25">
      <c r="A3178" t="s">
        <v>10717</v>
      </c>
      <c r="B3178" t="s">
        <v>10718</v>
      </c>
      <c r="D3178" t="s">
        <v>40</v>
      </c>
      <c r="E3178" t="s">
        <v>41</v>
      </c>
      <c r="J3178" t="s">
        <v>76</v>
      </c>
      <c r="K3178" t="s">
        <v>77</v>
      </c>
      <c r="L3178">
        <v>10</v>
      </c>
      <c r="M3178" t="s">
        <v>10715</v>
      </c>
      <c r="N3178" t="s">
        <v>64</v>
      </c>
      <c r="O3178" t="s">
        <v>46</v>
      </c>
      <c r="P3178" t="s">
        <v>46</v>
      </c>
      <c r="Y3178" t="s">
        <v>10719</v>
      </c>
    </row>
    <row r="3179" spans="1:25">
      <c r="A3179" t="s">
        <v>10720</v>
      </c>
      <c r="B3179" t="s">
        <v>10721</v>
      </c>
      <c r="D3179" t="s">
        <v>40</v>
      </c>
      <c r="E3179" t="s">
        <v>41</v>
      </c>
      <c r="J3179" t="s">
        <v>182</v>
      </c>
      <c r="K3179" t="s">
        <v>183</v>
      </c>
      <c r="L3179">
        <v>10</v>
      </c>
      <c r="M3179" t="s">
        <v>10715</v>
      </c>
      <c r="N3179" t="s">
        <v>64</v>
      </c>
      <c r="O3179" t="s">
        <v>46</v>
      </c>
      <c r="P3179" t="s">
        <v>46</v>
      </c>
      <c r="Y3179" t="s">
        <v>10722</v>
      </c>
    </row>
    <row r="3180" spans="1:25">
      <c r="A3180" t="s">
        <v>10723</v>
      </c>
      <c r="B3180" t="s">
        <v>10724</v>
      </c>
      <c r="D3180" t="s">
        <v>40</v>
      </c>
      <c r="E3180" t="s">
        <v>41</v>
      </c>
      <c r="J3180" t="s">
        <v>68</v>
      </c>
      <c r="K3180" t="s">
        <v>69</v>
      </c>
      <c r="L3180">
        <v>10</v>
      </c>
      <c r="M3180" t="s">
        <v>10715</v>
      </c>
      <c r="N3180" t="s">
        <v>64</v>
      </c>
      <c r="O3180" t="s">
        <v>46</v>
      </c>
      <c r="P3180" t="s">
        <v>46</v>
      </c>
      <c r="Y3180" t="s">
        <v>10725</v>
      </c>
    </row>
    <row r="3181" spans="1:25">
      <c r="A3181" t="s">
        <v>10726</v>
      </c>
      <c r="B3181" t="s">
        <v>10727</v>
      </c>
      <c r="D3181" t="s">
        <v>40</v>
      </c>
      <c r="E3181" t="s">
        <v>41</v>
      </c>
      <c r="J3181" t="s">
        <v>62</v>
      </c>
      <c r="K3181" t="s">
        <v>63</v>
      </c>
      <c r="L3181">
        <v>10</v>
      </c>
      <c r="M3181" t="s">
        <v>10728</v>
      </c>
      <c r="N3181" t="s">
        <v>64</v>
      </c>
      <c r="O3181" t="s">
        <v>46</v>
      </c>
      <c r="P3181" t="s">
        <v>46</v>
      </c>
      <c r="Y3181" t="s">
        <v>10729</v>
      </c>
    </row>
    <row r="3182" spans="1:25">
      <c r="A3182" t="s">
        <v>10730</v>
      </c>
      <c r="B3182" t="s">
        <v>10731</v>
      </c>
      <c r="D3182" t="s">
        <v>40</v>
      </c>
      <c r="E3182" t="s">
        <v>41</v>
      </c>
      <c r="J3182" t="s">
        <v>182</v>
      </c>
      <c r="K3182" t="s">
        <v>183</v>
      </c>
      <c r="L3182">
        <v>10</v>
      </c>
      <c r="M3182" t="s">
        <v>10728</v>
      </c>
      <c r="N3182" t="s">
        <v>64</v>
      </c>
      <c r="O3182" t="s">
        <v>46</v>
      </c>
      <c r="P3182" t="s">
        <v>46</v>
      </c>
      <c r="Y3182" t="s">
        <v>10732</v>
      </c>
    </row>
    <row r="3183" spans="1:25">
      <c r="A3183" t="s">
        <v>10733</v>
      </c>
      <c r="B3183" t="s">
        <v>10734</v>
      </c>
      <c r="D3183" t="s">
        <v>40</v>
      </c>
      <c r="E3183" t="s">
        <v>41</v>
      </c>
      <c r="J3183" t="s">
        <v>68</v>
      </c>
      <c r="K3183" t="s">
        <v>69</v>
      </c>
      <c r="L3183">
        <v>10</v>
      </c>
      <c r="M3183" t="s">
        <v>10728</v>
      </c>
      <c r="N3183" t="s">
        <v>64</v>
      </c>
      <c r="O3183" t="s">
        <v>46</v>
      </c>
      <c r="P3183" t="s">
        <v>46</v>
      </c>
      <c r="Y3183" t="s">
        <v>10735</v>
      </c>
    </row>
    <row r="3184" spans="1:25">
      <c r="A3184" t="s">
        <v>10736</v>
      </c>
      <c r="B3184" t="s">
        <v>10737</v>
      </c>
      <c r="D3184" t="s">
        <v>40</v>
      </c>
      <c r="E3184" t="s">
        <v>41</v>
      </c>
      <c r="J3184" t="s">
        <v>182</v>
      </c>
      <c r="K3184" t="s">
        <v>183</v>
      </c>
      <c r="L3184">
        <v>10</v>
      </c>
      <c r="M3184" t="s">
        <v>10728</v>
      </c>
      <c r="N3184" t="s">
        <v>64</v>
      </c>
      <c r="O3184" t="s">
        <v>46</v>
      </c>
      <c r="P3184" t="s">
        <v>46</v>
      </c>
      <c r="Y3184" t="s">
        <v>10738</v>
      </c>
    </row>
    <row r="3185" spans="1:25">
      <c r="A3185" t="s">
        <v>10739</v>
      </c>
      <c r="B3185" t="s">
        <v>10740</v>
      </c>
      <c r="D3185" t="s">
        <v>40</v>
      </c>
      <c r="E3185" t="s">
        <v>41</v>
      </c>
      <c r="J3185" t="s">
        <v>182</v>
      </c>
      <c r="K3185" t="s">
        <v>183</v>
      </c>
      <c r="L3185">
        <v>10</v>
      </c>
      <c r="M3185" t="s">
        <v>10728</v>
      </c>
      <c r="N3185" t="s">
        <v>64</v>
      </c>
      <c r="O3185" t="s">
        <v>46</v>
      </c>
      <c r="P3185" t="s">
        <v>46</v>
      </c>
      <c r="Y3185" t="s">
        <v>10741</v>
      </c>
    </row>
    <row r="3186" spans="1:25">
      <c r="A3186" t="s">
        <v>10742</v>
      </c>
      <c r="B3186" t="s">
        <v>10743</v>
      </c>
      <c r="D3186" t="s">
        <v>40</v>
      </c>
      <c r="E3186" t="s">
        <v>41</v>
      </c>
      <c r="J3186" t="s">
        <v>76</v>
      </c>
      <c r="K3186" t="s">
        <v>77</v>
      </c>
      <c r="L3186">
        <v>10</v>
      </c>
      <c r="M3186" t="s">
        <v>10728</v>
      </c>
      <c r="N3186" t="s">
        <v>64</v>
      </c>
      <c r="O3186" t="s">
        <v>46</v>
      </c>
      <c r="P3186" t="s">
        <v>46</v>
      </c>
      <c r="Y3186" t="s">
        <v>10744</v>
      </c>
    </row>
    <row r="3187" spans="1:25">
      <c r="A3187" t="s">
        <v>10745</v>
      </c>
      <c r="B3187" t="s">
        <v>10746</v>
      </c>
      <c r="D3187" t="s">
        <v>40</v>
      </c>
      <c r="E3187" t="s">
        <v>41</v>
      </c>
      <c r="J3187" t="s">
        <v>68</v>
      </c>
      <c r="K3187" t="s">
        <v>69</v>
      </c>
      <c r="L3187">
        <v>10</v>
      </c>
      <c r="M3187" t="s">
        <v>10728</v>
      </c>
      <c r="N3187" t="s">
        <v>64</v>
      </c>
      <c r="O3187" t="s">
        <v>46</v>
      </c>
      <c r="P3187" t="s">
        <v>46</v>
      </c>
      <c r="Y3187" t="s">
        <v>10747</v>
      </c>
    </row>
    <row r="3188" spans="1:25">
      <c r="A3188" t="s">
        <v>10748</v>
      </c>
      <c r="B3188" t="s">
        <v>10749</v>
      </c>
      <c r="D3188" t="s">
        <v>40</v>
      </c>
      <c r="E3188" t="s">
        <v>41</v>
      </c>
      <c r="J3188" t="s">
        <v>76</v>
      </c>
      <c r="K3188" t="s">
        <v>77</v>
      </c>
      <c r="L3188">
        <v>10</v>
      </c>
      <c r="M3188" t="s">
        <v>10728</v>
      </c>
      <c r="N3188" t="s">
        <v>64</v>
      </c>
      <c r="O3188" t="s">
        <v>46</v>
      </c>
      <c r="P3188" t="s">
        <v>46</v>
      </c>
      <c r="Y3188" t="s">
        <v>10750</v>
      </c>
    </row>
    <row r="3189" spans="1:25">
      <c r="A3189" t="s">
        <v>10751</v>
      </c>
      <c r="B3189" t="s">
        <v>10752</v>
      </c>
      <c r="D3189" t="s">
        <v>40</v>
      </c>
      <c r="E3189" t="s">
        <v>41</v>
      </c>
      <c r="J3189" t="s">
        <v>182</v>
      </c>
      <c r="K3189" t="s">
        <v>183</v>
      </c>
      <c r="L3189">
        <v>10</v>
      </c>
      <c r="M3189" t="s">
        <v>10753</v>
      </c>
      <c r="N3189" t="s">
        <v>64</v>
      </c>
      <c r="O3189" t="s">
        <v>46</v>
      </c>
      <c r="P3189" t="s">
        <v>46</v>
      </c>
      <c r="Y3189" t="s">
        <v>10754</v>
      </c>
    </row>
    <row r="3190" spans="1:25">
      <c r="A3190" t="s">
        <v>10755</v>
      </c>
      <c r="B3190" t="s">
        <v>10756</v>
      </c>
      <c r="D3190" t="s">
        <v>40</v>
      </c>
      <c r="E3190" t="s">
        <v>41</v>
      </c>
      <c r="J3190" t="s">
        <v>182</v>
      </c>
      <c r="K3190" t="s">
        <v>183</v>
      </c>
      <c r="L3190">
        <v>10</v>
      </c>
      <c r="M3190" t="s">
        <v>10753</v>
      </c>
      <c r="N3190" t="s">
        <v>64</v>
      </c>
      <c r="O3190" t="s">
        <v>46</v>
      </c>
      <c r="P3190" t="s">
        <v>46</v>
      </c>
      <c r="Y3190" t="s">
        <v>10757</v>
      </c>
    </row>
    <row r="3191" spans="1:25">
      <c r="A3191" t="s">
        <v>10758</v>
      </c>
      <c r="B3191" t="s">
        <v>10759</v>
      </c>
      <c r="D3191" t="s">
        <v>40</v>
      </c>
      <c r="E3191" t="s">
        <v>41</v>
      </c>
      <c r="J3191" t="s">
        <v>68</v>
      </c>
      <c r="K3191" t="s">
        <v>69</v>
      </c>
      <c r="L3191">
        <v>10</v>
      </c>
      <c r="M3191" t="s">
        <v>10760</v>
      </c>
      <c r="N3191" t="s">
        <v>64</v>
      </c>
      <c r="O3191" t="s">
        <v>46</v>
      </c>
      <c r="P3191" t="s">
        <v>46</v>
      </c>
      <c r="Y3191" t="s">
        <v>10761</v>
      </c>
    </row>
    <row r="3192" spans="1:25">
      <c r="A3192" t="s">
        <v>10762</v>
      </c>
      <c r="B3192" t="s">
        <v>10763</v>
      </c>
      <c r="D3192" t="s">
        <v>40</v>
      </c>
      <c r="E3192" t="s">
        <v>41</v>
      </c>
      <c r="J3192" t="s">
        <v>42</v>
      </c>
      <c r="K3192" t="s">
        <v>43</v>
      </c>
      <c r="L3192">
        <v>10</v>
      </c>
      <c r="M3192" t="s">
        <v>10760</v>
      </c>
      <c r="N3192" t="s">
        <v>752</v>
      </c>
      <c r="O3192" t="s">
        <v>46</v>
      </c>
      <c r="P3192" t="s">
        <v>46</v>
      </c>
      <c r="Y3192" t="s">
        <v>10764</v>
      </c>
    </row>
    <row r="3193" spans="1:25">
      <c r="A3193" t="s">
        <v>10765</v>
      </c>
      <c r="B3193" t="s">
        <v>10766</v>
      </c>
      <c r="D3193" t="s">
        <v>40</v>
      </c>
      <c r="E3193" t="s">
        <v>41</v>
      </c>
      <c r="J3193" t="s">
        <v>182</v>
      </c>
      <c r="K3193" t="s">
        <v>183</v>
      </c>
      <c r="L3193">
        <v>10</v>
      </c>
      <c r="M3193" t="s">
        <v>10760</v>
      </c>
      <c r="N3193" t="s">
        <v>64</v>
      </c>
      <c r="O3193" t="s">
        <v>46</v>
      </c>
      <c r="P3193" t="s">
        <v>46</v>
      </c>
      <c r="Y3193" t="s">
        <v>10767</v>
      </c>
    </row>
    <row r="3194" spans="1:25">
      <c r="A3194" t="s">
        <v>10768</v>
      </c>
      <c r="B3194" t="s">
        <v>10769</v>
      </c>
      <c r="D3194" t="s">
        <v>40</v>
      </c>
      <c r="E3194" t="s">
        <v>41</v>
      </c>
      <c r="J3194" t="s">
        <v>68</v>
      </c>
      <c r="K3194" t="s">
        <v>69</v>
      </c>
      <c r="L3194">
        <v>10</v>
      </c>
      <c r="M3194" t="s">
        <v>10760</v>
      </c>
      <c r="N3194" t="s">
        <v>64</v>
      </c>
      <c r="O3194" t="s">
        <v>46</v>
      </c>
      <c r="P3194" t="s">
        <v>46</v>
      </c>
      <c r="Y3194" t="s">
        <v>10770</v>
      </c>
    </row>
    <row r="3195" spans="1:25">
      <c r="A3195" t="s">
        <v>10771</v>
      </c>
      <c r="B3195" t="s">
        <v>10772</v>
      </c>
      <c r="D3195" t="s">
        <v>40</v>
      </c>
      <c r="E3195" t="s">
        <v>41</v>
      </c>
      <c r="J3195" t="s">
        <v>68</v>
      </c>
      <c r="K3195" t="s">
        <v>69</v>
      </c>
      <c r="L3195">
        <v>10</v>
      </c>
      <c r="M3195" t="s">
        <v>10760</v>
      </c>
      <c r="N3195" t="s">
        <v>64</v>
      </c>
      <c r="O3195" t="s">
        <v>46</v>
      </c>
      <c r="P3195" t="s">
        <v>46</v>
      </c>
      <c r="Y3195" t="s">
        <v>10773</v>
      </c>
    </row>
    <row r="3196" spans="1:25">
      <c r="A3196" t="s">
        <v>10774</v>
      </c>
      <c r="B3196" t="s">
        <v>10775</v>
      </c>
      <c r="D3196" t="s">
        <v>40</v>
      </c>
      <c r="E3196" t="s">
        <v>41</v>
      </c>
      <c r="J3196" t="s">
        <v>182</v>
      </c>
      <c r="K3196" t="s">
        <v>183</v>
      </c>
      <c r="L3196">
        <v>10</v>
      </c>
      <c r="M3196" t="s">
        <v>10776</v>
      </c>
      <c r="N3196" t="s">
        <v>64</v>
      </c>
      <c r="O3196" t="s">
        <v>46</v>
      </c>
      <c r="P3196" t="s">
        <v>46</v>
      </c>
      <c r="Y3196" t="s">
        <v>10777</v>
      </c>
    </row>
    <row r="3197" spans="1:25">
      <c r="A3197" t="s">
        <v>10778</v>
      </c>
      <c r="B3197" t="s">
        <v>10779</v>
      </c>
      <c r="D3197" t="s">
        <v>40</v>
      </c>
      <c r="E3197" t="s">
        <v>41</v>
      </c>
      <c r="J3197" t="s">
        <v>182</v>
      </c>
      <c r="K3197" t="s">
        <v>183</v>
      </c>
      <c r="L3197">
        <v>10</v>
      </c>
      <c r="M3197" t="s">
        <v>10780</v>
      </c>
      <c r="N3197" t="s">
        <v>64</v>
      </c>
      <c r="O3197" t="s">
        <v>46</v>
      </c>
      <c r="P3197" t="s">
        <v>46</v>
      </c>
      <c r="Y3197" t="s">
        <v>10781</v>
      </c>
    </row>
    <row r="3198" spans="1:25">
      <c r="A3198" t="s">
        <v>10782</v>
      </c>
      <c r="B3198" t="s">
        <v>10783</v>
      </c>
      <c r="D3198" t="s">
        <v>40</v>
      </c>
      <c r="E3198" t="s">
        <v>41</v>
      </c>
      <c r="J3198" t="s">
        <v>68</v>
      </c>
      <c r="K3198" t="s">
        <v>69</v>
      </c>
      <c r="L3198">
        <v>10</v>
      </c>
      <c r="M3198" t="s">
        <v>10780</v>
      </c>
      <c r="N3198" t="s">
        <v>64</v>
      </c>
      <c r="O3198" t="s">
        <v>46</v>
      </c>
      <c r="P3198" t="s">
        <v>46</v>
      </c>
      <c r="Y3198" t="s">
        <v>10784</v>
      </c>
    </row>
    <row r="3199" spans="1:25">
      <c r="A3199" t="s">
        <v>10785</v>
      </c>
      <c r="B3199" t="s">
        <v>10786</v>
      </c>
      <c r="D3199" t="s">
        <v>40</v>
      </c>
      <c r="E3199" t="s">
        <v>41</v>
      </c>
      <c r="J3199" t="s">
        <v>76</v>
      </c>
      <c r="K3199" t="s">
        <v>77</v>
      </c>
      <c r="L3199">
        <v>10</v>
      </c>
      <c r="M3199" t="s">
        <v>10780</v>
      </c>
      <c r="N3199" t="s">
        <v>64</v>
      </c>
      <c r="O3199" t="s">
        <v>46</v>
      </c>
      <c r="P3199" t="s">
        <v>46</v>
      </c>
      <c r="Y3199" t="s">
        <v>10787</v>
      </c>
    </row>
    <row r="3200" spans="1:25">
      <c r="A3200" t="s">
        <v>10788</v>
      </c>
      <c r="B3200" t="s">
        <v>10789</v>
      </c>
      <c r="D3200" t="s">
        <v>40</v>
      </c>
      <c r="E3200" t="s">
        <v>41</v>
      </c>
      <c r="J3200" t="s">
        <v>68</v>
      </c>
      <c r="K3200" t="s">
        <v>69</v>
      </c>
      <c r="L3200">
        <v>10</v>
      </c>
      <c r="M3200" t="s">
        <v>10790</v>
      </c>
      <c r="N3200" t="s">
        <v>64</v>
      </c>
      <c r="O3200" t="s">
        <v>46</v>
      </c>
      <c r="P3200" t="s">
        <v>46</v>
      </c>
      <c r="Y3200" t="s">
        <v>10791</v>
      </c>
    </row>
    <row r="3201" spans="1:25">
      <c r="A3201" t="s">
        <v>10792</v>
      </c>
      <c r="B3201" t="s">
        <v>10793</v>
      </c>
      <c r="D3201" t="s">
        <v>40</v>
      </c>
      <c r="E3201" t="s">
        <v>41</v>
      </c>
      <c r="J3201" t="s">
        <v>182</v>
      </c>
      <c r="K3201" t="s">
        <v>183</v>
      </c>
      <c r="L3201">
        <v>10</v>
      </c>
      <c r="M3201" t="s">
        <v>10794</v>
      </c>
      <c r="N3201" t="s">
        <v>64</v>
      </c>
      <c r="O3201" t="s">
        <v>46</v>
      </c>
      <c r="P3201" t="s">
        <v>46</v>
      </c>
      <c r="Y3201" t="s">
        <v>10795</v>
      </c>
    </row>
    <row r="3202" spans="1:25">
      <c r="A3202" t="s">
        <v>10796</v>
      </c>
      <c r="B3202" t="s">
        <v>10797</v>
      </c>
      <c r="D3202" t="s">
        <v>40</v>
      </c>
      <c r="E3202" t="s">
        <v>41</v>
      </c>
      <c r="J3202" t="s">
        <v>76</v>
      </c>
      <c r="K3202" t="s">
        <v>77</v>
      </c>
      <c r="L3202">
        <v>10</v>
      </c>
      <c r="M3202" t="s">
        <v>10798</v>
      </c>
      <c r="N3202" t="s">
        <v>64</v>
      </c>
      <c r="O3202" t="s">
        <v>46</v>
      </c>
      <c r="P3202" t="s">
        <v>46</v>
      </c>
      <c r="Y3202" t="s">
        <v>10799</v>
      </c>
    </row>
    <row r="3203" spans="1:25">
      <c r="A3203" t="s">
        <v>10800</v>
      </c>
      <c r="B3203" t="s">
        <v>10801</v>
      </c>
      <c r="D3203" t="s">
        <v>40</v>
      </c>
      <c r="E3203" t="s">
        <v>41</v>
      </c>
      <c r="J3203" t="s">
        <v>139</v>
      </c>
      <c r="K3203" t="s">
        <v>140</v>
      </c>
      <c r="L3203">
        <v>10</v>
      </c>
      <c r="M3203" t="s">
        <v>10802</v>
      </c>
      <c r="N3203" t="s">
        <v>3013</v>
      </c>
      <c r="O3203" t="s">
        <v>46</v>
      </c>
      <c r="P3203" t="s">
        <v>46</v>
      </c>
      <c r="Y3203" t="s">
        <v>10803</v>
      </c>
    </row>
    <row r="3204" spans="1:25">
      <c r="A3204" t="s">
        <v>10804</v>
      </c>
      <c r="B3204" t="s">
        <v>10805</v>
      </c>
      <c r="D3204" t="s">
        <v>40</v>
      </c>
      <c r="E3204" t="s">
        <v>41</v>
      </c>
      <c r="J3204" t="s">
        <v>76</v>
      </c>
      <c r="K3204" t="s">
        <v>77</v>
      </c>
      <c r="L3204">
        <v>10</v>
      </c>
      <c r="M3204" t="s">
        <v>10802</v>
      </c>
      <c r="N3204" t="s">
        <v>64</v>
      </c>
      <c r="O3204" t="s">
        <v>46</v>
      </c>
      <c r="P3204" t="s">
        <v>46</v>
      </c>
      <c r="Y3204" t="s">
        <v>10806</v>
      </c>
    </row>
    <row r="3205" spans="1:25">
      <c r="A3205" t="s">
        <v>10807</v>
      </c>
      <c r="B3205" t="s">
        <v>10808</v>
      </c>
      <c r="D3205" t="s">
        <v>40</v>
      </c>
      <c r="E3205" t="s">
        <v>41</v>
      </c>
      <c r="J3205" t="s">
        <v>182</v>
      </c>
      <c r="K3205" t="s">
        <v>183</v>
      </c>
      <c r="L3205">
        <v>10</v>
      </c>
      <c r="M3205" t="s">
        <v>10809</v>
      </c>
      <c r="N3205" t="s">
        <v>64</v>
      </c>
      <c r="O3205" t="s">
        <v>46</v>
      </c>
      <c r="P3205" t="s">
        <v>46</v>
      </c>
      <c r="Y3205" t="s">
        <v>10810</v>
      </c>
    </row>
    <row r="3206" spans="1:25">
      <c r="A3206" t="s">
        <v>10811</v>
      </c>
      <c r="B3206" t="s">
        <v>10812</v>
      </c>
      <c r="D3206" t="s">
        <v>40</v>
      </c>
      <c r="E3206" t="s">
        <v>41</v>
      </c>
      <c r="J3206" t="s">
        <v>182</v>
      </c>
      <c r="K3206" t="s">
        <v>183</v>
      </c>
      <c r="L3206">
        <v>10</v>
      </c>
      <c r="M3206" t="s">
        <v>10813</v>
      </c>
      <c r="N3206" t="s">
        <v>64</v>
      </c>
      <c r="O3206" t="s">
        <v>46</v>
      </c>
      <c r="P3206" t="s">
        <v>46</v>
      </c>
      <c r="Y3206" t="s">
        <v>10814</v>
      </c>
    </row>
    <row r="3207" spans="1:25">
      <c r="A3207" t="s">
        <v>10815</v>
      </c>
      <c r="B3207" t="s">
        <v>10816</v>
      </c>
      <c r="D3207" t="s">
        <v>40</v>
      </c>
      <c r="E3207" t="s">
        <v>41</v>
      </c>
      <c r="J3207" t="s">
        <v>42</v>
      </c>
      <c r="K3207" t="s">
        <v>43</v>
      </c>
      <c r="L3207">
        <v>10</v>
      </c>
      <c r="M3207" t="s">
        <v>10817</v>
      </c>
      <c r="N3207" t="s">
        <v>1397</v>
      </c>
      <c r="O3207" t="s">
        <v>46</v>
      </c>
      <c r="P3207" t="s">
        <v>46</v>
      </c>
      <c r="Y3207" t="s">
        <v>10818</v>
      </c>
    </row>
    <row r="3208" spans="1:25">
      <c r="A3208" t="s">
        <v>10819</v>
      </c>
      <c r="B3208" t="s">
        <v>10820</v>
      </c>
      <c r="D3208" t="s">
        <v>40</v>
      </c>
      <c r="E3208" t="s">
        <v>41</v>
      </c>
      <c r="J3208" t="s">
        <v>76</v>
      </c>
      <c r="K3208" t="s">
        <v>77</v>
      </c>
      <c r="L3208">
        <v>10</v>
      </c>
      <c r="M3208" t="s">
        <v>10817</v>
      </c>
      <c r="N3208" t="s">
        <v>64</v>
      </c>
      <c r="O3208" t="s">
        <v>46</v>
      </c>
      <c r="P3208" t="s">
        <v>46</v>
      </c>
      <c r="Y3208" t="s">
        <v>10821</v>
      </c>
    </row>
    <row r="3209" spans="1:25">
      <c r="A3209" t="s">
        <v>10822</v>
      </c>
      <c r="B3209" t="s">
        <v>10823</v>
      </c>
      <c r="D3209" t="s">
        <v>40</v>
      </c>
      <c r="E3209" t="s">
        <v>41</v>
      </c>
      <c r="J3209" t="s">
        <v>264</v>
      </c>
      <c r="K3209" t="s">
        <v>265</v>
      </c>
      <c r="L3209">
        <v>10</v>
      </c>
      <c r="M3209" t="s">
        <v>10817</v>
      </c>
      <c r="N3209" t="s">
        <v>1478</v>
      </c>
      <c r="O3209" t="s">
        <v>46</v>
      </c>
      <c r="P3209" t="s">
        <v>46</v>
      </c>
      <c r="Y3209" t="s">
        <v>10824</v>
      </c>
    </row>
    <row r="3210" spans="1:25">
      <c r="A3210" t="s">
        <v>10825</v>
      </c>
      <c r="B3210" t="s">
        <v>10826</v>
      </c>
      <c r="D3210" t="s">
        <v>40</v>
      </c>
      <c r="E3210" t="s">
        <v>41</v>
      </c>
      <c r="J3210" t="s">
        <v>182</v>
      </c>
      <c r="K3210" t="s">
        <v>183</v>
      </c>
      <c r="L3210">
        <v>10</v>
      </c>
      <c r="M3210" t="s">
        <v>10817</v>
      </c>
      <c r="N3210" t="s">
        <v>64</v>
      </c>
      <c r="O3210" t="s">
        <v>46</v>
      </c>
      <c r="P3210" t="s">
        <v>46</v>
      </c>
      <c r="Y3210" t="s">
        <v>10827</v>
      </c>
    </row>
    <row r="3211" spans="1:25">
      <c r="A3211" t="s">
        <v>10828</v>
      </c>
      <c r="B3211" t="s">
        <v>10829</v>
      </c>
      <c r="D3211" t="s">
        <v>40</v>
      </c>
      <c r="E3211" t="s">
        <v>41</v>
      </c>
      <c r="J3211" t="s">
        <v>76</v>
      </c>
      <c r="K3211" t="s">
        <v>77</v>
      </c>
      <c r="L3211">
        <v>10</v>
      </c>
      <c r="M3211" t="s">
        <v>10817</v>
      </c>
      <c r="N3211" t="s">
        <v>64</v>
      </c>
      <c r="O3211" t="s">
        <v>46</v>
      </c>
      <c r="P3211" t="s">
        <v>46</v>
      </c>
      <c r="Y3211" t="s">
        <v>10830</v>
      </c>
    </row>
    <row r="3212" spans="1:25">
      <c r="A3212" t="s">
        <v>10831</v>
      </c>
      <c r="B3212" t="s">
        <v>10832</v>
      </c>
      <c r="D3212" t="s">
        <v>40</v>
      </c>
      <c r="E3212" t="s">
        <v>41</v>
      </c>
      <c r="J3212" t="s">
        <v>76</v>
      </c>
      <c r="K3212" t="s">
        <v>77</v>
      </c>
      <c r="L3212">
        <v>10</v>
      </c>
      <c r="M3212" t="s">
        <v>10833</v>
      </c>
      <c r="N3212" t="s">
        <v>64</v>
      </c>
      <c r="O3212" t="s">
        <v>46</v>
      </c>
      <c r="P3212" t="s">
        <v>46</v>
      </c>
      <c r="Y3212" t="s">
        <v>10834</v>
      </c>
    </row>
    <row r="3213" spans="1:25">
      <c r="A3213" t="s">
        <v>10835</v>
      </c>
      <c r="B3213" t="s">
        <v>10836</v>
      </c>
      <c r="D3213" t="s">
        <v>40</v>
      </c>
      <c r="E3213" t="s">
        <v>41</v>
      </c>
      <c r="J3213" t="s">
        <v>182</v>
      </c>
      <c r="K3213" t="s">
        <v>183</v>
      </c>
      <c r="L3213">
        <v>10</v>
      </c>
      <c r="M3213" t="s">
        <v>10833</v>
      </c>
      <c r="N3213" t="s">
        <v>64</v>
      </c>
      <c r="O3213" t="s">
        <v>46</v>
      </c>
      <c r="P3213" t="s">
        <v>46</v>
      </c>
      <c r="Y3213" t="s">
        <v>10837</v>
      </c>
    </row>
    <row r="3214" spans="1:25">
      <c r="A3214" t="s">
        <v>10838</v>
      </c>
      <c r="B3214" t="s">
        <v>10839</v>
      </c>
      <c r="D3214" t="s">
        <v>40</v>
      </c>
      <c r="E3214" t="s">
        <v>41</v>
      </c>
      <c r="J3214" t="s">
        <v>264</v>
      </c>
      <c r="K3214" t="s">
        <v>265</v>
      </c>
      <c r="L3214">
        <v>10</v>
      </c>
      <c r="M3214" t="s">
        <v>10840</v>
      </c>
      <c r="N3214" t="s">
        <v>2346</v>
      </c>
      <c r="O3214" t="s">
        <v>46</v>
      </c>
      <c r="P3214" t="s">
        <v>46</v>
      </c>
      <c r="Y3214" t="s">
        <v>10841</v>
      </c>
    </row>
    <row r="3215" spans="1:25">
      <c r="A3215" t="s">
        <v>10842</v>
      </c>
      <c r="B3215" t="s">
        <v>10843</v>
      </c>
      <c r="D3215" t="s">
        <v>40</v>
      </c>
      <c r="E3215" t="s">
        <v>41</v>
      </c>
      <c r="J3215" t="s">
        <v>76</v>
      </c>
      <c r="K3215" t="s">
        <v>77</v>
      </c>
      <c r="L3215">
        <v>10</v>
      </c>
      <c r="M3215" t="s">
        <v>10844</v>
      </c>
      <c r="N3215" t="s">
        <v>64</v>
      </c>
      <c r="O3215" t="s">
        <v>46</v>
      </c>
      <c r="P3215" t="s">
        <v>46</v>
      </c>
      <c r="Y3215" t="s">
        <v>10845</v>
      </c>
    </row>
    <row r="3216" spans="1:25">
      <c r="A3216" t="s">
        <v>10846</v>
      </c>
      <c r="B3216" t="s">
        <v>10847</v>
      </c>
      <c r="D3216" t="s">
        <v>40</v>
      </c>
      <c r="E3216" t="s">
        <v>41</v>
      </c>
      <c r="J3216" t="s">
        <v>68</v>
      </c>
      <c r="K3216" t="s">
        <v>69</v>
      </c>
      <c r="L3216">
        <v>10</v>
      </c>
      <c r="M3216" t="s">
        <v>10848</v>
      </c>
      <c r="N3216" t="s">
        <v>64</v>
      </c>
      <c r="O3216" t="s">
        <v>46</v>
      </c>
      <c r="P3216" t="s">
        <v>46</v>
      </c>
      <c r="Y3216" t="s">
        <v>10849</v>
      </c>
    </row>
    <row r="3217" spans="1:25">
      <c r="A3217" t="s">
        <v>10850</v>
      </c>
      <c r="B3217" t="s">
        <v>10851</v>
      </c>
      <c r="D3217" t="s">
        <v>40</v>
      </c>
      <c r="E3217" t="s">
        <v>41</v>
      </c>
      <c r="J3217" t="s">
        <v>182</v>
      </c>
      <c r="K3217" t="s">
        <v>183</v>
      </c>
      <c r="L3217">
        <v>10</v>
      </c>
      <c r="M3217" t="s">
        <v>10852</v>
      </c>
      <c r="N3217" t="s">
        <v>64</v>
      </c>
      <c r="O3217" t="s">
        <v>46</v>
      </c>
      <c r="P3217" t="s">
        <v>46</v>
      </c>
      <c r="Y3217" t="s">
        <v>10853</v>
      </c>
    </row>
    <row r="3218" spans="1:25">
      <c r="A3218" t="s">
        <v>10854</v>
      </c>
      <c r="B3218" t="s">
        <v>10855</v>
      </c>
      <c r="D3218" t="s">
        <v>40</v>
      </c>
      <c r="E3218" t="s">
        <v>41</v>
      </c>
      <c r="J3218" t="s">
        <v>182</v>
      </c>
      <c r="K3218" t="s">
        <v>183</v>
      </c>
      <c r="L3218">
        <v>10</v>
      </c>
      <c r="M3218" t="s">
        <v>10856</v>
      </c>
      <c r="N3218" t="s">
        <v>64</v>
      </c>
      <c r="O3218" t="s">
        <v>46</v>
      </c>
      <c r="P3218" t="s">
        <v>46</v>
      </c>
      <c r="Y3218" t="s">
        <v>10857</v>
      </c>
    </row>
    <row r="3219" spans="1:25">
      <c r="A3219" t="s">
        <v>10858</v>
      </c>
      <c r="B3219" t="s">
        <v>10859</v>
      </c>
      <c r="D3219" t="s">
        <v>40</v>
      </c>
      <c r="E3219" t="s">
        <v>41</v>
      </c>
      <c r="J3219" t="s">
        <v>42</v>
      </c>
      <c r="K3219" t="s">
        <v>43</v>
      </c>
      <c r="L3219">
        <v>10</v>
      </c>
      <c r="M3219" t="s">
        <v>10860</v>
      </c>
      <c r="N3219" t="s">
        <v>4037</v>
      </c>
      <c r="O3219" t="s">
        <v>46</v>
      </c>
      <c r="P3219" t="s">
        <v>46</v>
      </c>
      <c r="Y3219" t="s">
        <v>10861</v>
      </c>
    </row>
    <row r="3220" spans="1:25">
      <c r="A3220" t="s">
        <v>10862</v>
      </c>
      <c r="B3220" t="s">
        <v>10863</v>
      </c>
      <c r="D3220" t="s">
        <v>40</v>
      </c>
      <c r="E3220" t="s">
        <v>41</v>
      </c>
      <c r="J3220" t="s">
        <v>182</v>
      </c>
      <c r="K3220" t="s">
        <v>183</v>
      </c>
      <c r="L3220">
        <v>10</v>
      </c>
      <c r="M3220" t="s">
        <v>10860</v>
      </c>
      <c r="N3220" t="s">
        <v>64</v>
      </c>
      <c r="O3220" t="s">
        <v>46</v>
      </c>
      <c r="P3220" t="s">
        <v>46</v>
      </c>
      <c r="Y3220" t="s">
        <v>10864</v>
      </c>
    </row>
    <row r="3221" spans="1:25">
      <c r="A3221" t="s">
        <v>10865</v>
      </c>
      <c r="B3221" t="s">
        <v>10866</v>
      </c>
      <c r="D3221" t="s">
        <v>40</v>
      </c>
      <c r="E3221" t="s">
        <v>41</v>
      </c>
      <c r="J3221" t="s">
        <v>182</v>
      </c>
      <c r="K3221" t="s">
        <v>183</v>
      </c>
      <c r="L3221">
        <v>10</v>
      </c>
      <c r="M3221" t="s">
        <v>10867</v>
      </c>
      <c r="N3221" t="s">
        <v>64</v>
      </c>
      <c r="O3221" t="s">
        <v>46</v>
      </c>
      <c r="P3221" t="s">
        <v>46</v>
      </c>
      <c r="Y3221" t="s">
        <v>10868</v>
      </c>
    </row>
    <row r="3222" spans="1:25">
      <c r="A3222" t="s">
        <v>10869</v>
      </c>
      <c r="B3222" t="s">
        <v>10870</v>
      </c>
      <c r="D3222" t="s">
        <v>40</v>
      </c>
      <c r="E3222" t="s">
        <v>41</v>
      </c>
      <c r="J3222" t="s">
        <v>182</v>
      </c>
      <c r="K3222" t="s">
        <v>183</v>
      </c>
      <c r="L3222">
        <v>10</v>
      </c>
      <c r="M3222" t="s">
        <v>10867</v>
      </c>
      <c r="N3222" t="s">
        <v>64</v>
      </c>
      <c r="O3222" t="s">
        <v>46</v>
      </c>
      <c r="P3222" t="s">
        <v>46</v>
      </c>
      <c r="Y3222" t="s">
        <v>10871</v>
      </c>
    </row>
    <row r="3223" spans="1:25">
      <c r="A3223" t="s">
        <v>10872</v>
      </c>
      <c r="B3223" t="s">
        <v>10873</v>
      </c>
      <c r="D3223" t="s">
        <v>40</v>
      </c>
      <c r="E3223" t="s">
        <v>41</v>
      </c>
      <c r="J3223" t="s">
        <v>76</v>
      </c>
      <c r="K3223" t="s">
        <v>77</v>
      </c>
      <c r="L3223">
        <v>10</v>
      </c>
      <c r="M3223" t="s">
        <v>10867</v>
      </c>
      <c r="N3223" t="s">
        <v>64</v>
      </c>
      <c r="O3223" t="s">
        <v>46</v>
      </c>
      <c r="P3223" t="s">
        <v>46</v>
      </c>
      <c r="Y3223" t="s">
        <v>10874</v>
      </c>
    </row>
    <row r="3224" spans="1:25">
      <c r="A3224" t="s">
        <v>10875</v>
      </c>
      <c r="B3224" t="s">
        <v>10876</v>
      </c>
      <c r="D3224" t="s">
        <v>40</v>
      </c>
      <c r="E3224" t="s">
        <v>41</v>
      </c>
      <c r="J3224" t="s">
        <v>42</v>
      </c>
      <c r="K3224" t="s">
        <v>43</v>
      </c>
      <c r="L3224">
        <v>10</v>
      </c>
      <c r="M3224" t="s">
        <v>10867</v>
      </c>
      <c r="N3224" t="s">
        <v>950</v>
      </c>
      <c r="O3224" t="s">
        <v>46</v>
      </c>
      <c r="P3224" t="s">
        <v>46</v>
      </c>
      <c r="Y3224" t="s">
        <v>10877</v>
      </c>
    </row>
    <row r="3225" spans="1:25">
      <c r="A3225" t="s">
        <v>10878</v>
      </c>
      <c r="B3225" t="s">
        <v>10879</v>
      </c>
      <c r="D3225" t="s">
        <v>40</v>
      </c>
      <c r="E3225" t="s">
        <v>41</v>
      </c>
      <c r="J3225" t="s">
        <v>182</v>
      </c>
      <c r="K3225" t="s">
        <v>183</v>
      </c>
      <c r="L3225">
        <v>10</v>
      </c>
      <c r="M3225" t="s">
        <v>10867</v>
      </c>
      <c r="N3225" t="s">
        <v>64</v>
      </c>
      <c r="O3225" t="s">
        <v>46</v>
      </c>
      <c r="P3225" t="s">
        <v>46</v>
      </c>
      <c r="Y3225" t="s">
        <v>10880</v>
      </c>
    </row>
    <row r="3226" spans="1:25">
      <c r="A3226" t="s">
        <v>10881</v>
      </c>
      <c r="B3226" t="s">
        <v>10882</v>
      </c>
      <c r="D3226" t="s">
        <v>40</v>
      </c>
      <c r="E3226" t="s">
        <v>41</v>
      </c>
      <c r="J3226" t="s">
        <v>42</v>
      </c>
      <c r="K3226" t="s">
        <v>43</v>
      </c>
      <c r="L3226">
        <v>6</v>
      </c>
      <c r="M3226" t="s">
        <v>10883</v>
      </c>
      <c r="N3226" t="s">
        <v>1446</v>
      </c>
      <c r="O3226" t="s">
        <v>46</v>
      </c>
      <c r="P3226" t="s">
        <v>46</v>
      </c>
      <c r="Y3226" t="s">
        <v>10884</v>
      </c>
    </row>
    <row r="3227" spans="1:25">
      <c r="A3227" t="s">
        <v>10885</v>
      </c>
      <c r="B3227" t="s">
        <v>10886</v>
      </c>
      <c r="D3227" t="s">
        <v>40</v>
      </c>
      <c r="E3227" t="s">
        <v>41</v>
      </c>
      <c r="J3227" t="s">
        <v>76</v>
      </c>
      <c r="K3227" t="s">
        <v>77</v>
      </c>
      <c r="L3227">
        <v>10</v>
      </c>
      <c r="M3227" t="s">
        <v>10883</v>
      </c>
      <c r="N3227" t="s">
        <v>64</v>
      </c>
      <c r="O3227" t="s">
        <v>46</v>
      </c>
      <c r="P3227" t="s">
        <v>46</v>
      </c>
      <c r="Y3227" t="s">
        <v>10887</v>
      </c>
    </row>
    <row r="3228" spans="1:25">
      <c r="A3228" t="s">
        <v>10888</v>
      </c>
      <c r="B3228" t="s">
        <v>10889</v>
      </c>
      <c r="D3228" t="s">
        <v>40</v>
      </c>
      <c r="E3228" t="s">
        <v>41</v>
      </c>
      <c r="J3228" t="s">
        <v>76</v>
      </c>
      <c r="K3228" t="s">
        <v>77</v>
      </c>
      <c r="L3228">
        <v>10</v>
      </c>
      <c r="M3228" t="s">
        <v>10883</v>
      </c>
      <c r="N3228" t="s">
        <v>64</v>
      </c>
      <c r="O3228" t="s">
        <v>46</v>
      </c>
      <c r="P3228" t="s">
        <v>46</v>
      </c>
      <c r="Y3228" t="s">
        <v>10890</v>
      </c>
    </row>
    <row r="3229" spans="1:25">
      <c r="A3229" t="s">
        <v>10891</v>
      </c>
      <c r="B3229" t="s">
        <v>10892</v>
      </c>
      <c r="D3229" t="s">
        <v>40</v>
      </c>
      <c r="E3229" t="s">
        <v>41</v>
      </c>
      <c r="J3229" t="s">
        <v>182</v>
      </c>
      <c r="K3229" t="s">
        <v>183</v>
      </c>
      <c r="L3229">
        <v>10</v>
      </c>
      <c r="M3229" t="s">
        <v>10893</v>
      </c>
      <c r="N3229" t="s">
        <v>64</v>
      </c>
      <c r="O3229" t="s">
        <v>46</v>
      </c>
      <c r="P3229" t="s">
        <v>46</v>
      </c>
      <c r="Y3229" t="s">
        <v>10894</v>
      </c>
    </row>
    <row r="3230" spans="1:25">
      <c r="A3230" t="s">
        <v>10895</v>
      </c>
      <c r="B3230" t="s">
        <v>10896</v>
      </c>
      <c r="D3230" t="s">
        <v>40</v>
      </c>
      <c r="E3230" t="s">
        <v>41</v>
      </c>
      <c r="J3230" t="s">
        <v>42</v>
      </c>
      <c r="K3230" t="s">
        <v>43</v>
      </c>
      <c r="L3230">
        <v>10</v>
      </c>
      <c r="M3230" t="s">
        <v>10893</v>
      </c>
      <c r="N3230" t="s">
        <v>4037</v>
      </c>
      <c r="O3230" t="s">
        <v>46</v>
      </c>
      <c r="P3230" t="s">
        <v>46</v>
      </c>
      <c r="Y3230" t="s">
        <v>10897</v>
      </c>
    </row>
    <row r="3231" spans="1:25">
      <c r="A3231" t="s">
        <v>10898</v>
      </c>
      <c r="B3231" t="s">
        <v>10899</v>
      </c>
      <c r="D3231" t="s">
        <v>40</v>
      </c>
      <c r="E3231" t="s">
        <v>41</v>
      </c>
      <c r="J3231" t="s">
        <v>42</v>
      </c>
      <c r="K3231" t="s">
        <v>43</v>
      </c>
      <c r="L3231">
        <v>10</v>
      </c>
      <c r="M3231" t="s">
        <v>10900</v>
      </c>
      <c r="N3231" t="s">
        <v>1344</v>
      </c>
      <c r="O3231" t="s">
        <v>46</v>
      </c>
      <c r="P3231" t="s">
        <v>46</v>
      </c>
      <c r="Y3231" t="s">
        <v>10901</v>
      </c>
    </row>
    <row r="3232" spans="1:25">
      <c r="A3232" t="s">
        <v>10902</v>
      </c>
      <c r="B3232" t="s">
        <v>10903</v>
      </c>
      <c r="D3232" t="s">
        <v>40</v>
      </c>
      <c r="E3232" t="s">
        <v>41</v>
      </c>
      <c r="J3232" t="s">
        <v>139</v>
      </c>
      <c r="K3232" t="s">
        <v>140</v>
      </c>
      <c r="L3232">
        <v>10</v>
      </c>
      <c r="M3232" t="s">
        <v>10900</v>
      </c>
      <c r="N3232" t="s">
        <v>436</v>
      </c>
      <c r="O3232" t="s">
        <v>46</v>
      </c>
      <c r="P3232" t="s">
        <v>46</v>
      </c>
      <c r="Y3232" t="s">
        <v>10904</v>
      </c>
    </row>
    <row r="3233" spans="1:25">
      <c r="A3233" t="s">
        <v>10905</v>
      </c>
      <c r="B3233" t="s">
        <v>10906</v>
      </c>
      <c r="D3233" t="s">
        <v>40</v>
      </c>
      <c r="E3233" t="s">
        <v>41</v>
      </c>
      <c r="J3233" t="s">
        <v>42</v>
      </c>
      <c r="K3233" t="s">
        <v>43</v>
      </c>
      <c r="L3233">
        <v>10</v>
      </c>
      <c r="M3233" t="s">
        <v>10900</v>
      </c>
      <c r="N3233" t="s">
        <v>173</v>
      </c>
      <c r="O3233" t="s">
        <v>46</v>
      </c>
      <c r="P3233" t="s">
        <v>46</v>
      </c>
      <c r="Y3233" t="s">
        <v>10907</v>
      </c>
    </row>
    <row r="3234" spans="1:25">
      <c r="A3234" t="s">
        <v>10908</v>
      </c>
      <c r="B3234" t="s">
        <v>10909</v>
      </c>
      <c r="D3234" t="s">
        <v>40</v>
      </c>
      <c r="E3234" t="s">
        <v>41</v>
      </c>
      <c r="J3234" t="s">
        <v>68</v>
      </c>
      <c r="K3234" t="s">
        <v>69</v>
      </c>
      <c r="L3234">
        <v>10</v>
      </c>
      <c r="M3234" t="s">
        <v>10910</v>
      </c>
      <c r="N3234" t="s">
        <v>64</v>
      </c>
      <c r="O3234" t="s">
        <v>46</v>
      </c>
      <c r="P3234" t="s">
        <v>46</v>
      </c>
      <c r="Y3234" t="s">
        <v>10911</v>
      </c>
    </row>
    <row r="3235" spans="1:25">
      <c r="A3235" t="s">
        <v>10912</v>
      </c>
      <c r="B3235" t="s">
        <v>10913</v>
      </c>
      <c r="D3235" t="s">
        <v>40</v>
      </c>
      <c r="E3235" t="s">
        <v>41</v>
      </c>
      <c r="J3235" t="s">
        <v>182</v>
      </c>
      <c r="K3235" t="s">
        <v>183</v>
      </c>
      <c r="L3235">
        <v>10</v>
      </c>
      <c r="M3235" t="s">
        <v>10914</v>
      </c>
      <c r="N3235" t="s">
        <v>64</v>
      </c>
      <c r="O3235" t="s">
        <v>46</v>
      </c>
      <c r="P3235" t="s">
        <v>46</v>
      </c>
      <c r="Y3235" t="s">
        <v>10915</v>
      </c>
    </row>
    <row r="3236" spans="1:25">
      <c r="A3236" t="s">
        <v>10916</v>
      </c>
      <c r="B3236" t="s">
        <v>10917</v>
      </c>
      <c r="D3236" t="s">
        <v>40</v>
      </c>
      <c r="E3236" t="s">
        <v>41</v>
      </c>
      <c r="J3236" t="s">
        <v>182</v>
      </c>
      <c r="K3236" t="s">
        <v>183</v>
      </c>
      <c r="L3236">
        <v>10</v>
      </c>
      <c r="M3236" t="s">
        <v>10918</v>
      </c>
      <c r="N3236" t="s">
        <v>64</v>
      </c>
      <c r="O3236" t="s">
        <v>46</v>
      </c>
      <c r="P3236" t="s">
        <v>46</v>
      </c>
      <c r="Y3236" t="s">
        <v>10919</v>
      </c>
    </row>
    <row r="3237" spans="1:25">
      <c r="A3237" t="s">
        <v>10920</v>
      </c>
      <c r="B3237" t="s">
        <v>10921</v>
      </c>
      <c r="D3237" t="s">
        <v>40</v>
      </c>
      <c r="E3237" t="s">
        <v>41</v>
      </c>
      <c r="J3237" t="s">
        <v>248</v>
      </c>
      <c r="K3237" t="s">
        <v>249</v>
      </c>
      <c r="L3237">
        <v>10</v>
      </c>
      <c r="M3237" t="s">
        <v>10918</v>
      </c>
      <c r="N3237" t="s">
        <v>1397</v>
      </c>
      <c r="O3237" t="s">
        <v>46</v>
      </c>
      <c r="P3237" t="s">
        <v>46</v>
      </c>
      <c r="Y3237" t="s">
        <v>10922</v>
      </c>
    </row>
    <row r="3238" spans="1:25">
      <c r="A3238" t="s">
        <v>10923</v>
      </c>
      <c r="B3238" t="s">
        <v>10924</v>
      </c>
      <c r="D3238" t="s">
        <v>40</v>
      </c>
      <c r="E3238" t="s">
        <v>41</v>
      </c>
      <c r="J3238" t="s">
        <v>42</v>
      </c>
      <c r="K3238" t="s">
        <v>43</v>
      </c>
      <c r="L3238">
        <v>10</v>
      </c>
      <c r="M3238" t="s">
        <v>10925</v>
      </c>
      <c r="N3238" t="s">
        <v>950</v>
      </c>
      <c r="O3238" t="s">
        <v>46</v>
      </c>
      <c r="P3238" t="s">
        <v>46</v>
      </c>
      <c r="Y3238" t="s">
        <v>10926</v>
      </c>
    </row>
    <row r="3239" spans="1:25">
      <c r="A3239" t="s">
        <v>10927</v>
      </c>
      <c r="B3239" t="s">
        <v>10928</v>
      </c>
      <c r="D3239" t="s">
        <v>40</v>
      </c>
      <c r="E3239" t="s">
        <v>41</v>
      </c>
      <c r="J3239" t="s">
        <v>68</v>
      </c>
      <c r="K3239" t="s">
        <v>69</v>
      </c>
      <c r="L3239">
        <v>10</v>
      </c>
      <c r="M3239" t="s">
        <v>10929</v>
      </c>
      <c r="N3239" t="s">
        <v>64</v>
      </c>
      <c r="O3239" t="s">
        <v>46</v>
      </c>
      <c r="P3239" t="s">
        <v>46</v>
      </c>
      <c r="Y3239" t="s">
        <v>10930</v>
      </c>
    </row>
    <row r="3240" spans="1:25">
      <c r="A3240" t="s">
        <v>10931</v>
      </c>
      <c r="B3240" t="s">
        <v>10932</v>
      </c>
      <c r="D3240" t="s">
        <v>40</v>
      </c>
      <c r="E3240" t="s">
        <v>41</v>
      </c>
      <c r="J3240" t="s">
        <v>68</v>
      </c>
      <c r="K3240" t="s">
        <v>69</v>
      </c>
      <c r="L3240">
        <v>10</v>
      </c>
      <c r="M3240" t="s">
        <v>10929</v>
      </c>
      <c r="N3240" t="s">
        <v>64</v>
      </c>
      <c r="O3240" t="s">
        <v>46</v>
      </c>
      <c r="P3240" t="s">
        <v>46</v>
      </c>
      <c r="Y3240" t="s">
        <v>10933</v>
      </c>
    </row>
    <row r="3241" spans="1:25">
      <c r="A3241" t="s">
        <v>10934</v>
      </c>
      <c r="B3241" t="s">
        <v>10935</v>
      </c>
      <c r="D3241" t="s">
        <v>40</v>
      </c>
      <c r="E3241" t="s">
        <v>41</v>
      </c>
      <c r="J3241" t="s">
        <v>182</v>
      </c>
      <c r="K3241" t="s">
        <v>183</v>
      </c>
      <c r="L3241">
        <v>10</v>
      </c>
      <c r="M3241" t="s">
        <v>10929</v>
      </c>
      <c r="N3241" t="s">
        <v>64</v>
      </c>
      <c r="O3241" t="s">
        <v>46</v>
      </c>
      <c r="P3241" t="s">
        <v>46</v>
      </c>
      <c r="Y3241" t="s">
        <v>10936</v>
      </c>
    </row>
    <row r="3242" spans="1:25">
      <c r="A3242" t="s">
        <v>10937</v>
      </c>
      <c r="B3242" t="s">
        <v>10938</v>
      </c>
      <c r="D3242" t="s">
        <v>40</v>
      </c>
      <c r="E3242" t="s">
        <v>41</v>
      </c>
      <c r="J3242" t="s">
        <v>76</v>
      </c>
      <c r="K3242" t="s">
        <v>77</v>
      </c>
      <c r="L3242">
        <v>10</v>
      </c>
      <c r="M3242" t="s">
        <v>10939</v>
      </c>
      <c r="N3242" t="s">
        <v>64</v>
      </c>
      <c r="O3242" t="s">
        <v>46</v>
      </c>
      <c r="P3242" t="s">
        <v>46</v>
      </c>
      <c r="Y3242" t="s">
        <v>10940</v>
      </c>
    </row>
    <row r="3243" spans="1:25">
      <c r="A3243" t="s">
        <v>10941</v>
      </c>
      <c r="B3243" t="s">
        <v>10942</v>
      </c>
      <c r="D3243" t="s">
        <v>40</v>
      </c>
      <c r="E3243" t="s">
        <v>41</v>
      </c>
      <c r="J3243" t="s">
        <v>42</v>
      </c>
      <c r="K3243" t="s">
        <v>43</v>
      </c>
      <c r="L3243">
        <v>10</v>
      </c>
      <c r="M3243" t="s">
        <v>10939</v>
      </c>
      <c r="N3243" t="s">
        <v>257</v>
      </c>
      <c r="O3243" t="s">
        <v>46</v>
      </c>
      <c r="P3243" t="s">
        <v>46</v>
      </c>
      <c r="Y3243" t="s">
        <v>10943</v>
      </c>
    </row>
    <row r="3244" spans="1:25">
      <c r="A3244" t="s">
        <v>10944</v>
      </c>
      <c r="B3244" t="s">
        <v>10945</v>
      </c>
      <c r="D3244" t="s">
        <v>40</v>
      </c>
      <c r="E3244" t="s">
        <v>41</v>
      </c>
      <c r="J3244" t="s">
        <v>76</v>
      </c>
      <c r="K3244" t="s">
        <v>77</v>
      </c>
      <c r="L3244">
        <v>10</v>
      </c>
      <c r="M3244" t="s">
        <v>10939</v>
      </c>
      <c r="N3244" t="s">
        <v>64</v>
      </c>
      <c r="O3244" t="s">
        <v>46</v>
      </c>
      <c r="P3244" t="s">
        <v>46</v>
      </c>
      <c r="Y3244" t="s">
        <v>10946</v>
      </c>
    </row>
    <row r="3245" spans="1:25">
      <c r="A3245" t="s">
        <v>10947</v>
      </c>
      <c r="B3245" t="s">
        <v>10948</v>
      </c>
      <c r="D3245" t="s">
        <v>40</v>
      </c>
      <c r="E3245" t="s">
        <v>41</v>
      </c>
      <c r="J3245" t="s">
        <v>76</v>
      </c>
      <c r="K3245" t="s">
        <v>77</v>
      </c>
      <c r="L3245">
        <v>10</v>
      </c>
      <c r="M3245" t="s">
        <v>10939</v>
      </c>
      <c r="N3245" t="s">
        <v>64</v>
      </c>
      <c r="O3245" t="s">
        <v>46</v>
      </c>
      <c r="P3245" t="s">
        <v>46</v>
      </c>
      <c r="Y3245" t="s">
        <v>10949</v>
      </c>
    </row>
    <row r="3246" spans="1:25">
      <c r="A3246" t="s">
        <v>10950</v>
      </c>
      <c r="B3246" t="s">
        <v>10951</v>
      </c>
      <c r="D3246" t="s">
        <v>40</v>
      </c>
      <c r="E3246" t="s">
        <v>41</v>
      </c>
      <c r="J3246" t="s">
        <v>182</v>
      </c>
      <c r="K3246" t="s">
        <v>183</v>
      </c>
      <c r="L3246">
        <v>10</v>
      </c>
      <c r="M3246" t="s">
        <v>10939</v>
      </c>
      <c r="N3246" t="s">
        <v>64</v>
      </c>
      <c r="O3246" t="s">
        <v>46</v>
      </c>
      <c r="P3246" t="s">
        <v>46</v>
      </c>
      <c r="Y3246" t="s">
        <v>10952</v>
      </c>
    </row>
    <row r="3247" spans="1:25">
      <c r="A3247" t="s">
        <v>10953</v>
      </c>
      <c r="B3247" t="s">
        <v>10954</v>
      </c>
      <c r="D3247" t="s">
        <v>40</v>
      </c>
      <c r="E3247" t="s">
        <v>41</v>
      </c>
      <c r="J3247" t="s">
        <v>42</v>
      </c>
      <c r="K3247" t="s">
        <v>43</v>
      </c>
      <c r="L3247">
        <v>10</v>
      </c>
      <c r="M3247" t="s">
        <v>10955</v>
      </c>
      <c r="N3247" t="s">
        <v>266</v>
      </c>
      <c r="O3247" t="s">
        <v>46</v>
      </c>
      <c r="P3247" t="s">
        <v>46</v>
      </c>
      <c r="Y3247" t="s">
        <v>10956</v>
      </c>
    </row>
    <row r="3248" spans="1:25">
      <c r="A3248" t="s">
        <v>10957</v>
      </c>
      <c r="B3248" t="s">
        <v>10958</v>
      </c>
      <c r="D3248" t="s">
        <v>40</v>
      </c>
      <c r="E3248" t="s">
        <v>41</v>
      </c>
      <c r="J3248" t="s">
        <v>42</v>
      </c>
      <c r="K3248" t="s">
        <v>43</v>
      </c>
      <c r="L3248">
        <v>10</v>
      </c>
      <c r="M3248" t="s">
        <v>10959</v>
      </c>
      <c r="N3248" t="s">
        <v>436</v>
      </c>
      <c r="O3248" t="s">
        <v>46</v>
      </c>
      <c r="P3248" t="s">
        <v>46</v>
      </c>
      <c r="Y3248" t="s">
        <v>10960</v>
      </c>
    </row>
    <row r="3249" spans="1:25">
      <c r="A3249" t="s">
        <v>10961</v>
      </c>
      <c r="B3249" t="s">
        <v>10962</v>
      </c>
      <c r="D3249" t="s">
        <v>40</v>
      </c>
      <c r="E3249" t="s">
        <v>41</v>
      </c>
      <c r="J3249" t="s">
        <v>182</v>
      </c>
      <c r="K3249" t="s">
        <v>183</v>
      </c>
      <c r="L3249">
        <v>10</v>
      </c>
      <c r="M3249" t="s">
        <v>10963</v>
      </c>
      <c r="N3249" t="s">
        <v>64</v>
      </c>
      <c r="O3249" t="s">
        <v>46</v>
      </c>
      <c r="P3249" t="s">
        <v>46</v>
      </c>
      <c r="Y3249" t="s">
        <v>10964</v>
      </c>
    </row>
    <row r="3250" spans="1:25">
      <c r="A3250" t="s">
        <v>10965</v>
      </c>
      <c r="B3250" t="s">
        <v>10966</v>
      </c>
      <c r="D3250" t="s">
        <v>40</v>
      </c>
      <c r="E3250" t="s">
        <v>41</v>
      </c>
      <c r="J3250" t="s">
        <v>182</v>
      </c>
      <c r="K3250" t="s">
        <v>183</v>
      </c>
      <c r="L3250">
        <v>10</v>
      </c>
      <c r="M3250" t="s">
        <v>10967</v>
      </c>
      <c r="N3250" t="s">
        <v>64</v>
      </c>
      <c r="O3250" t="s">
        <v>46</v>
      </c>
      <c r="P3250" t="s">
        <v>46</v>
      </c>
      <c r="Y3250" t="s">
        <v>10968</v>
      </c>
    </row>
    <row r="3251" spans="1:25">
      <c r="A3251" t="s">
        <v>10969</v>
      </c>
      <c r="B3251" t="s">
        <v>10970</v>
      </c>
      <c r="D3251" t="s">
        <v>40</v>
      </c>
      <c r="E3251" t="s">
        <v>41</v>
      </c>
      <c r="J3251" t="s">
        <v>76</v>
      </c>
      <c r="K3251" t="s">
        <v>77</v>
      </c>
      <c r="L3251">
        <v>10</v>
      </c>
      <c r="M3251" t="s">
        <v>10971</v>
      </c>
      <c r="N3251" t="s">
        <v>64</v>
      </c>
      <c r="O3251" t="s">
        <v>46</v>
      </c>
      <c r="P3251" t="s">
        <v>46</v>
      </c>
      <c r="Y3251" t="s">
        <v>10972</v>
      </c>
    </row>
    <row r="3252" spans="1:25">
      <c r="A3252" t="s">
        <v>10973</v>
      </c>
      <c r="B3252" t="s">
        <v>10974</v>
      </c>
      <c r="D3252" t="s">
        <v>40</v>
      </c>
      <c r="E3252" t="s">
        <v>41</v>
      </c>
      <c r="J3252" t="s">
        <v>68</v>
      </c>
      <c r="K3252" t="s">
        <v>69</v>
      </c>
      <c r="L3252">
        <v>10</v>
      </c>
      <c r="M3252" t="s">
        <v>10971</v>
      </c>
      <c r="N3252" t="s">
        <v>64</v>
      </c>
      <c r="O3252" t="s">
        <v>46</v>
      </c>
      <c r="P3252" t="s">
        <v>46</v>
      </c>
      <c r="Y3252" t="s">
        <v>10975</v>
      </c>
    </row>
    <row r="3253" spans="1:25">
      <c r="A3253" t="s">
        <v>10976</v>
      </c>
      <c r="B3253" t="s">
        <v>10977</v>
      </c>
      <c r="D3253" t="s">
        <v>40</v>
      </c>
      <c r="E3253" t="s">
        <v>41</v>
      </c>
      <c r="J3253" t="s">
        <v>182</v>
      </c>
      <c r="K3253" t="s">
        <v>183</v>
      </c>
      <c r="L3253">
        <v>10</v>
      </c>
      <c r="M3253" t="s">
        <v>10971</v>
      </c>
      <c r="N3253" t="s">
        <v>64</v>
      </c>
      <c r="O3253" t="s">
        <v>46</v>
      </c>
      <c r="P3253" t="s">
        <v>46</v>
      </c>
      <c r="Y3253" t="s">
        <v>10978</v>
      </c>
    </row>
    <row r="3254" spans="1:25">
      <c r="A3254" t="s">
        <v>10979</v>
      </c>
      <c r="B3254" t="s">
        <v>10980</v>
      </c>
      <c r="D3254" t="s">
        <v>40</v>
      </c>
      <c r="E3254" t="s">
        <v>41</v>
      </c>
      <c r="J3254" t="s">
        <v>76</v>
      </c>
      <c r="K3254" t="s">
        <v>77</v>
      </c>
      <c r="L3254">
        <v>10</v>
      </c>
      <c r="M3254" t="s">
        <v>10981</v>
      </c>
      <c r="N3254" t="s">
        <v>64</v>
      </c>
      <c r="O3254" t="s">
        <v>46</v>
      </c>
      <c r="P3254" t="s">
        <v>46</v>
      </c>
      <c r="Y3254" t="s">
        <v>10982</v>
      </c>
    </row>
    <row r="3255" spans="1:25">
      <c r="A3255" t="s">
        <v>10983</v>
      </c>
      <c r="B3255" t="s">
        <v>10984</v>
      </c>
      <c r="D3255" t="s">
        <v>40</v>
      </c>
      <c r="E3255" t="s">
        <v>41</v>
      </c>
      <c r="J3255" t="s">
        <v>62</v>
      </c>
      <c r="K3255" t="s">
        <v>63</v>
      </c>
      <c r="L3255">
        <v>10</v>
      </c>
      <c r="M3255" t="s">
        <v>10981</v>
      </c>
      <c r="N3255" t="s">
        <v>64</v>
      </c>
      <c r="O3255" t="s">
        <v>46</v>
      </c>
      <c r="P3255" t="s">
        <v>46</v>
      </c>
      <c r="Y3255" t="s">
        <v>10985</v>
      </c>
    </row>
    <row r="3256" spans="1:25">
      <c r="A3256" t="s">
        <v>10986</v>
      </c>
      <c r="B3256" t="s">
        <v>10987</v>
      </c>
      <c r="D3256" t="s">
        <v>40</v>
      </c>
      <c r="E3256" t="s">
        <v>41</v>
      </c>
      <c r="J3256" t="s">
        <v>42</v>
      </c>
      <c r="K3256" t="s">
        <v>43</v>
      </c>
      <c r="L3256">
        <v>10</v>
      </c>
      <c r="M3256" t="s">
        <v>10981</v>
      </c>
      <c r="N3256" t="s">
        <v>1446</v>
      </c>
      <c r="O3256" t="s">
        <v>46</v>
      </c>
      <c r="P3256" t="s">
        <v>46</v>
      </c>
      <c r="Y3256" t="s">
        <v>10988</v>
      </c>
    </row>
    <row r="3257" spans="1:25">
      <c r="A3257" t="s">
        <v>10989</v>
      </c>
      <c r="B3257" t="s">
        <v>10990</v>
      </c>
      <c r="D3257" t="s">
        <v>40</v>
      </c>
      <c r="E3257" t="s">
        <v>41</v>
      </c>
      <c r="J3257" t="s">
        <v>76</v>
      </c>
      <c r="K3257" t="s">
        <v>77</v>
      </c>
      <c r="L3257">
        <v>10</v>
      </c>
      <c r="M3257" t="s">
        <v>10981</v>
      </c>
      <c r="N3257" t="s">
        <v>64</v>
      </c>
      <c r="O3257" t="s">
        <v>46</v>
      </c>
      <c r="P3257" t="s">
        <v>46</v>
      </c>
      <c r="Y3257" t="s">
        <v>10991</v>
      </c>
    </row>
    <row r="3258" spans="1:25">
      <c r="A3258" t="s">
        <v>10992</v>
      </c>
      <c r="B3258" t="s">
        <v>10993</v>
      </c>
      <c r="D3258" t="s">
        <v>40</v>
      </c>
      <c r="E3258" t="s">
        <v>41</v>
      </c>
      <c r="J3258" t="s">
        <v>182</v>
      </c>
      <c r="K3258" t="s">
        <v>183</v>
      </c>
      <c r="L3258">
        <v>10</v>
      </c>
      <c r="M3258" t="s">
        <v>10981</v>
      </c>
      <c r="N3258" t="s">
        <v>64</v>
      </c>
      <c r="O3258" t="s">
        <v>46</v>
      </c>
      <c r="P3258" t="s">
        <v>46</v>
      </c>
      <c r="Y3258" t="s">
        <v>10994</v>
      </c>
    </row>
    <row r="3259" spans="1:25">
      <c r="A3259" t="s">
        <v>10995</v>
      </c>
      <c r="B3259" t="s">
        <v>10996</v>
      </c>
      <c r="D3259" t="s">
        <v>40</v>
      </c>
      <c r="E3259" t="s">
        <v>41</v>
      </c>
      <c r="J3259" t="s">
        <v>182</v>
      </c>
      <c r="K3259" t="s">
        <v>183</v>
      </c>
      <c r="L3259">
        <v>10</v>
      </c>
      <c r="M3259" t="s">
        <v>10997</v>
      </c>
      <c r="N3259" t="s">
        <v>64</v>
      </c>
      <c r="O3259" t="s">
        <v>46</v>
      </c>
      <c r="P3259" t="s">
        <v>46</v>
      </c>
      <c r="Y3259" t="s">
        <v>10998</v>
      </c>
    </row>
    <row r="3260" spans="1:25">
      <c r="A3260" t="s">
        <v>10999</v>
      </c>
      <c r="B3260" t="s">
        <v>11000</v>
      </c>
      <c r="D3260" t="s">
        <v>40</v>
      </c>
      <c r="E3260" t="s">
        <v>41</v>
      </c>
      <c r="J3260" t="s">
        <v>42</v>
      </c>
      <c r="K3260" t="s">
        <v>43</v>
      </c>
      <c r="L3260">
        <v>10</v>
      </c>
      <c r="M3260" t="s">
        <v>10997</v>
      </c>
      <c r="N3260" t="s">
        <v>1369</v>
      </c>
      <c r="O3260" t="s">
        <v>46</v>
      </c>
      <c r="P3260" t="s">
        <v>46</v>
      </c>
      <c r="Y3260" t="s">
        <v>11001</v>
      </c>
    </row>
    <row r="3261" spans="1:25">
      <c r="A3261" t="s">
        <v>11002</v>
      </c>
      <c r="B3261" t="s">
        <v>11003</v>
      </c>
      <c r="D3261" t="s">
        <v>40</v>
      </c>
      <c r="E3261" t="s">
        <v>41</v>
      </c>
      <c r="J3261" t="s">
        <v>42</v>
      </c>
      <c r="K3261" t="s">
        <v>43</v>
      </c>
      <c r="L3261">
        <v>10</v>
      </c>
      <c r="M3261" t="s">
        <v>10997</v>
      </c>
      <c r="N3261" t="s">
        <v>4037</v>
      </c>
      <c r="O3261" t="s">
        <v>46</v>
      </c>
      <c r="P3261" t="s">
        <v>46</v>
      </c>
      <c r="Y3261" t="s">
        <v>11004</v>
      </c>
    </row>
    <row r="3262" spans="1:25">
      <c r="A3262" t="s">
        <v>11005</v>
      </c>
      <c r="B3262" t="s">
        <v>11006</v>
      </c>
      <c r="D3262" t="s">
        <v>40</v>
      </c>
      <c r="E3262" t="s">
        <v>41</v>
      </c>
      <c r="J3262" t="s">
        <v>182</v>
      </c>
      <c r="K3262" t="s">
        <v>183</v>
      </c>
      <c r="L3262">
        <v>10</v>
      </c>
      <c r="M3262" t="s">
        <v>11007</v>
      </c>
      <c r="N3262" t="s">
        <v>64</v>
      </c>
      <c r="O3262" t="s">
        <v>46</v>
      </c>
      <c r="P3262" t="s">
        <v>46</v>
      </c>
      <c r="Y3262" t="s">
        <v>11008</v>
      </c>
    </row>
    <row r="3263" spans="1:25">
      <c r="A3263" t="s">
        <v>11009</v>
      </c>
      <c r="B3263" t="s">
        <v>11010</v>
      </c>
      <c r="D3263" t="s">
        <v>40</v>
      </c>
      <c r="E3263" t="s">
        <v>41</v>
      </c>
      <c r="J3263" t="s">
        <v>68</v>
      </c>
      <c r="K3263" t="s">
        <v>69</v>
      </c>
      <c r="L3263">
        <v>10</v>
      </c>
      <c r="M3263" t="s">
        <v>11011</v>
      </c>
      <c r="N3263" t="s">
        <v>64</v>
      </c>
      <c r="O3263" t="s">
        <v>46</v>
      </c>
      <c r="P3263" t="s">
        <v>46</v>
      </c>
      <c r="Y3263" t="s">
        <v>11012</v>
      </c>
    </row>
    <row r="3264" spans="1:25">
      <c r="A3264" t="s">
        <v>11013</v>
      </c>
      <c r="B3264" t="s">
        <v>11014</v>
      </c>
      <c r="D3264" t="s">
        <v>40</v>
      </c>
      <c r="E3264" t="s">
        <v>41</v>
      </c>
      <c r="J3264" t="s">
        <v>76</v>
      </c>
      <c r="K3264" t="s">
        <v>77</v>
      </c>
      <c r="L3264">
        <v>10</v>
      </c>
      <c r="M3264" t="s">
        <v>11011</v>
      </c>
      <c r="N3264" t="s">
        <v>64</v>
      </c>
      <c r="O3264" t="s">
        <v>46</v>
      </c>
      <c r="P3264" t="s">
        <v>46</v>
      </c>
      <c r="Y3264" t="s">
        <v>11015</v>
      </c>
    </row>
    <row r="3265" spans="1:25">
      <c r="A3265" t="s">
        <v>11016</v>
      </c>
      <c r="B3265" t="s">
        <v>11017</v>
      </c>
      <c r="D3265" t="s">
        <v>40</v>
      </c>
      <c r="E3265" t="s">
        <v>41</v>
      </c>
      <c r="J3265" t="s">
        <v>76</v>
      </c>
      <c r="K3265" t="s">
        <v>77</v>
      </c>
      <c r="L3265">
        <v>10</v>
      </c>
      <c r="M3265" t="s">
        <v>11011</v>
      </c>
      <c r="N3265" t="s">
        <v>64</v>
      </c>
      <c r="O3265" t="s">
        <v>46</v>
      </c>
      <c r="P3265" t="s">
        <v>46</v>
      </c>
      <c r="Y3265" t="s">
        <v>11018</v>
      </c>
    </row>
    <row r="3266" spans="1:25">
      <c r="A3266" t="s">
        <v>11019</v>
      </c>
      <c r="B3266" t="s">
        <v>11020</v>
      </c>
      <c r="D3266" t="s">
        <v>40</v>
      </c>
      <c r="E3266" t="s">
        <v>41</v>
      </c>
      <c r="J3266" t="s">
        <v>182</v>
      </c>
      <c r="K3266" t="s">
        <v>183</v>
      </c>
      <c r="L3266">
        <v>10</v>
      </c>
      <c r="M3266" t="s">
        <v>11011</v>
      </c>
      <c r="N3266" t="s">
        <v>64</v>
      </c>
      <c r="O3266" t="s">
        <v>46</v>
      </c>
      <c r="P3266" t="s">
        <v>46</v>
      </c>
      <c r="Y3266" t="s">
        <v>11021</v>
      </c>
    </row>
    <row r="3267" spans="1:25">
      <c r="A3267" t="s">
        <v>11022</v>
      </c>
      <c r="B3267" t="s">
        <v>11023</v>
      </c>
      <c r="D3267" t="s">
        <v>40</v>
      </c>
      <c r="E3267" t="s">
        <v>41</v>
      </c>
      <c r="J3267" t="s">
        <v>182</v>
      </c>
      <c r="K3267" t="s">
        <v>183</v>
      </c>
      <c r="L3267">
        <v>10</v>
      </c>
      <c r="M3267" t="s">
        <v>11011</v>
      </c>
      <c r="N3267" t="s">
        <v>64</v>
      </c>
      <c r="O3267" t="s">
        <v>46</v>
      </c>
      <c r="P3267" t="s">
        <v>46</v>
      </c>
      <c r="Y3267" t="s">
        <v>11024</v>
      </c>
    </row>
    <row r="3268" spans="1:25">
      <c r="A3268" t="s">
        <v>11025</v>
      </c>
      <c r="B3268" t="s">
        <v>11026</v>
      </c>
      <c r="D3268" t="s">
        <v>40</v>
      </c>
      <c r="E3268" t="s">
        <v>41</v>
      </c>
      <c r="J3268" t="s">
        <v>182</v>
      </c>
      <c r="K3268" t="s">
        <v>183</v>
      </c>
      <c r="L3268">
        <v>10</v>
      </c>
      <c r="M3268" t="s">
        <v>11027</v>
      </c>
      <c r="N3268" t="s">
        <v>64</v>
      </c>
      <c r="O3268" t="s">
        <v>46</v>
      </c>
      <c r="P3268" t="s">
        <v>46</v>
      </c>
      <c r="Y3268" t="s">
        <v>11028</v>
      </c>
    </row>
    <row r="3269" spans="1:25">
      <c r="A3269" t="s">
        <v>11029</v>
      </c>
      <c r="B3269" t="s">
        <v>11030</v>
      </c>
      <c r="D3269" t="s">
        <v>40</v>
      </c>
      <c r="E3269" t="s">
        <v>41</v>
      </c>
      <c r="J3269" t="s">
        <v>76</v>
      </c>
      <c r="K3269" t="s">
        <v>77</v>
      </c>
      <c r="L3269">
        <v>10</v>
      </c>
      <c r="M3269" t="s">
        <v>11027</v>
      </c>
      <c r="N3269" t="s">
        <v>64</v>
      </c>
      <c r="O3269" t="s">
        <v>46</v>
      </c>
      <c r="P3269" t="s">
        <v>46</v>
      </c>
      <c r="Y3269" t="s">
        <v>11031</v>
      </c>
    </row>
    <row r="3270" spans="1:25">
      <c r="A3270" t="s">
        <v>11032</v>
      </c>
      <c r="B3270" t="s">
        <v>11033</v>
      </c>
      <c r="D3270" t="s">
        <v>40</v>
      </c>
      <c r="E3270" t="s">
        <v>41</v>
      </c>
      <c r="J3270" t="s">
        <v>182</v>
      </c>
      <c r="K3270" t="s">
        <v>183</v>
      </c>
      <c r="L3270">
        <v>10</v>
      </c>
      <c r="M3270" t="s">
        <v>11034</v>
      </c>
      <c r="N3270" t="s">
        <v>64</v>
      </c>
      <c r="O3270" t="s">
        <v>46</v>
      </c>
      <c r="P3270" t="s">
        <v>46</v>
      </c>
      <c r="Y3270" t="s">
        <v>11035</v>
      </c>
    </row>
    <row r="3271" spans="1:25">
      <c r="A3271" t="s">
        <v>11036</v>
      </c>
      <c r="B3271" t="s">
        <v>11037</v>
      </c>
      <c r="D3271" t="s">
        <v>40</v>
      </c>
      <c r="E3271" t="s">
        <v>41</v>
      </c>
      <c r="J3271" t="s">
        <v>68</v>
      </c>
      <c r="K3271" t="s">
        <v>69</v>
      </c>
      <c r="L3271">
        <v>10</v>
      </c>
      <c r="M3271" t="s">
        <v>11034</v>
      </c>
      <c r="N3271" t="s">
        <v>64</v>
      </c>
      <c r="O3271" t="s">
        <v>46</v>
      </c>
      <c r="P3271" t="s">
        <v>46</v>
      </c>
      <c r="Y3271" t="s">
        <v>11038</v>
      </c>
    </row>
    <row r="3272" spans="1:25">
      <c r="A3272" t="s">
        <v>11039</v>
      </c>
      <c r="B3272" t="s">
        <v>11040</v>
      </c>
      <c r="D3272" t="s">
        <v>40</v>
      </c>
      <c r="E3272" t="s">
        <v>41</v>
      </c>
      <c r="J3272" t="s">
        <v>182</v>
      </c>
      <c r="K3272" t="s">
        <v>183</v>
      </c>
      <c r="L3272">
        <v>10</v>
      </c>
      <c r="M3272" t="s">
        <v>11041</v>
      </c>
      <c r="N3272" t="s">
        <v>64</v>
      </c>
      <c r="O3272" t="s">
        <v>46</v>
      </c>
      <c r="P3272" t="s">
        <v>46</v>
      </c>
      <c r="Y3272" t="s">
        <v>11042</v>
      </c>
    </row>
    <row r="3273" spans="1:25">
      <c r="A3273" t="s">
        <v>11043</v>
      </c>
      <c r="B3273" t="s">
        <v>11044</v>
      </c>
      <c r="D3273" t="s">
        <v>40</v>
      </c>
      <c r="E3273" t="s">
        <v>41</v>
      </c>
      <c r="J3273" t="s">
        <v>76</v>
      </c>
      <c r="K3273" t="s">
        <v>77</v>
      </c>
      <c r="L3273">
        <v>10</v>
      </c>
      <c r="M3273" t="s">
        <v>11041</v>
      </c>
      <c r="N3273" t="s">
        <v>64</v>
      </c>
      <c r="O3273" t="s">
        <v>46</v>
      </c>
      <c r="P3273" t="s">
        <v>46</v>
      </c>
      <c r="Y3273" t="s">
        <v>11045</v>
      </c>
    </row>
    <row r="3274" spans="1:25">
      <c r="A3274" t="s">
        <v>11046</v>
      </c>
      <c r="B3274" t="s">
        <v>11047</v>
      </c>
      <c r="D3274" t="s">
        <v>40</v>
      </c>
      <c r="E3274" t="s">
        <v>41</v>
      </c>
      <c r="J3274" t="s">
        <v>182</v>
      </c>
      <c r="K3274" t="s">
        <v>183</v>
      </c>
      <c r="L3274">
        <v>10</v>
      </c>
      <c r="M3274" t="s">
        <v>11048</v>
      </c>
      <c r="N3274" t="s">
        <v>64</v>
      </c>
      <c r="O3274" t="s">
        <v>46</v>
      </c>
      <c r="P3274" t="s">
        <v>46</v>
      </c>
      <c r="Y3274" t="s">
        <v>11049</v>
      </c>
    </row>
    <row r="3275" spans="1:25">
      <c r="A3275" t="s">
        <v>11050</v>
      </c>
      <c r="B3275" t="s">
        <v>11051</v>
      </c>
      <c r="D3275" t="s">
        <v>40</v>
      </c>
      <c r="E3275" t="s">
        <v>41</v>
      </c>
      <c r="F3275" t="s">
        <v>11052</v>
      </c>
      <c r="J3275" t="s">
        <v>76</v>
      </c>
      <c r="K3275" t="s">
        <v>77</v>
      </c>
      <c r="L3275">
        <v>10</v>
      </c>
      <c r="M3275" t="s">
        <v>11048</v>
      </c>
      <c r="N3275" t="s">
        <v>64</v>
      </c>
      <c r="O3275" t="s">
        <v>46</v>
      </c>
      <c r="P3275" t="s">
        <v>11053</v>
      </c>
      <c r="Y3275" t="s">
        <v>11054</v>
      </c>
    </row>
    <row r="3276" spans="1:25">
      <c r="A3276" t="s">
        <v>11055</v>
      </c>
      <c r="B3276" t="s">
        <v>11056</v>
      </c>
      <c r="D3276" t="s">
        <v>40</v>
      </c>
      <c r="E3276" t="s">
        <v>41</v>
      </c>
      <c r="J3276" t="s">
        <v>182</v>
      </c>
      <c r="K3276" t="s">
        <v>183</v>
      </c>
      <c r="L3276">
        <v>10</v>
      </c>
      <c r="M3276" t="s">
        <v>11048</v>
      </c>
      <c r="N3276" t="s">
        <v>64</v>
      </c>
      <c r="O3276" t="s">
        <v>46</v>
      </c>
      <c r="P3276" t="s">
        <v>46</v>
      </c>
      <c r="Y3276" t="s">
        <v>11057</v>
      </c>
    </row>
    <row r="3277" spans="1:25">
      <c r="A3277" t="s">
        <v>11058</v>
      </c>
      <c r="B3277" t="s">
        <v>11059</v>
      </c>
      <c r="D3277" t="s">
        <v>40</v>
      </c>
      <c r="E3277" t="s">
        <v>41</v>
      </c>
      <c r="J3277" t="s">
        <v>182</v>
      </c>
      <c r="K3277" t="s">
        <v>183</v>
      </c>
      <c r="L3277">
        <v>10</v>
      </c>
      <c r="M3277" t="s">
        <v>11048</v>
      </c>
      <c r="N3277" t="s">
        <v>64</v>
      </c>
      <c r="O3277" t="s">
        <v>46</v>
      </c>
      <c r="P3277" t="s">
        <v>46</v>
      </c>
      <c r="Y3277" t="s">
        <v>11060</v>
      </c>
    </row>
    <row r="3278" spans="1:25">
      <c r="A3278" t="s">
        <v>11061</v>
      </c>
      <c r="B3278" t="s">
        <v>11062</v>
      </c>
      <c r="D3278" t="s">
        <v>40</v>
      </c>
      <c r="E3278" t="s">
        <v>41</v>
      </c>
      <c r="J3278" t="s">
        <v>76</v>
      </c>
      <c r="K3278" t="s">
        <v>77</v>
      </c>
      <c r="L3278">
        <v>10</v>
      </c>
      <c r="M3278" t="s">
        <v>11048</v>
      </c>
      <c r="N3278" t="s">
        <v>64</v>
      </c>
      <c r="O3278" t="s">
        <v>46</v>
      </c>
      <c r="P3278" t="s">
        <v>46</v>
      </c>
      <c r="Y3278" t="s">
        <v>11063</v>
      </c>
    </row>
    <row r="3279" spans="1:25">
      <c r="A3279" t="s">
        <v>11064</v>
      </c>
      <c r="B3279" t="s">
        <v>11065</v>
      </c>
      <c r="D3279" t="s">
        <v>40</v>
      </c>
      <c r="E3279" t="s">
        <v>41</v>
      </c>
      <c r="J3279" t="s">
        <v>182</v>
      </c>
      <c r="K3279" t="s">
        <v>183</v>
      </c>
      <c r="L3279">
        <v>10</v>
      </c>
      <c r="M3279" t="s">
        <v>11048</v>
      </c>
      <c r="N3279" t="s">
        <v>64</v>
      </c>
      <c r="O3279" t="s">
        <v>46</v>
      </c>
      <c r="P3279" t="s">
        <v>46</v>
      </c>
      <c r="Y3279" t="s">
        <v>11066</v>
      </c>
    </row>
    <row r="3280" spans="1:25">
      <c r="A3280" t="s">
        <v>11067</v>
      </c>
      <c r="B3280" t="s">
        <v>11068</v>
      </c>
      <c r="D3280" t="s">
        <v>40</v>
      </c>
      <c r="E3280" t="s">
        <v>41</v>
      </c>
      <c r="J3280" t="s">
        <v>76</v>
      </c>
      <c r="K3280" t="s">
        <v>77</v>
      </c>
      <c r="L3280">
        <v>10</v>
      </c>
      <c r="M3280" t="s">
        <v>11069</v>
      </c>
      <c r="N3280" t="s">
        <v>64</v>
      </c>
      <c r="O3280" t="s">
        <v>46</v>
      </c>
      <c r="P3280" t="s">
        <v>46</v>
      </c>
      <c r="Y3280" t="s">
        <v>11070</v>
      </c>
    </row>
    <row r="3281" spans="1:25">
      <c r="A3281" t="s">
        <v>11071</v>
      </c>
      <c r="B3281" t="s">
        <v>11072</v>
      </c>
      <c r="D3281" t="s">
        <v>40</v>
      </c>
      <c r="E3281" t="s">
        <v>41</v>
      </c>
      <c r="J3281" t="s">
        <v>182</v>
      </c>
      <c r="K3281" t="s">
        <v>183</v>
      </c>
      <c r="L3281">
        <v>10</v>
      </c>
      <c r="M3281" t="s">
        <v>11069</v>
      </c>
      <c r="N3281" t="s">
        <v>64</v>
      </c>
      <c r="O3281" t="s">
        <v>46</v>
      </c>
      <c r="P3281" t="s">
        <v>46</v>
      </c>
      <c r="Y3281" t="s">
        <v>11073</v>
      </c>
    </row>
    <row r="3282" spans="1:25">
      <c r="A3282" t="s">
        <v>11074</v>
      </c>
      <c r="B3282" t="s">
        <v>11075</v>
      </c>
      <c r="D3282" t="s">
        <v>40</v>
      </c>
      <c r="E3282" t="s">
        <v>41</v>
      </c>
      <c r="J3282" t="s">
        <v>76</v>
      </c>
      <c r="K3282" t="s">
        <v>77</v>
      </c>
      <c r="L3282">
        <v>10</v>
      </c>
      <c r="M3282" t="s">
        <v>11076</v>
      </c>
      <c r="N3282" t="s">
        <v>64</v>
      </c>
      <c r="O3282" t="s">
        <v>46</v>
      </c>
      <c r="P3282" t="s">
        <v>46</v>
      </c>
      <c r="Y3282" t="s">
        <v>11077</v>
      </c>
    </row>
    <row r="3283" spans="1:25">
      <c r="A3283" t="s">
        <v>11078</v>
      </c>
      <c r="B3283" t="s">
        <v>11079</v>
      </c>
      <c r="D3283" t="s">
        <v>40</v>
      </c>
      <c r="E3283" t="s">
        <v>41</v>
      </c>
      <c r="J3283" t="s">
        <v>76</v>
      </c>
      <c r="K3283" t="s">
        <v>77</v>
      </c>
      <c r="L3283">
        <v>10</v>
      </c>
      <c r="M3283" t="s">
        <v>11076</v>
      </c>
      <c r="N3283" t="s">
        <v>64</v>
      </c>
      <c r="O3283" t="s">
        <v>46</v>
      </c>
      <c r="P3283" t="s">
        <v>46</v>
      </c>
      <c r="Y3283" t="s">
        <v>11080</v>
      </c>
    </row>
    <row r="3284" spans="1:25">
      <c r="A3284" t="s">
        <v>11081</v>
      </c>
      <c r="B3284" t="s">
        <v>11082</v>
      </c>
      <c r="D3284" t="s">
        <v>40</v>
      </c>
      <c r="E3284" t="s">
        <v>41</v>
      </c>
      <c r="J3284" t="s">
        <v>182</v>
      </c>
      <c r="K3284" t="s">
        <v>183</v>
      </c>
      <c r="L3284">
        <v>10</v>
      </c>
      <c r="M3284" t="s">
        <v>11083</v>
      </c>
      <c r="N3284" t="s">
        <v>64</v>
      </c>
      <c r="O3284" t="s">
        <v>46</v>
      </c>
      <c r="P3284" t="s">
        <v>46</v>
      </c>
      <c r="Y3284" t="s">
        <v>11084</v>
      </c>
    </row>
    <row r="3285" spans="1:25">
      <c r="A3285" t="s">
        <v>11085</v>
      </c>
      <c r="B3285" t="s">
        <v>11086</v>
      </c>
      <c r="D3285" t="s">
        <v>40</v>
      </c>
      <c r="E3285" t="s">
        <v>41</v>
      </c>
      <c r="J3285" t="s">
        <v>76</v>
      </c>
      <c r="K3285" t="s">
        <v>77</v>
      </c>
      <c r="L3285">
        <v>10</v>
      </c>
      <c r="M3285" t="s">
        <v>11083</v>
      </c>
      <c r="N3285" t="s">
        <v>64</v>
      </c>
      <c r="O3285" t="s">
        <v>46</v>
      </c>
      <c r="P3285" t="s">
        <v>46</v>
      </c>
      <c r="Y3285" t="s">
        <v>11087</v>
      </c>
    </row>
    <row r="3286" spans="1:25">
      <c r="A3286" t="s">
        <v>11088</v>
      </c>
      <c r="B3286" t="s">
        <v>11089</v>
      </c>
      <c r="D3286" t="s">
        <v>40</v>
      </c>
      <c r="E3286" t="s">
        <v>41</v>
      </c>
      <c r="J3286" t="s">
        <v>182</v>
      </c>
      <c r="K3286" t="s">
        <v>183</v>
      </c>
      <c r="L3286">
        <v>10</v>
      </c>
      <c r="M3286" t="s">
        <v>11090</v>
      </c>
      <c r="N3286" t="s">
        <v>64</v>
      </c>
      <c r="O3286" t="s">
        <v>46</v>
      </c>
      <c r="P3286" t="s">
        <v>46</v>
      </c>
      <c r="Y3286" t="s">
        <v>11091</v>
      </c>
    </row>
    <row r="3287" spans="1:25">
      <c r="A3287" t="s">
        <v>11092</v>
      </c>
      <c r="B3287" t="s">
        <v>11093</v>
      </c>
      <c r="D3287" t="s">
        <v>40</v>
      </c>
      <c r="E3287" t="s">
        <v>41</v>
      </c>
      <c r="J3287" t="s">
        <v>182</v>
      </c>
      <c r="K3287" t="s">
        <v>183</v>
      </c>
      <c r="L3287">
        <v>10</v>
      </c>
      <c r="M3287" t="s">
        <v>11090</v>
      </c>
      <c r="N3287" t="s">
        <v>64</v>
      </c>
      <c r="O3287" t="s">
        <v>46</v>
      </c>
      <c r="P3287" t="s">
        <v>46</v>
      </c>
      <c r="Y3287" t="s">
        <v>11094</v>
      </c>
    </row>
    <row r="3288" spans="1:25">
      <c r="A3288" t="s">
        <v>11095</v>
      </c>
      <c r="B3288" t="s">
        <v>11096</v>
      </c>
      <c r="D3288" t="s">
        <v>40</v>
      </c>
      <c r="E3288" t="s">
        <v>41</v>
      </c>
      <c r="J3288" t="s">
        <v>76</v>
      </c>
      <c r="K3288" t="s">
        <v>77</v>
      </c>
      <c r="L3288">
        <v>10</v>
      </c>
      <c r="M3288" t="s">
        <v>11097</v>
      </c>
      <c r="N3288" t="s">
        <v>64</v>
      </c>
      <c r="O3288" t="s">
        <v>46</v>
      </c>
      <c r="P3288" t="s">
        <v>46</v>
      </c>
      <c r="Y3288" t="s">
        <v>11098</v>
      </c>
    </row>
    <row r="3289" spans="1:25">
      <c r="A3289" t="s">
        <v>11099</v>
      </c>
      <c r="B3289" t="s">
        <v>11100</v>
      </c>
      <c r="D3289" t="s">
        <v>40</v>
      </c>
      <c r="E3289" t="s">
        <v>41</v>
      </c>
      <c r="J3289" t="s">
        <v>182</v>
      </c>
      <c r="K3289" t="s">
        <v>183</v>
      </c>
      <c r="L3289">
        <v>10</v>
      </c>
      <c r="M3289" t="s">
        <v>11097</v>
      </c>
      <c r="N3289" t="s">
        <v>64</v>
      </c>
      <c r="O3289" t="s">
        <v>46</v>
      </c>
      <c r="P3289" t="s">
        <v>46</v>
      </c>
      <c r="Y3289" t="s">
        <v>11101</v>
      </c>
    </row>
    <row r="3290" spans="1:25">
      <c r="A3290" t="s">
        <v>11102</v>
      </c>
      <c r="B3290" t="s">
        <v>11103</v>
      </c>
      <c r="D3290" t="s">
        <v>40</v>
      </c>
      <c r="E3290" t="s">
        <v>41</v>
      </c>
      <c r="J3290" t="s">
        <v>182</v>
      </c>
      <c r="K3290" t="s">
        <v>183</v>
      </c>
      <c r="L3290">
        <v>10</v>
      </c>
      <c r="M3290" t="s">
        <v>11097</v>
      </c>
      <c r="N3290" t="s">
        <v>64</v>
      </c>
      <c r="O3290" t="s">
        <v>46</v>
      </c>
      <c r="P3290" t="s">
        <v>46</v>
      </c>
      <c r="Y3290" t="s">
        <v>11104</v>
      </c>
    </row>
    <row r="3291" spans="1:25">
      <c r="A3291" t="s">
        <v>11105</v>
      </c>
      <c r="B3291" t="s">
        <v>11106</v>
      </c>
      <c r="D3291" t="s">
        <v>40</v>
      </c>
      <c r="E3291" t="s">
        <v>41</v>
      </c>
      <c r="J3291" t="s">
        <v>68</v>
      </c>
      <c r="K3291" t="s">
        <v>69</v>
      </c>
      <c r="L3291">
        <v>10</v>
      </c>
      <c r="M3291" t="s">
        <v>11097</v>
      </c>
      <c r="N3291" t="s">
        <v>64</v>
      </c>
      <c r="O3291" t="s">
        <v>46</v>
      </c>
      <c r="P3291" t="s">
        <v>46</v>
      </c>
      <c r="Y3291" t="s">
        <v>11107</v>
      </c>
    </row>
    <row r="3292" spans="1:25">
      <c r="A3292" t="s">
        <v>11108</v>
      </c>
      <c r="B3292" t="s">
        <v>11109</v>
      </c>
      <c r="D3292" t="s">
        <v>40</v>
      </c>
      <c r="E3292" t="s">
        <v>41</v>
      </c>
      <c r="J3292" t="s">
        <v>182</v>
      </c>
      <c r="K3292" t="s">
        <v>183</v>
      </c>
      <c r="L3292">
        <v>10</v>
      </c>
      <c r="M3292" t="s">
        <v>11110</v>
      </c>
      <c r="N3292" t="s">
        <v>64</v>
      </c>
      <c r="O3292" t="s">
        <v>46</v>
      </c>
      <c r="P3292" t="s">
        <v>46</v>
      </c>
      <c r="Y3292" t="s">
        <v>11111</v>
      </c>
    </row>
    <row r="3293" spans="1:25">
      <c r="A3293" t="s">
        <v>11112</v>
      </c>
      <c r="B3293" t="s">
        <v>11113</v>
      </c>
      <c r="D3293" t="s">
        <v>40</v>
      </c>
      <c r="E3293" t="s">
        <v>41</v>
      </c>
      <c r="J3293" t="s">
        <v>42</v>
      </c>
      <c r="K3293" t="s">
        <v>43</v>
      </c>
      <c r="L3293">
        <v>10</v>
      </c>
      <c r="M3293" t="s">
        <v>11110</v>
      </c>
      <c r="N3293" t="s">
        <v>1344</v>
      </c>
      <c r="O3293" t="s">
        <v>46</v>
      </c>
      <c r="P3293" t="s">
        <v>46</v>
      </c>
      <c r="Y3293" t="s">
        <v>11114</v>
      </c>
    </row>
    <row r="3294" spans="1:25">
      <c r="A3294" t="s">
        <v>11115</v>
      </c>
      <c r="B3294" t="s">
        <v>11116</v>
      </c>
      <c r="D3294" t="s">
        <v>40</v>
      </c>
      <c r="E3294" t="s">
        <v>41</v>
      </c>
      <c r="J3294" t="s">
        <v>76</v>
      </c>
      <c r="K3294" t="s">
        <v>77</v>
      </c>
      <c r="L3294">
        <v>10</v>
      </c>
      <c r="M3294" t="s">
        <v>11110</v>
      </c>
      <c r="N3294" t="s">
        <v>64</v>
      </c>
      <c r="O3294" t="s">
        <v>46</v>
      </c>
      <c r="P3294" t="s">
        <v>46</v>
      </c>
      <c r="Y3294" t="s">
        <v>11117</v>
      </c>
    </row>
    <row r="3295" spans="1:25">
      <c r="A3295" t="s">
        <v>11118</v>
      </c>
      <c r="B3295" t="s">
        <v>11119</v>
      </c>
      <c r="D3295" t="s">
        <v>40</v>
      </c>
      <c r="E3295" t="s">
        <v>41</v>
      </c>
      <c r="J3295" t="s">
        <v>76</v>
      </c>
      <c r="K3295" t="s">
        <v>77</v>
      </c>
      <c r="L3295">
        <v>10</v>
      </c>
      <c r="M3295" t="s">
        <v>11120</v>
      </c>
      <c r="N3295" t="s">
        <v>64</v>
      </c>
      <c r="O3295" t="s">
        <v>46</v>
      </c>
      <c r="P3295" t="s">
        <v>46</v>
      </c>
      <c r="Y3295" t="s">
        <v>11121</v>
      </c>
    </row>
    <row r="3296" spans="1:25">
      <c r="A3296" t="s">
        <v>11122</v>
      </c>
      <c r="B3296" t="s">
        <v>11123</v>
      </c>
      <c r="D3296" t="s">
        <v>40</v>
      </c>
      <c r="E3296" t="s">
        <v>41</v>
      </c>
      <c r="J3296" t="s">
        <v>76</v>
      </c>
      <c r="K3296" t="s">
        <v>77</v>
      </c>
      <c r="L3296">
        <v>10</v>
      </c>
      <c r="M3296" t="s">
        <v>11120</v>
      </c>
      <c r="N3296" t="s">
        <v>64</v>
      </c>
      <c r="O3296" t="s">
        <v>46</v>
      </c>
      <c r="P3296" t="s">
        <v>46</v>
      </c>
      <c r="Y3296" t="s">
        <v>11124</v>
      </c>
    </row>
    <row r="3297" spans="1:25">
      <c r="A3297" t="s">
        <v>11125</v>
      </c>
      <c r="B3297" t="s">
        <v>11126</v>
      </c>
      <c r="D3297" t="s">
        <v>40</v>
      </c>
      <c r="E3297" t="s">
        <v>41</v>
      </c>
      <c r="J3297" t="s">
        <v>182</v>
      </c>
      <c r="K3297" t="s">
        <v>183</v>
      </c>
      <c r="L3297">
        <v>10</v>
      </c>
      <c r="M3297" t="s">
        <v>11127</v>
      </c>
      <c r="N3297" t="s">
        <v>64</v>
      </c>
      <c r="O3297" t="s">
        <v>46</v>
      </c>
      <c r="P3297" t="s">
        <v>46</v>
      </c>
      <c r="Y3297" t="s">
        <v>11128</v>
      </c>
    </row>
    <row r="3298" spans="1:25">
      <c r="A3298" t="s">
        <v>11129</v>
      </c>
      <c r="B3298" t="s">
        <v>11130</v>
      </c>
      <c r="D3298" t="s">
        <v>40</v>
      </c>
      <c r="E3298" t="s">
        <v>41</v>
      </c>
      <c r="J3298" t="s">
        <v>182</v>
      </c>
      <c r="K3298" t="s">
        <v>183</v>
      </c>
      <c r="L3298">
        <v>10</v>
      </c>
      <c r="M3298" t="s">
        <v>11127</v>
      </c>
      <c r="N3298" t="s">
        <v>64</v>
      </c>
      <c r="O3298" t="s">
        <v>46</v>
      </c>
      <c r="P3298" t="s">
        <v>46</v>
      </c>
      <c r="Y3298" t="s">
        <v>11131</v>
      </c>
    </row>
    <row r="3299" spans="1:25">
      <c r="A3299" t="s">
        <v>11132</v>
      </c>
      <c r="B3299" t="s">
        <v>11133</v>
      </c>
      <c r="D3299" t="s">
        <v>40</v>
      </c>
      <c r="E3299" t="s">
        <v>41</v>
      </c>
      <c r="J3299" t="s">
        <v>182</v>
      </c>
      <c r="K3299" t="s">
        <v>183</v>
      </c>
      <c r="L3299">
        <v>10</v>
      </c>
      <c r="M3299" t="s">
        <v>11127</v>
      </c>
      <c r="N3299" t="s">
        <v>64</v>
      </c>
      <c r="O3299" t="s">
        <v>46</v>
      </c>
      <c r="P3299" t="s">
        <v>46</v>
      </c>
      <c r="Y3299" t="s">
        <v>11134</v>
      </c>
    </row>
    <row r="3300" spans="1:25">
      <c r="A3300" t="s">
        <v>11135</v>
      </c>
      <c r="B3300" t="s">
        <v>11136</v>
      </c>
      <c r="D3300" t="s">
        <v>40</v>
      </c>
      <c r="E3300" t="s">
        <v>41</v>
      </c>
      <c r="J3300" t="s">
        <v>68</v>
      </c>
      <c r="K3300" t="s">
        <v>69</v>
      </c>
      <c r="L3300">
        <v>10</v>
      </c>
      <c r="M3300" t="s">
        <v>11127</v>
      </c>
      <c r="N3300" t="s">
        <v>64</v>
      </c>
      <c r="O3300" t="s">
        <v>46</v>
      </c>
      <c r="P3300" t="s">
        <v>46</v>
      </c>
      <c r="Y3300" t="s">
        <v>11137</v>
      </c>
    </row>
    <row r="3301" spans="1:25">
      <c r="A3301" t="s">
        <v>11138</v>
      </c>
      <c r="B3301" t="s">
        <v>11139</v>
      </c>
      <c r="D3301" t="s">
        <v>40</v>
      </c>
      <c r="E3301" t="s">
        <v>41</v>
      </c>
      <c r="J3301" t="s">
        <v>76</v>
      </c>
      <c r="K3301" t="s">
        <v>77</v>
      </c>
      <c r="L3301">
        <v>10</v>
      </c>
      <c r="M3301" t="s">
        <v>11140</v>
      </c>
      <c r="N3301" t="s">
        <v>64</v>
      </c>
      <c r="O3301" t="s">
        <v>46</v>
      </c>
      <c r="P3301" t="s">
        <v>46</v>
      </c>
      <c r="Y3301" t="s">
        <v>11141</v>
      </c>
    </row>
    <row r="3302" spans="1:25">
      <c r="A3302" t="s">
        <v>11142</v>
      </c>
      <c r="B3302" t="s">
        <v>11143</v>
      </c>
      <c r="D3302" t="s">
        <v>40</v>
      </c>
      <c r="E3302" t="s">
        <v>41</v>
      </c>
      <c r="J3302" t="s">
        <v>182</v>
      </c>
      <c r="K3302" t="s">
        <v>183</v>
      </c>
      <c r="L3302">
        <v>10</v>
      </c>
      <c r="M3302" t="s">
        <v>11140</v>
      </c>
      <c r="N3302" t="s">
        <v>64</v>
      </c>
      <c r="O3302" t="s">
        <v>46</v>
      </c>
      <c r="P3302" t="s">
        <v>46</v>
      </c>
      <c r="Y3302" t="s">
        <v>11144</v>
      </c>
    </row>
    <row r="3303" spans="1:25">
      <c r="A3303" t="s">
        <v>11145</v>
      </c>
      <c r="B3303" t="s">
        <v>11146</v>
      </c>
      <c r="D3303" t="s">
        <v>40</v>
      </c>
      <c r="E3303" t="s">
        <v>41</v>
      </c>
      <c r="J3303" t="s">
        <v>182</v>
      </c>
      <c r="K3303" t="s">
        <v>183</v>
      </c>
      <c r="L3303">
        <v>10</v>
      </c>
      <c r="M3303" t="s">
        <v>11140</v>
      </c>
      <c r="N3303" t="s">
        <v>64</v>
      </c>
      <c r="O3303" t="s">
        <v>46</v>
      </c>
      <c r="P3303" t="s">
        <v>46</v>
      </c>
      <c r="Y3303" t="s">
        <v>11147</v>
      </c>
    </row>
    <row r="3304" spans="1:25">
      <c r="A3304" t="s">
        <v>11148</v>
      </c>
      <c r="B3304" t="s">
        <v>11149</v>
      </c>
      <c r="D3304" t="s">
        <v>40</v>
      </c>
      <c r="E3304" t="s">
        <v>41</v>
      </c>
      <c r="J3304" t="s">
        <v>76</v>
      </c>
      <c r="K3304" t="s">
        <v>77</v>
      </c>
      <c r="L3304">
        <v>10</v>
      </c>
      <c r="M3304" t="s">
        <v>11140</v>
      </c>
      <c r="N3304" t="s">
        <v>64</v>
      </c>
      <c r="O3304" t="s">
        <v>46</v>
      </c>
      <c r="P3304" t="s">
        <v>46</v>
      </c>
      <c r="Y3304" t="s">
        <v>11150</v>
      </c>
    </row>
    <row r="3305" spans="1:25">
      <c r="A3305" t="s">
        <v>11151</v>
      </c>
      <c r="B3305" t="s">
        <v>11152</v>
      </c>
      <c r="D3305" t="s">
        <v>40</v>
      </c>
      <c r="E3305" t="s">
        <v>41</v>
      </c>
      <c r="J3305" t="s">
        <v>76</v>
      </c>
      <c r="K3305" t="s">
        <v>77</v>
      </c>
      <c r="L3305">
        <v>10</v>
      </c>
      <c r="M3305" t="s">
        <v>11153</v>
      </c>
      <c r="N3305" t="s">
        <v>64</v>
      </c>
      <c r="O3305" t="s">
        <v>46</v>
      </c>
      <c r="P3305" t="s">
        <v>46</v>
      </c>
      <c r="Y3305" t="s">
        <v>11154</v>
      </c>
    </row>
    <row r="3306" spans="1:25">
      <c r="A3306" t="s">
        <v>11155</v>
      </c>
      <c r="B3306" t="s">
        <v>11156</v>
      </c>
      <c r="D3306" t="s">
        <v>40</v>
      </c>
      <c r="E3306" t="s">
        <v>41</v>
      </c>
      <c r="J3306" t="s">
        <v>76</v>
      </c>
      <c r="K3306" t="s">
        <v>77</v>
      </c>
      <c r="L3306">
        <v>10</v>
      </c>
      <c r="M3306" t="s">
        <v>11153</v>
      </c>
      <c r="N3306" t="s">
        <v>64</v>
      </c>
      <c r="O3306" t="s">
        <v>46</v>
      </c>
      <c r="P3306" t="s">
        <v>46</v>
      </c>
      <c r="Y3306" t="s">
        <v>11157</v>
      </c>
    </row>
    <row r="3307" spans="1:25">
      <c r="A3307" t="s">
        <v>11158</v>
      </c>
      <c r="B3307" t="s">
        <v>11159</v>
      </c>
      <c r="D3307" t="s">
        <v>40</v>
      </c>
      <c r="E3307" t="s">
        <v>41</v>
      </c>
      <c r="J3307" t="s">
        <v>76</v>
      </c>
      <c r="K3307" t="s">
        <v>77</v>
      </c>
      <c r="L3307">
        <v>10</v>
      </c>
      <c r="M3307" t="s">
        <v>11153</v>
      </c>
      <c r="N3307" t="s">
        <v>64</v>
      </c>
      <c r="O3307" t="s">
        <v>46</v>
      </c>
      <c r="P3307" t="s">
        <v>46</v>
      </c>
      <c r="Y3307" t="s">
        <v>11160</v>
      </c>
    </row>
    <row r="3308" spans="1:25">
      <c r="A3308" t="s">
        <v>11161</v>
      </c>
      <c r="B3308" t="s">
        <v>11162</v>
      </c>
      <c r="D3308" t="s">
        <v>40</v>
      </c>
      <c r="E3308" t="s">
        <v>41</v>
      </c>
      <c r="J3308" t="s">
        <v>76</v>
      </c>
      <c r="K3308" t="s">
        <v>77</v>
      </c>
      <c r="L3308">
        <v>10</v>
      </c>
      <c r="M3308" t="s">
        <v>11163</v>
      </c>
      <c r="N3308" t="s">
        <v>64</v>
      </c>
      <c r="O3308" t="s">
        <v>46</v>
      </c>
      <c r="P3308" t="s">
        <v>46</v>
      </c>
      <c r="Y3308" t="s">
        <v>11164</v>
      </c>
    </row>
    <row r="3309" spans="1:25">
      <c r="A3309" t="s">
        <v>11165</v>
      </c>
      <c r="B3309" t="s">
        <v>11166</v>
      </c>
      <c r="D3309" t="s">
        <v>40</v>
      </c>
      <c r="E3309" t="s">
        <v>41</v>
      </c>
      <c r="J3309" t="s">
        <v>182</v>
      </c>
      <c r="K3309" t="s">
        <v>183</v>
      </c>
      <c r="L3309">
        <v>10</v>
      </c>
      <c r="M3309" t="s">
        <v>11167</v>
      </c>
      <c r="N3309" t="s">
        <v>64</v>
      </c>
      <c r="O3309" t="s">
        <v>46</v>
      </c>
      <c r="P3309" t="s">
        <v>46</v>
      </c>
      <c r="Y3309" t="s">
        <v>11168</v>
      </c>
    </row>
    <row r="3310" spans="1:25">
      <c r="A3310" t="s">
        <v>11169</v>
      </c>
      <c r="B3310" t="s">
        <v>11170</v>
      </c>
      <c r="D3310" t="s">
        <v>40</v>
      </c>
      <c r="E3310" t="s">
        <v>41</v>
      </c>
      <c r="J3310" t="s">
        <v>182</v>
      </c>
      <c r="K3310" t="s">
        <v>183</v>
      </c>
      <c r="L3310">
        <v>10</v>
      </c>
      <c r="M3310" t="s">
        <v>11171</v>
      </c>
      <c r="N3310" t="s">
        <v>64</v>
      </c>
      <c r="O3310" t="s">
        <v>46</v>
      </c>
      <c r="P3310" t="s">
        <v>46</v>
      </c>
      <c r="Y3310" t="s">
        <v>11172</v>
      </c>
    </row>
    <row r="3311" spans="1:25">
      <c r="A3311" t="s">
        <v>11173</v>
      </c>
      <c r="B3311" t="s">
        <v>11174</v>
      </c>
      <c r="D3311" t="s">
        <v>40</v>
      </c>
      <c r="E3311" t="s">
        <v>41</v>
      </c>
      <c r="J3311" t="s">
        <v>182</v>
      </c>
      <c r="K3311" t="s">
        <v>183</v>
      </c>
      <c r="L3311">
        <v>10</v>
      </c>
      <c r="M3311" t="s">
        <v>11171</v>
      </c>
      <c r="N3311" t="s">
        <v>64</v>
      </c>
      <c r="O3311" t="s">
        <v>46</v>
      </c>
      <c r="P3311" t="s">
        <v>46</v>
      </c>
      <c r="Y3311" t="s">
        <v>11175</v>
      </c>
    </row>
    <row r="3312" spans="1:25">
      <c r="A3312" t="s">
        <v>11176</v>
      </c>
      <c r="B3312" t="s">
        <v>11177</v>
      </c>
      <c r="D3312" t="s">
        <v>40</v>
      </c>
      <c r="E3312" t="s">
        <v>41</v>
      </c>
      <c r="J3312" t="s">
        <v>68</v>
      </c>
      <c r="K3312" t="s">
        <v>69</v>
      </c>
      <c r="L3312">
        <v>10</v>
      </c>
      <c r="M3312" t="s">
        <v>11171</v>
      </c>
      <c r="N3312" t="s">
        <v>64</v>
      </c>
      <c r="O3312" t="s">
        <v>46</v>
      </c>
      <c r="P3312" t="s">
        <v>46</v>
      </c>
      <c r="Y3312" t="s">
        <v>11178</v>
      </c>
    </row>
    <row r="3313" spans="1:25">
      <c r="A3313" t="s">
        <v>11179</v>
      </c>
      <c r="B3313" t="s">
        <v>11180</v>
      </c>
      <c r="D3313" t="s">
        <v>40</v>
      </c>
      <c r="E3313" t="s">
        <v>41</v>
      </c>
      <c r="J3313" t="s">
        <v>76</v>
      </c>
      <c r="K3313" t="s">
        <v>77</v>
      </c>
      <c r="L3313">
        <v>10</v>
      </c>
      <c r="M3313" t="s">
        <v>11171</v>
      </c>
      <c r="N3313" t="s">
        <v>64</v>
      </c>
      <c r="O3313" t="s">
        <v>46</v>
      </c>
      <c r="P3313" t="s">
        <v>46</v>
      </c>
      <c r="Y3313" t="s">
        <v>11181</v>
      </c>
    </row>
    <row r="3314" spans="1:25">
      <c r="A3314" t="s">
        <v>11182</v>
      </c>
      <c r="B3314" t="s">
        <v>11183</v>
      </c>
      <c r="D3314" t="s">
        <v>40</v>
      </c>
      <c r="E3314" t="s">
        <v>41</v>
      </c>
      <c r="J3314" t="s">
        <v>182</v>
      </c>
      <c r="K3314" t="s">
        <v>183</v>
      </c>
      <c r="L3314">
        <v>10</v>
      </c>
      <c r="M3314" t="s">
        <v>11184</v>
      </c>
      <c r="N3314" t="s">
        <v>64</v>
      </c>
      <c r="O3314" t="s">
        <v>46</v>
      </c>
      <c r="P3314" t="s">
        <v>46</v>
      </c>
      <c r="Y3314" t="s">
        <v>11185</v>
      </c>
    </row>
    <row r="3315" spans="1:25">
      <c r="A3315" t="s">
        <v>11186</v>
      </c>
      <c r="B3315" t="s">
        <v>11187</v>
      </c>
      <c r="D3315" t="s">
        <v>40</v>
      </c>
      <c r="E3315" t="s">
        <v>41</v>
      </c>
      <c r="J3315" t="s">
        <v>182</v>
      </c>
      <c r="K3315" t="s">
        <v>183</v>
      </c>
      <c r="L3315">
        <v>10</v>
      </c>
      <c r="M3315" t="s">
        <v>11184</v>
      </c>
      <c r="N3315" t="s">
        <v>64</v>
      </c>
      <c r="O3315" t="s">
        <v>46</v>
      </c>
      <c r="P3315" t="s">
        <v>46</v>
      </c>
      <c r="Y3315" t="s">
        <v>11188</v>
      </c>
    </row>
    <row r="3316" spans="1:25">
      <c r="A3316" t="s">
        <v>11189</v>
      </c>
      <c r="B3316" t="s">
        <v>11190</v>
      </c>
      <c r="D3316" t="s">
        <v>40</v>
      </c>
      <c r="E3316" t="s">
        <v>41</v>
      </c>
      <c r="J3316" t="s">
        <v>76</v>
      </c>
      <c r="K3316" t="s">
        <v>77</v>
      </c>
      <c r="L3316">
        <v>10</v>
      </c>
      <c r="M3316" t="s">
        <v>11191</v>
      </c>
      <c r="N3316" t="s">
        <v>64</v>
      </c>
      <c r="O3316" t="s">
        <v>46</v>
      </c>
      <c r="P3316" t="s">
        <v>46</v>
      </c>
      <c r="Y3316" t="s">
        <v>11192</v>
      </c>
    </row>
    <row r="3317" spans="1:25">
      <c r="A3317" t="s">
        <v>11193</v>
      </c>
      <c r="B3317" t="s">
        <v>11194</v>
      </c>
      <c r="D3317" t="s">
        <v>40</v>
      </c>
      <c r="E3317" t="s">
        <v>41</v>
      </c>
      <c r="J3317" t="s">
        <v>182</v>
      </c>
      <c r="K3317" t="s">
        <v>183</v>
      </c>
      <c r="L3317">
        <v>10</v>
      </c>
      <c r="M3317" t="s">
        <v>11195</v>
      </c>
      <c r="N3317" t="s">
        <v>64</v>
      </c>
      <c r="O3317" t="s">
        <v>46</v>
      </c>
      <c r="P3317" t="s">
        <v>46</v>
      </c>
      <c r="Y3317" t="s">
        <v>11196</v>
      </c>
    </row>
    <row r="3318" spans="1:25">
      <c r="A3318" t="s">
        <v>11197</v>
      </c>
      <c r="B3318" t="s">
        <v>11198</v>
      </c>
      <c r="D3318" t="s">
        <v>40</v>
      </c>
      <c r="E3318" t="s">
        <v>41</v>
      </c>
      <c r="J3318" t="s">
        <v>182</v>
      </c>
      <c r="K3318" t="s">
        <v>183</v>
      </c>
      <c r="L3318">
        <v>10</v>
      </c>
      <c r="M3318" t="s">
        <v>11195</v>
      </c>
      <c r="N3318" t="s">
        <v>64</v>
      </c>
      <c r="O3318" t="s">
        <v>46</v>
      </c>
      <c r="P3318" t="s">
        <v>46</v>
      </c>
      <c r="Y3318" t="s">
        <v>11199</v>
      </c>
    </row>
    <row r="3319" spans="1:25">
      <c r="A3319" t="s">
        <v>11200</v>
      </c>
      <c r="B3319" t="s">
        <v>11201</v>
      </c>
      <c r="D3319" t="s">
        <v>40</v>
      </c>
      <c r="E3319" t="s">
        <v>41</v>
      </c>
      <c r="J3319" t="s">
        <v>182</v>
      </c>
      <c r="K3319" t="s">
        <v>183</v>
      </c>
      <c r="L3319">
        <v>10</v>
      </c>
      <c r="M3319" t="s">
        <v>11195</v>
      </c>
      <c r="N3319" t="s">
        <v>64</v>
      </c>
      <c r="O3319" t="s">
        <v>46</v>
      </c>
      <c r="P3319" t="s">
        <v>46</v>
      </c>
      <c r="Y3319" t="s">
        <v>11202</v>
      </c>
    </row>
    <row r="3320" spans="1:25">
      <c r="A3320" t="s">
        <v>11203</v>
      </c>
      <c r="B3320" t="s">
        <v>11204</v>
      </c>
      <c r="D3320" t="s">
        <v>40</v>
      </c>
      <c r="E3320" t="s">
        <v>41</v>
      </c>
      <c r="J3320" t="s">
        <v>182</v>
      </c>
      <c r="K3320" t="s">
        <v>183</v>
      </c>
      <c r="L3320">
        <v>10</v>
      </c>
      <c r="M3320" t="s">
        <v>11195</v>
      </c>
      <c r="N3320" t="s">
        <v>64</v>
      </c>
      <c r="O3320" t="s">
        <v>46</v>
      </c>
      <c r="P3320" t="s">
        <v>46</v>
      </c>
      <c r="Y3320" t="s">
        <v>11205</v>
      </c>
    </row>
    <row r="3321" spans="1:25">
      <c r="A3321" t="s">
        <v>11206</v>
      </c>
      <c r="B3321" t="s">
        <v>11207</v>
      </c>
      <c r="D3321" t="s">
        <v>40</v>
      </c>
      <c r="E3321" t="s">
        <v>41</v>
      </c>
      <c r="J3321" t="s">
        <v>182</v>
      </c>
      <c r="K3321" t="s">
        <v>183</v>
      </c>
      <c r="L3321">
        <v>10</v>
      </c>
      <c r="M3321" t="s">
        <v>11195</v>
      </c>
      <c r="N3321" t="s">
        <v>64</v>
      </c>
      <c r="O3321" t="s">
        <v>46</v>
      </c>
      <c r="P3321" t="s">
        <v>46</v>
      </c>
      <c r="Y3321" t="s">
        <v>11208</v>
      </c>
    </row>
    <row r="3322" spans="1:25">
      <c r="A3322" t="s">
        <v>11209</v>
      </c>
      <c r="B3322" t="s">
        <v>11210</v>
      </c>
      <c r="D3322" t="s">
        <v>40</v>
      </c>
      <c r="E3322" t="s">
        <v>41</v>
      </c>
      <c r="J3322" t="s">
        <v>264</v>
      </c>
      <c r="K3322" t="s">
        <v>265</v>
      </c>
      <c r="L3322">
        <v>10</v>
      </c>
      <c r="M3322" t="s">
        <v>11211</v>
      </c>
      <c r="N3322" t="s">
        <v>2346</v>
      </c>
      <c r="O3322" t="s">
        <v>46</v>
      </c>
      <c r="P3322" t="s">
        <v>46</v>
      </c>
      <c r="Y3322" t="s">
        <v>11212</v>
      </c>
    </row>
    <row r="3323" spans="1:25">
      <c r="A3323" t="s">
        <v>11213</v>
      </c>
      <c r="B3323" t="s">
        <v>11214</v>
      </c>
      <c r="D3323" t="s">
        <v>40</v>
      </c>
      <c r="E3323" t="s">
        <v>41</v>
      </c>
      <c r="J3323" t="s">
        <v>68</v>
      </c>
      <c r="K3323" t="s">
        <v>69</v>
      </c>
      <c r="L3323">
        <v>10</v>
      </c>
      <c r="M3323" t="s">
        <v>11211</v>
      </c>
      <c r="N3323" t="s">
        <v>64</v>
      </c>
      <c r="O3323" t="s">
        <v>46</v>
      </c>
      <c r="P3323" t="s">
        <v>46</v>
      </c>
      <c r="Y3323" t="s">
        <v>11215</v>
      </c>
    </row>
    <row r="3324" spans="1:25">
      <c r="A3324" t="s">
        <v>11216</v>
      </c>
      <c r="B3324" t="s">
        <v>11217</v>
      </c>
      <c r="D3324" t="s">
        <v>40</v>
      </c>
      <c r="E3324" t="s">
        <v>41</v>
      </c>
      <c r="J3324" t="s">
        <v>182</v>
      </c>
      <c r="K3324" t="s">
        <v>183</v>
      </c>
      <c r="L3324">
        <v>10</v>
      </c>
      <c r="M3324" t="s">
        <v>11211</v>
      </c>
      <c r="N3324" t="s">
        <v>64</v>
      </c>
      <c r="O3324" t="s">
        <v>46</v>
      </c>
      <c r="P3324" t="s">
        <v>46</v>
      </c>
      <c r="Y3324" t="s">
        <v>11218</v>
      </c>
    </row>
    <row r="3325" spans="1:25">
      <c r="A3325" t="s">
        <v>11219</v>
      </c>
      <c r="B3325" t="s">
        <v>11220</v>
      </c>
      <c r="D3325" t="s">
        <v>40</v>
      </c>
      <c r="E3325" t="s">
        <v>41</v>
      </c>
      <c r="J3325" t="s">
        <v>182</v>
      </c>
      <c r="K3325" t="s">
        <v>183</v>
      </c>
      <c r="L3325">
        <v>10</v>
      </c>
      <c r="M3325" t="s">
        <v>11221</v>
      </c>
      <c r="N3325" t="s">
        <v>64</v>
      </c>
      <c r="O3325" t="s">
        <v>46</v>
      </c>
      <c r="P3325" t="s">
        <v>46</v>
      </c>
      <c r="Y3325" t="s">
        <v>11222</v>
      </c>
    </row>
    <row r="3326" spans="1:25">
      <c r="A3326" t="s">
        <v>11223</v>
      </c>
      <c r="B3326" t="s">
        <v>11224</v>
      </c>
      <c r="D3326" t="s">
        <v>40</v>
      </c>
      <c r="E3326" t="s">
        <v>41</v>
      </c>
      <c r="J3326" t="s">
        <v>182</v>
      </c>
      <c r="K3326" t="s">
        <v>183</v>
      </c>
      <c r="L3326">
        <v>10</v>
      </c>
      <c r="M3326" t="s">
        <v>11221</v>
      </c>
      <c r="N3326" t="s">
        <v>64</v>
      </c>
      <c r="O3326" t="s">
        <v>46</v>
      </c>
      <c r="P3326" t="s">
        <v>46</v>
      </c>
      <c r="Y3326" t="s">
        <v>11225</v>
      </c>
    </row>
    <row r="3327" spans="1:25">
      <c r="A3327" t="s">
        <v>11226</v>
      </c>
      <c r="B3327" t="s">
        <v>11227</v>
      </c>
      <c r="D3327" t="s">
        <v>40</v>
      </c>
      <c r="E3327" t="s">
        <v>41</v>
      </c>
      <c r="J3327" t="s">
        <v>42</v>
      </c>
      <c r="K3327" t="s">
        <v>43</v>
      </c>
      <c r="L3327">
        <v>10</v>
      </c>
      <c r="M3327" t="s">
        <v>11221</v>
      </c>
      <c r="N3327" t="s">
        <v>950</v>
      </c>
      <c r="O3327" t="s">
        <v>46</v>
      </c>
      <c r="P3327" t="s">
        <v>46</v>
      </c>
      <c r="Y3327" t="s">
        <v>11228</v>
      </c>
    </row>
    <row r="3328" spans="1:25">
      <c r="A3328" t="s">
        <v>11229</v>
      </c>
      <c r="B3328" t="s">
        <v>11230</v>
      </c>
      <c r="D3328" t="s">
        <v>40</v>
      </c>
      <c r="E3328" t="s">
        <v>41</v>
      </c>
      <c r="J3328" t="s">
        <v>76</v>
      </c>
      <c r="K3328" t="s">
        <v>77</v>
      </c>
      <c r="L3328">
        <v>10</v>
      </c>
      <c r="M3328" t="s">
        <v>11221</v>
      </c>
      <c r="N3328" t="s">
        <v>64</v>
      </c>
      <c r="O3328" t="s">
        <v>46</v>
      </c>
      <c r="P3328" t="s">
        <v>46</v>
      </c>
      <c r="Y3328" t="s">
        <v>11231</v>
      </c>
    </row>
    <row r="3329" spans="1:25">
      <c r="A3329" t="s">
        <v>11232</v>
      </c>
      <c r="B3329" t="s">
        <v>11233</v>
      </c>
      <c r="D3329" t="s">
        <v>40</v>
      </c>
      <c r="E3329" t="s">
        <v>41</v>
      </c>
      <c r="J3329" t="s">
        <v>68</v>
      </c>
      <c r="K3329" t="s">
        <v>69</v>
      </c>
      <c r="L3329">
        <v>10</v>
      </c>
      <c r="M3329" t="s">
        <v>11234</v>
      </c>
      <c r="N3329" t="s">
        <v>64</v>
      </c>
      <c r="O3329" t="s">
        <v>46</v>
      </c>
      <c r="P3329" t="s">
        <v>46</v>
      </c>
      <c r="Y3329" t="s">
        <v>11235</v>
      </c>
    </row>
    <row r="3330" spans="1:25">
      <c r="A3330" t="s">
        <v>11236</v>
      </c>
      <c r="B3330" t="s">
        <v>11237</v>
      </c>
      <c r="D3330" t="s">
        <v>40</v>
      </c>
      <c r="E3330" t="s">
        <v>41</v>
      </c>
      <c r="J3330" t="s">
        <v>68</v>
      </c>
      <c r="K3330" t="s">
        <v>69</v>
      </c>
      <c r="L3330">
        <v>10</v>
      </c>
      <c r="M3330" t="s">
        <v>11234</v>
      </c>
      <c r="N3330" t="s">
        <v>64</v>
      </c>
      <c r="O3330" t="s">
        <v>46</v>
      </c>
      <c r="P3330" t="s">
        <v>46</v>
      </c>
      <c r="Y3330" t="s">
        <v>11238</v>
      </c>
    </row>
    <row r="3331" spans="1:25">
      <c r="A3331" t="s">
        <v>11239</v>
      </c>
      <c r="B3331" t="s">
        <v>11240</v>
      </c>
      <c r="D3331" t="s">
        <v>40</v>
      </c>
      <c r="E3331" t="s">
        <v>41</v>
      </c>
      <c r="J3331" t="s">
        <v>76</v>
      </c>
      <c r="K3331" t="s">
        <v>77</v>
      </c>
      <c r="L3331">
        <v>10</v>
      </c>
      <c r="M3331" t="s">
        <v>11241</v>
      </c>
      <c r="N3331" t="s">
        <v>64</v>
      </c>
      <c r="O3331" t="s">
        <v>46</v>
      </c>
      <c r="P3331" t="s">
        <v>46</v>
      </c>
      <c r="Y3331" t="s">
        <v>11242</v>
      </c>
    </row>
    <row r="3332" spans="1:25">
      <c r="A3332" t="s">
        <v>11243</v>
      </c>
      <c r="B3332" t="s">
        <v>11244</v>
      </c>
      <c r="D3332" t="s">
        <v>40</v>
      </c>
      <c r="E3332" t="s">
        <v>41</v>
      </c>
      <c r="J3332" t="s">
        <v>139</v>
      </c>
      <c r="K3332" t="s">
        <v>140</v>
      </c>
      <c r="L3332">
        <v>10</v>
      </c>
      <c r="M3332" t="s">
        <v>11245</v>
      </c>
      <c r="N3332" t="s">
        <v>1397</v>
      </c>
      <c r="O3332" t="s">
        <v>46</v>
      </c>
      <c r="P3332" t="s">
        <v>46</v>
      </c>
      <c r="Y3332" t="s">
        <v>11246</v>
      </c>
    </row>
    <row r="3333" spans="1:25">
      <c r="A3333" t="s">
        <v>11247</v>
      </c>
      <c r="B3333" t="s">
        <v>11248</v>
      </c>
      <c r="D3333" t="s">
        <v>40</v>
      </c>
      <c r="E3333" t="s">
        <v>41</v>
      </c>
      <c r="J3333" t="s">
        <v>182</v>
      </c>
      <c r="K3333" t="s">
        <v>183</v>
      </c>
      <c r="L3333">
        <v>10</v>
      </c>
      <c r="M3333" t="s">
        <v>11249</v>
      </c>
      <c r="N3333" t="s">
        <v>64</v>
      </c>
      <c r="O3333" t="s">
        <v>46</v>
      </c>
      <c r="P3333" t="s">
        <v>46</v>
      </c>
      <c r="Y3333" t="s">
        <v>11250</v>
      </c>
    </row>
    <row r="3334" spans="1:25">
      <c r="A3334" t="s">
        <v>11251</v>
      </c>
      <c r="B3334" t="s">
        <v>11252</v>
      </c>
      <c r="D3334" t="s">
        <v>40</v>
      </c>
      <c r="E3334" t="s">
        <v>41</v>
      </c>
      <c r="J3334" t="s">
        <v>182</v>
      </c>
      <c r="K3334" t="s">
        <v>183</v>
      </c>
      <c r="L3334">
        <v>10</v>
      </c>
      <c r="M3334" t="s">
        <v>11249</v>
      </c>
      <c r="N3334" t="s">
        <v>64</v>
      </c>
      <c r="O3334" t="s">
        <v>46</v>
      </c>
      <c r="P3334" t="s">
        <v>46</v>
      </c>
      <c r="Y3334" t="s">
        <v>11253</v>
      </c>
    </row>
    <row r="3335" spans="1:25">
      <c r="A3335" t="s">
        <v>11254</v>
      </c>
      <c r="B3335" t="s">
        <v>11255</v>
      </c>
      <c r="D3335" t="s">
        <v>40</v>
      </c>
      <c r="E3335" t="s">
        <v>41</v>
      </c>
      <c r="J3335" t="s">
        <v>182</v>
      </c>
      <c r="K3335" t="s">
        <v>183</v>
      </c>
      <c r="L3335">
        <v>10</v>
      </c>
      <c r="M3335" t="s">
        <v>11249</v>
      </c>
      <c r="N3335" t="s">
        <v>64</v>
      </c>
      <c r="O3335" t="s">
        <v>46</v>
      </c>
      <c r="P3335" t="s">
        <v>46</v>
      </c>
      <c r="Y3335" t="s">
        <v>11256</v>
      </c>
    </row>
    <row r="3336" spans="1:25">
      <c r="A3336" t="s">
        <v>11257</v>
      </c>
      <c r="B3336" t="s">
        <v>11258</v>
      </c>
      <c r="D3336" t="s">
        <v>40</v>
      </c>
      <c r="E3336" t="s">
        <v>41</v>
      </c>
      <c r="J3336" t="s">
        <v>182</v>
      </c>
      <c r="K3336" t="s">
        <v>183</v>
      </c>
      <c r="L3336">
        <v>10</v>
      </c>
      <c r="M3336" t="s">
        <v>11259</v>
      </c>
      <c r="N3336" t="s">
        <v>64</v>
      </c>
      <c r="O3336" t="s">
        <v>46</v>
      </c>
      <c r="P3336" t="s">
        <v>46</v>
      </c>
      <c r="Y3336" t="s">
        <v>11260</v>
      </c>
    </row>
    <row r="3337" spans="1:25">
      <c r="A3337" t="s">
        <v>11261</v>
      </c>
      <c r="B3337" t="s">
        <v>11262</v>
      </c>
      <c r="D3337" t="s">
        <v>40</v>
      </c>
      <c r="E3337" t="s">
        <v>41</v>
      </c>
      <c r="J3337" t="s">
        <v>76</v>
      </c>
      <c r="K3337" t="s">
        <v>77</v>
      </c>
      <c r="L3337">
        <v>10</v>
      </c>
      <c r="M3337" t="s">
        <v>11263</v>
      </c>
      <c r="N3337" t="s">
        <v>64</v>
      </c>
      <c r="O3337" t="s">
        <v>46</v>
      </c>
      <c r="P3337" t="s">
        <v>46</v>
      </c>
      <c r="Y3337" t="s">
        <v>11264</v>
      </c>
    </row>
    <row r="3338" spans="1:25">
      <c r="A3338" t="s">
        <v>11265</v>
      </c>
      <c r="B3338" t="s">
        <v>11266</v>
      </c>
      <c r="D3338" t="s">
        <v>40</v>
      </c>
      <c r="E3338" t="s">
        <v>41</v>
      </c>
      <c r="J3338" t="s">
        <v>62</v>
      </c>
      <c r="K3338" t="s">
        <v>63</v>
      </c>
      <c r="L3338">
        <v>10</v>
      </c>
      <c r="M3338" t="s">
        <v>11263</v>
      </c>
      <c r="N3338" t="s">
        <v>64</v>
      </c>
      <c r="O3338" t="s">
        <v>46</v>
      </c>
      <c r="P3338" t="s">
        <v>46</v>
      </c>
      <c r="Y3338" t="s">
        <v>11267</v>
      </c>
    </row>
    <row r="3339" spans="1:25">
      <c r="A3339" t="s">
        <v>11268</v>
      </c>
      <c r="B3339" t="s">
        <v>11269</v>
      </c>
      <c r="D3339" t="s">
        <v>40</v>
      </c>
      <c r="E3339" t="s">
        <v>41</v>
      </c>
      <c r="J3339" t="s">
        <v>76</v>
      </c>
      <c r="K3339" t="s">
        <v>77</v>
      </c>
      <c r="L3339">
        <v>10</v>
      </c>
      <c r="M3339" t="s">
        <v>11263</v>
      </c>
      <c r="N3339" t="s">
        <v>64</v>
      </c>
      <c r="O3339" t="s">
        <v>46</v>
      </c>
      <c r="P3339" t="s">
        <v>46</v>
      </c>
      <c r="Y3339" t="s">
        <v>11270</v>
      </c>
    </row>
    <row r="3340" spans="1:25">
      <c r="A3340" t="s">
        <v>11271</v>
      </c>
      <c r="B3340" t="s">
        <v>11272</v>
      </c>
      <c r="D3340" t="s">
        <v>40</v>
      </c>
      <c r="E3340" t="s">
        <v>41</v>
      </c>
      <c r="J3340" t="s">
        <v>182</v>
      </c>
      <c r="K3340" t="s">
        <v>183</v>
      </c>
      <c r="L3340">
        <v>10</v>
      </c>
      <c r="M3340" t="s">
        <v>11263</v>
      </c>
      <c r="N3340" t="s">
        <v>64</v>
      </c>
      <c r="O3340" t="s">
        <v>46</v>
      </c>
      <c r="P3340" t="s">
        <v>46</v>
      </c>
      <c r="Y3340" t="s">
        <v>11273</v>
      </c>
    </row>
    <row r="3341" spans="1:25">
      <c r="A3341" t="s">
        <v>11274</v>
      </c>
      <c r="B3341" t="s">
        <v>11275</v>
      </c>
      <c r="D3341" t="s">
        <v>40</v>
      </c>
      <c r="E3341" t="s">
        <v>41</v>
      </c>
      <c r="J3341" t="s">
        <v>182</v>
      </c>
      <c r="K3341" t="s">
        <v>183</v>
      </c>
      <c r="L3341">
        <v>10</v>
      </c>
      <c r="M3341" t="s">
        <v>11263</v>
      </c>
      <c r="N3341" t="s">
        <v>64</v>
      </c>
      <c r="O3341" t="s">
        <v>46</v>
      </c>
      <c r="P3341" t="s">
        <v>46</v>
      </c>
      <c r="Y3341" t="s">
        <v>11276</v>
      </c>
    </row>
    <row r="3342" spans="1:25">
      <c r="A3342" t="s">
        <v>11277</v>
      </c>
      <c r="B3342" t="s">
        <v>11278</v>
      </c>
      <c r="D3342" t="s">
        <v>40</v>
      </c>
      <c r="E3342" t="s">
        <v>41</v>
      </c>
      <c r="J3342" t="s">
        <v>68</v>
      </c>
      <c r="K3342" t="s">
        <v>69</v>
      </c>
      <c r="L3342">
        <v>10</v>
      </c>
      <c r="M3342" t="s">
        <v>11279</v>
      </c>
      <c r="N3342" t="s">
        <v>64</v>
      </c>
      <c r="O3342" t="s">
        <v>46</v>
      </c>
      <c r="P3342" t="s">
        <v>46</v>
      </c>
      <c r="Y3342" t="s">
        <v>11280</v>
      </c>
    </row>
    <row r="3343" spans="1:25">
      <c r="A3343" t="s">
        <v>11281</v>
      </c>
      <c r="B3343" t="s">
        <v>11282</v>
      </c>
      <c r="D3343" t="s">
        <v>40</v>
      </c>
      <c r="E3343" t="s">
        <v>41</v>
      </c>
      <c r="J3343" t="s">
        <v>68</v>
      </c>
      <c r="K3343" t="s">
        <v>69</v>
      </c>
      <c r="L3343">
        <v>10</v>
      </c>
      <c r="M3343" t="s">
        <v>11279</v>
      </c>
      <c r="N3343" t="s">
        <v>64</v>
      </c>
      <c r="O3343" t="s">
        <v>46</v>
      </c>
      <c r="P3343" t="s">
        <v>46</v>
      </c>
      <c r="Y3343" t="s">
        <v>11283</v>
      </c>
    </row>
    <row r="3344" spans="1:25">
      <c r="A3344" t="s">
        <v>11284</v>
      </c>
      <c r="B3344" t="s">
        <v>11285</v>
      </c>
      <c r="D3344" t="s">
        <v>40</v>
      </c>
      <c r="E3344" t="s">
        <v>41</v>
      </c>
      <c r="J3344" t="s">
        <v>76</v>
      </c>
      <c r="K3344" t="s">
        <v>77</v>
      </c>
      <c r="L3344">
        <v>10</v>
      </c>
      <c r="M3344" t="s">
        <v>11279</v>
      </c>
      <c r="N3344" t="s">
        <v>64</v>
      </c>
      <c r="O3344" t="s">
        <v>46</v>
      </c>
      <c r="P3344" t="s">
        <v>46</v>
      </c>
      <c r="Y3344" t="s">
        <v>11286</v>
      </c>
    </row>
    <row r="3345" spans="1:25">
      <c r="A3345" t="s">
        <v>11287</v>
      </c>
      <c r="B3345" t="s">
        <v>11288</v>
      </c>
      <c r="D3345" t="s">
        <v>40</v>
      </c>
      <c r="E3345" t="s">
        <v>41</v>
      </c>
      <c r="J3345" t="s">
        <v>182</v>
      </c>
      <c r="K3345" t="s">
        <v>183</v>
      </c>
      <c r="L3345">
        <v>10</v>
      </c>
      <c r="M3345" t="s">
        <v>11279</v>
      </c>
      <c r="N3345" t="s">
        <v>64</v>
      </c>
      <c r="O3345" t="s">
        <v>46</v>
      </c>
      <c r="P3345" t="s">
        <v>46</v>
      </c>
      <c r="Y3345" t="s">
        <v>11289</v>
      </c>
    </row>
    <row r="3346" spans="1:25">
      <c r="A3346" t="s">
        <v>11290</v>
      </c>
      <c r="B3346" t="s">
        <v>11291</v>
      </c>
      <c r="D3346" t="s">
        <v>40</v>
      </c>
      <c r="E3346" t="s">
        <v>41</v>
      </c>
      <c r="J3346" t="s">
        <v>68</v>
      </c>
      <c r="K3346" t="s">
        <v>69</v>
      </c>
      <c r="L3346">
        <v>10</v>
      </c>
      <c r="M3346" t="s">
        <v>11279</v>
      </c>
      <c r="N3346" t="s">
        <v>64</v>
      </c>
      <c r="O3346" t="s">
        <v>46</v>
      </c>
      <c r="P3346" t="s">
        <v>46</v>
      </c>
      <c r="Y3346" t="s">
        <v>11292</v>
      </c>
    </row>
    <row r="3347" spans="1:25">
      <c r="A3347" t="s">
        <v>11293</v>
      </c>
      <c r="B3347" t="s">
        <v>11294</v>
      </c>
      <c r="D3347" t="s">
        <v>40</v>
      </c>
      <c r="E3347" t="s">
        <v>41</v>
      </c>
      <c r="J3347" t="s">
        <v>68</v>
      </c>
      <c r="K3347" t="s">
        <v>69</v>
      </c>
      <c r="L3347">
        <v>10</v>
      </c>
      <c r="M3347" t="s">
        <v>11295</v>
      </c>
      <c r="N3347" t="s">
        <v>64</v>
      </c>
      <c r="O3347" t="s">
        <v>46</v>
      </c>
      <c r="P3347" t="s">
        <v>46</v>
      </c>
      <c r="Y3347" t="s">
        <v>11296</v>
      </c>
    </row>
    <row r="3348" spans="1:25">
      <c r="A3348" t="s">
        <v>11297</v>
      </c>
      <c r="B3348" t="s">
        <v>11298</v>
      </c>
      <c r="D3348" t="s">
        <v>40</v>
      </c>
      <c r="E3348" t="s">
        <v>41</v>
      </c>
      <c r="J3348" t="s">
        <v>42</v>
      </c>
      <c r="K3348" t="s">
        <v>43</v>
      </c>
      <c r="L3348">
        <v>10</v>
      </c>
      <c r="M3348" t="s">
        <v>11295</v>
      </c>
      <c r="N3348" t="s">
        <v>4037</v>
      </c>
      <c r="O3348" t="s">
        <v>46</v>
      </c>
      <c r="P3348" t="s">
        <v>46</v>
      </c>
      <c r="Y3348" t="s">
        <v>11299</v>
      </c>
    </row>
    <row r="3349" spans="1:25">
      <c r="A3349" t="s">
        <v>11300</v>
      </c>
      <c r="B3349" t="s">
        <v>11301</v>
      </c>
      <c r="D3349" t="s">
        <v>40</v>
      </c>
      <c r="E3349" t="s">
        <v>41</v>
      </c>
      <c r="J3349" t="s">
        <v>42</v>
      </c>
      <c r="K3349" t="s">
        <v>43</v>
      </c>
      <c r="L3349">
        <v>10</v>
      </c>
      <c r="M3349" t="s">
        <v>11295</v>
      </c>
      <c r="N3349" t="s">
        <v>1344</v>
      </c>
      <c r="O3349" t="s">
        <v>46</v>
      </c>
      <c r="P3349" t="s">
        <v>46</v>
      </c>
      <c r="Y3349" t="s">
        <v>11302</v>
      </c>
    </row>
    <row r="3350" spans="1:25">
      <c r="A3350" t="s">
        <v>11303</v>
      </c>
      <c r="B3350" t="s">
        <v>11304</v>
      </c>
      <c r="D3350" t="s">
        <v>40</v>
      </c>
      <c r="E3350" t="s">
        <v>41</v>
      </c>
      <c r="J3350" t="s">
        <v>68</v>
      </c>
      <c r="K3350" t="s">
        <v>69</v>
      </c>
      <c r="L3350">
        <v>10</v>
      </c>
      <c r="M3350" t="s">
        <v>11305</v>
      </c>
      <c r="N3350" t="s">
        <v>64</v>
      </c>
      <c r="O3350" t="s">
        <v>46</v>
      </c>
      <c r="P3350" t="s">
        <v>46</v>
      </c>
      <c r="Y3350" t="s">
        <v>11306</v>
      </c>
    </row>
    <row r="3351" spans="1:25">
      <c r="A3351" t="s">
        <v>11307</v>
      </c>
      <c r="B3351" t="s">
        <v>11308</v>
      </c>
      <c r="D3351" t="s">
        <v>40</v>
      </c>
      <c r="E3351" t="s">
        <v>41</v>
      </c>
      <c r="J3351" t="s">
        <v>182</v>
      </c>
      <c r="K3351" t="s">
        <v>183</v>
      </c>
      <c r="L3351">
        <v>10</v>
      </c>
      <c r="M3351" t="s">
        <v>11305</v>
      </c>
      <c r="N3351" t="s">
        <v>64</v>
      </c>
      <c r="O3351" t="s">
        <v>46</v>
      </c>
      <c r="P3351" t="s">
        <v>46</v>
      </c>
      <c r="Y3351" t="s">
        <v>11309</v>
      </c>
    </row>
    <row r="3352" spans="1:25">
      <c r="A3352" t="s">
        <v>11310</v>
      </c>
      <c r="B3352" t="s">
        <v>11311</v>
      </c>
      <c r="D3352" t="s">
        <v>40</v>
      </c>
      <c r="E3352" t="s">
        <v>41</v>
      </c>
      <c r="J3352" t="s">
        <v>76</v>
      </c>
      <c r="K3352" t="s">
        <v>77</v>
      </c>
      <c r="L3352">
        <v>10</v>
      </c>
      <c r="M3352" t="s">
        <v>11305</v>
      </c>
      <c r="N3352" t="s">
        <v>64</v>
      </c>
      <c r="O3352" t="s">
        <v>46</v>
      </c>
      <c r="P3352" t="s">
        <v>46</v>
      </c>
      <c r="Y3352" t="s">
        <v>11312</v>
      </c>
    </row>
    <row r="3353" spans="1:25">
      <c r="A3353" t="s">
        <v>11313</v>
      </c>
      <c r="B3353" t="s">
        <v>11314</v>
      </c>
      <c r="D3353" t="s">
        <v>40</v>
      </c>
      <c r="E3353" t="s">
        <v>41</v>
      </c>
      <c r="J3353" t="s">
        <v>182</v>
      </c>
      <c r="K3353" t="s">
        <v>183</v>
      </c>
      <c r="L3353">
        <v>10</v>
      </c>
      <c r="M3353" t="s">
        <v>11315</v>
      </c>
      <c r="N3353" t="s">
        <v>64</v>
      </c>
      <c r="O3353" t="s">
        <v>46</v>
      </c>
      <c r="P3353" t="s">
        <v>46</v>
      </c>
      <c r="Y3353" t="s">
        <v>11316</v>
      </c>
    </row>
    <row r="3354" spans="1:25">
      <c r="A3354" t="s">
        <v>11317</v>
      </c>
      <c r="B3354" t="s">
        <v>11318</v>
      </c>
      <c r="D3354" t="s">
        <v>40</v>
      </c>
      <c r="E3354" t="s">
        <v>41</v>
      </c>
      <c r="J3354" t="s">
        <v>68</v>
      </c>
      <c r="K3354" t="s">
        <v>69</v>
      </c>
      <c r="L3354">
        <v>10</v>
      </c>
      <c r="M3354" t="s">
        <v>11315</v>
      </c>
      <c r="N3354" t="s">
        <v>64</v>
      </c>
      <c r="O3354" t="s">
        <v>46</v>
      </c>
      <c r="P3354" t="s">
        <v>46</v>
      </c>
      <c r="Y3354" t="s">
        <v>11319</v>
      </c>
    </row>
    <row r="3355" spans="1:25">
      <c r="A3355" t="s">
        <v>11320</v>
      </c>
      <c r="B3355" t="s">
        <v>11321</v>
      </c>
      <c r="D3355" t="s">
        <v>40</v>
      </c>
      <c r="E3355" t="s">
        <v>41</v>
      </c>
      <c r="J3355" t="s">
        <v>76</v>
      </c>
      <c r="K3355" t="s">
        <v>77</v>
      </c>
      <c r="L3355">
        <v>10</v>
      </c>
      <c r="M3355" t="s">
        <v>11322</v>
      </c>
      <c r="N3355" t="s">
        <v>64</v>
      </c>
      <c r="O3355" t="s">
        <v>46</v>
      </c>
      <c r="P3355" t="s">
        <v>46</v>
      </c>
      <c r="Y3355" t="s">
        <v>11323</v>
      </c>
    </row>
    <row r="3356" spans="1:25">
      <c r="A3356" t="s">
        <v>11324</v>
      </c>
      <c r="B3356" t="s">
        <v>11325</v>
      </c>
      <c r="D3356" t="s">
        <v>40</v>
      </c>
      <c r="E3356" t="s">
        <v>41</v>
      </c>
      <c r="J3356" t="s">
        <v>182</v>
      </c>
      <c r="K3356" t="s">
        <v>183</v>
      </c>
      <c r="L3356">
        <v>10</v>
      </c>
      <c r="M3356" t="s">
        <v>11322</v>
      </c>
      <c r="N3356" t="s">
        <v>64</v>
      </c>
      <c r="O3356" t="s">
        <v>46</v>
      </c>
      <c r="P3356" t="s">
        <v>46</v>
      </c>
      <c r="Y3356" t="s">
        <v>11326</v>
      </c>
    </row>
    <row r="3357" spans="1:25">
      <c r="A3357" t="s">
        <v>11327</v>
      </c>
      <c r="B3357" t="s">
        <v>11328</v>
      </c>
      <c r="D3357" t="s">
        <v>40</v>
      </c>
      <c r="E3357" t="s">
        <v>41</v>
      </c>
      <c r="J3357" t="s">
        <v>182</v>
      </c>
      <c r="K3357" t="s">
        <v>183</v>
      </c>
      <c r="L3357">
        <v>10</v>
      </c>
      <c r="M3357" t="s">
        <v>11322</v>
      </c>
      <c r="N3357" t="s">
        <v>64</v>
      </c>
      <c r="O3357" t="s">
        <v>46</v>
      </c>
      <c r="P3357" t="s">
        <v>46</v>
      </c>
      <c r="Y3357" t="s">
        <v>11329</v>
      </c>
    </row>
    <row r="3358" spans="1:25">
      <c r="A3358" t="s">
        <v>11330</v>
      </c>
      <c r="B3358" t="s">
        <v>11331</v>
      </c>
      <c r="D3358" t="s">
        <v>40</v>
      </c>
      <c r="E3358" t="s">
        <v>41</v>
      </c>
      <c r="J3358" t="s">
        <v>182</v>
      </c>
      <c r="K3358" t="s">
        <v>183</v>
      </c>
      <c r="L3358">
        <v>10</v>
      </c>
      <c r="M3358" t="s">
        <v>11322</v>
      </c>
      <c r="N3358" t="s">
        <v>64</v>
      </c>
      <c r="O3358" t="s">
        <v>46</v>
      </c>
      <c r="P3358" t="s">
        <v>46</v>
      </c>
      <c r="Y3358" t="s">
        <v>11332</v>
      </c>
    </row>
    <row r="3359" spans="1:25">
      <c r="A3359" t="s">
        <v>11333</v>
      </c>
      <c r="B3359" t="s">
        <v>11334</v>
      </c>
      <c r="D3359" t="s">
        <v>40</v>
      </c>
      <c r="E3359" t="s">
        <v>41</v>
      </c>
      <c r="J3359" t="s">
        <v>76</v>
      </c>
      <c r="K3359" t="s">
        <v>77</v>
      </c>
      <c r="L3359">
        <v>10</v>
      </c>
      <c r="M3359" t="s">
        <v>11322</v>
      </c>
      <c r="N3359" t="s">
        <v>64</v>
      </c>
      <c r="O3359" t="s">
        <v>46</v>
      </c>
      <c r="P3359" t="s">
        <v>46</v>
      </c>
      <c r="Y3359" t="s">
        <v>11335</v>
      </c>
    </row>
    <row r="3360" spans="1:25">
      <c r="A3360" t="s">
        <v>11336</v>
      </c>
      <c r="B3360" t="s">
        <v>11337</v>
      </c>
      <c r="D3360" t="s">
        <v>40</v>
      </c>
      <c r="E3360" t="s">
        <v>41</v>
      </c>
      <c r="J3360" t="s">
        <v>139</v>
      </c>
      <c r="K3360" t="s">
        <v>140</v>
      </c>
      <c r="L3360">
        <v>10</v>
      </c>
      <c r="M3360" t="s">
        <v>11322</v>
      </c>
      <c r="N3360" t="s">
        <v>436</v>
      </c>
      <c r="O3360" t="s">
        <v>46</v>
      </c>
      <c r="P3360" t="s">
        <v>46</v>
      </c>
      <c r="Y3360" t="s">
        <v>11338</v>
      </c>
    </row>
    <row r="3361" spans="1:25">
      <c r="A3361" t="s">
        <v>11339</v>
      </c>
      <c r="B3361" t="s">
        <v>11340</v>
      </c>
      <c r="D3361" t="s">
        <v>40</v>
      </c>
      <c r="E3361" t="s">
        <v>41</v>
      </c>
      <c r="J3361" t="s">
        <v>42</v>
      </c>
      <c r="K3361" t="s">
        <v>43</v>
      </c>
      <c r="L3361">
        <v>10</v>
      </c>
      <c r="M3361" t="s">
        <v>11322</v>
      </c>
      <c r="N3361" t="s">
        <v>436</v>
      </c>
      <c r="O3361" t="s">
        <v>46</v>
      </c>
      <c r="P3361" t="s">
        <v>46</v>
      </c>
      <c r="Y3361" t="s">
        <v>11341</v>
      </c>
    </row>
    <row r="3362" spans="1:25">
      <c r="A3362" t="s">
        <v>11342</v>
      </c>
      <c r="B3362" t="s">
        <v>11343</v>
      </c>
      <c r="D3362" t="s">
        <v>40</v>
      </c>
      <c r="E3362" t="s">
        <v>41</v>
      </c>
      <c r="J3362" t="s">
        <v>182</v>
      </c>
      <c r="K3362" t="s">
        <v>183</v>
      </c>
      <c r="L3362">
        <v>10</v>
      </c>
      <c r="M3362" t="s">
        <v>11322</v>
      </c>
      <c r="N3362" t="s">
        <v>64</v>
      </c>
      <c r="O3362" t="s">
        <v>46</v>
      </c>
      <c r="P3362" t="s">
        <v>46</v>
      </c>
      <c r="Y3362" t="s">
        <v>11344</v>
      </c>
    </row>
    <row r="3363" spans="1:25">
      <c r="A3363" t="s">
        <v>11345</v>
      </c>
      <c r="B3363" t="s">
        <v>11346</v>
      </c>
      <c r="D3363" t="s">
        <v>40</v>
      </c>
      <c r="E3363" t="s">
        <v>41</v>
      </c>
      <c r="J3363" t="s">
        <v>182</v>
      </c>
      <c r="K3363" t="s">
        <v>183</v>
      </c>
      <c r="L3363">
        <v>10</v>
      </c>
      <c r="M3363" t="s">
        <v>11347</v>
      </c>
      <c r="N3363" t="s">
        <v>64</v>
      </c>
      <c r="O3363" t="s">
        <v>46</v>
      </c>
      <c r="P3363" t="s">
        <v>46</v>
      </c>
      <c r="Y3363" t="s">
        <v>11348</v>
      </c>
    </row>
    <row r="3364" spans="1:25">
      <c r="A3364" t="s">
        <v>11349</v>
      </c>
      <c r="B3364" t="s">
        <v>11350</v>
      </c>
      <c r="D3364" t="s">
        <v>40</v>
      </c>
      <c r="E3364" t="s">
        <v>41</v>
      </c>
      <c r="J3364" t="s">
        <v>182</v>
      </c>
      <c r="K3364" t="s">
        <v>183</v>
      </c>
      <c r="L3364">
        <v>10</v>
      </c>
      <c r="M3364" t="s">
        <v>11351</v>
      </c>
      <c r="N3364" t="s">
        <v>64</v>
      </c>
      <c r="O3364" t="s">
        <v>46</v>
      </c>
      <c r="P3364" t="s">
        <v>46</v>
      </c>
      <c r="Y3364" t="s">
        <v>11352</v>
      </c>
    </row>
    <row r="3365" spans="1:25">
      <c r="A3365" t="s">
        <v>11353</v>
      </c>
      <c r="B3365" t="s">
        <v>11354</v>
      </c>
      <c r="D3365" t="s">
        <v>40</v>
      </c>
      <c r="E3365" t="s">
        <v>41</v>
      </c>
      <c r="J3365" t="s">
        <v>182</v>
      </c>
      <c r="K3365" t="s">
        <v>183</v>
      </c>
      <c r="L3365">
        <v>10</v>
      </c>
      <c r="M3365" t="s">
        <v>11351</v>
      </c>
      <c r="N3365" t="s">
        <v>64</v>
      </c>
      <c r="O3365" t="s">
        <v>46</v>
      </c>
      <c r="P3365" t="s">
        <v>46</v>
      </c>
      <c r="Y3365" t="s">
        <v>11355</v>
      </c>
    </row>
    <row r="3366" spans="1:25">
      <c r="A3366" t="s">
        <v>11356</v>
      </c>
      <c r="B3366" t="s">
        <v>11357</v>
      </c>
      <c r="D3366" t="s">
        <v>40</v>
      </c>
      <c r="E3366" t="s">
        <v>41</v>
      </c>
      <c r="J3366" t="s">
        <v>182</v>
      </c>
      <c r="K3366" t="s">
        <v>183</v>
      </c>
      <c r="L3366">
        <v>10</v>
      </c>
      <c r="M3366" t="s">
        <v>11358</v>
      </c>
      <c r="N3366" t="s">
        <v>64</v>
      </c>
      <c r="O3366" t="s">
        <v>46</v>
      </c>
      <c r="P3366" t="s">
        <v>46</v>
      </c>
      <c r="Y3366" t="s">
        <v>11359</v>
      </c>
    </row>
    <row r="3367" spans="1:25">
      <c r="A3367" t="s">
        <v>11360</v>
      </c>
      <c r="B3367" t="s">
        <v>11361</v>
      </c>
      <c r="D3367" t="s">
        <v>40</v>
      </c>
      <c r="E3367" t="s">
        <v>41</v>
      </c>
      <c r="J3367" t="s">
        <v>50</v>
      </c>
      <c r="K3367" t="s">
        <v>51</v>
      </c>
      <c r="L3367">
        <v>10</v>
      </c>
      <c r="M3367" t="s">
        <v>11358</v>
      </c>
      <c r="N3367" t="s">
        <v>1369</v>
      </c>
      <c r="O3367" t="s">
        <v>46</v>
      </c>
      <c r="P3367" t="s">
        <v>46</v>
      </c>
      <c r="Y3367" t="s">
        <v>11362</v>
      </c>
    </row>
    <row r="3368" spans="1:25">
      <c r="A3368" t="s">
        <v>11363</v>
      </c>
      <c r="B3368" t="s">
        <v>11364</v>
      </c>
      <c r="D3368" t="s">
        <v>40</v>
      </c>
      <c r="E3368" t="s">
        <v>41</v>
      </c>
      <c r="J3368" t="s">
        <v>182</v>
      </c>
      <c r="K3368" t="s">
        <v>183</v>
      </c>
      <c r="L3368">
        <v>10</v>
      </c>
      <c r="M3368" t="s">
        <v>11358</v>
      </c>
      <c r="N3368" t="s">
        <v>64</v>
      </c>
      <c r="O3368" t="s">
        <v>46</v>
      </c>
      <c r="P3368" t="s">
        <v>46</v>
      </c>
      <c r="Y3368" t="s">
        <v>11365</v>
      </c>
    </row>
    <row r="3369" spans="1:25">
      <c r="A3369" t="s">
        <v>11366</v>
      </c>
      <c r="B3369" t="s">
        <v>11367</v>
      </c>
      <c r="D3369" t="s">
        <v>40</v>
      </c>
      <c r="E3369" t="s">
        <v>41</v>
      </c>
      <c r="J3369" t="s">
        <v>76</v>
      </c>
      <c r="K3369" t="s">
        <v>77</v>
      </c>
      <c r="L3369">
        <v>10</v>
      </c>
      <c r="M3369" t="s">
        <v>11358</v>
      </c>
      <c r="N3369" t="s">
        <v>64</v>
      </c>
      <c r="O3369" t="s">
        <v>46</v>
      </c>
      <c r="P3369" t="s">
        <v>46</v>
      </c>
      <c r="Y3369" t="s">
        <v>11368</v>
      </c>
    </row>
    <row r="3370" spans="1:25">
      <c r="A3370" t="s">
        <v>11369</v>
      </c>
      <c r="B3370" t="s">
        <v>11370</v>
      </c>
      <c r="D3370" t="s">
        <v>40</v>
      </c>
      <c r="E3370" t="s">
        <v>41</v>
      </c>
      <c r="J3370" t="s">
        <v>182</v>
      </c>
      <c r="K3370" t="s">
        <v>183</v>
      </c>
      <c r="L3370">
        <v>10</v>
      </c>
      <c r="M3370" t="s">
        <v>11371</v>
      </c>
      <c r="N3370" t="s">
        <v>64</v>
      </c>
      <c r="O3370" t="s">
        <v>46</v>
      </c>
      <c r="P3370" t="s">
        <v>46</v>
      </c>
      <c r="Y3370" t="s">
        <v>11372</v>
      </c>
    </row>
    <row r="3371" spans="1:25">
      <c r="A3371" t="s">
        <v>11373</v>
      </c>
      <c r="B3371" t="s">
        <v>11374</v>
      </c>
      <c r="D3371" t="s">
        <v>40</v>
      </c>
      <c r="E3371" t="s">
        <v>41</v>
      </c>
      <c r="J3371" t="s">
        <v>68</v>
      </c>
      <c r="K3371" t="s">
        <v>69</v>
      </c>
      <c r="L3371">
        <v>10</v>
      </c>
      <c r="M3371" t="s">
        <v>11371</v>
      </c>
      <c r="N3371" t="s">
        <v>64</v>
      </c>
      <c r="O3371" t="s">
        <v>46</v>
      </c>
      <c r="P3371" t="s">
        <v>46</v>
      </c>
      <c r="Y3371" t="s">
        <v>11375</v>
      </c>
    </row>
    <row r="3372" spans="1:25">
      <c r="A3372" t="s">
        <v>11376</v>
      </c>
      <c r="B3372" t="s">
        <v>11377</v>
      </c>
      <c r="D3372" t="s">
        <v>40</v>
      </c>
      <c r="E3372" t="s">
        <v>41</v>
      </c>
      <c r="J3372" t="s">
        <v>182</v>
      </c>
      <c r="K3372" t="s">
        <v>183</v>
      </c>
      <c r="L3372">
        <v>10</v>
      </c>
      <c r="M3372" t="s">
        <v>11371</v>
      </c>
      <c r="N3372" t="s">
        <v>64</v>
      </c>
      <c r="O3372" t="s">
        <v>46</v>
      </c>
      <c r="P3372" t="s">
        <v>46</v>
      </c>
      <c r="Y3372" t="s">
        <v>11378</v>
      </c>
    </row>
    <row r="3373" spans="1:25">
      <c r="A3373" t="s">
        <v>11379</v>
      </c>
      <c r="B3373" t="s">
        <v>11380</v>
      </c>
      <c r="D3373" t="s">
        <v>40</v>
      </c>
      <c r="E3373" t="s">
        <v>41</v>
      </c>
      <c r="J3373" t="s">
        <v>42</v>
      </c>
      <c r="K3373" t="s">
        <v>43</v>
      </c>
      <c r="L3373">
        <v>10</v>
      </c>
      <c r="M3373" t="s">
        <v>11371</v>
      </c>
      <c r="N3373" t="s">
        <v>1446</v>
      </c>
      <c r="O3373" t="s">
        <v>46</v>
      </c>
      <c r="P3373" t="s">
        <v>46</v>
      </c>
      <c r="Y3373" t="s">
        <v>11381</v>
      </c>
    </row>
    <row r="3374" spans="1:25">
      <c r="A3374" t="s">
        <v>11382</v>
      </c>
      <c r="B3374" t="s">
        <v>11383</v>
      </c>
      <c r="D3374" t="s">
        <v>40</v>
      </c>
      <c r="E3374" t="s">
        <v>41</v>
      </c>
      <c r="J3374" t="s">
        <v>76</v>
      </c>
      <c r="K3374" t="s">
        <v>77</v>
      </c>
      <c r="L3374">
        <v>10</v>
      </c>
      <c r="M3374" t="s">
        <v>11384</v>
      </c>
      <c r="N3374" t="s">
        <v>64</v>
      </c>
      <c r="O3374" t="s">
        <v>46</v>
      </c>
      <c r="P3374" t="s">
        <v>46</v>
      </c>
      <c r="Y3374" t="s">
        <v>11385</v>
      </c>
    </row>
    <row r="3375" spans="1:25">
      <c r="A3375" t="s">
        <v>11386</v>
      </c>
      <c r="B3375" t="s">
        <v>11387</v>
      </c>
      <c r="D3375" t="s">
        <v>40</v>
      </c>
      <c r="E3375" t="s">
        <v>41</v>
      </c>
      <c r="J3375" t="s">
        <v>76</v>
      </c>
      <c r="K3375" t="s">
        <v>77</v>
      </c>
      <c r="L3375">
        <v>10</v>
      </c>
      <c r="M3375" t="s">
        <v>11384</v>
      </c>
      <c r="N3375" t="s">
        <v>64</v>
      </c>
      <c r="O3375" t="s">
        <v>46</v>
      </c>
      <c r="P3375" t="s">
        <v>46</v>
      </c>
      <c r="Y3375" t="s">
        <v>11388</v>
      </c>
    </row>
    <row r="3376" spans="1:25">
      <c r="A3376" t="s">
        <v>11389</v>
      </c>
      <c r="B3376" t="s">
        <v>11390</v>
      </c>
      <c r="D3376" t="s">
        <v>40</v>
      </c>
      <c r="E3376" t="s">
        <v>41</v>
      </c>
      <c r="J3376" t="s">
        <v>182</v>
      </c>
      <c r="K3376" t="s">
        <v>183</v>
      </c>
      <c r="L3376">
        <v>10</v>
      </c>
      <c r="M3376" t="s">
        <v>11384</v>
      </c>
      <c r="N3376" t="s">
        <v>64</v>
      </c>
      <c r="O3376" t="s">
        <v>46</v>
      </c>
      <c r="P3376" t="s">
        <v>46</v>
      </c>
      <c r="Y3376" t="s">
        <v>11391</v>
      </c>
    </row>
    <row r="3377" spans="1:25">
      <c r="A3377" t="s">
        <v>11392</v>
      </c>
      <c r="B3377" t="s">
        <v>11393</v>
      </c>
      <c r="D3377" t="s">
        <v>40</v>
      </c>
      <c r="E3377" t="s">
        <v>41</v>
      </c>
      <c r="J3377" t="s">
        <v>76</v>
      </c>
      <c r="K3377" t="s">
        <v>77</v>
      </c>
      <c r="L3377">
        <v>10</v>
      </c>
      <c r="M3377" t="s">
        <v>11394</v>
      </c>
      <c r="N3377" t="s">
        <v>64</v>
      </c>
      <c r="O3377" t="s">
        <v>46</v>
      </c>
      <c r="P3377" t="s">
        <v>46</v>
      </c>
      <c r="Y3377" t="s">
        <v>11395</v>
      </c>
    </row>
    <row r="3378" spans="1:25">
      <c r="A3378" t="s">
        <v>11396</v>
      </c>
      <c r="B3378" t="s">
        <v>11397</v>
      </c>
      <c r="D3378" t="s">
        <v>40</v>
      </c>
      <c r="E3378" t="s">
        <v>41</v>
      </c>
      <c r="J3378" t="s">
        <v>182</v>
      </c>
      <c r="K3378" t="s">
        <v>183</v>
      </c>
      <c r="L3378">
        <v>10</v>
      </c>
      <c r="M3378" t="s">
        <v>11398</v>
      </c>
      <c r="N3378" t="s">
        <v>64</v>
      </c>
      <c r="O3378" t="s">
        <v>46</v>
      </c>
      <c r="P3378" t="s">
        <v>46</v>
      </c>
      <c r="Y3378" t="s">
        <v>11399</v>
      </c>
    </row>
    <row r="3379" spans="1:25">
      <c r="A3379" t="s">
        <v>11400</v>
      </c>
      <c r="B3379" t="s">
        <v>11401</v>
      </c>
      <c r="D3379" t="s">
        <v>40</v>
      </c>
      <c r="E3379" t="s">
        <v>41</v>
      </c>
      <c r="J3379" t="s">
        <v>76</v>
      </c>
      <c r="K3379" t="s">
        <v>77</v>
      </c>
      <c r="L3379">
        <v>10</v>
      </c>
      <c r="M3379" t="s">
        <v>11402</v>
      </c>
      <c r="N3379" t="s">
        <v>64</v>
      </c>
      <c r="O3379" t="s">
        <v>46</v>
      </c>
      <c r="P3379" t="s">
        <v>46</v>
      </c>
      <c r="Y3379" t="s">
        <v>11403</v>
      </c>
    </row>
    <row r="3380" spans="1:25">
      <c r="A3380" t="s">
        <v>11404</v>
      </c>
      <c r="B3380" t="s">
        <v>11405</v>
      </c>
      <c r="D3380" t="s">
        <v>40</v>
      </c>
      <c r="E3380" t="s">
        <v>41</v>
      </c>
      <c r="J3380" t="s">
        <v>76</v>
      </c>
      <c r="K3380" t="s">
        <v>77</v>
      </c>
      <c r="L3380">
        <v>10</v>
      </c>
      <c r="M3380" t="s">
        <v>11406</v>
      </c>
      <c r="N3380" t="s">
        <v>64</v>
      </c>
      <c r="O3380" t="s">
        <v>46</v>
      </c>
      <c r="P3380" t="s">
        <v>46</v>
      </c>
      <c r="Y3380" t="s">
        <v>11407</v>
      </c>
    </row>
    <row r="3381" spans="1:25">
      <c r="A3381" t="s">
        <v>11408</v>
      </c>
      <c r="B3381" t="s">
        <v>11409</v>
      </c>
      <c r="D3381" t="s">
        <v>40</v>
      </c>
      <c r="E3381" t="s">
        <v>41</v>
      </c>
      <c r="J3381" t="s">
        <v>76</v>
      </c>
      <c r="K3381" t="s">
        <v>77</v>
      </c>
      <c r="L3381">
        <v>10</v>
      </c>
      <c r="M3381" t="s">
        <v>11406</v>
      </c>
      <c r="N3381" t="s">
        <v>64</v>
      </c>
      <c r="O3381" t="s">
        <v>46</v>
      </c>
      <c r="P3381" t="s">
        <v>46</v>
      </c>
      <c r="Y3381" t="s">
        <v>11410</v>
      </c>
    </row>
    <row r="3382" spans="1:25">
      <c r="A3382" t="s">
        <v>11411</v>
      </c>
      <c r="B3382" t="s">
        <v>11412</v>
      </c>
      <c r="D3382" t="s">
        <v>40</v>
      </c>
      <c r="E3382" t="s">
        <v>41</v>
      </c>
      <c r="J3382" t="s">
        <v>182</v>
      </c>
      <c r="K3382" t="s">
        <v>183</v>
      </c>
      <c r="L3382">
        <v>10</v>
      </c>
      <c r="M3382" t="s">
        <v>11406</v>
      </c>
      <c r="N3382" t="s">
        <v>64</v>
      </c>
      <c r="O3382" t="s">
        <v>46</v>
      </c>
      <c r="P3382" t="s">
        <v>46</v>
      </c>
      <c r="Y3382" t="s">
        <v>11413</v>
      </c>
    </row>
    <row r="3383" spans="1:25">
      <c r="A3383" t="s">
        <v>11414</v>
      </c>
      <c r="B3383" t="s">
        <v>11415</v>
      </c>
      <c r="D3383" t="s">
        <v>40</v>
      </c>
      <c r="E3383" t="s">
        <v>41</v>
      </c>
      <c r="J3383" t="s">
        <v>76</v>
      </c>
      <c r="K3383" t="s">
        <v>77</v>
      </c>
      <c r="L3383">
        <v>10</v>
      </c>
      <c r="M3383" t="s">
        <v>11406</v>
      </c>
      <c r="N3383" t="s">
        <v>64</v>
      </c>
      <c r="O3383" t="s">
        <v>46</v>
      </c>
      <c r="P3383" t="s">
        <v>46</v>
      </c>
      <c r="Y3383" t="s">
        <v>11416</v>
      </c>
    </row>
    <row r="3384" spans="1:25">
      <c r="A3384" t="s">
        <v>11417</v>
      </c>
      <c r="B3384" t="s">
        <v>11418</v>
      </c>
      <c r="D3384" t="s">
        <v>40</v>
      </c>
      <c r="E3384" t="s">
        <v>41</v>
      </c>
      <c r="J3384" t="s">
        <v>182</v>
      </c>
      <c r="K3384" t="s">
        <v>183</v>
      </c>
      <c r="L3384">
        <v>10</v>
      </c>
      <c r="M3384" t="s">
        <v>11406</v>
      </c>
      <c r="N3384" t="s">
        <v>64</v>
      </c>
      <c r="O3384" t="s">
        <v>46</v>
      </c>
      <c r="P3384" t="s">
        <v>46</v>
      </c>
      <c r="Y3384" t="s">
        <v>11419</v>
      </c>
    </row>
    <row r="3385" spans="1:25">
      <c r="A3385" t="s">
        <v>11420</v>
      </c>
      <c r="B3385" t="s">
        <v>11421</v>
      </c>
      <c r="D3385" t="s">
        <v>40</v>
      </c>
      <c r="E3385" t="s">
        <v>41</v>
      </c>
      <c r="J3385" t="s">
        <v>76</v>
      </c>
      <c r="K3385" t="s">
        <v>77</v>
      </c>
      <c r="L3385">
        <v>10</v>
      </c>
      <c r="M3385" t="s">
        <v>11406</v>
      </c>
      <c r="N3385" t="s">
        <v>64</v>
      </c>
      <c r="O3385" t="s">
        <v>46</v>
      </c>
      <c r="P3385" t="s">
        <v>46</v>
      </c>
      <c r="Y3385" t="s">
        <v>11422</v>
      </c>
    </row>
    <row r="3386" spans="1:25">
      <c r="A3386" t="s">
        <v>11423</v>
      </c>
      <c r="B3386" t="s">
        <v>11424</v>
      </c>
      <c r="D3386" t="s">
        <v>40</v>
      </c>
      <c r="E3386" t="s">
        <v>41</v>
      </c>
      <c r="J3386" t="s">
        <v>76</v>
      </c>
      <c r="K3386" t="s">
        <v>77</v>
      </c>
      <c r="L3386">
        <v>10</v>
      </c>
      <c r="M3386" t="s">
        <v>11406</v>
      </c>
      <c r="N3386" t="s">
        <v>64</v>
      </c>
      <c r="O3386" t="s">
        <v>46</v>
      </c>
      <c r="P3386" t="s">
        <v>46</v>
      </c>
      <c r="Y3386" t="s">
        <v>11425</v>
      </c>
    </row>
    <row r="3387" spans="1:25">
      <c r="A3387" t="s">
        <v>11426</v>
      </c>
      <c r="B3387" t="s">
        <v>11427</v>
      </c>
      <c r="D3387" t="s">
        <v>40</v>
      </c>
      <c r="E3387" t="s">
        <v>41</v>
      </c>
      <c r="J3387" t="s">
        <v>182</v>
      </c>
      <c r="K3387" t="s">
        <v>183</v>
      </c>
      <c r="L3387">
        <v>10</v>
      </c>
      <c r="M3387" t="s">
        <v>11428</v>
      </c>
      <c r="N3387" t="s">
        <v>64</v>
      </c>
      <c r="O3387" t="s">
        <v>46</v>
      </c>
      <c r="P3387" t="s">
        <v>46</v>
      </c>
      <c r="Y3387" t="s">
        <v>11429</v>
      </c>
    </row>
    <row r="3388" spans="1:25">
      <c r="A3388" t="s">
        <v>11430</v>
      </c>
      <c r="B3388" t="s">
        <v>11431</v>
      </c>
      <c r="D3388" t="s">
        <v>40</v>
      </c>
      <c r="E3388" t="s">
        <v>41</v>
      </c>
      <c r="J3388" t="s">
        <v>76</v>
      </c>
      <c r="K3388" t="s">
        <v>77</v>
      </c>
      <c r="L3388">
        <v>10</v>
      </c>
      <c r="M3388" t="s">
        <v>11432</v>
      </c>
      <c r="N3388" t="s">
        <v>64</v>
      </c>
      <c r="O3388" t="s">
        <v>46</v>
      </c>
      <c r="P3388" t="s">
        <v>46</v>
      </c>
      <c r="Y3388" t="s">
        <v>11433</v>
      </c>
    </row>
    <row r="3389" spans="1:25">
      <c r="A3389" t="s">
        <v>11434</v>
      </c>
      <c r="B3389" t="s">
        <v>11435</v>
      </c>
      <c r="D3389" t="s">
        <v>40</v>
      </c>
      <c r="E3389" t="s">
        <v>41</v>
      </c>
      <c r="J3389" t="s">
        <v>62</v>
      </c>
      <c r="K3389" t="s">
        <v>63</v>
      </c>
      <c r="L3389">
        <v>10</v>
      </c>
      <c r="M3389" t="s">
        <v>11436</v>
      </c>
      <c r="N3389" t="s">
        <v>64</v>
      </c>
      <c r="O3389" t="s">
        <v>46</v>
      </c>
      <c r="P3389" t="s">
        <v>46</v>
      </c>
      <c r="Y3389" t="s">
        <v>11437</v>
      </c>
    </row>
    <row r="3390" spans="1:25">
      <c r="A3390" t="s">
        <v>11438</v>
      </c>
      <c r="B3390" t="s">
        <v>11439</v>
      </c>
      <c r="D3390" t="s">
        <v>40</v>
      </c>
      <c r="E3390" t="s">
        <v>41</v>
      </c>
      <c r="J3390" t="s">
        <v>76</v>
      </c>
      <c r="K3390" t="s">
        <v>77</v>
      </c>
      <c r="L3390">
        <v>10</v>
      </c>
      <c r="M3390" t="s">
        <v>11436</v>
      </c>
      <c r="N3390" t="s">
        <v>64</v>
      </c>
      <c r="O3390" t="s">
        <v>46</v>
      </c>
      <c r="P3390" t="s">
        <v>46</v>
      </c>
      <c r="Y3390" t="s">
        <v>11440</v>
      </c>
    </row>
    <row r="3391" spans="1:25">
      <c r="A3391" t="s">
        <v>11441</v>
      </c>
      <c r="B3391" t="s">
        <v>11442</v>
      </c>
      <c r="D3391" t="s">
        <v>40</v>
      </c>
      <c r="E3391" t="s">
        <v>41</v>
      </c>
      <c r="J3391" t="s">
        <v>182</v>
      </c>
      <c r="K3391" t="s">
        <v>183</v>
      </c>
      <c r="L3391">
        <v>10</v>
      </c>
      <c r="M3391" t="s">
        <v>11443</v>
      </c>
      <c r="N3391" t="s">
        <v>64</v>
      </c>
      <c r="O3391" t="s">
        <v>46</v>
      </c>
      <c r="P3391" t="s">
        <v>46</v>
      </c>
      <c r="Y3391" t="s">
        <v>11444</v>
      </c>
    </row>
    <row r="3392" spans="1:25">
      <c r="A3392" t="s">
        <v>11445</v>
      </c>
      <c r="B3392" t="s">
        <v>11446</v>
      </c>
      <c r="D3392" t="s">
        <v>40</v>
      </c>
      <c r="E3392" t="s">
        <v>41</v>
      </c>
      <c r="J3392" t="s">
        <v>182</v>
      </c>
      <c r="K3392" t="s">
        <v>183</v>
      </c>
      <c r="L3392">
        <v>10</v>
      </c>
      <c r="M3392" t="s">
        <v>11443</v>
      </c>
      <c r="N3392" t="s">
        <v>64</v>
      </c>
      <c r="O3392" t="s">
        <v>46</v>
      </c>
      <c r="P3392" t="s">
        <v>46</v>
      </c>
      <c r="Y3392" t="s">
        <v>11447</v>
      </c>
    </row>
    <row r="3393" spans="1:25">
      <c r="A3393" t="s">
        <v>11448</v>
      </c>
      <c r="B3393" t="s">
        <v>11449</v>
      </c>
      <c r="D3393" t="s">
        <v>40</v>
      </c>
      <c r="E3393" t="s">
        <v>41</v>
      </c>
      <c r="J3393" t="s">
        <v>76</v>
      </c>
      <c r="K3393" t="s">
        <v>77</v>
      </c>
      <c r="L3393">
        <v>10</v>
      </c>
      <c r="M3393" t="s">
        <v>11443</v>
      </c>
      <c r="N3393" t="s">
        <v>64</v>
      </c>
      <c r="O3393" t="s">
        <v>46</v>
      </c>
      <c r="P3393" t="s">
        <v>46</v>
      </c>
      <c r="Y3393" t="s">
        <v>11450</v>
      </c>
    </row>
    <row r="3394" spans="1:25">
      <c r="A3394" t="s">
        <v>11451</v>
      </c>
      <c r="B3394" t="s">
        <v>11452</v>
      </c>
      <c r="D3394" t="s">
        <v>40</v>
      </c>
      <c r="E3394" t="s">
        <v>41</v>
      </c>
      <c r="J3394" t="s">
        <v>42</v>
      </c>
      <c r="K3394" t="s">
        <v>43</v>
      </c>
      <c r="L3394">
        <v>10</v>
      </c>
      <c r="M3394" t="s">
        <v>11453</v>
      </c>
      <c r="N3394" t="s">
        <v>950</v>
      </c>
      <c r="O3394" t="s">
        <v>46</v>
      </c>
      <c r="P3394" t="s">
        <v>46</v>
      </c>
      <c r="Y3394" t="s">
        <v>11454</v>
      </c>
    </row>
    <row r="3395" spans="1:25">
      <c r="A3395" t="s">
        <v>11455</v>
      </c>
      <c r="B3395" t="s">
        <v>11456</v>
      </c>
      <c r="D3395" t="s">
        <v>40</v>
      </c>
      <c r="E3395" t="s">
        <v>41</v>
      </c>
      <c r="J3395" t="s">
        <v>264</v>
      </c>
      <c r="K3395" t="s">
        <v>265</v>
      </c>
      <c r="L3395">
        <v>10</v>
      </c>
      <c r="M3395" t="s">
        <v>11453</v>
      </c>
      <c r="N3395" t="s">
        <v>2346</v>
      </c>
      <c r="O3395" t="s">
        <v>46</v>
      </c>
      <c r="P3395" t="s">
        <v>46</v>
      </c>
      <c r="Y3395" t="s">
        <v>11457</v>
      </c>
    </row>
    <row r="3396" spans="1:25">
      <c r="A3396" t="s">
        <v>11458</v>
      </c>
      <c r="B3396" t="s">
        <v>11459</v>
      </c>
      <c r="D3396" t="s">
        <v>40</v>
      </c>
      <c r="E3396" t="s">
        <v>41</v>
      </c>
      <c r="J3396" t="s">
        <v>42</v>
      </c>
      <c r="K3396" t="s">
        <v>43</v>
      </c>
      <c r="L3396">
        <v>10</v>
      </c>
      <c r="M3396" t="s">
        <v>11453</v>
      </c>
      <c r="N3396" t="s">
        <v>178</v>
      </c>
      <c r="O3396" t="s">
        <v>46</v>
      </c>
      <c r="P3396" t="s">
        <v>46</v>
      </c>
      <c r="Y3396" t="s">
        <v>11460</v>
      </c>
    </row>
    <row r="3397" spans="1:25">
      <c r="A3397" t="s">
        <v>11461</v>
      </c>
      <c r="B3397" t="s">
        <v>11462</v>
      </c>
      <c r="D3397" t="s">
        <v>40</v>
      </c>
      <c r="E3397" t="s">
        <v>41</v>
      </c>
      <c r="J3397" t="s">
        <v>182</v>
      </c>
      <c r="K3397" t="s">
        <v>183</v>
      </c>
      <c r="L3397">
        <v>10</v>
      </c>
      <c r="M3397" t="s">
        <v>11463</v>
      </c>
      <c r="N3397" t="s">
        <v>64</v>
      </c>
      <c r="O3397" t="s">
        <v>46</v>
      </c>
      <c r="P3397" t="s">
        <v>46</v>
      </c>
      <c r="Y3397" t="s">
        <v>11464</v>
      </c>
    </row>
    <row r="3398" spans="1:25">
      <c r="A3398" t="s">
        <v>11465</v>
      </c>
      <c r="B3398" t="s">
        <v>11466</v>
      </c>
      <c r="D3398" t="s">
        <v>40</v>
      </c>
      <c r="E3398" t="s">
        <v>41</v>
      </c>
      <c r="J3398" t="s">
        <v>182</v>
      </c>
      <c r="K3398" t="s">
        <v>183</v>
      </c>
      <c r="L3398">
        <v>10</v>
      </c>
      <c r="M3398" t="s">
        <v>11463</v>
      </c>
      <c r="N3398" t="s">
        <v>64</v>
      </c>
      <c r="O3398" t="s">
        <v>46</v>
      </c>
      <c r="P3398" t="s">
        <v>46</v>
      </c>
      <c r="Y3398" t="s">
        <v>11467</v>
      </c>
    </row>
    <row r="3399" spans="1:25">
      <c r="A3399" t="s">
        <v>11468</v>
      </c>
      <c r="B3399" t="s">
        <v>11469</v>
      </c>
      <c r="D3399" t="s">
        <v>40</v>
      </c>
      <c r="E3399" t="s">
        <v>41</v>
      </c>
      <c r="J3399" t="s">
        <v>68</v>
      </c>
      <c r="K3399" t="s">
        <v>69</v>
      </c>
      <c r="L3399">
        <v>10</v>
      </c>
      <c r="M3399" t="s">
        <v>11463</v>
      </c>
      <c r="N3399" t="s">
        <v>64</v>
      </c>
      <c r="O3399" t="s">
        <v>46</v>
      </c>
      <c r="P3399" t="s">
        <v>46</v>
      </c>
      <c r="Y3399" t="s">
        <v>11470</v>
      </c>
    </row>
    <row r="3400" spans="1:25">
      <c r="A3400" t="s">
        <v>11471</v>
      </c>
      <c r="B3400" t="s">
        <v>11472</v>
      </c>
      <c r="D3400" t="s">
        <v>40</v>
      </c>
      <c r="E3400" t="s">
        <v>41</v>
      </c>
      <c r="J3400" t="s">
        <v>42</v>
      </c>
      <c r="K3400" t="s">
        <v>43</v>
      </c>
      <c r="L3400">
        <v>10</v>
      </c>
      <c r="M3400" t="s">
        <v>11463</v>
      </c>
      <c r="N3400" t="s">
        <v>924</v>
      </c>
      <c r="O3400" t="s">
        <v>46</v>
      </c>
      <c r="P3400" t="s">
        <v>46</v>
      </c>
      <c r="Y3400" t="s">
        <v>11473</v>
      </c>
    </row>
    <row r="3401" spans="1:25">
      <c r="A3401" t="s">
        <v>11474</v>
      </c>
      <c r="B3401" t="s">
        <v>11475</v>
      </c>
      <c r="D3401" t="s">
        <v>40</v>
      </c>
      <c r="E3401" t="s">
        <v>41</v>
      </c>
      <c r="J3401" t="s">
        <v>182</v>
      </c>
      <c r="K3401" t="s">
        <v>183</v>
      </c>
      <c r="L3401">
        <v>10</v>
      </c>
      <c r="M3401" t="s">
        <v>11476</v>
      </c>
      <c r="N3401" t="s">
        <v>64</v>
      </c>
      <c r="O3401" t="s">
        <v>46</v>
      </c>
      <c r="P3401" t="s">
        <v>46</v>
      </c>
      <c r="Y3401" t="s">
        <v>11477</v>
      </c>
    </row>
    <row r="3402" spans="1:25">
      <c r="A3402" t="s">
        <v>11478</v>
      </c>
      <c r="B3402" t="s">
        <v>11479</v>
      </c>
      <c r="D3402" t="s">
        <v>40</v>
      </c>
      <c r="E3402" t="s">
        <v>41</v>
      </c>
      <c r="J3402" t="s">
        <v>76</v>
      </c>
      <c r="K3402" t="s">
        <v>77</v>
      </c>
      <c r="L3402">
        <v>10</v>
      </c>
      <c r="M3402" t="s">
        <v>11476</v>
      </c>
      <c r="N3402" t="s">
        <v>64</v>
      </c>
      <c r="O3402" t="s">
        <v>46</v>
      </c>
      <c r="P3402" t="s">
        <v>46</v>
      </c>
      <c r="Y3402" t="s">
        <v>11480</v>
      </c>
    </row>
    <row r="3403" spans="1:25">
      <c r="A3403" t="s">
        <v>11481</v>
      </c>
      <c r="B3403" t="s">
        <v>11482</v>
      </c>
      <c r="D3403" t="s">
        <v>40</v>
      </c>
      <c r="E3403" t="s">
        <v>41</v>
      </c>
      <c r="J3403" t="s">
        <v>182</v>
      </c>
      <c r="K3403" t="s">
        <v>183</v>
      </c>
      <c r="L3403">
        <v>10</v>
      </c>
      <c r="M3403" t="s">
        <v>11483</v>
      </c>
      <c r="N3403" t="s">
        <v>64</v>
      </c>
      <c r="O3403" t="s">
        <v>46</v>
      </c>
      <c r="P3403" t="s">
        <v>46</v>
      </c>
      <c r="Y3403" t="s">
        <v>11484</v>
      </c>
    </row>
    <row r="3404" spans="1:25">
      <c r="A3404" t="s">
        <v>11485</v>
      </c>
      <c r="B3404" t="s">
        <v>11486</v>
      </c>
      <c r="D3404" t="s">
        <v>40</v>
      </c>
      <c r="E3404" t="s">
        <v>41</v>
      </c>
      <c r="J3404" t="s">
        <v>182</v>
      </c>
      <c r="K3404" t="s">
        <v>183</v>
      </c>
      <c r="L3404">
        <v>10</v>
      </c>
      <c r="M3404" t="s">
        <v>11483</v>
      </c>
      <c r="N3404" t="s">
        <v>64</v>
      </c>
      <c r="O3404" t="s">
        <v>46</v>
      </c>
      <c r="P3404" t="s">
        <v>46</v>
      </c>
      <c r="Y3404" t="s">
        <v>11487</v>
      </c>
    </row>
    <row r="3405" spans="1:25">
      <c r="A3405" t="s">
        <v>11488</v>
      </c>
      <c r="B3405" t="s">
        <v>11489</v>
      </c>
      <c r="D3405" t="s">
        <v>40</v>
      </c>
      <c r="E3405" t="s">
        <v>41</v>
      </c>
      <c r="J3405" t="s">
        <v>68</v>
      </c>
      <c r="K3405" t="s">
        <v>69</v>
      </c>
      <c r="L3405">
        <v>10</v>
      </c>
      <c r="M3405" t="s">
        <v>11490</v>
      </c>
      <c r="N3405" t="s">
        <v>64</v>
      </c>
      <c r="O3405" t="s">
        <v>46</v>
      </c>
      <c r="P3405" t="s">
        <v>46</v>
      </c>
      <c r="Y3405" t="s">
        <v>11491</v>
      </c>
    </row>
    <row r="3406" spans="1:25">
      <c r="A3406" t="s">
        <v>11492</v>
      </c>
      <c r="B3406" t="s">
        <v>11493</v>
      </c>
      <c r="D3406" t="s">
        <v>40</v>
      </c>
      <c r="E3406" t="s">
        <v>41</v>
      </c>
      <c r="J3406" t="s">
        <v>1572</v>
      </c>
      <c r="K3406" t="s">
        <v>1573</v>
      </c>
      <c r="L3406">
        <v>10</v>
      </c>
      <c r="M3406" t="s">
        <v>11490</v>
      </c>
      <c r="N3406" t="s">
        <v>64</v>
      </c>
      <c r="O3406" t="s">
        <v>46</v>
      </c>
      <c r="P3406" t="s">
        <v>46</v>
      </c>
      <c r="Y3406" t="s">
        <v>11494</v>
      </c>
    </row>
    <row r="3407" spans="1:25">
      <c r="A3407" t="s">
        <v>11495</v>
      </c>
      <c r="B3407" t="s">
        <v>11496</v>
      </c>
      <c r="D3407" t="s">
        <v>40</v>
      </c>
      <c r="E3407" t="s">
        <v>41</v>
      </c>
      <c r="J3407" t="s">
        <v>182</v>
      </c>
      <c r="K3407" t="s">
        <v>183</v>
      </c>
      <c r="L3407">
        <v>10</v>
      </c>
      <c r="M3407" t="s">
        <v>11490</v>
      </c>
      <c r="N3407" t="s">
        <v>64</v>
      </c>
      <c r="O3407" t="s">
        <v>46</v>
      </c>
      <c r="P3407" t="s">
        <v>46</v>
      </c>
      <c r="Y3407" t="s">
        <v>11497</v>
      </c>
    </row>
    <row r="3408" spans="1:25">
      <c r="A3408" t="s">
        <v>11498</v>
      </c>
      <c r="B3408" t="s">
        <v>11499</v>
      </c>
      <c r="D3408" t="s">
        <v>40</v>
      </c>
      <c r="E3408" t="s">
        <v>41</v>
      </c>
      <c r="J3408" t="s">
        <v>76</v>
      </c>
      <c r="K3408" t="s">
        <v>77</v>
      </c>
      <c r="L3408">
        <v>10</v>
      </c>
      <c r="M3408" t="s">
        <v>11490</v>
      </c>
      <c r="N3408" t="s">
        <v>64</v>
      </c>
      <c r="O3408" t="s">
        <v>46</v>
      </c>
      <c r="P3408" t="s">
        <v>46</v>
      </c>
      <c r="Y3408" t="s">
        <v>11500</v>
      </c>
    </row>
    <row r="3409" spans="1:25">
      <c r="A3409" t="s">
        <v>11501</v>
      </c>
      <c r="B3409" t="s">
        <v>11502</v>
      </c>
      <c r="D3409" t="s">
        <v>40</v>
      </c>
      <c r="E3409" t="s">
        <v>41</v>
      </c>
      <c r="J3409" t="s">
        <v>6255</v>
      </c>
      <c r="K3409" t="s">
        <v>6256</v>
      </c>
      <c r="L3409">
        <v>10</v>
      </c>
      <c r="M3409" t="s">
        <v>11503</v>
      </c>
      <c r="N3409" t="s">
        <v>266</v>
      </c>
      <c r="O3409" t="s">
        <v>46</v>
      </c>
      <c r="P3409" t="s">
        <v>46</v>
      </c>
      <c r="Y3409" t="s">
        <v>11504</v>
      </c>
    </row>
    <row r="3410" spans="1:25">
      <c r="A3410" t="s">
        <v>11505</v>
      </c>
      <c r="B3410" t="s">
        <v>11506</v>
      </c>
      <c r="D3410" t="s">
        <v>40</v>
      </c>
      <c r="E3410" t="s">
        <v>41</v>
      </c>
      <c r="J3410" t="s">
        <v>1572</v>
      </c>
      <c r="K3410" t="s">
        <v>1573</v>
      </c>
      <c r="L3410">
        <v>10</v>
      </c>
      <c r="M3410" t="s">
        <v>11503</v>
      </c>
      <c r="N3410" t="s">
        <v>64</v>
      </c>
      <c r="O3410" t="s">
        <v>46</v>
      </c>
      <c r="P3410" t="s">
        <v>46</v>
      </c>
      <c r="Y3410" t="s">
        <v>11507</v>
      </c>
    </row>
    <row r="3411" spans="1:25">
      <c r="A3411" t="s">
        <v>11508</v>
      </c>
      <c r="B3411" t="s">
        <v>11509</v>
      </c>
      <c r="D3411" t="s">
        <v>40</v>
      </c>
      <c r="E3411" t="s">
        <v>41</v>
      </c>
      <c r="J3411" t="s">
        <v>76</v>
      </c>
      <c r="K3411" t="s">
        <v>77</v>
      </c>
      <c r="L3411">
        <v>10</v>
      </c>
      <c r="M3411" t="s">
        <v>11503</v>
      </c>
      <c r="N3411" t="s">
        <v>64</v>
      </c>
      <c r="O3411" t="s">
        <v>46</v>
      </c>
      <c r="P3411" t="s">
        <v>46</v>
      </c>
      <c r="Y3411" t="s">
        <v>11510</v>
      </c>
    </row>
    <row r="3412" spans="1:25">
      <c r="A3412" t="s">
        <v>11511</v>
      </c>
      <c r="B3412" t="s">
        <v>11512</v>
      </c>
      <c r="D3412" t="s">
        <v>40</v>
      </c>
      <c r="E3412" t="s">
        <v>41</v>
      </c>
      <c r="J3412" t="s">
        <v>68</v>
      </c>
      <c r="K3412" t="s">
        <v>69</v>
      </c>
      <c r="L3412">
        <v>10</v>
      </c>
      <c r="M3412" t="s">
        <v>11503</v>
      </c>
      <c r="N3412" t="s">
        <v>64</v>
      </c>
      <c r="O3412" t="s">
        <v>46</v>
      </c>
      <c r="P3412" t="s">
        <v>46</v>
      </c>
      <c r="Y3412" t="s">
        <v>11513</v>
      </c>
    </row>
    <row r="3413" spans="1:25">
      <c r="A3413" t="s">
        <v>11514</v>
      </c>
      <c r="B3413" t="s">
        <v>11515</v>
      </c>
      <c r="D3413" t="s">
        <v>40</v>
      </c>
      <c r="E3413" t="s">
        <v>41</v>
      </c>
      <c r="J3413" t="s">
        <v>1572</v>
      </c>
      <c r="K3413" t="s">
        <v>1573</v>
      </c>
      <c r="L3413">
        <v>10</v>
      </c>
      <c r="M3413" t="s">
        <v>11503</v>
      </c>
      <c r="N3413" t="s">
        <v>64</v>
      </c>
      <c r="O3413" t="s">
        <v>46</v>
      </c>
      <c r="P3413" t="s">
        <v>46</v>
      </c>
      <c r="Y3413" t="s">
        <v>11516</v>
      </c>
    </row>
    <row r="3414" spans="1:25">
      <c r="A3414" t="s">
        <v>11517</v>
      </c>
      <c r="B3414" t="s">
        <v>11518</v>
      </c>
      <c r="D3414" t="s">
        <v>40</v>
      </c>
      <c r="E3414" t="s">
        <v>41</v>
      </c>
      <c r="J3414" t="s">
        <v>76</v>
      </c>
      <c r="K3414" t="s">
        <v>77</v>
      </c>
      <c r="L3414">
        <v>10</v>
      </c>
      <c r="M3414" t="s">
        <v>11519</v>
      </c>
      <c r="N3414" t="s">
        <v>64</v>
      </c>
      <c r="O3414" t="s">
        <v>46</v>
      </c>
      <c r="P3414" t="s">
        <v>46</v>
      </c>
      <c r="Y3414" t="s">
        <v>11520</v>
      </c>
    </row>
    <row r="3415" spans="1:25">
      <c r="A3415" t="s">
        <v>11521</v>
      </c>
      <c r="B3415" t="s">
        <v>11522</v>
      </c>
      <c r="D3415" t="s">
        <v>40</v>
      </c>
      <c r="E3415" t="s">
        <v>41</v>
      </c>
      <c r="J3415" t="s">
        <v>182</v>
      </c>
      <c r="K3415" t="s">
        <v>183</v>
      </c>
      <c r="L3415">
        <v>14</v>
      </c>
      <c r="M3415" t="s">
        <v>11523</v>
      </c>
      <c r="N3415" t="s">
        <v>64</v>
      </c>
      <c r="O3415" t="s">
        <v>46</v>
      </c>
      <c r="P3415" t="s">
        <v>46</v>
      </c>
      <c r="Y3415" t="s">
        <v>11524</v>
      </c>
    </row>
    <row r="3416" spans="1:25">
      <c r="A3416" t="s">
        <v>11525</v>
      </c>
      <c r="B3416" t="s">
        <v>11526</v>
      </c>
      <c r="D3416" t="s">
        <v>40</v>
      </c>
      <c r="E3416" t="s">
        <v>41</v>
      </c>
      <c r="J3416" t="s">
        <v>182</v>
      </c>
      <c r="K3416" t="s">
        <v>183</v>
      </c>
      <c r="L3416">
        <v>10</v>
      </c>
      <c r="M3416" t="s">
        <v>11523</v>
      </c>
      <c r="N3416" t="s">
        <v>64</v>
      </c>
      <c r="O3416" t="s">
        <v>46</v>
      </c>
      <c r="P3416" t="s">
        <v>46</v>
      </c>
      <c r="Y3416" t="s">
        <v>11527</v>
      </c>
    </row>
    <row r="3417" spans="1:25">
      <c r="A3417" t="s">
        <v>11528</v>
      </c>
      <c r="B3417" t="s">
        <v>11529</v>
      </c>
      <c r="D3417" t="s">
        <v>40</v>
      </c>
      <c r="E3417" t="s">
        <v>41</v>
      </c>
      <c r="J3417" t="s">
        <v>42</v>
      </c>
      <c r="K3417" t="s">
        <v>43</v>
      </c>
      <c r="L3417">
        <v>10</v>
      </c>
      <c r="M3417" t="s">
        <v>11523</v>
      </c>
      <c r="N3417" t="s">
        <v>1369</v>
      </c>
      <c r="O3417" t="s">
        <v>46</v>
      </c>
      <c r="P3417" t="s">
        <v>46</v>
      </c>
      <c r="Y3417" t="s">
        <v>11530</v>
      </c>
    </row>
    <row r="3418" spans="1:25">
      <c r="A3418" t="s">
        <v>11531</v>
      </c>
      <c r="B3418" t="s">
        <v>11532</v>
      </c>
      <c r="D3418" t="s">
        <v>40</v>
      </c>
      <c r="E3418" t="s">
        <v>41</v>
      </c>
      <c r="J3418" t="s">
        <v>76</v>
      </c>
      <c r="K3418" t="s">
        <v>77</v>
      </c>
      <c r="L3418">
        <v>10</v>
      </c>
      <c r="M3418" t="s">
        <v>11523</v>
      </c>
      <c r="N3418" t="s">
        <v>64</v>
      </c>
      <c r="O3418" t="s">
        <v>46</v>
      </c>
      <c r="P3418" t="s">
        <v>46</v>
      </c>
      <c r="Y3418" t="s">
        <v>11533</v>
      </c>
    </row>
    <row r="3419" spans="1:25">
      <c r="A3419" t="s">
        <v>11534</v>
      </c>
      <c r="B3419" t="s">
        <v>11535</v>
      </c>
      <c r="D3419" t="s">
        <v>40</v>
      </c>
      <c r="E3419" t="s">
        <v>41</v>
      </c>
      <c r="J3419" t="s">
        <v>76</v>
      </c>
      <c r="K3419" t="s">
        <v>77</v>
      </c>
      <c r="L3419">
        <v>10</v>
      </c>
      <c r="M3419" t="s">
        <v>11523</v>
      </c>
      <c r="N3419" t="s">
        <v>64</v>
      </c>
      <c r="O3419" t="s">
        <v>46</v>
      </c>
      <c r="P3419" t="s">
        <v>46</v>
      </c>
      <c r="Y3419" t="s">
        <v>11536</v>
      </c>
    </row>
    <row r="3420" spans="1:25">
      <c r="A3420" t="s">
        <v>11537</v>
      </c>
      <c r="B3420" t="s">
        <v>11538</v>
      </c>
      <c r="D3420" t="s">
        <v>40</v>
      </c>
      <c r="E3420" t="s">
        <v>41</v>
      </c>
      <c r="J3420" t="s">
        <v>76</v>
      </c>
      <c r="K3420" t="s">
        <v>77</v>
      </c>
      <c r="L3420">
        <v>10</v>
      </c>
      <c r="M3420" t="s">
        <v>11523</v>
      </c>
      <c r="N3420" t="s">
        <v>64</v>
      </c>
      <c r="O3420" t="s">
        <v>46</v>
      </c>
      <c r="P3420" t="s">
        <v>46</v>
      </c>
      <c r="Y3420" t="s">
        <v>11539</v>
      </c>
    </row>
    <row r="3421" spans="1:25">
      <c r="A3421" t="s">
        <v>11540</v>
      </c>
      <c r="B3421" t="s">
        <v>11541</v>
      </c>
      <c r="D3421" t="s">
        <v>40</v>
      </c>
      <c r="E3421" t="s">
        <v>41</v>
      </c>
      <c r="J3421" t="s">
        <v>182</v>
      </c>
      <c r="K3421" t="s">
        <v>183</v>
      </c>
      <c r="L3421">
        <v>10</v>
      </c>
      <c r="M3421" t="s">
        <v>11523</v>
      </c>
      <c r="N3421" t="s">
        <v>64</v>
      </c>
      <c r="O3421" t="s">
        <v>46</v>
      </c>
      <c r="P3421" t="s">
        <v>46</v>
      </c>
      <c r="Y3421" t="s">
        <v>11542</v>
      </c>
    </row>
    <row r="3422" spans="1:25">
      <c r="A3422" t="s">
        <v>11543</v>
      </c>
      <c r="B3422" t="s">
        <v>11544</v>
      </c>
      <c r="D3422" t="s">
        <v>40</v>
      </c>
      <c r="E3422" t="s">
        <v>41</v>
      </c>
      <c r="J3422" t="s">
        <v>182</v>
      </c>
      <c r="K3422" t="s">
        <v>183</v>
      </c>
      <c r="L3422">
        <v>11</v>
      </c>
      <c r="M3422" t="s">
        <v>11545</v>
      </c>
      <c r="N3422" t="s">
        <v>64</v>
      </c>
      <c r="O3422" t="s">
        <v>46</v>
      </c>
      <c r="P3422" t="s">
        <v>46</v>
      </c>
      <c r="Y3422" t="s">
        <v>11546</v>
      </c>
    </row>
    <row r="3423" spans="1:25">
      <c r="A3423" t="s">
        <v>11547</v>
      </c>
      <c r="B3423" t="s">
        <v>11548</v>
      </c>
      <c r="D3423" t="s">
        <v>40</v>
      </c>
      <c r="E3423" t="s">
        <v>41</v>
      </c>
      <c r="J3423" t="s">
        <v>62</v>
      </c>
      <c r="K3423" t="s">
        <v>63</v>
      </c>
      <c r="L3423">
        <v>11</v>
      </c>
      <c r="M3423" t="s">
        <v>11545</v>
      </c>
      <c r="N3423" t="s">
        <v>64</v>
      </c>
      <c r="O3423" t="s">
        <v>46</v>
      </c>
      <c r="P3423" t="s">
        <v>46</v>
      </c>
      <c r="Y3423" t="s">
        <v>11549</v>
      </c>
    </row>
    <row r="3424" spans="1:25">
      <c r="A3424" t="s">
        <v>11550</v>
      </c>
      <c r="B3424" t="s">
        <v>11551</v>
      </c>
      <c r="D3424" t="s">
        <v>40</v>
      </c>
      <c r="E3424" t="s">
        <v>41</v>
      </c>
      <c r="J3424" t="s">
        <v>62</v>
      </c>
      <c r="K3424" t="s">
        <v>63</v>
      </c>
      <c r="L3424">
        <v>11</v>
      </c>
      <c r="M3424" t="s">
        <v>11545</v>
      </c>
      <c r="N3424" t="s">
        <v>64</v>
      </c>
      <c r="O3424" t="s">
        <v>46</v>
      </c>
      <c r="P3424" t="s">
        <v>46</v>
      </c>
      <c r="Y3424" t="s">
        <v>11552</v>
      </c>
    </row>
    <row r="3425" spans="1:25">
      <c r="A3425" t="s">
        <v>11553</v>
      </c>
      <c r="B3425" t="s">
        <v>11554</v>
      </c>
      <c r="D3425" t="s">
        <v>40</v>
      </c>
      <c r="E3425" t="s">
        <v>41</v>
      </c>
      <c r="J3425" t="s">
        <v>182</v>
      </c>
      <c r="K3425" t="s">
        <v>183</v>
      </c>
      <c r="L3425">
        <v>11</v>
      </c>
      <c r="M3425" t="s">
        <v>11545</v>
      </c>
      <c r="N3425" t="s">
        <v>64</v>
      </c>
      <c r="O3425" t="s">
        <v>46</v>
      </c>
      <c r="P3425" t="s">
        <v>46</v>
      </c>
      <c r="Y3425" t="s">
        <v>11555</v>
      </c>
    </row>
    <row r="3426" spans="1:25">
      <c r="A3426" t="s">
        <v>11556</v>
      </c>
      <c r="B3426" t="s">
        <v>11557</v>
      </c>
      <c r="D3426" t="s">
        <v>40</v>
      </c>
      <c r="E3426" t="s">
        <v>41</v>
      </c>
      <c r="J3426" t="s">
        <v>182</v>
      </c>
      <c r="K3426" t="s">
        <v>183</v>
      </c>
      <c r="L3426">
        <v>10</v>
      </c>
      <c r="M3426" t="s">
        <v>11545</v>
      </c>
      <c r="N3426" t="s">
        <v>64</v>
      </c>
      <c r="O3426" t="s">
        <v>46</v>
      </c>
      <c r="P3426" t="s">
        <v>46</v>
      </c>
      <c r="Y3426" t="s">
        <v>11558</v>
      </c>
    </row>
    <row r="3427" spans="1:25">
      <c r="A3427" t="s">
        <v>11559</v>
      </c>
      <c r="B3427" t="s">
        <v>11560</v>
      </c>
      <c r="D3427" t="s">
        <v>40</v>
      </c>
      <c r="E3427" t="s">
        <v>41</v>
      </c>
      <c r="J3427" t="s">
        <v>68</v>
      </c>
      <c r="K3427" t="s">
        <v>69</v>
      </c>
      <c r="L3427">
        <v>12</v>
      </c>
      <c r="M3427" t="s">
        <v>11545</v>
      </c>
      <c r="N3427" t="s">
        <v>64</v>
      </c>
      <c r="O3427" t="s">
        <v>46</v>
      </c>
      <c r="P3427" t="s">
        <v>46</v>
      </c>
      <c r="Y3427" t="s">
        <v>11561</v>
      </c>
    </row>
    <row r="3428" spans="1:25">
      <c r="A3428" t="s">
        <v>11562</v>
      </c>
      <c r="B3428" t="s">
        <v>11563</v>
      </c>
      <c r="D3428" t="s">
        <v>40</v>
      </c>
      <c r="E3428" t="s">
        <v>41</v>
      </c>
      <c r="J3428" t="s">
        <v>62</v>
      </c>
      <c r="K3428" t="s">
        <v>63</v>
      </c>
      <c r="L3428">
        <v>11</v>
      </c>
      <c r="M3428" t="s">
        <v>11564</v>
      </c>
      <c r="N3428" t="s">
        <v>64</v>
      </c>
      <c r="O3428" t="s">
        <v>46</v>
      </c>
      <c r="P3428" t="s">
        <v>46</v>
      </c>
      <c r="Y3428" t="s">
        <v>11565</v>
      </c>
    </row>
    <row r="3429" spans="1:25">
      <c r="A3429" t="s">
        <v>11566</v>
      </c>
      <c r="B3429" t="s">
        <v>11567</v>
      </c>
      <c r="D3429" t="s">
        <v>40</v>
      </c>
      <c r="E3429" t="s">
        <v>41</v>
      </c>
      <c r="J3429" t="s">
        <v>68</v>
      </c>
      <c r="K3429" t="s">
        <v>69</v>
      </c>
      <c r="L3429">
        <v>11</v>
      </c>
      <c r="M3429" t="s">
        <v>11564</v>
      </c>
      <c r="N3429" t="s">
        <v>64</v>
      </c>
      <c r="O3429" t="s">
        <v>46</v>
      </c>
      <c r="P3429" t="s">
        <v>46</v>
      </c>
      <c r="Y3429" t="s">
        <v>11568</v>
      </c>
    </row>
    <row r="3430" spans="1:25">
      <c r="A3430" t="s">
        <v>11569</v>
      </c>
      <c r="B3430" t="s">
        <v>11570</v>
      </c>
      <c r="D3430" t="s">
        <v>40</v>
      </c>
      <c r="E3430" t="s">
        <v>41</v>
      </c>
      <c r="J3430" t="s">
        <v>264</v>
      </c>
      <c r="K3430" t="s">
        <v>265</v>
      </c>
      <c r="L3430">
        <v>10</v>
      </c>
      <c r="M3430" t="s">
        <v>11571</v>
      </c>
      <c r="N3430" t="s">
        <v>2346</v>
      </c>
      <c r="O3430" t="s">
        <v>46</v>
      </c>
      <c r="P3430" t="s">
        <v>46</v>
      </c>
      <c r="Y3430" t="s">
        <v>11572</v>
      </c>
    </row>
    <row r="3431" spans="1:25">
      <c r="A3431" t="s">
        <v>11573</v>
      </c>
      <c r="B3431" t="s">
        <v>11574</v>
      </c>
      <c r="D3431" t="s">
        <v>40</v>
      </c>
      <c r="E3431" t="s">
        <v>41</v>
      </c>
      <c r="J3431" t="s">
        <v>42</v>
      </c>
      <c r="K3431" t="s">
        <v>43</v>
      </c>
      <c r="L3431">
        <v>10</v>
      </c>
      <c r="M3431" t="s">
        <v>11571</v>
      </c>
      <c r="N3431" t="s">
        <v>924</v>
      </c>
      <c r="O3431" t="s">
        <v>46</v>
      </c>
      <c r="P3431" t="s">
        <v>46</v>
      </c>
      <c r="Y3431" t="s">
        <v>11575</v>
      </c>
    </row>
    <row r="3432" spans="1:25">
      <c r="A3432" t="s">
        <v>11576</v>
      </c>
      <c r="B3432" t="s">
        <v>11577</v>
      </c>
      <c r="D3432" t="s">
        <v>40</v>
      </c>
      <c r="E3432" t="s">
        <v>41</v>
      </c>
      <c r="J3432" t="s">
        <v>76</v>
      </c>
      <c r="K3432" t="s">
        <v>77</v>
      </c>
      <c r="L3432">
        <v>10</v>
      </c>
      <c r="M3432" t="s">
        <v>11571</v>
      </c>
      <c r="N3432" t="s">
        <v>64</v>
      </c>
      <c r="O3432" t="s">
        <v>46</v>
      </c>
      <c r="P3432" t="s">
        <v>46</v>
      </c>
      <c r="Y3432" t="s">
        <v>11578</v>
      </c>
    </row>
    <row r="3433" spans="1:25">
      <c r="A3433" t="s">
        <v>11579</v>
      </c>
      <c r="B3433" t="s">
        <v>11580</v>
      </c>
      <c r="D3433" t="s">
        <v>40</v>
      </c>
      <c r="E3433" t="s">
        <v>41</v>
      </c>
      <c r="J3433" t="s">
        <v>76</v>
      </c>
      <c r="K3433" t="s">
        <v>77</v>
      </c>
      <c r="L3433">
        <v>10</v>
      </c>
      <c r="M3433" t="s">
        <v>11571</v>
      </c>
      <c r="N3433" t="s">
        <v>64</v>
      </c>
      <c r="O3433" t="s">
        <v>46</v>
      </c>
      <c r="P3433" t="s">
        <v>46</v>
      </c>
      <c r="Y3433" t="s">
        <v>11581</v>
      </c>
    </row>
    <row r="3434" spans="1:25">
      <c r="A3434" t="s">
        <v>11582</v>
      </c>
      <c r="B3434" t="s">
        <v>11583</v>
      </c>
      <c r="D3434" t="s">
        <v>40</v>
      </c>
      <c r="E3434" t="s">
        <v>41</v>
      </c>
      <c r="J3434" t="s">
        <v>76</v>
      </c>
      <c r="K3434" t="s">
        <v>77</v>
      </c>
      <c r="L3434">
        <v>10</v>
      </c>
      <c r="M3434" t="s">
        <v>11584</v>
      </c>
      <c r="N3434" t="s">
        <v>64</v>
      </c>
      <c r="O3434" t="s">
        <v>46</v>
      </c>
      <c r="P3434" t="s">
        <v>46</v>
      </c>
      <c r="Y3434" t="s">
        <v>11585</v>
      </c>
    </row>
    <row r="3435" spans="1:25">
      <c r="A3435" t="s">
        <v>11586</v>
      </c>
      <c r="B3435" t="s">
        <v>11587</v>
      </c>
      <c r="D3435" t="s">
        <v>40</v>
      </c>
      <c r="E3435" t="s">
        <v>41</v>
      </c>
      <c r="J3435" t="s">
        <v>76</v>
      </c>
      <c r="K3435" t="s">
        <v>77</v>
      </c>
      <c r="L3435">
        <v>10</v>
      </c>
      <c r="M3435" t="s">
        <v>11584</v>
      </c>
      <c r="N3435" t="s">
        <v>64</v>
      </c>
      <c r="O3435" t="s">
        <v>46</v>
      </c>
      <c r="P3435" t="s">
        <v>46</v>
      </c>
      <c r="Y3435" t="s">
        <v>11588</v>
      </c>
    </row>
    <row r="3436" spans="1:25">
      <c r="A3436" t="s">
        <v>11589</v>
      </c>
      <c r="B3436" t="s">
        <v>11590</v>
      </c>
      <c r="D3436" t="s">
        <v>40</v>
      </c>
      <c r="E3436" t="s">
        <v>41</v>
      </c>
      <c r="J3436" t="s">
        <v>76</v>
      </c>
      <c r="K3436" t="s">
        <v>77</v>
      </c>
      <c r="L3436">
        <v>10</v>
      </c>
      <c r="M3436" t="s">
        <v>11584</v>
      </c>
      <c r="N3436" t="s">
        <v>64</v>
      </c>
      <c r="O3436" t="s">
        <v>46</v>
      </c>
      <c r="P3436" t="s">
        <v>46</v>
      </c>
      <c r="Y3436" t="s">
        <v>11591</v>
      </c>
    </row>
    <row r="3437" spans="1:25">
      <c r="A3437" t="s">
        <v>11592</v>
      </c>
      <c r="B3437" t="s">
        <v>11593</v>
      </c>
      <c r="D3437" t="s">
        <v>40</v>
      </c>
      <c r="E3437" t="s">
        <v>41</v>
      </c>
      <c r="J3437" t="s">
        <v>139</v>
      </c>
      <c r="K3437" t="s">
        <v>140</v>
      </c>
      <c r="L3437">
        <v>10</v>
      </c>
      <c r="M3437" t="s">
        <v>11584</v>
      </c>
      <c r="N3437" t="s">
        <v>950</v>
      </c>
      <c r="O3437" t="s">
        <v>46</v>
      </c>
      <c r="P3437" t="s">
        <v>46</v>
      </c>
      <c r="Y3437" t="s">
        <v>11594</v>
      </c>
    </row>
    <row r="3438" spans="1:25">
      <c r="A3438" t="s">
        <v>11595</v>
      </c>
      <c r="B3438" t="s">
        <v>11596</v>
      </c>
      <c r="D3438" t="s">
        <v>40</v>
      </c>
      <c r="E3438" t="s">
        <v>41</v>
      </c>
      <c r="J3438" t="s">
        <v>182</v>
      </c>
      <c r="K3438" t="s">
        <v>183</v>
      </c>
      <c r="L3438">
        <v>10</v>
      </c>
      <c r="M3438" t="s">
        <v>11584</v>
      </c>
      <c r="N3438" t="s">
        <v>64</v>
      </c>
      <c r="O3438" t="s">
        <v>46</v>
      </c>
      <c r="P3438" t="s">
        <v>46</v>
      </c>
      <c r="Y3438" t="s">
        <v>11597</v>
      </c>
    </row>
    <row r="3439" spans="1:25">
      <c r="A3439" t="s">
        <v>11598</v>
      </c>
      <c r="B3439" t="s">
        <v>11599</v>
      </c>
      <c r="D3439" t="s">
        <v>40</v>
      </c>
      <c r="E3439" t="s">
        <v>41</v>
      </c>
      <c r="J3439" t="s">
        <v>182</v>
      </c>
      <c r="K3439" t="s">
        <v>183</v>
      </c>
      <c r="L3439">
        <v>10</v>
      </c>
      <c r="M3439" t="s">
        <v>11600</v>
      </c>
      <c r="N3439" t="s">
        <v>64</v>
      </c>
      <c r="O3439" t="s">
        <v>46</v>
      </c>
      <c r="P3439" t="s">
        <v>46</v>
      </c>
      <c r="Y3439" t="s">
        <v>11601</v>
      </c>
    </row>
    <row r="3440" spans="1:25">
      <c r="A3440" t="s">
        <v>11602</v>
      </c>
      <c r="B3440" t="s">
        <v>11603</v>
      </c>
      <c r="D3440" t="s">
        <v>40</v>
      </c>
      <c r="E3440" t="s">
        <v>41</v>
      </c>
      <c r="J3440" t="s">
        <v>42</v>
      </c>
      <c r="K3440" t="s">
        <v>43</v>
      </c>
      <c r="L3440">
        <v>10</v>
      </c>
      <c r="M3440" t="s">
        <v>11604</v>
      </c>
      <c r="N3440" t="s">
        <v>178</v>
      </c>
      <c r="O3440" t="s">
        <v>46</v>
      </c>
      <c r="P3440" t="s">
        <v>46</v>
      </c>
      <c r="Y3440" t="s">
        <v>11605</v>
      </c>
    </row>
    <row r="3441" spans="1:25">
      <c r="A3441" t="s">
        <v>11606</v>
      </c>
      <c r="B3441" t="s">
        <v>11607</v>
      </c>
      <c r="D3441" t="s">
        <v>40</v>
      </c>
      <c r="E3441" t="s">
        <v>41</v>
      </c>
      <c r="J3441" t="s">
        <v>76</v>
      </c>
      <c r="K3441" t="s">
        <v>77</v>
      </c>
      <c r="L3441">
        <v>10</v>
      </c>
      <c r="M3441" t="s">
        <v>11608</v>
      </c>
      <c r="N3441" t="s">
        <v>64</v>
      </c>
      <c r="O3441" t="s">
        <v>46</v>
      </c>
      <c r="P3441" t="s">
        <v>46</v>
      </c>
      <c r="Y3441" t="s">
        <v>11609</v>
      </c>
    </row>
    <row r="3442" spans="1:25">
      <c r="A3442" t="s">
        <v>11610</v>
      </c>
      <c r="B3442" t="s">
        <v>11611</v>
      </c>
      <c r="D3442" t="s">
        <v>40</v>
      </c>
      <c r="E3442" t="s">
        <v>41</v>
      </c>
      <c r="J3442" t="s">
        <v>139</v>
      </c>
      <c r="K3442" t="s">
        <v>140</v>
      </c>
      <c r="L3442">
        <v>10</v>
      </c>
      <c r="M3442" t="s">
        <v>11608</v>
      </c>
      <c r="N3442" t="s">
        <v>173</v>
      </c>
      <c r="O3442" t="s">
        <v>46</v>
      </c>
      <c r="P3442" t="s">
        <v>46</v>
      </c>
      <c r="Y3442" t="s">
        <v>11612</v>
      </c>
    </row>
    <row r="3443" spans="1:25">
      <c r="A3443" t="s">
        <v>11613</v>
      </c>
      <c r="B3443" t="s">
        <v>11614</v>
      </c>
      <c r="D3443" t="s">
        <v>40</v>
      </c>
      <c r="E3443" t="s">
        <v>41</v>
      </c>
      <c r="J3443" t="s">
        <v>68</v>
      </c>
      <c r="K3443" t="s">
        <v>69</v>
      </c>
      <c r="L3443">
        <v>10</v>
      </c>
      <c r="M3443" t="s">
        <v>11608</v>
      </c>
      <c r="N3443" t="s">
        <v>64</v>
      </c>
      <c r="O3443" t="s">
        <v>46</v>
      </c>
      <c r="P3443" t="s">
        <v>46</v>
      </c>
      <c r="Y3443" t="s">
        <v>11615</v>
      </c>
    </row>
    <row r="3444" spans="1:25">
      <c r="A3444" t="s">
        <v>11616</v>
      </c>
      <c r="B3444" t="s">
        <v>11617</v>
      </c>
      <c r="D3444" t="s">
        <v>40</v>
      </c>
      <c r="E3444" t="s">
        <v>41</v>
      </c>
      <c r="J3444" t="s">
        <v>76</v>
      </c>
      <c r="K3444" t="s">
        <v>77</v>
      </c>
      <c r="L3444">
        <v>10</v>
      </c>
      <c r="M3444" t="s">
        <v>11608</v>
      </c>
      <c r="N3444" t="s">
        <v>64</v>
      </c>
      <c r="O3444" t="s">
        <v>46</v>
      </c>
      <c r="P3444" t="s">
        <v>46</v>
      </c>
      <c r="Y3444" t="s">
        <v>11618</v>
      </c>
    </row>
    <row r="3445" spans="1:25">
      <c r="A3445" t="s">
        <v>11619</v>
      </c>
      <c r="B3445" t="s">
        <v>11620</v>
      </c>
      <c r="D3445" t="s">
        <v>40</v>
      </c>
      <c r="E3445" t="s">
        <v>41</v>
      </c>
      <c r="J3445" t="s">
        <v>182</v>
      </c>
      <c r="K3445" t="s">
        <v>183</v>
      </c>
      <c r="L3445">
        <v>10</v>
      </c>
      <c r="M3445" t="s">
        <v>11608</v>
      </c>
      <c r="N3445" t="s">
        <v>64</v>
      </c>
      <c r="O3445" t="s">
        <v>46</v>
      </c>
      <c r="P3445" t="s">
        <v>46</v>
      </c>
      <c r="Y3445" t="s">
        <v>11621</v>
      </c>
    </row>
    <row r="3446" spans="1:25">
      <c r="A3446" t="s">
        <v>11622</v>
      </c>
      <c r="B3446" t="s">
        <v>11623</v>
      </c>
      <c r="D3446" t="s">
        <v>40</v>
      </c>
      <c r="E3446" t="s">
        <v>41</v>
      </c>
      <c r="J3446" t="s">
        <v>76</v>
      </c>
      <c r="K3446" t="s">
        <v>77</v>
      </c>
      <c r="L3446">
        <v>10</v>
      </c>
      <c r="M3446" t="s">
        <v>11624</v>
      </c>
      <c r="N3446" t="s">
        <v>64</v>
      </c>
      <c r="O3446" t="s">
        <v>46</v>
      </c>
      <c r="P3446" t="s">
        <v>46</v>
      </c>
      <c r="Y3446" t="s">
        <v>11625</v>
      </c>
    </row>
    <row r="3447" spans="1:25">
      <c r="A3447" t="s">
        <v>11626</v>
      </c>
      <c r="B3447" t="s">
        <v>11627</v>
      </c>
      <c r="D3447" t="s">
        <v>40</v>
      </c>
      <c r="E3447" t="s">
        <v>41</v>
      </c>
      <c r="J3447" t="s">
        <v>182</v>
      </c>
      <c r="K3447" t="s">
        <v>183</v>
      </c>
      <c r="L3447">
        <v>10</v>
      </c>
      <c r="M3447" t="s">
        <v>11628</v>
      </c>
      <c r="N3447" t="s">
        <v>64</v>
      </c>
      <c r="O3447" t="s">
        <v>46</v>
      </c>
      <c r="P3447" t="s">
        <v>46</v>
      </c>
      <c r="Y3447" t="s">
        <v>11629</v>
      </c>
    </row>
    <row r="3448" spans="1:25">
      <c r="A3448" t="s">
        <v>11630</v>
      </c>
      <c r="B3448" t="s">
        <v>11631</v>
      </c>
      <c r="D3448" t="s">
        <v>40</v>
      </c>
      <c r="E3448" t="s">
        <v>41</v>
      </c>
      <c r="J3448" t="s">
        <v>182</v>
      </c>
      <c r="K3448" t="s">
        <v>183</v>
      </c>
      <c r="L3448">
        <v>10</v>
      </c>
      <c r="M3448" t="s">
        <v>11628</v>
      </c>
      <c r="N3448" t="s">
        <v>64</v>
      </c>
      <c r="O3448" t="s">
        <v>46</v>
      </c>
      <c r="P3448" t="s">
        <v>46</v>
      </c>
      <c r="Y3448" t="s">
        <v>11632</v>
      </c>
    </row>
    <row r="3449" spans="1:25">
      <c r="A3449" t="s">
        <v>11633</v>
      </c>
      <c r="B3449" t="s">
        <v>11634</v>
      </c>
      <c r="D3449" t="s">
        <v>40</v>
      </c>
      <c r="E3449" t="s">
        <v>41</v>
      </c>
      <c r="J3449" t="s">
        <v>182</v>
      </c>
      <c r="K3449" t="s">
        <v>183</v>
      </c>
      <c r="L3449">
        <v>10</v>
      </c>
      <c r="M3449" t="s">
        <v>11628</v>
      </c>
      <c r="N3449" t="s">
        <v>64</v>
      </c>
      <c r="O3449" t="s">
        <v>46</v>
      </c>
      <c r="P3449" t="s">
        <v>46</v>
      </c>
      <c r="Y3449" t="s">
        <v>11635</v>
      </c>
    </row>
    <row r="3450" spans="1:25">
      <c r="A3450" t="s">
        <v>11636</v>
      </c>
      <c r="B3450" t="s">
        <v>11637</v>
      </c>
      <c r="D3450" t="s">
        <v>40</v>
      </c>
      <c r="E3450" t="s">
        <v>41</v>
      </c>
      <c r="J3450" t="s">
        <v>76</v>
      </c>
      <c r="K3450" t="s">
        <v>77</v>
      </c>
      <c r="L3450">
        <v>10</v>
      </c>
      <c r="M3450" t="s">
        <v>11628</v>
      </c>
      <c r="N3450" t="s">
        <v>64</v>
      </c>
      <c r="O3450" t="s">
        <v>46</v>
      </c>
      <c r="P3450" t="s">
        <v>46</v>
      </c>
      <c r="Y3450" t="s">
        <v>11638</v>
      </c>
    </row>
    <row r="3451" spans="1:25">
      <c r="A3451" t="s">
        <v>11639</v>
      </c>
      <c r="B3451" t="s">
        <v>11640</v>
      </c>
      <c r="D3451" t="s">
        <v>40</v>
      </c>
      <c r="E3451" t="s">
        <v>41</v>
      </c>
      <c r="J3451" t="s">
        <v>68</v>
      </c>
      <c r="K3451" t="s">
        <v>69</v>
      </c>
      <c r="L3451">
        <v>10</v>
      </c>
      <c r="M3451" t="s">
        <v>11628</v>
      </c>
      <c r="N3451" t="s">
        <v>64</v>
      </c>
      <c r="O3451" t="s">
        <v>46</v>
      </c>
      <c r="P3451" t="s">
        <v>46</v>
      </c>
      <c r="Y3451" t="s">
        <v>11641</v>
      </c>
    </row>
    <row r="3452" spans="1:25">
      <c r="A3452" t="s">
        <v>11642</v>
      </c>
      <c r="B3452" t="s">
        <v>11643</v>
      </c>
      <c r="D3452" t="s">
        <v>40</v>
      </c>
      <c r="E3452" t="s">
        <v>41</v>
      </c>
      <c r="J3452" t="s">
        <v>182</v>
      </c>
      <c r="K3452" t="s">
        <v>183</v>
      </c>
      <c r="L3452">
        <v>10</v>
      </c>
      <c r="M3452" t="s">
        <v>11644</v>
      </c>
      <c r="N3452" t="s">
        <v>64</v>
      </c>
      <c r="O3452" t="s">
        <v>46</v>
      </c>
      <c r="P3452" t="s">
        <v>46</v>
      </c>
      <c r="Y3452" t="s">
        <v>11645</v>
      </c>
    </row>
    <row r="3453" spans="1:25">
      <c r="A3453" t="s">
        <v>11646</v>
      </c>
      <c r="B3453" t="s">
        <v>11647</v>
      </c>
      <c r="D3453" t="s">
        <v>40</v>
      </c>
      <c r="E3453" t="s">
        <v>41</v>
      </c>
      <c r="J3453" t="s">
        <v>42</v>
      </c>
      <c r="K3453" t="s">
        <v>43</v>
      </c>
      <c r="L3453">
        <v>10</v>
      </c>
      <c r="M3453" t="s">
        <v>11644</v>
      </c>
      <c r="N3453" t="s">
        <v>752</v>
      </c>
      <c r="O3453" t="s">
        <v>46</v>
      </c>
      <c r="P3453" t="s">
        <v>46</v>
      </c>
      <c r="Y3453" t="s">
        <v>11648</v>
      </c>
    </row>
    <row r="3454" spans="1:25">
      <c r="A3454" t="s">
        <v>11649</v>
      </c>
      <c r="B3454" t="s">
        <v>11650</v>
      </c>
      <c r="D3454" t="s">
        <v>40</v>
      </c>
      <c r="E3454" t="s">
        <v>41</v>
      </c>
      <c r="J3454" t="s">
        <v>76</v>
      </c>
      <c r="K3454" t="s">
        <v>77</v>
      </c>
      <c r="L3454">
        <v>10</v>
      </c>
      <c r="M3454" t="s">
        <v>11651</v>
      </c>
      <c r="N3454" t="s">
        <v>64</v>
      </c>
      <c r="O3454" t="s">
        <v>46</v>
      </c>
      <c r="P3454" t="s">
        <v>46</v>
      </c>
      <c r="Y3454" t="s">
        <v>11652</v>
      </c>
    </row>
    <row r="3455" spans="1:25">
      <c r="A3455" t="s">
        <v>11653</v>
      </c>
      <c r="B3455" t="s">
        <v>11654</v>
      </c>
      <c r="D3455" t="s">
        <v>40</v>
      </c>
      <c r="E3455" t="s">
        <v>41</v>
      </c>
      <c r="J3455" t="s">
        <v>42</v>
      </c>
      <c r="K3455" t="s">
        <v>43</v>
      </c>
      <c r="L3455">
        <v>10</v>
      </c>
      <c r="M3455" t="s">
        <v>11655</v>
      </c>
      <c r="N3455" t="s">
        <v>1344</v>
      </c>
      <c r="O3455" t="s">
        <v>46</v>
      </c>
      <c r="P3455" t="s">
        <v>46</v>
      </c>
      <c r="Y3455" t="s">
        <v>11656</v>
      </c>
    </row>
    <row r="3456" spans="1:25">
      <c r="A3456" t="s">
        <v>11657</v>
      </c>
      <c r="B3456" t="s">
        <v>11658</v>
      </c>
      <c r="D3456" t="s">
        <v>40</v>
      </c>
      <c r="E3456" t="s">
        <v>41</v>
      </c>
      <c r="J3456" t="s">
        <v>182</v>
      </c>
      <c r="K3456" t="s">
        <v>183</v>
      </c>
      <c r="L3456">
        <v>10</v>
      </c>
      <c r="M3456" t="s">
        <v>11655</v>
      </c>
      <c r="N3456" t="s">
        <v>64</v>
      </c>
      <c r="O3456" t="s">
        <v>46</v>
      </c>
      <c r="P3456" t="s">
        <v>46</v>
      </c>
      <c r="Y3456" t="s">
        <v>11659</v>
      </c>
    </row>
    <row r="3457" spans="1:25">
      <c r="A3457" t="s">
        <v>11660</v>
      </c>
      <c r="B3457" t="s">
        <v>11661</v>
      </c>
      <c r="D3457" t="s">
        <v>40</v>
      </c>
      <c r="E3457" t="s">
        <v>41</v>
      </c>
      <c r="J3457" t="s">
        <v>76</v>
      </c>
      <c r="K3457" t="s">
        <v>77</v>
      </c>
      <c r="L3457">
        <v>10</v>
      </c>
      <c r="M3457" t="s">
        <v>11655</v>
      </c>
      <c r="N3457" t="s">
        <v>64</v>
      </c>
      <c r="O3457" t="s">
        <v>46</v>
      </c>
      <c r="P3457" t="s">
        <v>46</v>
      </c>
      <c r="Y3457" t="s">
        <v>11662</v>
      </c>
    </row>
    <row r="3458" spans="1:25">
      <c r="A3458" t="s">
        <v>11663</v>
      </c>
      <c r="B3458" t="s">
        <v>11664</v>
      </c>
      <c r="D3458" t="s">
        <v>40</v>
      </c>
      <c r="E3458" t="s">
        <v>41</v>
      </c>
      <c r="J3458" t="s">
        <v>76</v>
      </c>
      <c r="K3458" t="s">
        <v>77</v>
      </c>
      <c r="L3458">
        <v>10</v>
      </c>
      <c r="M3458" t="s">
        <v>11665</v>
      </c>
      <c r="N3458" t="s">
        <v>64</v>
      </c>
      <c r="O3458" t="s">
        <v>46</v>
      </c>
      <c r="P3458" t="s">
        <v>46</v>
      </c>
      <c r="Y3458" t="s">
        <v>11666</v>
      </c>
    </row>
    <row r="3459" spans="1:25">
      <c r="A3459" t="s">
        <v>11667</v>
      </c>
      <c r="B3459" t="s">
        <v>11668</v>
      </c>
      <c r="D3459" t="s">
        <v>40</v>
      </c>
      <c r="E3459" t="s">
        <v>41</v>
      </c>
      <c r="J3459" t="s">
        <v>182</v>
      </c>
      <c r="K3459" t="s">
        <v>183</v>
      </c>
      <c r="L3459">
        <v>10</v>
      </c>
      <c r="M3459" t="s">
        <v>11669</v>
      </c>
      <c r="N3459" t="s">
        <v>64</v>
      </c>
      <c r="O3459" t="s">
        <v>46</v>
      </c>
      <c r="P3459" t="s">
        <v>46</v>
      </c>
      <c r="Y3459" t="s">
        <v>11670</v>
      </c>
    </row>
    <row r="3460" spans="1:25">
      <c r="A3460" t="s">
        <v>11671</v>
      </c>
      <c r="B3460" t="s">
        <v>11672</v>
      </c>
      <c r="D3460" t="s">
        <v>40</v>
      </c>
      <c r="E3460" t="s">
        <v>41</v>
      </c>
      <c r="J3460" t="s">
        <v>182</v>
      </c>
      <c r="K3460" t="s">
        <v>183</v>
      </c>
      <c r="L3460">
        <v>10</v>
      </c>
      <c r="M3460" t="s">
        <v>11669</v>
      </c>
      <c r="N3460" t="s">
        <v>64</v>
      </c>
      <c r="O3460" t="s">
        <v>46</v>
      </c>
      <c r="P3460" t="s">
        <v>46</v>
      </c>
      <c r="Y3460" t="s">
        <v>11673</v>
      </c>
    </row>
    <row r="3461" spans="1:25">
      <c r="A3461" t="s">
        <v>11674</v>
      </c>
      <c r="B3461" t="s">
        <v>11675</v>
      </c>
      <c r="D3461" t="s">
        <v>40</v>
      </c>
      <c r="E3461" t="s">
        <v>41</v>
      </c>
      <c r="J3461" t="s">
        <v>42</v>
      </c>
      <c r="K3461" t="s">
        <v>43</v>
      </c>
      <c r="L3461">
        <v>10</v>
      </c>
      <c r="M3461" t="s">
        <v>11676</v>
      </c>
      <c r="N3461" t="s">
        <v>1446</v>
      </c>
      <c r="O3461" t="s">
        <v>46</v>
      </c>
      <c r="P3461" t="s">
        <v>46</v>
      </c>
      <c r="Y3461" t="s">
        <v>11677</v>
      </c>
    </row>
    <row r="3462" spans="1:25">
      <c r="A3462" t="s">
        <v>11678</v>
      </c>
      <c r="B3462" t="s">
        <v>11679</v>
      </c>
      <c r="D3462" t="s">
        <v>40</v>
      </c>
      <c r="E3462" t="s">
        <v>41</v>
      </c>
      <c r="J3462" t="s">
        <v>62</v>
      </c>
      <c r="K3462" t="s">
        <v>63</v>
      </c>
      <c r="L3462">
        <v>10</v>
      </c>
      <c r="M3462" t="s">
        <v>11676</v>
      </c>
      <c r="N3462" t="s">
        <v>64</v>
      </c>
      <c r="O3462" t="s">
        <v>46</v>
      </c>
      <c r="P3462" t="s">
        <v>46</v>
      </c>
      <c r="Y3462" t="s">
        <v>11680</v>
      </c>
    </row>
    <row r="3463" spans="1:25">
      <c r="A3463" t="s">
        <v>11681</v>
      </c>
      <c r="B3463" t="s">
        <v>11682</v>
      </c>
      <c r="D3463" t="s">
        <v>40</v>
      </c>
      <c r="E3463" t="s">
        <v>41</v>
      </c>
      <c r="J3463" t="s">
        <v>76</v>
      </c>
      <c r="K3463" t="s">
        <v>77</v>
      </c>
      <c r="L3463">
        <v>10</v>
      </c>
      <c r="M3463" t="s">
        <v>11676</v>
      </c>
      <c r="N3463" t="s">
        <v>64</v>
      </c>
      <c r="O3463" t="s">
        <v>46</v>
      </c>
      <c r="P3463" t="s">
        <v>46</v>
      </c>
      <c r="Y3463" t="s">
        <v>11683</v>
      </c>
    </row>
    <row r="3464" spans="1:25">
      <c r="A3464" t="s">
        <v>11684</v>
      </c>
      <c r="B3464" t="s">
        <v>11685</v>
      </c>
      <c r="D3464" t="s">
        <v>40</v>
      </c>
      <c r="E3464" t="s">
        <v>41</v>
      </c>
      <c r="J3464" t="s">
        <v>42</v>
      </c>
      <c r="K3464" t="s">
        <v>43</v>
      </c>
      <c r="L3464">
        <v>10</v>
      </c>
      <c r="M3464" t="s">
        <v>11676</v>
      </c>
      <c r="N3464" t="s">
        <v>178</v>
      </c>
      <c r="O3464" t="s">
        <v>46</v>
      </c>
      <c r="P3464" t="s">
        <v>46</v>
      </c>
      <c r="Y3464" t="s">
        <v>11686</v>
      </c>
    </row>
    <row r="3465" spans="1:25">
      <c r="A3465" t="s">
        <v>11687</v>
      </c>
      <c r="B3465" t="s">
        <v>11688</v>
      </c>
      <c r="D3465" t="s">
        <v>40</v>
      </c>
      <c r="E3465" t="s">
        <v>41</v>
      </c>
      <c r="J3465" t="s">
        <v>68</v>
      </c>
      <c r="K3465" t="s">
        <v>69</v>
      </c>
      <c r="L3465">
        <v>10</v>
      </c>
      <c r="M3465" t="s">
        <v>11676</v>
      </c>
      <c r="N3465" t="s">
        <v>64</v>
      </c>
      <c r="O3465" t="s">
        <v>46</v>
      </c>
      <c r="P3465" t="s">
        <v>46</v>
      </c>
      <c r="Y3465" t="s">
        <v>11689</v>
      </c>
    </row>
    <row r="3466" spans="1:25">
      <c r="A3466" t="s">
        <v>11690</v>
      </c>
      <c r="B3466" t="s">
        <v>11691</v>
      </c>
      <c r="D3466" t="s">
        <v>40</v>
      </c>
      <c r="E3466" t="s">
        <v>41</v>
      </c>
      <c r="J3466" t="s">
        <v>76</v>
      </c>
      <c r="K3466" t="s">
        <v>77</v>
      </c>
      <c r="L3466">
        <v>10</v>
      </c>
      <c r="M3466" t="s">
        <v>11692</v>
      </c>
      <c r="N3466" t="s">
        <v>64</v>
      </c>
      <c r="O3466" t="s">
        <v>46</v>
      </c>
      <c r="P3466" t="s">
        <v>46</v>
      </c>
      <c r="Y3466" t="s">
        <v>11693</v>
      </c>
    </row>
    <row r="3467" spans="1:25">
      <c r="A3467" t="s">
        <v>11694</v>
      </c>
      <c r="B3467" t="s">
        <v>11695</v>
      </c>
      <c r="D3467" t="s">
        <v>40</v>
      </c>
      <c r="E3467" t="s">
        <v>41</v>
      </c>
      <c r="J3467" t="s">
        <v>182</v>
      </c>
      <c r="K3467" t="s">
        <v>183</v>
      </c>
      <c r="L3467">
        <v>10</v>
      </c>
      <c r="M3467" t="s">
        <v>11692</v>
      </c>
      <c r="N3467" t="s">
        <v>64</v>
      </c>
      <c r="O3467" t="s">
        <v>46</v>
      </c>
      <c r="P3467" t="s">
        <v>46</v>
      </c>
      <c r="Y3467" t="s">
        <v>11696</v>
      </c>
    </row>
    <row r="3468" spans="1:25">
      <c r="A3468" t="s">
        <v>11697</v>
      </c>
      <c r="B3468" t="s">
        <v>11698</v>
      </c>
      <c r="D3468" t="s">
        <v>40</v>
      </c>
      <c r="E3468" t="s">
        <v>41</v>
      </c>
      <c r="J3468" t="s">
        <v>182</v>
      </c>
      <c r="K3468" t="s">
        <v>183</v>
      </c>
      <c r="L3468">
        <v>10</v>
      </c>
      <c r="M3468" t="s">
        <v>11699</v>
      </c>
      <c r="N3468" t="s">
        <v>64</v>
      </c>
      <c r="O3468" t="s">
        <v>46</v>
      </c>
      <c r="P3468" t="s">
        <v>46</v>
      </c>
      <c r="Y3468" t="s">
        <v>11700</v>
      </c>
    </row>
    <row r="3469" spans="1:25">
      <c r="A3469" t="s">
        <v>11701</v>
      </c>
      <c r="B3469" t="s">
        <v>11702</v>
      </c>
      <c r="D3469" t="s">
        <v>40</v>
      </c>
      <c r="E3469" t="s">
        <v>41</v>
      </c>
      <c r="J3469" t="s">
        <v>182</v>
      </c>
      <c r="K3469" t="s">
        <v>183</v>
      </c>
      <c r="L3469">
        <v>10</v>
      </c>
      <c r="M3469" t="s">
        <v>11699</v>
      </c>
      <c r="N3469" t="s">
        <v>64</v>
      </c>
      <c r="O3469" t="s">
        <v>46</v>
      </c>
      <c r="P3469" t="s">
        <v>46</v>
      </c>
      <c r="Y3469" t="s">
        <v>11703</v>
      </c>
    </row>
    <row r="3470" spans="1:25">
      <c r="A3470" t="s">
        <v>11704</v>
      </c>
      <c r="B3470" t="s">
        <v>11705</v>
      </c>
      <c r="D3470" t="s">
        <v>40</v>
      </c>
      <c r="E3470" t="s">
        <v>41</v>
      </c>
      <c r="J3470" t="s">
        <v>182</v>
      </c>
      <c r="K3470" t="s">
        <v>183</v>
      </c>
      <c r="L3470">
        <v>10</v>
      </c>
      <c r="M3470" t="s">
        <v>11706</v>
      </c>
      <c r="N3470" t="s">
        <v>64</v>
      </c>
      <c r="O3470" t="s">
        <v>46</v>
      </c>
      <c r="P3470" t="s">
        <v>46</v>
      </c>
      <c r="Y3470" t="s">
        <v>11707</v>
      </c>
    </row>
    <row r="3471" spans="1:25">
      <c r="A3471" t="s">
        <v>11708</v>
      </c>
      <c r="B3471" t="s">
        <v>11709</v>
      </c>
      <c r="D3471" t="s">
        <v>40</v>
      </c>
      <c r="E3471" t="s">
        <v>41</v>
      </c>
      <c r="J3471" t="s">
        <v>76</v>
      </c>
      <c r="K3471" t="s">
        <v>77</v>
      </c>
      <c r="L3471">
        <v>10</v>
      </c>
      <c r="M3471" t="s">
        <v>11706</v>
      </c>
      <c r="N3471" t="s">
        <v>64</v>
      </c>
      <c r="O3471" t="s">
        <v>46</v>
      </c>
      <c r="P3471" t="s">
        <v>46</v>
      </c>
      <c r="Y3471" t="s">
        <v>11710</v>
      </c>
    </row>
    <row r="3472" spans="1:25">
      <c r="A3472" t="s">
        <v>11711</v>
      </c>
      <c r="B3472" t="s">
        <v>11712</v>
      </c>
      <c r="D3472" t="s">
        <v>40</v>
      </c>
      <c r="E3472" t="s">
        <v>41</v>
      </c>
      <c r="J3472" t="s">
        <v>76</v>
      </c>
      <c r="K3472" t="s">
        <v>77</v>
      </c>
      <c r="L3472">
        <v>10</v>
      </c>
      <c r="M3472" t="s">
        <v>11706</v>
      </c>
      <c r="N3472" t="s">
        <v>64</v>
      </c>
      <c r="O3472" t="s">
        <v>46</v>
      </c>
      <c r="P3472" t="s">
        <v>46</v>
      </c>
      <c r="Y3472" t="s">
        <v>11713</v>
      </c>
    </row>
    <row r="3473" spans="1:25">
      <c r="A3473" t="s">
        <v>11714</v>
      </c>
      <c r="B3473" t="s">
        <v>11715</v>
      </c>
      <c r="D3473" t="s">
        <v>40</v>
      </c>
      <c r="E3473" t="s">
        <v>41</v>
      </c>
      <c r="J3473" t="s">
        <v>182</v>
      </c>
      <c r="K3473" t="s">
        <v>183</v>
      </c>
      <c r="L3473">
        <v>10</v>
      </c>
      <c r="M3473" t="s">
        <v>11706</v>
      </c>
      <c r="N3473" t="s">
        <v>64</v>
      </c>
      <c r="O3473" t="s">
        <v>46</v>
      </c>
      <c r="P3473" t="s">
        <v>46</v>
      </c>
      <c r="Y3473" t="s">
        <v>11716</v>
      </c>
    </row>
    <row r="3474" spans="1:25">
      <c r="A3474" t="s">
        <v>11717</v>
      </c>
      <c r="B3474" t="s">
        <v>11718</v>
      </c>
      <c r="D3474" t="s">
        <v>40</v>
      </c>
      <c r="E3474" t="s">
        <v>41</v>
      </c>
      <c r="J3474" t="s">
        <v>68</v>
      </c>
      <c r="K3474" t="s">
        <v>69</v>
      </c>
      <c r="L3474">
        <v>10</v>
      </c>
      <c r="M3474" t="s">
        <v>11719</v>
      </c>
      <c r="N3474" t="s">
        <v>64</v>
      </c>
      <c r="O3474" t="s">
        <v>46</v>
      </c>
      <c r="P3474" t="s">
        <v>46</v>
      </c>
      <c r="Y3474" t="s">
        <v>11720</v>
      </c>
    </row>
    <row r="3475" spans="1:25">
      <c r="A3475" t="s">
        <v>11721</v>
      </c>
      <c r="B3475" t="s">
        <v>11722</v>
      </c>
      <c r="D3475" t="s">
        <v>40</v>
      </c>
      <c r="E3475" t="s">
        <v>41</v>
      </c>
      <c r="J3475" t="s">
        <v>76</v>
      </c>
      <c r="K3475" t="s">
        <v>77</v>
      </c>
      <c r="L3475">
        <v>10</v>
      </c>
      <c r="M3475" t="s">
        <v>11719</v>
      </c>
      <c r="N3475" t="s">
        <v>64</v>
      </c>
      <c r="O3475" t="s">
        <v>46</v>
      </c>
      <c r="P3475" t="s">
        <v>46</v>
      </c>
      <c r="Y3475" t="s">
        <v>11723</v>
      </c>
    </row>
    <row r="3476" spans="1:25">
      <c r="A3476" t="s">
        <v>11724</v>
      </c>
      <c r="B3476" t="s">
        <v>11725</v>
      </c>
      <c r="D3476" t="s">
        <v>40</v>
      </c>
      <c r="E3476" t="s">
        <v>41</v>
      </c>
      <c r="J3476" t="s">
        <v>182</v>
      </c>
      <c r="K3476" t="s">
        <v>183</v>
      </c>
      <c r="L3476">
        <v>10</v>
      </c>
      <c r="M3476" t="s">
        <v>11726</v>
      </c>
      <c r="N3476" t="s">
        <v>64</v>
      </c>
      <c r="O3476" t="s">
        <v>46</v>
      </c>
      <c r="P3476" t="s">
        <v>46</v>
      </c>
      <c r="Y3476" t="s">
        <v>11727</v>
      </c>
    </row>
    <row r="3477" spans="1:25">
      <c r="A3477" t="s">
        <v>11728</v>
      </c>
      <c r="B3477" t="s">
        <v>11729</v>
      </c>
      <c r="D3477" t="s">
        <v>40</v>
      </c>
      <c r="E3477" t="s">
        <v>41</v>
      </c>
      <c r="J3477" t="s">
        <v>182</v>
      </c>
      <c r="K3477" t="s">
        <v>183</v>
      </c>
      <c r="L3477">
        <v>10</v>
      </c>
      <c r="M3477" t="s">
        <v>11726</v>
      </c>
      <c r="N3477" t="s">
        <v>64</v>
      </c>
      <c r="O3477" t="s">
        <v>46</v>
      </c>
      <c r="P3477" t="s">
        <v>46</v>
      </c>
      <c r="Y3477" t="s">
        <v>11730</v>
      </c>
    </row>
    <row r="3478" spans="1:25">
      <c r="A3478" t="s">
        <v>11731</v>
      </c>
      <c r="B3478" t="s">
        <v>11732</v>
      </c>
      <c r="D3478" t="s">
        <v>40</v>
      </c>
      <c r="E3478" t="s">
        <v>41</v>
      </c>
      <c r="J3478" t="s">
        <v>68</v>
      </c>
      <c r="K3478" t="s">
        <v>69</v>
      </c>
      <c r="L3478">
        <v>10</v>
      </c>
      <c r="M3478" t="s">
        <v>11726</v>
      </c>
      <c r="N3478" t="s">
        <v>64</v>
      </c>
      <c r="O3478" t="s">
        <v>46</v>
      </c>
      <c r="P3478" t="s">
        <v>46</v>
      </c>
      <c r="Y3478" t="s">
        <v>11733</v>
      </c>
    </row>
    <row r="3479" spans="1:25">
      <c r="A3479" t="s">
        <v>11734</v>
      </c>
      <c r="B3479" t="s">
        <v>11735</v>
      </c>
      <c r="D3479" t="s">
        <v>40</v>
      </c>
      <c r="E3479" t="s">
        <v>41</v>
      </c>
      <c r="J3479" t="s">
        <v>68</v>
      </c>
      <c r="K3479" t="s">
        <v>69</v>
      </c>
      <c r="L3479">
        <v>10</v>
      </c>
      <c r="M3479" t="s">
        <v>11736</v>
      </c>
      <c r="N3479" t="s">
        <v>64</v>
      </c>
      <c r="O3479" t="s">
        <v>46</v>
      </c>
      <c r="P3479" t="s">
        <v>46</v>
      </c>
      <c r="Y3479" t="s">
        <v>11737</v>
      </c>
    </row>
    <row r="3480" spans="1:25">
      <c r="A3480" t="s">
        <v>11738</v>
      </c>
      <c r="B3480" t="s">
        <v>11739</v>
      </c>
      <c r="D3480" t="s">
        <v>40</v>
      </c>
      <c r="E3480" t="s">
        <v>41</v>
      </c>
      <c r="J3480" t="s">
        <v>182</v>
      </c>
      <c r="K3480" t="s">
        <v>183</v>
      </c>
      <c r="L3480">
        <v>10</v>
      </c>
      <c r="M3480" t="s">
        <v>11736</v>
      </c>
      <c r="N3480" t="s">
        <v>64</v>
      </c>
      <c r="O3480" t="s">
        <v>46</v>
      </c>
      <c r="P3480" t="s">
        <v>46</v>
      </c>
      <c r="Y3480" t="s">
        <v>11740</v>
      </c>
    </row>
    <row r="3481" spans="1:25">
      <c r="A3481" t="s">
        <v>11741</v>
      </c>
      <c r="B3481" t="s">
        <v>11742</v>
      </c>
      <c r="D3481" t="s">
        <v>40</v>
      </c>
      <c r="E3481" t="s">
        <v>41</v>
      </c>
      <c r="J3481" t="s">
        <v>76</v>
      </c>
      <c r="K3481" t="s">
        <v>77</v>
      </c>
      <c r="L3481">
        <v>10</v>
      </c>
      <c r="M3481" t="s">
        <v>11736</v>
      </c>
      <c r="N3481" t="s">
        <v>64</v>
      </c>
      <c r="O3481" t="s">
        <v>46</v>
      </c>
      <c r="P3481" t="s">
        <v>46</v>
      </c>
      <c r="Y3481" t="s">
        <v>11743</v>
      </c>
    </row>
    <row r="3482" spans="1:25">
      <c r="A3482" t="s">
        <v>11744</v>
      </c>
      <c r="B3482" t="s">
        <v>11745</v>
      </c>
      <c r="D3482" t="s">
        <v>40</v>
      </c>
      <c r="E3482" t="s">
        <v>41</v>
      </c>
      <c r="J3482" t="s">
        <v>76</v>
      </c>
      <c r="K3482" t="s">
        <v>77</v>
      </c>
      <c r="L3482">
        <v>10</v>
      </c>
      <c r="M3482" t="s">
        <v>11736</v>
      </c>
      <c r="N3482" t="s">
        <v>64</v>
      </c>
      <c r="O3482" t="s">
        <v>46</v>
      </c>
      <c r="P3482" t="s">
        <v>46</v>
      </c>
      <c r="Y3482" t="s">
        <v>11746</v>
      </c>
    </row>
    <row r="3483" spans="1:25">
      <c r="A3483" t="s">
        <v>11747</v>
      </c>
      <c r="B3483" t="s">
        <v>11748</v>
      </c>
      <c r="D3483" t="s">
        <v>40</v>
      </c>
      <c r="E3483" t="s">
        <v>41</v>
      </c>
      <c r="J3483" t="s">
        <v>182</v>
      </c>
      <c r="K3483" t="s">
        <v>183</v>
      </c>
      <c r="L3483">
        <v>10</v>
      </c>
      <c r="M3483" t="s">
        <v>11749</v>
      </c>
      <c r="N3483" t="s">
        <v>64</v>
      </c>
      <c r="O3483" t="s">
        <v>46</v>
      </c>
      <c r="P3483" t="s">
        <v>46</v>
      </c>
      <c r="Y3483" t="s">
        <v>11750</v>
      </c>
    </row>
    <row r="3484" spans="1:25">
      <c r="A3484" t="s">
        <v>11751</v>
      </c>
      <c r="B3484" t="s">
        <v>11752</v>
      </c>
      <c r="D3484" t="s">
        <v>40</v>
      </c>
      <c r="E3484" t="s">
        <v>41</v>
      </c>
      <c r="J3484" t="s">
        <v>182</v>
      </c>
      <c r="K3484" t="s">
        <v>183</v>
      </c>
      <c r="L3484">
        <v>10</v>
      </c>
      <c r="M3484" t="s">
        <v>11749</v>
      </c>
      <c r="N3484" t="s">
        <v>64</v>
      </c>
      <c r="O3484" t="s">
        <v>46</v>
      </c>
      <c r="P3484" t="s">
        <v>46</v>
      </c>
      <c r="Y3484" t="s">
        <v>11753</v>
      </c>
    </row>
    <row r="3485" spans="1:25">
      <c r="A3485" t="s">
        <v>11754</v>
      </c>
      <c r="B3485" t="s">
        <v>11755</v>
      </c>
      <c r="D3485" t="s">
        <v>40</v>
      </c>
      <c r="E3485" t="s">
        <v>41</v>
      </c>
      <c r="J3485" t="s">
        <v>76</v>
      </c>
      <c r="K3485" t="s">
        <v>77</v>
      </c>
      <c r="L3485">
        <v>10</v>
      </c>
      <c r="M3485" t="s">
        <v>11749</v>
      </c>
      <c r="N3485" t="s">
        <v>64</v>
      </c>
      <c r="O3485" t="s">
        <v>46</v>
      </c>
      <c r="P3485" t="s">
        <v>46</v>
      </c>
      <c r="Y3485" t="s">
        <v>11756</v>
      </c>
    </row>
    <row r="3486" spans="1:25">
      <c r="A3486" t="s">
        <v>11757</v>
      </c>
      <c r="B3486" t="s">
        <v>11758</v>
      </c>
      <c r="D3486" t="s">
        <v>40</v>
      </c>
      <c r="E3486" t="s">
        <v>41</v>
      </c>
      <c r="J3486" t="s">
        <v>76</v>
      </c>
      <c r="K3486" t="s">
        <v>77</v>
      </c>
      <c r="L3486">
        <v>10</v>
      </c>
      <c r="M3486" t="s">
        <v>11749</v>
      </c>
      <c r="N3486" t="s">
        <v>64</v>
      </c>
      <c r="O3486" t="s">
        <v>46</v>
      </c>
      <c r="P3486" t="s">
        <v>46</v>
      </c>
      <c r="Y3486" t="s">
        <v>11759</v>
      </c>
    </row>
    <row r="3487" spans="1:25">
      <c r="A3487" t="s">
        <v>11760</v>
      </c>
      <c r="B3487" t="s">
        <v>11761</v>
      </c>
      <c r="D3487" t="s">
        <v>40</v>
      </c>
      <c r="E3487" t="s">
        <v>41</v>
      </c>
      <c r="J3487" t="s">
        <v>182</v>
      </c>
      <c r="K3487" t="s">
        <v>183</v>
      </c>
      <c r="L3487">
        <v>10</v>
      </c>
      <c r="M3487" t="s">
        <v>11749</v>
      </c>
      <c r="N3487" t="s">
        <v>64</v>
      </c>
      <c r="O3487" t="s">
        <v>46</v>
      </c>
      <c r="P3487" t="s">
        <v>46</v>
      </c>
      <c r="Y3487" t="s">
        <v>11762</v>
      </c>
    </row>
    <row r="3488" spans="1:25">
      <c r="A3488" t="s">
        <v>11763</v>
      </c>
      <c r="B3488" t="s">
        <v>11764</v>
      </c>
      <c r="D3488" t="s">
        <v>40</v>
      </c>
      <c r="E3488" t="s">
        <v>41</v>
      </c>
      <c r="J3488" t="s">
        <v>182</v>
      </c>
      <c r="K3488" t="s">
        <v>183</v>
      </c>
      <c r="L3488">
        <v>10</v>
      </c>
      <c r="M3488" t="s">
        <v>11765</v>
      </c>
      <c r="N3488" t="s">
        <v>64</v>
      </c>
      <c r="O3488" t="s">
        <v>46</v>
      </c>
      <c r="P3488" t="s">
        <v>46</v>
      </c>
      <c r="Y3488" t="s">
        <v>11766</v>
      </c>
    </row>
    <row r="3489" spans="1:25">
      <c r="A3489" t="s">
        <v>11767</v>
      </c>
      <c r="B3489" t="s">
        <v>11768</v>
      </c>
      <c r="D3489" t="s">
        <v>40</v>
      </c>
      <c r="E3489" t="s">
        <v>41</v>
      </c>
      <c r="J3489" t="s">
        <v>182</v>
      </c>
      <c r="K3489" t="s">
        <v>183</v>
      </c>
      <c r="L3489">
        <v>10</v>
      </c>
      <c r="M3489" t="s">
        <v>11765</v>
      </c>
      <c r="N3489" t="s">
        <v>64</v>
      </c>
      <c r="O3489" t="s">
        <v>46</v>
      </c>
      <c r="P3489" t="s">
        <v>46</v>
      </c>
      <c r="Y3489" t="s">
        <v>11769</v>
      </c>
    </row>
    <row r="3490" spans="1:25">
      <c r="A3490" t="s">
        <v>11770</v>
      </c>
      <c r="B3490" t="s">
        <v>11771</v>
      </c>
      <c r="D3490" t="s">
        <v>40</v>
      </c>
      <c r="E3490" t="s">
        <v>41</v>
      </c>
      <c r="J3490" t="s">
        <v>182</v>
      </c>
      <c r="K3490" t="s">
        <v>183</v>
      </c>
      <c r="L3490">
        <v>10</v>
      </c>
      <c r="M3490" t="s">
        <v>11765</v>
      </c>
      <c r="N3490" t="s">
        <v>64</v>
      </c>
      <c r="O3490" t="s">
        <v>46</v>
      </c>
      <c r="P3490" t="s">
        <v>46</v>
      </c>
      <c r="Y3490" t="s">
        <v>11772</v>
      </c>
    </row>
    <row r="3491" spans="1:25">
      <c r="A3491" t="s">
        <v>11773</v>
      </c>
      <c r="B3491" t="s">
        <v>11774</v>
      </c>
      <c r="D3491" t="s">
        <v>40</v>
      </c>
      <c r="E3491" t="s">
        <v>41</v>
      </c>
      <c r="J3491" t="s">
        <v>182</v>
      </c>
      <c r="K3491" t="s">
        <v>183</v>
      </c>
      <c r="L3491">
        <v>10</v>
      </c>
      <c r="M3491" t="s">
        <v>11775</v>
      </c>
      <c r="N3491" t="s">
        <v>64</v>
      </c>
      <c r="O3491" t="s">
        <v>46</v>
      </c>
      <c r="P3491" t="s">
        <v>46</v>
      </c>
      <c r="Y3491" t="s">
        <v>11776</v>
      </c>
    </row>
    <row r="3492" spans="1:25">
      <c r="A3492" t="s">
        <v>11777</v>
      </c>
      <c r="B3492" t="s">
        <v>11778</v>
      </c>
      <c r="D3492" t="s">
        <v>40</v>
      </c>
      <c r="E3492" t="s">
        <v>41</v>
      </c>
      <c r="J3492" t="s">
        <v>68</v>
      </c>
      <c r="K3492" t="s">
        <v>69</v>
      </c>
      <c r="L3492">
        <v>10</v>
      </c>
      <c r="M3492" t="s">
        <v>11775</v>
      </c>
      <c r="N3492" t="s">
        <v>64</v>
      </c>
      <c r="O3492" t="s">
        <v>46</v>
      </c>
      <c r="P3492" t="s">
        <v>46</v>
      </c>
      <c r="Y3492" t="s">
        <v>11779</v>
      </c>
    </row>
    <row r="3493" spans="1:25">
      <c r="A3493" t="s">
        <v>11780</v>
      </c>
      <c r="B3493" t="s">
        <v>11781</v>
      </c>
      <c r="D3493" t="s">
        <v>40</v>
      </c>
      <c r="E3493" t="s">
        <v>41</v>
      </c>
      <c r="J3493" t="s">
        <v>182</v>
      </c>
      <c r="K3493" t="s">
        <v>183</v>
      </c>
      <c r="L3493">
        <v>10</v>
      </c>
      <c r="M3493" t="s">
        <v>11775</v>
      </c>
      <c r="N3493" t="s">
        <v>64</v>
      </c>
      <c r="O3493" t="s">
        <v>46</v>
      </c>
      <c r="P3493" t="s">
        <v>46</v>
      </c>
      <c r="Y3493" t="s">
        <v>11782</v>
      </c>
    </row>
    <row r="3494" spans="1:25">
      <c r="A3494" t="s">
        <v>11783</v>
      </c>
      <c r="B3494" t="s">
        <v>11784</v>
      </c>
      <c r="D3494" t="s">
        <v>40</v>
      </c>
      <c r="E3494" t="s">
        <v>41</v>
      </c>
      <c r="J3494" t="s">
        <v>68</v>
      </c>
      <c r="K3494" t="s">
        <v>69</v>
      </c>
      <c r="L3494">
        <v>10</v>
      </c>
      <c r="M3494" t="s">
        <v>11775</v>
      </c>
      <c r="N3494" t="s">
        <v>64</v>
      </c>
      <c r="O3494" t="s">
        <v>46</v>
      </c>
      <c r="P3494" t="s">
        <v>46</v>
      </c>
      <c r="Y3494" t="s">
        <v>11785</v>
      </c>
    </row>
    <row r="3495" spans="1:25">
      <c r="A3495" t="s">
        <v>11786</v>
      </c>
      <c r="B3495" t="s">
        <v>11787</v>
      </c>
      <c r="D3495" t="s">
        <v>40</v>
      </c>
      <c r="E3495" t="s">
        <v>41</v>
      </c>
      <c r="J3495" t="s">
        <v>182</v>
      </c>
      <c r="K3495" t="s">
        <v>183</v>
      </c>
      <c r="L3495">
        <v>10</v>
      </c>
      <c r="M3495" t="s">
        <v>11775</v>
      </c>
      <c r="N3495" t="s">
        <v>64</v>
      </c>
      <c r="O3495" t="s">
        <v>46</v>
      </c>
      <c r="P3495" t="s">
        <v>46</v>
      </c>
      <c r="Y3495" t="s">
        <v>11788</v>
      </c>
    </row>
    <row r="3496" spans="1:25">
      <c r="A3496" t="s">
        <v>11789</v>
      </c>
      <c r="B3496" t="s">
        <v>11790</v>
      </c>
      <c r="D3496" t="s">
        <v>40</v>
      </c>
      <c r="E3496" t="s">
        <v>41</v>
      </c>
      <c r="J3496" t="s">
        <v>42</v>
      </c>
      <c r="K3496" t="s">
        <v>43</v>
      </c>
      <c r="L3496">
        <v>10</v>
      </c>
      <c r="M3496" t="s">
        <v>11791</v>
      </c>
      <c r="N3496" t="s">
        <v>2346</v>
      </c>
      <c r="O3496" t="s">
        <v>46</v>
      </c>
      <c r="P3496" t="s">
        <v>46</v>
      </c>
      <c r="Y3496" t="s">
        <v>11792</v>
      </c>
    </row>
    <row r="3497" spans="1:25">
      <c r="A3497" t="s">
        <v>11793</v>
      </c>
      <c r="B3497" t="s">
        <v>11794</v>
      </c>
      <c r="D3497" t="s">
        <v>40</v>
      </c>
      <c r="E3497" t="s">
        <v>41</v>
      </c>
      <c r="J3497" t="s">
        <v>76</v>
      </c>
      <c r="K3497" t="s">
        <v>77</v>
      </c>
      <c r="L3497">
        <v>10</v>
      </c>
      <c r="M3497" t="s">
        <v>11795</v>
      </c>
      <c r="N3497" t="s">
        <v>64</v>
      </c>
      <c r="O3497" t="s">
        <v>46</v>
      </c>
      <c r="P3497" t="s">
        <v>46</v>
      </c>
      <c r="Y3497" t="s">
        <v>11796</v>
      </c>
    </row>
    <row r="3498" spans="1:25">
      <c r="A3498" t="s">
        <v>11797</v>
      </c>
      <c r="B3498" t="s">
        <v>11798</v>
      </c>
      <c r="D3498" t="s">
        <v>40</v>
      </c>
      <c r="E3498" t="s">
        <v>41</v>
      </c>
      <c r="J3498" t="s">
        <v>76</v>
      </c>
      <c r="K3498" t="s">
        <v>77</v>
      </c>
      <c r="L3498">
        <v>10</v>
      </c>
      <c r="M3498" t="s">
        <v>11795</v>
      </c>
      <c r="N3498" t="s">
        <v>64</v>
      </c>
      <c r="O3498" t="s">
        <v>46</v>
      </c>
      <c r="P3498" t="s">
        <v>46</v>
      </c>
      <c r="Y3498" t="s">
        <v>11799</v>
      </c>
    </row>
    <row r="3499" spans="1:25">
      <c r="A3499" t="s">
        <v>11800</v>
      </c>
      <c r="B3499" t="s">
        <v>11801</v>
      </c>
      <c r="D3499" t="s">
        <v>40</v>
      </c>
      <c r="E3499" t="s">
        <v>41</v>
      </c>
      <c r="J3499" t="s">
        <v>11802</v>
      </c>
      <c r="K3499" t="s">
        <v>11803</v>
      </c>
      <c r="L3499">
        <v>10</v>
      </c>
      <c r="M3499" t="s">
        <v>11795</v>
      </c>
      <c r="N3499" t="s">
        <v>1397</v>
      </c>
      <c r="O3499" t="s">
        <v>46</v>
      </c>
      <c r="P3499" t="s">
        <v>46</v>
      </c>
      <c r="Y3499" t="s">
        <v>11804</v>
      </c>
    </row>
    <row r="3500" spans="1:25">
      <c r="A3500" t="s">
        <v>11805</v>
      </c>
      <c r="B3500" t="s">
        <v>11806</v>
      </c>
      <c r="D3500" t="s">
        <v>40</v>
      </c>
      <c r="E3500" t="s">
        <v>41</v>
      </c>
      <c r="J3500" t="s">
        <v>182</v>
      </c>
      <c r="K3500" t="s">
        <v>183</v>
      </c>
      <c r="L3500">
        <v>10</v>
      </c>
      <c r="M3500" t="s">
        <v>11795</v>
      </c>
      <c r="N3500" t="s">
        <v>64</v>
      </c>
      <c r="O3500" t="s">
        <v>46</v>
      </c>
      <c r="P3500" t="s">
        <v>46</v>
      </c>
      <c r="Y3500" t="s">
        <v>11807</v>
      </c>
    </row>
    <row r="3501" spans="1:25">
      <c r="A3501" t="s">
        <v>11808</v>
      </c>
      <c r="B3501" t="s">
        <v>11809</v>
      </c>
      <c r="D3501" t="s">
        <v>40</v>
      </c>
      <c r="E3501" t="s">
        <v>41</v>
      </c>
      <c r="J3501" t="s">
        <v>248</v>
      </c>
      <c r="K3501" t="s">
        <v>249</v>
      </c>
      <c r="L3501">
        <v>10</v>
      </c>
      <c r="M3501" t="s">
        <v>11810</v>
      </c>
      <c r="N3501" t="s">
        <v>3013</v>
      </c>
      <c r="O3501" t="s">
        <v>46</v>
      </c>
      <c r="P3501" t="s">
        <v>46</v>
      </c>
      <c r="Y3501" t="s">
        <v>11811</v>
      </c>
    </row>
    <row r="3502" spans="1:25">
      <c r="A3502" t="s">
        <v>11812</v>
      </c>
      <c r="B3502" t="s">
        <v>11813</v>
      </c>
      <c r="D3502" t="s">
        <v>40</v>
      </c>
      <c r="E3502" t="s">
        <v>41</v>
      </c>
      <c r="J3502" t="s">
        <v>42</v>
      </c>
      <c r="K3502" t="s">
        <v>43</v>
      </c>
      <c r="L3502">
        <v>10</v>
      </c>
      <c r="M3502" t="s">
        <v>11810</v>
      </c>
      <c r="N3502" t="s">
        <v>4037</v>
      </c>
      <c r="O3502" t="s">
        <v>46</v>
      </c>
      <c r="P3502" t="s">
        <v>46</v>
      </c>
      <c r="Y3502" t="s">
        <v>11814</v>
      </c>
    </row>
    <row r="3503" spans="1:25">
      <c r="A3503" t="s">
        <v>11815</v>
      </c>
      <c r="B3503" t="s">
        <v>11816</v>
      </c>
      <c r="D3503" t="s">
        <v>40</v>
      </c>
      <c r="E3503" t="s">
        <v>41</v>
      </c>
      <c r="J3503" t="s">
        <v>76</v>
      </c>
      <c r="K3503" t="s">
        <v>77</v>
      </c>
      <c r="L3503">
        <v>10</v>
      </c>
      <c r="M3503" t="s">
        <v>11817</v>
      </c>
      <c r="N3503" t="s">
        <v>64</v>
      </c>
      <c r="O3503" t="s">
        <v>46</v>
      </c>
      <c r="P3503" t="s">
        <v>46</v>
      </c>
      <c r="Y3503" t="s">
        <v>11818</v>
      </c>
    </row>
    <row r="3504" spans="1:25">
      <c r="A3504" t="s">
        <v>11819</v>
      </c>
      <c r="B3504" t="s">
        <v>11820</v>
      </c>
      <c r="D3504" t="s">
        <v>40</v>
      </c>
      <c r="E3504" t="s">
        <v>41</v>
      </c>
      <c r="J3504" t="s">
        <v>76</v>
      </c>
      <c r="K3504" t="s">
        <v>77</v>
      </c>
      <c r="L3504">
        <v>10</v>
      </c>
      <c r="M3504" t="s">
        <v>11821</v>
      </c>
      <c r="N3504" t="s">
        <v>64</v>
      </c>
      <c r="O3504" t="s">
        <v>46</v>
      </c>
      <c r="P3504" t="s">
        <v>46</v>
      </c>
      <c r="Y3504" t="s">
        <v>11822</v>
      </c>
    </row>
    <row r="3505" spans="1:25">
      <c r="A3505" t="s">
        <v>11823</v>
      </c>
      <c r="B3505" t="s">
        <v>11824</v>
      </c>
      <c r="D3505" t="s">
        <v>40</v>
      </c>
      <c r="E3505" t="s">
        <v>41</v>
      </c>
      <c r="J3505" t="s">
        <v>76</v>
      </c>
      <c r="K3505" t="s">
        <v>77</v>
      </c>
      <c r="L3505">
        <v>9</v>
      </c>
      <c r="M3505" t="s">
        <v>11825</v>
      </c>
      <c r="N3505" t="s">
        <v>64</v>
      </c>
      <c r="O3505" t="s">
        <v>46</v>
      </c>
      <c r="P3505" t="s">
        <v>46</v>
      </c>
      <c r="Y3505" t="s">
        <v>11826</v>
      </c>
    </row>
    <row r="3506" spans="1:25">
      <c r="A3506" t="s">
        <v>11827</v>
      </c>
      <c r="B3506" t="s">
        <v>11828</v>
      </c>
      <c r="D3506" t="s">
        <v>40</v>
      </c>
      <c r="E3506" t="s">
        <v>41</v>
      </c>
      <c r="J3506" t="s">
        <v>62</v>
      </c>
      <c r="K3506" t="s">
        <v>63</v>
      </c>
      <c r="L3506">
        <v>11</v>
      </c>
      <c r="M3506" t="s">
        <v>11825</v>
      </c>
      <c r="N3506" t="s">
        <v>64</v>
      </c>
      <c r="O3506" t="s">
        <v>46</v>
      </c>
      <c r="P3506" t="s">
        <v>46</v>
      </c>
      <c r="Y3506" t="s">
        <v>11829</v>
      </c>
    </row>
    <row r="3507" spans="1:25">
      <c r="A3507" t="s">
        <v>11830</v>
      </c>
      <c r="B3507" t="s">
        <v>11831</v>
      </c>
      <c r="D3507" t="s">
        <v>40</v>
      </c>
      <c r="E3507" t="s">
        <v>41</v>
      </c>
      <c r="J3507" t="s">
        <v>645</v>
      </c>
      <c r="K3507" t="s">
        <v>646</v>
      </c>
      <c r="L3507">
        <v>10</v>
      </c>
      <c r="M3507" t="s">
        <v>11825</v>
      </c>
      <c r="N3507" t="s">
        <v>64</v>
      </c>
      <c r="O3507" t="s">
        <v>46</v>
      </c>
      <c r="P3507" t="s">
        <v>46</v>
      </c>
      <c r="Y3507" t="s">
        <v>11832</v>
      </c>
    </row>
    <row r="3508" spans="1:25">
      <c r="A3508" t="s">
        <v>11833</v>
      </c>
      <c r="B3508" t="s">
        <v>11834</v>
      </c>
      <c r="D3508" t="s">
        <v>40</v>
      </c>
      <c r="E3508" t="s">
        <v>41</v>
      </c>
      <c r="J3508" t="s">
        <v>248</v>
      </c>
      <c r="K3508" t="s">
        <v>249</v>
      </c>
      <c r="L3508">
        <v>10</v>
      </c>
      <c r="M3508" t="s">
        <v>11825</v>
      </c>
      <c r="N3508" t="s">
        <v>257</v>
      </c>
      <c r="O3508" t="s">
        <v>46</v>
      </c>
      <c r="P3508" t="s">
        <v>46</v>
      </c>
      <c r="Y3508" t="s">
        <v>11835</v>
      </c>
    </row>
    <row r="3509" spans="1:25">
      <c r="A3509" t="s">
        <v>11836</v>
      </c>
      <c r="B3509" t="s">
        <v>11837</v>
      </c>
      <c r="D3509" t="s">
        <v>40</v>
      </c>
      <c r="E3509" t="s">
        <v>41</v>
      </c>
      <c r="J3509" t="s">
        <v>62</v>
      </c>
      <c r="K3509" t="s">
        <v>63</v>
      </c>
      <c r="L3509">
        <v>11</v>
      </c>
      <c r="M3509" t="s">
        <v>11838</v>
      </c>
      <c r="N3509" t="s">
        <v>64</v>
      </c>
      <c r="O3509" t="s">
        <v>46</v>
      </c>
      <c r="P3509" t="s">
        <v>46</v>
      </c>
      <c r="Y3509" t="s">
        <v>11839</v>
      </c>
    </row>
    <row r="3510" spans="1:25">
      <c r="A3510" t="s">
        <v>11840</v>
      </c>
      <c r="B3510" t="s">
        <v>11841</v>
      </c>
      <c r="D3510" t="s">
        <v>40</v>
      </c>
      <c r="E3510" t="s">
        <v>41</v>
      </c>
      <c r="J3510" t="s">
        <v>62</v>
      </c>
      <c r="K3510" t="s">
        <v>63</v>
      </c>
      <c r="L3510">
        <v>11</v>
      </c>
      <c r="M3510" t="s">
        <v>11842</v>
      </c>
      <c r="N3510" t="s">
        <v>64</v>
      </c>
      <c r="O3510" t="s">
        <v>46</v>
      </c>
      <c r="P3510" t="s">
        <v>46</v>
      </c>
      <c r="Y3510" t="s">
        <v>11843</v>
      </c>
    </row>
    <row r="3511" spans="1:25">
      <c r="A3511" t="s">
        <v>11844</v>
      </c>
      <c r="B3511" t="s">
        <v>11845</v>
      </c>
      <c r="D3511" t="s">
        <v>40</v>
      </c>
      <c r="E3511" t="s">
        <v>41</v>
      </c>
      <c r="J3511" t="s">
        <v>62</v>
      </c>
      <c r="K3511" t="s">
        <v>63</v>
      </c>
      <c r="L3511">
        <v>11</v>
      </c>
      <c r="M3511" t="s">
        <v>11842</v>
      </c>
      <c r="N3511" t="s">
        <v>64</v>
      </c>
      <c r="O3511" t="s">
        <v>46</v>
      </c>
      <c r="P3511" t="s">
        <v>46</v>
      </c>
      <c r="Y3511" t="s">
        <v>11846</v>
      </c>
    </row>
    <row r="3512" spans="1:25">
      <c r="A3512" t="s">
        <v>11847</v>
      </c>
      <c r="B3512" t="s">
        <v>11848</v>
      </c>
      <c r="D3512" t="s">
        <v>40</v>
      </c>
      <c r="E3512" t="s">
        <v>41</v>
      </c>
      <c r="J3512" t="s">
        <v>62</v>
      </c>
      <c r="K3512" t="s">
        <v>63</v>
      </c>
      <c r="L3512">
        <v>11</v>
      </c>
      <c r="M3512" t="s">
        <v>11842</v>
      </c>
      <c r="N3512" t="s">
        <v>64</v>
      </c>
      <c r="O3512" t="s">
        <v>46</v>
      </c>
      <c r="P3512" t="s">
        <v>46</v>
      </c>
      <c r="Y3512" t="s">
        <v>11849</v>
      </c>
    </row>
    <row r="3513" spans="1:25">
      <c r="A3513" t="s">
        <v>11850</v>
      </c>
      <c r="B3513" t="s">
        <v>11851</v>
      </c>
      <c r="D3513" t="s">
        <v>40</v>
      </c>
      <c r="E3513" t="s">
        <v>41</v>
      </c>
      <c r="J3513" t="s">
        <v>62</v>
      </c>
      <c r="K3513" t="s">
        <v>63</v>
      </c>
      <c r="L3513">
        <v>11</v>
      </c>
      <c r="M3513" t="s">
        <v>11842</v>
      </c>
      <c r="N3513" t="s">
        <v>64</v>
      </c>
      <c r="O3513" t="s">
        <v>46</v>
      </c>
      <c r="P3513" t="s">
        <v>46</v>
      </c>
      <c r="Y3513" t="s">
        <v>11852</v>
      </c>
    </row>
    <row r="3514" spans="1:25">
      <c r="A3514" t="s">
        <v>11853</v>
      </c>
      <c r="B3514" t="s">
        <v>11854</v>
      </c>
      <c r="D3514" t="s">
        <v>40</v>
      </c>
      <c r="E3514" t="s">
        <v>41</v>
      </c>
      <c r="J3514" t="s">
        <v>68</v>
      </c>
      <c r="K3514" t="s">
        <v>69</v>
      </c>
      <c r="L3514">
        <v>11</v>
      </c>
      <c r="M3514" t="s">
        <v>11842</v>
      </c>
      <c r="N3514" t="s">
        <v>64</v>
      </c>
      <c r="O3514" t="s">
        <v>46</v>
      </c>
      <c r="P3514" t="s">
        <v>46</v>
      </c>
      <c r="Y3514" t="s">
        <v>11855</v>
      </c>
    </row>
    <row r="3515" spans="1:25">
      <c r="A3515" t="s">
        <v>11856</v>
      </c>
      <c r="B3515" t="s">
        <v>11857</v>
      </c>
      <c r="D3515" t="s">
        <v>40</v>
      </c>
      <c r="E3515" t="s">
        <v>41</v>
      </c>
      <c r="J3515" t="s">
        <v>76</v>
      </c>
      <c r="K3515" t="s">
        <v>77</v>
      </c>
      <c r="L3515">
        <v>11</v>
      </c>
      <c r="M3515" t="s">
        <v>11858</v>
      </c>
      <c r="N3515" t="s">
        <v>64</v>
      </c>
      <c r="O3515" t="s">
        <v>46</v>
      </c>
      <c r="P3515" t="s">
        <v>46</v>
      </c>
      <c r="Y3515" t="s">
        <v>11859</v>
      </c>
    </row>
    <row r="3516" spans="1:25">
      <c r="A3516" t="s">
        <v>11860</v>
      </c>
      <c r="B3516" t="s">
        <v>11861</v>
      </c>
      <c r="D3516" t="s">
        <v>40</v>
      </c>
      <c r="E3516" t="s">
        <v>41</v>
      </c>
      <c r="J3516" t="s">
        <v>62</v>
      </c>
      <c r="K3516" t="s">
        <v>63</v>
      </c>
      <c r="L3516">
        <v>11</v>
      </c>
      <c r="M3516" t="s">
        <v>11858</v>
      </c>
      <c r="N3516" t="s">
        <v>64</v>
      </c>
      <c r="O3516" t="s">
        <v>46</v>
      </c>
      <c r="P3516" t="s">
        <v>46</v>
      </c>
      <c r="Y3516" t="s">
        <v>11862</v>
      </c>
    </row>
    <row r="3517" spans="1:25">
      <c r="A3517" t="s">
        <v>11863</v>
      </c>
      <c r="B3517" t="s">
        <v>11864</v>
      </c>
      <c r="D3517" t="s">
        <v>40</v>
      </c>
      <c r="E3517" t="s">
        <v>41</v>
      </c>
      <c r="J3517" t="s">
        <v>62</v>
      </c>
      <c r="K3517" t="s">
        <v>63</v>
      </c>
      <c r="L3517">
        <v>11</v>
      </c>
      <c r="M3517" t="s">
        <v>11865</v>
      </c>
      <c r="N3517" t="s">
        <v>64</v>
      </c>
      <c r="O3517" t="s">
        <v>46</v>
      </c>
      <c r="P3517" t="s">
        <v>46</v>
      </c>
      <c r="Y3517" t="s">
        <v>11866</v>
      </c>
    </row>
    <row r="3518" spans="1:25">
      <c r="A3518" t="s">
        <v>11867</v>
      </c>
      <c r="B3518" t="s">
        <v>11868</v>
      </c>
      <c r="D3518" t="s">
        <v>40</v>
      </c>
      <c r="E3518" t="s">
        <v>41</v>
      </c>
      <c r="J3518" t="s">
        <v>62</v>
      </c>
      <c r="K3518" t="s">
        <v>63</v>
      </c>
      <c r="L3518">
        <v>11</v>
      </c>
      <c r="M3518" t="s">
        <v>11865</v>
      </c>
      <c r="N3518" t="s">
        <v>64</v>
      </c>
      <c r="O3518" t="s">
        <v>46</v>
      </c>
      <c r="P3518" t="s">
        <v>46</v>
      </c>
      <c r="Y3518" t="s">
        <v>11869</v>
      </c>
    </row>
    <row r="3519" spans="1:25">
      <c r="A3519" t="s">
        <v>11870</v>
      </c>
      <c r="B3519" t="s">
        <v>11871</v>
      </c>
      <c r="D3519" t="s">
        <v>40</v>
      </c>
      <c r="E3519" t="s">
        <v>41</v>
      </c>
      <c r="J3519" t="s">
        <v>62</v>
      </c>
      <c r="K3519" t="s">
        <v>63</v>
      </c>
      <c r="L3519">
        <v>11</v>
      </c>
      <c r="M3519" t="s">
        <v>11865</v>
      </c>
      <c r="N3519" t="s">
        <v>64</v>
      </c>
      <c r="O3519" t="s">
        <v>46</v>
      </c>
      <c r="P3519" t="s">
        <v>46</v>
      </c>
      <c r="Y3519" t="s">
        <v>11872</v>
      </c>
    </row>
    <row r="3520" spans="1:25">
      <c r="A3520" t="s">
        <v>11873</v>
      </c>
      <c r="B3520" t="s">
        <v>11874</v>
      </c>
      <c r="D3520" t="s">
        <v>40</v>
      </c>
      <c r="E3520" t="s">
        <v>41</v>
      </c>
      <c r="J3520" t="s">
        <v>68</v>
      </c>
      <c r="K3520" t="s">
        <v>69</v>
      </c>
      <c r="L3520">
        <v>11</v>
      </c>
      <c r="M3520" t="s">
        <v>11875</v>
      </c>
      <c r="N3520" t="s">
        <v>64</v>
      </c>
      <c r="O3520" t="s">
        <v>46</v>
      </c>
      <c r="P3520" t="s">
        <v>46</v>
      </c>
      <c r="Y3520" t="s">
        <v>11876</v>
      </c>
    </row>
    <row r="3521" spans="1:25">
      <c r="A3521" t="s">
        <v>11877</v>
      </c>
      <c r="B3521" t="s">
        <v>11878</v>
      </c>
      <c r="D3521" t="s">
        <v>40</v>
      </c>
      <c r="E3521" t="s">
        <v>41</v>
      </c>
      <c r="J3521" t="s">
        <v>62</v>
      </c>
      <c r="K3521" t="s">
        <v>63</v>
      </c>
      <c r="L3521">
        <v>11</v>
      </c>
      <c r="M3521" t="s">
        <v>11875</v>
      </c>
      <c r="N3521" t="s">
        <v>64</v>
      </c>
      <c r="O3521" t="s">
        <v>46</v>
      </c>
      <c r="P3521" t="s">
        <v>46</v>
      </c>
      <c r="Y3521" t="s">
        <v>11879</v>
      </c>
    </row>
    <row r="3522" spans="1:25">
      <c r="A3522" t="s">
        <v>11880</v>
      </c>
      <c r="B3522" t="s">
        <v>11881</v>
      </c>
      <c r="D3522" t="s">
        <v>40</v>
      </c>
      <c r="E3522" t="s">
        <v>41</v>
      </c>
      <c r="J3522" t="s">
        <v>62</v>
      </c>
      <c r="K3522" t="s">
        <v>63</v>
      </c>
      <c r="L3522">
        <v>11</v>
      </c>
      <c r="M3522" t="s">
        <v>11875</v>
      </c>
      <c r="N3522" t="s">
        <v>64</v>
      </c>
      <c r="O3522" t="s">
        <v>46</v>
      </c>
      <c r="P3522" t="s">
        <v>46</v>
      </c>
      <c r="Y3522" t="s">
        <v>11882</v>
      </c>
    </row>
    <row r="3523" spans="1:25">
      <c r="A3523" t="s">
        <v>11883</v>
      </c>
      <c r="B3523" t="s">
        <v>11884</v>
      </c>
      <c r="D3523" t="s">
        <v>40</v>
      </c>
      <c r="E3523" t="s">
        <v>41</v>
      </c>
      <c r="J3523" t="s">
        <v>62</v>
      </c>
      <c r="K3523" t="s">
        <v>63</v>
      </c>
      <c r="L3523">
        <v>11</v>
      </c>
      <c r="M3523" t="s">
        <v>11875</v>
      </c>
      <c r="N3523" t="s">
        <v>64</v>
      </c>
      <c r="O3523" t="s">
        <v>46</v>
      </c>
      <c r="P3523" t="s">
        <v>46</v>
      </c>
      <c r="Y3523" t="s">
        <v>11885</v>
      </c>
    </row>
    <row r="3524" spans="1:25">
      <c r="A3524" t="s">
        <v>11886</v>
      </c>
      <c r="B3524" t="s">
        <v>11887</v>
      </c>
      <c r="D3524" t="s">
        <v>40</v>
      </c>
      <c r="E3524" t="s">
        <v>41</v>
      </c>
      <c r="J3524" t="s">
        <v>68</v>
      </c>
      <c r="K3524" t="s">
        <v>69</v>
      </c>
      <c r="L3524">
        <v>11</v>
      </c>
      <c r="M3524" t="s">
        <v>11888</v>
      </c>
      <c r="N3524" t="s">
        <v>64</v>
      </c>
      <c r="O3524" t="s">
        <v>46</v>
      </c>
      <c r="P3524" t="s">
        <v>46</v>
      </c>
      <c r="Y3524" t="s">
        <v>11889</v>
      </c>
    </row>
    <row r="3525" spans="1:25">
      <c r="A3525" t="s">
        <v>11890</v>
      </c>
      <c r="B3525" t="s">
        <v>11891</v>
      </c>
      <c r="D3525" t="s">
        <v>40</v>
      </c>
      <c r="E3525" t="s">
        <v>41</v>
      </c>
      <c r="J3525" t="s">
        <v>62</v>
      </c>
      <c r="K3525" t="s">
        <v>63</v>
      </c>
      <c r="L3525">
        <v>11</v>
      </c>
      <c r="M3525" t="s">
        <v>11892</v>
      </c>
      <c r="N3525" t="s">
        <v>64</v>
      </c>
      <c r="O3525" t="s">
        <v>46</v>
      </c>
      <c r="P3525" t="s">
        <v>46</v>
      </c>
      <c r="Y3525" t="s">
        <v>11893</v>
      </c>
    </row>
    <row r="3526" spans="1:25">
      <c r="A3526" t="s">
        <v>11894</v>
      </c>
      <c r="B3526" t="s">
        <v>11895</v>
      </c>
      <c r="D3526" t="s">
        <v>40</v>
      </c>
      <c r="E3526" t="s">
        <v>41</v>
      </c>
      <c r="J3526" t="s">
        <v>62</v>
      </c>
      <c r="K3526" t="s">
        <v>63</v>
      </c>
      <c r="L3526">
        <v>11</v>
      </c>
      <c r="M3526" t="s">
        <v>11892</v>
      </c>
      <c r="N3526" t="s">
        <v>64</v>
      </c>
      <c r="O3526" t="s">
        <v>46</v>
      </c>
      <c r="P3526" t="s">
        <v>46</v>
      </c>
      <c r="Y3526" t="s">
        <v>11896</v>
      </c>
    </row>
    <row r="3527" spans="1:25">
      <c r="A3527" t="s">
        <v>11897</v>
      </c>
      <c r="B3527" t="s">
        <v>11898</v>
      </c>
      <c r="D3527" t="s">
        <v>40</v>
      </c>
      <c r="E3527" t="s">
        <v>41</v>
      </c>
      <c r="J3527" t="s">
        <v>76</v>
      </c>
      <c r="K3527" t="s">
        <v>77</v>
      </c>
      <c r="L3527">
        <v>11</v>
      </c>
      <c r="M3527" t="s">
        <v>11892</v>
      </c>
      <c r="N3527" t="s">
        <v>64</v>
      </c>
      <c r="O3527" t="s">
        <v>46</v>
      </c>
      <c r="P3527" t="s">
        <v>46</v>
      </c>
      <c r="Y3527" t="s">
        <v>11899</v>
      </c>
    </row>
    <row r="3528" spans="1:25">
      <c r="A3528" t="s">
        <v>11900</v>
      </c>
      <c r="B3528" t="s">
        <v>11901</v>
      </c>
      <c r="D3528" t="s">
        <v>40</v>
      </c>
      <c r="E3528" t="s">
        <v>41</v>
      </c>
      <c r="J3528" t="s">
        <v>182</v>
      </c>
      <c r="K3528" t="s">
        <v>183</v>
      </c>
      <c r="L3528">
        <v>11</v>
      </c>
      <c r="M3528" t="s">
        <v>11892</v>
      </c>
      <c r="N3528" t="s">
        <v>64</v>
      </c>
      <c r="O3528" t="s">
        <v>46</v>
      </c>
      <c r="P3528" t="s">
        <v>46</v>
      </c>
      <c r="Y3528" t="s">
        <v>11902</v>
      </c>
    </row>
    <row r="3529" spans="1:25">
      <c r="A3529" t="s">
        <v>11903</v>
      </c>
      <c r="B3529" t="s">
        <v>11904</v>
      </c>
      <c r="D3529" t="s">
        <v>40</v>
      </c>
      <c r="E3529" t="s">
        <v>41</v>
      </c>
      <c r="J3529" t="s">
        <v>68</v>
      </c>
      <c r="K3529" t="s">
        <v>69</v>
      </c>
      <c r="L3529">
        <v>11</v>
      </c>
      <c r="M3529" t="s">
        <v>11892</v>
      </c>
      <c r="N3529" t="s">
        <v>64</v>
      </c>
      <c r="O3529" t="s">
        <v>46</v>
      </c>
      <c r="P3529" t="s">
        <v>46</v>
      </c>
      <c r="Y3529" t="s">
        <v>11905</v>
      </c>
    </row>
    <row r="3530" spans="1:25">
      <c r="A3530" t="s">
        <v>11906</v>
      </c>
      <c r="B3530" t="s">
        <v>11907</v>
      </c>
      <c r="D3530" t="s">
        <v>40</v>
      </c>
      <c r="E3530" t="s">
        <v>41</v>
      </c>
      <c r="J3530" t="s">
        <v>182</v>
      </c>
      <c r="K3530" t="s">
        <v>183</v>
      </c>
      <c r="L3530">
        <v>10</v>
      </c>
      <c r="M3530" t="s">
        <v>11908</v>
      </c>
      <c r="N3530" t="s">
        <v>64</v>
      </c>
      <c r="O3530" t="s">
        <v>46</v>
      </c>
      <c r="P3530" t="s">
        <v>46</v>
      </c>
      <c r="Y3530" t="s">
        <v>11909</v>
      </c>
    </row>
    <row r="3531" spans="1:25">
      <c r="A3531" t="s">
        <v>11910</v>
      </c>
      <c r="B3531" t="s">
        <v>11911</v>
      </c>
      <c r="D3531" t="s">
        <v>40</v>
      </c>
      <c r="E3531" t="s">
        <v>41</v>
      </c>
      <c r="J3531" t="s">
        <v>182</v>
      </c>
      <c r="K3531" t="s">
        <v>183</v>
      </c>
      <c r="L3531">
        <v>10</v>
      </c>
      <c r="M3531" t="s">
        <v>11908</v>
      </c>
      <c r="N3531" t="s">
        <v>64</v>
      </c>
      <c r="O3531" t="s">
        <v>46</v>
      </c>
      <c r="P3531" t="s">
        <v>46</v>
      </c>
      <c r="Y3531" t="s">
        <v>11912</v>
      </c>
    </row>
    <row r="3532" spans="1:25">
      <c r="A3532" t="s">
        <v>11913</v>
      </c>
      <c r="B3532" t="s">
        <v>11914</v>
      </c>
      <c r="D3532" t="s">
        <v>40</v>
      </c>
      <c r="E3532" t="s">
        <v>41</v>
      </c>
      <c r="J3532" t="s">
        <v>182</v>
      </c>
      <c r="K3532" t="s">
        <v>183</v>
      </c>
      <c r="L3532">
        <v>10</v>
      </c>
      <c r="M3532" t="s">
        <v>11908</v>
      </c>
      <c r="N3532" t="s">
        <v>64</v>
      </c>
      <c r="O3532" t="s">
        <v>46</v>
      </c>
      <c r="P3532" t="s">
        <v>46</v>
      </c>
      <c r="Y3532" t="s">
        <v>11915</v>
      </c>
    </row>
    <row r="3533" spans="1:25">
      <c r="A3533" t="s">
        <v>11916</v>
      </c>
      <c r="B3533" t="s">
        <v>11917</v>
      </c>
      <c r="D3533" t="s">
        <v>40</v>
      </c>
      <c r="E3533" t="s">
        <v>41</v>
      </c>
      <c r="J3533" t="s">
        <v>76</v>
      </c>
      <c r="K3533" t="s">
        <v>77</v>
      </c>
      <c r="L3533">
        <v>10</v>
      </c>
      <c r="M3533" t="s">
        <v>11918</v>
      </c>
      <c r="N3533" t="s">
        <v>64</v>
      </c>
      <c r="O3533" t="s">
        <v>46</v>
      </c>
      <c r="P3533" t="s">
        <v>46</v>
      </c>
      <c r="Y3533" t="s">
        <v>11919</v>
      </c>
    </row>
    <row r="3534" spans="1:25">
      <c r="A3534" t="s">
        <v>11920</v>
      </c>
      <c r="B3534" t="s">
        <v>11921</v>
      </c>
      <c r="D3534" t="s">
        <v>40</v>
      </c>
      <c r="E3534" t="s">
        <v>41</v>
      </c>
      <c r="J3534" t="s">
        <v>182</v>
      </c>
      <c r="K3534" t="s">
        <v>183</v>
      </c>
      <c r="L3534">
        <v>10</v>
      </c>
      <c r="M3534" t="s">
        <v>11918</v>
      </c>
      <c r="N3534" t="s">
        <v>64</v>
      </c>
      <c r="O3534" t="s">
        <v>46</v>
      </c>
      <c r="P3534" t="s">
        <v>46</v>
      </c>
      <c r="Y3534" t="s">
        <v>11922</v>
      </c>
    </row>
    <row r="3535" spans="1:25">
      <c r="A3535" t="s">
        <v>11923</v>
      </c>
      <c r="B3535" t="s">
        <v>11924</v>
      </c>
      <c r="D3535" t="s">
        <v>40</v>
      </c>
      <c r="E3535" t="s">
        <v>41</v>
      </c>
      <c r="J3535" t="s">
        <v>182</v>
      </c>
      <c r="K3535" t="s">
        <v>183</v>
      </c>
      <c r="L3535">
        <v>10</v>
      </c>
      <c r="M3535" t="s">
        <v>11925</v>
      </c>
      <c r="N3535" t="s">
        <v>64</v>
      </c>
      <c r="O3535" t="s">
        <v>46</v>
      </c>
      <c r="P3535" t="s">
        <v>46</v>
      </c>
      <c r="Y3535" t="s">
        <v>11926</v>
      </c>
    </row>
    <row r="3536" spans="1:25">
      <c r="A3536" t="s">
        <v>11927</v>
      </c>
      <c r="B3536" t="s">
        <v>11928</v>
      </c>
      <c r="D3536" t="s">
        <v>40</v>
      </c>
      <c r="E3536" t="s">
        <v>41</v>
      </c>
      <c r="J3536" t="s">
        <v>42</v>
      </c>
      <c r="K3536" t="s">
        <v>43</v>
      </c>
      <c r="L3536">
        <v>10</v>
      </c>
      <c r="M3536" t="s">
        <v>11925</v>
      </c>
      <c r="N3536" t="s">
        <v>173</v>
      </c>
      <c r="O3536" t="s">
        <v>46</v>
      </c>
      <c r="P3536" t="s">
        <v>46</v>
      </c>
      <c r="Y3536" t="s">
        <v>11929</v>
      </c>
    </row>
    <row r="3537" spans="1:25">
      <c r="A3537" t="s">
        <v>11930</v>
      </c>
      <c r="B3537" t="s">
        <v>11931</v>
      </c>
      <c r="D3537" t="s">
        <v>40</v>
      </c>
      <c r="E3537" t="s">
        <v>41</v>
      </c>
      <c r="J3537" t="s">
        <v>76</v>
      </c>
      <c r="K3537" t="s">
        <v>77</v>
      </c>
      <c r="L3537">
        <v>10</v>
      </c>
      <c r="M3537" t="s">
        <v>11925</v>
      </c>
      <c r="N3537" t="s">
        <v>64</v>
      </c>
      <c r="O3537" t="s">
        <v>46</v>
      </c>
      <c r="P3537" t="s">
        <v>46</v>
      </c>
      <c r="Y3537" t="s">
        <v>11932</v>
      </c>
    </row>
    <row r="3538" spans="1:25">
      <c r="A3538" t="s">
        <v>11933</v>
      </c>
      <c r="B3538" t="s">
        <v>11934</v>
      </c>
      <c r="D3538" t="s">
        <v>40</v>
      </c>
      <c r="E3538" t="s">
        <v>41</v>
      </c>
      <c r="J3538" t="s">
        <v>42</v>
      </c>
      <c r="K3538" t="s">
        <v>43</v>
      </c>
      <c r="L3538">
        <v>10</v>
      </c>
      <c r="M3538" t="s">
        <v>11925</v>
      </c>
      <c r="N3538" t="s">
        <v>1397</v>
      </c>
      <c r="O3538" t="s">
        <v>46</v>
      </c>
      <c r="P3538" t="s">
        <v>46</v>
      </c>
      <c r="Y3538" t="s">
        <v>11935</v>
      </c>
    </row>
    <row r="3539" spans="1:25">
      <c r="A3539" t="s">
        <v>11936</v>
      </c>
      <c r="B3539" t="s">
        <v>11937</v>
      </c>
      <c r="D3539" t="s">
        <v>40</v>
      </c>
      <c r="E3539" t="s">
        <v>41</v>
      </c>
      <c r="J3539" t="s">
        <v>68</v>
      </c>
      <c r="K3539" t="s">
        <v>69</v>
      </c>
      <c r="L3539">
        <v>3</v>
      </c>
      <c r="M3539" t="s">
        <v>11938</v>
      </c>
      <c r="N3539" t="s">
        <v>64</v>
      </c>
      <c r="O3539" t="s">
        <v>46</v>
      </c>
      <c r="P3539" t="s">
        <v>46</v>
      </c>
      <c r="Y3539" t="s">
        <v>11939</v>
      </c>
    </row>
    <row r="3540" spans="1:25">
      <c r="A3540" t="s">
        <v>11940</v>
      </c>
      <c r="B3540" t="s">
        <v>11941</v>
      </c>
      <c r="D3540" t="s">
        <v>40</v>
      </c>
      <c r="E3540" t="s">
        <v>41</v>
      </c>
      <c r="J3540" t="s">
        <v>182</v>
      </c>
      <c r="K3540" t="s">
        <v>183</v>
      </c>
      <c r="L3540">
        <v>10</v>
      </c>
      <c r="M3540" t="s">
        <v>11938</v>
      </c>
      <c r="N3540" t="s">
        <v>64</v>
      </c>
      <c r="O3540" t="s">
        <v>46</v>
      </c>
      <c r="P3540" t="s">
        <v>46</v>
      </c>
      <c r="Y3540" t="s">
        <v>11942</v>
      </c>
    </row>
    <row r="3541" spans="1:25">
      <c r="A3541" t="s">
        <v>11943</v>
      </c>
      <c r="B3541" t="s">
        <v>11944</v>
      </c>
      <c r="D3541" t="s">
        <v>40</v>
      </c>
      <c r="E3541" t="s">
        <v>41</v>
      </c>
      <c r="J3541" t="s">
        <v>182</v>
      </c>
      <c r="K3541" t="s">
        <v>183</v>
      </c>
      <c r="L3541">
        <v>10</v>
      </c>
      <c r="M3541" t="s">
        <v>11938</v>
      </c>
      <c r="N3541" t="s">
        <v>64</v>
      </c>
      <c r="O3541" t="s">
        <v>46</v>
      </c>
      <c r="P3541" t="s">
        <v>46</v>
      </c>
      <c r="Y3541" t="s">
        <v>11945</v>
      </c>
    </row>
    <row r="3542" spans="1:25">
      <c r="A3542" t="s">
        <v>11946</v>
      </c>
      <c r="B3542" t="s">
        <v>11947</v>
      </c>
      <c r="D3542" t="s">
        <v>40</v>
      </c>
      <c r="E3542" t="s">
        <v>41</v>
      </c>
      <c r="J3542" t="s">
        <v>42</v>
      </c>
      <c r="K3542" t="s">
        <v>43</v>
      </c>
      <c r="L3542">
        <v>10</v>
      </c>
      <c r="M3542" t="s">
        <v>11938</v>
      </c>
      <c r="N3542" t="s">
        <v>3013</v>
      </c>
      <c r="O3542" t="s">
        <v>46</v>
      </c>
      <c r="P3542" t="s">
        <v>46</v>
      </c>
      <c r="Y3542" t="s">
        <v>11948</v>
      </c>
    </row>
    <row r="3543" spans="1:25">
      <c r="A3543" t="s">
        <v>11949</v>
      </c>
      <c r="B3543" t="s">
        <v>11950</v>
      </c>
      <c r="D3543" t="s">
        <v>40</v>
      </c>
      <c r="E3543" t="s">
        <v>41</v>
      </c>
      <c r="J3543" t="s">
        <v>182</v>
      </c>
      <c r="K3543" t="s">
        <v>183</v>
      </c>
      <c r="L3543">
        <v>10</v>
      </c>
      <c r="M3543" t="s">
        <v>11938</v>
      </c>
      <c r="N3543" t="s">
        <v>64</v>
      </c>
      <c r="O3543" t="s">
        <v>46</v>
      </c>
      <c r="P3543" t="s">
        <v>46</v>
      </c>
      <c r="Y3543" t="s">
        <v>11951</v>
      </c>
    </row>
    <row r="3544" spans="1:25">
      <c r="A3544" t="s">
        <v>11952</v>
      </c>
      <c r="B3544" t="s">
        <v>11953</v>
      </c>
      <c r="D3544" t="s">
        <v>40</v>
      </c>
      <c r="E3544" t="s">
        <v>41</v>
      </c>
      <c r="J3544" t="s">
        <v>42</v>
      </c>
      <c r="K3544" t="s">
        <v>43</v>
      </c>
      <c r="L3544">
        <v>10</v>
      </c>
      <c r="M3544" t="s">
        <v>11954</v>
      </c>
      <c r="N3544" t="s">
        <v>173</v>
      </c>
      <c r="O3544" t="s">
        <v>46</v>
      </c>
      <c r="P3544" t="s">
        <v>46</v>
      </c>
      <c r="Y3544" t="s">
        <v>11955</v>
      </c>
    </row>
    <row r="3545" spans="1:25">
      <c r="A3545" t="s">
        <v>11956</v>
      </c>
      <c r="B3545" t="s">
        <v>11957</v>
      </c>
      <c r="D3545" t="s">
        <v>40</v>
      </c>
      <c r="E3545" t="s">
        <v>41</v>
      </c>
      <c r="J3545" t="s">
        <v>76</v>
      </c>
      <c r="K3545" t="s">
        <v>77</v>
      </c>
      <c r="L3545">
        <v>10</v>
      </c>
      <c r="M3545" t="s">
        <v>11958</v>
      </c>
      <c r="N3545" t="s">
        <v>64</v>
      </c>
      <c r="O3545" t="s">
        <v>46</v>
      </c>
      <c r="P3545" t="s">
        <v>46</v>
      </c>
      <c r="Y3545" t="s">
        <v>11959</v>
      </c>
    </row>
    <row r="3546" spans="1:25">
      <c r="A3546" t="s">
        <v>11960</v>
      </c>
      <c r="B3546" t="s">
        <v>11961</v>
      </c>
      <c r="D3546" t="s">
        <v>40</v>
      </c>
      <c r="E3546" t="s">
        <v>41</v>
      </c>
      <c r="J3546" t="s">
        <v>11802</v>
      </c>
      <c r="K3546" t="s">
        <v>11803</v>
      </c>
      <c r="L3546">
        <v>10</v>
      </c>
      <c r="M3546" t="s">
        <v>11958</v>
      </c>
      <c r="N3546" t="s">
        <v>2346</v>
      </c>
      <c r="O3546" t="s">
        <v>46</v>
      </c>
      <c r="P3546" t="s">
        <v>46</v>
      </c>
      <c r="Y3546" t="s">
        <v>11962</v>
      </c>
    </row>
    <row r="3547" spans="1:25">
      <c r="A3547" t="s">
        <v>11963</v>
      </c>
      <c r="B3547" t="s">
        <v>11964</v>
      </c>
      <c r="D3547" t="s">
        <v>40</v>
      </c>
      <c r="E3547" t="s">
        <v>41</v>
      </c>
      <c r="J3547" t="s">
        <v>182</v>
      </c>
      <c r="K3547" t="s">
        <v>183</v>
      </c>
      <c r="L3547">
        <v>10</v>
      </c>
      <c r="M3547" t="s">
        <v>11958</v>
      </c>
      <c r="N3547" t="s">
        <v>64</v>
      </c>
      <c r="O3547" t="s">
        <v>46</v>
      </c>
      <c r="P3547" t="s">
        <v>46</v>
      </c>
      <c r="Y3547" t="s">
        <v>11965</v>
      </c>
    </row>
    <row r="3548" spans="1:25">
      <c r="A3548" t="s">
        <v>11966</v>
      </c>
      <c r="B3548" t="s">
        <v>11967</v>
      </c>
      <c r="D3548" t="s">
        <v>40</v>
      </c>
      <c r="E3548" t="s">
        <v>41</v>
      </c>
      <c r="J3548" t="s">
        <v>182</v>
      </c>
      <c r="K3548" t="s">
        <v>183</v>
      </c>
      <c r="L3548">
        <v>10</v>
      </c>
      <c r="M3548" t="s">
        <v>11958</v>
      </c>
      <c r="N3548" t="s">
        <v>64</v>
      </c>
      <c r="O3548" t="s">
        <v>46</v>
      </c>
      <c r="P3548" t="s">
        <v>46</v>
      </c>
      <c r="Y3548" t="s">
        <v>11968</v>
      </c>
    </row>
    <row r="3549" spans="1:25">
      <c r="A3549" t="s">
        <v>11969</v>
      </c>
      <c r="B3549" t="s">
        <v>11970</v>
      </c>
      <c r="D3549" t="s">
        <v>40</v>
      </c>
      <c r="E3549" t="s">
        <v>41</v>
      </c>
      <c r="J3549" t="s">
        <v>1142</v>
      </c>
      <c r="K3549" t="s">
        <v>1143</v>
      </c>
      <c r="L3549">
        <v>10</v>
      </c>
      <c r="M3549" t="s">
        <v>11958</v>
      </c>
      <c r="N3549" t="s">
        <v>924</v>
      </c>
      <c r="O3549" t="s">
        <v>46</v>
      </c>
      <c r="P3549" t="s">
        <v>46</v>
      </c>
      <c r="Y3549" t="s">
        <v>11971</v>
      </c>
    </row>
    <row r="3550" spans="1:25">
      <c r="A3550" t="s">
        <v>11972</v>
      </c>
      <c r="B3550" t="s">
        <v>11973</v>
      </c>
      <c r="D3550" t="s">
        <v>40</v>
      </c>
      <c r="E3550" t="s">
        <v>41</v>
      </c>
      <c r="J3550" t="s">
        <v>76</v>
      </c>
      <c r="K3550" t="s">
        <v>77</v>
      </c>
      <c r="L3550">
        <v>10</v>
      </c>
      <c r="M3550" t="s">
        <v>11974</v>
      </c>
      <c r="N3550" t="s">
        <v>64</v>
      </c>
      <c r="O3550" t="s">
        <v>46</v>
      </c>
      <c r="P3550" t="s">
        <v>46</v>
      </c>
      <c r="Y3550" t="s">
        <v>11975</v>
      </c>
    </row>
    <row r="3551" spans="1:25">
      <c r="A3551" t="s">
        <v>11976</v>
      </c>
      <c r="B3551" t="s">
        <v>11977</v>
      </c>
      <c r="D3551" t="s">
        <v>40</v>
      </c>
      <c r="E3551" t="s">
        <v>41</v>
      </c>
      <c r="J3551" t="s">
        <v>76</v>
      </c>
      <c r="K3551" t="s">
        <v>77</v>
      </c>
      <c r="L3551">
        <v>10</v>
      </c>
      <c r="M3551" t="s">
        <v>11974</v>
      </c>
      <c r="N3551" t="s">
        <v>64</v>
      </c>
      <c r="O3551" t="s">
        <v>46</v>
      </c>
      <c r="P3551" t="s">
        <v>46</v>
      </c>
      <c r="Y3551" t="s">
        <v>11978</v>
      </c>
    </row>
    <row r="3552" spans="1:25">
      <c r="A3552" t="s">
        <v>11979</v>
      </c>
      <c r="B3552" t="s">
        <v>11980</v>
      </c>
      <c r="D3552" t="s">
        <v>40</v>
      </c>
      <c r="E3552" t="s">
        <v>41</v>
      </c>
      <c r="J3552" t="s">
        <v>68</v>
      </c>
      <c r="K3552" t="s">
        <v>69</v>
      </c>
      <c r="L3552">
        <v>10</v>
      </c>
      <c r="M3552" t="s">
        <v>11974</v>
      </c>
      <c r="N3552" t="s">
        <v>64</v>
      </c>
      <c r="O3552" t="s">
        <v>46</v>
      </c>
      <c r="P3552" t="s">
        <v>46</v>
      </c>
      <c r="Y3552" t="s">
        <v>11981</v>
      </c>
    </row>
    <row r="3553" spans="1:25">
      <c r="A3553" t="s">
        <v>11982</v>
      </c>
      <c r="B3553" t="s">
        <v>11983</v>
      </c>
      <c r="D3553" t="s">
        <v>40</v>
      </c>
      <c r="E3553" t="s">
        <v>41</v>
      </c>
      <c r="J3553" t="s">
        <v>248</v>
      </c>
      <c r="K3553" t="s">
        <v>249</v>
      </c>
      <c r="L3553">
        <v>10</v>
      </c>
      <c r="M3553" t="s">
        <v>11974</v>
      </c>
      <c r="N3553" t="s">
        <v>950</v>
      </c>
      <c r="O3553" t="s">
        <v>46</v>
      </c>
      <c r="P3553" t="s">
        <v>46</v>
      </c>
      <c r="Y3553" t="s">
        <v>11984</v>
      </c>
    </row>
    <row r="3554" spans="1:25">
      <c r="A3554" t="s">
        <v>11985</v>
      </c>
      <c r="B3554" t="s">
        <v>11986</v>
      </c>
      <c r="D3554" t="s">
        <v>40</v>
      </c>
      <c r="E3554" t="s">
        <v>41</v>
      </c>
      <c r="J3554" t="s">
        <v>76</v>
      </c>
      <c r="K3554" t="s">
        <v>77</v>
      </c>
      <c r="L3554">
        <v>10</v>
      </c>
      <c r="M3554" t="s">
        <v>11987</v>
      </c>
      <c r="N3554" t="s">
        <v>64</v>
      </c>
      <c r="O3554" t="s">
        <v>46</v>
      </c>
      <c r="P3554" t="s">
        <v>46</v>
      </c>
      <c r="Y3554" t="s">
        <v>11988</v>
      </c>
    </row>
    <row r="3555" spans="1:25">
      <c r="A3555" t="s">
        <v>11989</v>
      </c>
      <c r="B3555" t="s">
        <v>11990</v>
      </c>
      <c r="D3555" t="s">
        <v>40</v>
      </c>
      <c r="E3555" t="s">
        <v>41</v>
      </c>
      <c r="J3555" t="s">
        <v>76</v>
      </c>
      <c r="K3555" t="s">
        <v>77</v>
      </c>
      <c r="L3555">
        <v>10</v>
      </c>
      <c r="M3555" t="s">
        <v>11991</v>
      </c>
      <c r="N3555" t="s">
        <v>64</v>
      </c>
      <c r="O3555" t="s">
        <v>46</v>
      </c>
      <c r="P3555" t="s">
        <v>46</v>
      </c>
      <c r="Y3555" t="s">
        <v>11992</v>
      </c>
    </row>
    <row r="3556" spans="1:25">
      <c r="A3556" t="s">
        <v>11993</v>
      </c>
      <c r="B3556" t="s">
        <v>11994</v>
      </c>
      <c r="D3556" t="s">
        <v>40</v>
      </c>
      <c r="E3556" t="s">
        <v>41</v>
      </c>
      <c r="J3556" t="s">
        <v>182</v>
      </c>
      <c r="K3556" t="s">
        <v>183</v>
      </c>
      <c r="L3556">
        <v>10</v>
      </c>
      <c r="M3556" t="s">
        <v>11991</v>
      </c>
      <c r="N3556" t="s">
        <v>64</v>
      </c>
      <c r="O3556" t="s">
        <v>46</v>
      </c>
      <c r="P3556" t="s">
        <v>46</v>
      </c>
      <c r="Y3556" t="s">
        <v>11995</v>
      </c>
    </row>
    <row r="3557" spans="1:25">
      <c r="A3557" t="s">
        <v>11996</v>
      </c>
      <c r="B3557" t="s">
        <v>11997</v>
      </c>
      <c r="D3557" t="s">
        <v>40</v>
      </c>
      <c r="E3557" t="s">
        <v>41</v>
      </c>
      <c r="J3557" t="s">
        <v>68</v>
      </c>
      <c r="K3557" t="s">
        <v>69</v>
      </c>
      <c r="L3557">
        <v>10</v>
      </c>
      <c r="M3557" t="s">
        <v>11991</v>
      </c>
      <c r="N3557" t="s">
        <v>64</v>
      </c>
      <c r="O3557" t="s">
        <v>46</v>
      </c>
      <c r="P3557" t="s">
        <v>46</v>
      </c>
      <c r="Y3557" t="s">
        <v>11998</v>
      </c>
    </row>
    <row r="3558" spans="1:25">
      <c r="A3558" t="s">
        <v>11999</v>
      </c>
      <c r="B3558" t="s">
        <v>12000</v>
      </c>
      <c r="D3558" t="s">
        <v>40</v>
      </c>
      <c r="E3558" t="s">
        <v>41</v>
      </c>
      <c r="J3558" t="s">
        <v>76</v>
      </c>
      <c r="K3558" t="s">
        <v>77</v>
      </c>
      <c r="L3558">
        <v>10</v>
      </c>
      <c r="M3558" t="s">
        <v>11991</v>
      </c>
      <c r="N3558" t="s">
        <v>64</v>
      </c>
      <c r="O3558" t="s">
        <v>46</v>
      </c>
      <c r="P3558" t="s">
        <v>46</v>
      </c>
      <c r="Y3558" t="s">
        <v>12001</v>
      </c>
    </row>
    <row r="3559" spans="1:25">
      <c r="A3559" t="s">
        <v>12002</v>
      </c>
      <c r="B3559" t="s">
        <v>12003</v>
      </c>
      <c r="D3559" t="s">
        <v>40</v>
      </c>
      <c r="E3559" t="s">
        <v>41</v>
      </c>
      <c r="J3559" t="s">
        <v>76</v>
      </c>
      <c r="K3559" t="s">
        <v>77</v>
      </c>
      <c r="L3559">
        <v>10</v>
      </c>
      <c r="M3559" t="s">
        <v>12004</v>
      </c>
      <c r="N3559" t="s">
        <v>64</v>
      </c>
      <c r="O3559" t="s">
        <v>46</v>
      </c>
      <c r="P3559" t="s">
        <v>46</v>
      </c>
      <c r="Y3559" t="s">
        <v>12005</v>
      </c>
    </row>
    <row r="3560" spans="1:25">
      <c r="A3560" t="s">
        <v>12006</v>
      </c>
      <c r="B3560" t="s">
        <v>12007</v>
      </c>
      <c r="D3560" t="s">
        <v>40</v>
      </c>
      <c r="E3560" t="s">
        <v>41</v>
      </c>
      <c r="J3560" t="s">
        <v>182</v>
      </c>
      <c r="K3560" t="s">
        <v>183</v>
      </c>
      <c r="L3560">
        <v>10</v>
      </c>
      <c r="M3560" t="s">
        <v>12004</v>
      </c>
      <c r="N3560" t="s">
        <v>64</v>
      </c>
      <c r="O3560" t="s">
        <v>46</v>
      </c>
      <c r="P3560" t="s">
        <v>46</v>
      </c>
      <c r="Y3560" t="s">
        <v>12008</v>
      </c>
    </row>
    <row r="3561" spans="1:25">
      <c r="A3561" t="s">
        <v>12009</v>
      </c>
      <c r="B3561" t="s">
        <v>12010</v>
      </c>
      <c r="D3561" t="s">
        <v>40</v>
      </c>
      <c r="E3561" t="s">
        <v>41</v>
      </c>
      <c r="J3561" t="s">
        <v>42</v>
      </c>
      <c r="K3561" t="s">
        <v>43</v>
      </c>
      <c r="L3561">
        <v>10</v>
      </c>
      <c r="M3561" t="s">
        <v>12011</v>
      </c>
      <c r="N3561" t="s">
        <v>178</v>
      </c>
      <c r="O3561" t="s">
        <v>46</v>
      </c>
      <c r="P3561" t="s">
        <v>46</v>
      </c>
      <c r="Y3561" t="s">
        <v>12012</v>
      </c>
    </row>
    <row r="3562" spans="1:25">
      <c r="A3562" t="s">
        <v>12013</v>
      </c>
      <c r="B3562" t="s">
        <v>12014</v>
      </c>
      <c r="D3562" t="s">
        <v>40</v>
      </c>
      <c r="E3562" t="s">
        <v>41</v>
      </c>
      <c r="J3562" t="s">
        <v>42</v>
      </c>
      <c r="K3562" t="s">
        <v>43</v>
      </c>
      <c r="L3562">
        <v>10</v>
      </c>
      <c r="M3562" t="s">
        <v>12015</v>
      </c>
      <c r="N3562" t="s">
        <v>509</v>
      </c>
      <c r="O3562" t="s">
        <v>46</v>
      </c>
      <c r="P3562" t="s">
        <v>46</v>
      </c>
      <c r="Y3562" t="s">
        <v>12016</v>
      </c>
    </row>
    <row r="3563" spans="1:25">
      <c r="A3563" t="s">
        <v>12017</v>
      </c>
      <c r="B3563" t="s">
        <v>12018</v>
      </c>
      <c r="D3563" t="s">
        <v>40</v>
      </c>
      <c r="E3563" t="s">
        <v>41</v>
      </c>
      <c r="J3563" t="s">
        <v>42</v>
      </c>
      <c r="K3563" t="s">
        <v>43</v>
      </c>
      <c r="L3563">
        <v>10</v>
      </c>
      <c r="M3563" t="s">
        <v>12019</v>
      </c>
      <c r="N3563" t="s">
        <v>4037</v>
      </c>
      <c r="O3563" t="s">
        <v>46</v>
      </c>
      <c r="P3563" t="s">
        <v>46</v>
      </c>
      <c r="Y3563" t="s">
        <v>12020</v>
      </c>
    </row>
    <row r="3564" spans="1:25">
      <c r="A3564" t="s">
        <v>12021</v>
      </c>
      <c r="B3564" t="s">
        <v>12022</v>
      </c>
      <c r="D3564" t="s">
        <v>40</v>
      </c>
      <c r="E3564" t="s">
        <v>41</v>
      </c>
      <c r="J3564" t="s">
        <v>76</v>
      </c>
      <c r="K3564" t="s">
        <v>77</v>
      </c>
      <c r="L3564">
        <v>10</v>
      </c>
      <c r="M3564" t="s">
        <v>12019</v>
      </c>
      <c r="N3564" t="s">
        <v>64</v>
      </c>
      <c r="O3564" t="s">
        <v>46</v>
      </c>
      <c r="P3564" t="s">
        <v>46</v>
      </c>
      <c r="Y3564" t="s">
        <v>12023</v>
      </c>
    </row>
    <row r="3565" spans="1:25">
      <c r="A3565" t="s">
        <v>12024</v>
      </c>
      <c r="B3565" t="s">
        <v>12025</v>
      </c>
      <c r="D3565" t="s">
        <v>40</v>
      </c>
      <c r="E3565" t="s">
        <v>41</v>
      </c>
      <c r="J3565" t="s">
        <v>182</v>
      </c>
      <c r="K3565" t="s">
        <v>183</v>
      </c>
      <c r="L3565">
        <v>10</v>
      </c>
      <c r="M3565" t="s">
        <v>12026</v>
      </c>
      <c r="N3565" t="s">
        <v>64</v>
      </c>
      <c r="O3565" t="s">
        <v>46</v>
      </c>
      <c r="P3565" t="s">
        <v>46</v>
      </c>
      <c r="Y3565" t="s">
        <v>12027</v>
      </c>
    </row>
    <row r="3566" spans="1:25">
      <c r="A3566" t="s">
        <v>12028</v>
      </c>
      <c r="B3566" t="s">
        <v>12029</v>
      </c>
      <c r="D3566" t="s">
        <v>40</v>
      </c>
      <c r="E3566" t="s">
        <v>41</v>
      </c>
      <c r="J3566" t="s">
        <v>76</v>
      </c>
      <c r="K3566" t="s">
        <v>77</v>
      </c>
      <c r="L3566">
        <v>10</v>
      </c>
      <c r="M3566" t="s">
        <v>12030</v>
      </c>
      <c r="N3566" t="s">
        <v>64</v>
      </c>
      <c r="O3566" t="s">
        <v>46</v>
      </c>
      <c r="P3566" t="s">
        <v>46</v>
      </c>
      <c r="Y3566" t="s">
        <v>12031</v>
      </c>
    </row>
    <row r="3567" spans="1:25">
      <c r="A3567" t="s">
        <v>12032</v>
      </c>
      <c r="B3567" t="s">
        <v>12033</v>
      </c>
      <c r="D3567" t="s">
        <v>40</v>
      </c>
      <c r="E3567" t="s">
        <v>41</v>
      </c>
      <c r="J3567" t="s">
        <v>182</v>
      </c>
      <c r="K3567" t="s">
        <v>183</v>
      </c>
      <c r="L3567">
        <v>10</v>
      </c>
      <c r="M3567" t="s">
        <v>12034</v>
      </c>
      <c r="N3567" t="s">
        <v>64</v>
      </c>
      <c r="O3567" t="s">
        <v>46</v>
      </c>
      <c r="P3567" t="s">
        <v>46</v>
      </c>
      <c r="Y3567" t="s">
        <v>12035</v>
      </c>
    </row>
    <row r="3568" spans="1:25">
      <c r="A3568" t="s">
        <v>12036</v>
      </c>
      <c r="B3568" t="s">
        <v>12037</v>
      </c>
      <c r="D3568" t="s">
        <v>40</v>
      </c>
      <c r="E3568" t="s">
        <v>41</v>
      </c>
      <c r="J3568" t="s">
        <v>62</v>
      </c>
      <c r="K3568" t="s">
        <v>63</v>
      </c>
      <c r="L3568">
        <v>9</v>
      </c>
      <c r="M3568" t="s">
        <v>12034</v>
      </c>
      <c r="N3568" t="s">
        <v>64</v>
      </c>
      <c r="O3568" t="s">
        <v>46</v>
      </c>
      <c r="P3568" t="s">
        <v>46</v>
      </c>
      <c r="Y3568" t="s">
        <v>12038</v>
      </c>
    </row>
    <row r="3569" spans="1:25">
      <c r="A3569" t="s">
        <v>12039</v>
      </c>
      <c r="B3569" t="s">
        <v>12040</v>
      </c>
      <c r="D3569" t="s">
        <v>40</v>
      </c>
      <c r="E3569" t="s">
        <v>41</v>
      </c>
      <c r="J3569" t="s">
        <v>182</v>
      </c>
      <c r="K3569" t="s">
        <v>183</v>
      </c>
      <c r="L3569">
        <v>10</v>
      </c>
      <c r="M3569" t="s">
        <v>12034</v>
      </c>
      <c r="N3569" t="s">
        <v>64</v>
      </c>
      <c r="O3569" t="s">
        <v>46</v>
      </c>
      <c r="P3569" t="s">
        <v>46</v>
      </c>
      <c r="Y3569" t="s">
        <v>12041</v>
      </c>
    </row>
    <row r="3570" spans="1:25">
      <c r="A3570" t="s">
        <v>12042</v>
      </c>
      <c r="B3570" t="s">
        <v>12043</v>
      </c>
      <c r="D3570" t="s">
        <v>40</v>
      </c>
      <c r="E3570" t="s">
        <v>41</v>
      </c>
      <c r="J3570" t="s">
        <v>42</v>
      </c>
      <c r="K3570" t="s">
        <v>43</v>
      </c>
      <c r="L3570">
        <v>10</v>
      </c>
      <c r="M3570" t="s">
        <v>12034</v>
      </c>
      <c r="N3570" t="s">
        <v>1369</v>
      </c>
      <c r="O3570" t="s">
        <v>46</v>
      </c>
      <c r="P3570" t="s">
        <v>46</v>
      </c>
      <c r="Y3570" t="s">
        <v>12044</v>
      </c>
    </row>
    <row r="3571" spans="1:25">
      <c r="A3571" t="s">
        <v>12045</v>
      </c>
      <c r="B3571" t="s">
        <v>12046</v>
      </c>
      <c r="D3571" t="s">
        <v>40</v>
      </c>
      <c r="E3571" t="s">
        <v>41</v>
      </c>
      <c r="J3571" t="s">
        <v>68</v>
      </c>
      <c r="K3571" t="s">
        <v>69</v>
      </c>
      <c r="L3571">
        <v>10</v>
      </c>
      <c r="M3571" t="s">
        <v>12034</v>
      </c>
      <c r="N3571" t="s">
        <v>64</v>
      </c>
      <c r="O3571" t="s">
        <v>46</v>
      </c>
      <c r="P3571" t="s">
        <v>46</v>
      </c>
      <c r="Y3571" t="s">
        <v>12047</v>
      </c>
    </row>
    <row r="3572" spans="1:25">
      <c r="A3572" t="s">
        <v>12048</v>
      </c>
      <c r="B3572" t="s">
        <v>12049</v>
      </c>
      <c r="D3572" t="s">
        <v>40</v>
      </c>
      <c r="E3572" t="s">
        <v>41</v>
      </c>
      <c r="J3572" t="s">
        <v>76</v>
      </c>
      <c r="K3572" t="s">
        <v>77</v>
      </c>
      <c r="L3572">
        <v>10</v>
      </c>
      <c r="M3572" t="s">
        <v>12034</v>
      </c>
      <c r="N3572" t="s">
        <v>64</v>
      </c>
      <c r="O3572" t="s">
        <v>46</v>
      </c>
      <c r="P3572" t="s">
        <v>46</v>
      </c>
      <c r="Y3572" t="s">
        <v>12050</v>
      </c>
    </row>
    <row r="3573" spans="1:25">
      <c r="A3573" t="s">
        <v>12051</v>
      </c>
      <c r="B3573" t="s">
        <v>12052</v>
      </c>
      <c r="D3573" t="s">
        <v>40</v>
      </c>
      <c r="E3573" t="s">
        <v>41</v>
      </c>
      <c r="J3573" t="s">
        <v>68</v>
      </c>
      <c r="K3573" t="s">
        <v>69</v>
      </c>
      <c r="L3573">
        <v>10</v>
      </c>
      <c r="M3573" t="s">
        <v>12034</v>
      </c>
      <c r="N3573" t="s">
        <v>64</v>
      </c>
      <c r="O3573" t="s">
        <v>46</v>
      </c>
      <c r="P3573" t="s">
        <v>46</v>
      </c>
      <c r="Y3573" t="s">
        <v>12053</v>
      </c>
    </row>
    <row r="3574" spans="1:25">
      <c r="A3574" t="s">
        <v>12054</v>
      </c>
      <c r="B3574" t="s">
        <v>12055</v>
      </c>
      <c r="D3574" t="s">
        <v>40</v>
      </c>
      <c r="E3574" t="s">
        <v>41</v>
      </c>
      <c r="J3574" t="s">
        <v>76</v>
      </c>
      <c r="K3574" t="s">
        <v>77</v>
      </c>
      <c r="L3574">
        <v>10</v>
      </c>
      <c r="M3574" t="s">
        <v>12056</v>
      </c>
      <c r="N3574" t="s">
        <v>64</v>
      </c>
      <c r="O3574" t="s">
        <v>46</v>
      </c>
      <c r="P3574" t="s">
        <v>46</v>
      </c>
      <c r="Y3574" t="s">
        <v>12057</v>
      </c>
    </row>
    <row r="3575" spans="1:25">
      <c r="A3575" t="s">
        <v>12058</v>
      </c>
      <c r="B3575" t="s">
        <v>12059</v>
      </c>
      <c r="D3575" t="s">
        <v>40</v>
      </c>
      <c r="E3575" t="s">
        <v>41</v>
      </c>
      <c r="J3575" t="s">
        <v>182</v>
      </c>
      <c r="K3575" t="s">
        <v>183</v>
      </c>
      <c r="L3575">
        <v>10</v>
      </c>
      <c r="M3575" t="s">
        <v>12056</v>
      </c>
      <c r="N3575" t="s">
        <v>64</v>
      </c>
      <c r="O3575" t="s">
        <v>46</v>
      </c>
      <c r="P3575" t="s">
        <v>46</v>
      </c>
      <c r="Y3575" t="s">
        <v>12060</v>
      </c>
    </row>
    <row r="3576" spans="1:25">
      <c r="A3576" t="s">
        <v>12061</v>
      </c>
      <c r="B3576" t="s">
        <v>12062</v>
      </c>
      <c r="D3576" t="s">
        <v>40</v>
      </c>
      <c r="E3576" t="s">
        <v>41</v>
      </c>
      <c r="J3576" t="s">
        <v>76</v>
      </c>
      <c r="K3576" t="s">
        <v>77</v>
      </c>
      <c r="L3576">
        <v>10</v>
      </c>
      <c r="M3576" t="s">
        <v>12063</v>
      </c>
      <c r="N3576" t="s">
        <v>64</v>
      </c>
      <c r="O3576" t="s">
        <v>46</v>
      </c>
      <c r="P3576" t="s">
        <v>46</v>
      </c>
      <c r="Y3576" t="s">
        <v>12064</v>
      </c>
    </row>
    <row r="3577" spans="1:25">
      <c r="A3577" t="s">
        <v>12065</v>
      </c>
      <c r="B3577" t="s">
        <v>12066</v>
      </c>
      <c r="D3577" t="s">
        <v>40</v>
      </c>
      <c r="E3577" t="s">
        <v>41</v>
      </c>
      <c r="J3577" t="s">
        <v>42</v>
      </c>
      <c r="K3577" t="s">
        <v>43</v>
      </c>
      <c r="L3577">
        <v>10</v>
      </c>
      <c r="M3577" t="s">
        <v>12063</v>
      </c>
      <c r="N3577" t="s">
        <v>1446</v>
      </c>
      <c r="O3577" t="s">
        <v>46</v>
      </c>
      <c r="P3577" t="s">
        <v>46</v>
      </c>
      <c r="Y3577" t="s">
        <v>12067</v>
      </c>
    </row>
    <row r="3578" spans="1:25">
      <c r="A3578" t="s">
        <v>12068</v>
      </c>
      <c r="B3578" t="s">
        <v>12069</v>
      </c>
      <c r="D3578" t="s">
        <v>40</v>
      </c>
      <c r="E3578" t="s">
        <v>41</v>
      </c>
      <c r="J3578" t="s">
        <v>182</v>
      </c>
      <c r="K3578" t="s">
        <v>183</v>
      </c>
      <c r="L3578">
        <v>10</v>
      </c>
      <c r="M3578" t="s">
        <v>12063</v>
      </c>
      <c r="N3578" t="s">
        <v>64</v>
      </c>
      <c r="O3578" t="s">
        <v>46</v>
      </c>
      <c r="P3578" t="s">
        <v>46</v>
      </c>
      <c r="Y3578" t="s">
        <v>12070</v>
      </c>
    </row>
    <row r="3579" spans="1:25">
      <c r="A3579" t="s">
        <v>12071</v>
      </c>
      <c r="B3579" t="s">
        <v>12072</v>
      </c>
      <c r="D3579" t="s">
        <v>40</v>
      </c>
      <c r="E3579" t="s">
        <v>41</v>
      </c>
      <c r="J3579" t="s">
        <v>182</v>
      </c>
      <c r="K3579" t="s">
        <v>183</v>
      </c>
      <c r="L3579">
        <v>10</v>
      </c>
      <c r="M3579" t="s">
        <v>12063</v>
      </c>
      <c r="N3579" t="s">
        <v>64</v>
      </c>
      <c r="O3579" t="s">
        <v>46</v>
      </c>
      <c r="P3579" t="s">
        <v>46</v>
      </c>
      <c r="Y3579" t="s">
        <v>12073</v>
      </c>
    </row>
    <row r="3580" spans="1:25">
      <c r="A3580" t="s">
        <v>12074</v>
      </c>
      <c r="B3580" t="s">
        <v>12075</v>
      </c>
      <c r="D3580" t="s">
        <v>40</v>
      </c>
      <c r="E3580" t="s">
        <v>41</v>
      </c>
      <c r="J3580" t="s">
        <v>182</v>
      </c>
      <c r="K3580" t="s">
        <v>183</v>
      </c>
      <c r="L3580">
        <v>10</v>
      </c>
      <c r="M3580" t="s">
        <v>12076</v>
      </c>
      <c r="N3580" t="s">
        <v>64</v>
      </c>
      <c r="O3580" t="s">
        <v>46</v>
      </c>
      <c r="P3580" t="s">
        <v>46</v>
      </c>
      <c r="Y3580" t="s">
        <v>12077</v>
      </c>
    </row>
    <row r="3581" spans="1:25">
      <c r="A3581" t="s">
        <v>12078</v>
      </c>
      <c r="B3581" t="s">
        <v>12079</v>
      </c>
      <c r="D3581" t="s">
        <v>40</v>
      </c>
      <c r="E3581" t="s">
        <v>41</v>
      </c>
      <c r="J3581" t="s">
        <v>182</v>
      </c>
      <c r="K3581" t="s">
        <v>183</v>
      </c>
      <c r="L3581">
        <v>10</v>
      </c>
      <c r="M3581" t="s">
        <v>12076</v>
      </c>
      <c r="N3581" t="s">
        <v>64</v>
      </c>
      <c r="O3581" t="s">
        <v>46</v>
      </c>
      <c r="P3581" t="s">
        <v>46</v>
      </c>
      <c r="Y3581" t="s">
        <v>12080</v>
      </c>
    </row>
    <row r="3582" spans="1:25">
      <c r="A3582" t="s">
        <v>12081</v>
      </c>
      <c r="B3582" t="s">
        <v>12082</v>
      </c>
      <c r="D3582" t="s">
        <v>40</v>
      </c>
      <c r="E3582" t="s">
        <v>41</v>
      </c>
      <c r="J3582" t="s">
        <v>182</v>
      </c>
      <c r="K3582" t="s">
        <v>183</v>
      </c>
      <c r="L3582">
        <v>10</v>
      </c>
      <c r="M3582" t="s">
        <v>12083</v>
      </c>
      <c r="N3582" t="s">
        <v>64</v>
      </c>
      <c r="O3582" t="s">
        <v>46</v>
      </c>
      <c r="P3582" t="s">
        <v>46</v>
      </c>
      <c r="Y3582" t="s">
        <v>12084</v>
      </c>
    </row>
    <row r="3583" spans="1:25">
      <c r="A3583" t="s">
        <v>12085</v>
      </c>
      <c r="B3583" t="s">
        <v>12086</v>
      </c>
      <c r="D3583" t="s">
        <v>40</v>
      </c>
      <c r="E3583" t="s">
        <v>41</v>
      </c>
      <c r="J3583" t="s">
        <v>76</v>
      </c>
      <c r="K3583" t="s">
        <v>77</v>
      </c>
      <c r="L3583">
        <v>10</v>
      </c>
      <c r="M3583" t="s">
        <v>12083</v>
      </c>
      <c r="N3583" t="s">
        <v>64</v>
      </c>
      <c r="O3583" t="s">
        <v>46</v>
      </c>
      <c r="P3583" t="s">
        <v>46</v>
      </c>
      <c r="Y3583" t="s">
        <v>12087</v>
      </c>
    </row>
    <row r="3584" spans="1:25">
      <c r="A3584" t="s">
        <v>12088</v>
      </c>
      <c r="B3584" t="s">
        <v>12089</v>
      </c>
      <c r="D3584" t="s">
        <v>40</v>
      </c>
      <c r="E3584" t="s">
        <v>41</v>
      </c>
      <c r="J3584" t="s">
        <v>62</v>
      </c>
      <c r="K3584" t="s">
        <v>63</v>
      </c>
      <c r="L3584">
        <v>10</v>
      </c>
      <c r="M3584" t="s">
        <v>12090</v>
      </c>
      <c r="N3584" t="s">
        <v>64</v>
      </c>
      <c r="O3584" t="s">
        <v>46</v>
      </c>
      <c r="P3584" t="s">
        <v>46</v>
      </c>
      <c r="Y3584" t="s">
        <v>12091</v>
      </c>
    </row>
    <row r="3585" spans="1:25">
      <c r="A3585" t="s">
        <v>12092</v>
      </c>
      <c r="B3585" t="s">
        <v>12093</v>
      </c>
      <c r="D3585" t="s">
        <v>40</v>
      </c>
      <c r="E3585" t="s">
        <v>41</v>
      </c>
      <c r="J3585" t="s">
        <v>182</v>
      </c>
      <c r="K3585" t="s">
        <v>183</v>
      </c>
      <c r="L3585">
        <v>10</v>
      </c>
      <c r="M3585" t="s">
        <v>12094</v>
      </c>
      <c r="N3585" t="s">
        <v>64</v>
      </c>
      <c r="O3585" t="s">
        <v>46</v>
      </c>
      <c r="P3585" t="s">
        <v>46</v>
      </c>
      <c r="Y3585" t="s">
        <v>12095</v>
      </c>
    </row>
    <row r="3586" spans="1:25">
      <c r="A3586" t="s">
        <v>12096</v>
      </c>
      <c r="B3586" t="s">
        <v>12097</v>
      </c>
      <c r="D3586" t="s">
        <v>40</v>
      </c>
      <c r="E3586" t="s">
        <v>41</v>
      </c>
      <c r="J3586" t="s">
        <v>182</v>
      </c>
      <c r="K3586" t="s">
        <v>183</v>
      </c>
      <c r="L3586">
        <v>10</v>
      </c>
      <c r="M3586" t="s">
        <v>12094</v>
      </c>
      <c r="N3586" t="s">
        <v>64</v>
      </c>
      <c r="O3586" t="s">
        <v>46</v>
      </c>
      <c r="P3586" t="s">
        <v>46</v>
      </c>
      <c r="Y3586" t="s">
        <v>12098</v>
      </c>
    </row>
    <row r="3587" spans="1:25">
      <c r="A3587" t="s">
        <v>12099</v>
      </c>
      <c r="B3587" t="s">
        <v>12100</v>
      </c>
      <c r="D3587" t="s">
        <v>40</v>
      </c>
      <c r="E3587" t="s">
        <v>41</v>
      </c>
      <c r="J3587" t="s">
        <v>182</v>
      </c>
      <c r="K3587" t="s">
        <v>183</v>
      </c>
      <c r="L3587">
        <v>10</v>
      </c>
      <c r="M3587" t="s">
        <v>12101</v>
      </c>
      <c r="N3587" t="s">
        <v>64</v>
      </c>
      <c r="O3587" t="s">
        <v>46</v>
      </c>
      <c r="P3587" t="s">
        <v>46</v>
      </c>
      <c r="Y3587" t="s">
        <v>12102</v>
      </c>
    </row>
    <row r="3588" spans="1:25">
      <c r="A3588" t="s">
        <v>12103</v>
      </c>
      <c r="B3588" t="s">
        <v>12104</v>
      </c>
      <c r="D3588" t="s">
        <v>40</v>
      </c>
      <c r="E3588" t="s">
        <v>41</v>
      </c>
      <c r="J3588" t="s">
        <v>68</v>
      </c>
      <c r="K3588" t="s">
        <v>69</v>
      </c>
      <c r="L3588">
        <v>10</v>
      </c>
      <c r="M3588" t="s">
        <v>12101</v>
      </c>
      <c r="N3588" t="s">
        <v>64</v>
      </c>
      <c r="O3588" t="s">
        <v>46</v>
      </c>
      <c r="P3588" t="s">
        <v>46</v>
      </c>
      <c r="Y3588" t="s">
        <v>12105</v>
      </c>
    </row>
    <row r="3589" spans="1:25">
      <c r="A3589" t="s">
        <v>12106</v>
      </c>
      <c r="B3589" t="s">
        <v>12107</v>
      </c>
      <c r="D3589" t="s">
        <v>40</v>
      </c>
      <c r="E3589" t="s">
        <v>41</v>
      </c>
      <c r="J3589" t="s">
        <v>68</v>
      </c>
      <c r="K3589" t="s">
        <v>69</v>
      </c>
      <c r="L3589">
        <v>10</v>
      </c>
      <c r="M3589" t="s">
        <v>12101</v>
      </c>
      <c r="N3589" t="s">
        <v>64</v>
      </c>
      <c r="O3589" t="s">
        <v>46</v>
      </c>
      <c r="P3589" t="s">
        <v>46</v>
      </c>
      <c r="Y3589" t="s">
        <v>12108</v>
      </c>
    </row>
    <row r="3590" spans="1:25">
      <c r="A3590" t="s">
        <v>12109</v>
      </c>
      <c r="B3590" t="s">
        <v>12110</v>
      </c>
      <c r="D3590" t="s">
        <v>40</v>
      </c>
      <c r="E3590" t="s">
        <v>41</v>
      </c>
      <c r="J3590" t="s">
        <v>182</v>
      </c>
      <c r="K3590" t="s">
        <v>183</v>
      </c>
      <c r="L3590">
        <v>10</v>
      </c>
      <c r="M3590" t="s">
        <v>12101</v>
      </c>
      <c r="N3590" t="s">
        <v>64</v>
      </c>
      <c r="O3590" t="s">
        <v>46</v>
      </c>
      <c r="P3590" t="s">
        <v>46</v>
      </c>
      <c r="Y3590" t="s">
        <v>12111</v>
      </c>
    </row>
    <row r="3591" spans="1:25">
      <c r="A3591" t="s">
        <v>12112</v>
      </c>
      <c r="B3591" t="s">
        <v>12113</v>
      </c>
      <c r="D3591" t="s">
        <v>40</v>
      </c>
      <c r="E3591" t="s">
        <v>41</v>
      </c>
      <c r="J3591" t="s">
        <v>42</v>
      </c>
      <c r="K3591" t="s">
        <v>43</v>
      </c>
      <c r="L3591">
        <v>10</v>
      </c>
      <c r="M3591" t="s">
        <v>12101</v>
      </c>
      <c r="N3591" t="s">
        <v>178</v>
      </c>
      <c r="O3591" t="s">
        <v>46</v>
      </c>
      <c r="P3591" t="s">
        <v>46</v>
      </c>
      <c r="Y3591" t="s">
        <v>12114</v>
      </c>
    </row>
    <row r="3592" spans="1:25">
      <c r="A3592" t="s">
        <v>12115</v>
      </c>
      <c r="B3592" t="s">
        <v>12116</v>
      </c>
      <c r="D3592" t="s">
        <v>40</v>
      </c>
      <c r="E3592" t="s">
        <v>41</v>
      </c>
      <c r="J3592" t="s">
        <v>76</v>
      </c>
      <c r="K3592" t="s">
        <v>77</v>
      </c>
      <c r="L3592">
        <v>10</v>
      </c>
      <c r="M3592" t="s">
        <v>12117</v>
      </c>
      <c r="N3592" t="s">
        <v>64</v>
      </c>
      <c r="O3592" t="s">
        <v>46</v>
      </c>
      <c r="P3592" t="s">
        <v>46</v>
      </c>
      <c r="Y3592" t="s">
        <v>12118</v>
      </c>
    </row>
    <row r="3593" spans="1:25">
      <c r="A3593" t="s">
        <v>12119</v>
      </c>
      <c r="B3593" t="s">
        <v>12120</v>
      </c>
      <c r="D3593" t="s">
        <v>40</v>
      </c>
      <c r="E3593" t="s">
        <v>41</v>
      </c>
      <c r="J3593" t="s">
        <v>182</v>
      </c>
      <c r="K3593" t="s">
        <v>183</v>
      </c>
      <c r="L3593">
        <v>10</v>
      </c>
      <c r="M3593" t="s">
        <v>12117</v>
      </c>
      <c r="N3593" t="s">
        <v>64</v>
      </c>
      <c r="O3593" t="s">
        <v>46</v>
      </c>
      <c r="P3593" t="s">
        <v>46</v>
      </c>
      <c r="Y3593" t="s">
        <v>12121</v>
      </c>
    </row>
    <row r="3594" spans="1:25">
      <c r="A3594" t="s">
        <v>12122</v>
      </c>
      <c r="B3594" t="s">
        <v>12123</v>
      </c>
      <c r="D3594" t="s">
        <v>40</v>
      </c>
      <c r="E3594" t="s">
        <v>41</v>
      </c>
      <c r="J3594" t="s">
        <v>182</v>
      </c>
      <c r="K3594" t="s">
        <v>183</v>
      </c>
      <c r="L3594">
        <v>10</v>
      </c>
      <c r="M3594" t="s">
        <v>12124</v>
      </c>
      <c r="N3594" t="s">
        <v>64</v>
      </c>
      <c r="O3594" t="s">
        <v>46</v>
      </c>
      <c r="P3594" t="s">
        <v>46</v>
      </c>
      <c r="Y3594" t="s">
        <v>12125</v>
      </c>
    </row>
    <row r="3595" spans="1:25">
      <c r="A3595" t="s">
        <v>12126</v>
      </c>
      <c r="B3595" t="s">
        <v>12127</v>
      </c>
      <c r="D3595" t="s">
        <v>40</v>
      </c>
      <c r="E3595" t="s">
        <v>41</v>
      </c>
      <c r="J3595" t="s">
        <v>62</v>
      </c>
      <c r="K3595" t="s">
        <v>63</v>
      </c>
      <c r="L3595">
        <v>10</v>
      </c>
      <c r="M3595" t="s">
        <v>12124</v>
      </c>
      <c r="N3595" t="s">
        <v>64</v>
      </c>
      <c r="O3595" t="s">
        <v>46</v>
      </c>
      <c r="P3595" t="s">
        <v>46</v>
      </c>
      <c r="Y3595" t="s">
        <v>12128</v>
      </c>
    </row>
    <row r="3596" spans="1:25">
      <c r="A3596" t="s">
        <v>12129</v>
      </c>
      <c r="B3596" t="s">
        <v>12130</v>
      </c>
      <c r="D3596" t="s">
        <v>40</v>
      </c>
      <c r="E3596" t="s">
        <v>41</v>
      </c>
      <c r="J3596" t="s">
        <v>182</v>
      </c>
      <c r="K3596" t="s">
        <v>183</v>
      </c>
      <c r="L3596">
        <v>10</v>
      </c>
      <c r="M3596" t="s">
        <v>12131</v>
      </c>
      <c r="N3596" t="s">
        <v>64</v>
      </c>
      <c r="O3596" t="s">
        <v>46</v>
      </c>
      <c r="P3596" t="s">
        <v>46</v>
      </c>
      <c r="Y3596" t="s">
        <v>12132</v>
      </c>
    </row>
    <row r="3597" spans="1:25">
      <c r="A3597" t="s">
        <v>12133</v>
      </c>
      <c r="B3597" t="s">
        <v>12134</v>
      </c>
      <c r="D3597" t="s">
        <v>40</v>
      </c>
      <c r="E3597" t="s">
        <v>41</v>
      </c>
      <c r="J3597" t="s">
        <v>68</v>
      </c>
      <c r="K3597" t="s">
        <v>69</v>
      </c>
      <c r="L3597">
        <v>10</v>
      </c>
      <c r="M3597" t="s">
        <v>12131</v>
      </c>
      <c r="N3597" t="s">
        <v>64</v>
      </c>
      <c r="O3597" t="s">
        <v>46</v>
      </c>
      <c r="P3597" t="s">
        <v>46</v>
      </c>
      <c r="Y3597" t="s">
        <v>12135</v>
      </c>
    </row>
    <row r="3598" spans="1:25">
      <c r="A3598" t="s">
        <v>12136</v>
      </c>
      <c r="B3598" t="s">
        <v>12137</v>
      </c>
      <c r="D3598" t="s">
        <v>40</v>
      </c>
      <c r="E3598" t="s">
        <v>41</v>
      </c>
      <c r="J3598" t="s">
        <v>182</v>
      </c>
      <c r="K3598" t="s">
        <v>183</v>
      </c>
      <c r="L3598">
        <v>10</v>
      </c>
      <c r="M3598" t="s">
        <v>12131</v>
      </c>
      <c r="N3598" t="s">
        <v>64</v>
      </c>
      <c r="O3598" t="s">
        <v>46</v>
      </c>
      <c r="P3598" t="s">
        <v>46</v>
      </c>
      <c r="Y3598" t="s">
        <v>12138</v>
      </c>
    </row>
    <row r="3599" spans="1:25">
      <c r="A3599" t="s">
        <v>12139</v>
      </c>
      <c r="B3599" t="s">
        <v>12140</v>
      </c>
      <c r="D3599" t="s">
        <v>40</v>
      </c>
      <c r="E3599" t="s">
        <v>41</v>
      </c>
      <c r="J3599" t="s">
        <v>76</v>
      </c>
      <c r="K3599" t="s">
        <v>77</v>
      </c>
      <c r="L3599">
        <v>10</v>
      </c>
      <c r="M3599" t="s">
        <v>12141</v>
      </c>
      <c r="N3599" t="s">
        <v>64</v>
      </c>
      <c r="O3599" t="s">
        <v>46</v>
      </c>
      <c r="P3599" t="s">
        <v>46</v>
      </c>
      <c r="Y3599" t="s">
        <v>12142</v>
      </c>
    </row>
    <row r="3600" spans="1:25">
      <c r="A3600" t="s">
        <v>12143</v>
      </c>
      <c r="B3600" t="s">
        <v>12144</v>
      </c>
      <c r="D3600" t="s">
        <v>40</v>
      </c>
      <c r="E3600" t="s">
        <v>41</v>
      </c>
      <c r="J3600" t="s">
        <v>42</v>
      </c>
      <c r="K3600" t="s">
        <v>43</v>
      </c>
      <c r="L3600">
        <v>10</v>
      </c>
      <c r="M3600" t="s">
        <v>12141</v>
      </c>
      <c r="N3600" t="s">
        <v>2346</v>
      </c>
      <c r="O3600" t="s">
        <v>46</v>
      </c>
      <c r="P3600" t="s">
        <v>46</v>
      </c>
      <c r="Y3600" t="s">
        <v>12145</v>
      </c>
    </row>
    <row r="3601" spans="1:25">
      <c r="A3601" t="s">
        <v>12146</v>
      </c>
      <c r="B3601" t="s">
        <v>12147</v>
      </c>
      <c r="D3601" t="s">
        <v>40</v>
      </c>
      <c r="E3601" t="s">
        <v>41</v>
      </c>
      <c r="J3601" t="s">
        <v>182</v>
      </c>
      <c r="K3601" t="s">
        <v>183</v>
      </c>
      <c r="L3601">
        <v>10</v>
      </c>
      <c r="M3601" t="s">
        <v>12141</v>
      </c>
      <c r="N3601" t="s">
        <v>64</v>
      </c>
      <c r="O3601" t="s">
        <v>46</v>
      </c>
      <c r="P3601" t="s">
        <v>46</v>
      </c>
      <c r="Y3601" t="s">
        <v>12148</v>
      </c>
    </row>
    <row r="3602" spans="1:25">
      <c r="A3602" t="s">
        <v>12149</v>
      </c>
      <c r="B3602" t="s">
        <v>12150</v>
      </c>
      <c r="D3602" t="s">
        <v>40</v>
      </c>
      <c r="E3602" t="s">
        <v>41</v>
      </c>
      <c r="J3602" t="s">
        <v>182</v>
      </c>
      <c r="K3602" t="s">
        <v>183</v>
      </c>
      <c r="L3602">
        <v>10</v>
      </c>
      <c r="M3602" t="s">
        <v>12151</v>
      </c>
      <c r="N3602" t="s">
        <v>64</v>
      </c>
      <c r="O3602" t="s">
        <v>46</v>
      </c>
      <c r="P3602" t="s">
        <v>46</v>
      </c>
      <c r="Y3602" t="s">
        <v>12152</v>
      </c>
    </row>
    <row r="3603" spans="1:25">
      <c r="A3603" t="s">
        <v>12153</v>
      </c>
      <c r="B3603" t="s">
        <v>12154</v>
      </c>
      <c r="D3603" t="s">
        <v>40</v>
      </c>
      <c r="E3603" t="s">
        <v>41</v>
      </c>
      <c r="J3603" t="s">
        <v>182</v>
      </c>
      <c r="K3603" t="s">
        <v>183</v>
      </c>
      <c r="L3603">
        <v>10</v>
      </c>
      <c r="M3603" t="s">
        <v>12155</v>
      </c>
      <c r="N3603" t="s">
        <v>64</v>
      </c>
      <c r="O3603" t="s">
        <v>46</v>
      </c>
      <c r="P3603" t="s">
        <v>46</v>
      </c>
      <c r="Y3603" t="s">
        <v>12156</v>
      </c>
    </row>
    <row r="3604" spans="1:25">
      <c r="A3604" t="s">
        <v>12157</v>
      </c>
      <c r="B3604" t="s">
        <v>12158</v>
      </c>
      <c r="D3604" t="s">
        <v>40</v>
      </c>
      <c r="E3604" t="s">
        <v>41</v>
      </c>
      <c r="J3604" t="s">
        <v>76</v>
      </c>
      <c r="K3604" t="s">
        <v>77</v>
      </c>
      <c r="L3604">
        <v>10</v>
      </c>
      <c r="M3604" t="s">
        <v>12159</v>
      </c>
      <c r="N3604" t="s">
        <v>64</v>
      </c>
      <c r="O3604" t="s">
        <v>46</v>
      </c>
      <c r="P3604" t="s">
        <v>46</v>
      </c>
      <c r="Y3604" t="s">
        <v>12160</v>
      </c>
    </row>
    <row r="3605" spans="1:25">
      <c r="A3605" t="s">
        <v>12161</v>
      </c>
      <c r="B3605" t="s">
        <v>12162</v>
      </c>
      <c r="D3605" t="s">
        <v>40</v>
      </c>
      <c r="E3605" t="s">
        <v>41</v>
      </c>
      <c r="J3605" t="s">
        <v>182</v>
      </c>
      <c r="K3605" t="s">
        <v>183</v>
      </c>
      <c r="L3605">
        <v>10</v>
      </c>
      <c r="M3605" t="s">
        <v>12159</v>
      </c>
      <c r="N3605" t="s">
        <v>64</v>
      </c>
      <c r="O3605" t="s">
        <v>46</v>
      </c>
      <c r="P3605" t="s">
        <v>46</v>
      </c>
      <c r="Y3605" t="s">
        <v>12163</v>
      </c>
    </row>
    <row r="3606" spans="1:25">
      <c r="A3606" t="s">
        <v>12164</v>
      </c>
      <c r="B3606" t="s">
        <v>12165</v>
      </c>
      <c r="D3606" t="s">
        <v>40</v>
      </c>
      <c r="E3606" t="s">
        <v>41</v>
      </c>
      <c r="J3606" t="s">
        <v>76</v>
      </c>
      <c r="K3606" t="s">
        <v>77</v>
      </c>
      <c r="L3606">
        <v>10</v>
      </c>
      <c r="M3606" t="s">
        <v>12159</v>
      </c>
      <c r="N3606" t="s">
        <v>64</v>
      </c>
      <c r="O3606" t="s">
        <v>46</v>
      </c>
      <c r="P3606" t="s">
        <v>46</v>
      </c>
      <c r="Y3606" t="s">
        <v>12166</v>
      </c>
    </row>
    <row r="3607" spans="1:25">
      <c r="A3607" t="s">
        <v>12167</v>
      </c>
      <c r="B3607" t="s">
        <v>12168</v>
      </c>
      <c r="D3607" t="s">
        <v>40</v>
      </c>
      <c r="E3607" t="s">
        <v>41</v>
      </c>
      <c r="J3607" t="s">
        <v>76</v>
      </c>
      <c r="K3607" t="s">
        <v>77</v>
      </c>
      <c r="L3607">
        <v>10</v>
      </c>
      <c r="M3607" t="s">
        <v>12159</v>
      </c>
      <c r="N3607" t="s">
        <v>64</v>
      </c>
      <c r="O3607" t="s">
        <v>46</v>
      </c>
      <c r="P3607" t="s">
        <v>46</v>
      </c>
      <c r="Y3607" t="s">
        <v>12169</v>
      </c>
    </row>
    <row r="3608" spans="1:25">
      <c r="A3608" t="s">
        <v>12170</v>
      </c>
      <c r="B3608" t="s">
        <v>12171</v>
      </c>
      <c r="D3608" t="s">
        <v>40</v>
      </c>
      <c r="E3608" t="s">
        <v>41</v>
      </c>
      <c r="J3608" t="s">
        <v>76</v>
      </c>
      <c r="K3608" t="s">
        <v>77</v>
      </c>
      <c r="L3608">
        <v>10</v>
      </c>
      <c r="M3608" t="s">
        <v>12172</v>
      </c>
      <c r="N3608" t="s">
        <v>64</v>
      </c>
      <c r="O3608" t="s">
        <v>46</v>
      </c>
      <c r="P3608" t="s">
        <v>46</v>
      </c>
      <c r="Y3608" t="s">
        <v>12173</v>
      </c>
    </row>
    <row r="3609" spans="1:25">
      <c r="A3609" t="s">
        <v>12174</v>
      </c>
      <c r="B3609" t="s">
        <v>12175</v>
      </c>
      <c r="D3609" t="s">
        <v>40</v>
      </c>
      <c r="E3609" t="s">
        <v>41</v>
      </c>
      <c r="J3609" t="s">
        <v>42</v>
      </c>
      <c r="K3609" t="s">
        <v>43</v>
      </c>
      <c r="L3609">
        <v>10</v>
      </c>
      <c r="M3609" t="s">
        <v>12172</v>
      </c>
      <c r="N3609" t="s">
        <v>4037</v>
      </c>
      <c r="O3609" t="s">
        <v>46</v>
      </c>
      <c r="P3609" t="s">
        <v>46</v>
      </c>
      <c r="Y3609" t="s">
        <v>12176</v>
      </c>
    </row>
    <row r="3610" spans="1:25">
      <c r="A3610" t="s">
        <v>12177</v>
      </c>
      <c r="B3610" t="s">
        <v>12178</v>
      </c>
      <c r="D3610" t="s">
        <v>40</v>
      </c>
      <c r="E3610" t="s">
        <v>41</v>
      </c>
      <c r="J3610" t="s">
        <v>76</v>
      </c>
      <c r="K3610" t="s">
        <v>77</v>
      </c>
      <c r="L3610">
        <v>10</v>
      </c>
      <c r="M3610" t="s">
        <v>12172</v>
      </c>
      <c r="N3610" t="s">
        <v>64</v>
      </c>
      <c r="O3610" t="s">
        <v>46</v>
      </c>
      <c r="P3610" t="s">
        <v>46</v>
      </c>
      <c r="Y3610" t="s">
        <v>12179</v>
      </c>
    </row>
    <row r="3611" spans="1:25">
      <c r="A3611" t="s">
        <v>12180</v>
      </c>
      <c r="B3611" t="s">
        <v>12181</v>
      </c>
      <c r="D3611" t="s">
        <v>40</v>
      </c>
      <c r="E3611" t="s">
        <v>41</v>
      </c>
      <c r="J3611" t="s">
        <v>182</v>
      </c>
      <c r="K3611" t="s">
        <v>183</v>
      </c>
      <c r="L3611">
        <v>10</v>
      </c>
      <c r="M3611" t="s">
        <v>12172</v>
      </c>
      <c r="N3611" t="s">
        <v>64</v>
      </c>
      <c r="O3611" t="s">
        <v>46</v>
      </c>
      <c r="P3611" t="s">
        <v>46</v>
      </c>
      <c r="Y3611" t="s">
        <v>12182</v>
      </c>
    </row>
    <row r="3612" spans="1:25">
      <c r="A3612" t="s">
        <v>12183</v>
      </c>
      <c r="B3612" t="s">
        <v>12184</v>
      </c>
      <c r="D3612" t="s">
        <v>40</v>
      </c>
      <c r="E3612" t="s">
        <v>41</v>
      </c>
      <c r="J3612" t="s">
        <v>182</v>
      </c>
      <c r="K3612" t="s">
        <v>183</v>
      </c>
      <c r="L3612">
        <v>10</v>
      </c>
      <c r="M3612" t="s">
        <v>12172</v>
      </c>
      <c r="N3612" t="s">
        <v>64</v>
      </c>
      <c r="O3612" t="s">
        <v>46</v>
      </c>
      <c r="P3612" t="s">
        <v>46</v>
      </c>
      <c r="Y3612" t="s">
        <v>12185</v>
      </c>
    </row>
    <row r="3613" spans="1:25">
      <c r="A3613" t="s">
        <v>12186</v>
      </c>
      <c r="B3613" t="s">
        <v>12187</v>
      </c>
      <c r="D3613" t="s">
        <v>40</v>
      </c>
      <c r="E3613" t="s">
        <v>41</v>
      </c>
      <c r="J3613" t="s">
        <v>62</v>
      </c>
      <c r="K3613" t="s">
        <v>63</v>
      </c>
      <c r="L3613">
        <v>10</v>
      </c>
      <c r="M3613" t="s">
        <v>12188</v>
      </c>
      <c r="N3613" t="s">
        <v>64</v>
      </c>
      <c r="O3613" t="s">
        <v>46</v>
      </c>
      <c r="P3613" t="s">
        <v>46</v>
      </c>
      <c r="Y3613" t="s">
        <v>12189</v>
      </c>
    </row>
    <row r="3614" spans="1:25">
      <c r="A3614" t="s">
        <v>12190</v>
      </c>
      <c r="B3614" t="s">
        <v>12191</v>
      </c>
      <c r="D3614" t="s">
        <v>40</v>
      </c>
      <c r="E3614" t="s">
        <v>41</v>
      </c>
      <c r="J3614" t="s">
        <v>42</v>
      </c>
      <c r="K3614" t="s">
        <v>43</v>
      </c>
      <c r="L3614">
        <v>10</v>
      </c>
      <c r="M3614" t="s">
        <v>12192</v>
      </c>
      <c r="N3614" t="s">
        <v>1344</v>
      </c>
      <c r="O3614" t="s">
        <v>46</v>
      </c>
      <c r="P3614" t="s">
        <v>46</v>
      </c>
      <c r="Y3614" t="s">
        <v>12193</v>
      </c>
    </row>
    <row r="3615" spans="1:25">
      <c r="A3615" t="s">
        <v>12194</v>
      </c>
      <c r="B3615" t="s">
        <v>12195</v>
      </c>
      <c r="D3615" t="s">
        <v>40</v>
      </c>
      <c r="E3615" t="s">
        <v>41</v>
      </c>
      <c r="J3615" t="s">
        <v>76</v>
      </c>
      <c r="K3615" t="s">
        <v>77</v>
      </c>
      <c r="L3615">
        <v>10</v>
      </c>
      <c r="M3615" t="s">
        <v>12192</v>
      </c>
      <c r="N3615" t="s">
        <v>64</v>
      </c>
      <c r="O3615" t="s">
        <v>46</v>
      </c>
      <c r="P3615" t="s">
        <v>46</v>
      </c>
      <c r="Y3615" t="s">
        <v>12196</v>
      </c>
    </row>
    <row r="3616" spans="1:25">
      <c r="A3616" t="s">
        <v>12197</v>
      </c>
      <c r="B3616" t="s">
        <v>12198</v>
      </c>
      <c r="D3616" t="s">
        <v>40</v>
      </c>
      <c r="E3616" t="s">
        <v>41</v>
      </c>
      <c r="J3616" t="s">
        <v>76</v>
      </c>
      <c r="K3616" t="s">
        <v>77</v>
      </c>
      <c r="L3616">
        <v>10</v>
      </c>
      <c r="M3616" t="s">
        <v>12192</v>
      </c>
      <c r="N3616" t="s">
        <v>64</v>
      </c>
      <c r="O3616" t="s">
        <v>46</v>
      </c>
      <c r="P3616" t="s">
        <v>46</v>
      </c>
      <c r="Y3616" t="s">
        <v>12199</v>
      </c>
    </row>
    <row r="3617" spans="1:25">
      <c r="A3617" t="s">
        <v>12200</v>
      </c>
      <c r="B3617" t="s">
        <v>12201</v>
      </c>
      <c r="D3617" t="s">
        <v>40</v>
      </c>
      <c r="E3617" t="s">
        <v>41</v>
      </c>
      <c r="J3617" t="s">
        <v>42</v>
      </c>
      <c r="K3617" t="s">
        <v>43</v>
      </c>
      <c r="L3617">
        <v>10</v>
      </c>
      <c r="M3617" t="s">
        <v>12202</v>
      </c>
      <c r="N3617" t="s">
        <v>257</v>
      </c>
      <c r="O3617" t="s">
        <v>46</v>
      </c>
      <c r="P3617" t="s">
        <v>46</v>
      </c>
      <c r="Y3617" t="s">
        <v>12203</v>
      </c>
    </row>
    <row r="3618" spans="1:25">
      <c r="A3618" t="s">
        <v>12204</v>
      </c>
      <c r="B3618" t="s">
        <v>12205</v>
      </c>
      <c r="D3618" t="s">
        <v>40</v>
      </c>
      <c r="E3618" t="s">
        <v>41</v>
      </c>
      <c r="J3618" t="s">
        <v>68</v>
      </c>
      <c r="K3618" t="s">
        <v>69</v>
      </c>
      <c r="L3618">
        <v>10</v>
      </c>
      <c r="M3618" t="s">
        <v>12202</v>
      </c>
      <c r="N3618" t="s">
        <v>64</v>
      </c>
      <c r="O3618" t="s">
        <v>46</v>
      </c>
      <c r="P3618" t="s">
        <v>46</v>
      </c>
      <c r="Y3618" t="s">
        <v>12206</v>
      </c>
    </row>
    <row r="3619" spans="1:25">
      <c r="A3619" t="s">
        <v>12207</v>
      </c>
      <c r="B3619" t="s">
        <v>12208</v>
      </c>
      <c r="D3619" t="s">
        <v>40</v>
      </c>
      <c r="E3619" t="s">
        <v>41</v>
      </c>
      <c r="J3619" t="s">
        <v>182</v>
      </c>
      <c r="K3619" t="s">
        <v>183</v>
      </c>
      <c r="L3619">
        <v>10</v>
      </c>
      <c r="M3619" t="s">
        <v>12202</v>
      </c>
      <c r="N3619" t="s">
        <v>64</v>
      </c>
      <c r="O3619" t="s">
        <v>46</v>
      </c>
      <c r="P3619" t="s">
        <v>46</v>
      </c>
      <c r="Y3619" t="s">
        <v>12209</v>
      </c>
    </row>
    <row r="3620" spans="1:25">
      <c r="A3620" t="s">
        <v>12210</v>
      </c>
      <c r="B3620" t="s">
        <v>12211</v>
      </c>
      <c r="D3620" t="s">
        <v>40</v>
      </c>
      <c r="E3620" t="s">
        <v>41</v>
      </c>
      <c r="J3620" t="s">
        <v>68</v>
      </c>
      <c r="K3620" t="s">
        <v>69</v>
      </c>
      <c r="L3620">
        <v>10</v>
      </c>
      <c r="M3620" t="s">
        <v>12202</v>
      </c>
      <c r="N3620" t="s">
        <v>64</v>
      </c>
      <c r="O3620" t="s">
        <v>46</v>
      </c>
      <c r="P3620" t="s">
        <v>46</v>
      </c>
      <c r="Y3620" t="s">
        <v>12212</v>
      </c>
    </row>
    <row r="3621" spans="1:25">
      <c r="A3621" t="s">
        <v>12213</v>
      </c>
      <c r="B3621" t="s">
        <v>12214</v>
      </c>
      <c r="D3621" t="s">
        <v>40</v>
      </c>
      <c r="E3621" t="s">
        <v>41</v>
      </c>
      <c r="J3621" t="s">
        <v>182</v>
      </c>
      <c r="K3621" t="s">
        <v>183</v>
      </c>
      <c r="L3621">
        <v>10</v>
      </c>
      <c r="M3621" t="s">
        <v>12202</v>
      </c>
      <c r="N3621" t="s">
        <v>64</v>
      </c>
      <c r="O3621" t="s">
        <v>46</v>
      </c>
      <c r="P3621" t="s">
        <v>46</v>
      </c>
      <c r="Y3621" t="s">
        <v>12215</v>
      </c>
    </row>
    <row r="3622" spans="1:25">
      <c r="A3622" t="s">
        <v>12216</v>
      </c>
      <c r="B3622" t="s">
        <v>12217</v>
      </c>
      <c r="D3622" t="s">
        <v>40</v>
      </c>
      <c r="E3622" t="s">
        <v>41</v>
      </c>
      <c r="J3622" t="s">
        <v>76</v>
      </c>
      <c r="K3622" t="s">
        <v>77</v>
      </c>
      <c r="L3622">
        <v>10</v>
      </c>
      <c r="M3622" t="s">
        <v>12202</v>
      </c>
      <c r="N3622" t="s">
        <v>64</v>
      </c>
      <c r="O3622" t="s">
        <v>46</v>
      </c>
      <c r="P3622" t="s">
        <v>46</v>
      </c>
      <c r="Y3622" t="s">
        <v>12218</v>
      </c>
    </row>
    <row r="3623" spans="1:25">
      <c r="A3623" t="s">
        <v>12219</v>
      </c>
      <c r="B3623" t="s">
        <v>12220</v>
      </c>
      <c r="D3623" t="s">
        <v>40</v>
      </c>
      <c r="E3623" t="s">
        <v>41</v>
      </c>
      <c r="J3623" t="s">
        <v>76</v>
      </c>
      <c r="K3623" t="s">
        <v>77</v>
      </c>
      <c r="L3623">
        <v>10</v>
      </c>
      <c r="M3623" t="s">
        <v>12221</v>
      </c>
      <c r="N3623" t="s">
        <v>64</v>
      </c>
      <c r="O3623" t="s">
        <v>46</v>
      </c>
      <c r="P3623" t="s">
        <v>46</v>
      </c>
      <c r="Y3623" t="s">
        <v>12222</v>
      </c>
    </row>
    <row r="3624" spans="1:25">
      <c r="A3624" t="s">
        <v>12223</v>
      </c>
      <c r="B3624" t="s">
        <v>12224</v>
      </c>
      <c r="D3624" t="s">
        <v>40</v>
      </c>
      <c r="E3624" t="s">
        <v>41</v>
      </c>
      <c r="J3624" t="s">
        <v>182</v>
      </c>
      <c r="K3624" t="s">
        <v>183</v>
      </c>
      <c r="L3624">
        <v>10</v>
      </c>
      <c r="M3624" t="s">
        <v>12225</v>
      </c>
      <c r="N3624" t="s">
        <v>64</v>
      </c>
      <c r="O3624" t="s">
        <v>46</v>
      </c>
      <c r="P3624" t="s">
        <v>46</v>
      </c>
      <c r="Y3624" t="s">
        <v>12226</v>
      </c>
    </row>
    <row r="3625" spans="1:25">
      <c r="A3625" t="s">
        <v>12227</v>
      </c>
      <c r="B3625" t="s">
        <v>12228</v>
      </c>
      <c r="D3625" t="s">
        <v>40</v>
      </c>
      <c r="E3625" t="s">
        <v>41</v>
      </c>
      <c r="J3625" t="s">
        <v>182</v>
      </c>
      <c r="K3625" t="s">
        <v>183</v>
      </c>
      <c r="L3625">
        <v>10</v>
      </c>
      <c r="M3625" t="s">
        <v>12225</v>
      </c>
      <c r="N3625" t="s">
        <v>64</v>
      </c>
      <c r="O3625" t="s">
        <v>46</v>
      </c>
      <c r="P3625" t="s">
        <v>46</v>
      </c>
      <c r="Y3625" t="s">
        <v>12229</v>
      </c>
    </row>
    <row r="3626" spans="1:25">
      <c r="A3626" t="s">
        <v>12230</v>
      </c>
      <c r="B3626" t="s">
        <v>12231</v>
      </c>
      <c r="D3626" t="s">
        <v>40</v>
      </c>
      <c r="E3626" t="s">
        <v>41</v>
      </c>
      <c r="J3626" t="s">
        <v>68</v>
      </c>
      <c r="K3626" t="s">
        <v>69</v>
      </c>
      <c r="L3626">
        <v>10</v>
      </c>
      <c r="M3626" t="s">
        <v>12225</v>
      </c>
      <c r="N3626" t="s">
        <v>64</v>
      </c>
      <c r="O3626" t="s">
        <v>46</v>
      </c>
      <c r="P3626" t="s">
        <v>46</v>
      </c>
      <c r="Y3626" t="s">
        <v>12232</v>
      </c>
    </row>
    <row r="3627" spans="1:25">
      <c r="A3627" t="s">
        <v>12233</v>
      </c>
      <c r="B3627" t="s">
        <v>12234</v>
      </c>
      <c r="D3627" t="s">
        <v>40</v>
      </c>
      <c r="E3627" t="s">
        <v>41</v>
      </c>
      <c r="J3627" t="s">
        <v>62</v>
      </c>
      <c r="K3627" t="s">
        <v>63</v>
      </c>
      <c r="L3627">
        <v>3</v>
      </c>
      <c r="M3627" t="s">
        <v>12235</v>
      </c>
      <c r="N3627" t="s">
        <v>64</v>
      </c>
      <c r="O3627" t="s">
        <v>46</v>
      </c>
      <c r="P3627" t="s">
        <v>46</v>
      </c>
      <c r="Y3627" t="s">
        <v>12236</v>
      </c>
    </row>
    <row r="3628" spans="1:25">
      <c r="A3628" t="s">
        <v>12237</v>
      </c>
      <c r="B3628" t="s">
        <v>12238</v>
      </c>
      <c r="D3628" t="s">
        <v>40</v>
      </c>
      <c r="E3628" t="s">
        <v>41</v>
      </c>
      <c r="J3628" t="s">
        <v>182</v>
      </c>
      <c r="K3628" t="s">
        <v>183</v>
      </c>
      <c r="L3628">
        <v>10</v>
      </c>
      <c r="M3628" t="s">
        <v>12235</v>
      </c>
      <c r="N3628" t="s">
        <v>64</v>
      </c>
      <c r="O3628" t="s">
        <v>46</v>
      </c>
      <c r="P3628" t="s">
        <v>46</v>
      </c>
      <c r="Y3628" t="s">
        <v>12239</v>
      </c>
    </row>
    <row r="3629" spans="1:25">
      <c r="A3629" t="s">
        <v>12240</v>
      </c>
      <c r="B3629" t="s">
        <v>12241</v>
      </c>
      <c r="D3629" t="s">
        <v>40</v>
      </c>
      <c r="E3629" t="s">
        <v>41</v>
      </c>
      <c r="J3629" t="s">
        <v>76</v>
      </c>
      <c r="K3629" t="s">
        <v>77</v>
      </c>
      <c r="L3629">
        <v>10</v>
      </c>
      <c r="M3629" t="s">
        <v>12235</v>
      </c>
      <c r="N3629" t="s">
        <v>64</v>
      </c>
      <c r="O3629" t="s">
        <v>46</v>
      </c>
      <c r="P3629" t="s">
        <v>46</v>
      </c>
      <c r="Y3629" t="s">
        <v>12242</v>
      </c>
    </row>
    <row r="3630" spans="1:25">
      <c r="A3630" t="s">
        <v>12243</v>
      </c>
      <c r="B3630" t="s">
        <v>12244</v>
      </c>
      <c r="D3630" t="s">
        <v>40</v>
      </c>
      <c r="E3630" t="s">
        <v>41</v>
      </c>
      <c r="J3630" t="s">
        <v>68</v>
      </c>
      <c r="K3630" t="s">
        <v>69</v>
      </c>
      <c r="L3630">
        <v>8</v>
      </c>
      <c r="M3630" t="s">
        <v>12235</v>
      </c>
      <c r="N3630" t="s">
        <v>64</v>
      </c>
      <c r="O3630" t="s">
        <v>46</v>
      </c>
      <c r="P3630" t="s">
        <v>46</v>
      </c>
      <c r="Y3630" t="s">
        <v>12245</v>
      </c>
    </row>
    <row r="3631" spans="1:25">
      <c r="A3631" t="s">
        <v>12246</v>
      </c>
      <c r="B3631" t="s">
        <v>12247</v>
      </c>
      <c r="D3631" t="s">
        <v>40</v>
      </c>
      <c r="E3631" t="s">
        <v>41</v>
      </c>
      <c r="J3631" t="s">
        <v>76</v>
      </c>
      <c r="K3631" t="s">
        <v>77</v>
      </c>
      <c r="L3631">
        <v>10</v>
      </c>
      <c r="M3631" t="s">
        <v>12235</v>
      </c>
      <c r="N3631" t="s">
        <v>64</v>
      </c>
      <c r="O3631" t="s">
        <v>46</v>
      </c>
      <c r="P3631" t="s">
        <v>46</v>
      </c>
      <c r="Y3631" t="s">
        <v>12248</v>
      </c>
    </row>
    <row r="3632" spans="1:25">
      <c r="A3632" t="s">
        <v>12249</v>
      </c>
      <c r="B3632" t="s">
        <v>12250</v>
      </c>
      <c r="D3632" t="s">
        <v>40</v>
      </c>
      <c r="E3632" t="s">
        <v>41</v>
      </c>
      <c r="J3632" t="s">
        <v>139</v>
      </c>
      <c r="K3632" t="s">
        <v>140</v>
      </c>
      <c r="L3632">
        <v>10</v>
      </c>
      <c r="M3632" t="s">
        <v>12251</v>
      </c>
      <c r="N3632" t="s">
        <v>436</v>
      </c>
      <c r="O3632" t="s">
        <v>46</v>
      </c>
      <c r="P3632" t="s">
        <v>46</v>
      </c>
      <c r="Y3632" t="s">
        <v>12252</v>
      </c>
    </row>
    <row r="3633" spans="1:25">
      <c r="A3633" t="s">
        <v>12253</v>
      </c>
      <c r="B3633" t="s">
        <v>12254</v>
      </c>
      <c r="D3633" t="s">
        <v>40</v>
      </c>
      <c r="E3633" t="s">
        <v>41</v>
      </c>
      <c r="J3633" t="s">
        <v>42</v>
      </c>
      <c r="K3633" t="s">
        <v>43</v>
      </c>
      <c r="L3633">
        <v>10</v>
      </c>
      <c r="M3633" t="s">
        <v>12251</v>
      </c>
      <c r="N3633" t="s">
        <v>178</v>
      </c>
      <c r="O3633" t="s">
        <v>46</v>
      </c>
      <c r="P3633" t="s">
        <v>46</v>
      </c>
      <c r="Y3633" t="s">
        <v>12255</v>
      </c>
    </row>
    <row r="3634" spans="1:25">
      <c r="A3634" t="s">
        <v>12256</v>
      </c>
      <c r="B3634" t="s">
        <v>12257</v>
      </c>
      <c r="D3634" t="s">
        <v>40</v>
      </c>
      <c r="E3634" t="s">
        <v>41</v>
      </c>
      <c r="J3634" t="s">
        <v>182</v>
      </c>
      <c r="K3634" t="s">
        <v>183</v>
      </c>
      <c r="L3634">
        <v>10</v>
      </c>
      <c r="M3634" t="s">
        <v>12251</v>
      </c>
      <c r="N3634" t="s">
        <v>64</v>
      </c>
      <c r="O3634" t="s">
        <v>46</v>
      </c>
      <c r="P3634" t="s">
        <v>46</v>
      </c>
      <c r="Y3634" t="s">
        <v>12258</v>
      </c>
    </row>
    <row r="3635" spans="1:25">
      <c r="A3635" t="s">
        <v>12259</v>
      </c>
      <c r="B3635" t="s">
        <v>12260</v>
      </c>
      <c r="D3635" t="s">
        <v>40</v>
      </c>
      <c r="E3635" t="s">
        <v>41</v>
      </c>
      <c r="J3635" t="s">
        <v>182</v>
      </c>
      <c r="K3635" t="s">
        <v>183</v>
      </c>
      <c r="L3635">
        <v>10</v>
      </c>
      <c r="M3635" t="s">
        <v>12251</v>
      </c>
      <c r="N3635" t="s">
        <v>64</v>
      </c>
      <c r="O3635" t="s">
        <v>46</v>
      </c>
      <c r="P3635" t="s">
        <v>46</v>
      </c>
      <c r="Y3635" t="s">
        <v>12261</v>
      </c>
    </row>
    <row r="3636" spans="1:25">
      <c r="A3636" t="s">
        <v>12262</v>
      </c>
      <c r="B3636" t="s">
        <v>12263</v>
      </c>
      <c r="D3636" t="s">
        <v>40</v>
      </c>
      <c r="E3636" t="s">
        <v>41</v>
      </c>
      <c r="J3636" t="s">
        <v>182</v>
      </c>
      <c r="K3636" t="s">
        <v>183</v>
      </c>
      <c r="L3636">
        <v>10</v>
      </c>
      <c r="M3636" t="s">
        <v>12251</v>
      </c>
      <c r="N3636" t="s">
        <v>64</v>
      </c>
      <c r="O3636" t="s">
        <v>46</v>
      </c>
      <c r="P3636" t="s">
        <v>46</v>
      </c>
      <c r="Y3636" t="s">
        <v>12264</v>
      </c>
    </row>
    <row r="3637" spans="1:25">
      <c r="A3637" t="s">
        <v>12265</v>
      </c>
      <c r="B3637" t="s">
        <v>12266</v>
      </c>
      <c r="D3637" t="s">
        <v>40</v>
      </c>
      <c r="E3637" t="s">
        <v>41</v>
      </c>
      <c r="J3637" t="s">
        <v>76</v>
      </c>
      <c r="K3637" t="s">
        <v>77</v>
      </c>
      <c r="L3637">
        <v>10</v>
      </c>
      <c r="M3637" t="s">
        <v>12251</v>
      </c>
      <c r="N3637" t="s">
        <v>64</v>
      </c>
      <c r="O3637" t="s">
        <v>46</v>
      </c>
      <c r="P3637" t="s">
        <v>46</v>
      </c>
      <c r="Y3637" t="s">
        <v>12267</v>
      </c>
    </row>
    <row r="3638" spans="1:25">
      <c r="A3638" t="s">
        <v>12268</v>
      </c>
      <c r="B3638" t="s">
        <v>12269</v>
      </c>
      <c r="D3638" t="s">
        <v>40</v>
      </c>
      <c r="E3638" t="s">
        <v>41</v>
      </c>
      <c r="J3638" t="s">
        <v>182</v>
      </c>
      <c r="K3638" t="s">
        <v>183</v>
      </c>
      <c r="L3638">
        <v>10</v>
      </c>
      <c r="M3638" t="s">
        <v>12251</v>
      </c>
      <c r="N3638" t="s">
        <v>64</v>
      </c>
      <c r="O3638" t="s">
        <v>46</v>
      </c>
      <c r="P3638" t="s">
        <v>46</v>
      </c>
      <c r="Y3638" t="s">
        <v>12270</v>
      </c>
    </row>
    <row r="3639" spans="1:25">
      <c r="A3639" t="s">
        <v>12271</v>
      </c>
      <c r="B3639" t="s">
        <v>12272</v>
      </c>
      <c r="D3639" t="s">
        <v>40</v>
      </c>
      <c r="E3639" t="s">
        <v>41</v>
      </c>
      <c r="J3639" t="s">
        <v>182</v>
      </c>
      <c r="K3639" t="s">
        <v>183</v>
      </c>
      <c r="L3639">
        <v>10</v>
      </c>
      <c r="M3639" t="s">
        <v>12273</v>
      </c>
      <c r="N3639" t="s">
        <v>64</v>
      </c>
      <c r="O3639" t="s">
        <v>46</v>
      </c>
      <c r="P3639" t="s">
        <v>46</v>
      </c>
      <c r="Y3639" t="s">
        <v>12274</v>
      </c>
    </row>
    <row r="3640" spans="1:25">
      <c r="A3640" t="s">
        <v>12275</v>
      </c>
      <c r="B3640" t="s">
        <v>12276</v>
      </c>
      <c r="D3640" t="s">
        <v>40</v>
      </c>
      <c r="E3640" t="s">
        <v>41</v>
      </c>
      <c r="J3640" t="s">
        <v>68</v>
      </c>
      <c r="K3640" t="s">
        <v>69</v>
      </c>
      <c r="L3640">
        <v>10</v>
      </c>
      <c r="M3640" t="s">
        <v>12273</v>
      </c>
      <c r="N3640" t="s">
        <v>64</v>
      </c>
      <c r="O3640" t="s">
        <v>46</v>
      </c>
      <c r="P3640" t="s">
        <v>46</v>
      </c>
      <c r="Y3640" t="s">
        <v>12277</v>
      </c>
    </row>
    <row r="3641" spans="1:25">
      <c r="A3641" t="s">
        <v>12278</v>
      </c>
      <c r="B3641" t="s">
        <v>12279</v>
      </c>
      <c r="D3641" t="s">
        <v>40</v>
      </c>
      <c r="E3641" t="s">
        <v>41</v>
      </c>
      <c r="J3641" t="s">
        <v>182</v>
      </c>
      <c r="K3641" t="s">
        <v>183</v>
      </c>
      <c r="L3641">
        <v>10</v>
      </c>
      <c r="M3641" t="s">
        <v>12273</v>
      </c>
      <c r="N3641" t="s">
        <v>64</v>
      </c>
      <c r="O3641" t="s">
        <v>46</v>
      </c>
      <c r="P3641" t="s">
        <v>46</v>
      </c>
      <c r="Y3641" t="s">
        <v>12280</v>
      </c>
    </row>
    <row r="3642" spans="1:25">
      <c r="A3642" t="s">
        <v>12281</v>
      </c>
      <c r="B3642" t="s">
        <v>12282</v>
      </c>
      <c r="D3642" t="s">
        <v>40</v>
      </c>
      <c r="E3642" t="s">
        <v>41</v>
      </c>
      <c r="J3642" t="s">
        <v>248</v>
      </c>
      <c r="K3642" t="s">
        <v>249</v>
      </c>
      <c r="L3642">
        <v>10</v>
      </c>
      <c r="M3642" t="s">
        <v>12273</v>
      </c>
      <c r="N3642" t="s">
        <v>1392</v>
      </c>
      <c r="O3642" t="s">
        <v>46</v>
      </c>
      <c r="P3642" t="s">
        <v>46</v>
      </c>
      <c r="Y3642" t="s">
        <v>12283</v>
      </c>
    </row>
    <row r="3643" spans="1:25">
      <c r="A3643" t="s">
        <v>12284</v>
      </c>
      <c r="B3643" t="s">
        <v>12285</v>
      </c>
      <c r="D3643" t="s">
        <v>40</v>
      </c>
      <c r="E3643" t="s">
        <v>41</v>
      </c>
      <c r="J3643" t="s">
        <v>68</v>
      </c>
      <c r="K3643" t="s">
        <v>69</v>
      </c>
      <c r="L3643">
        <v>10</v>
      </c>
      <c r="M3643" t="s">
        <v>12273</v>
      </c>
      <c r="N3643" t="s">
        <v>64</v>
      </c>
      <c r="O3643" t="s">
        <v>46</v>
      </c>
      <c r="P3643" t="s">
        <v>46</v>
      </c>
      <c r="Y3643" t="s">
        <v>12286</v>
      </c>
    </row>
    <row r="3644" spans="1:25">
      <c r="A3644" t="s">
        <v>12287</v>
      </c>
      <c r="B3644" t="s">
        <v>12288</v>
      </c>
      <c r="D3644" t="s">
        <v>40</v>
      </c>
      <c r="E3644" t="s">
        <v>41</v>
      </c>
      <c r="J3644" t="s">
        <v>68</v>
      </c>
      <c r="K3644" t="s">
        <v>69</v>
      </c>
      <c r="L3644">
        <v>10</v>
      </c>
      <c r="M3644" t="s">
        <v>12289</v>
      </c>
      <c r="N3644" t="s">
        <v>64</v>
      </c>
      <c r="O3644" t="s">
        <v>46</v>
      </c>
      <c r="P3644" t="s">
        <v>46</v>
      </c>
      <c r="Y3644" t="s">
        <v>12290</v>
      </c>
    </row>
    <row r="3645" spans="1:25">
      <c r="A3645" t="s">
        <v>12291</v>
      </c>
      <c r="B3645" t="s">
        <v>12292</v>
      </c>
      <c r="D3645" t="s">
        <v>40</v>
      </c>
      <c r="E3645" t="s">
        <v>41</v>
      </c>
      <c r="J3645" t="s">
        <v>76</v>
      </c>
      <c r="K3645" t="s">
        <v>77</v>
      </c>
      <c r="L3645">
        <v>10</v>
      </c>
      <c r="M3645" t="s">
        <v>12289</v>
      </c>
      <c r="N3645" t="s">
        <v>64</v>
      </c>
      <c r="O3645" t="s">
        <v>46</v>
      </c>
      <c r="P3645" t="s">
        <v>46</v>
      </c>
      <c r="Y3645" t="s">
        <v>12293</v>
      </c>
    </row>
    <row r="3646" spans="1:25">
      <c r="A3646" t="s">
        <v>12294</v>
      </c>
      <c r="B3646" t="s">
        <v>12295</v>
      </c>
      <c r="D3646" t="s">
        <v>40</v>
      </c>
      <c r="E3646" t="s">
        <v>41</v>
      </c>
      <c r="J3646" t="s">
        <v>42</v>
      </c>
      <c r="K3646" t="s">
        <v>43</v>
      </c>
      <c r="L3646">
        <v>10</v>
      </c>
      <c r="M3646" t="s">
        <v>12296</v>
      </c>
      <c r="N3646" t="s">
        <v>257</v>
      </c>
      <c r="O3646" t="s">
        <v>46</v>
      </c>
      <c r="P3646" t="s">
        <v>46</v>
      </c>
      <c r="Y3646" t="s">
        <v>12297</v>
      </c>
    </row>
    <row r="3647" spans="1:25">
      <c r="A3647" t="s">
        <v>12298</v>
      </c>
      <c r="B3647" t="s">
        <v>12299</v>
      </c>
      <c r="D3647" t="s">
        <v>40</v>
      </c>
      <c r="E3647" t="s">
        <v>41</v>
      </c>
      <c r="J3647" t="s">
        <v>182</v>
      </c>
      <c r="K3647" t="s">
        <v>183</v>
      </c>
      <c r="L3647">
        <v>10</v>
      </c>
      <c r="M3647" t="s">
        <v>12300</v>
      </c>
      <c r="N3647" t="s">
        <v>64</v>
      </c>
      <c r="O3647" t="s">
        <v>46</v>
      </c>
      <c r="P3647" t="s">
        <v>46</v>
      </c>
      <c r="Y3647" t="s">
        <v>12301</v>
      </c>
    </row>
    <row r="3648" spans="1:25">
      <c r="A3648" t="s">
        <v>12302</v>
      </c>
      <c r="B3648" t="s">
        <v>12303</v>
      </c>
      <c r="D3648" t="s">
        <v>40</v>
      </c>
      <c r="E3648" t="s">
        <v>41</v>
      </c>
      <c r="J3648" t="s">
        <v>76</v>
      </c>
      <c r="K3648" t="s">
        <v>77</v>
      </c>
      <c r="L3648">
        <v>10</v>
      </c>
      <c r="M3648" t="s">
        <v>12304</v>
      </c>
      <c r="N3648" t="s">
        <v>64</v>
      </c>
      <c r="O3648" t="s">
        <v>46</v>
      </c>
      <c r="P3648" t="s">
        <v>46</v>
      </c>
      <c r="Y3648" t="s">
        <v>12305</v>
      </c>
    </row>
    <row r="3649" spans="1:25">
      <c r="A3649" t="s">
        <v>12306</v>
      </c>
      <c r="B3649" t="s">
        <v>12307</v>
      </c>
      <c r="D3649" t="s">
        <v>40</v>
      </c>
      <c r="E3649" t="s">
        <v>41</v>
      </c>
      <c r="J3649" t="s">
        <v>76</v>
      </c>
      <c r="K3649" t="s">
        <v>77</v>
      </c>
      <c r="L3649">
        <v>10</v>
      </c>
      <c r="M3649" t="s">
        <v>12304</v>
      </c>
      <c r="N3649" t="s">
        <v>64</v>
      </c>
      <c r="O3649" t="s">
        <v>46</v>
      </c>
      <c r="P3649" t="s">
        <v>46</v>
      </c>
      <c r="Y3649" t="s">
        <v>12308</v>
      </c>
    </row>
    <row r="3650" spans="1:25">
      <c r="A3650" t="s">
        <v>12309</v>
      </c>
      <c r="B3650" t="s">
        <v>12310</v>
      </c>
      <c r="D3650" t="s">
        <v>40</v>
      </c>
      <c r="E3650" t="s">
        <v>41</v>
      </c>
      <c r="J3650" t="s">
        <v>182</v>
      </c>
      <c r="K3650" t="s">
        <v>183</v>
      </c>
      <c r="L3650">
        <v>10</v>
      </c>
      <c r="M3650" t="s">
        <v>12304</v>
      </c>
      <c r="N3650" t="s">
        <v>64</v>
      </c>
      <c r="O3650" t="s">
        <v>46</v>
      </c>
      <c r="P3650" t="s">
        <v>46</v>
      </c>
      <c r="Y3650" t="s">
        <v>12311</v>
      </c>
    </row>
    <row r="3651" spans="1:25">
      <c r="A3651" t="s">
        <v>12312</v>
      </c>
      <c r="B3651" t="s">
        <v>12313</v>
      </c>
      <c r="D3651" t="s">
        <v>40</v>
      </c>
      <c r="E3651" t="s">
        <v>41</v>
      </c>
      <c r="J3651" t="s">
        <v>182</v>
      </c>
      <c r="K3651" t="s">
        <v>183</v>
      </c>
      <c r="L3651">
        <v>10</v>
      </c>
      <c r="M3651" t="s">
        <v>12304</v>
      </c>
      <c r="N3651" t="s">
        <v>64</v>
      </c>
      <c r="O3651" t="s">
        <v>46</v>
      </c>
      <c r="P3651" t="s">
        <v>46</v>
      </c>
      <c r="Y3651" t="s">
        <v>12314</v>
      </c>
    </row>
    <row r="3652" spans="1:25">
      <c r="A3652" t="s">
        <v>12315</v>
      </c>
      <c r="B3652" t="s">
        <v>12316</v>
      </c>
      <c r="D3652" t="s">
        <v>40</v>
      </c>
      <c r="E3652" t="s">
        <v>41</v>
      </c>
      <c r="J3652" t="s">
        <v>68</v>
      </c>
      <c r="K3652" t="s">
        <v>69</v>
      </c>
      <c r="L3652">
        <v>10</v>
      </c>
      <c r="M3652" t="s">
        <v>12304</v>
      </c>
      <c r="N3652" t="s">
        <v>64</v>
      </c>
      <c r="O3652" t="s">
        <v>46</v>
      </c>
      <c r="P3652" t="s">
        <v>46</v>
      </c>
      <c r="Y3652" t="s">
        <v>12317</v>
      </c>
    </row>
    <row r="3653" spans="1:25">
      <c r="A3653" t="s">
        <v>12318</v>
      </c>
      <c r="B3653" t="s">
        <v>12319</v>
      </c>
      <c r="D3653" t="s">
        <v>40</v>
      </c>
      <c r="E3653" t="s">
        <v>41</v>
      </c>
      <c r="J3653" t="s">
        <v>42</v>
      </c>
      <c r="K3653" t="s">
        <v>43</v>
      </c>
      <c r="L3653">
        <v>10</v>
      </c>
      <c r="M3653" t="s">
        <v>12320</v>
      </c>
      <c r="N3653" t="s">
        <v>1369</v>
      </c>
      <c r="O3653" t="s">
        <v>46</v>
      </c>
      <c r="P3653" t="s">
        <v>46</v>
      </c>
      <c r="Y3653" t="s">
        <v>12321</v>
      </c>
    </row>
    <row r="3654" spans="1:25">
      <c r="A3654" t="s">
        <v>12322</v>
      </c>
      <c r="B3654" t="s">
        <v>12323</v>
      </c>
      <c r="D3654" t="s">
        <v>40</v>
      </c>
      <c r="E3654" t="s">
        <v>41</v>
      </c>
      <c r="J3654" t="s">
        <v>182</v>
      </c>
      <c r="K3654" t="s">
        <v>183</v>
      </c>
      <c r="L3654">
        <v>10</v>
      </c>
      <c r="M3654" t="s">
        <v>12320</v>
      </c>
      <c r="N3654" t="s">
        <v>64</v>
      </c>
      <c r="O3654" t="s">
        <v>46</v>
      </c>
      <c r="P3654" t="s">
        <v>46</v>
      </c>
      <c r="Y3654" t="s">
        <v>12324</v>
      </c>
    </row>
    <row r="3655" spans="1:25">
      <c r="A3655" t="s">
        <v>12325</v>
      </c>
      <c r="B3655" t="s">
        <v>12326</v>
      </c>
      <c r="D3655" t="s">
        <v>40</v>
      </c>
      <c r="E3655" t="s">
        <v>41</v>
      </c>
      <c r="J3655" t="s">
        <v>182</v>
      </c>
      <c r="K3655" t="s">
        <v>183</v>
      </c>
      <c r="L3655">
        <v>10</v>
      </c>
      <c r="M3655" t="s">
        <v>12327</v>
      </c>
      <c r="N3655" t="s">
        <v>64</v>
      </c>
      <c r="O3655" t="s">
        <v>46</v>
      </c>
      <c r="P3655" t="s">
        <v>46</v>
      </c>
      <c r="Y3655" t="s">
        <v>12328</v>
      </c>
    </row>
    <row r="3656" spans="1:25">
      <c r="A3656" t="s">
        <v>12329</v>
      </c>
      <c r="B3656" t="s">
        <v>12330</v>
      </c>
      <c r="D3656" t="s">
        <v>40</v>
      </c>
      <c r="E3656" t="s">
        <v>41</v>
      </c>
      <c r="J3656" t="s">
        <v>68</v>
      </c>
      <c r="K3656" t="s">
        <v>69</v>
      </c>
      <c r="L3656">
        <v>10</v>
      </c>
      <c r="M3656" t="s">
        <v>12327</v>
      </c>
      <c r="N3656" t="s">
        <v>64</v>
      </c>
      <c r="O3656" t="s">
        <v>46</v>
      </c>
      <c r="P3656" t="s">
        <v>46</v>
      </c>
      <c r="Y3656" t="s">
        <v>12331</v>
      </c>
    </row>
    <row r="3657" spans="1:25">
      <c r="A3657" t="s">
        <v>12332</v>
      </c>
      <c r="B3657" t="s">
        <v>12333</v>
      </c>
      <c r="D3657" t="s">
        <v>40</v>
      </c>
      <c r="E3657" t="s">
        <v>41</v>
      </c>
      <c r="J3657" t="s">
        <v>182</v>
      </c>
      <c r="K3657" t="s">
        <v>183</v>
      </c>
      <c r="L3657">
        <v>10</v>
      </c>
      <c r="M3657" t="s">
        <v>12327</v>
      </c>
      <c r="N3657" t="s">
        <v>64</v>
      </c>
      <c r="O3657" t="s">
        <v>46</v>
      </c>
      <c r="P3657" t="s">
        <v>46</v>
      </c>
      <c r="Y3657" t="s">
        <v>12334</v>
      </c>
    </row>
    <row r="3658" spans="1:25">
      <c r="A3658" t="s">
        <v>12335</v>
      </c>
      <c r="B3658" t="s">
        <v>12336</v>
      </c>
      <c r="D3658" t="s">
        <v>40</v>
      </c>
      <c r="E3658" t="s">
        <v>41</v>
      </c>
      <c r="J3658" t="s">
        <v>182</v>
      </c>
      <c r="K3658" t="s">
        <v>183</v>
      </c>
      <c r="L3658">
        <v>10</v>
      </c>
      <c r="M3658" t="s">
        <v>12327</v>
      </c>
      <c r="N3658" t="s">
        <v>64</v>
      </c>
      <c r="O3658" t="s">
        <v>46</v>
      </c>
      <c r="P3658" t="s">
        <v>46</v>
      </c>
      <c r="Y3658" t="s">
        <v>12337</v>
      </c>
    </row>
    <row r="3659" spans="1:25">
      <c r="A3659" t="s">
        <v>12338</v>
      </c>
      <c r="B3659" t="s">
        <v>12339</v>
      </c>
      <c r="D3659" t="s">
        <v>40</v>
      </c>
      <c r="E3659" t="s">
        <v>41</v>
      </c>
      <c r="J3659" t="s">
        <v>182</v>
      </c>
      <c r="K3659" t="s">
        <v>183</v>
      </c>
      <c r="L3659">
        <v>10</v>
      </c>
      <c r="M3659" t="s">
        <v>12340</v>
      </c>
      <c r="N3659" t="s">
        <v>64</v>
      </c>
      <c r="O3659" t="s">
        <v>46</v>
      </c>
      <c r="P3659" t="s">
        <v>46</v>
      </c>
      <c r="Y3659" t="s">
        <v>12341</v>
      </c>
    </row>
    <row r="3660" spans="1:25">
      <c r="A3660" t="s">
        <v>12342</v>
      </c>
      <c r="B3660" t="s">
        <v>12343</v>
      </c>
      <c r="D3660" t="s">
        <v>40</v>
      </c>
      <c r="E3660" t="s">
        <v>41</v>
      </c>
      <c r="J3660" t="s">
        <v>1554</v>
      </c>
      <c r="K3660" t="s">
        <v>1555</v>
      </c>
      <c r="L3660">
        <v>10</v>
      </c>
      <c r="M3660" t="s">
        <v>12340</v>
      </c>
      <c r="N3660" t="s">
        <v>924</v>
      </c>
      <c r="O3660" t="s">
        <v>46</v>
      </c>
      <c r="P3660" t="s">
        <v>46</v>
      </c>
      <c r="Y3660" t="s">
        <v>12344</v>
      </c>
    </row>
    <row r="3661" spans="1:25">
      <c r="A3661" t="s">
        <v>12345</v>
      </c>
      <c r="B3661" t="s">
        <v>12346</v>
      </c>
      <c r="D3661" t="s">
        <v>40</v>
      </c>
      <c r="E3661" t="s">
        <v>41</v>
      </c>
      <c r="J3661" t="s">
        <v>68</v>
      </c>
      <c r="K3661" t="s">
        <v>69</v>
      </c>
      <c r="L3661">
        <v>10</v>
      </c>
      <c r="M3661" t="s">
        <v>12347</v>
      </c>
      <c r="N3661" t="s">
        <v>64</v>
      </c>
      <c r="O3661" t="s">
        <v>46</v>
      </c>
      <c r="P3661" t="s">
        <v>46</v>
      </c>
      <c r="Y3661" t="s">
        <v>12348</v>
      </c>
    </row>
    <row r="3662" spans="1:25">
      <c r="A3662" t="s">
        <v>12349</v>
      </c>
      <c r="B3662" t="s">
        <v>12350</v>
      </c>
      <c r="D3662" t="s">
        <v>40</v>
      </c>
      <c r="E3662" t="s">
        <v>41</v>
      </c>
      <c r="J3662" t="s">
        <v>68</v>
      </c>
      <c r="K3662" t="s">
        <v>69</v>
      </c>
      <c r="L3662">
        <v>10</v>
      </c>
      <c r="M3662" t="s">
        <v>12347</v>
      </c>
      <c r="N3662" t="s">
        <v>64</v>
      </c>
      <c r="O3662" t="s">
        <v>46</v>
      </c>
      <c r="P3662" t="s">
        <v>46</v>
      </c>
      <c r="Y3662" t="s">
        <v>12351</v>
      </c>
    </row>
    <row r="3663" spans="1:25">
      <c r="A3663" t="s">
        <v>12352</v>
      </c>
      <c r="B3663" t="s">
        <v>12353</v>
      </c>
      <c r="D3663" t="s">
        <v>40</v>
      </c>
      <c r="E3663" t="s">
        <v>41</v>
      </c>
      <c r="J3663" t="s">
        <v>182</v>
      </c>
      <c r="K3663" t="s">
        <v>183</v>
      </c>
      <c r="L3663">
        <v>10</v>
      </c>
      <c r="M3663" t="s">
        <v>12347</v>
      </c>
      <c r="N3663" t="s">
        <v>64</v>
      </c>
      <c r="O3663" t="s">
        <v>46</v>
      </c>
      <c r="P3663" t="s">
        <v>46</v>
      </c>
      <c r="Y3663" t="s">
        <v>12354</v>
      </c>
    </row>
    <row r="3664" spans="1:25">
      <c r="A3664" t="s">
        <v>12355</v>
      </c>
      <c r="B3664" t="s">
        <v>12356</v>
      </c>
      <c r="D3664" t="s">
        <v>40</v>
      </c>
      <c r="E3664" t="s">
        <v>41</v>
      </c>
      <c r="J3664" t="s">
        <v>182</v>
      </c>
      <c r="K3664" t="s">
        <v>183</v>
      </c>
      <c r="L3664">
        <v>10</v>
      </c>
      <c r="M3664" t="s">
        <v>12347</v>
      </c>
      <c r="N3664" t="s">
        <v>64</v>
      </c>
      <c r="O3664" t="s">
        <v>46</v>
      </c>
      <c r="P3664" t="s">
        <v>46</v>
      </c>
      <c r="Y3664" t="s">
        <v>12357</v>
      </c>
    </row>
    <row r="3665" spans="1:25">
      <c r="A3665" t="s">
        <v>12358</v>
      </c>
      <c r="B3665" t="s">
        <v>12359</v>
      </c>
      <c r="D3665" t="s">
        <v>40</v>
      </c>
      <c r="E3665" t="s">
        <v>41</v>
      </c>
      <c r="J3665" t="s">
        <v>182</v>
      </c>
      <c r="K3665" t="s">
        <v>183</v>
      </c>
      <c r="L3665">
        <v>10</v>
      </c>
      <c r="M3665" t="s">
        <v>12360</v>
      </c>
      <c r="N3665" t="s">
        <v>64</v>
      </c>
      <c r="O3665" t="s">
        <v>46</v>
      </c>
      <c r="P3665" t="s">
        <v>46</v>
      </c>
      <c r="Y3665" t="s">
        <v>12361</v>
      </c>
    </row>
    <row r="3666" spans="1:25">
      <c r="A3666" t="s">
        <v>12362</v>
      </c>
      <c r="B3666" t="s">
        <v>12363</v>
      </c>
      <c r="D3666" t="s">
        <v>40</v>
      </c>
      <c r="E3666" t="s">
        <v>41</v>
      </c>
      <c r="J3666" t="s">
        <v>182</v>
      </c>
      <c r="K3666" t="s">
        <v>183</v>
      </c>
      <c r="L3666">
        <v>10</v>
      </c>
      <c r="M3666" t="s">
        <v>12360</v>
      </c>
      <c r="N3666" t="s">
        <v>64</v>
      </c>
      <c r="O3666" t="s">
        <v>46</v>
      </c>
      <c r="P3666" t="s">
        <v>46</v>
      </c>
      <c r="Y3666" t="s">
        <v>12364</v>
      </c>
    </row>
    <row r="3667" spans="1:25">
      <c r="A3667" t="s">
        <v>12365</v>
      </c>
      <c r="B3667" t="s">
        <v>12366</v>
      </c>
      <c r="D3667" t="s">
        <v>40</v>
      </c>
      <c r="E3667" t="s">
        <v>41</v>
      </c>
      <c r="J3667" t="s">
        <v>11802</v>
      </c>
      <c r="K3667" t="s">
        <v>11803</v>
      </c>
      <c r="L3667">
        <v>10</v>
      </c>
      <c r="M3667" t="s">
        <v>12360</v>
      </c>
      <c r="N3667" t="s">
        <v>950</v>
      </c>
      <c r="O3667" t="s">
        <v>46</v>
      </c>
      <c r="P3667" t="s">
        <v>46</v>
      </c>
      <c r="Y3667" t="s">
        <v>12367</v>
      </c>
    </row>
    <row r="3668" spans="1:25">
      <c r="A3668" t="s">
        <v>12368</v>
      </c>
      <c r="B3668" t="s">
        <v>12369</v>
      </c>
      <c r="D3668" t="s">
        <v>40</v>
      </c>
      <c r="E3668" t="s">
        <v>41</v>
      </c>
      <c r="J3668" t="s">
        <v>182</v>
      </c>
      <c r="K3668" t="s">
        <v>183</v>
      </c>
      <c r="L3668">
        <v>10</v>
      </c>
      <c r="M3668" t="s">
        <v>12370</v>
      </c>
      <c r="N3668" t="s">
        <v>64</v>
      </c>
      <c r="O3668" t="s">
        <v>46</v>
      </c>
      <c r="P3668" t="s">
        <v>46</v>
      </c>
      <c r="Y3668" t="s">
        <v>12371</v>
      </c>
    </row>
    <row r="3669" spans="1:25">
      <c r="A3669" t="s">
        <v>12372</v>
      </c>
      <c r="B3669" t="s">
        <v>12373</v>
      </c>
      <c r="D3669" t="s">
        <v>40</v>
      </c>
      <c r="E3669" t="s">
        <v>41</v>
      </c>
      <c r="J3669" t="s">
        <v>182</v>
      </c>
      <c r="K3669" t="s">
        <v>183</v>
      </c>
      <c r="L3669">
        <v>10</v>
      </c>
      <c r="M3669" t="s">
        <v>12370</v>
      </c>
      <c r="N3669" t="s">
        <v>64</v>
      </c>
      <c r="O3669" t="s">
        <v>46</v>
      </c>
      <c r="P3669" t="s">
        <v>46</v>
      </c>
      <c r="Y3669" t="s">
        <v>12374</v>
      </c>
    </row>
    <row r="3670" spans="1:25">
      <c r="A3670" t="s">
        <v>12375</v>
      </c>
      <c r="B3670" t="s">
        <v>12376</v>
      </c>
      <c r="D3670" t="s">
        <v>40</v>
      </c>
      <c r="E3670" t="s">
        <v>41</v>
      </c>
      <c r="J3670" t="s">
        <v>42</v>
      </c>
      <c r="K3670" t="s">
        <v>43</v>
      </c>
      <c r="L3670">
        <v>10</v>
      </c>
      <c r="M3670" t="s">
        <v>12370</v>
      </c>
      <c r="N3670" t="s">
        <v>1369</v>
      </c>
      <c r="O3670" t="s">
        <v>46</v>
      </c>
      <c r="P3670" t="s">
        <v>46</v>
      </c>
      <c r="Y3670" t="s">
        <v>12377</v>
      </c>
    </row>
    <row r="3671" spans="1:25">
      <c r="A3671" t="s">
        <v>12378</v>
      </c>
      <c r="B3671" t="s">
        <v>12379</v>
      </c>
      <c r="D3671" t="s">
        <v>40</v>
      </c>
      <c r="E3671" t="s">
        <v>41</v>
      </c>
      <c r="J3671" t="s">
        <v>76</v>
      </c>
      <c r="K3671" t="s">
        <v>77</v>
      </c>
      <c r="L3671">
        <v>10</v>
      </c>
      <c r="M3671" t="s">
        <v>12370</v>
      </c>
      <c r="N3671" t="s">
        <v>64</v>
      </c>
      <c r="O3671" t="s">
        <v>46</v>
      </c>
      <c r="P3671" t="s">
        <v>46</v>
      </c>
      <c r="Y3671" t="s">
        <v>12380</v>
      </c>
    </row>
    <row r="3672" spans="1:25">
      <c r="A3672" t="s">
        <v>12381</v>
      </c>
      <c r="B3672" t="s">
        <v>12382</v>
      </c>
      <c r="D3672" t="s">
        <v>40</v>
      </c>
      <c r="E3672" t="s">
        <v>41</v>
      </c>
      <c r="J3672" t="s">
        <v>182</v>
      </c>
      <c r="K3672" t="s">
        <v>183</v>
      </c>
      <c r="L3672">
        <v>10</v>
      </c>
      <c r="M3672" t="s">
        <v>12370</v>
      </c>
      <c r="N3672" t="s">
        <v>64</v>
      </c>
      <c r="O3672" t="s">
        <v>46</v>
      </c>
      <c r="P3672" t="s">
        <v>46</v>
      </c>
      <c r="Y3672" t="s">
        <v>12383</v>
      </c>
    </row>
    <row r="3673" spans="1:25">
      <c r="A3673" t="s">
        <v>12384</v>
      </c>
      <c r="B3673" t="s">
        <v>12385</v>
      </c>
      <c r="D3673" t="s">
        <v>40</v>
      </c>
      <c r="E3673" t="s">
        <v>41</v>
      </c>
      <c r="J3673" t="s">
        <v>42</v>
      </c>
      <c r="K3673" t="s">
        <v>43</v>
      </c>
      <c r="L3673">
        <v>10</v>
      </c>
      <c r="M3673" t="s">
        <v>12386</v>
      </c>
      <c r="N3673" t="s">
        <v>924</v>
      </c>
      <c r="O3673" t="s">
        <v>46</v>
      </c>
      <c r="P3673" t="s">
        <v>46</v>
      </c>
      <c r="Y3673" t="s">
        <v>12387</v>
      </c>
    </row>
    <row r="3674" spans="1:25">
      <c r="A3674" t="s">
        <v>12388</v>
      </c>
      <c r="B3674" t="s">
        <v>12389</v>
      </c>
      <c r="D3674" t="s">
        <v>40</v>
      </c>
      <c r="E3674" t="s">
        <v>41</v>
      </c>
      <c r="J3674" t="s">
        <v>76</v>
      </c>
      <c r="K3674" t="s">
        <v>77</v>
      </c>
      <c r="L3674">
        <v>10</v>
      </c>
      <c r="M3674" t="s">
        <v>12386</v>
      </c>
      <c r="N3674" t="s">
        <v>64</v>
      </c>
      <c r="O3674" t="s">
        <v>46</v>
      </c>
      <c r="P3674" t="s">
        <v>46</v>
      </c>
      <c r="Y3674" t="s">
        <v>12390</v>
      </c>
    </row>
    <row r="3675" spans="1:25">
      <c r="A3675" t="s">
        <v>12391</v>
      </c>
      <c r="B3675" t="s">
        <v>12392</v>
      </c>
      <c r="D3675" t="s">
        <v>40</v>
      </c>
      <c r="E3675" t="s">
        <v>41</v>
      </c>
      <c r="J3675" t="s">
        <v>182</v>
      </c>
      <c r="K3675" t="s">
        <v>183</v>
      </c>
      <c r="L3675">
        <v>10</v>
      </c>
      <c r="M3675" t="s">
        <v>12386</v>
      </c>
      <c r="N3675" t="s">
        <v>64</v>
      </c>
      <c r="O3675" t="s">
        <v>46</v>
      </c>
      <c r="P3675" t="s">
        <v>46</v>
      </c>
      <c r="Y3675" t="s">
        <v>12393</v>
      </c>
    </row>
    <row r="3676" spans="1:25">
      <c r="A3676" t="s">
        <v>12394</v>
      </c>
      <c r="B3676" t="s">
        <v>12395</v>
      </c>
      <c r="D3676" t="s">
        <v>40</v>
      </c>
      <c r="E3676" t="s">
        <v>41</v>
      </c>
      <c r="J3676" t="s">
        <v>182</v>
      </c>
      <c r="K3676" t="s">
        <v>183</v>
      </c>
      <c r="L3676">
        <v>10</v>
      </c>
      <c r="M3676" t="s">
        <v>12386</v>
      </c>
      <c r="N3676" t="s">
        <v>64</v>
      </c>
      <c r="O3676" t="s">
        <v>46</v>
      </c>
      <c r="P3676" t="s">
        <v>46</v>
      </c>
      <c r="Y3676" t="s">
        <v>12396</v>
      </c>
    </row>
    <row r="3677" spans="1:25">
      <c r="A3677" t="s">
        <v>12397</v>
      </c>
      <c r="B3677" t="s">
        <v>12398</v>
      </c>
      <c r="D3677" t="s">
        <v>40</v>
      </c>
      <c r="E3677" t="s">
        <v>41</v>
      </c>
      <c r="J3677" t="s">
        <v>248</v>
      </c>
      <c r="K3677" t="s">
        <v>249</v>
      </c>
      <c r="L3677">
        <v>10</v>
      </c>
      <c r="M3677" t="s">
        <v>12399</v>
      </c>
      <c r="N3677" t="s">
        <v>509</v>
      </c>
      <c r="O3677" t="s">
        <v>46</v>
      </c>
      <c r="P3677" t="s">
        <v>46</v>
      </c>
      <c r="Y3677" t="s">
        <v>12400</v>
      </c>
    </row>
    <row r="3678" spans="1:25">
      <c r="A3678" t="s">
        <v>12401</v>
      </c>
      <c r="B3678" t="s">
        <v>12402</v>
      </c>
      <c r="D3678" t="s">
        <v>40</v>
      </c>
      <c r="E3678" t="s">
        <v>41</v>
      </c>
      <c r="J3678" t="s">
        <v>182</v>
      </c>
      <c r="K3678" t="s">
        <v>183</v>
      </c>
      <c r="L3678">
        <v>10</v>
      </c>
      <c r="M3678" t="s">
        <v>12403</v>
      </c>
      <c r="N3678" t="s">
        <v>64</v>
      </c>
      <c r="O3678" t="s">
        <v>46</v>
      </c>
      <c r="P3678" t="s">
        <v>46</v>
      </c>
      <c r="Y3678" t="s">
        <v>12404</v>
      </c>
    </row>
    <row r="3679" spans="1:25">
      <c r="A3679" t="s">
        <v>12405</v>
      </c>
      <c r="B3679" t="s">
        <v>12406</v>
      </c>
      <c r="D3679" t="s">
        <v>40</v>
      </c>
      <c r="E3679" t="s">
        <v>41</v>
      </c>
      <c r="J3679" t="s">
        <v>182</v>
      </c>
      <c r="K3679" t="s">
        <v>183</v>
      </c>
      <c r="L3679">
        <v>10</v>
      </c>
      <c r="M3679" t="s">
        <v>12403</v>
      </c>
      <c r="N3679" t="s">
        <v>64</v>
      </c>
      <c r="O3679" t="s">
        <v>46</v>
      </c>
      <c r="P3679" t="s">
        <v>46</v>
      </c>
      <c r="Y3679" t="s">
        <v>12407</v>
      </c>
    </row>
    <row r="3680" spans="1:25">
      <c r="A3680" t="s">
        <v>12408</v>
      </c>
      <c r="B3680" t="s">
        <v>12409</v>
      </c>
      <c r="D3680" t="s">
        <v>40</v>
      </c>
      <c r="E3680" t="s">
        <v>41</v>
      </c>
      <c r="J3680" t="s">
        <v>42</v>
      </c>
      <c r="K3680" t="s">
        <v>43</v>
      </c>
      <c r="L3680">
        <v>10</v>
      </c>
      <c r="M3680" t="s">
        <v>12403</v>
      </c>
      <c r="N3680" t="s">
        <v>291</v>
      </c>
      <c r="O3680" t="s">
        <v>46</v>
      </c>
      <c r="P3680" t="s">
        <v>46</v>
      </c>
      <c r="Y3680" t="s">
        <v>12410</v>
      </c>
    </row>
    <row r="3681" spans="1:25">
      <c r="A3681" t="s">
        <v>12411</v>
      </c>
      <c r="B3681" t="s">
        <v>12412</v>
      </c>
      <c r="D3681" t="s">
        <v>40</v>
      </c>
      <c r="E3681" t="s">
        <v>41</v>
      </c>
      <c r="J3681" t="s">
        <v>76</v>
      </c>
      <c r="K3681" t="s">
        <v>77</v>
      </c>
      <c r="L3681">
        <v>10</v>
      </c>
      <c r="M3681" t="s">
        <v>12413</v>
      </c>
      <c r="N3681" t="s">
        <v>64</v>
      </c>
      <c r="O3681" t="s">
        <v>46</v>
      </c>
      <c r="P3681" t="s">
        <v>46</v>
      </c>
      <c r="Y3681" t="s">
        <v>12414</v>
      </c>
    </row>
    <row r="3682" spans="1:25">
      <c r="A3682" t="s">
        <v>12415</v>
      </c>
      <c r="B3682" t="s">
        <v>12416</v>
      </c>
      <c r="D3682" t="s">
        <v>40</v>
      </c>
      <c r="E3682" t="s">
        <v>41</v>
      </c>
      <c r="J3682" t="s">
        <v>76</v>
      </c>
      <c r="K3682" t="s">
        <v>77</v>
      </c>
      <c r="L3682">
        <v>10</v>
      </c>
      <c r="M3682" t="s">
        <v>12413</v>
      </c>
      <c r="N3682" t="s">
        <v>64</v>
      </c>
      <c r="O3682" t="s">
        <v>46</v>
      </c>
      <c r="P3682" t="s">
        <v>46</v>
      </c>
      <c r="Y3682" t="s">
        <v>12417</v>
      </c>
    </row>
    <row r="3683" spans="1:25">
      <c r="A3683" t="s">
        <v>12418</v>
      </c>
      <c r="B3683" t="s">
        <v>12419</v>
      </c>
      <c r="D3683" t="s">
        <v>40</v>
      </c>
      <c r="E3683" t="s">
        <v>41</v>
      </c>
      <c r="J3683" t="s">
        <v>42</v>
      </c>
      <c r="K3683" t="s">
        <v>43</v>
      </c>
      <c r="L3683">
        <v>10</v>
      </c>
      <c r="M3683" t="s">
        <v>12413</v>
      </c>
      <c r="N3683" t="s">
        <v>58</v>
      </c>
      <c r="O3683" t="s">
        <v>46</v>
      </c>
      <c r="P3683" t="s">
        <v>46</v>
      </c>
      <c r="Y3683" t="s">
        <v>12420</v>
      </c>
    </row>
    <row r="3684" spans="1:25">
      <c r="A3684" t="s">
        <v>12421</v>
      </c>
      <c r="B3684" t="s">
        <v>12422</v>
      </c>
      <c r="D3684" t="s">
        <v>40</v>
      </c>
      <c r="E3684" t="s">
        <v>41</v>
      </c>
      <c r="J3684" t="s">
        <v>182</v>
      </c>
      <c r="K3684" t="s">
        <v>183</v>
      </c>
      <c r="L3684">
        <v>10</v>
      </c>
      <c r="M3684" t="s">
        <v>12413</v>
      </c>
      <c r="N3684" t="s">
        <v>64</v>
      </c>
      <c r="O3684" t="s">
        <v>46</v>
      </c>
      <c r="P3684" t="s">
        <v>46</v>
      </c>
      <c r="Y3684" t="s">
        <v>12423</v>
      </c>
    </row>
    <row r="3685" spans="1:25">
      <c r="A3685" t="s">
        <v>12424</v>
      </c>
      <c r="B3685" t="s">
        <v>12425</v>
      </c>
      <c r="D3685" t="s">
        <v>40</v>
      </c>
      <c r="E3685" t="s">
        <v>41</v>
      </c>
      <c r="J3685" t="s">
        <v>182</v>
      </c>
      <c r="K3685" t="s">
        <v>183</v>
      </c>
      <c r="L3685">
        <v>10</v>
      </c>
      <c r="M3685" t="s">
        <v>12413</v>
      </c>
      <c r="N3685" t="s">
        <v>64</v>
      </c>
      <c r="O3685" t="s">
        <v>46</v>
      </c>
      <c r="P3685" t="s">
        <v>46</v>
      </c>
      <c r="Y3685" t="s">
        <v>12426</v>
      </c>
    </row>
    <row r="3686" spans="1:25">
      <c r="A3686" t="s">
        <v>12427</v>
      </c>
      <c r="B3686" t="s">
        <v>12428</v>
      </c>
      <c r="D3686" t="s">
        <v>40</v>
      </c>
      <c r="E3686" t="s">
        <v>41</v>
      </c>
      <c r="J3686" t="s">
        <v>248</v>
      </c>
      <c r="K3686" t="s">
        <v>249</v>
      </c>
      <c r="L3686">
        <v>10</v>
      </c>
      <c r="M3686" t="s">
        <v>12429</v>
      </c>
      <c r="N3686" t="s">
        <v>4037</v>
      </c>
      <c r="O3686" t="s">
        <v>46</v>
      </c>
      <c r="P3686" t="s">
        <v>46</v>
      </c>
      <c r="Y3686" t="s">
        <v>12430</v>
      </c>
    </row>
    <row r="3687" spans="1:25">
      <c r="A3687" t="s">
        <v>12431</v>
      </c>
      <c r="B3687" t="s">
        <v>12432</v>
      </c>
      <c r="D3687" t="s">
        <v>40</v>
      </c>
      <c r="E3687" t="s">
        <v>41</v>
      </c>
      <c r="J3687" t="s">
        <v>182</v>
      </c>
      <c r="K3687" t="s">
        <v>183</v>
      </c>
      <c r="L3687">
        <v>10</v>
      </c>
      <c r="M3687" t="s">
        <v>12429</v>
      </c>
      <c r="N3687" t="s">
        <v>64</v>
      </c>
      <c r="O3687" t="s">
        <v>46</v>
      </c>
      <c r="P3687" t="s">
        <v>46</v>
      </c>
      <c r="Y3687" t="s">
        <v>12433</v>
      </c>
    </row>
    <row r="3688" spans="1:25">
      <c r="A3688" t="s">
        <v>12434</v>
      </c>
      <c r="B3688" t="s">
        <v>12435</v>
      </c>
      <c r="D3688" t="s">
        <v>40</v>
      </c>
      <c r="E3688" t="s">
        <v>41</v>
      </c>
      <c r="J3688" t="s">
        <v>182</v>
      </c>
      <c r="K3688" t="s">
        <v>183</v>
      </c>
      <c r="L3688">
        <v>10</v>
      </c>
      <c r="M3688" t="s">
        <v>12436</v>
      </c>
      <c r="N3688" t="s">
        <v>950</v>
      </c>
      <c r="O3688" t="s">
        <v>46</v>
      </c>
      <c r="P3688" t="s">
        <v>46</v>
      </c>
      <c r="Y3688" t="s">
        <v>12437</v>
      </c>
    </row>
    <row r="3689" spans="1:25">
      <c r="A3689" t="s">
        <v>12438</v>
      </c>
      <c r="B3689" t="s">
        <v>12439</v>
      </c>
      <c r="D3689" t="s">
        <v>40</v>
      </c>
      <c r="E3689" t="s">
        <v>41</v>
      </c>
      <c r="J3689" t="s">
        <v>12440</v>
      </c>
      <c r="K3689" t="s">
        <v>12441</v>
      </c>
      <c r="L3689">
        <v>11</v>
      </c>
      <c r="M3689" t="s">
        <v>12442</v>
      </c>
      <c r="N3689" t="s">
        <v>756</v>
      </c>
      <c r="O3689" t="s">
        <v>46</v>
      </c>
      <c r="P3689" t="s">
        <v>46</v>
      </c>
      <c r="Y3689" t="s">
        <v>12443</v>
      </c>
    </row>
    <row r="3690" spans="1:25">
      <c r="A3690" t="s">
        <v>12444</v>
      </c>
      <c r="B3690" t="s">
        <v>12445</v>
      </c>
      <c r="D3690" t="s">
        <v>40</v>
      </c>
      <c r="E3690" t="s">
        <v>41</v>
      </c>
      <c r="J3690" t="s">
        <v>182</v>
      </c>
      <c r="K3690" t="s">
        <v>183</v>
      </c>
      <c r="L3690">
        <v>10</v>
      </c>
      <c r="M3690" t="s">
        <v>12446</v>
      </c>
      <c r="N3690" t="s">
        <v>64</v>
      </c>
      <c r="O3690" t="s">
        <v>46</v>
      </c>
      <c r="P3690" t="s">
        <v>46</v>
      </c>
      <c r="Y3690" t="s">
        <v>12447</v>
      </c>
    </row>
    <row r="3691" spans="1:25">
      <c r="A3691" t="s">
        <v>12448</v>
      </c>
      <c r="B3691" t="s">
        <v>12449</v>
      </c>
      <c r="D3691" t="s">
        <v>40</v>
      </c>
      <c r="E3691" t="s">
        <v>41</v>
      </c>
      <c r="J3691" t="s">
        <v>182</v>
      </c>
      <c r="K3691" t="s">
        <v>183</v>
      </c>
      <c r="L3691">
        <v>10</v>
      </c>
      <c r="M3691" t="s">
        <v>12446</v>
      </c>
      <c r="N3691" t="s">
        <v>64</v>
      </c>
      <c r="O3691" t="s">
        <v>46</v>
      </c>
      <c r="P3691" t="s">
        <v>46</v>
      </c>
      <c r="Y3691" t="s">
        <v>12450</v>
      </c>
    </row>
    <row r="3692" spans="1:25">
      <c r="A3692" t="s">
        <v>12451</v>
      </c>
      <c r="B3692" t="s">
        <v>12452</v>
      </c>
      <c r="D3692" t="s">
        <v>40</v>
      </c>
      <c r="E3692" t="s">
        <v>41</v>
      </c>
      <c r="J3692" t="s">
        <v>182</v>
      </c>
      <c r="K3692" t="s">
        <v>183</v>
      </c>
      <c r="L3692">
        <v>10</v>
      </c>
      <c r="M3692" t="s">
        <v>12446</v>
      </c>
      <c r="N3692" t="s">
        <v>64</v>
      </c>
      <c r="O3692" t="s">
        <v>46</v>
      </c>
      <c r="P3692" t="s">
        <v>46</v>
      </c>
      <c r="Y3692" t="s">
        <v>12453</v>
      </c>
    </row>
    <row r="3693" spans="1:25">
      <c r="A3693" t="s">
        <v>12454</v>
      </c>
      <c r="B3693" t="s">
        <v>12455</v>
      </c>
      <c r="D3693" t="s">
        <v>40</v>
      </c>
      <c r="E3693" t="s">
        <v>41</v>
      </c>
      <c r="J3693" t="s">
        <v>50</v>
      </c>
      <c r="K3693" t="s">
        <v>51</v>
      </c>
      <c r="L3693">
        <v>10</v>
      </c>
      <c r="M3693" t="s">
        <v>12446</v>
      </c>
      <c r="N3693" t="s">
        <v>3013</v>
      </c>
      <c r="O3693" t="s">
        <v>46</v>
      </c>
      <c r="P3693" t="s">
        <v>46</v>
      </c>
      <c r="Y3693" t="s">
        <v>12456</v>
      </c>
    </row>
    <row r="3694" spans="1:25">
      <c r="A3694" t="s">
        <v>12457</v>
      </c>
      <c r="B3694" t="s">
        <v>12458</v>
      </c>
      <c r="D3694" t="s">
        <v>40</v>
      </c>
      <c r="E3694" t="s">
        <v>41</v>
      </c>
      <c r="J3694" t="s">
        <v>182</v>
      </c>
      <c r="K3694" t="s">
        <v>183</v>
      </c>
      <c r="L3694">
        <v>10</v>
      </c>
      <c r="M3694" t="s">
        <v>12446</v>
      </c>
      <c r="N3694" t="s">
        <v>64</v>
      </c>
      <c r="O3694" t="s">
        <v>46</v>
      </c>
      <c r="P3694" t="s">
        <v>46</v>
      </c>
      <c r="Y3694" t="s">
        <v>12459</v>
      </c>
    </row>
    <row r="3695" spans="1:25">
      <c r="A3695" t="s">
        <v>12460</v>
      </c>
      <c r="B3695" t="s">
        <v>12461</v>
      </c>
      <c r="D3695" t="s">
        <v>40</v>
      </c>
      <c r="E3695" t="s">
        <v>41</v>
      </c>
      <c r="J3695" t="s">
        <v>264</v>
      </c>
      <c r="K3695" t="s">
        <v>265</v>
      </c>
      <c r="L3695">
        <v>10</v>
      </c>
      <c r="M3695" t="s">
        <v>12446</v>
      </c>
      <c r="N3695" t="s">
        <v>310</v>
      </c>
      <c r="O3695" t="s">
        <v>46</v>
      </c>
      <c r="P3695" t="s">
        <v>46</v>
      </c>
      <c r="Y3695" t="s">
        <v>12462</v>
      </c>
    </row>
    <row r="3696" spans="1:25">
      <c r="A3696" t="s">
        <v>12463</v>
      </c>
      <c r="B3696" t="s">
        <v>12464</v>
      </c>
      <c r="D3696" t="s">
        <v>40</v>
      </c>
      <c r="E3696" t="s">
        <v>41</v>
      </c>
      <c r="J3696" t="s">
        <v>76</v>
      </c>
      <c r="K3696" t="s">
        <v>77</v>
      </c>
      <c r="L3696">
        <v>10</v>
      </c>
      <c r="M3696" t="s">
        <v>12446</v>
      </c>
      <c r="N3696" t="s">
        <v>64</v>
      </c>
      <c r="O3696" t="s">
        <v>46</v>
      </c>
      <c r="P3696" t="s">
        <v>46</v>
      </c>
      <c r="Y3696" t="s">
        <v>12465</v>
      </c>
    </row>
    <row r="3697" spans="1:25">
      <c r="A3697" t="s">
        <v>12466</v>
      </c>
      <c r="B3697" t="s">
        <v>12467</v>
      </c>
      <c r="D3697" t="s">
        <v>40</v>
      </c>
      <c r="E3697" t="s">
        <v>41</v>
      </c>
      <c r="J3697" t="s">
        <v>182</v>
      </c>
      <c r="K3697" t="s">
        <v>183</v>
      </c>
      <c r="L3697">
        <v>10</v>
      </c>
      <c r="M3697" t="s">
        <v>12468</v>
      </c>
      <c r="N3697" t="s">
        <v>64</v>
      </c>
      <c r="O3697" t="s">
        <v>46</v>
      </c>
      <c r="P3697" t="s">
        <v>46</v>
      </c>
      <c r="Y3697" t="s">
        <v>12469</v>
      </c>
    </row>
    <row r="3698" spans="1:25">
      <c r="A3698" t="s">
        <v>12470</v>
      </c>
      <c r="B3698" t="s">
        <v>12471</v>
      </c>
      <c r="D3698" t="s">
        <v>40</v>
      </c>
      <c r="E3698" t="s">
        <v>41</v>
      </c>
      <c r="J3698" t="s">
        <v>182</v>
      </c>
      <c r="K3698" t="s">
        <v>183</v>
      </c>
      <c r="L3698">
        <v>10</v>
      </c>
      <c r="M3698" t="s">
        <v>12468</v>
      </c>
      <c r="N3698" t="s">
        <v>64</v>
      </c>
      <c r="O3698" t="s">
        <v>46</v>
      </c>
      <c r="P3698" t="s">
        <v>46</v>
      </c>
      <c r="Y3698" t="s">
        <v>12472</v>
      </c>
    </row>
    <row r="3699" spans="1:25">
      <c r="A3699" t="s">
        <v>12473</v>
      </c>
      <c r="B3699" t="s">
        <v>12474</v>
      </c>
      <c r="D3699" t="s">
        <v>40</v>
      </c>
      <c r="E3699" t="s">
        <v>41</v>
      </c>
      <c r="J3699" t="s">
        <v>76</v>
      </c>
      <c r="K3699" t="s">
        <v>77</v>
      </c>
      <c r="L3699">
        <v>10</v>
      </c>
      <c r="M3699" t="s">
        <v>12468</v>
      </c>
      <c r="N3699" t="s">
        <v>64</v>
      </c>
      <c r="O3699" t="s">
        <v>46</v>
      </c>
      <c r="P3699" t="s">
        <v>46</v>
      </c>
      <c r="Y3699" t="s">
        <v>12475</v>
      </c>
    </row>
    <row r="3700" spans="1:25">
      <c r="A3700" t="s">
        <v>12476</v>
      </c>
      <c r="B3700" t="s">
        <v>12477</v>
      </c>
      <c r="D3700" t="s">
        <v>40</v>
      </c>
      <c r="E3700" t="s">
        <v>41</v>
      </c>
      <c r="J3700" t="s">
        <v>42</v>
      </c>
      <c r="K3700" t="s">
        <v>43</v>
      </c>
      <c r="L3700">
        <v>10</v>
      </c>
      <c r="M3700" t="s">
        <v>12468</v>
      </c>
      <c r="N3700" t="s">
        <v>1024</v>
      </c>
      <c r="O3700" t="s">
        <v>46</v>
      </c>
      <c r="P3700" t="s">
        <v>46</v>
      </c>
      <c r="Y3700" t="s">
        <v>12478</v>
      </c>
    </row>
    <row r="3701" spans="1:25">
      <c r="A3701" t="s">
        <v>12479</v>
      </c>
      <c r="B3701" t="s">
        <v>12480</v>
      </c>
      <c r="D3701" t="s">
        <v>40</v>
      </c>
      <c r="E3701" t="s">
        <v>41</v>
      </c>
      <c r="J3701" t="s">
        <v>182</v>
      </c>
      <c r="K3701" t="s">
        <v>183</v>
      </c>
      <c r="L3701">
        <v>10</v>
      </c>
      <c r="M3701" t="s">
        <v>12481</v>
      </c>
      <c r="N3701" t="s">
        <v>64</v>
      </c>
      <c r="O3701" t="s">
        <v>46</v>
      </c>
      <c r="P3701" t="s">
        <v>46</v>
      </c>
      <c r="Y3701" t="s">
        <v>12482</v>
      </c>
    </row>
    <row r="3702" spans="1:25">
      <c r="A3702" t="s">
        <v>12483</v>
      </c>
      <c r="B3702" t="s">
        <v>12484</v>
      </c>
      <c r="D3702" t="s">
        <v>40</v>
      </c>
      <c r="E3702" t="s">
        <v>41</v>
      </c>
      <c r="J3702" t="s">
        <v>1114</v>
      </c>
      <c r="K3702" t="s">
        <v>1115</v>
      </c>
      <c r="L3702">
        <v>10</v>
      </c>
      <c r="M3702" t="s">
        <v>12481</v>
      </c>
      <c r="N3702" t="s">
        <v>1392</v>
      </c>
      <c r="O3702" t="s">
        <v>46</v>
      </c>
      <c r="P3702" t="s">
        <v>46</v>
      </c>
      <c r="Y3702" t="s">
        <v>12485</v>
      </c>
    </row>
    <row r="3703" spans="1:25">
      <c r="A3703" t="s">
        <v>12486</v>
      </c>
      <c r="B3703" t="s">
        <v>12487</v>
      </c>
      <c r="D3703" t="s">
        <v>40</v>
      </c>
      <c r="E3703" t="s">
        <v>41</v>
      </c>
      <c r="J3703" t="s">
        <v>68</v>
      </c>
      <c r="K3703" t="s">
        <v>69</v>
      </c>
      <c r="L3703">
        <v>10</v>
      </c>
      <c r="M3703" t="s">
        <v>12481</v>
      </c>
      <c r="N3703" t="s">
        <v>64</v>
      </c>
      <c r="O3703" t="s">
        <v>46</v>
      </c>
      <c r="P3703" t="s">
        <v>46</v>
      </c>
      <c r="Y3703" t="s">
        <v>12488</v>
      </c>
    </row>
    <row r="3704" spans="1:25">
      <c r="A3704" t="s">
        <v>12489</v>
      </c>
      <c r="B3704" t="s">
        <v>12490</v>
      </c>
      <c r="D3704" t="s">
        <v>40</v>
      </c>
      <c r="E3704" t="s">
        <v>41</v>
      </c>
      <c r="J3704" t="s">
        <v>182</v>
      </c>
      <c r="K3704" t="s">
        <v>183</v>
      </c>
      <c r="L3704">
        <v>10</v>
      </c>
      <c r="M3704" t="s">
        <v>12481</v>
      </c>
      <c r="N3704" t="s">
        <v>64</v>
      </c>
      <c r="O3704" t="s">
        <v>46</v>
      </c>
      <c r="P3704" t="s">
        <v>46</v>
      </c>
      <c r="Y3704" t="s">
        <v>12491</v>
      </c>
    </row>
    <row r="3705" spans="1:25">
      <c r="A3705" t="s">
        <v>12492</v>
      </c>
      <c r="B3705" t="s">
        <v>12493</v>
      </c>
      <c r="D3705" t="s">
        <v>40</v>
      </c>
      <c r="E3705" t="s">
        <v>41</v>
      </c>
      <c r="J3705" t="s">
        <v>182</v>
      </c>
      <c r="K3705" t="s">
        <v>183</v>
      </c>
      <c r="L3705">
        <v>10</v>
      </c>
      <c r="M3705" t="s">
        <v>12481</v>
      </c>
      <c r="N3705" t="s">
        <v>64</v>
      </c>
      <c r="O3705" t="s">
        <v>46</v>
      </c>
      <c r="P3705" t="s">
        <v>46</v>
      </c>
      <c r="Y3705" t="s">
        <v>12494</v>
      </c>
    </row>
    <row r="3706" spans="1:25">
      <c r="A3706" t="s">
        <v>12495</v>
      </c>
      <c r="B3706" t="s">
        <v>12496</v>
      </c>
      <c r="D3706" t="s">
        <v>40</v>
      </c>
      <c r="E3706" t="s">
        <v>41</v>
      </c>
      <c r="J3706" t="s">
        <v>42</v>
      </c>
      <c r="K3706" t="s">
        <v>43</v>
      </c>
      <c r="L3706">
        <v>10</v>
      </c>
      <c r="M3706" t="s">
        <v>12497</v>
      </c>
      <c r="N3706" t="s">
        <v>1550</v>
      </c>
      <c r="O3706" t="s">
        <v>46</v>
      </c>
      <c r="P3706" t="s">
        <v>46</v>
      </c>
      <c r="Y3706" t="s">
        <v>12498</v>
      </c>
    </row>
    <row r="3707" spans="1:25">
      <c r="A3707" t="s">
        <v>12499</v>
      </c>
      <c r="B3707" t="s">
        <v>12500</v>
      </c>
      <c r="D3707" t="s">
        <v>40</v>
      </c>
      <c r="E3707" t="s">
        <v>41</v>
      </c>
      <c r="J3707" t="s">
        <v>76</v>
      </c>
      <c r="K3707" t="s">
        <v>77</v>
      </c>
      <c r="L3707">
        <v>10</v>
      </c>
      <c r="M3707" t="s">
        <v>12497</v>
      </c>
      <c r="N3707" t="s">
        <v>64</v>
      </c>
      <c r="O3707" t="s">
        <v>46</v>
      </c>
      <c r="P3707" t="s">
        <v>46</v>
      </c>
      <c r="Y3707" t="s">
        <v>12501</v>
      </c>
    </row>
    <row r="3708" spans="1:25">
      <c r="A3708" t="s">
        <v>12502</v>
      </c>
      <c r="B3708" t="s">
        <v>12503</v>
      </c>
      <c r="D3708" t="s">
        <v>40</v>
      </c>
      <c r="E3708" t="s">
        <v>41</v>
      </c>
      <c r="J3708" t="s">
        <v>182</v>
      </c>
      <c r="K3708" t="s">
        <v>183</v>
      </c>
      <c r="L3708">
        <v>10</v>
      </c>
      <c r="M3708" t="s">
        <v>12497</v>
      </c>
      <c r="N3708" t="s">
        <v>64</v>
      </c>
      <c r="O3708" t="s">
        <v>46</v>
      </c>
      <c r="P3708" t="s">
        <v>46</v>
      </c>
      <c r="Y3708" t="s">
        <v>12504</v>
      </c>
    </row>
    <row r="3709" spans="1:25">
      <c r="A3709" t="s">
        <v>12505</v>
      </c>
      <c r="B3709" t="s">
        <v>12506</v>
      </c>
      <c r="D3709" t="s">
        <v>40</v>
      </c>
      <c r="E3709" t="s">
        <v>41</v>
      </c>
      <c r="J3709" t="s">
        <v>76</v>
      </c>
      <c r="K3709" t="s">
        <v>77</v>
      </c>
      <c r="L3709">
        <v>10</v>
      </c>
      <c r="M3709" t="s">
        <v>12507</v>
      </c>
      <c r="N3709" t="s">
        <v>64</v>
      </c>
      <c r="O3709" t="s">
        <v>46</v>
      </c>
      <c r="P3709" t="s">
        <v>46</v>
      </c>
      <c r="Y3709" t="s">
        <v>12508</v>
      </c>
    </row>
    <row r="3710" spans="1:25">
      <c r="A3710" t="s">
        <v>12509</v>
      </c>
      <c r="B3710" t="s">
        <v>12510</v>
      </c>
      <c r="D3710" t="s">
        <v>40</v>
      </c>
      <c r="E3710" t="s">
        <v>41</v>
      </c>
      <c r="J3710" t="s">
        <v>42</v>
      </c>
      <c r="K3710" t="s">
        <v>43</v>
      </c>
      <c r="L3710">
        <v>10</v>
      </c>
      <c r="M3710" t="s">
        <v>12507</v>
      </c>
      <c r="N3710" t="s">
        <v>436</v>
      </c>
      <c r="O3710" t="s">
        <v>46</v>
      </c>
      <c r="P3710" t="s">
        <v>46</v>
      </c>
      <c r="Y3710" t="s">
        <v>12511</v>
      </c>
    </row>
    <row r="3711" spans="1:25">
      <c r="A3711" t="s">
        <v>12512</v>
      </c>
      <c r="B3711" t="s">
        <v>12513</v>
      </c>
      <c r="D3711" t="s">
        <v>40</v>
      </c>
      <c r="E3711" t="s">
        <v>41</v>
      </c>
      <c r="J3711" t="s">
        <v>76</v>
      </c>
      <c r="K3711" t="s">
        <v>77</v>
      </c>
      <c r="L3711">
        <v>10</v>
      </c>
      <c r="M3711" t="s">
        <v>12507</v>
      </c>
      <c r="N3711" t="s">
        <v>64</v>
      </c>
      <c r="O3711" t="s">
        <v>46</v>
      </c>
      <c r="P3711" t="s">
        <v>46</v>
      </c>
      <c r="Y3711" t="s">
        <v>12514</v>
      </c>
    </row>
    <row r="3712" spans="1:25">
      <c r="A3712" t="s">
        <v>12515</v>
      </c>
      <c r="B3712" t="s">
        <v>12516</v>
      </c>
      <c r="D3712" t="s">
        <v>40</v>
      </c>
      <c r="E3712" t="s">
        <v>41</v>
      </c>
      <c r="J3712" t="s">
        <v>76</v>
      </c>
      <c r="K3712" t="s">
        <v>77</v>
      </c>
      <c r="L3712">
        <v>10</v>
      </c>
      <c r="M3712" t="s">
        <v>12517</v>
      </c>
      <c r="N3712" t="s">
        <v>64</v>
      </c>
      <c r="O3712" t="s">
        <v>46</v>
      </c>
      <c r="P3712" t="s">
        <v>46</v>
      </c>
      <c r="Y3712" t="s">
        <v>12518</v>
      </c>
    </row>
    <row r="3713" spans="1:25">
      <c r="A3713" t="s">
        <v>12519</v>
      </c>
      <c r="B3713" t="s">
        <v>12520</v>
      </c>
      <c r="D3713" t="s">
        <v>40</v>
      </c>
      <c r="E3713" t="s">
        <v>41</v>
      </c>
      <c r="J3713" t="s">
        <v>42</v>
      </c>
      <c r="K3713" t="s">
        <v>43</v>
      </c>
      <c r="L3713">
        <v>10</v>
      </c>
      <c r="M3713" t="s">
        <v>12517</v>
      </c>
      <c r="N3713" t="s">
        <v>178</v>
      </c>
      <c r="O3713" t="s">
        <v>46</v>
      </c>
      <c r="P3713" t="s">
        <v>46</v>
      </c>
      <c r="Y3713" t="s">
        <v>12521</v>
      </c>
    </row>
    <row r="3714" spans="1:25">
      <c r="A3714" t="s">
        <v>12522</v>
      </c>
      <c r="B3714" t="s">
        <v>12523</v>
      </c>
      <c r="D3714" t="s">
        <v>40</v>
      </c>
      <c r="E3714" t="s">
        <v>41</v>
      </c>
      <c r="J3714" t="s">
        <v>42</v>
      </c>
      <c r="K3714" t="s">
        <v>43</v>
      </c>
      <c r="L3714">
        <v>10</v>
      </c>
      <c r="M3714" t="s">
        <v>12517</v>
      </c>
      <c r="N3714" t="s">
        <v>1369</v>
      </c>
      <c r="O3714" t="s">
        <v>46</v>
      </c>
      <c r="P3714" t="s">
        <v>46</v>
      </c>
      <c r="Y3714" t="s">
        <v>12524</v>
      </c>
    </row>
    <row r="3715" spans="1:25">
      <c r="A3715" t="s">
        <v>12525</v>
      </c>
      <c r="B3715" t="s">
        <v>12526</v>
      </c>
      <c r="D3715" t="s">
        <v>40</v>
      </c>
      <c r="E3715" t="s">
        <v>41</v>
      </c>
      <c r="J3715" t="s">
        <v>76</v>
      </c>
      <c r="K3715" t="s">
        <v>77</v>
      </c>
      <c r="L3715">
        <v>10</v>
      </c>
      <c r="M3715" t="s">
        <v>12527</v>
      </c>
      <c r="N3715" t="s">
        <v>64</v>
      </c>
      <c r="O3715" t="s">
        <v>46</v>
      </c>
      <c r="P3715" t="s">
        <v>46</v>
      </c>
      <c r="Y3715" t="s">
        <v>12528</v>
      </c>
    </row>
    <row r="3716" spans="1:25">
      <c r="A3716" t="s">
        <v>12529</v>
      </c>
      <c r="B3716" t="s">
        <v>12530</v>
      </c>
      <c r="D3716" t="s">
        <v>40</v>
      </c>
      <c r="E3716" t="s">
        <v>41</v>
      </c>
      <c r="J3716" t="s">
        <v>76</v>
      </c>
      <c r="K3716" t="s">
        <v>77</v>
      </c>
      <c r="L3716">
        <v>10</v>
      </c>
      <c r="M3716" t="s">
        <v>12527</v>
      </c>
      <c r="N3716" t="s">
        <v>64</v>
      </c>
      <c r="O3716" t="s">
        <v>46</v>
      </c>
      <c r="P3716" t="s">
        <v>46</v>
      </c>
      <c r="Y3716" t="s">
        <v>12531</v>
      </c>
    </row>
    <row r="3717" spans="1:25">
      <c r="A3717" t="s">
        <v>12532</v>
      </c>
      <c r="B3717" t="s">
        <v>12533</v>
      </c>
      <c r="D3717" t="s">
        <v>40</v>
      </c>
      <c r="E3717" t="s">
        <v>41</v>
      </c>
      <c r="J3717" t="s">
        <v>182</v>
      </c>
      <c r="K3717" t="s">
        <v>183</v>
      </c>
      <c r="L3717">
        <v>10</v>
      </c>
      <c r="M3717" t="s">
        <v>12534</v>
      </c>
      <c r="N3717" t="s">
        <v>64</v>
      </c>
      <c r="O3717" t="s">
        <v>46</v>
      </c>
      <c r="P3717" t="s">
        <v>46</v>
      </c>
      <c r="Y3717" t="s">
        <v>12535</v>
      </c>
    </row>
    <row r="3718" spans="1:25">
      <c r="A3718" t="s">
        <v>12536</v>
      </c>
      <c r="B3718" t="s">
        <v>12537</v>
      </c>
      <c r="D3718" t="s">
        <v>40</v>
      </c>
      <c r="E3718" t="s">
        <v>41</v>
      </c>
      <c r="J3718" t="s">
        <v>76</v>
      </c>
      <c r="K3718" t="s">
        <v>77</v>
      </c>
      <c r="L3718">
        <v>10</v>
      </c>
      <c r="M3718" t="s">
        <v>12534</v>
      </c>
      <c r="N3718" t="s">
        <v>64</v>
      </c>
      <c r="O3718" t="s">
        <v>46</v>
      </c>
      <c r="P3718" t="s">
        <v>46</v>
      </c>
      <c r="Y3718" t="s">
        <v>12538</v>
      </c>
    </row>
    <row r="3719" spans="1:25">
      <c r="A3719" t="s">
        <v>12539</v>
      </c>
      <c r="B3719" t="s">
        <v>12540</v>
      </c>
      <c r="D3719" t="s">
        <v>40</v>
      </c>
      <c r="E3719" t="s">
        <v>41</v>
      </c>
      <c r="J3719" t="s">
        <v>68</v>
      </c>
      <c r="K3719" t="s">
        <v>69</v>
      </c>
      <c r="L3719">
        <v>10</v>
      </c>
      <c r="M3719" t="s">
        <v>12534</v>
      </c>
      <c r="N3719" t="s">
        <v>64</v>
      </c>
      <c r="O3719" t="s">
        <v>46</v>
      </c>
      <c r="P3719" t="s">
        <v>46</v>
      </c>
      <c r="Y3719" t="s">
        <v>12541</v>
      </c>
    </row>
    <row r="3720" spans="1:25">
      <c r="A3720" t="s">
        <v>12542</v>
      </c>
      <c r="B3720" t="s">
        <v>12543</v>
      </c>
      <c r="D3720" t="s">
        <v>40</v>
      </c>
      <c r="E3720" t="s">
        <v>41</v>
      </c>
      <c r="J3720" t="s">
        <v>76</v>
      </c>
      <c r="K3720" t="s">
        <v>77</v>
      </c>
      <c r="L3720">
        <v>10</v>
      </c>
      <c r="M3720" t="s">
        <v>12534</v>
      </c>
      <c r="N3720" t="s">
        <v>64</v>
      </c>
      <c r="O3720" t="s">
        <v>46</v>
      </c>
      <c r="P3720" t="s">
        <v>46</v>
      </c>
      <c r="Y3720" t="s">
        <v>12544</v>
      </c>
    </row>
    <row r="3721" spans="1:25">
      <c r="A3721" t="s">
        <v>12545</v>
      </c>
      <c r="B3721" t="s">
        <v>12546</v>
      </c>
      <c r="D3721" t="s">
        <v>40</v>
      </c>
      <c r="E3721" t="s">
        <v>41</v>
      </c>
      <c r="J3721" t="s">
        <v>76</v>
      </c>
      <c r="K3721" t="s">
        <v>77</v>
      </c>
      <c r="L3721">
        <v>10</v>
      </c>
      <c r="M3721" t="s">
        <v>12547</v>
      </c>
      <c r="N3721" t="s">
        <v>64</v>
      </c>
      <c r="O3721" t="s">
        <v>46</v>
      </c>
      <c r="P3721" t="s">
        <v>46</v>
      </c>
      <c r="Y3721" t="s">
        <v>12548</v>
      </c>
    </row>
    <row r="3722" spans="1:25">
      <c r="A3722" t="s">
        <v>12549</v>
      </c>
      <c r="B3722" t="s">
        <v>12550</v>
      </c>
      <c r="D3722" t="s">
        <v>40</v>
      </c>
      <c r="E3722" t="s">
        <v>41</v>
      </c>
      <c r="J3722" t="s">
        <v>68</v>
      </c>
      <c r="K3722" t="s">
        <v>69</v>
      </c>
      <c r="L3722">
        <v>10</v>
      </c>
      <c r="M3722" t="s">
        <v>12547</v>
      </c>
      <c r="N3722" t="s">
        <v>64</v>
      </c>
      <c r="O3722" t="s">
        <v>46</v>
      </c>
      <c r="P3722" t="s">
        <v>46</v>
      </c>
      <c r="Y3722" t="s">
        <v>12551</v>
      </c>
    </row>
    <row r="3723" spans="1:25">
      <c r="A3723" t="s">
        <v>12552</v>
      </c>
      <c r="B3723" t="s">
        <v>12553</v>
      </c>
      <c r="D3723" t="s">
        <v>40</v>
      </c>
      <c r="E3723" t="s">
        <v>41</v>
      </c>
      <c r="J3723" t="s">
        <v>182</v>
      </c>
      <c r="K3723" t="s">
        <v>183</v>
      </c>
      <c r="L3723">
        <v>10</v>
      </c>
      <c r="M3723" t="s">
        <v>12547</v>
      </c>
      <c r="N3723" t="s">
        <v>64</v>
      </c>
      <c r="O3723" t="s">
        <v>46</v>
      </c>
      <c r="P3723" t="s">
        <v>46</v>
      </c>
      <c r="Y3723" t="s">
        <v>12554</v>
      </c>
    </row>
    <row r="3724" spans="1:25">
      <c r="A3724" t="s">
        <v>12555</v>
      </c>
      <c r="B3724" t="s">
        <v>12556</v>
      </c>
      <c r="D3724" t="s">
        <v>40</v>
      </c>
      <c r="E3724" t="s">
        <v>41</v>
      </c>
      <c r="J3724" t="s">
        <v>264</v>
      </c>
      <c r="K3724" t="s">
        <v>265</v>
      </c>
      <c r="L3724">
        <v>10</v>
      </c>
      <c r="M3724" t="s">
        <v>12547</v>
      </c>
      <c r="N3724" t="s">
        <v>2346</v>
      </c>
      <c r="O3724" t="s">
        <v>46</v>
      </c>
      <c r="P3724" t="s">
        <v>46</v>
      </c>
      <c r="Y3724" t="s">
        <v>12557</v>
      </c>
    </row>
    <row r="3725" spans="1:25">
      <c r="A3725" t="s">
        <v>12558</v>
      </c>
      <c r="B3725" t="s">
        <v>12559</v>
      </c>
      <c r="D3725" t="s">
        <v>40</v>
      </c>
      <c r="E3725" t="s">
        <v>41</v>
      </c>
      <c r="J3725" t="s">
        <v>182</v>
      </c>
      <c r="K3725" t="s">
        <v>183</v>
      </c>
      <c r="L3725">
        <v>10</v>
      </c>
      <c r="M3725" t="s">
        <v>12560</v>
      </c>
      <c r="N3725" t="s">
        <v>64</v>
      </c>
      <c r="O3725" t="s">
        <v>46</v>
      </c>
      <c r="P3725" t="s">
        <v>46</v>
      </c>
      <c r="Y3725" t="s">
        <v>12561</v>
      </c>
    </row>
    <row r="3726" spans="1:25">
      <c r="A3726" t="s">
        <v>12562</v>
      </c>
      <c r="B3726" t="s">
        <v>12563</v>
      </c>
      <c r="D3726" t="s">
        <v>40</v>
      </c>
      <c r="E3726" t="s">
        <v>41</v>
      </c>
      <c r="J3726" t="s">
        <v>68</v>
      </c>
      <c r="K3726" t="s">
        <v>69</v>
      </c>
      <c r="L3726">
        <v>10</v>
      </c>
      <c r="M3726" t="s">
        <v>12560</v>
      </c>
      <c r="N3726" t="s">
        <v>64</v>
      </c>
      <c r="O3726" t="s">
        <v>46</v>
      </c>
      <c r="P3726" t="s">
        <v>46</v>
      </c>
      <c r="Y3726" t="s">
        <v>12564</v>
      </c>
    </row>
    <row r="3727" spans="1:25">
      <c r="A3727" t="s">
        <v>12565</v>
      </c>
      <c r="B3727" t="s">
        <v>12566</v>
      </c>
      <c r="D3727" t="s">
        <v>40</v>
      </c>
      <c r="E3727" t="s">
        <v>41</v>
      </c>
      <c r="J3727" t="s">
        <v>182</v>
      </c>
      <c r="K3727" t="s">
        <v>183</v>
      </c>
      <c r="L3727">
        <v>10</v>
      </c>
      <c r="M3727" t="s">
        <v>12560</v>
      </c>
      <c r="N3727" t="s">
        <v>64</v>
      </c>
      <c r="O3727" t="s">
        <v>46</v>
      </c>
      <c r="P3727" t="s">
        <v>46</v>
      </c>
      <c r="Y3727" t="s">
        <v>12567</v>
      </c>
    </row>
    <row r="3728" spans="1:25">
      <c r="A3728" t="s">
        <v>12568</v>
      </c>
      <c r="B3728" t="s">
        <v>12569</v>
      </c>
      <c r="D3728" t="s">
        <v>40</v>
      </c>
      <c r="E3728" t="s">
        <v>41</v>
      </c>
      <c r="J3728" t="s">
        <v>42</v>
      </c>
      <c r="K3728" t="s">
        <v>43</v>
      </c>
      <c r="L3728">
        <v>10</v>
      </c>
      <c r="M3728" t="s">
        <v>12560</v>
      </c>
      <c r="N3728" t="s">
        <v>1446</v>
      </c>
      <c r="O3728" t="s">
        <v>46</v>
      </c>
      <c r="P3728" t="s">
        <v>46</v>
      </c>
      <c r="Y3728" t="s">
        <v>12570</v>
      </c>
    </row>
    <row r="3729" spans="1:25">
      <c r="A3729" t="s">
        <v>12571</v>
      </c>
      <c r="B3729" t="s">
        <v>12572</v>
      </c>
      <c r="D3729" t="s">
        <v>40</v>
      </c>
      <c r="E3729" t="s">
        <v>41</v>
      </c>
      <c r="J3729" t="s">
        <v>76</v>
      </c>
      <c r="K3729" t="s">
        <v>77</v>
      </c>
      <c r="L3729">
        <v>10</v>
      </c>
      <c r="M3729" t="s">
        <v>12573</v>
      </c>
      <c r="N3729" t="s">
        <v>64</v>
      </c>
      <c r="O3729" t="s">
        <v>46</v>
      </c>
      <c r="P3729" t="s">
        <v>46</v>
      </c>
      <c r="Y3729" t="s">
        <v>12574</v>
      </c>
    </row>
    <row r="3730" spans="1:25">
      <c r="A3730" t="s">
        <v>12575</v>
      </c>
      <c r="B3730" t="s">
        <v>12576</v>
      </c>
      <c r="D3730" t="s">
        <v>40</v>
      </c>
      <c r="E3730" t="s">
        <v>41</v>
      </c>
      <c r="J3730" t="s">
        <v>182</v>
      </c>
      <c r="K3730" t="s">
        <v>183</v>
      </c>
      <c r="L3730">
        <v>10</v>
      </c>
      <c r="M3730" t="s">
        <v>12573</v>
      </c>
      <c r="N3730" t="s">
        <v>64</v>
      </c>
      <c r="O3730" t="s">
        <v>46</v>
      </c>
      <c r="P3730" t="s">
        <v>46</v>
      </c>
      <c r="Y3730" t="s">
        <v>12577</v>
      </c>
    </row>
    <row r="3731" spans="1:25">
      <c r="A3731" t="s">
        <v>12578</v>
      </c>
      <c r="B3731" t="s">
        <v>12579</v>
      </c>
      <c r="D3731" t="s">
        <v>40</v>
      </c>
      <c r="E3731" t="s">
        <v>41</v>
      </c>
      <c r="J3731" t="s">
        <v>42</v>
      </c>
      <c r="K3731" t="s">
        <v>43</v>
      </c>
      <c r="L3731">
        <v>10</v>
      </c>
      <c r="M3731" t="s">
        <v>12580</v>
      </c>
      <c r="N3731" t="s">
        <v>436</v>
      </c>
      <c r="O3731" t="s">
        <v>46</v>
      </c>
      <c r="P3731" t="s">
        <v>46</v>
      </c>
      <c r="Y3731" t="s">
        <v>12581</v>
      </c>
    </row>
    <row r="3732" spans="1:25">
      <c r="A3732" t="s">
        <v>12582</v>
      </c>
      <c r="B3732" t="s">
        <v>12583</v>
      </c>
      <c r="D3732" t="s">
        <v>40</v>
      </c>
      <c r="E3732" t="s">
        <v>41</v>
      </c>
      <c r="J3732" t="s">
        <v>76</v>
      </c>
      <c r="K3732" t="s">
        <v>77</v>
      </c>
      <c r="L3732">
        <v>10</v>
      </c>
      <c r="M3732" t="s">
        <v>12584</v>
      </c>
      <c r="N3732" t="s">
        <v>64</v>
      </c>
      <c r="O3732" t="s">
        <v>46</v>
      </c>
      <c r="P3732" t="s">
        <v>46</v>
      </c>
      <c r="Y3732" t="s">
        <v>12585</v>
      </c>
    </row>
    <row r="3733" spans="1:25">
      <c r="A3733" t="s">
        <v>12586</v>
      </c>
      <c r="B3733" t="s">
        <v>12587</v>
      </c>
      <c r="D3733" t="s">
        <v>40</v>
      </c>
      <c r="E3733" t="s">
        <v>41</v>
      </c>
      <c r="J3733" t="s">
        <v>182</v>
      </c>
      <c r="K3733" t="s">
        <v>183</v>
      </c>
      <c r="L3733">
        <v>10</v>
      </c>
      <c r="M3733" t="s">
        <v>12584</v>
      </c>
      <c r="N3733" t="s">
        <v>64</v>
      </c>
      <c r="O3733" t="s">
        <v>46</v>
      </c>
      <c r="P3733" t="s">
        <v>46</v>
      </c>
      <c r="Y3733" t="s">
        <v>12588</v>
      </c>
    </row>
    <row r="3734" spans="1:25">
      <c r="A3734" t="s">
        <v>12589</v>
      </c>
      <c r="B3734" t="s">
        <v>12590</v>
      </c>
      <c r="D3734" t="s">
        <v>40</v>
      </c>
      <c r="E3734" t="s">
        <v>41</v>
      </c>
      <c r="J3734" t="s">
        <v>76</v>
      </c>
      <c r="K3734" t="s">
        <v>77</v>
      </c>
      <c r="L3734">
        <v>10</v>
      </c>
      <c r="M3734" t="s">
        <v>12591</v>
      </c>
      <c r="N3734" t="s">
        <v>64</v>
      </c>
      <c r="O3734" t="s">
        <v>46</v>
      </c>
      <c r="P3734" t="s">
        <v>46</v>
      </c>
      <c r="Y3734" t="s">
        <v>12592</v>
      </c>
    </row>
    <row r="3735" spans="1:25">
      <c r="A3735" t="s">
        <v>12593</v>
      </c>
      <c r="B3735" t="s">
        <v>12594</v>
      </c>
      <c r="D3735" t="s">
        <v>40</v>
      </c>
      <c r="E3735" t="s">
        <v>41</v>
      </c>
      <c r="J3735" t="s">
        <v>182</v>
      </c>
      <c r="K3735" t="s">
        <v>183</v>
      </c>
      <c r="L3735">
        <v>10</v>
      </c>
      <c r="M3735" t="s">
        <v>12591</v>
      </c>
      <c r="N3735" t="s">
        <v>64</v>
      </c>
      <c r="O3735" t="s">
        <v>46</v>
      </c>
      <c r="P3735" t="s">
        <v>46</v>
      </c>
      <c r="Y3735" t="s">
        <v>12595</v>
      </c>
    </row>
    <row r="3736" spans="1:25">
      <c r="A3736" t="s">
        <v>12596</v>
      </c>
      <c r="B3736" t="s">
        <v>12597</v>
      </c>
      <c r="D3736" t="s">
        <v>40</v>
      </c>
      <c r="E3736" t="s">
        <v>41</v>
      </c>
      <c r="J3736" t="s">
        <v>68</v>
      </c>
      <c r="K3736" t="s">
        <v>69</v>
      </c>
      <c r="L3736">
        <v>10</v>
      </c>
      <c r="M3736" t="s">
        <v>12591</v>
      </c>
      <c r="N3736" t="s">
        <v>64</v>
      </c>
      <c r="O3736" t="s">
        <v>46</v>
      </c>
      <c r="P3736" t="s">
        <v>46</v>
      </c>
      <c r="Y3736" t="s">
        <v>12598</v>
      </c>
    </row>
    <row r="3737" spans="1:25">
      <c r="A3737" t="s">
        <v>12599</v>
      </c>
      <c r="B3737" t="s">
        <v>12600</v>
      </c>
      <c r="D3737" t="s">
        <v>40</v>
      </c>
      <c r="E3737" t="s">
        <v>41</v>
      </c>
      <c r="J3737" t="s">
        <v>182</v>
      </c>
      <c r="K3737" t="s">
        <v>183</v>
      </c>
      <c r="L3737">
        <v>10</v>
      </c>
      <c r="M3737" t="s">
        <v>12591</v>
      </c>
      <c r="N3737" t="s">
        <v>64</v>
      </c>
      <c r="O3737" t="s">
        <v>46</v>
      </c>
      <c r="P3737" t="s">
        <v>46</v>
      </c>
      <c r="Y3737" t="s">
        <v>12601</v>
      </c>
    </row>
    <row r="3738" spans="1:25">
      <c r="A3738" t="s">
        <v>12602</v>
      </c>
      <c r="B3738" t="s">
        <v>12603</v>
      </c>
      <c r="D3738" t="s">
        <v>40</v>
      </c>
      <c r="E3738" t="s">
        <v>41</v>
      </c>
      <c r="J3738" t="s">
        <v>76</v>
      </c>
      <c r="K3738" t="s">
        <v>77</v>
      </c>
      <c r="L3738">
        <v>10</v>
      </c>
      <c r="M3738" t="s">
        <v>12591</v>
      </c>
      <c r="N3738" t="s">
        <v>64</v>
      </c>
      <c r="O3738" t="s">
        <v>46</v>
      </c>
      <c r="P3738" t="s">
        <v>46</v>
      </c>
      <c r="Y3738" t="s">
        <v>12604</v>
      </c>
    </row>
    <row r="3739" spans="1:25">
      <c r="A3739" t="s">
        <v>12605</v>
      </c>
      <c r="B3739" t="s">
        <v>12606</v>
      </c>
      <c r="D3739" t="s">
        <v>40</v>
      </c>
      <c r="E3739" t="s">
        <v>41</v>
      </c>
      <c r="J3739" t="s">
        <v>182</v>
      </c>
      <c r="K3739" t="s">
        <v>183</v>
      </c>
      <c r="L3739">
        <v>10</v>
      </c>
      <c r="M3739" t="s">
        <v>12607</v>
      </c>
      <c r="N3739" t="s">
        <v>64</v>
      </c>
      <c r="O3739" t="s">
        <v>46</v>
      </c>
      <c r="P3739" t="s">
        <v>46</v>
      </c>
      <c r="Y3739" t="s">
        <v>12608</v>
      </c>
    </row>
    <row r="3740" spans="1:25">
      <c r="A3740" t="s">
        <v>12609</v>
      </c>
      <c r="B3740" t="s">
        <v>12610</v>
      </c>
      <c r="D3740" t="s">
        <v>40</v>
      </c>
      <c r="E3740" t="s">
        <v>41</v>
      </c>
      <c r="J3740" t="s">
        <v>76</v>
      </c>
      <c r="K3740" t="s">
        <v>77</v>
      </c>
      <c r="L3740">
        <v>10</v>
      </c>
      <c r="M3740" t="s">
        <v>12607</v>
      </c>
      <c r="N3740" t="s">
        <v>64</v>
      </c>
      <c r="O3740" t="s">
        <v>46</v>
      </c>
      <c r="P3740" t="s">
        <v>46</v>
      </c>
      <c r="Y3740" t="s">
        <v>12611</v>
      </c>
    </row>
    <row r="3741" spans="1:25">
      <c r="A3741" t="s">
        <v>12612</v>
      </c>
      <c r="B3741" t="s">
        <v>12613</v>
      </c>
      <c r="D3741" t="s">
        <v>40</v>
      </c>
      <c r="E3741" t="s">
        <v>41</v>
      </c>
      <c r="J3741" t="s">
        <v>68</v>
      </c>
      <c r="K3741" t="s">
        <v>69</v>
      </c>
      <c r="L3741">
        <v>10</v>
      </c>
      <c r="M3741" t="s">
        <v>12614</v>
      </c>
      <c r="N3741" t="s">
        <v>64</v>
      </c>
      <c r="O3741" t="s">
        <v>46</v>
      </c>
      <c r="P3741" t="s">
        <v>46</v>
      </c>
      <c r="Y3741" t="s">
        <v>12615</v>
      </c>
    </row>
    <row r="3742" spans="1:25">
      <c r="A3742" t="s">
        <v>12616</v>
      </c>
      <c r="B3742" t="s">
        <v>12617</v>
      </c>
      <c r="D3742" t="s">
        <v>40</v>
      </c>
      <c r="E3742" t="s">
        <v>41</v>
      </c>
      <c r="J3742" t="s">
        <v>182</v>
      </c>
      <c r="K3742" t="s">
        <v>183</v>
      </c>
      <c r="L3742">
        <v>10</v>
      </c>
      <c r="M3742" t="s">
        <v>12614</v>
      </c>
      <c r="N3742" t="s">
        <v>64</v>
      </c>
      <c r="O3742" t="s">
        <v>46</v>
      </c>
      <c r="P3742" t="s">
        <v>46</v>
      </c>
      <c r="Y3742" t="s">
        <v>12618</v>
      </c>
    </row>
    <row r="3743" spans="1:25">
      <c r="A3743" t="s">
        <v>12619</v>
      </c>
      <c r="B3743" t="s">
        <v>12620</v>
      </c>
      <c r="D3743" t="s">
        <v>40</v>
      </c>
      <c r="E3743" t="s">
        <v>41</v>
      </c>
      <c r="J3743" t="s">
        <v>182</v>
      </c>
      <c r="K3743" t="s">
        <v>183</v>
      </c>
      <c r="L3743">
        <v>10</v>
      </c>
      <c r="M3743" t="s">
        <v>12614</v>
      </c>
      <c r="N3743" t="s">
        <v>64</v>
      </c>
      <c r="O3743" t="s">
        <v>46</v>
      </c>
      <c r="P3743" t="s">
        <v>46</v>
      </c>
      <c r="Y3743" t="s">
        <v>12621</v>
      </c>
    </row>
    <row r="3744" spans="1:25">
      <c r="A3744" t="s">
        <v>12622</v>
      </c>
      <c r="B3744" t="s">
        <v>12623</v>
      </c>
      <c r="D3744" t="s">
        <v>40</v>
      </c>
      <c r="E3744" t="s">
        <v>41</v>
      </c>
      <c r="J3744" t="s">
        <v>182</v>
      </c>
      <c r="K3744" t="s">
        <v>183</v>
      </c>
      <c r="L3744">
        <v>10</v>
      </c>
      <c r="M3744" t="s">
        <v>12614</v>
      </c>
      <c r="N3744" t="s">
        <v>64</v>
      </c>
      <c r="O3744" t="s">
        <v>46</v>
      </c>
      <c r="P3744" t="s">
        <v>46</v>
      </c>
      <c r="Y3744" t="s">
        <v>12624</v>
      </c>
    </row>
    <row r="3745" spans="1:25">
      <c r="A3745" t="s">
        <v>12625</v>
      </c>
      <c r="B3745" t="s">
        <v>12626</v>
      </c>
      <c r="D3745" t="s">
        <v>40</v>
      </c>
      <c r="E3745" t="s">
        <v>41</v>
      </c>
      <c r="J3745" t="s">
        <v>76</v>
      </c>
      <c r="K3745" t="s">
        <v>77</v>
      </c>
      <c r="L3745">
        <v>10</v>
      </c>
      <c r="M3745" t="s">
        <v>12614</v>
      </c>
      <c r="N3745" t="s">
        <v>64</v>
      </c>
      <c r="O3745" t="s">
        <v>46</v>
      </c>
      <c r="P3745" t="s">
        <v>46</v>
      </c>
      <c r="Y3745" t="s">
        <v>12627</v>
      </c>
    </row>
    <row r="3746" spans="1:25">
      <c r="A3746" t="s">
        <v>12628</v>
      </c>
      <c r="B3746" t="s">
        <v>12629</v>
      </c>
      <c r="D3746" t="s">
        <v>40</v>
      </c>
      <c r="E3746" t="s">
        <v>41</v>
      </c>
      <c r="J3746" t="s">
        <v>182</v>
      </c>
      <c r="K3746" t="s">
        <v>183</v>
      </c>
      <c r="L3746">
        <v>10</v>
      </c>
      <c r="M3746" t="s">
        <v>12614</v>
      </c>
      <c r="N3746" t="s">
        <v>64</v>
      </c>
      <c r="O3746" t="s">
        <v>46</v>
      </c>
      <c r="P3746" t="s">
        <v>46</v>
      </c>
      <c r="Y3746" t="s">
        <v>12630</v>
      </c>
    </row>
    <row r="3747" spans="1:25">
      <c r="A3747" t="s">
        <v>12631</v>
      </c>
      <c r="B3747" t="s">
        <v>12632</v>
      </c>
      <c r="D3747" t="s">
        <v>40</v>
      </c>
      <c r="E3747" t="s">
        <v>41</v>
      </c>
      <c r="J3747" t="s">
        <v>42</v>
      </c>
      <c r="K3747" t="s">
        <v>43</v>
      </c>
      <c r="L3747">
        <v>10</v>
      </c>
      <c r="M3747" t="s">
        <v>12614</v>
      </c>
      <c r="N3747" t="s">
        <v>173</v>
      </c>
      <c r="O3747" t="s">
        <v>46</v>
      </c>
      <c r="P3747" t="s">
        <v>46</v>
      </c>
      <c r="Y3747" t="s">
        <v>12633</v>
      </c>
    </row>
    <row r="3748" spans="1:25">
      <c r="A3748" t="s">
        <v>12634</v>
      </c>
      <c r="B3748" t="s">
        <v>12635</v>
      </c>
      <c r="D3748" t="s">
        <v>40</v>
      </c>
      <c r="E3748" t="s">
        <v>41</v>
      </c>
      <c r="J3748" t="s">
        <v>68</v>
      </c>
      <c r="K3748" t="s">
        <v>69</v>
      </c>
      <c r="L3748">
        <v>10</v>
      </c>
      <c r="M3748" t="s">
        <v>12636</v>
      </c>
      <c r="N3748" t="s">
        <v>64</v>
      </c>
      <c r="O3748" t="s">
        <v>46</v>
      </c>
      <c r="P3748" t="s">
        <v>46</v>
      </c>
      <c r="Y3748" t="s">
        <v>12637</v>
      </c>
    </row>
    <row r="3749" spans="1:25">
      <c r="A3749" t="s">
        <v>12638</v>
      </c>
      <c r="B3749" t="s">
        <v>12639</v>
      </c>
      <c r="D3749" t="s">
        <v>40</v>
      </c>
      <c r="E3749" t="s">
        <v>41</v>
      </c>
      <c r="J3749" t="s">
        <v>182</v>
      </c>
      <c r="K3749" t="s">
        <v>183</v>
      </c>
      <c r="L3749">
        <v>10</v>
      </c>
      <c r="M3749" t="s">
        <v>12636</v>
      </c>
      <c r="N3749" t="s">
        <v>64</v>
      </c>
      <c r="O3749" t="s">
        <v>46</v>
      </c>
      <c r="P3749" t="s">
        <v>46</v>
      </c>
      <c r="Y3749" t="s">
        <v>12640</v>
      </c>
    </row>
    <row r="3750" spans="1:25">
      <c r="A3750" t="s">
        <v>12641</v>
      </c>
      <c r="B3750" t="s">
        <v>12642</v>
      </c>
      <c r="D3750" t="s">
        <v>40</v>
      </c>
      <c r="E3750" t="s">
        <v>41</v>
      </c>
      <c r="J3750" t="s">
        <v>182</v>
      </c>
      <c r="K3750" t="s">
        <v>183</v>
      </c>
      <c r="L3750">
        <v>10</v>
      </c>
      <c r="M3750" t="s">
        <v>12636</v>
      </c>
      <c r="N3750" t="s">
        <v>64</v>
      </c>
      <c r="O3750" t="s">
        <v>46</v>
      </c>
      <c r="P3750" t="s">
        <v>46</v>
      </c>
      <c r="Y3750" t="s">
        <v>12643</v>
      </c>
    </row>
    <row r="3751" spans="1:25">
      <c r="A3751" t="s">
        <v>12644</v>
      </c>
      <c r="B3751" t="s">
        <v>12645</v>
      </c>
      <c r="D3751" t="s">
        <v>40</v>
      </c>
      <c r="E3751" t="s">
        <v>41</v>
      </c>
      <c r="J3751" t="s">
        <v>182</v>
      </c>
      <c r="K3751" t="s">
        <v>183</v>
      </c>
      <c r="L3751">
        <v>10</v>
      </c>
      <c r="M3751" t="s">
        <v>12636</v>
      </c>
      <c r="N3751" t="s">
        <v>64</v>
      </c>
      <c r="O3751" t="s">
        <v>46</v>
      </c>
      <c r="P3751" t="s">
        <v>46</v>
      </c>
      <c r="Y3751" t="s">
        <v>12646</v>
      </c>
    </row>
    <row r="3752" spans="1:25">
      <c r="A3752" t="s">
        <v>12647</v>
      </c>
      <c r="B3752" t="s">
        <v>12648</v>
      </c>
      <c r="D3752" t="s">
        <v>40</v>
      </c>
      <c r="E3752" t="s">
        <v>41</v>
      </c>
      <c r="J3752" t="s">
        <v>42</v>
      </c>
      <c r="K3752" t="s">
        <v>43</v>
      </c>
      <c r="L3752">
        <v>10</v>
      </c>
      <c r="M3752" t="s">
        <v>12636</v>
      </c>
      <c r="N3752" t="s">
        <v>950</v>
      </c>
      <c r="O3752" t="s">
        <v>46</v>
      </c>
      <c r="P3752" t="s">
        <v>46</v>
      </c>
      <c r="Y3752" t="s">
        <v>12649</v>
      </c>
    </row>
    <row r="3753" spans="1:25">
      <c r="A3753" t="s">
        <v>12650</v>
      </c>
      <c r="B3753" t="s">
        <v>12651</v>
      </c>
      <c r="D3753" t="s">
        <v>40</v>
      </c>
      <c r="E3753" t="s">
        <v>41</v>
      </c>
      <c r="J3753" t="s">
        <v>182</v>
      </c>
      <c r="K3753" t="s">
        <v>183</v>
      </c>
      <c r="L3753">
        <v>10</v>
      </c>
      <c r="M3753" t="s">
        <v>12636</v>
      </c>
      <c r="N3753" t="s">
        <v>64</v>
      </c>
      <c r="O3753" t="s">
        <v>46</v>
      </c>
      <c r="P3753" t="s">
        <v>46</v>
      </c>
      <c r="Y3753" t="s">
        <v>12652</v>
      </c>
    </row>
    <row r="3754" spans="1:25">
      <c r="A3754" t="s">
        <v>12653</v>
      </c>
      <c r="B3754" t="s">
        <v>12654</v>
      </c>
      <c r="D3754" t="s">
        <v>40</v>
      </c>
      <c r="E3754" t="s">
        <v>41</v>
      </c>
      <c r="J3754" t="s">
        <v>182</v>
      </c>
      <c r="K3754" t="s">
        <v>183</v>
      </c>
      <c r="L3754">
        <v>10</v>
      </c>
      <c r="M3754" t="s">
        <v>12636</v>
      </c>
      <c r="N3754" t="s">
        <v>64</v>
      </c>
      <c r="O3754" t="s">
        <v>46</v>
      </c>
      <c r="P3754" t="s">
        <v>46</v>
      </c>
      <c r="Y3754" t="s">
        <v>12655</v>
      </c>
    </row>
    <row r="3755" spans="1:25">
      <c r="A3755" t="s">
        <v>12656</v>
      </c>
      <c r="B3755" t="s">
        <v>12657</v>
      </c>
      <c r="D3755" t="s">
        <v>40</v>
      </c>
      <c r="E3755" t="s">
        <v>41</v>
      </c>
      <c r="J3755" t="s">
        <v>182</v>
      </c>
      <c r="K3755" t="s">
        <v>183</v>
      </c>
      <c r="L3755">
        <v>10</v>
      </c>
      <c r="M3755" t="s">
        <v>12636</v>
      </c>
      <c r="N3755" t="s">
        <v>64</v>
      </c>
      <c r="O3755" t="s">
        <v>46</v>
      </c>
      <c r="P3755" t="s">
        <v>46</v>
      </c>
      <c r="Y3755" t="s">
        <v>12658</v>
      </c>
    </row>
    <row r="3756" spans="1:25">
      <c r="A3756" t="s">
        <v>12659</v>
      </c>
      <c r="B3756" t="s">
        <v>12660</v>
      </c>
      <c r="D3756" t="s">
        <v>40</v>
      </c>
      <c r="E3756" t="s">
        <v>41</v>
      </c>
      <c r="J3756" t="s">
        <v>182</v>
      </c>
      <c r="K3756" t="s">
        <v>183</v>
      </c>
      <c r="L3756">
        <v>10</v>
      </c>
      <c r="M3756" t="s">
        <v>12661</v>
      </c>
      <c r="N3756" t="s">
        <v>64</v>
      </c>
      <c r="O3756" t="s">
        <v>46</v>
      </c>
      <c r="P3756" t="s">
        <v>46</v>
      </c>
      <c r="Y3756" t="s">
        <v>12662</v>
      </c>
    </row>
    <row r="3757" spans="1:25">
      <c r="A3757" t="s">
        <v>12663</v>
      </c>
      <c r="B3757" t="s">
        <v>12664</v>
      </c>
      <c r="D3757" t="s">
        <v>40</v>
      </c>
      <c r="E3757" t="s">
        <v>41</v>
      </c>
      <c r="J3757" t="s">
        <v>76</v>
      </c>
      <c r="K3757" t="s">
        <v>77</v>
      </c>
      <c r="L3757">
        <v>10</v>
      </c>
      <c r="M3757" t="s">
        <v>12661</v>
      </c>
      <c r="N3757" t="s">
        <v>64</v>
      </c>
      <c r="O3757" t="s">
        <v>46</v>
      </c>
      <c r="P3757" t="s">
        <v>46</v>
      </c>
      <c r="Y3757" t="s">
        <v>12665</v>
      </c>
    </row>
    <row r="3758" spans="1:25">
      <c r="A3758" t="s">
        <v>12666</v>
      </c>
      <c r="B3758" t="s">
        <v>12667</v>
      </c>
      <c r="D3758" t="s">
        <v>40</v>
      </c>
      <c r="E3758" t="s">
        <v>41</v>
      </c>
      <c r="J3758" t="s">
        <v>42</v>
      </c>
      <c r="K3758" t="s">
        <v>43</v>
      </c>
      <c r="L3758">
        <v>10</v>
      </c>
      <c r="M3758" t="s">
        <v>12661</v>
      </c>
      <c r="N3758" t="s">
        <v>1276</v>
      </c>
      <c r="O3758" t="s">
        <v>46</v>
      </c>
      <c r="P3758" t="s">
        <v>46</v>
      </c>
      <c r="Y3758" t="s">
        <v>12668</v>
      </c>
    </row>
    <row r="3759" spans="1:25">
      <c r="A3759" t="s">
        <v>12669</v>
      </c>
      <c r="B3759" t="s">
        <v>12670</v>
      </c>
      <c r="D3759" t="s">
        <v>40</v>
      </c>
      <c r="E3759" t="s">
        <v>41</v>
      </c>
      <c r="J3759" t="s">
        <v>76</v>
      </c>
      <c r="K3759" t="s">
        <v>77</v>
      </c>
      <c r="L3759">
        <v>10</v>
      </c>
      <c r="M3759" t="s">
        <v>12661</v>
      </c>
      <c r="N3759" t="s">
        <v>64</v>
      </c>
      <c r="O3759" t="s">
        <v>46</v>
      </c>
      <c r="P3759" t="s">
        <v>46</v>
      </c>
      <c r="Y3759" t="s">
        <v>12671</v>
      </c>
    </row>
    <row r="3760" spans="1:25">
      <c r="A3760" t="s">
        <v>12672</v>
      </c>
      <c r="B3760" t="s">
        <v>12673</v>
      </c>
      <c r="D3760" t="s">
        <v>40</v>
      </c>
      <c r="E3760" t="s">
        <v>41</v>
      </c>
      <c r="J3760" t="s">
        <v>264</v>
      </c>
      <c r="K3760" t="s">
        <v>265</v>
      </c>
      <c r="L3760">
        <v>10</v>
      </c>
      <c r="M3760" t="s">
        <v>12661</v>
      </c>
      <c r="N3760" t="s">
        <v>1392</v>
      </c>
      <c r="O3760" t="s">
        <v>46</v>
      </c>
      <c r="P3760" t="s">
        <v>46</v>
      </c>
      <c r="Y3760" t="s">
        <v>12674</v>
      </c>
    </row>
    <row r="3761" spans="1:25">
      <c r="A3761" t="s">
        <v>12675</v>
      </c>
      <c r="B3761" t="s">
        <v>12676</v>
      </c>
      <c r="D3761" t="s">
        <v>40</v>
      </c>
      <c r="E3761" t="s">
        <v>41</v>
      </c>
      <c r="J3761" t="s">
        <v>182</v>
      </c>
      <c r="K3761" t="s">
        <v>183</v>
      </c>
      <c r="L3761">
        <v>10</v>
      </c>
      <c r="M3761" t="s">
        <v>12661</v>
      </c>
      <c r="N3761" t="s">
        <v>64</v>
      </c>
      <c r="O3761" t="s">
        <v>46</v>
      </c>
      <c r="P3761" t="s">
        <v>46</v>
      </c>
      <c r="Y3761" t="s">
        <v>12677</v>
      </c>
    </row>
    <row r="3762" spans="1:25">
      <c r="A3762" t="s">
        <v>12678</v>
      </c>
      <c r="B3762" t="s">
        <v>12679</v>
      </c>
      <c r="D3762" t="s">
        <v>40</v>
      </c>
      <c r="E3762" t="s">
        <v>41</v>
      </c>
      <c r="J3762" t="s">
        <v>76</v>
      </c>
      <c r="K3762" t="s">
        <v>77</v>
      </c>
      <c r="L3762">
        <v>10</v>
      </c>
      <c r="M3762" t="s">
        <v>12661</v>
      </c>
      <c r="N3762" t="s">
        <v>64</v>
      </c>
      <c r="O3762" t="s">
        <v>46</v>
      </c>
      <c r="P3762" t="s">
        <v>46</v>
      </c>
      <c r="Y3762" t="s">
        <v>12680</v>
      </c>
    </row>
    <row r="3763" spans="1:25">
      <c r="A3763" t="s">
        <v>12681</v>
      </c>
      <c r="B3763" t="s">
        <v>12682</v>
      </c>
      <c r="D3763" t="s">
        <v>40</v>
      </c>
      <c r="E3763" t="s">
        <v>41</v>
      </c>
      <c r="J3763" t="s">
        <v>76</v>
      </c>
      <c r="K3763" t="s">
        <v>77</v>
      </c>
      <c r="L3763">
        <v>10</v>
      </c>
      <c r="M3763" t="s">
        <v>12683</v>
      </c>
      <c r="N3763" t="s">
        <v>64</v>
      </c>
      <c r="O3763" t="s">
        <v>46</v>
      </c>
      <c r="P3763" t="s">
        <v>46</v>
      </c>
      <c r="Y3763" t="s">
        <v>12684</v>
      </c>
    </row>
    <row r="3764" spans="1:25">
      <c r="A3764" t="s">
        <v>12685</v>
      </c>
      <c r="B3764" t="s">
        <v>12686</v>
      </c>
      <c r="D3764" t="s">
        <v>40</v>
      </c>
      <c r="E3764" t="s">
        <v>41</v>
      </c>
      <c r="J3764" t="s">
        <v>182</v>
      </c>
      <c r="K3764" t="s">
        <v>183</v>
      </c>
      <c r="L3764">
        <v>10</v>
      </c>
      <c r="M3764" t="s">
        <v>12683</v>
      </c>
      <c r="N3764" t="s">
        <v>64</v>
      </c>
      <c r="O3764" t="s">
        <v>46</v>
      </c>
      <c r="P3764" t="s">
        <v>46</v>
      </c>
      <c r="Y3764" t="s">
        <v>12687</v>
      </c>
    </row>
    <row r="3765" spans="1:25">
      <c r="A3765" t="s">
        <v>12688</v>
      </c>
      <c r="B3765" t="s">
        <v>12689</v>
      </c>
      <c r="D3765" t="s">
        <v>40</v>
      </c>
      <c r="E3765" t="s">
        <v>41</v>
      </c>
      <c r="J3765" t="s">
        <v>76</v>
      </c>
      <c r="K3765" t="s">
        <v>77</v>
      </c>
      <c r="L3765">
        <v>10</v>
      </c>
      <c r="M3765" t="s">
        <v>12683</v>
      </c>
      <c r="N3765" t="s">
        <v>64</v>
      </c>
      <c r="O3765" t="s">
        <v>46</v>
      </c>
      <c r="P3765" t="s">
        <v>46</v>
      </c>
      <c r="Y3765" t="s">
        <v>12690</v>
      </c>
    </row>
    <row r="3766" spans="1:25">
      <c r="A3766" t="s">
        <v>12691</v>
      </c>
      <c r="B3766" t="s">
        <v>12692</v>
      </c>
      <c r="D3766" t="s">
        <v>40</v>
      </c>
      <c r="E3766" t="s">
        <v>41</v>
      </c>
      <c r="J3766" t="s">
        <v>68</v>
      </c>
      <c r="K3766" t="s">
        <v>69</v>
      </c>
      <c r="L3766">
        <v>10</v>
      </c>
      <c r="M3766" t="s">
        <v>12693</v>
      </c>
      <c r="N3766" t="s">
        <v>64</v>
      </c>
      <c r="O3766" t="s">
        <v>46</v>
      </c>
      <c r="P3766" t="s">
        <v>46</v>
      </c>
      <c r="Y3766" t="s">
        <v>12694</v>
      </c>
    </row>
    <row r="3767" spans="1:25">
      <c r="A3767" t="s">
        <v>12695</v>
      </c>
      <c r="B3767" t="s">
        <v>12696</v>
      </c>
      <c r="D3767" t="s">
        <v>40</v>
      </c>
      <c r="E3767" t="s">
        <v>41</v>
      </c>
      <c r="J3767" t="s">
        <v>76</v>
      </c>
      <c r="K3767" t="s">
        <v>77</v>
      </c>
      <c r="L3767">
        <v>10</v>
      </c>
      <c r="M3767" t="s">
        <v>12697</v>
      </c>
      <c r="N3767" t="s">
        <v>64</v>
      </c>
      <c r="O3767" t="s">
        <v>46</v>
      </c>
      <c r="P3767" t="s">
        <v>46</v>
      </c>
      <c r="Y3767" t="s">
        <v>12698</v>
      </c>
    </row>
    <row r="3768" spans="1:25">
      <c r="A3768" t="s">
        <v>12699</v>
      </c>
      <c r="B3768" t="s">
        <v>12700</v>
      </c>
      <c r="D3768" t="s">
        <v>40</v>
      </c>
      <c r="E3768" t="s">
        <v>41</v>
      </c>
      <c r="J3768" t="s">
        <v>42</v>
      </c>
      <c r="K3768" t="s">
        <v>43</v>
      </c>
      <c r="L3768">
        <v>10</v>
      </c>
      <c r="M3768" t="s">
        <v>12697</v>
      </c>
      <c r="N3768" t="s">
        <v>756</v>
      </c>
      <c r="O3768" t="s">
        <v>46</v>
      </c>
      <c r="P3768" t="s">
        <v>46</v>
      </c>
      <c r="Y3768" t="s">
        <v>12701</v>
      </c>
    </row>
    <row r="3769" spans="1:25">
      <c r="A3769" t="s">
        <v>12702</v>
      </c>
      <c r="B3769" t="s">
        <v>12703</v>
      </c>
      <c r="D3769" t="s">
        <v>40</v>
      </c>
      <c r="E3769" t="s">
        <v>41</v>
      </c>
      <c r="J3769" t="s">
        <v>599</v>
      </c>
      <c r="K3769" t="s">
        <v>600</v>
      </c>
      <c r="L3769">
        <v>10</v>
      </c>
      <c r="M3769" t="s">
        <v>12704</v>
      </c>
      <c r="N3769" t="s">
        <v>58</v>
      </c>
      <c r="O3769" t="s">
        <v>46</v>
      </c>
      <c r="P3769" t="s">
        <v>46</v>
      </c>
      <c r="Y3769" t="s">
        <v>12705</v>
      </c>
    </row>
    <row r="3770" spans="1:25">
      <c r="A3770" t="s">
        <v>12706</v>
      </c>
      <c r="B3770" t="s">
        <v>12707</v>
      </c>
      <c r="D3770" t="s">
        <v>40</v>
      </c>
      <c r="E3770" t="s">
        <v>41</v>
      </c>
      <c r="J3770" t="s">
        <v>182</v>
      </c>
      <c r="K3770" t="s">
        <v>183</v>
      </c>
      <c r="L3770">
        <v>10</v>
      </c>
      <c r="M3770" t="s">
        <v>12704</v>
      </c>
      <c r="N3770" t="s">
        <v>64</v>
      </c>
      <c r="O3770" t="s">
        <v>46</v>
      </c>
      <c r="P3770" t="s">
        <v>46</v>
      </c>
      <c r="Y3770" t="s">
        <v>12708</v>
      </c>
    </row>
    <row r="3771" spans="1:25">
      <c r="A3771" t="s">
        <v>12709</v>
      </c>
      <c r="B3771" t="s">
        <v>12710</v>
      </c>
      <c r="D3771" t="s">
        <v>40</v>
      </c>
      <c r="E3771" t="s">
        <v>41</v>
      </c>
      <c r="J3771" t="s">
        <v>182</v>
      </c>
      <c r="K3771" t="s">
        <v>183</v>
      </c>
      <c r="L3771">
        <v>10</v>
      </c>
      <c r="M3771" t="s">
        <v>12704</v>
      </c>
      <c r="N3771" t="s">
        <v>64</v>
      </c>
      <c r="O3771" t="s">
        <v>46</v>
      </c>
      <c r="P3771" t="s">
        <v>46</v>
      </c>
      <c r="Y3771" t="s">
        <v>12711</v>
      </c>
    </row>
    <row r="3772" spans="1:25">
      <c r="A3772" t="s">
        <v>12712</v>
      </c>
      <c r="B3772" t="s">
        <v>12713</v>
      </c>
      <c r="D3772" t="s">
        <v>40</v>
      </c>
      <c r="E3772" t="s">
        <v>41</v>
      </c>
      <c r="J3772" t="s">
        <v>68</v>
      </c>
      <c r="K3772" t="s">
        <v>69</v>
      </c>
      <c r="L3772">
        <v>10</v>
      </c>
      <c r="M3772" t="s">
        <v>12704</v>
      </c>
      <c r="N3772" t="s">
        <v>64</v>
      </c>
      <c r="O3772" t="s">
        <v>46</v>
      </c>
      <c r="P3772" t="s">
        <v>46</v>
      </c>
      <c r="Y3772" t="s">
        <v>12714</v>
      </c>
    </row>
    <row r="3773" spans="1:25">
      <c r="A3773" t="s">
        <v>12715</v>
      </c>
      <c r="B3773" t="s">
        <v>12716</v>
      </c>
      <c r="D3773" t="s">
        <v>40</v>
      </c>
      <c r="E3773" t="s">
        <v>41</v>
      </c>
      <c r="J3773" t="s">
        <v>182</v>
      </c>
      <c r="K3773" t="s">
        <v>183</v>
      </c>
      <c r="L3773">
        <v>10</v>
      </c>
      <c r="M3773" t="s">
        <v>12717</v>
      </c>
      <c r="N3773" t="s">
        <v>64</v>
      </c>
      <c r="O3773" t="s">
        <v>46</v>
      </c>
      <c r="P3773" t="s">
        <v>46</v>
      </c>
      <c r="Y3773" t="s">
        <v>12718</v>
      </c>
    </row>
    <row r="3774" spans="1:25">
      <c r="A3774" t="s">
        <v>12719</v>
      </c>
      <c r="B3774" t="s">
        <v>12720</v>
      </c>
      <c r="D3774" t="s">
        <v>40</v>
      </c>
      <c r="E3774" t="s">
        <v>41</v>
      </c>
      <c r="J3774" t="s">
        <v>182</v>
      </c>
      <c r="K3774" t="s">
        <v>183</v>
      </c>
      <c r="L3774">
        <v>10</v>
      </c>
      <c r="M3774" t="s">
        <v>12721</v>
      </c>
      <c r="N3774" t="s">
        <v>64</v>
      </c>
      <c r="O3774" t="s">
        <v>46</v>
      </c>
      <c r="P3774" t="s">
        <v>46</v>
      </c>
      <c r="Y3774" t="s">
        <v>12722</v>
      </c>
    </row>
    <row r="3775" spans="1:25">
      <c r="A3775" t="s">
        <v>12723</v>
      </c>
      <c r="B3775" t="s">
        <v>12724</v>
      </c>
      <c r="D3775" t="s">
        <v>40</v>
      </c>
      <c r="E3775" t="s">
        <v>41</v>
      </c>
      <c r="J3775" t="s">
        <v>76</v>
      </c>
      <c r="K3775" t="s">
        <v>77</v>
      </c>
      <c r="L3775">
        <v>10</v>
      </c>
      <c r="M3775" t="s">
        <v>12721</v>
      </c>
      <c r="N3775" t="s">
        <v>64</v>
      </c>
      <c r="O3775" t="s">
        <v>46</v>
      </c>
      <c r="P3775" t="s">
        <v>46</v>
      </c>
      <c r="Y3775" t="s">
        <v>12725</v>
      </c>
    </row>
    <row r="3776" spans="1:25">
      <c r="A3776" t="s">
        <v>12726</v>
      </c>
      <c r="B3776" t="s">
        <v>12727</v>
      </c>
      <c r="D3776" t="s">
        <v>40</v>
      </c>
      <c r="E3776" t="s">
        <v>41</v>
      </c>
      <c r="J3776" t="s">
        <v>76</v>
      </c>
      <c r="K3776" t="s">
        <v>77</v>
      </c>
      <c r="L3776">
        <v>10</v>
      </c>
      <c r="M3776" t="s">
        <v>12728</v>
      </c>
      <c r="N3776" t="s">
        <v>64</v>
      </c>
      <c r="O3776" t="s">
        <v>46</v>
      </c>
      <c r="P3776" t="s">
        <v>46</v>
      </c>
      <c r="Y3776" t="s">
        <v>12729</v>
      </c>
    </row>
    <row r="3777" spans="1:25">
      <c r="A3777" t="s">
        <v>12730</v>
      </c>
      <c r="B3777" t="s">
        <v>12731</v>
      </c>
      <c r="D3777" t="s">
        <v>40</v>
      </c>
      <c r="E3777" t="s">
        <v>41</v>
      </c>
      <c r="J3777" t="s">
        <v>76</v>
      </c>
      <c r="K3777" t="s">
        <v>77</v>
      </c>
      <c r="L3777">
        <v>10</v>
      </c>
      <c r="M3777" t="s">
        <v>12732</v>
      </c>
      <c r="N3777" t="s">
        <v>64</v>
      </c>
      <c r="O3777" t="s">
        <v>46</v>
      </c>
      <c r="P3777" t="s">
        <v>46</v>
      </c>
      <c r="Y3777" t="s">
        <v>12733</v>
      </c>
    </row>
    <row r="3778" spans="1:25">
      <c r="A3778" t="s">
        <v>12734</v>
      </c>
      <c r="B3778" t="s">
        <v>12735</v>
      </c>
      <c r="D3778" t="s">
        <v>40</v>
      </c>
      <c r="E3778" t="s">
        <v>41</v>
      </c>
      <c r="J3778" t="s">
        <v>68</v>
      </c>
      <c r="K3778" t="s">
        <v>69</v>
      </c>
      <c r="L3778">
        <v>10</v>
      </c>
      <c r="M3778" t="s">
        <v>12736</v>
      </c>
      <c r="N3778" t="s">
        <v>64</v>
      </c>
      <c r="O3778" t="s">
        <v>46</v>
      </c>
      <c r="P3778" t="s">
        <v>46</v>
      </c>
      <c r="Y3778" t="s">
        <v>12737</v>
      </c>
    </row>
    <row r="3779" spans="1:25">
      <c r="A3779" t="s">
        <v>12738</v>
      </c>
      <c r="B3779" t="s">
        <v>12739</v>
      </c>
      <c r="D3779" t="s">
        <v>40</v>
      </c>
      <c r="E3779" t="s">
        <v>41</v>
      </c>
      <c r="J3779" t="s">
        <v>68</v>
      </c>
      <c r="K3779" t="s">
        <v>69</v>
      </c>
      <c r="L3779">
        <v>10</v>
      </c>
      <c r="M3779" t="s">
        <v>12740</v>
      </c>
      <c r="N3779" t="s">
        <v>64</v>
      </c>
      <c r="O3779" t="s">
        <v>46</v>
      </c>
      <c r="P3779" t="s">
        <v>46</v>
      </c>
      <c r="Y3779" t="s">
        <v>12741</v>
      </c>
    </row>
    <row r="3780" spans="1:25">
      <c r="A3780" t="s">
        <v>12742</v>
      </c>
      <c r="B3780" t="s">
        <v>12743</v>
      </c>
      <c r="D3780" t="s">
        <v>40</v>
      </c>
      <c r="E3780" t="s">
        <v>41</v>
      </c>
      <c r="J3780" t="s">
        <v>182</v>
      </c>
      <c r="K3780" t="s">
        <v>183</v>
      </c>
      <c r="L3780">
        <v>10</v>
      </c>
      <c r="M3780" t="s">
        <v>12740</v>
      </c>
      <c r="N3780" t="s">
        <v>64</v>
      </c>
      <c r="O3780" t="s">
        <v>46</v>
      </c>
      <c r="P3780" t="s">
        <v>46</v>
      </c>
      <c r="Y3780" t="s">
        <v>12744</v>
      </c>
    </row>
    <row r="3781" spans="1:25">
      <c r="A3781" t="s">
        <v>12745</v>
      </c>
      <c r="B3781" t="s">
        <v>12746</v>
      </c>
      <c r="D3781" t="s">
        <v>40</v>
      </c>
      <c r="E3781" t="s">
        <v>41</v>
      </c>
      <c r="J3781" t="s">
        <v>182</v>
      </c>
      <c r="K3781" t="s">
        <v>183</v>
      </c>
      <c r="L3781">
        <v>10</v>
      </c>
      <c r="M3781" t="s">
        <v>12747</v>
      </c>
      <c r="N3781" t="s">
        <v>64</v>
      </c>
      <c r="O3781" t="s">
        <v>46</v>
      </c>
      <c r="P3781" t="s">
        <v>46</v>
      </c>
      <c r="Y3781" t="s">
        <v>12748</v>
      </c>
    </row>
    <row r="3782" spans="1:25">
      <c r="A3782" t="s">
        <v>12749</v>
      </c>
      <c r="B3782" t="s">
        <v>12750</v>
      </c>
      <c r="D3782" t="s">
        <v>40</v>
      </c>
      <c r="E3782" t="s">
        <v>41</v>
      </c>
      <c r="J3782" t="s">
        <v>76</v>
      </c>
      <c r="K3782" t="s">
        <v>77</v>
      </c>
      <c r="L3782">
        <v>10</v>
      </c>
      <c r="M3782" t="s">
        <v>12751</v>
      </c>
      <c r="N3782" t="s">
        <v>64</v>
      </c>
      <c r="O3782" t="s">
        <v>46</v>
      </c>
      <c r="P3782" t="s">
        <v>46</v>
      </c>
      <c r="Y3782" t="s">
        <v>12752</v>
      </c>
    </row>
    <row r="3783" spans="1:25">
      <c r="A3783" t="s">
        <v>12753</v>
      </c>
      <c r="B3783" t="s">
        <v>12754</v>
      </c>
      <c r="D3783" t="s">
        <v>40</v>
      </c>
      <c r="E3783" t="s">
        <v>41</v>
      </c>
      <c r="J3783" t="s">
        <v>76</v>
      </c>
      <c r="K3783" t="s">
        <v>77</v>
      </c>
      <c r="L3783">
        <v>10</v>
      </c>
      <c r="M3783" t="s">
        <v>12755</v>
      </c>
      <c r="N3783" t="s">
        <v>64</v>
      </c>
      <c r="O3783" t="s">
        <v>46</v>
      </c>
      <c r="P3783" t="s">
        <v>46</v>
      </c>
      <c r="Y3783" t="s">
        <v>12756</v>
      </c>
    </row>
    <row r="3784" spans="1:25">
      <c r="A3784" t="s">
        <v>12757</v>
      </c>
      <c r="B3784" t="s">
        <v>12758</v>
      </c>
      <c r="D3784" t="s">
        <v>40</v>
      </c>
      <c r="E3784" t="s">
        <v>41</v>
      </c>
      <c r="J3784" t="s">
        <v>182</v>
      </c>
      <c r="K3784" t="s">
        <v>183</v>
      </c>
      <c r="L3784">
        <v>10</v>
      </c>
      <c r="M3784" t="s">
        <v>12755</v>
      </c>
      <c r="N3784" t="s">
        <v>64</v>
      </c>
      <c r="O3784" t="s">
        <v>46</v>
      </c>
      <c r="P3784" t="s">
        <v>46</v>
      </c>
      <c r="Y3784" t="s">
        <v>12759</v>
      </c>
    </row>
    <row r="3785" spans="1:25">
      <c r="A3785" t="s">
        <v>12760</v>
      </c>
      <c r="B3785" t="s">
        <v>12761</v>
      </c>
      <c r="D3785" t="s">
        <v>40</v>
      </c>
      <c r="E3785" t="s">
        <v>41</v>
      </c>
      <c r="J3785" t="s">
        <v>76</v>
      </c>
      <c r="K3785" t="s">
        <v>77</v>
      </c>
      <c r="L3785">
        <v>10</v>
      </c>
      <c r="M3785" t="s">
        <v>12762</v>
      </c>
      <c r="N3785" t="s">
        <v>64</v>
      </c>
      <c r="O3785" t="s">
        <v>46</v>
      </c>
      <c r="P3785" t="s">
        <v>46</v>
      </c>
      <c r="Y3785" t="s">
        <v>12763</v>
      </c>
    </row>
    <row r="3786" spans="1:25">
      <c r="A3786" t="s">
        <v>12764</v>
      </c>
      <c r="B3786" t="s">
        <v>12765</v>
      </c>
      <c r="D3786" t="s">
        <v>40</v>
      </c>
      <c r="E3786" t="s">
        <v>41</v>
      </c>
      <c r="J3786" t="s">
        <v>76</v>
      </c>
      <c r="K3786" t="s">
        <v>77</v>
      </c>
      <c r="L3786">
        <v>10</v>
      </c>
      <c r="M3786" t="s">
        <v>12762</v>
      </c>
      <c r="N3786" t="s">
        <v>64</v>
      </c>
      <c r="O3786" t="s">
        <v>46</v>
      </c>
      <c r="P3786" t="s">
        <v>46</v>
      </c>
      <c r="Y3786" t="s">
        <v>12766</v>
      </c>
    </row>
    <row r="3787" spans="1:25">
      <c r="A3787" t="s">
        <v>12767</v>
      </c>
      <c r="B3787" t="s">
        <v>12768</v>
      </c>
      <c r="D3787" t="s">
        <v>40</v>
      </c>
      <c r="E3787" t="s">
        <v>41</v>
      </c>
      <c r="J3787" t="s">
        <v>182</v>
      </c>
      <c r="K3787" t="s">
        <v>183</v>
      </c>
      <c r="L3787">
        <v>10</v>
      </c>
      <c r="M3787" t="s">
        <v>12769</v>
      </c>
      <c r="N3787" t="s">
        <v>64</v>
      </c>
      <c r="O3787" t="s">
        <v>46</v>
      </c>
      <c r="P3787" t="s">
        <v>46</v>
      </c>
      <c r="Y3787" t="s">
        <v>12770</v>
      </c>
    </row>
    <row r="3788" spans="1:25">
      <c r="A3788" t="s">
        <v>12771</v>
      </c>
      <c r="B3788" t="s">
        <v>12772</v>
      </c>
      <c r="D3788" t="s">
        <v>40</v>
      </c>
      <c r="E3788" t="s">
        <v>41</v>
      </c>
      <c r="J3788" t="s">
        <v>68</v>
      </c>
      <c r="K3788" t="s">
        <v>69</v>
      </c>
      <c r="L3788">
        <v>10</v>
      </c>
      <c r="M3788" t="s">
        <v>12773</v>
      </c>
      <c r="N3788" t="s">
        <v>64</v>
      </c>
      <c r="O3788" t="s">
        <v>46</v>
      </c>
      <c r="P3788" t="s">
        <v>46</v>
      </c>
      <c r="Y3788" t="s">
        <v>12774</v>
      </c>
    </row>
    <row r="3789" spans="1:25">
      <c r="A3789" t="s">
        <v>12775</v>
      </c>
      <c r="B3789" t="s">
        <v>12776</v>
      </c>
      <c r="D3789" t="s">
        <v>40</v>
      </c>
      <c r="E3789" t="s">
        <v>41</v>
      </c>
      <c r="J3789" t="s">
        <v>182</v>
      </c>
      <c r="K3789" t="s">
        <v>183</v>
      </c>
      <c r="L3789">
        <v>10</v>
      </c>
      <c r="M3789" t="s">
        <v>12773</v>
      </c>
      <c r="N3789" t="s">
        <v>64</v>
      </c>
      <c r="O3789" t="s">
        <v>46</v>
      </c>
      <c r="P3789" t="s">
        <v>46</v>
      </c>
      <c r="Y3789" t="s">
        <v>12777</v>
      </c>
    </row>
    <row r="3790" spans="1:25">
      <c r="A3790" t="s">
        <v>12778</v>
      </c>
      <c r="B3790" t="s">
        <v>12779</v>
      </c>
      <c r="D3790" t="s">
        <v>40</v>
      </c>
      <c r="E3790" t="s">
        <v>41</v>
      </c>
      <c r="J3790" t="s">
        <v>182</v>
      </c>
      <c r="K3790" t="s">
        <v>183</v>
      </c>
      <c r="L3790">
        <v>10</v>
      </c>
      <c r="M3790" t="s">
        <v>12773</v>
      </c>
      <c r="N3790" t="s">
        <v>64</v>
      </c>
      <c r="O3790" t="s">
        <v>46</v>
      </c>
      <c r="P3790" t="s">
        <v>46</v>
      </c>
      <c r="Y3790" t="s">
        <v>12780</v>
      </c>
    </row>
    <row r="3791" spans="1:25">
      <c r="A3791" t="s">
        <v>12781</v>
      </c>
      <c r="B3791" t="s">
        <v>12782</v>
      </c>
      <c r="D3791" t="s">
        <v>40</v>
      </c>
      <c r="E3791" t="s">
        <v>41</v>
      </c>
      <c r="J3791" t="s">
        <v>182</v>
      </c>
      <c r="K3791" t="s">
        <v>183</v>
      </c>
      <c r="L3791">
        <v>10</v>
      </c>
      <c r="M3791" t="s">
        <v>12773</v>
      </c>
      <c r="N3791" t="s">
        <v>64</v>
      </c>
      <c r="O3791" t="s">
        <v>46</v>
      </c>
      <c r="P3791" t="s">
        <v>46</v>
      </c>
      <c r="Y3791" t="s">
        <v>12783</v>
      </c>
    </row>
    <row r="3792" spans="1:25">
      <c r="A3792" t="s">
        <v>12784</v>
      </c>
      <c r="B3792" t="s">
        <v>12785</v>
      </c>
      <c r="D3792" t="s">
        <v>40</v>
      </c>
      <c r="E3792" t="s">
        <v>41</v>
      </c>
      <c r="J3792" t="s">
        <v>182</v>
      </c>
      <c r="K3792" t="s">
        <v>183</v>
      </c>
      <c r="L3792">
        <v>10</v>
      </c>
      <c r="M3792" t="s">
        <v>12773</v>
      </c>
      <c r="N3792" t="s">
        <v>64</v>
      </c>
      <c r="O3792" t="s">
        <v>46</v>
      </c>
      <c r="P3792" t="s">
        <v>46</v>
      </c>
      <c r="Y3792" t="s">
        <v>12786</v>
      </c>
    </row>
    <row r="3793" spans="1:25">
      <c r="A3793" t="s">
        <v>12787</v>
      </c>
      <c r="B3793" t="s">
        <v>12788</v>
      </c>
      <c r="D3793" t="s">
        <v>40</v>
      </c>
      <c r="E3793" t="s">
        <v>41</v>
      </c>
      <c r="J3793" t="s">
        <v>68</v>
      </c>
      <c r="K3793" t="s">
        <v>69</v>
      </c>
      <c r="L3793">
        <v>10</v>
      </c>
      <c r="M3793" t="s">
        <v>12789</v>
      </c>
      <c r="N3793" t="s">
        <v>64</v>
      </c>
      <c r="O3793" t="s">
        <v>46</v>
      </c>
      <c r="P3793" t="s">
        <v>46</v>
      </c>
      <c r="Y3793" t="s">
        <v>12790</v>
      </c>
    </row>
    <row r="3794" spans="1:25">
      <c r="A3794" t="s">
        <v>12791</v>
      </c>
      <c r="B3794" t="s">
        <v>12792</v>
      </c>
      <c r="D3794" t="s">
        <v>40</v>
      </c>
      <c r="E3794" t="s">
        <v>41</v>
      </c>
      <c r="J3794" t="s">
        <v>182</v>
      </c>
      <c r="K3794" t="s">
        <v>183</v>
      </c>
      <c r="L3794">
        <v>10</v>
      </c>
      <c r="M3794" t="s">
        <v>12789</v>
      </c>
      <c r="N3794" t="s">
        <v>64</v>
      </c>
      <c r="O3794" t="s">
        <v>46</v>
      </c>
      <c r="P3794" t="s">
        <v>46</v>
      </c>
      <c r="Y3794" t="s">
        <v>12793</v>
      </c>
    </row>
    <row r="3795" spans="1:25">
      <c r="A3795" t="s">
        <v>12794</v>
      </c>
      <c r="B3795" t="s">
        <v>12795</v>
      </c>
      <c r="D3795" t="s">
        <v>40</v>
      </c>
      <c r="E3795" t="s">
        <v>41</v>
      </c>
      <c r="J3795" t="s">
        <v>182</v>
      </c>
      <c r="K3795" t="s">
        <v>183</v>
      </c>
      <c r="L3795">
        <v>10</v>
      </c>
      <c r="M3795" t="s">
        <v>12789</v>
      </c>
      <c r="N3795" t="s">
        <v>64</v>
      </c>
      <c r="O3795" t="s">
        <v>46</v>
      </c>
      <c r="P3795" t="s">
        <v>46</v>
      </c>
      <c r="Y3795" t="s">
        <v>12796</v>
      </c>
    </row>
    <row r="3796" spans="1:25">
      <c r="A3796" t="s">
        <v>12797</v>
      </c>
      <c r="B3796" t="s">
        <v>12798</v>
      </c>
      <c r="D3796" t="s">
        <v>40</v>
      </c>
      <c r="E3796" t="s">
        <v>41</v>
      </c>
      <c r="J3796" t="s">
        <v>182</v>
      </c>
      <c r="K3796" t="s">
        <v>183</v>
      </c>
      <c r="L3796">
        <v>10</v>
      </c>
      <c r="M3796" t="s">
        <v>12789</v>
      </c>
      <c r="N3796" t="s">
        <v>64</v>
      </c>
      <c r="O3796" t="s">
        <v>46</v>
      </c>
      <c r="P3796" t="s">
        <v>46</v>
      </c>
      <c r="Y3796" t="s">
        <v>12799</v>
      </c>
    </row>
    <row r="3797" spans="1:25">
      <c r="A3797" t="s">
        <v>12800</v>
      </c>
      <c r="B3797" t="s">
        <v>12801</v>
      </c>
      <c r="D3797" t="s">
        <v>40</v>
      </c>
      <c r="E3797" t="s">
        <v>41</v>
      </c>
      <c r="J3797" t="s">
        <v>76</v>
      </c>
      <c r="K3797" t="s">
        <v>77</v>
      </c>
      <c r="L3797">
        <v>10</v>
      </c>
      <c r="M3797" t="s">
        <v>12789</v>
      </c>
      <c r="N3797" t="s">
        <v>64</v>
      </c>
      <c r="O3797" t="s">
        <v>46</v>
      </c>
      <c r="P3797" t="s">
        <v>46</v>
      </c>
      <c r="Y3797" t="s">
        <v>12802</v>
      </c>
    </row>
    <row r="3798" spans="1:25">
      <c r="A3798" t="s">
        <v>12803</v>
      </c>
      <c r="B3798" t="s">
        <v>12804</v>
      </c>
      <c r="D3798" t="s">
        <v>40</v>
      </c>
      <c r="E3798" t="s">
        <v>41</v>
      </c>
      <c r="J3798" t="s">
        <v>182</v>
      </c>
      <c r="K3798" t="s">
        <v>183</v>
      </c>
      <c r="L3798">
        <v>10</v>
      </c>
      <c r="M3798" t="s">
        <v>12789</v>
      </c>
      <c r="N3798" t="s">
        <v>64</v>
      </c>
      <c r="O3798" t="s">
        <v>46</v>
      </c>
      <c r="P3798" t="s">
        <v>46</v>
      </c>
      <c r="Y3798" t="s">
        <v>12805</v>
      </c>
    </row>
    <row r="3799" spans="1:25">
      <c r="A3799" t="s">
        <v>12806</v>
      </c>
      <c r="B3799" t="s">
        <v>12807</v>
      </c>
      <c r="D3799" t="s">
        <v>40</v>
      </c>
      <c r="E3799" t="s">
        <v>41</v>
      </c>
      <c r="J3799" t="s">
        <v>42</v>
      </c>
      <c r="K3799" t="s">
        <v>43</v>
      </c>
      <c r="L3799">
        <v>10</v>
      </c>
      <c r="M3799" t="s">
        <v>12789</v>
      </c>
      <c r="N3799" t="s">
        <v>1446</v>
      </c>
      <c r="O3799" t="s">
        <v>46</v>
      </c>
      <c r="P3799" t="s">
        <v>46</v>
      </c>
      <c r="Y3799" t="s">
        <v>12808</v>
      </c>
    </row>
    <row r="3800" spans="1:25">
      <c r="A3800" t="s">
        <v>12809</v>
      </c>
      <c r="B3800" t="s">
        <v>12810</v>
      </c>
      <c r="D3800" t="s">
        <v>40</v>
      </c>
      <c r="E3800" t="s">
        <v>41</v>
      </c>
      <c r="J3800" t="s">
        <v>76</v>
      </c>
      <c r="K3800" t="s">
        <v>77</v>
      </c>
      <c r="L3800">
        <v>10</v>
      </c>
      <c r="M3800" t="s">
        <v>12789</v>
      </c>
      <c r="N3800" t="s">
        <v>64</v>
      </c>
      <c r="O3800" t="s">
        <v>46</v>
      </c>
      <c r="P3800" t="s">
        <v>46</v>
      </c>
      <c r="Y3800" t="s">
        <v>12811</v>
      </c>
    </row>
    <row r="3801" spans="1:25">
      <c r="A3801" t="s">
        <v>12812</v>
      </c>
      <c r="B3801" t="s">
        <v>12813</v>
      </c>
      <c r="D3801" t="s">
        <v>40</v>
      </c>
      <c r="E3801" t="s">
        <v>41</v>
      </c>
      <c r="J3801" t="s">
        <v>76</v>
      </c>
      <c r="K3801" t="s">
        <v>77</v>
      </c>
      <c r="L3801">
        <v>10</v>
      </c>
      <c r="M3801" t="s">
        <v>12789</v>
      </c>
      <c r="N3801" t="s">
        <v>64</v>
      </c>
      <c r="O3801" t="s">
        <v>46</v>
      </c>
      <c r="P3801" t="s">
        <v>46</v>
      </c>
      <c r="Y3801" t="s">
        <v>12814</v>
      </c>
    </row>
    <row r="3802" spans="1:25">
      <c r="A3802" t="s">
        <v>12815</v>
      </c>
      <c r="B3802" t="s">
        <v>12816</v>
      </c>
      <c r="D3802" t="s">
        <v>40</v>
      </c>
      <c r="E3802" t="s">
        <v>41</v>
      </c>
      <c r="J3802" t="s">
        <v>76</v>
      </c>
      <c r="K3802" t="s">
        <v>77</v>
      </c>
      <c r="L3802">
        <v>10</v>
      </c>
      <c r="M3802" t="s">
        <v>12817</v>
      </c>
      <c r="N3802" t="s">
        <v>64</v>
      </c>
      <c r="O3802" t="s">
        <v>46</v>
      </c>
      <c r="P3802" t="s">
        <v>46</v>
      </c>
      <c r="Y3802" t="s">
        <v>12818</v>
      </c>
    </row>
    <row r="3803" spans="1:25">
      <c r="A3803" t="s">
        <v>12819</v>
      </c>
      <c r="B3803" t="s">
        <v>12820</v>
      </c>
      <c r="D3803" t="s">
        <v>40</v>
      </c>
      <c r="E3803" t="s">
        <v>41</v>
      </c>
      <c r="J3803" t="s">
        <v>68</v>
      </c>
      <c r="K3803" t="s">
        <v>69</v>
      </c>
      <c r="L3803">
        <v>10</v>
      </c>
      <c r="M3803" t="s">
        <v>12817</v>
      </c>
      <c r="N3803" t="s">
        <v>64</v>
      </c>
      <c r="O3803" t="s">
        <v>46</v>
      </c>
      <c r="P3803" t="s">
        <v>46</v>
      </c>
      <c r="Y3803" t="s">
        <v>12821</v>
      </c>
    </row>
    <row r="3804" spans="1:25">
      <c r="A3804" t="s">
        <v>12822</v>
      </c>
      <c r="B3804" t="s">
        <v>12823</v>
      </c>
      <c r="D3804" t="s">
        <v>40</v>
      </c>
      <c r="E3804" t="s">
        <v>41</v>
      </c>
      <c r="J3804" t="s">
        <v>182</v>
      </c>
      <c r="K3804" t="s">
        <v>183</v>
      </c>
      <c r="L3804">
        <v>10</v>
      </c>
      <c r="M3804" t="s">
        <v>12817</v>
      </c>
      <c r="N3804" t="s">
        <v>64</v>
      </c>
      <c r="O3804" t="s">
        <v>46</v>
      </c>
      <c r="P3804" t="s">
        <v>46</v>
      </c>
      <c r="Y3804" t="s">
        <v>12824</v>
      </c>
    </row>
    <row r="3805" spans="1:25">
      <c r="A3805" t="s">
        <v>12825</v>
      </c>
      <c r="B3805" t="s">
        <v>12826</v>
      </c>
      <c r="D3805" t="s">
        <v>40</v>
      </c>
      <c r="E3805" t="s">
        <v>41</v>
      </c>
      <c r="J3805" t="s">
        <v>76</v>
      </c>
      <c r="K3805" t="s">
        <v>77</v>
      </c>
      <c r="L3805">
        <v>10</v>
      </c>
      <c r="M3805" t="s">
        <v>12827</v>
      </c>
      <c r="N3805" t="s">
        <v>64</v>
      </c>
      <c r="O3805" t="s">
        <v>46</v>
      </c>
      <c r="P3805" t="s">
        <v>46</v>
      </c>
      <c r="Y3805" t="s">
        <v>12828</v>
      </c>
    </row>
    <row r="3806" spans="1:25">
      <c r="A3806" t="s">
        <v>12829</v>
      </c>
      <c r="B3806" t="s">
        <v>12830</v>
      </c>
      <c r="D3806" t="s">
        <v>40</v>
      </c>
      <c r="E3806" t="s">
        <v>41</v>
      </c>
      <c r="J3806" t="s">
        <v>182</v>
      </c>
      <c r="K3806" t="s">
        <v>183</v>
      </c>
      <c r="L3806">
        <v>10</v>
      </c>
      <c r="M3806" t="s">
        <v>12827</v>
      </c>
      <c r="N3806" t="s">
        <v>64</v>
      </c>
      <c r="O3806" t="s">
        <v>46</v>
      </c>
      <c r="P3806" t="s">
        <v>46</v>
      </c>
      <c r="Y3806" t="s">
        <v>12831</v>
      </c>
    </row>
    <row r="3807" spans="1:25">
      <c r="A3807" t="s">
        <v>12832</v>
      </c>
      <c r="B3807" t="s">
        <v>12833</v>
      </c>
      <c r="D3807" t="s">
        <v>40</v>
      </c>
      <c r="E3807" t="s">
        <v>41</v>
      </c>
      <c r="J3807" t="s">
        <v>76</v>
      </c>
      <c r="K3807" t="s">
        <v>77</v>
      </c>
      <c r="L3807">
        <v>10</v>
      </c>
      <c r="M3807" t="s">
        <v>12827</v>
      </c>
      <c r="N3807" t="s">
        <v>64</v>
      </c>
      <c r="O3807" t="s">
        <v>46</v>
      </c>
      <c r="P3807" t="s">
        <v>46</v>
      </c>
      <c r="Y3807" t="s">
        <v>12834</v>
      </c>
    </row>
    <row r="3808" spans="1:25">
      <c r="A3808" t="s">
        <v>12835</v>
      </c>
      <c r="B3808" t="s">
        <v>12836</v>
      </c>
      <c r="D3808" t="s">
        <v>40</v>
      </c>
      <c r="E3808" t="s">
        <v>41</v>
      </c>
      <c r="J3808" t="s">
        <v>182</v>
      </c>
      <c r="K3808" t="s">
        <v>183</v>
      </c>
      <c r="L3808">
        <v>10</v>
      </c>
      <c r="M3808" t="s">
        <v>12827</v>
      </c>
      <c r="N3808" t="s">
        <v>64</v>
      </c>
      <c r="O3808" t="s">
        <v>46</v>
      </c>
      <c r="P3808" t="s">
        <v>46</v>
      </c>
      <c r="Y3808" t="s">
        <v>12837</v>
      </c>
    </row>
    <row r="3809" spans="1:25">
      <c r="A3809" t="s">
        <v>12838</v>
      </c>
      <c r="B3809" t="s">
        <v>12839</v>
      </c>
      <c r="D3809" t="s">
        <v>40</v>
      </c>
      <c r="E3809" t="s">
        <v>41</v>
      </c>
      <c r="J3809" t="s">
        <v>76</v>
      </c>
      <c r="K3809" t="s">
        <v>77</v>
      </c>
      <c r="L3809">
        <v>10</v>
      </c>
      <c r="M3809" t="s">
        <v>12840</v>
      </c>
      <c r="N3809" t="s">
        <v>64</v>
      </c>
      <c r="O3809" t="s">
        <v>46</v>
      </c>
      <c r="P3809" t="s">
        <v>46</v>
      </c>
      <c r="Y3809" t="s">
        <v>12841</v>
      </c>
    </row>
    <row r="3810" spans="1:25">
      <c r="A3810" t="s">
        <v>12842</v>
      </c>
      <c r="B3810" t="s">
        <v>12843</v>
      </c>
      <c r="D3810" t="s">
        <v>40</v>
      </c>
      <c r="E3810" t="s">
        <v>41</v>
      </c>
      <c r="J3810" t="s">
        <v>182</v>
      </c>
      <c r="K3810" t="s">
        <v>183</v>
      </c>
      <c r="L3810">
        <v>10</v>
      </c>
      <c r="M3810" t="s">
        <v>12840</v>
      </c>
      <c r="N3810" t="s">
        <v>64</v>
      </c>
      <c r="O3810" t="s">
        <v>46</v>
      </c>
      <c r="P3810" t="s">
        <v>46</v>
      </c>
      <c r="Y3810" t="s">
        <v>12844</v>
      </c>
    </row>
    <row r="3811" spans="1:25">
      <c r="A3811" t="s">
        <v>12845</v>
      </c>
      <c r="B3811" t="s">
        <v>12846</v>
      </c>
      <c r="D3811" t="s">
        <v>40</v>
      </c>
      <c r="E3811" t="s">
        <v>41</v>
      </c>
      <c r="J3811" t="s">
        <v>182</v>
      </c>
      <c r="K3811" t="s">
        <v>183</v>
      </c>
      <c r="L3811">
        <v>10</v>
      </c>
      <c r="M3811" t="s">
        <v>12840</v>
      </c>
      <c r="N3811" t="s">
        <v>64</v>
      </c>
      <c r="O3811" t="s">
        <v>46</v>
      </c>
      <c r="P3811" t="s">
        <v>46</v>
      </c>
      <c r="Y3811" t="s">
        <v>12847</v>
      </c>
    </row>
    <row r="3812" spans="1:25">
      <c r="A3812" t="s">
        <v>12848</v>
      </c>
      <c r="B3812" t="s">
        <v>12849</v>
      </c>
      <c r="D3812" t="s">
        <v>40</v>
      </c>
      <c r="E3812" t="s">
        <v>41</v>
      </c>
      <c r="J3812" t="s">
        <v>76</v>
      </c>
      <c r="K3812" t="s">
        <v>77</v>
      </c>
      <c r="L3812">
        <v>10</v>
      </c>
      <c r="M3812" t="s">
        <v>12840</v>
      </c>
      <c r="N3812" t="s">
        <v>64</v>
      </c>
      <c r="O3812" t="s">
        <v>46</v>
      </c>
      <c r="P3812" t="s">
        <v>46</v>
      </c>
      <c r="Y3812" t="s">
        <v>12850</v>
      </c>
    </row>
    <row r="3813" spans="1:25">
      <c r="A3813" t="s">
        <v>12851</v>
      </c>
      <c r="B3813" t="s">
        <v>12852</v>
      </c>
      <c r="D3813" t="s">
        <v>40</v>
      </c>
      <c r="E3813" t="s">
        <v>41</v>
      </c>
      <c r="J3813" t="s">
        <v>68</v>
      </c>
      <c r="K3813" t="s">
        <v>69</v>
      </c>
      <c r="L3813">
        <v>10</v>
      </c>
      <c r="M3813" t="s">
        <v>12853</v>
      </c>
      <c r="N3813" t="s">
        <v>64</v>
      </c>
      <c r="O3813" t="s">
        <v>46</v>
      </c>
      <c r="P3813" t="s">
        <v>46</v>
      </c>
      <c r="Y3813" t="s">
        <v>12854</v>
      </c>
    </row>
    <row r="3814" spans="1:25">
      <c r="A3814" t="s">
        <v>12855</v>
      </c>
      <c r="B3814" t="s">
        <v>12856</v>
      </c>
      <c r="D3814" t="s">
        <v>40</v>
      </c>
      <c r="E3814" t="s">
        <v>41</v>
      </c>
      <c r="J3814" t="s">
        <v>182</v>
      </c>
      <c r="K3814" t="s">
        <v>183</v>
      </c>
      <c r="L3814">
        <v>10</v>
      </c>
      <c r="M3814" t="s">
        <v>12857</v>
      </c>
      <c r="N3814" t="s">
        <v>64</v>
      </c>
      <c r="O3814" t="s">
        <v>46</v>
      </c>
      <c r="P3814" t="s">
        <v>46</v>
      </c>
      <c r="Y3814" t="s">
        <v>12858</v>
      </c>
    </row>
    <row r="3815" spans="1:25">
      <c r="A3815" t="s">
        <v>12859</v>
      </c>
      <c r="B3815" t="s">
        <v>12860</v>
      </c>
      <c r="D3815" t="s">
        <v>40</v>
      </c>
      <c r="E3815" t="s">
        <v>41</v>
      </c>
      <c r="J3815" t="s">
        <v>182</v>
      </c>
      <c r="K3815" t="s">
        <v>183</v>
      </c>
      <c r="L3815">
        <v>10</v>
      </c>
      <c r="M3815" t="s">
        <v>12861</v>
      </c>
      <c r="N3815" t="s">
        <v>64</v>
      </c>
      <c r="O3815" t="s">
        <v>46</v>
      </c>
      <c r="P3815" t="s">
        <v>46</v>
      </c>
      <c r="Y3815" t="s">
        <v>12862</v>
      </c>
    </row>
    <row r="3816" spans="1:25">
      <c r="A3816" t="s">
        <v>12863</v>
      </c>
      <c r="B3816" t="s">
        <v>12864</v>
      </c>
      <c r="D3816" t="s">
        <v>40</v>
      </c>
      <c r="E3816" t="s">
        <v>41</v>
      </c>
      <c r="J3816" t="s">
        <v>182</v>
      </c>
      <c r="K3816" t="s">
        <v>183</v>
      </c>
      <c r="L3816">
        <v>10</v>
      </c>
      <c r="M3816" t="s">
        <v>12861</v>
      </c>
      <c r="N3816" t="s">
        <v>64</v>
      </c>
      <c r="O3816" t="s">
        <v>46</v>
      </c>
      <c r="P3816" t="s">
        <v>46</v>
      </c>
      <c r="Y3816" t="s">
        <v>12865</v>
      </c>
    </row>
    <row r="3817" spans="1:25">
      <c r="A3817" t="s">
        <v>12866</v>
      </c>
      <c r="B3817" t="s">
        <v>12867</v>
      </c>
      <c r="D3817" t="s">
        <v>40</v>
      </c>
      <c r="E3817" t="s">
        <v>41</v>
      </c>
      <c r="J3817" t="s">
        <v>76</v>
      </c>
      <c r="K3817" t="s">
        <v>77</v>
      </c>
      <c r="L3817">
        <v>10</v>
      </c>
      <c r="M3817" t="s">
        <v>12861</v>
      </c>
      <c r="N3817" t="s">
        <v>64</v>
      </c>
      <c r="O3817" t="s">
        <v>46</v>
      </c>
      <c r="P3817" t="s">
        <v>46</v>
      </c>
      <c r="Y3817" t="s">
        <v>12868</v>
      </c>
    </row>
    <row r="3818" spans="1:25">
      <c r="A3818" t="s">
        <v>12869</v>
      </c>
      <c r="B3818" t="s">
        <v>12870</v>
      </c>
      <c r="D3818" t="s">
        <v>40</v>
      </c>
      <c r="E3818" t="s">
        <v>41</v>
      </c>
      <c r="J3818" t="s">
        <v>68</v>
      </c>
      <c r="K3818" t="s">
        <v>69</v>
      </c>
      <c r="L3818">
        <v>10</v>
      </c>
      <c r="M3818" t="s">
        <v>12861</v>
      </c>
      <c r="N3818" t="s">
        <v>64</v>
      </c>
      <c r="O3818" t="s">
        <v>46</v>
      </c>
      <c r="P3818" t="s">
        <v>46</v>
      </c>
      <c r="Y3818" t="s">
        <v>12871</v>
      </c>
    </row>
    <row r="3819" spans="1:25">
      <c r="A3819" t="s">
        <v>12872</v>
      </c>
      <c r="B3819" t="s">
        <v>12873</v>
      </c>
      <c r="D3819" t="s">
        <v>40</v>
      </c>
      <c r="E3819" t="s">
        <v>41</v>
      </c>
      <c r="J3819" t="s">
        <v>182</v>
      </c>
      <c r="K3819" t="s">
        <v>183</v>
      </c>
      <c r="L3819">
        <v>10</v>
      </c>
      <c r="M3819" t="s">
        <v>12874</v>
      </c>
      <c r="N3819" t="s">
        <v>64</v>
      </c>
      <c r="O3819" t="s">
        <v>46</v>
      </c>
      <c r="P3819" t="s">
        <v>46</v>
      </c>
      <c r="Y3819" t="s">
        <v>12875</v>
      </c>
    </row>
    <row r="3820" spans="1:25">
      <c r="A3820" t="s">
        <v>12876</v>
      </c>
      <c r="B3820" t="s">
        <v>12877</v>
      </c>
      <c r="D3820" t="s">
        <v>40</v>
      </c>
      <c r="E3820" t="s">
        <v>41</v>
      </c>
      <c r="J3820" t="s">
        <v>182</v>
      </c>
      <c r="K3820" t="s">
        <v>183</v>
      </c>
      <c r="L3820">
        <v>10</v>
      </c>
      <c r="M3820" t="s">
        <v>12874</v>
      </c>
      <c r="N3820" t="s">
        <v>64</v>
      </c>
      <c r="O3820" t="s">
        <v>46</v>
      </c>
      <c r="P3820" t="s">
        <v>46</v>
      </c>
      <c r="Y3820" t="s">
        <v>12878</v>
      </c>
    </row>
    <row r="3821" spans="1:25">
      <c r="A3821" t="s">
        <v>12879</v>
      </c>
      <c r="B3821" t="s">
        <v>12880</v>
      </c>
      <c r="D3821" t="s">
        <v>40</v>
      </c>
      <c r="E3821" t="s">
        <v>41</v>
      </c>
      <c r="J3821" t="s">
        <v>248</v>
      </c>
      <c r="K3821" t="s">
        <v>249</v>
      </c>
      <c r="L3821">
        <v>10</v>
      </c>
      <c r="M3821" t="s">
        <v>12874</v>
      </c>
      <c r="N3821" t="s">
        <v>1369</v>
      </c>
      <c r="O3821" t="s">
        <v>46</v>
      </c>
      <c r="P3821" t="s">
        <v>46</v>
      </c>
      <c r="Y3821" t="s">
        <v>12881</v>
      </c>
    </row>
    <row r="3822" spans="1:25">
      <c r="A3822" t="s">
        <v>12882</v>
      </c>
      <c r="B3822" t="s">
        <v>12883</v>
      </c>
      <c r="D3822" t="s">
        <v>40</v>
      </c>
      <c r="E3822" t="s">
        <v>41</v>
      </c>
      <c r="J3822" t="s">
        <v>182</v>
      </c>
      <c r="K3822" t="s">
        <v>183</v>
      </c>
      <c r="L3822">
        <v>10</v>
      </c>
      <c r="M3822" t="s">
        <v>12884</v>
      </c>
      <c r="N3822" t="s">
        <v>64</v>
      </c>
      <c r="O3822" t="s">
        <v>46</v>
      </c>
      <c r="P3822" t="s">
        <v>46</v>
      </c>
      <c r="Y3822" t="s">
        <v>12885</v>
      </c>
    </row>
    <row r="3823" spans="1:25">
      <c r="A3823" t="s">
        <v>12886</v>
      </c>
      <c r="B3823" t="s">
        <v>12887</v>
      </c>
      <c r="D3823" t="s">
        <v>40</v>
      </c>
      <c r="E3823" t="s">
        <v>41</v>
      </c>
      <c r="J3823" t="s">
        <v>182</v>
      </c>
      <c r="K3823" t="s">
        <v>183</v>
      </c>
      <c r="L3823">
        <v>10</v>
      </c>
      <c r="M3823" t="s">
        <v>12884</v>
      </c>
      <c r="N3823" t="s">
        <v>64</v>
      </c>
      <c r="O3823" t="s">
        <v>46</v>
      </c>
      <c r="P3823" t="s">
        <v>46</v>
      </c>
      <c r="Y3823" t="s">
        <v>12888</v>
      </c>
    </row>
    <row r="3824" spans="1:25">
      <c r="A3824" t="s">
        <v>12889</v>
      </c>
      <c r="B3824" t="s">
        <v>12890</v>
      </c>
      <c r="D3824" t="s">
        <v>40</v>
      </c>
      <c r="E3824" t="s">
        <v>41</v>
      </c>
      <c r="J3824" t="s">
        <v>68</v>
      </c>
      <c r="K3824" t="s">
        <v>69</v>
      </c>
      <c r="L3824">
        <v>10</v>
      </c>
      <c r="M3824" t="s">
        <v>12884</v>
      </c>
      <c r="N3824" t="s">
        <v>64</v>
      </c>
      <c r="O3824" t="s">
        <v>46</v>
      </c>
      <c r="P3824" t="s">
        <v>46</v>
      </c>
      <c r="Y3824" t="s">
        <v>12891</v>
      </c>
    </row>
    <row r="3825" spans="1:25">
      <c r="A3825" t="s">
        <v>12892</v>
      </c>
      <c r="B3825" t="s">
        <v>12893</v>
      </c>
      <c r="D3825" t="s">
        <v>40</v>
      </c>
      <c r="E3825" t="s">
        <v>41</v>
      </c>
      <c r="J3825" t="s">
        <v>182</v>
      </c>
      <c r="K3825" t="s">
        <v>183</v>
      </c>
      <c r="L3825">
        <v>10</v>
      </c>
      <c r="M3825" t="s">
        <v>12884</v>
      </c>
      <c r="N3825" t="s">
        <v>64</v>
      </c>
      <c r="O3825" t="s">
        <v>46</v>
      </c>
      <c r="P3825" t="s">
        <v>46</v>
      </c>
      <c r="Y3825" t="s">
        <v>12894</v>
      </c>
    </row>
    <row r="3826" spans="1:25">
      <c r="A3826" t="s">
        <v>12895</v>
      </c>
      <c r="B3826" t="s">
        <v>12896</v>
      </c>
      <c r="D3826" t="s">
        <v>40</v>
      </c>
      <c r="E3826" t="s">
        <v>41</v>
      </c>
      <c r="J3826" t="s">
        <v>42</v>
      </c>
      <c r="K3826" t="s">
        <v>43</v>
      </c>
      <c r="L3826">
        <v>10</v>
      </c>
      <c r="M3826" t="s">
        <v>12897</v>
      </c>
      <c r="N3826" t="s">
        <v>1397</v>
      </c>
      <c r="O3826" t="s">
        <v>46</v>
      </c>
      <c r="P3826" t="s">
        <v>46</v>
      </c>
      <c r="Y3826" t="s">
        <v>12898</v>
      </c>
    </row>
    <row r="3827" spans="1:25">
      <c r="A3827" t="s">
        <v>12899</v>
      </c>
      <c r="B3827" t="s">
        <v>12900</v>
      </c>
      <c r="D3827" t="s">
        <v>40</v>
      </c>
      <c r="E3827" t="s">
        <v>41</v>
      </c>
      <c r="J3827" t="s">
        <v>68</v>
      </c>
      <c r="K3827" t="s">
        <v>69</v>
      </c>
      <c r="L3827">
        <v>10</v>
      </c>
      <c r="M3827" t="s">
        <v>12897</v>
      </c>
      <c r="N3827" t="s">
        <v>64</v>
      </c>
      <c r="O3827" t="s">
        <v>46</v>
      </c>
      <c r="P3827" t="s">
        <v>46</v>
      </c>
      <c r="Y3827" t="s">
        <v>12901</v>
      </c>
    </row>
    <row r="3828" spans="1:25">
      <c r="A3828" t="s">
        <v>12902</v>
      </c>
      <c r="B3828" t="s">
        <v>12903</v>
      </c>
      <c r="D3828" t="s">
        <v>40</v>
      </c>
      <c r="E3828" t="s">
        <v>41</v>
      </c>
      <c r="J3828" t="s">
        <v>76</v>
      </c>
      <c r="K3828" t="s">
        <v>77</v>
      </c>
      <c r="L3828">
        <v>10</v>
      </c>
      <c r="M3828" t="s">
        <v>12897</v>
      </c>
      <c r="N3828" t="s">
        <v>64</v>
      </c>
      <c r="O3828" t="s">
        <v>46</v>
      </c>
      <c r="P3828" t="s">
        <v>46</v>
      </c>
      <c r="Y3828" t="s">
        <v>12904</v>
      </c>
    </row>
    <row r="3829" spans="1:25">
      <c r="A3829" t="s">
        <v>12905</v>
      </c>
      <c r="B3829" t="s">
        <v>12906</v>
      </c>
      <c r="D3829" t="s">
        <v>40</v>
      </c>
      <c r="E3829" t="s">
        <v>41</v>
      </c>
      <c r="J3829" t="s">
        <v>68</v>
      </c>
      <c r="K3829" t="s">
        <v>69</v>
      </c>
      <c r="L3829">
        <v>10</v>
      </c>
      <c r="M3829" t="s">
        <v>12897</v>
      </c>
      <c r="N3829" t="s">
        <v>64</v>
      </c>
      <c r="O3829" t="s">
        <v>46</v>
      </c>
      <c r="P3829" t="s">
        <v>46</v>
      </c>
      <c r="Y3829" t="s">
        <v>12907</v>
      </c>
    </row>
    <row r="3830" spans="1:25">
      <c r="A3830" t="s">
        <v>12908</v>
      </c>
      <c r="B3830" t="s">
        <v>12909</v>
      </c>
      <c r="D3830" t="s">
        <v>40</v>
      </c>
      <c r="E3830" t="s">
        <v>41</v>
      </c>
      <c r="J3830" t="s">
        <v>76</v>
      </c>
      <c r="K3830" t="s">
        <v>77</v>
      </c>
      <c r="L3830">
        <v>10</v>
      </c>
      <c r="M3830" t="s">
        <v>12910</v>
      </c>
      <c r="N3830" t="s">
        <v>64</v>
      </c>
      <c r="O3830" t="s">
        <v>46</v>
      </c>
      <c r="P3830" t="s">
        <v>46</v>
      </c>
      <c r="Y3830" t="s">
        <v>12911</v>
      </c>
    </row>
    <row r="3831" spans="1:25">
      <c r="A3831" t="s">
        <v>12912</v>
      </c>
      <c r="B3831" t="s">
        <v>12913</v>
      </c>
      <c r="D3831" t="s">
        <v>40</v>
      </c>
      <c r="E3831" t="s">
        <v>41</v>
      </c>
      <c r="J3831" t="s">
        <v>182</v>
      </c>
      <c r="K3831" t="s">
        <v>183</v>
      </c>
      <c r="L3831">
        <v>10</v>
      </c>
      <c r="M3831" t="s">
        <v>12910</v>
      </c>
      <c r="N3831" t="s">
        <v>64</v>
      </c>
      <c r="O3831" t="s">
        <v>46</v>
      </c>
      <c r="P3831" t="s">
        <v>46</v>
      </c>
      <c r="Y3831" t="s">
        <v>12914</v>
      </c>
    </row>
    <row r="3832" spans="1:25">
      <c r="A3832" t="s">
        <v>12915</v>
      </c>
      <c r="B3832" t="s">
        <v>12916</v>
      </c>
      <c r="D3832" t="s">
        <v>40</v>
      </c>
      <c r="E3832" t="s">
        <v>41</v>
      </c>
      <c r="J3832" t="s">
        <v>76</v>
      </c>
      <c r="K3832" t="s">
        <v>77</v>
      </c>
      <c r="L3832">
        <v>10</v>
      </c>
      <c r="M3832" t="s">
        <v>12917</v>
      </c>
      <c r="N3832" t="s">
        <v>64</v>
      </c>
      <c r="O3832" t="s">
        <v>46</v>
      </c>
      <c r="P3832" t="s">
        <v>46</v>
      </c>
      <c r="Y3832" t="s">
        <v>12918</v>
      </c>
    </row>
    <row r="3833" spans="1:25">
      <c r="A3833" t="s">
        <v>12919</v>
      </c>
      <c r="B3833" t="s">
        <v>12920</v>
      </c>
      <c r="D3833" t="s">
        <v>40</v>
      </c>
      <c r="E3833" t="s">
        <v>41</v>
      </c>
      <c r="J3833" t="s">
        <v>182</v>
      </c>
      <c r="K3833" t="s">
        <v>183</v>
      </c>
      <c r="L3833">
        <v>10</v>
      </c>
      <c r="M3833" t="s">
        <v>12917</v>
      </c>
      <c r="N3833" t="s">
        <v>64</v>
      </c>
      <c r="O3833" t="s">
        <v>46</v>
      </c>
      <c r="P3833" t="s">
        <v>46</v>
      </c>
      <c r="Y3833" t="s">
        <v>12921</v>
      </c>
    </row>
    <row r="3834" spans="1:25">
      <c r="A3834" t="s">
        <v>12922</v>
      </c>
      <c r="B3834" t="s">
        <v>12923</v>
      </c>
      <c r="D3834" t="s">
        <v>40</v>
      </c>
      <c r="E3834" t="s">
        <v>41</v>
      </c>
      <c r="J3834" t="s">
        <v>182</v>
      </c>
      <c r="K3834" t="s">
        <v>183</v>
      </c>
      <c r="L3834">
        <v>10</v>
      </c>
      <c r="M3834" t="s">
        <v>12917</v>
      </c>
      <c r="N3834" t="s">
        <v>64</v>
      </c>
      <c r="O3834" t="s">
        <v>46</v>
      </c>
      <c r="P3834" t="s">
        <v>46</v>
      </c>
      <c r="Y3834" t="s">
        <v>12924</v>
      </c>
    </row>
    <row r="3835" spans="1:25">
      <c r="A3835" t="s">
        <v>12925</v>
      </c>
      <c r="B3835" t="s">
        <v>12926</v>
      </c>
      <c r="D3835" t="s">
        <v>40</v>
      </c>
      <c r="E3835" t="s">
        <v>41</v>
      </c>
      <c r="J3835" t="s">
        <v>182</v>
      </c>
      <c r="K3835" t="s">
        <v>183</v>
      </c>
      <c r="L3835">
        <v>10</v>
      </c>
      <c r="M3835" t="s">
        <v>12917</v>
      </c>
      <c r="N3835" t="s">
        <v>64</v>
      </c>
      <c r="O3835" t="s">
        <v>46</v>
      </c>
      <c r="P3835" t="s">
        <v>46</v>
      </c>
      <c r="Y3835" t="s">
        <v>12927</v>
      </c>
    </row>
    <row r="3836" spans="1:25">
      <c r="A3836" t="s">
        <v>12928</v>
      </c>
      <c r="B3836" t="s">
        <v>12929</v>
      </c>
      <c r="D3836" t="s">
        <v>40</v>
      </c>
      <c r="E3836" t="s">
        <v>41</v>
      </c>
      <c r="J3836" t="s">
        <v>182</v>
      </c>
      <c r="K3836" t="s">
        <v>183</v>
      </c>
      <c r="L3836">
        <v>10</v>
      </c>
      <c r="M3836" t="s">
        <v>12917</v>
      </c>
      <c r="N3836" t="s">
        <v>64</v>
      </c>
      <c r="O3836" t="s">
        <v>46</v>
      </c>
      <c r="P3836" t="s">
        <v>46</v>
      </c>
      <c r="Y3836" t="s">
        <v>12930</v>
      </c>
    </row>
    <row r="3837" spans="1:25">
      <c r="A3837" t="s">
        <v>12931</v>
      </c>
      <c r="B3837" t="s">
        <v>12932</v>
      </c>
      <c r="D3837" t="s">
        <v>40</v>
      </c>
      <c r="E3837" t="s">
        <v>41</v>
      </c>
      <c r="J3837" t="s">
        <v>76</v>
      </c>
      <c r="K3837" t="s">
        <v>77</v>
      </c>
      <c r="L3837">
        <v>10</v>
      </c>
      <c r="M3837" t="s">
        <v>12917</v>
      </c>
      <c r="N3837" t="s">
        <v>64</v>
      </c>
      <c r="O3837" t="s">
        <v>46</v>
      </c>
      <c r="P3837" t="s">
        <v>46</v>
      </c>
      <c r="Y3837" t="s">
        <v>12933</v>
      </c>
    </row>
    <row r="3838" spans="1:25">
      <c r="A3838" t="s">
        <v>12934</v>
      </c>
      <c r="B3838" t="s">
        <v>12935</v>
      </c>
      <c r="D3838" t="s">
        <v>40</v>
      </c>
      <c r="E3838" t="s">
        <v>41</v>
      </c>
      <c r="J3838" t="s">
        <v>182</v>
      </c>
      <c r="K3838" t="s">
        <v>183</v>
      </c>
      <c r="L3838">
        <v>10</v>
      </c>
      <c r="M3838" t="s">
        <v>12936</v>
      </c>
      <c r="N3838" t="s">
        <v>64</v>
      </c>
      <c r="O3838" t="s">
        <v>46</v>
      </c>
      <c r="P3838" t="s">
        <v>46</v>
      </c>
      <c r="Y3838" t="s">
        <v>12937</v>
      </c>
    </row>
    <row r="3839" spans="1:25">
      <c r="A3839" t="s">
        <v>12938</v>
      </c>
      <c r="B3839" t="s">
        <v>12939</v>
      </c>
      <c r="D3839" t="s">
        <v>40</v>
      </c>
      <c r="E3839" t="s">
        <v>41</v>
      </c>
      <c r="J3839" t="s">
        <v>76</v>
      </c>
      <c r="K3839" t="s">
        <v>77</v>
      </c>
      <c r="L3839">
        <v>10</v>
      </c>
      <c r="M3839" t="s">
        <v>12936</v>
      </c>
      <c r="N3839" t="s">
        <v>64</v>
      </c>
      <c r="O3839" t="s">
        <v>46</v>
      </c>
      <c r="P3839" t="s">
        <v>46</v>
      </c>
      <c r="Y3839" t="s">
        <v>12940</v>
      </c>
    </row>
    <row r="3840" spans="1:25">
      <c r="A3840" t="s">
        <v>12941</v>
      </c>
      <c r="B3840" t="s">
        <v>12942</v>
      </c>
      <c r="D3840" t="s">
        <v>40</v>
      </c>
      <c r="E3840" t="s">
        <v>41</v>
      </c>
      <c r="J3840" t="s">
        <v>182</v>
      </c>
      <c r="K3840" t="s">
        <v>183</v>
      </c>
      <c r="L3840">
        <v>10</v>
      </c>
      <c r="M3840" t="s">
        <v>12936</v>
      </c>
      <c r="N3840" t="s">
        <v>64</v>
      </c>
      <c r="O3840" t="s">
        <v>46</v>
      </c>
      <c r="P3840" t="s">
        <v>46</v>
      </c>
      <c r="Y3840" t="s">
        <v>12943</v>
      </c>
    </row>
    <row r="3841" spans="1:25">
      <c r="A3841" t="s">
        <v>12944</v>
      </c>
      <c r="B3841" t="s">
        <v>12945</v>
      </c>
      <c r="D3841" t="s">
        <v>40</v>
      </c>
      <c r="E3841" t="s">
        <v>41</v>
      </c>
      <c r="J3841" t="s">
        <v>42</v>
      </c>
      <c r="K3841" t="s">
        <v>43</v>
      </c>
      <c r="L3841">
        <v>10</v>
      </c>
      <c r="M3841" t="s">
        <v>12936</v>
      </c>
      <c r="N3841" t="s">
        <v>58</v>
      </c>
      <c r="O3841" t="s">
        <v>46</v>
      </c>
      <c r="P3841" t="s">
        <v>46</v>
      </c>
      <c r="Y3841" t="s">
        <v>12946</v>
      </c>
    </row>
    <row r="3842" spans="1:25">
      <c r="A3842" t="s">
        <v>12947</v>
      </c>
      <c r="B3842" t="s">
        <v>12948</v>
      </c>
      <c r="D3842" t="s">
        <v>40</v>
      </c>
      <c r="E3842" t="s">
        <v>41</v>
      </c>
      <c r="J3842" t="s">
        <v>182</v>
      </c>
      <c r="K3842" t="s">
        <v>183</v>
      </c>
      <c r="L3842">
        <v>10</v>
      </c>
      <c r="M3842" t="s">
        <v>12936</v>
      </c>
      <c r="N3842" t="s">
        <v>64</v>
      </c>
      <c r="O3842" t="s">
        <v>46</v>
      </c>
      <c r="P3842" t="s">
        <v>46</v>
      </c>
      <c r="Y3842" t="s">
        <v>12949</v>
      </c>
    </row>
    <row r="3843" spans="1:25">
      <c r="A3843" t="s">
        <v>12950</v>
      </c>
      <c r="B3843" t="s">
        <v>12951</v>
      </c>
      <c r="D3843" t="s">
        <v>40</v>
      </c>
      <c r="E3843" t="s">
        <v>41</v>
      </c>
      <c r="J3843" t="s">
        <v>76</v>
      </c>
      <c r="K3843" t="s">
        <v>77</v>
      </c>
      <c r="L3843">
        <v>10</v>
      </c>
      <c r="M3843" t="s">
        <v>12952</v>
      </c>
      <c r="N3843" t="s">
        <v>64</v>
      </c>
      <c r="O3843" t="s">
        <v>46</v>
      </c>
      <c r="P3843" t="s">
        <v>46</v>
      </c>
      <c r="Y3843" t="s">
        <v>12953</v>
      </c>
    </row>
    <row r="3844" spans="1:25">
      <c r="A3844" t="s">
        <v>12954</v>
      </c>
      <c r="B3844" t="s">
        <v>12955</v>
      </c>
      <c r="D3844" t="s">
        <v>40</v>
      </c>
      <c r="E3844" t="s">
        <v>41</v>
      </c>
      <c r="J3844" t="s">
        <v>182</v>
      </c>
      <c r="K3844" t="s">
        <v>183</v>
      </c>
      <c r="L3844">
        <v>10</v>
      </c>
      <c r="M3844" t="s">
        <v>12956</v>
      </c>
      <c r="N3844" t="s">
        <v>64</v>
      </c>
      <c r="O3844" t="s">
        <v>46</v>
      </c>
      <c r="P3844" t="s">
        <v>46</v>
      </c>
      <c r="Y3844" t="s">
        <v>12957</v>
      </c>
    </row>
    <row r="3845" spans="1:25">
      <c r="A3845" t="s">
        <v>12958</v>
      </c>
      <c r="B3845" t="s">
        <v>12959</v>
      </c>
      <c r="D3845" t="s">
        <v>40</v>
      </c>
      <c r="E3845" t="s">
        <v>41</v>
      </c>
      <c r="J3845" t="s">
        <v>68</v>
      </c>
      <c r="K3845" t="s">
        <v>69</v>
      </c>
      <c r="L3845">
        <v>10</v>
      </c>
      <c r="M3845" t="s">
        <v>12956</v>
      </c>
      <c r="N3845" t="s">
        <v>64</v>
      </c>
      <c r="O3845" t="s">
        <v>46</v>
      </c>
      <c r="P3845" t="s">
        <v>46</v>
      </c>
      <c r="Y3845" t="s">
        <v>12960</v>
      </c>
    </row>
    <row r="3846" spans="1:25">
      <c r="A3846" t="s">
        <v>12961</v>
      </c>
      <c r="B3846" t="s">
        <v>12962</v>
      </c>
      <c r="D3846" t="s">
        <v>40</v>
      </c>
      <c r="E3846" t="s">
        <v>41</v>
      </c>
      <c r="J3846" t="s">
        <v>182</v>
      </c>
      <c r="K3846" t="s">
        <v>183</v>
      </c>
      <c r="L3846">
        <v>10</v>
      </c>
      <c r="M3846" t="s">
        <v>12963</v>
      </c>
      <c r="N3846" t="s">
        <v>64</v>
      </c>
      <c r="O3846" t="s">
        <v>46</v>
      </c>
      <c r="P3846" t="s">
        <v>46</v>
      </c>
      <c r="Y3846" t="s">
        <v>12964</v>
      </c>
    </row>
    <row r="3847" spans="1:25">
      <c r="A3847" t="s">
        <v>12965</v>
      </c>
      <c r="B3847" t="s">
        <v>12966</v>
      </c>
      <c r="D3847" t="s">
        <v>40</v>
      </c>
      <c r="E3847" t="s">
        <v>41</v>
      </c>
      <c r="J3847" t="s">
        <v>76</v>
      </c>
      <c r="K3847" t="s">
        <v>77</v>
      </c>
      <c r="L3847">
        <v>10</v>
      </c>
      <c r="M3847" t="s">
        <v>12963</v>
      </c>
      <c r="N3847" t="s">
        <v>64</v>
      </c>
      <c r="O3847" t="s">
        <v>46</v>
      </c>
      <c r="P3847" t="s">
        <v>46</v>
      </c>
      <c r="Y3847" t="s">
        <v>12967</v>
      </c>
    </row>
    <row r="3848" spans="1:25">
      <c r="A3848" t="s">
        <v>12968</v>
      </c>
      <c r="B3848" t="s">
        <v>12969</v>
      </c>
      <c r="D3848" t="s">
        <v>40</v>
      </c>
      <c r="E3848" t="s">
        <v>41</v>
      </c>
      <c r="J3848" t="s">
        <v>76</v>
      </c>
      <c r="K3848" t="s">
        <v>77</v>
      </c>
      <c r="L3848">
        <v>10</v>
      </c>
      <c r="M3848" t="s">
        <v>12970</v>
      </c>
      <c r="N3848" t="s">
        <v>64</v>
      </c>
      <c r="O3848" t="s">
        <v>46</v>
      </c>
      <c r="P3848" t="s">
        <v>46</v>
      </c>
      <c r="Y3848" t="s">
        <v>12971</v>
      </c>
    </row>
    <row r="3849" spans="1:25">
      <c r="A3849" t="s">
        <v>12972</v>
      </c>
      <c r="B3849" t="s">
        <v>12973</v>
      </c>
      <c r="D3849" t="s">
        <v>40</v>
      </c>
      <c r="E3849" t="s">
        <v>41</v>
      </c>
      <c r="J3849" t="s">
        <v>182</v>
      </c>
      <c r="K3849" t="s">
        <v>183</v>
      </c>
      <c r="L3849">
        <v>10</v>
      </c>
      <c r="M3849" t="s">
        <v>12970</v>
      </c>
      <c r="N3849" t="s">
        <v>64</v>
      </c>
      <c r="O3849" t="s">
        <v>46</v>
      </c>
      <c r="P3849" t="s">
        <v>46</v>
      </c>
      <c r="Y3849" t="s">
        <v>12974</v>
      </c>
    </row>
    <row r="3850" spans="1:25">
      <c r="A3850" t="s">
        <v>12975</v>
      </c>
      <c r="B3850" t="s">
        <v>12976</v>
      </c>
      <c r="D3850" t="s">
        <v>40</v>
      </c>
      <c r="E3850" t="s">
        <v>41</v>
      </c>
      <c r="J3850" t="s">
        <v>68</v>
      </c>
      <c r="K3850" t="s">
        <v>69</v>
      </c>
      <c r="L3850">
        <v>10</v>
      </c>
      <c r="M3850" t="s">
        <v>12970</v>
      </c>
      <c r="N3850" t="s">
        <v>64</v>
      </c>
      <c r="O3850" t="s">
        <v>46</v>
      </c>
      <c r="P3850" t="s">
        <v>46</v>
      </c>
      <c r="Y3850" t="s">
        <v>12977</v>
      </c>
    </row>
    <row r="3851" spans="1:25">
      <c r="A3851" t="s">
        <v>12978</v>
      </c>
      <c r="B3851" t="s">
        <v>12979</v>
      </c>
      <c r="D3851" t="s">
        <v>40</v>
      </c>
      <c r="E3851" t="s">
        <v>41</v>
      </c>
      <c r="J3851" t="s">
        <v>182</v>
      </c>
      <c r="K3851" t="s">
        <v>183</v>
      </c>
      <c r="L3851">
        <v>10</v>
      </c>
      <c r="M3851" t="s">
        <v>12970</v>
      </c>
      <c r="N3851" t="s">
        <v>64</v>
      </c>
      <c r="O3851" t="s">
        <v>46</v>
      </c>
      <c r="P3851" t="s">
        <v>46</v>
      </c>
      <c r="Y3851" t="s">
        <v>12980</v>
      </c>
    </row>
    <row r="3852" spans="1:25">
      <c r="A3852" t="s">
        <v>12981</v>
      </c>
      <c r="B3852" t="s">
        <v>12982</v>
      </c>
      <c r="D3852" t="s">
        <v>40</v>
      </c>
      <c r="E3852" t="s">
        <v>41</v>
      </c>
      <c r="J3852" t="s">
        <v>68</v>
      </c>
      <c r="K3852" t="s">
        <v>69</v>
      </c>
      <c r="L3852">
        <v>10</v>
      </c>
      <c r="M3852" t="s">
        <v>12970</v>
      </c>
      <c r="N3852" t="s">
        <v>64</v>
      </c>
      <c r="O3852" t="s">
        <v>46</v>
      </c>
      <c r="P3852" t="s">
        <v>46</v>
      </c>
      <c r="Y3852" t="s">
        <v>12983</v>
      </c>
    </row>
    <row r="3853" spans="1:25">
      <c r="A3853" t="s">
        <v>12984</v>
      </c>
      <c r="B3853" t="s">
        <v>12985</v>
      </c>
      <c r="D3853" t="s">
        <v>40</v>
      </c>
      <c r="E3853" t="s">
        <v>41</v>
      </c>
      <c r="J3853" t="s">
        <v>42</v>
      </c>
      <c r="K3853" t="s">
        <v>43</v>
      </c>
      <c r="L3853">
        <v>10</v>
      </c>
      <c r="M3853" t="s">
        <v>12970</v>
      </c>
      <c r="N3853" t="s">
        <v>350</v>
      </c>
      <c r="O3853" t="s">
        <v>46</v>
      </c>
      <c r="P3853" t="s">
        <v>46</v>
      </c>
      <c r="Y3853" t="s">
        <v>12986</v>
      </c>
    </row>
    <row r="3854" spans="1:25">
      <c r="A3854" t="s">
        <v>12987</v>
      </c>
      <c r="B3854" t="s">
        <v>12988</v>
      </c>
      <c r="D3854" t="s">
        <v>40</v>
      </c>
      <c r="E3854" t="s">
        <v>41</v>
      </c>
      <c r="J3854" t="s">
        <v>68</v>
      </c>
      <c r="K3854" t="s">
        <v>69</v>
      </c>
      <c r="L3854">
        <v>10</v>
      </c>
      <c r="M3854" t="s">
        <v>12970</v>
      </c>
      <c r="N3854" t="s">
        <v>64</v>
      </c>
      <c r="O3854" t="s">
        <v>46</v>
      </c>
      <c r="P3854" t="s">
        <v>46</v>
      </c>
      <c r="Y3854" t="s">
        <v>12989</v>
      </c>
    </row>
    <row r="3855" spans="1:25">
      <c r="A3855" t="s">
        <v>12990</v>
      </c>
      <c r="B3855" t="s">
        <v>12991</v>
      </c>
      <c r="D3855" t="s">
        <v>40</v>
      </c>
      <c r="E3855" t="s">
        <v>41</v>
      </c>
      <c r="J3855" t="s">
        <v>76</v>
      </c>
      <c r="K3855" t="s">
        <v>77</v>
      </c>
      <c r="L3855">
        <v>10</v>
      </c>
      <c r="M3855" t="s">
        <v>12970</v>
      </c>
      <c r="N3855" t="s">
        <v>64</v>
      </c>
      <c r="O3855" t="s">
        <v>46</v>
      </c>
      <c r="P3855" t="s">
        <v>46</v>
      </c>
      <c r="Y3855" t="s">
        <v>12992</v>
      </c>
    </row>
    <row r="3856" spans="1:25">
      <c r="A3856" t="s">
        <v>12993</v>
      </c>
      <c r="B3856" t="s">
        <v>12994</v>
      </c>
      <c r="D3856" t="s">
        <v>40</v>
      </c>
      <c r="E3856" t="s">
        <v>41</v>
      </c>
      <c r="J3856" t="s">
        <v>264</v>
      </c>
      <c r="K3856" t="s">
        <v>265</v>
      </c>
      <c r="L3856">
        <v>10</v>
      </c>
      <c r="M3856" t="s">
        <v>12995</v>
      </c>
      <c r="N3856" t="s">
        <v>924</v>
      </c>
      <c r="O3856" t="s">
        <v>46</v>
      </c>
      <c r="P3856" t="s">
        <v>46</v>
      </c>
      <c r="Y3856" t="s">
        <v>12996</v>
      </c>
    </row>
    <row r="3857" spans="1:25">
      <c r="A3857" t="s">
        <v>12997</v>
      </c>
      <c r="B3857" t="s">
        <v>12998</v>
      </c>
      <c r="D3857" t="s">
        <v>40</v>
      </c>
      <c r="E3857" t="s">
        <v>41</v>
      </c>
      <c r="J3857" t="s">
        <v>68</v>
      </c>
      <c r="K3857" t="s">
        <v>69</v>
      </c>
      <c r="L3857">
        <v>10</v>
      </c>
      <c r="M3857" t="s">
        <v>12995</v>
      </c>
      <c r="N3857" t="s">
        <v>64</v>
      </c>
      <c r="O3857" t="s">
        <v>46</v>
      </c>
      <c r="P3857" t="s">
        <v>46</v>
      </c>
      <c r="Y3857" t="s">
        <v>12999</v>
      </c>
    </row>
    <row r="3858" spans="1:25">
      <c r="A3858" t="s">
        <v>13000</v>
      </c>
      <c r="B3858" t="s">
        <v>13001</v>
      </c>
      <c r="D3858" t="s">
        <v>40</v>
      </c>
      <c r="E3858" t="s">
        <v>41</v>
      </c>
      <c r="J3858" t="s">
        <v>264</v>
      </c>
      <c r="K3858" t="s">
        <v>265</v>
      </c>
      <c r="L3858">
        <v>10</v>
      </c>
      <c r="M3858" t="s">
        <v>13002</v>
      </c>
      <c r="N3858" t="s">
        <v>2346</v>
      </c>
      <c r="O3858" t="s">
        <v>46</v>
      </c>
      <c r="P3858" t="s">
        <v>46</v>
      </c>
      <c r="Y3858" t="s">
        <v>13003</v>
      </c>
    </row>
    <row r="3859" spans="1:25">
      <c r="A3859" t="s">
        <v>13004</v>
      </c>
      <c r="B3859" t="s">
        <v>13005</v>
      </c>
      <c r="D3859" t="s">
        <v>40</v>
      </c>
      <c r="E3859" t="s">
        <v>41</v>
      </c>
      <c r="J3859" t="s">
        <v>182</v>
      </c>
      <c r="K3859" t="s">
        <v>183</v>
      </c>
      <c r="L3859">
        <v>10</v>
      </c>
      <c r="M3859" t="s">
        <v>13002</v>
      </c>
      <c r="N3859" t="s">
        <v>64</v>
      </c>
      <c r="O3859" t="s">
        <v>46</v>
      </c>
      <c r="P3859" t="s">
        <v>46</v>
      </c>
      <c r="Y3859" t="s">
        <v>13006</v>
      </c>
    </row>
    <row r="3860" spans="1:25">
      <c r="A3860" t="s">
        <v>13007</v>
      </c>
      <c r="B3860" t="s">
        <v>13008</v>
      </c>
      <c r="D3860" t="s">
        <v>40</v>
      </c>
      <c r="E3860" t="s">
        <v>41</v>
      </c>
      <c r="J3860" t="s">
        <v>182</v>
      </c>
      <c r="K3860" t="s">
        <v>183</v>
      </c>
      <c r="L3860">
        <v>10</v>
      </c>
      <c r="M3860" t="s">
        <v>13009</v>
      </c>
      <c r="N3860" t="s">
        <v>64</v>
      </c>
      <c r="O3860" t="s">
        <v>46</v>
      </c>
      <c r="P3860" t="s">
        <v>46</v>
      </c>
      <c r="Y3860" t="s">
        <v>13010</v>
      </c>
    </row>
    <row r="3861" spans="1:25">
      <c r="A3861" t="s">
        <v>13011</v>
      </c>
      <c r="B3861" t="s">
        <v>13012</v>
      </c>
      <c r="D3861" t="s">
        <v>40</v>
      </c>
      <c r="E3861" t="s">
        <v>41</v>
      </c>
      <c r="J3861" t="s">
        <v>76</v>
      </c>
      <c r="K3861" t="s">
        <v>77</v>
      </c>
      <c r="L3861">
        <v>10</v>
      </c>
      <c r="M3861" t="s">
        <v>13009</v>
      </c>
      <c r="N3861" t="s">
        <v>64</v>
      </c>
      <c r="O3861" t="s">
        <v>46</v>
      </c>
      <c r="P3861" t="s">
        <v>46</v>
      </c>
      <c r="Y3861" t="s">
        <v>13013</v>
      </c>
    </row>
    <row r="3862" spans="1:25">
      <c r="A3862" t="s">
        <v>13014</v>
      </c>
      <c r="B3862" t="s">
        <v>13015</v>
      </c>
      <c r="D3862" t="s">
        <v>40</v>
      </c>
      <c r="E3862" t="s">
        <v>41</v>
      </c>
      <c r="J3862" t="s">
        <v>76</v>
      </c>
      <c r="K3862" t="s">
        <v>77</v>
      </c>
      <c r="L3862">
        <v>10</v>
      </c>
      <c r="M3862" t="s">
        <v>13009</v>
      </c>
      <c r="N3862" t="s">
        <v>64</v>
      </c>
      <c r="O3862" t="s">
        <v>46</v>
      </c>
      <c r="P3862" t="s">
        <v>46</v>
      </c>
      <c r="Y3862" t="s">
        <v>13016</v>
      </c>
    </row>
    <row r="3863" spans="1:25">
      <c r="A3863" t="s">
        <v>13017</v>
      </c>
      <c r="B3863" t="s">
        <v>13018</v>
      </c>
      <c r="D3863" t="s">
        <v>40</v>
      </c>
      <c r="E3863" t="s">
        <v>41</v>
      </c>
      <c r="J3863" t="s">
        <v>921</v>
      </c>
      <c r="K3863" t="s">
        <v>922</v>
      </c>
      <c r="L3863">
        <v>10</v>
      </c>
      <c r="M3863" t="s">
        <v>13019</v>
      </c>
      <c r="N3863" t="s">
        <v>266</v>
      </c>
      <c r="O3863" t="s">
        <v>46</v>
      </c>
      <c r="P3863" t="s">
        <v>46</v>
      </c>
      <c r="Y3863" t="s">
        <v>13020</v>
      </c>
    </row>
    <row r="3864" spans="1:25">
      <c r="A3864" t="s">
        <v>13021</v>
      </c>
      <c r="B3864" t="s">
        <v>13022</v>
      </c>
      <c r="D3864" t="s">
        <v>40</v>
      </c>
      <c r="E3864" t="s">
        <v>41</v>
      </c>
      <c r="J3864" t="s">
        <v>42</v>
      </c>
      <c r="K3864" t="s">
        <v>43</v>
      </c>
      <c r="L3864">
        <v>10</v>
      </c>
      <c r="M3864" t="s">
        <v>13023</v>
      </c>
      <c r="N3864" t="s">
        <v>1024</v>
      </c>
      <c r="O3864" t="s">
        <v>46</v>
      </c>
      <c r="P3864" t="s">
        <v>46</v>
      </c>
      <c r="Y3864" t="s">
        <v>13024</v>
      </c>
    </row>
    <row r="3865" spans="1:25">
      <c r="A3865" t="s">
        <v>13025</v>
      </c>
      <c r="B3865" t="s">
        <v>13026</v>
      </c>
      <c r="D3865" t="s">
        <v>40</v>
      </c>
      <c r="E3865" t="s">
        <v>41</v>
      </c>
      <c r="J3865" t="s">
        <v>182</v>
      </c>
      <c r="K3865" t="s">
        <v>183</v>
      </c>
      <c r="L3865">
        <v>10</v>
      </c>
      <c r="M3865" t="s">
        <v>13027</v>
      </c>
      <c r="N3865" t="s">
        <v>64</v>
      </c>
      <c r="O3865" t="s">
        <v>46</v>
      </c>
      <c r="P3865" t="s">
        <v>46</v>
      </c>
      <c r="Y3865" t="s">
        <v>13028</v>
      </c>
    </row>
    <row r="3866" spans="1:25">
      <c r="A3866" t="s">
        <v>13029</v>
      </c>
      <c r="B3866" t="s">
        <v>13030</v>
      </c>
      <c r="D3866" t="s">
        <v>40</v>
      </c>
      <c r="E3866" t="s">
        <v>41</v>
      </c>
      <c r="J3866" t="s">
        <v>182</v>
      </c>
      <c r="K3866" t="s">
        <v>183</v>
      </c>
      <c r="L3866">
        <v>10</v>
      </c>
      <c r="M3866" t="s">
        <v>13031</v>
      </c>
      <c r="N3866" t="s">
        <v>64</v>
      </c>
      <c r="O3866" t="s">
        <v>46</v>
      </c>
      <c r="P3866" t="s">
        <v>46</v>
      </c>
      <c r="Y3866" t="s">
        <v>13032</v>
      </c>
    </row>
    <row r="3867" spans="1:25">
      <c r="A3867" t="s">
        <v>13033</v>
      </c>
      <c r="B3867" t="s">
        <v>13034</v>
      </c>
      <c r="D3867" t="s">
        <v>40</v>
      </c>
      <c r="E3867" t="s">
        <v>41</v>
      </c>
      <c r="J3867" t="s">
        <v>182</v>
      </c>
      <c r="K3867" t="s">
        <v>183</v>
      </c>
      <c r="L3867">
        <v>10</v>
      </c>
      <c r="M3867" t="s">
        <v>13031</v>
      </c>
      <c r="N3867" t="s">
        <v>64</v>
      </c>
      <c r="O3867" t="s">
        <v>46</v>
      </c>
      <c r="P3867" t="s">
        <v>46</v>
      </c>
      <c r="Y3867" t="s">
        <v>13035</v>
      </c>
    </row>
    <row r="3868" spans="1:25">
      <c r="A3868" t="s">
        <v>13036</v>
      </c>
      <c r="B3868" t="s">
        <v>13037</v>
      </c>
      <c r="D3868" t="s">
        <v>40</v>
      </c>
      <c r="E3868" t="s">
        <v>41</v>
      </c>
      <c r="J3868" t="s">
        <v>42</v>
      </c>
      <c r="K3868" t="s">
        <v>43</v>
      </c>
      <c r="L3868">
        <v>10</v>
      </c>
      <c r="M3868" t="s">
        <v>13031</v>
      </c>
      <c r="N3868" t="s">
        <v>3013</v>
      </c>
      <c r="O3868" t="s">
        <v>46</v>
      </c>
      <c r="P3868" t="s">
        <v>46</v>
      </c>
      <c r="Y3868" t="s">
        <v>13038</v>
      </c>
    </row>
    <row r="3869" spans="1:25">
      <c r="A3869" t="s">
        <v>13039</v>
      </c>
      <c r="B3869" t="s">
        <v>13040</v>
      </c>
      <c r="D3869" t="s">
        <v>40</v>
      </c>
      <c r="E3869" t="s">
        <v>41</v>
      </c>
      <c r="J3869" t="s">
        <v>182</v>
      </c>
      <c r="K3869" t="s">
        <v>183</v>
      </c>
      <c r="L3869">
        <v>10</v>
      </c>
      <c r="M3869" t="s">
        <v>13031</v>
      </c>
      <c r="N3869" t="s">
        <v>64</v>
      </c>
      <c r="O3869" t="s">
        <v>46</v>
      </c>
      <c r="P3869" t="s">
        <v>46</v>
      </c>
      <c r="Y3869" t="s">
        <v>13041</v>
      </c>
    </row>
    <row r="3870" spans="1:25">
      <c r="A3870" t="s">
        <v>13042</v>
      </c>
      <c r="B3870" t="s">
        <v>13043</v>
      </c>
      <c r="D3870" t="s">
        <v>40</v>
      </c>
      <c r="E3870" t="s">
        <v>41</v>
      </c>
      <c r="J3870" t="s">
        <v>182</v>
      </c>
      <c r="K3870" t="s">
        <v>183</v>
      </c>
      <c r="L3870">
        <v>10</v>
      </c>
      <c r="M3870" t="s">
        <v>13031</v>
      </c>
      <c r="N3870" t="s">
        <v>64</v>
      </c>
      <c r="O3870" t="s">
        <v>46</v>
      </c>
      <c r="P3870" t="s">
        <v>46</v>
      </c>
      <c r="Y3870" t="s">
        <v>13044</v>
      </c>
    </row>
    <row r="3871" spans="1:25">
      <c r="A3871" t="s">
        <v>13045</v>
      </c>
      <c r="B3871" t="s">
        <v>13046</v>
      </c>
      <c r="D3871" t="s">
        <v>40</v>
      </c>
      <c r="E3871" t="s">
        <v>41</v>
      </c>
      <c r="J3871" t="s">
        <v>182</v>
      </c>
      <c r="K3871" t="s">
        <v>183</v>
      </c>
      <c r="L3871">
        <v>10</v>
      </c>
      <c r="M3871" t="s">
        <v>13047</v>
      </c>
      <c r="N3871" t="s">
        <v>64</v>
      </c>
      <c r="O3871" t="s">
        <v>46</v>
      </c>
      <c r="P3871" t="s">
        <v>46</v>
      </c>
      <c r="Y3871" t="s">
        <v>13048</v>
      </c>
    </row>
    <row r="3872" spans="1:25">
      <c r="A3872" t="s">
        <v>13049</v>
      </c>
      <c r="B3872" t="s">
        <v>13050</v>
      </c>
      <c r="D3872" t="s">
        <v>40</v>
      </c>
      <c r="E3872" t="s">
        <v>41</v>
      </c>
      <c r="J3872" t="s">
        <v>182</v>
      </c>
      <c r="K3872" t="s">
        <v>183</v>
      </c>
      <c r="L3872">
        <v>10</v>
      </c>
      <c r="M3872" t="s">
        <v>13047</v>
      </c>
      <c r="N3872" t="s">
        <v>64</v>
      </c>
      <c r="O3872" t="s">
        <v>46</v>
      </c>
      <c r="P3872" t="s">
        <v>46</v>
      </c>
      <c r="Y3872" t="s">
        <v>13051</v>
      </c>
    </row>
    <row r="3873" spans="1:25">
      <c r="A3873" t="s">
        <v>13052</v>
      </c>
      <c r="B3873" t="s">
        <v>13053</v>
      </c>
      <c r="D3873" t="s">
        <v>40</v>
      </c>
      <c r="E3873" t="s">
        <v>41</v>
      </c>
      <c r="J3873" t="s">
        <v>42</v>
      </c>
      <c r="K3873" t="s">
        <v>43</v>
      </c>
      <c r="L3873">
        <v>10</v>
      </c>
      <c r="M3873" t="s">
        <v>13047</v>
      </c>
      <c r="N3873" t="s">
        <v>950</v>
      </c>
      <c r="O3873" t="s">
        <v>46</v>
      </c>
      <c r="P3873" t="s">
        <v>46</v>
      </c>
      <c r="Y3873" t="s">
        <v>13054</v>
      </c>
    </row>
    <row r="3874" spans="1:25">
      <c r="A3874" t="s">
        <v>13055</v>
      </c>
      <c r="B3874" t="s">
        <v>13056</v>
      </c>
      <c r="D3874" t="s">
        <v>40</v>
      </c>
      <c r="E3874" t="s">
        <v>41</v>
      </c>
      <c r="J3874" t="s">
        <v>182</v>
      </c>
      <c r="K3874" t="s">
        <v>183</v>
      </c>
      <c r="L3874">
        <v>10</v>
      </c>
      <c r="M3874" t="s">
        <v>13057</v>
      </c>
      <c r="N3874" t="s">
        <v>64</v>
      </c>
      <c r="O3874" t="s">
        <v>46</v>
      </c>
      <c r="P3874" t="s">
        <v>46</v>
      </c>
      <c r="Y3874" t="s">
        <v>13058</v>
      </c>
    </row>
    <row r="3875" spans="1:25">
      <c r="A3875" t="s">
        <v>13059</v>
      </c>
      <c r="B3875" t="s">
        <v>13060</v>
      </c>
      <c r="D3875" t="s">
        <v>40</v>
      </c>
      <c r="E3875" t="s">
        <v>41</v>
      </c>
      <c r="J3875" t="s">
        <v>182</v>
      </c>
      <c r="K3875" t="s">
        <v>183</v>
      </c>
      <c r="L3875">
        <v>10</v>
      </c>
      <c r="M3875" t="s">
        <v>13061</v>
      </c>
      <c r="N3875" t="s">
        <v>64</v>
      </c>
      <c r="O3875" t="s">
        <v>46</v>
      </c>
      <c r="P3875" t="s">
        <v>46</v>
      </c>
      <c r="Y3875" t="s">
        <v>13062</v>
      </c>
    </row>
    <row r="3876" spans="1:25">
      <c r="A3876" t="s">
        <v>13063</v>
      </c>
      <c r="B3876" t="s">
        <v>13064</v>
      </c>
      <c r="D3876" t="s">
        <v>40</v>
      </c>
      <c r="E3876" t="s">
        <v>41</v>
      </c>
      <c r="J3876" t="s">
        <v>182</v>
      </c>
      <c r="K3876" t="s">
        <v>183</v>
      </c>
      <c r="L3876">
        <v>10</v>
      </c>
      <c r="M3876" t="s">
        <v>13061</v>
      </c>
      <c r="N3876" t="s">
        <v>64</v>
      </c>
      <c r="O3876" t="s">
        <v>46</v>
      </c>
      <c r="P3876" t="s">
        <v>46</v>
      </c>
      <c r="Y3876" t="s">
        <v>13065</v>
      </c>
    </row>
    <row r="3877" spans="1:25">
      <c r="A3877" t="s">
        <v>13066</v>
      </c>
      <c r="B3877" t="s">
        <v>13067</v>
      </c>
      <c r="D3877" t="s">
        <v>40</v>
      </c>
      <c r="E3877" t="s">
        <v>41</v>
      </c>
      <c r="J3877" t="s">
        <v>182</v>
      </c>
      <c r="K3877" t="s">
        <v>183</v>
      </c>
      <c r="L3877">
        <v>10</v>
      </c>
      <c r="M3877" t="s">
        <v>13061</v>
      </c>
      <c r="N3877" t="s">
        <v>64</v>
      </c>
      <c r="O3877" t="s">
        <v>46</v>
      </c>
      <c r="P3877" t="s">
        <v>46</v>
      </c>
      <c r="Y3877" t="s">
        <v>13068</v>
      </c>
    </row>
    <row r="3878" spans="1:25">
      <c r="A3878" t="s">
        <v>13069</v>
      </c>
      <c r="B3878" t="s">
        <v>13070</v>
      </c>
      <c r="D3878" t="s">
        <v>40</v>
      </c>
      <c r="E3878" t="s">
        <v>41</v>
      </c>
      <c r="J3878" t="s">
        <v>42</v>
      </c>
      <c r="K3878" t="s">
        <v>43</v>
      </c>
      <c r="L3878">
        <v>10</v>
      </c>
      <c r="M3878" t="s">
        <v>13061</v>
      </c>
      <c r="N3878" t="s">
        <v>436</v>
      </c>
      <c r="O3878" t="s">
        <v>46</v>
      </c>
      <c r="P3878" t="s">
        <v>46</v>
      </c>
      <c r="Y3878" t="s">
        <v>13071</v>
      </c>
    </row>
    <row r="3879" spans="1:25">
      <c r="A3879" t="s">
        <v>13072</v>
      </c>
      <c r="B3879" t="s">
        <v>13073</v>
      </c>
      <c r="D3879" t="s">
        <v>40</v>
      </c>
      <c r="E3879" t="s">
        <v>41</v>
      </c>
      <c r="J3879" t="s">
        <v>50</v>
      </c>
      <c r="K3879" t="s">
        <v>51</v>
      </c>
      <c r="L3879">
        <v>10</v>
      </c>
      <c r="M3879" t="s">
        <v>13074</v>
      </c>
      <c r="N3879" t="s">
        <v>310</v>
      </c>
      <c r="O3879" t="s">
        <v>46</v>
      </c>
      <c r="P3879" t="s">
        <v>46</v>
      </c>
      <c r="Y3879" t="s">
        <v>13075</v>
      </c>
    </row>
    <row r="3880" spans="1:25">
      <c r="A3880" t="s">
        <v>13076</v>
      </c>
      <c r="B3880" t="s">
        <v>13077</v>
      </c>
      <c r="D3880" t="s">
        <v>40</v>
      </c>
      <c r="E3880" t="s">
        <v>41</v>
      </c>
      <c r="J3880" t="s">
        <v>76</v>
      </c>
      <c r="K3880" t="s">
        <v>77</v>
      </c>
      <c r="L3880">
        <v>10</v>
      </c>
      <c r="M3880" t="s">
        <v>13078</v>
      </c>
      <c r="N3880" t="s">
        <v>64</v>
      </c>
      <c r="O3880" t="s">
        <v>46</v>
      </c>
      <c r="P3880" t="s">
        <v>46</v>
      </c>
      <c r="Y3880" t="s">
        <v>13079</v>
      </c>
    </row>
    <row r="3881" spans="1:25">
      <c r="A3881" t="s">
        <v>13080</v>
      </c>
      <c r="B3881" t="s">
        <v>13081</v>
      </c>
      <c r="D3881" t="s">
        <v>40</v>
      </c>
      <c r="E3881" t="s">
        <v>41</v>
      </c>
      <c r="J3881" t="s">
        <v>182</v>
      </c>
      <c r="K3881" t="s">
        <v>183</v>
      </c>
      <c r="L3881">
        <v>10</v>
      </c>
      <c r="M3881" t="s">
        <v>13082</v>
      </c>
      <c r="N3881" t="s">
        <v>64</v>
      </c>
      <c r="O3881" t="s">
        <v>46</v>
      </c>
      <c r="P3881" t="s">
        <v>46</v>
      </c>
      <c r="Y3881" t="s">
        <v>13083</v>
      </c>
    </row>
    <row r="3882" spans="1:25">
      <c r="A3882" t="s">
        <v>13084</v>
      </c>
      <c r="B3882" t="s">
        <v>13085</v>
      </c>
      <c r="D3882" t="s">
        <v>40</v>
      </c>
      <c r="E3882" t="s">
        <v>41</v>
      </c>
      <c r="J3882" t="s">
        <v>76</v>
      </c>
      <c r="K3882" t="s">
        <v>77</v>
      </c>
      <c r="L3882">
        <v>10</v>
      </c>
      <c r="M3882" t="s">
        <v>13082</v>
      </c>
      <c r="N3882" t="s">
        <v>64</v>
      </c>
      <c r="O3882" t="s">
        <v>46</v>
      </c>
      <c r="P3882" t="s">
        <v>46</v>
      </c>
      <c r="Y3882" t="s">
        <v>13086</v>
      </c>
    </row>
    <row r="3883" spans="1:25">
      <c r="A3883" t="s">
        <v>13087</v>
      </c>
      <c r="B3883" t="s">
        <v>13088</v>
      </c>
      <c r="D3883" t="s">
        <v>40</v>
      </c>
      <c r="E3883" t="s">
        <v>41</v>
      </c>
      <c r="J3883" t="s">
        <v>182</v>
      </c>
      <c r="K3883" t="s">
        <v>183</v>
      </c>
      <c r="L3883">
        <v>10</v>
      </c>
      <c r="M3883" t="s">
        <v>13082</v>
      </c>
      <c r="N3883" t="s">
        <v>64</v>
      </c>
      <c r="O3883" t="s">
        <v>46</v>
      </c>
      <c r="P3883" t="s">
        <v>46</v>
      </c>
      <c r="Y3883" t="s">
        <v>13089</v>
      </c>
    </row>
    <row r="3884" spans="1:25">
      <c r="A3884" t="s">
        <v>13090</v>
      </c>
      <c r="B3884" t="s">
        <v>13091</v>
      </c>
      <c r="D3884" t="s">
        <v>40</v>
      </c>
      <c r="E3884" t="s">
        <v>41</v>
      </c>
      <c r="J3884" t="s">
        <v>182</v>
      </c>
      <c r="K3884" t="s">
        <v>183</v>
      </c>
      <c r="L3884">
        <v>10</v>
      </c>
      <c r="M3884" t="s">
        <v>13082</v>
      </c>
      <c r="N3884" t="s">
        <v>64</v>
      </c>
      <c r="O3884" t="s">
        <v>46</v>
      </c>
      <c r="P3884" t="s">
        <v>46</v>
      </c>
      <c r="Y3884" t="s">
        <v>13092</v>
      </c>
    </row>
    <row r="3885" spans="1:25">
      <c r="A3885" t="s">
        <v>13093</v>
      </c>
      <c r="B3885" t="s">
        <v>13094</v>
      </c>
      <c r="D3885" t="s">
        <v>40</v>
      </c>
      <c r="E3885" t="s">
        <v>41</v>
      </c>
      <c r="J3885" t="s">
        <v>76</v>
      </c>
      <c r="K3885" t="s">
        <v>77</v>
      </c>
      <c r="L3885">
        <v>10</v>
      </c>
      <c r="M3885" t="s">
        <v>13082</v>
      </c>
      <c r="N3885" t="s">
        <v>64</v>
      </c>
      <c r="O3885" t="s">
        <v>46</v>
      </c>
      <c r="P3885" t="s">
        <v>46</v>
      </c>
      <c r="Y3885" t="s">
        <v>13095</v>
      </c>
    </row>
    <row r="3886" spans="1:25">
      <c r="A3886" t="s">
        <v>13096</v>
      </c>
      <c r="B3886" t="s">
        <v>13097</v>
      </c>
      <c r="D3886" t="s">
        <v>40</v>
      </c>
      <c r="E3886" t="s">
        <v>41</v>
      </c>
      <c r="J3886" t="s">
        <v>42</v>
      </c>
      <c r="K3886" t="s">
        <v>43</v>
      </c>
      <c r="L3886">
        <v>10</v>
      </c>
      <c r="M3886" t="s">
        <v>13098</v>
      </c>
      <c r="N3886" t="s">
        <v>53</v>
      </c>
      <c r="O3886" t="s">
        <v>46</v>
      </c>
      <c r="P3886" t="s">
        <v>46</v>
      </c>
      <c r="Y3886" t="s">
        <v>13099</v>
      </c>
    </row>
    <row r="3887" spans="1:25">
      <c r="A3887" t="s">
        <v>13100</v>
      </c>
      <c r="B3887" t="s">
        <v>13101</v>
      </c>
      <c r="D3887" t="s">
        <v>40</v>
      </c>
      <c r="E3887" t="s">
        <v>41</v>
      </c>
      <c r="J3887" t="s">
        <v>139</v>
      </c>
      <c r="K3887" t="s">
        <v>140</v>
      </c>
      <c r="L3887">
        <v>10</v>
      </c>
      <c r="M3887" t="s">
        <v>13098</v>
      </c>
      <c r="N3887" t="s">
        <v>1392</v>
      </c>
      <c r="O3887" t="s">
        <v>46</v>
      </c>
      <c r="P3887" t="s">
        <v>46</v>
      </c>
      <c r="Y3887" t="s">
        <v>13102</v>
      </c>
    </row>
    <row r="3888" spans="1:25">
      <c r="A3888" t="s">
        <v>13103</v>
      </c>
      <c r="B3888" t="s">
        <v>13104</v>
      </c>
      <c r="D3888" t="s">
        <v>40</v>
      </c>
      <c r="E3888" t="s">
        <v>41</v>
      </c>
      <c r="J3888" t="s">
        <v>68</v>
      </c>
      <c r="K3888" t="s">
        <v>69</v>
      </c>
      <c r="L3888">
        <v>10</v>
      </c>
      <c r="M3888" t="s">
        <v>13098</v>
      </c>
      <c r="N3888" t="s">
        <v>64</v>
      </c>
      <c r="O3888" t="s">
        <v>46</v>
      </c>
      <c r="P3888" t="s">
        <v>46</v>
      </c>
      <c r="Y3888" t="s">
        <v>13105</v>
      </c>
    </row>
    <row r="3889" spans="1:25">
      <c r="A3889" t="s">
        <v>13106</v>
      </c>
      <c r="B3889" t="s">
        <v>13107</v>
      </c>
      <c r="D3889" t="s">
        <v>40</v>
      </c>
      <c r="E3889" t="s">
        <v>41</v>
      </c>
      <c r="J3889" t="s">
        <v>42</v>
      </c>
      <c r="K3889" t="s">
        <v>43</v>
      </c>
      <c r="L3889">
        <v>10</v>
      </c>
      <c r="M3889" t="s">
        <v>13108</v>
      </c>
      <c r="N3889" t="s">
        <v>1229</v>
      </c>
      <c r="O3889" t="s">
        <v>46</v>
      </c>
      <c r="P3889" t="s">
        <v>46</v>
      </c>
      <c r="Y3889" t="s">
        <v>13109</v>
      </c>
    </row>
    <row r="3890" spans="1:25">
      <c r="A3890" t="s">
        <v>13110</v>
      </c>
      <c r="B3890" t="s">
        <v>13111</v>
      </c>
      <c r="D3890" t="s">
        <v>40</v>
      </c>
      <c r="E3890" t="s">
        <v>41</v>
      </c>
      <c r="J3890" t="s">
        <v>139</v>
      </c>
      <c r="K3890" t="s">
        <v>140</v>
      </c>
      <c r="L3890">
        <v>10</v>
      </c>
      <c r="M3890" t="s">
        <v>13112</v>
      </c>
      <c r="N3890" t="s">
        <v>1446</v>
      </c>
      <c r="O3890" t="s">
        <v>46</v>
      </c>
      <c r="P3890" t="s">
        <v>46</v>
      </c>
      <c r="Y3890" t="s">
        <v>13113</v>
      </c>
    </row>
    <row r="3891" spans="1:25">
      <c r="A3891" t="s">
        <v>13114</v>
      </c>
      <c r="B3891" t="s">
        <v>13115</v>
      </c>
      <c r="D3891" t="s">
        <v>40</v>
      </c>
      <c r="E3891" t="s">
        <v>41</v>
      </c>
      <c r="J3891" t="s">
        <v>68</v>
      </c>
      <c r="K3891" t="s">
        <v>69</v>
      </c>
      <c r="L3891">
        <v>10</v>
      </c>
      <c r="M3891" t="s">
        <v>13112</v>
      </c>
      <c r="N3891" t="s">
        <v>64</v>
      </c>
      <c r="O3891" t="s">
        <v>46</v>
      </c>
      <c r="P3891" t="s">
        <v>46</v>
      </c>
      <c r="Y3891" t="s">
        <v>13116</v>
      </c>
    </row>
    <row r="3892" spans="1:25">
      <c r="A3892" t="s">
        <v>13117</v>
      </c>
      <c r="B3892" t="s">
        <v>13118</v>
      </c>
      <c r="D3892" t="s">
        <v>40</v>
      </c>
      <c r="E3892" t="s">
        <v>41</v>
      </c>
      <c r="J3892" t="s">
        <v>182</v>
      </c>
      <c r="K3892" t="s">
        <v>183</v>
      </c>
      <c r="L3892">
        <v>10</v>
      </c>
      <c r="M3892" t="s">
        <v>13112</v>
      </c>
      <c r="N3892" t="s">
        <v>64</v>
      </c>
      <c r="O3892" t="s">
        <v>46</v>
      </c>
      <c r="P3892" t="s">
        <v>46</v>
      </c>
      <c r="Y3892" t="s">
        <v>13119</v>
      </c>
    </row>
    <row r="3893" spans="1:25">
      <c r="A3893" t="s">
        <v>13120</v>
      </c>
      <c r="B3893" t="s">
        <v>13121</v>
      </c>
      <c r="D3893" t="s">
        <v>40</v>
      </c>
      <c r="E3893" t="s">
        <v>41</v>
      </c>
      <c r="J3893" t="s">
        <v>182</v>
      </c>
      <c r="K3893" t="s">
        <v>183</v>
      </c>
      <c r="L3893">
        <v>10</v>
      </c>
      <c r="M3893" t="s">
        <v>13112</v>
      </c>
      <c r="N3893" t="s">
        <v>64</v>
      </c>
      <c r="O3893" t="s">
        <v>46</v>
      </c>
      <c r="P3893" t="s">
        <v>46</v>
      </c>
      <c r="Y3893" t="s">
        <v>13122</v>
      </c>
    </row>
    <row r="3894" spans="1:25">
      <c r="A3894" t="s">
        <v>13123</v>
      </c>
      <c r="B3894" t="s">
        <v>13124</v>
      </c>
      <c r="D3894" t="s">
        <v>40</v>
      </c>
      <c r="E3894" t="s">
        <v>41</v>
      </c>
      <c r="J3894" t="s">
        <v>182</v>
      </c>
      <c r="K3894" t="s">
        <v>183</v>
      </c>
      <c r="L3894">
        <v>10</v>
      </c>
      <c r="M3894" t="s">
        <v>13125</v>
      </c>
      <c r="N3894" t="s">
        <v>64</v>
      </c>
      <c r="O3894" t="s">
        <v>46</v>
      </c>
      <c r="P3894" t="s">
        <v>46</v>
      </c>
      <c r="Y3894" t="s">
        <v>13126</v>
      </c>
    </row>
    <row r="3895" spans="1:25">
      <c r="A3895" t="s">
        <v>13127</v>
      </c>
      <c r="B3895" t="s">
        <v>13128</v>
      </c>
      <c r="D3895" t="s">
        <v>40</v>
      </c>
      <c r="E3895" t="s">
        <v>41</v>
      </c>
      <c r="J3895" t="s">
        <v>42</v>
      </c>
      <c r="K3895" t="s">
        <v>43</v>
      </c>
      <c r="L3895">
        <v>10</v>
      </c>
      <c r="M3895" t="s">
        <v>13129</v>
      </c>
      <c r="N3895" t="s">
        <v>924</v>
      </c>
      <c r="O3895" t="s">
        <v>46</v>
      </c>
      <c r="P3895" t="s">
        <v>46</v>
      </c>
      <c r="Y3895" t="s">
        <v>13130</v>
      </c>
    </row>
    <row r="3896" spans="1:25">
      <c r="A3896" t="s">
        <v>13131</v>
      </c>
      <c r="B3896" t="s">
        <v>13132</v>
      </c>
      <c r="D3896" t="s">
        <v>40</v>
      </c>
      <c r="E3896" t="s">
        <v>41</v>
      </c>
      <c r="J3896" t="s">
        <v>182</v>
      </c>
      <c r="K3896" t="s">
        <v>183</v>
      </c>
      <c r="L3896">
        <v>10</v>
      </c>
      <c r="M3896" t="s">
        <v>13129</v>
      </c>
      <c r="N3896" t="s">
        <v>64</v>
      </c>
      <c r="O3896" t="s">
        <v>46</v>
      </c>
      <c r="P3896" t="s">
        <v>46</v>
      </c>
      <c r="Y3896" t="s">
        <v>13133</v>
      </c>
    </row>
    <row r="3897" spans="1:25">
      <c r="A3897" t="s">
        <v>13134</v>
      </c>
      <c r="B3897" t="s">
        <v>13135</v>
      </c>
      <c r="D3897" t="s">
        <v>40</v>
      </c>
      <c r="E3897" t="s">
        <v>41</v>
      </c>
      <c r="J3897" t="s">
        <v>76</v>
      </c>
      <c r="K3897" t="s">
        <v>77</v>
      </c>
      <c r="L3897">
        <v>10</v>
      </c>
      <c r="M3897" t="s">
        <v>13136</v>
      </c>
      <c r="N3897" t="s">
        <v>64</v>
      </c>
      <c r="O3897" t="s">
        <v>46</v>
      </c>
      <c r="P3897" t="s">
        <v>46</v>
      </c>
      <c r="Y3897" t="s">
        <v>13137</v>
      </c>
    </row>
    <row r="3898" spans="1:25">
      <c r="A3898" t="s">
        <v>13138</v>
      </c>
      <c r="B3898" t="s">
        <v>13139</v>
      </c>
      <c r="D3898" t="s">
        <v>40</v>
      </c>
      <c r="E3898" t="s">
        <v>41</v>
      </c>
      <c r="J3898" t="s">
        <v>76</v>
      </c>
      <c r="K3898" t="s">
        <v>77</v>
      </c>
      <c r="L3898">
        <v>10</v>
      </c>
      <c r="M3898" t="s">
        <v>13136</v>
      </c>
      <c r="N3898" t="s">
        <v>64</v>
      </c>
      <c r="O3898" t="s">
        <v>46</v>
      </c>
      <c r="P3898" t="s">
        <v>46</v>
      </c>
      <c r="Y3898" t="s">
        <v>13140</v>
      </c>
    </row>
    <row r="3899" spans="1:25">
      <c r="A3899" t="s">
        <v>13141</v>
      </c>
      <c r="B3899" t="s">
        <v>13142</v>
      </c>
      <c r="D3899" t="s">
        <v>40</v>
      </c>
      <c r="E3899" t="s">
        <v>41</v>
      </c>
      <c r="J3899" t="s">
        <v>182</v>
      </c>
      <c r="K3899" t="s">
        <v>183</v>
      </c>
      <c r="L3899">
        <v>10</v>
      </c>
      <c r="M3899" t="s">
        <v>13136</v>
      </c>
      <c r="N3899" t="s">
        <v>64</v>
      </c>
      <c r="O3899" t="s">
        <v>46</v>
      </c>
      <c r="P3899" t="s">
        <v>46</v>
      </c>
      <c r="Y3899" t="s">
        <v>13143</v>
      </c>
    </row>
    <row r="3900" spans="1:25">
      <c r="A3900" t="s">
        <v>13144</v>
      </c>
      <c r="B3900" t="s">
        <v>13145</v>
      </c>
      <c r="D3900" t="s">
        <v>40</v>
      </c>
      <c r="E3900" t="s">
        <v>41</v>
      </c>
      <c r="J3900" t="s">
        <v>182</v>
      </c>
      <c r="K3900" t="s">
        <v>183</v>
      </c>
      <c r="L3900">
        <v>10</v>
      </c>
      <c r="M3900" t="s">
        <v>13146</v>
      </c>
      <c r="N3900" t="s">
        <v>64</v>
      </c>
      <c r="O3900" t="s">
        <v>46</v>
      </c>
      <c r="P3900" t="s">
        <v>46</v>
      </c>
      <c r="Y3900" t="s">
        <v>13147</v>
      </c>
    </row>
    <row r="3901" spans="1:25">
      <c r="A3901" t="s">
        <v>13148</v>
      </c>
      <c r="B3901" t="s">
        <v>13149</v>
      </c>
      <c r="D3901" t="s">
        <v>40</v>
      </c>
      <c r="E3901" t="s">
        <v>41</v>
      </c>
      <c r="J3901" t="s">
        <v>182</v>
      </c>
      <c r="K3901" t="s">
        <v>183</v>
      </c>
      <c r="L3901">
        <v>10</v>
      </c>
      <c r="M3901" t="s">
        <v>13146</v>
      </c>
      <c r="N3901" t="s">
        <v>64</v>
      </c>
      <c r="O3901" t="s">
        <v>46</v>
      </c>
      <c r="P3901" t="s">
        <v>46</v>
      </c>
      <c r="Y3901" t="s">
        <v>13150</v>
      </c>
    </row>
    <row r="3902" spans="1:25">
      <c r="A3902" t="s">
        <v>13151</v>
      </c>
      <c r="B3902" t="s">
        <v>13152</v>
      </c>
      <c r="D3902" t="s">
        <v>40</v>
      </c>
      <c r="E3902" t="s">
        <v>41</v>
      </c>
      <c r="J3902" t="s">
        <v>182</v>
      </c>
      <c r="K3902" t="s">
        <v>183</v>
      </c>
      <c r="L3902">
        <v>10</v>
      </c>
      <c r="M3902" t="s">
        <v>13146</v>
      </c>
      <c r="N3902" t="s">
        <v>64</v>
      </c>
      <c r="O3902" t="s">
        <v>46</v>
      </c>
      <c r="P3902" t="s">
        <v>46</v>
      </c>
      <c r="Y3902" t="s">
        <v>13153</v>
      </c>
    </row>
    <row r="3903" spans="1:25">
      <c r="A3903" t="s">
        <v>13154</v>
      </c>
      <c r="B3903" t="s">
        <v>13155</v>
      </c>
      <c r="D3903" t="s">
        <v>40</v>
      </c>
      <c r="E3903" t="s">
        <v>41</v>
      </c>
      <c r="J3903" t="s">
        <v>68</v>
      </c>
      <c r="K3903" t="s">
        <v>69</v>
      </c>
      <c r="L3903">
        <v>10</v>
      </c>
      <c r="M3903" t="s">
        <v>13146</v>
      </c>
      <c r="N3903" t="s">
        <v>64</v>
      </c>
      <c r="O3903" t="s">
        <v>46</v>
      </c>
      <c r="P3903" t="s">
        <v>46</v>
      </c>
      <c r="Y3903" t="s">
        <v>13156</v>
      </c>
    </row>
    <row r="3904" spans="1:25">
      <c r="A3904" t="s">
        <v>13157</v>
      </c>
      <c r="B3904" t="s">
        <v>13158</v>
      </c>
      <c r="D3904" t="s">
        <v>40</v>
      </c>
      <c r="E3904" t="s">
        <v>41</v>
      </c>
      <c r="J3904" t="s">
        <v>288</v>
      </c>
      <c r="K3904" t="s">
        <v>289</v>
      </c>
      <c r="L3904">
        <v>10</v>
      </c>
      <c r="M3904" t="s">
        <v>13159</v>
      </c>
      <c r="N3904" t="s">
        <v>58</v>
      </c>
      <c r="O3904" t="s">
        <v>46</v>
      </c>
      <c r="P3904" t="s">
        <v>46</v>
      </c>
      <c r="Y3904" t="s">
        <v>13160</v>
      </c>
    </row>
    <row r="3905" spans="1:25">
      <c r="A3905" t="s">
        <v>13161</v>
      </c>
      <c r="B3905" t="s">
        <v>13162</v>
      </c>
      <c r="D3905" t="s">
        <v>40</v>
      </c>
      <c r="E3905" t="s">
        <v>41</v>
      </c>
      <c r="J3905" t="s">
        <v>182</v>
      </c>
      <c r="K3905" t="s">
        <v>183</v>
      </c>
      <c r="L3905">
        <v>10</v>
      </c>
      <c r="M3905" t="s">
        <v>13159</v>
      </c>
      <c r="N3905" t="s">
        <v>64</v>
      </c>
      <c r="O3905" t="s">
        <v>46</v>
      </c>
      <c r="P3905" t="s">
        <v>46</v>
      </c>
      <c r="Y3905" t="s">
        <v>13163</v>
      </c>
    </row>
    <row r="3906" spans="1:25">
      <c r="A3906" t="s">
        <v>13164</v>
      </c>
      <c r="B3906" t="s">
        <v>13165</v>
      </c>
      <c r="D3906" t="s">
        <v>40</v>
      </c>
      <c r="E3906" t="s">
        <v>41</v>
      </c>
      <c r="J3906" t="s">
        <v>76</v>
      </c>
      <c r="K3906" t="s">
        <v>77</v>
      </c>
      <c r="L3906">
        <v>10</v>
      </c>
      <c r="M3906" t="s">
        <v>13159</v>
      </c>
      <c r="N3906" t="s">
        <v>64</v>
      </c>
      <c r="O3906" t="s">
        <v>46</v>
      </c>
      <c r="P3906" t="s">
        <v>46</v>
      </c>
      <c r="Y3906" t="s">
        <v>13166</v>
      </c>
    </row>
    <row r="3907" spans="1:25">
      <c r="A3907" t="s">
        <v>13167</v>
      </c>
      <c r="B3907" t="s">
        <v>13168</v>
      </c>
      <c r="D3907" t="s">
        <v>40</v>
      </c>
      <c r="E3907" t="s">
        <v>41</v>
      </c>
      <c r="J3907" t="s">
        <v>76</v>
      </c>
      <c r="K3907" t="s">
        <v>77</v>
      </c>
      <c r="L3907">
        <v>10</v>
      </c>
      <c r="M3907" t="s">
        <v>13169</v>
      </c>
      <c r="N3907" t="s">
        <v>64</v>
      </c>
      <c r="O3907" t="s">
        <v>46</v>
      </c>
      <c r="P3907" t="s">
        <v>46</v>
      </c>
      <c r="Y3907" t="s">
        <v>13170</v>
      </c>
    </row>
    <row r="3908" spans="1:25">
      <c r="A3908" t="s">
        <v>13171</v>
      </c>
      <c r="B3908" t="s">
        <v>13172</v>
      </c>
      <c r="D3908" t="s">
        <v>40</v>
      </c>
      <c r="E3908" t="s">
        <v>41</v>
      </c>
      <c r="J3908" t="s">
        <v>182</v>
      </c>
      <c r="K3908" t="s">
        <v>183</v>
      </c>
      <c r="L3908">
        <v>10</v>
      </c>
      <c r="M3908" t="s">
        <v>13169</v>
      </c>
      <c r="N3908" t="s">
        <v>64</v>
      </c>
      <c r="O3908" t="s">
        <v>46</v>
      </c>
      <c r="P3908" t="s">
        <v>46</v>
      </c>
      <c r="Y3908" t="s">
        <v>13173</v>
      </c>
    </row>
    <row r="3909" spans="1:25">
      <c r="A3909" t="s">
        <v>13174</v>
      </c>
      <c r="B3909" t="s">
        <v>13175</v>
      </c>
      <c r="D3909" t="s">
        <v>40</v>
      </c>
      <c r="E3909" t="s">
        <v>41</v>
      </c>
      <c r="J3909" t="s">
        <v>182</v>
      </c>
      <c r="K3909" t="s">
        <v>183</v>
      </c>
      <c r="L3909">
        <v>10</v>
      </c>
      <c r="M3909" t="s">
        <v>13176</v>
      </c>
      <c r="N3909" t="s">
        <v>64</v>
      </c>
      <c r="O3909" t="s">
        <v>46</v>
      </c>
      <c r="P3909" t="s">
        <v>46</v>
      </c>
      <c r="Y3909" t="s">
        <v>13177</v>
      </c>
    </row>
    <row r="3910" spans="1:25">
      <c r="A3910" t="s">
        <v>13178</v>
      </c>
      <c r="B3910" t="s">
        <v>13179</v>
      </c>
      <c r="D3910" t="s">
        <v>40</v>
      </c>
      <c r="E3910" t="s">
        <v>41</v>
      </c>
      <c r="J3910" t="s">
        <v>68</v>
      </c>
      <c r="K3910" t="s">
        <v>69</v>
      </c>
      <c r="L3910">
        <v>10</v>
      </c>
      <c r="M3910" t="s">
        <v>13180</v>
      </c>
      <c r="N3910" t="s">
        <v>64</v>
      </c>
      <c r="O3910" t="s">
        <v>46</v>
      </c>
      <c r="P3910" t="s">
        <v>46</v>
      </c>
      <c r="Y3910" t="s">
        <v>13181</v>
      </c>
    </row>
    <row r="3911" spans="1:25">
      <c r="A3911" t="s">
        <v>13182</v>
      </c>
      <c r="B3911" t="s">
        <v>13183</v>
      </c>
      <c r="D3911" t="s">
        <v>40</v>
      </c>
      <c r="E3911" t="s">
        <v>41</v>
      </c>
      <c r="J3911" t="s">
        <v>182</v>
      </c>
      <c r="K3911" t="s">
        <v>183</v>
      </c>
      <c r="L3911">
        <v>10</v>
      </c>
      <c r="M3911" t="s">
        <v>13180</v>
      </c>
      <c r="N3911" t="s">
        <v>64</v>
      </c>
      <c r="O3911" t="s">
        <v>46</v>
      </c>
      <c r="P3911" t="s">
        <v>46</v>
      </c>
      <c r="Y3911" t="s">
        <v>13184</v>
      </c>
    </row>
    <row r="3912" spans="1:25">
      <c r="A3912" t="s">
        <v>13185</v>
      </c>
      <c r="B3912" t="s">
        <v>13186</v>
      </c>
      <c r="D3912" t="s">
        <v>40</v>
      </c>
      <c r="E3912" t="s">
        <v>41</v>
      </c>
      <c r="J3912" t="s">
        <v>76</v>
      </c>
      <c r="K3912" t="s">
        <v>77</v>
      </c>
      <c r="L3912">
        <v>10</v>
      </c>
      <c r="M3912" t="s">
        <v>13180</v>
      </c>
      <c r="N3912" t="s">
        <v>64</v>
      </c>
      <c r="O3912" t="s">
        <v>46</v>
      </c>
      <c r="P3912" t="s">
        <v>46</v>
      </c>
      <c r="Y3912" t="s">
        <v>13187</v>
      </c>
    </row>
    <row r="3913" spans="1:25">
      <c r="A3913" t="s">
        <v>13188</v>
      </c>
      <c r="B3913" t="s">
        <v>13189</v>
      </c>
      <c r="D3913" t="s">
        <v>40</v>
      </c>
      <c r="E3913" t="s">
        <v>41</v>
      </c>
      <c r="J3913" t="s">
        <v>68</v>
      </c>
      <c r="K3913" t="s">
        <v>69</v>
      </c>
      <c r="L3913">
        <v>10</v>
      </c>
      <c r="M3913" t="s">
        <v>13180</v>
      </c>
      <c r="N3913" t="s">
        <v>64</v>
      </c>
      <c r="O3913" t="s">
        <v>46</v>
      </c>
      <c r="P3913" t="s">
        <v>46</v>
      </c>
      <c r="Y3913" t="s">
        <v>13190</v>
      </c>
    </row>
    <row r="3914" spans="1:25">
      <c r="A3914" t="s">
        <v>13191</v>
      </c>
      <c r="B3914" t="s">
        <v>13192</v>
      </c>
      <c r="D3914" t="s">
        <v>40</v>
      </c>
      <c r="E3914" t="s">
        <v>41</v>
      </c>
      <c r="J3914" t="s">
        <v>182</v>
      </c>
      <c r="K3914" t="s">
        <v>183</v>
      </c>
      <c r="L3914">
        <v>10</v>
      </c>
      <c r="M3914" t="s">
        <v>13180</v>
      </c>
      <c r="N3914" t="s">
        <v>64</v>
      </c>
      <c r="O3914" t="s">
        <v>46</v>
      </c>
      <c r="P3914" t="s">
        <v>46</v>
      </c>
      <c r="Y3914" t="s">
        <v>13193</v>
      </c>
    </row>
    <row r="3915" spans="1:25">
      <c r="A3915" t="s">
        <v>13194</v>
      </c>
      <c r="B3915" t="s">
        <v>13195</v>
      </c>
      <c r="D3915" t="s">
        <v>40</v>
      </c>
      <c r="E3915" t="s">
        <v>41</v>
      </c>
      <c r="J3915" t="s">
        <v>68</v>
      </c>
      <c r="K3915" t="s">
        <v>69</v>
      </c>
      <c r="L3915">
        <v>10</v>
      </c>
      <c r="M3915" t="s">
        <v>13196</v>
      </c>
      <c r="N3915" t="s">
        <v>64</v>
      </c>
      <c r="O3915" t="s">
        <v>46</v>
      </c>
      <c r="P3915" t="s">
        <v>46</v>
      </c>
      <c r="Y3915" t="s">
        <v>13197</v>
      </c>
    </row>
    <row r="3916" spans="1:25">
      <c r="A3916" t="s">
        <v>13198</v>
      </c>
      <c r="B3916" t="s">
        <v>13199</v>
      </c>
      <c r="D3916" t="s">
        <v>40</v>
      </c>
      <c r="E3916" t="s">
        <v>41</v>
      </c>
      <c r="J3916" t="s">
        <v>182</v>
      </c>
      <c r="K3916" t="s">
        <v>183</v>
      </c>
      <c r="L3916">
        <v>10</v>
      </c>
      <c r="M3916" t="s">
        <v>13196</v>
      </c>
      <c r="N3916" t="s">
        <v>64</v>
      </c>
      <c r="O3916" t="s">
        <v>46</v>
      </c>
      <c r="P3916" t="s">
        <v>46</v>
      </c>
      <c r="Y3916" t="s">
        <v>13200</v>
      </c>
    </row>
    <row r="3917" spans="1:25">
      <c r="A3917" t="s">
        <v>13201</v>
      </c>
      <c r="B3917" t="s">
        <v>13202</v>
      </c>
      <c r="D3917" t="s">
        <v>40</v>
      </c>
      <c r="E3917" t="s">
        <v>41</v>
      </c>
      <c r="J3917" t="s">
        <v>76</v>
      </c>
      <c r="K3917" t="s">
        <v>77</v>
      </c>
      <c r="L3917">
        <v>10</v>
      </c>
      <c r="M3917" t="s">
        <v>13196</v>
      </c>
      <c r="N3917" t="s">
        <v>64</v>
      </c>
      <c r="O3917" t="s">
        <v>46</v>
      </c>
      <c r="P3917" t="s">
        <v>46</v>
      </c>
      <c r="Y3917" t="s">
        <v>13203</v>
      </c>
    </row>
    <row r="3918" spans="1:25">
      <c r="A3918" t="s">
        <v>13204</v>
      </c>
      <c r="B3918" t="s">
        <v>13205</v>
      </c>
      <c r="D3918" t="s">
        <v>40</v>
      </c>
      <c r="E3918" t="s">
        <v>41</v>
      </c>
      <c r="J3918" t="s">
        <v>76</v>
      </c>
      <c r="K3918" t="s">
        <v>77</v>
      </c>
      <c r="L3918">
        <v>10</v>
      </c>
      <c r="M3918" t="s">
        <v>13196</v>
      </c>
      <c r="N3918" t="s">
        <v>64</v>
      </c>
      <c r="O3918" t="s">
        <v>46</v>
      </c>
      <c r="P3918" t="s">
        <v>46</v>
      </c>
      <c r="Y3918" t="s">
        <v>13206</v>
      </c>
    </row>
    <row r="3919" spans="1:25">
      <c r="A3919" t="s">
        <v>13207</v>
      </c>
      <c r="B3919" t="s">
        <v>13208</v>
      </c>
      <c r="D3919" t="s">
        <v>40</v>
      </c>
      <c r="E3919" t="s">
        <v>41</v>
      </c>
      <c r="J3919" t="s">
        <v>68</v>
      </c>
      <c r="K3919" t="s">
        <v>69</v>
      </c>
      <c r="L3919">
        <v>10</v>
      </c>
      <c r="M3919" t="s">
        <v>13196</v>
      </c>
      <c r="N3919" t="s">
        <v>64</v>
      </c>
      <c r="O3919" t="s">
        <v>46</v>
      </c>
      <c r="P3919" t="s">
        <v>46</v>
      </c>
      <c r="Y3919" t="s">
        <v>13209</v>
      </c>
    </row>
    <row r="3920" spans="1:25">
      <c r="A3920" t="s">
        <v>13210</v>
      </c>
      <c r="B3920" t="s">
        <v>13211</v>
      </c>
      <c r="D3920" t="s">
        <v>40</v>
      </c>
      <c r="E3920" t="s">
        <v>41</v>
      </c>
      <c r="J3920" t="s">
        <v>76</v>
      </c>
      <c r="K3920" t="s">
        <v>77</v>
      </c>
      <c r="L3920">
        <v>10</v>
      </c>
      <c r="M3920" t="s">
        <v>13196</v>
      </c>
      <c r="N3920" t="s">
        <v>64</v>
      </c>
      <c r="O3920" t="s">
        <v>46</v>
      </c>
      <c r="P3920" t="s">
        <v>46</v>
      </c>
      <c r="Y3920" t="s">
        <v>13212</v>
      </c>
    </row>
    <row r="3921" spans="1:25">
      <c r="A3921" t="s">
        <v>13213</v>
      </c>
      <c r="B3921" t="s">
        <v>13214</v>
      </c>
      <c r="D3921" t="s">
        <v>40</v>
      </c>
      <c r="E3921" t="s">
        <v>41</v>
      </c>
      <c r="J3921" t="s">
        <v>76</v>
      </c>
      <c r="K3921" t="s">
        <v>77</v>
      </c>
      <c r="L3921">
        <v>10</v>
      </c>
      <c r="M3921" t="s">
        <v>13196</v>
      </c>
      <c r="N3921" t="s">
        <v>64</v>
      </c>
      <c r="O3921" t="s">
        <v>46</v>
      </c>
      <c r="P3921" t="s">
        <v>46</v>
      </c>
      <c r="Y3921" t="s">
        <v>13215</v>
      </c>
    </row>
    <row r="3922" spans="1:25">
      <c r="A3922" t="s">
        <v>13216</v>
      </c>
      <c r="B3922" t="s">
        <v>13217</v>
      </c>
      <c r="D3922" t="s">
        <v>40</v>
      </c>
      <c r="E3922" t="s">
        <v>41</v>
      </c>
      <c r="J3922" t="s">
        <v>182</v>
      </c>
      <c r="K3922" t="s">
        <v>183</v>
      </c>
      <c r="L3922">
        <v>10</v>
      </c>
      <c r="M3922" t="s">
        <v>13196</v>
      </c>
      <c r="N3922" t="s">
        <v>64</v>
      </c>
      <c r="O3922" t="s">
        <v>46</v>
      </c>
      <c r="P3922" t="s">
        <v>46</v>
      </c>
      <c r="Y3922" t="s">
        <v>13218</v>
      </c>
    </row>
    <row r="3923" spans="1:25">
      <c r="A3923" t="s">
        <v>13219</v>
      </c>
      <c r="B3923" t="s">
        <v>13220</v>
      </c>
      <c r="D3923" t="s">
        <v>40</v>
      </c>
      <c r="E3923" t="s">
        <v>41</v>
      </c>
      <c r="J3923" t="s">
        <v>182</v>
      </c>
      <c r="K3923" t="s">
        <v>183</v>
      </c>
      <c r="L3923">
        <v>10</v>
      </c>
      <c r="M3923" t="s">
        <v>13196</v>
      </c>
      <c r="N3923" t="s">
        <v>64</v>
      </c>
      <c r="O3923" t="s">
        <v>46</v>
      </c>
      <c r="P3923" t="s">
        <v>46</v>
      </c>
      <c r="Y3923" t="s">
        <v>13221</v>
      </c>
    </row>
    <row r="3924" spans="1:25">
      <c r="A3924" t="s">
        <v>13222</v>
      </c>
      <c r="B3924" t="s">
        <v>13223</v>
      </c>
      <c r="D3924" t="s">
        <v>40</v>
      </c>
      <c r="E3924" t="s">
        <v>41</v>
      </c>
      <c r="J3924" t="s">
        <v>76</v>
      </c>
      <c r="K3924" t="s">
        <v>77</v>
      </c>
      <c r="L3924">
        <v>10</v>
      </c>
      <c r="M3924" t="s">
        <v>13224</v>
      </c>
      <c r="N3924" t="s">
        <v>64</v>
      </c>
      <c r="O3924" t="s">
        <v>46</v>
      </c>
      <c r="P3924" t="s">
        <v>46</v>
      </c>
      <c r="Y3924" t="s">
        <v>13225</v>
      </c>
    </row>
    <row r="3925" spans="1:25">
      <c r="A3925" t="s">
        <v>13226</v>
      </c>
      <c r="B3925" t="s">
        <v>13227</v>
      </c>
      <c r="D3925" t="s">
        <v>40</v>
      </c>
      <c r="E3925" t="s">
        <v>41</v>
      </c>
      <c r="J3925" t="s">
        <v>76</v>
      </c>
      <c r="K3925" t="s">
        <v>77</v>
      </c>
      <c r="L3925">
        <v>10</v>
      </c>
      <c r="M3925" t="s">
        <v>13224</v>
      </c>
      <c r="N3925" t="s">
        <v>64</v>
      </c>
      <c r="O3925" t="s">
        <v>46</v>
      </c>
      <c r="P3925" t="s">
        <v>46</v>
      </c>
      <c r="Y3925" t="s">
        <v>13228</v>
      </c>
    </row>
    <row r="3926" spans="1:25">
      <c r="A3926" t="s">
        <v>13229</v>
      </c>
      <c r="B3926" t="s">
        <v>13230</v>
      </c>
      <c r="D3926" t="s">
        <v>40</v>
      </c>
      <c r="E3926" t="s">
        <v>41</v>
      </c>
      <c r="J3926" t="s">
        <v>182</v>
      </c>
      <c r="K3926" t="s">
        <v>183</v>
      </c>
      <c r="L3926">
        <v>10</v>
      </c>
      <c r="M3926" t="s">
        <v>13231</v>
      </c>
      <c r="N3926" t="s">
        <v>64</v>
      </c>
      <c r="O3926" t="s">
        <v>46</v>
      </c>
      <c r="P3926" t="s">
        <v>46</v>
      </c>
      <c r="Y3926" t="s">
        <v>13232</v>
      </c>
    </row>
    <row r="3927" spans="1:25">
      <c r="A3927" t="s">
        <v>13233</v>
      </c>
      <c r="B3927" t="s">
        <v>13234</v>
      </c>
      <c r="D3927" t="s">
        <v>40</v>
      </c>
      <c r="E3927" t="s">
        <v>41</v>
      </c>
      <c r="J3927" t="s">
        <v>76</v>
      </c>
      <c r="K3927" t="s">
        <v>77</v>
      </c>
      <c r="L3927">
        <v>10</v>
      </c>
      <c r="M3927" t="s">
        <v>13235</v>
      </c>
      <c r="N3927" t="s">
        <v>64</v>
      </c>
      <c r="O3927" t="s">
        <v>46</v>
      </c>
      <c r="P3927" t="s">
        <v>46</v>
      </c>
      <c r="Y3927" t="s">
        <v>13236</v>
      </c>
    </row>
    <row r="3928" spans="1:25">
      <c r="A3928" t="s">
        <v>13237</v>
      </c>
      <c r="B3928" t="s">
        <v>13238</v>
      </c>
      <c r="D3928" t="s">
        <v>40</v>
      </c>
      <c r="E3928" t="s">
        <v>41</v>
      </c>
      <c r="J3928" t="s">
        <v>1142</v>
      </c>
      <c r="K3928" t="s">
        <v>1143</v>
      </c>
      <c r="L3928">
        <v>10</v>
      </c>
      <c r="M3928" t="s">
        <v>13235</v>
      </c>
      <c r="N3928" t="s">
        <v>178</v>
      </c>
      <c r="O3928" t="s">
        <v>46</v>
      </c>
      <c r="P3928" t="s">
        <v>46</v>
      </c>
      <c r="Y3928" t="s">
        <v>13239</v>
      </c>
    </row>
    <row r="3929" spans="1:25">
      <c r="A3929" t="s">
        <v>13240</v>
      </c>
      <c r="B3929" t="s">
        <v>13241</v>
      </c>
      <c r="D3929" t="s">
        <v>40</v>
      </c>
      <c r="E3929" t="s">
        <v>41</v>
      </c>
      <c r="J3929" t="s">
        <v>182</v>
      </c>
      <c r="K3929" t="s">
        <v>183</v>
      </c>
      <c r="L3929">
        <v>10</v>
      </c>
      <c r="M3929" t="s">
        <v>13235</v>
      </c>
      <c r="N3929" t="s">
        <v>64</v>
      </c>
      <c r="O3929" t="s">
        <v>46</v>
      </c>
      <c r="P3929" t="s">
        <v>46</v>
      </c>
      <c r="Y3929" t="s">
        <v>13242</v>
      </c>
    </row>
    <row r="3930" spans="1:25">
      <c r="A3930" t="s">
        <v>13243</v>
      </c>
      <c r="B3930" t="s">
        <v>13244</v>
      </c>
      <c r="D3930" t="s">
        <v>40</v>
      </c>
      <c r="E3930" t="s">
        <v>41</v>
      </c>
      <c r="J3930" t="s">
        <v>76</v>
      </c>
      <c r="K3930" t="s">
        <v>77</v>
      </c>
      <c r="L3930">
        <v>10</v>
      </c>
      <c r="M3930" t="s">
        <v>13235</v>
      </c>
      <c r="N3930" t="s">
        <v>64</v>
      </c>
      <c r="O3930" t="s">
        <v>46</v>
      </c>
      <c r="P3930" t="s">
        <v>46</v>
      </c>
      <c r="Y3930" t="s">
        <v>13245</v>
      </c>
    </row>
    <row r="3931" spans="1:25">
      <c r="A3931" t="s">
        <v>13246</v>
      </c>
      <c r="B3931" t="s">
        <v>13247</v>
      </c>
      <c r="D3931" t="s">
        <v>40</v>
      </c>
      <c r="E3931" t="s">
        <v>41</v>
      </c>
      <c r="J3931" t="s">
        <v>182</v>
      </c>
      <c r="K3931" t="s">
        <v>183</v>
      </c>
      <c r="L3931">
        <v>10</v>
      </c>
      <c r="M3931" t="s">
        <v>13235</v>
      </c>
      <c r="N3931" t="s">
        <v>64</v>
      </c>
      <c r="O3931" t="s">
        <v>46</v>
      </c>
      <c r="P3931" t="s">
        <v>46</v>
      </c>
      <c r="Y3931" t="s">
        <v>13248</v>
      </c>
    </row>
    <row r="3932" spans="1:25">
      <c r="A3932" t="s">
        <v>13249</v>
      </c>
      <c r="B3932" t="s">
        <v>13250</v>
      </c>
      <c r="D3932" t="s">
        <v>40</v>
      </c>
      <c r="E3932" t="s">
        <v>41</v>
      </c>
      <c r="J3932" t="s">
        <v>68</v>
      </c>
      <c r="K3932" t="s">
        <v>69</v>
      </c>
      <c r="L3932">
        <v>10</v>
      </c>
      <c r="M3932" t="s">
        <v>13251</v>
      </c>
      <c r="N3932" t="s">
        <v>64</v>
      </c>
      <c r="O3932" t="s">
        <v>46</v>
      </c>
      <c r="P3932" t="s">
        <v>46</v>
      </c>
      <c r="Y3932" t="s">
        <v>13252</v>
      </c>
    </row>
    <row r="3933" spans="1:25">
      <c r="A3933" t="s">
        <v>13253</v>
      </c>
      <c r="B3933" t="s">
        <v>13254</v>
      </c>
      <c r="D3933" t="s">
        <v>40</v>
      </c>
      <c r="E3933" t="s">
        <v>41</v>
      </c>
      <c r="J3933" t="s">
        <v>68</v>
      </c>
      <c r="K3933" t="s">
        <v>69</v>
      </c>
      <c r="L3933">
        <v>10</v>
      </c>
      <c r="M3933" t="s">
        <v>13251</v>
      </c>
      <c r="N3933" t="s">
        <v>64</v>
      </c>
      <c r="O3933" t="s">
        <v>46</v>
      </c>
      <c r="P3933" t="s">
        <v>46</v>
      </c>
      <c r="Y3933" t="s">
        <v>13255</v>
      </c>
    </row>
    <row r="3934" spans="1:25">
      <c r="A3934" t="s">
        <v>13256</v>
      </c>
      <c r="B3934" t="s">
        <v>13257</v>
      </c>
      <c r="D3934" t="s">
        <v>40</v>
      </c>
      <c r="E3934" t="s">
        <v>41</v>
      </c>
      <c r="J3934" t="s">
        <v>68</v>
      </c>
      <c r="K3934" t="s">
        <v>69</v>
      </c>
      <c r="L3934">
        <v>10</v>
      </c>
      <c r="M3934" t="s">
        <v>13251</v>
      </c>
      <c r="N3934" t="s">
        <v>64</v>
      </c>
      <c r="O3934" t="s">
        <v>46</v>
      </c>
      <c r="P3934" t="s">
        <v>46</v>
      </c>
      <c r="Y3934" t="s">
        <v>13258</v>
      </c>
    </row>
    <row r="3935" spans="1:25">
      <c r="A3935" t="s">
        <v>13259</v>
      </c>
      <c r="B3935" t="s">
        <v>13260</v>
      </c>
      <c r="D3935" t="s">
        <v>40</v>
      </c>
      <c r="E3935" t="s">
        <v>41</v>
      </c>
      <c r="J3935" t="s">
        <v>182</v>
      </c>
      <c r="K3935" t="s">
        <v>183</v>
      </c>
      <c r="L3935">
        <v>10</v>
      </c>
      <c r="M3935" t="s">
        <v>13251</v>
      </c>
      <c r="N3935" t="s">
        <v>64</v>
      </c>
      <c r="O3935" t="s">
        <v>46</v>
      </c>
      <c r="P3935" t="s">
        <v>46</v>
      </c>
      <c r="Y3935" t="s">
        <v>13261</v>
      </c>
    </row>
    <row r="3936" spans="1:25">
      <c r="A3936" t="s">
        <v>13262</v>
      </c>
      <c r="B3936" t="s">
        <v>13263</v>
      </c>
      <c r="D3936" t="s">
        <v>40</v>
      </c>
      <c r="E3936" t="s">
        <v>41</v>
      </c>
      <c r="J3936" t="s">
        <v>182</v>
      </c>
      <c r="K3936" t="s">
        <v>183</v>
      </c>
      <c r="L3936">
        <v>10</v>
      </c>
      <c r="M3936" t="s">
        <v>13251</v>
      </c>
      <c r="N3936" t="s">
        <v>64</v>
      </c>
      <c r="O3936" t="s">
        <v>46</v>
      </c>
      <c r="P3936" t="s">
        <v>46</v>
      </c>
      <c r="Y3936" t="s">
        <v>13264</v>
      </c>
    </row>
    <row r="3937" spans="1:25">
      <c r="A3937" t="s">
        <v>13265</v>
      </c>
      <c r="B3937" t="s">
        <v>13266</v>
      </c>
      <c r="D3937" t="s">
        <v>40</v>
      </c>
      <c r="E3937" t="s">
        <v>41</v>
      </c>
      <c r="J3937" t="s">
        <v>182</v>
      </c>
      <c r="K3937" t="s">
        <v>183</v>
      </c>
      <c r="L3937">
        <v>10</v>
      </c>
      <c r="M3937" t="s">
        <v>13267</v>
      </c>
      <c r="N3937" t="s">
        <v>64</v>
      </c>
      <c r="O3937" t="s">
        <v>46</v>
      </c>
      <c r="P3937" t="s">
        <v>46</v>
      </c>
      <c r="Y3937" t="s">
        <v>13268</v>
      </c>
    </row>
    <row r="3938" spans="1:25">
      <c r="A3938" t="s">
        <v>13269</v>
      </c>
      <c r="B3938" t="s">
        <v>13270</v>
      </c>
      <c r="D3938" t="s">
        <v>40</v>
      </c>
      <c r="E3938" t="s">
        <v>41</v>
      </c>
      <c r="J3938" t="s">
        <v>182</v>
      </c>
      <c r="K3938" t="s">
        <v>183</v>
      </c>
      <c r="L3938">
        <v>10</v>
      </c>
      <c r="M3938" t="s">
        <v>13267</v>
      </c>
      <c r="N3938" t="s">
        <v>64</v>
      </c>
      <c r="O3938" t="s">
        <v>46</v>
      </c>
      <c r="P3938" t="s">
        <v>46</v>
      </c>
      <c r="Y3938" t="s">
        <v>13271</v>
      </c>
    </row>
    <row r="3939" spans="1:25">
      <c r="A3939" t="s">
        <v>13272</v>
      </c>
      <c r="B3939" t="s">
        <v>13273</v>
      </c>
      <c r="D3939" t="s">
        <v>40</v>
      </c>
      <c r="E3939" t="s">
        <v>41</v>
      </c>
      <c r="J3939" t="s">
        <v>68</v>
      </c>
      <c r="K3939" t="s">
        <v>69</v>
      </c>
      <c r="L3939">
        <v>10</v>
      </c>
      <c r="M3939" t="s">
        <v>13267</v>
      </c>
      <c r="N3939" t="s">
        <v>64</v>
      </c>
      <c r="O3939" t="s">
        <v>46</v>
      </c>
      <c r="P3939" t="s">
        <v>46</v>
      </c>
      <c r="Y3939" t="s">
        <v>13274</v>
      </c>
    </row>
    <row r="3940" spans="1:25">
      <c r="A3940" t="s">
        <v>13275</v>
      </c>
      <c r="B3940" t="s">
        <v>13276</v>
      </c>
      <c r="D3940" t="s">
        <v>40</v>
      </c>
      <c r="E3940" t="s">
        <v>41</v>
      </c>
      <c r="J3940" t="s">
        <v>182</v>
      </c>
      <c r="K3940" t="s">
        <v>183</v>
      </c>
      <c r="L3940">
        <v>10</v>
      </c>
      <c r="M3940" t="s">
        <v>13267</v>
      </c>
      <c r="N3940" t="s">
        <v>64</v>
      </c>
      <c r="O3940" t="s">
        <v>46</v>
      </c>
      <c r="P3940" t="s">
        <v>46</v>
      </c>
      <c r="Y3940" t="s">
        <v>13277</v>
      </c>
    </row>
    <row r="3941" spans="1:25">
      <c r="A3941" t="s">
        <v>13278</v>
      </c>
      <c r="B3941" t="s">
        <v>13279</v>
      </c>
      <c r="D3941" t="s">
        <v>40</v>
      </c>
      <c r="E3941" t="s">
        <v>41</v>
      </c>
      <c r="J3941" t="s">
        <v>42</v>
      </c>
      <c r="K3941" t="s">
        <v>43</v>
      </c>
      <c r="L3941">
        <v>10</v>
      </c>
      <c r="M3941" t="s">
        <v>13267</v>
      </c>
      <c r="N3941" t="s">
        <v>436</v>
      </c>
      <c r="O3941" t="s">
        <v>46</v>
      </c>
      <c r="P3941" t="s">
        <v>46</v>
      </c>
      <c r="Y3941" t="s">
        <v>13280</v>
      </c>
    </row>
    <row r="3942" spans="1:25">
      <c r="A3942" t="s">
        <v>13281</v>
      </c>
      <c r="B3942" t="s">
        <v>13282</v>
      </c>
      <c r="D3942" t="s">
        <v>40</v>
      </c>
      <c r="E3942" t="s">
        <v>41</v>
      </c>
      <c r="J3942" t="s">
        <v>76</v>
      </c>
      <c r="K3942" t="s">
        <v>77</v>
      </c>
      <c r="L3942">
        <v>10</v>
      </c>
      <c r="M3942" t="s">
        <v>13283</v>
      </c>
      <c r="N3942" t="s">
        <v>64</v>
      </c>
      <c r="O3942" t="s">
        <v>46</v>
      </c>
      <c r="P3942" t="s">
        <v>46</v>
      </c>
      <c r="Y3942" t="s">
        <v>13284</v>
      </c>
    </row>
    <row r="3943" spans="1:25">
      <c r="A3943" t="s">
        <v>13285</v>
      </c>
      <c r="B3943" t="s">
        <v>13286</v>
      </c>
      <c r="D3943" t="s">
        <v>40</v>
      </c>
      <c r="E3943" t="s">
        <v>41</v>
      </c>
      <c r="J3943" t="s">
        <v>182</v>
      </c>
      <c r="K3943" t="s">
        <v>183</v>
      </c>
      <c r="L3943">
        <v>10</v>
      </c>
      <c r="M3943" t="s">
        <v>13283</v>
      </c>
      <c r="N3943" t="s">
        <v>64</v>
      </c>
      <c r="O3943" t="s">
        <v>46</v>
      </c>
      <c r="P3943" t="s">
        <v>46</v>
      </c>
      <c r="Y3943" t="s">
        <v>13287</v>
      </c>
    </row>
    <row r="3944" spans="1:25">
      <c r="A3944" t="s">
        <v>13288</v>
      </c>
      <c r="B3944" t="s">
        <v>13289</v>
      </c>
      <c r="D3944" t="s">
        <v>40</v>
      </c>
      <c r="E3944" t="s">
        <v>41</v>
      </c>
      <c r="J3944" t="s">
        <v>76</v>
      </c>
      <c r="K3944" t="s">
        <v>77</v>
      </c>
      <c r="L3944">
        <v>10</v>
      </c>
      <c r="M3944" t="s">
        <v>13283</v>
      </c>
      <c r="N3944" t="s">
        <v>64</v>
      </c>
      <c r="O3944" t="s">
        <v>46</v>
      </c>
      <c r="P3944" t="s">
        <v>46</v>
      </c>
      <c r="Y3944" t="s">
        <v>13290</v>
      </c>
    </row>
    <row r="3945" spans="1:25">
      <c r="A3945" t="s">
        <v>13291</v>
      </c>
      <c r="B3945" t="s">
        <v>13292</v>
      </c>
      <c r="D3945" t="s">
        <v>40</v>
      </c>
      <c r="E3945" t="s">
        <v>41</v>
      </c>
      <c r="J3945" t="s">
        <v>68</v>
      </c>
      <c r="K3945" t="s">
        <v>69</v>
      </c>
      <c r="L3945">
        <v>10</v>
      </c>
      <c r="M3945" t="s">
        <v>13283</v>
      </c>
      <c r="N3945" t="s">
        <v>64</v>
      </c>
      <c r="O3945" t="s">
        <v>46</v>
      </c>
      <c r="P3945" t="s">
        <v>46</v>
      </c>
      <c r="Y3945" t="s">
        <v>13293</v>
      </c>
    </row>
    <row r="3946" spans="1:25">
      <c r="A3946" t="s">
        <v>13294</v>
      </c>
      <c r="B3946" t="s">
        <v>13295</v>
      </c>
      <c r="D3946" t="s">
        <v>40</v>
      </c>
      <c r="E3946" t="s">
        <v>41</v>
      </c>
      <c r="J3946" t="s">
        <v>182</v>
      </c>
      <c r="K3946" t="s">
        <v>183</v>
      </c>
      <c r="L3946">
        <v>10</v>
      </c>
      <c r="M3946" t="s">
        <v>13283</v>
      </c>
      <c r="N3946" t="s">
        <v>64</v>
      </c>
      <c r="O3946" t="s">
        <v>46</v>
      </c>
      <c r="P3946" t="s">
        <v>46</v>
      </c>
      <c r="Y3946" t="s">
        <v>13296</v>
      </c>
    </row>
    <row r="3947" spans="1:25">
      <c r="A3947" t="s">
        <v>13297</v>
      </c>
      <c r="B3947" t="s">
        <v>13298</v>
      </c>
      <c r="D3947" t="s">
        <v>40</v>
      </c>
      <c r="E3947" t="s">
        <v>41</v>
      </c>
      <c r="J3947" t="s">
        <v>182</v>
      </c>
      <c r="K3947" t="s">
        <v>183</v>
      </c>
      <c r="L3947">
        <v>10</v>
      </c>
      <c r="M3947" t="s">
        <v>13299</v>
      </c>
      <c r="N3947" t="s">
        <v>64</v>
      </c>
      <c r="O3947" t="s">
        <v>46</v>
      </c>
      <c r="P3947" t="s">
        <v>46</v>
      </c>
      <c r="Y3947" t="s">
        <v>13300</v>
      </c>
    </row>
    <row r="3948" spans="1:25">
      <c r="A3948" t="s">
        <v>13301</v>
      </c>
      <c r="B3948" t="s">
        <v>13302</v>
      </c>
      <c r="D3948" t="s">
        <v>40</v>
      </c>
      <c r="E3948" t="s">
        <v>41</v>
      </c>
      <c r="J3948" t="s">
        <v>182</v>
      </c>
      <c r="K3948" t="s">
        <v>183</v>
      </c>
      <c r="L3948">
        <v>10</v>
      </c>
      <c r="M3948" t="s">
        <v>13299</v>
      </c>
      <c r="N3948" t="s">
        <v>64</v>
      </c>
      <c r="O3948" t="s">
        <v>46</v>
      </c>
      <c r="P3948" t="s">
        <v>46</v>
      </c>
      <c r="Y3948" t="s">
        <v>13303</v>
      </c>
    </row>
    <row r="3949" spans="1:25">
      <c r="A3949" t="s">
        <v>13304</v>
      </c>
      <c r="B3949" t="s">
        <v>13305</v>
      </c>
      <c r="D3949" t="s">
        <v>40</v>
      </c>
      <c r="E3949" t="s">
        <v>41</v>
      </c>
      <c r="J3949" t="s">
        <v>182</v>
      </c>
      <c r="K3949" t="s">
        <v>183</v>
      </c>
      <c r="L3949">
        <v>10</v>
      </c>
      <c r="M3949" t="s">
        <v>13306</v>
      </c>
      <c r="N3949" t="s">
        <v>64</v>
      </c>
      <c r="O3949" t="s">
        <v>46</v>
      </c>
      <c r="P3949" t="s">
        <v>46</v>
      </c>
      <c r="Y3949" t="s">
        <v>13307</v>
      </c>
    </row>
    <row r="3950" spans="1:25">
      <c r="A3950" t="s">
        <v>13308</v>
      </c>
      <c r="B3950" t="s">
        <v>13309</v>
      </c>
      <c r="D3950" t="s">
        <v>40</v>
      </c>
      <c r="E3950" t="s">
        <v>41</v>
      </c>
      <c r="J3950" t="s">
        <v>182</v>
      </c>
      <c r="K3950" t="s">
        <v>183</v>
      </c>
      <c r="L3950">
        <v>10</v>
      </c>
      <c r="M3950" t="s">
        <v>13310</v>
      </c>
      <c r="N3950" t="s">
        <v>64</v>
      </c>
      <c r="O3950" t="s">
        <v>46</v>
      </c>
      <c r="P3950" t="s">
        <v>46</v>
      </c>
      <c r="Y3950" t="s">
        <v>13311</v>
      </c>
    </row>
    <row r="3951" spans="1:25">
      <c r="A3951" t="s">
        <v>13312</v>
      </c>
      <c r="B3951" t="s">
        <v>13313</v>
      </c>
      <c r="D3951" t="s">
        <v>40</v>
      </c>
      <c r="E3951" t="s">
        <v>41</v>
      </c>
      <c r="J3951" t="s">
        <v>76</v>
      </c>
      <c r="K3951" t="s">
        <v>77</v>
      </c>
      <c r="L3951">
        <v>10</v>
      </c>
      <c r="M3951" t="s">
        <v>13310</v>
      </c>
      <c r="N3951" t="s">
        <v>64</v>
      </c>
      <c r="O3951" t="s">
        <v>46</v>
      </c>
      <c r="P3951" t="s">
        <v>46</v>
      </c>
      <c r="Y3951" t="s">
        <v>13314</v>
      </c>
    </row>
    <row r="3952" spans="1:25">
      <c r="A3952" t="s">
        <v>13315</v>
      </c>
      <c r="B3952" t="s">
        <v>13316</v>
      </c>
      <c r="D3952" t="s">
        <v>40</v>
      </c>
      <c r="E3952" t="s">
        <v>41</v>
      </c>
      <c r="J3952" t="s">
        <v>68</v>
      </c>
      <c r="K3952" t="s">
        <v>69</v>
      </c>
      <c r="L3952">
        <v>10</v>
      </c>
      <c r="M3952" t="s">
        <v>13310</v>
      </c>
      <c r="N3952" t="s">
        <v>64</v>
      </c>
      <c r="O3952" t="s">
        <v>46</v>
      </c>
      <c r="P3952" t="s">
        <v>46</v>
      </c>
      <c r="Y3952" t="s">
        <v>13317</v>
      </c>
    </row>
    <row r="3953" spans="1:25">
      <c r="A3953" t="s">
        <v>13318</v>
      </c>
      <c r="B3953" t="s">
        <v>13319</v>
      </c>
      <c r="D3953" t="s">
        <v>40</v>
      </c>
      <c r="E3953" t="s">
        <v>41</v>
      </c>
      <c r="J3953" t="s">
        <v>76</v>
      </c>
      <c r="K3953" t="s">
        <v>77</v>
      </c>
      <c r="L3953">
        <v>10</v>
      </c>
      <c r="M3953" t="s">
        <v>13310</v>
      </c>
      <c r="N3953" t="s">
        <v>64</v>
      </c>
      <c r="O3953" t="s">
        <v>46</v>
      </c>
      <c r="P3953" t="s">
        <v>46</v>
      </c>
      <c r="Y3953" t="s">
        <v>13320</v>
      </c>
    </row>
    <row r="3954" spans="1:25">
      <c r="A3954" t="s">
        <v>13321</v>
      </c>
      <c r="B3954" t="s">
        <v>13322</v>
      </c>
      <c r="D3954" t="s">
        <v>40</v>
      </c>
      <c r="E3954" t="s">
        <v>41</v>
      </c>
      <c r="J3954" t="s">
        <v>50</v>
      </c>
      <c r="K3954" t="s">
        <v>51</v>
      </c>
      <c r="L3954">
        <v>11</v>
      </c>
      <c r="M3954" t="s">
        <v>13310</v>
      </c>
      <c r="N3954" t="s">
        <v>1229</v>
      </c>
      <c r="O3954" t="s">
        <v>46</v>
      </c>
      <c r="P3954" t="s">
        <v>46</v>
      </c>
      <c r="Y3954" t="s">
        <v>13323</v>
      </c>
    </row>
    <row r="3955" spans="1:25">
      <c r="A3955" t="s">
        <v>13324</v>
      </c>
      <c r="B3955" t="s">
        <v>13325</v>
      </c>
      <c r="D3955" t="s">
        <v>40</v>
      </c>
      <c r="E3955" t="s">
        <v>41</v>
      </c>
      <c r="J3955" t="s">
        <v>76</v>
      </c>
      <c r="K3955" t="s">
        <v>77</v>
      </c>
      <c r="L3955">
        <v>10</v>
      </c>
      <c r="M3955" t="s">
        <v>13310</v>
      </c>
      <c r="N3955" t="s">
        <v>64</v>
      </c>
      <c r="O3955" t="s">
        <v>46</v>
      </c>
      <c r="P3955" t="s">
        <v>46</v>
      </c>
      <c r="Y3955" t="s">
        <v>13326</v>
      </c>
    </row>
    <row r="3956" spans="1:25">
      <c r="A3956" t="s">
        <v>13327</v>
      </c>
      <c r="B3956" t="s">
        <v>13328</v>
      </c>
      <c r="D3956" t="s">
        <v>40</v>
      </c>
      <c r="E3956" t="s">
        <v>41</v>
      </c>
      <c r="J3956" t="s">
        <v>182</v>
      </c>
      <c r="K3956" t="s">
        <v>183</v>
      </c>
      <c r="L3956">
        <v>10</v>
      </c>
      <c r="M3956" t="s">
        <v>13310</v>
      </c>
      <c r="N3956" t="s">
        <v>64</v>
      </c>
      <c r="O3956" t="s">
        <v>46</v>
      </c>
      <c r="P3956" t="s">
        <v>46</v>
      </c>
      <c r="Y3956" t="s">
        <v>13329</v>
      </c>
    </row>
    <row r="3957" spans="1:25">
      <c r="A3957" t="s">
        <v>13330</v>
      </c>
      <c r="B3957" t="s">
        <v>13331</v>
      </c>
      <c r="D3957" t="s">
        <v>40</v>
      </c>
      <c r="E3957" t="s">
        <v>41</v>
      </c>
      <c r="J3957" t="s">
        <v>76</v>
      </c>
      <c r="K3957" t="s">
        <v>77</v>
      </c>
      <c r="L3957">
        <v>10</v>
      </c>
      <c r="M3957" t="s">
        <v>13332</v>
      </c>
      <c r="N3957" t="s">
        <v>64</v>
      </c>
      <c r="O3957" t="s">
        <v>46</v>
      </c>
      <c r="P3957" t="s">
        <v>46</v>
      </c>
      <c r="Y3957" t="s">
        <v>13333</v>
      </c>
    </row>
    <row r="3958" spans="1:25">
      <c r="A3958" t="s">
        <v>13334</v>
      </c>
      <c r="B3958" t="s">
        <v>13335</v>
      </c>
      <c r="D3958" t="s">
        <v>40</v>
      </c>
      <c r="E3958" t="s">
        <v>41</v>
      </c>
      <c r="J3958" t="s">
        <v>182</v>
      </c>
      <c r="K3958" t="s">
        <v>183</v>
      </c>
      <c r="L3958">
        <v>10</v>
      </c>
      <c r="M3958" t="s">
        <v>13332</v>
      </c>
      <c r="N3958" t="s">
        <v>64</v>
      </c>
      <c r="O3958" t="s">
        <v>46</v>
      </c>
      <c r="P3958" t="s">
        <v>46</v>
      </c>
      <c r="Y3958" t="s">
        <v>13336</v>
      </c>
    </row>
    <row r="3959" spans="1:25">
      <c r="A3959" t="s">
        <v>13337</v>
      </c>
      <c r="B3959" t="s">
        <v>13338</v>
      </c>
      <c r="D3959" t="s">
        <v>40</v>
      </c>
      <c r="E3959" t="s">
        <v>41</v>
      </c>
      <c r="J3959" t="s">
        <v>182</v>
      </c>
      <c r="K3959" t="s">
        <v>183</v>
      </c>
      <c r="L3959">
        <v>10</v>
      </c>
      <c r="M3959" t="s">
        <v>13332</v>
      </c>
      <c r="N3959" t="s">
        <v>64</v>
      </c>
      <c r="O3959" t="s">
        <v>46</v>
      </c>
      <c r="P3959" t="s">
        <v>46</v>
      </c>
      <c r="Y3959" t="s">
        <v>13339</v>
      </c>
    </row>
    <row r="3960" spans="1:25">
      <c r="A3960" t="s">
        <v>13340</v>
      </c>
      <c r="B3960" t="s">
        <v>13341</v>
      </c>
      <c r="D3960" t="s">
        <v>40</v>
      </c>
      <c r="E3960" t="s">
        <v>41</v>
      </c>
      <c r="J3960" t="s">
        <v>76</v>
      </c>
      <c r="K3960" t="s">
        <v>77</v>
      </c>
      <c r="L3960">
        <v>10</v>
      </c>
      <c r="M3960" t="s">
        <v>13332</v>
      </c>
      <c r="N3960" t="s">
        <v>64</v>
      </c>
      <c r="O3960" t="s">
        <v>46</v>
      </c>
      <c r="P3960" t="s">
        <v>46</v>
      </c>
      <c r="Y3960" t="s">
        <v>13342</v>
      </c>
    </row>
    <row r="3961" spans="1:25">
      <c r="A3961" t="s">
        <v>13343</v>
      </c>
      <c r="B3961" t="s">
        <v>13344</v>
      </c>
      <c r="D3961" t="s">
        <v>40</v>
      </c>
      <c r="E3961" t="s">
        <v>41</v>
      </c>
      <c r="J3961" t="s">
        <v>76</v>
      </c>
      <c r="K3961" t="s">
        <v>77</v>
      </c>
      <c r="L3961">
        <v>10</v>
      </c>
      <c r="M3961" t="s">
        <v>13332</v>
      </c>
      <c r="N3961" t="s">
        <v>64</v>
      </c>
      <c r="O3961" t="s">
        <v>46</v>
      </c>
      <c r="P3961" t="s">
        <v>46</v>
      </c>
      <c r="Y3961" t="s">
        <v>13345</v>
      </c>
    </row>
    <row r="3962" spans="1:25">
      <c r="A3962" t="s">
        <v>13346</v>
      </c>
      <c r="B3962" t="s">
        <v>13347</v>
      </c>
      <c r="D3962" t="s">
        <v>40</v>
      </c>
      <c r="E3962" t="s">
        <v>41</v>
      </c>
      <c r="J3962" t="s">
        <v>182</v>
      </c>
      <c r="K3962" t="s">
        <v>183</v>
      </c>
      <c r="L3962">
        <v>10</v>
      </c>
      <c r="M3962" t="s">
        <v>13348</v>
      </c>
      <c r="N3962" t="s">
        <v>64</v>
      </c>
      <c r="O3962" t="s">
        <v>46</v>
      </c>
      <c r="P3962" t="s">
        <v>46</v>
      </c>
      <c r="Y3962" t="s">
        <v>13349</v>
      </c>
    </row>
    <row r="3963" spans="1:25">
      <c r="A3963" t="s">
        <v>13350</v>
      </c>
      <c r="B3963" t="s">
        <v>13351</v>
      </c>
      <c r="D3963" t="s">
        <v>40</v>
      </c>
      <c r="E3963" t="s">
        <v>41</v>
      </c>
      <c r="J3963" t="s">
        <v>182</v>
      </c>
      <c r="K3963" t="s">
        <v>183</v>
      </c>
      <c r="L3963">
        <v>10</v>
      </c>
      <c r="M3963" t="s">
        <v>13352</v>
      </c>
      <c r="N3963" t="s">
        <v>64</v>
      </c>
      <c r="O3963" t="s">
        <v>46</v>
      </c>
      <c r="P3963" t="s">
        <v>46</v>
      </c>
      <c r="Y3963" t="s">
        <v>13353</v>
      </c>
    </row>
    <row r="3964" spans="1:25">
      <c r="A3964" t="s">
        <v>13354</v>
      </c>
      <c r="B3964" t="s">
        <v>13355</v>
      </c>
      <c r="D3964" t="s">
        <v>40</v>
      </c>
      <c r="E3964" t="s">
        <v>41</v>
      </c>
      <c r="J3964" t="s">
        <v>182</v>
      </c>
      <c r="K3964" t="s">
        <v>183</v>
      </c>
      <c r="L3964">
        <v>10</v>
      </c>
      <c r="M3964" t="s">
        <v>13352</v>
      </c>
      <c r="N3964" t="s">
        <v>64</v>
      </c>
      <c r="O3964" t="s">
        <v>46</v>
      </c>
      <c r="P3964" t="s">
        <v>46</v>
      </c>
      <c r="Y3964" t="s">
        <v>13356</v>
      </c>
    </row>
    <row r="3965" spans="1:25">
      <c r="A3965" t="s">
        <v>13357</v>
      </c>
      <c r="B3965" t="s">
        <v>13358</v>
      </c>
      <c r="D3965" t="s">
        <v>40</v>
      </c>
      <c r="E3965" t="s">
        <v>41</v>
      </c>
      <c r="J3965" t="s">
        <v>68</v>
      </c>
      <c r="K3965" t="s">
        <v>69</v>
      </c>
      <c r="L3965">
        <v>10</v>
      </c>
      <c r="M3965" t="s">
        <v>13352</v>
      </c>
      <c r="N3965" t="s">
        <v>64</v>
      </c>
      <c r="O3965" t="s">
        <v>46</v>
      </c>
      <c r="P3965" t="s">
        <v>46</v>
      </c>
      <c r="Y3965" t="s">
        <v>13359</v>
      </c>
    </row>
    <row r="3966" spans="1:25">
      <c r="A3966" t="s">
        <v>13360</v>
      </c>
      <c r="B3966" t="s">
        <v>13361</v>
      </c>
      <c r="D3966" t="s">
        <v>40</v>
      </c>
      <c r="E3966" t="s">
        <v>41</v>
      </c>
      <c r="J3966" t="s">
        <v>76</v>
      </c>
      <c r="K3966" t="s">
        <v>77</v>
      </c>
      <c r="L3966">
        <v>10</v>
      </c>
      <c r="M3966" t="s">
        <v>13352</v>
      </c>
      <c r="N3966" t="s">
        <v>64</v>
      </c>
      <c r="O3966" t="s">
        <v>46</v>
      </c>
      <c r="P3966" t="s">
        <v>46</v>
      </c>
      <c r="Y3966" t="s">
        <v>13362</v>
      </c>
    </row>
    <row r="3967" spans="1:25">
      <c r="A3967" t="s">
        <v>13363</v>
      </c>
      <c r="B3967" t="s">
        <v>13364</v>
      </c>
      <c r="D3967" t="s">
        <v>40</v>
      </c>
      <c r="E3967" t="s">
        <v>41</v>
      </c>
      <c r="J3967" t="s">
        <v>76</v>
      </c>
      <c r="K3967" t="s">
        <v>77</v>
      </c>
      <c r="L3967">
        <v>10</v>
      </c>
      <c r="M3967" t="s">
        <v>13352</v>
      </c>
      <c r="N3967" t="s">
        <v>64</v>
      </c>
      <c r="O3967" t="s">
        <v>46</v>
      </c>
      <c r="P3967" t="s">
        <v>46</v>
      </c>
      <c r="Y3967" t="s">
        <v>13365</v>
      </c>
    </row>
    <row r="3968" spans="1:25">
      <c r="A3968" t="s">
        <v>13366</v>
      </c>
      <c r="B3968" t="s">
        <v>13367</v>
      </c>
      <c r="D3968" t="s">
        <v>40</v>
      </c>
      <c r="E3968" t="s">
        <v>41</v>
      </c>
      <c r="J3968" t="s">
        <v>42</v>
      </c>
      <c r="K3968" t="s">
        <v>43</v>
      </c>
      <c r="L3968">
        <v>10</v>
      </c>
      <c r="M3968" t="s">
        <v>13368</v>
      </c>
      <c r="N3968" t="s">
        <v>310</v>
      </c>
      <c r="O3968" t="s">
        <v>46</v>
      </c>
      <c r="P3968" t="s">
        <v>46</v>
      </c>
      <c r="Y3968" t="s">
        <v>13369</v>
      </c>
    </row>
    <row r="3969" spans="1:25">
      <c r="A3969" t="s">
        <v>13370</v>
      </c>
      <c r="B3969" t="s">
        <v>13371</v>
      </c>
      <c r="D3969" t="s">
        <v>40</v>
      </c>
      <c r="E3969" t="s">
        <v>41</v>
      </c>
      <c r="J3969" t="s">
        <v>42</v>
      </c>
      <c r="K3969" t="s">
        <v>43</v>
      </c>
      <c r="L3969">
        <v>10</v>
      </c>
      <c r="M3969" t="s">
        <v>13372</v>
      </c>
      <c r="N3969" t="s">
        <v>1446</v>
      </c>
      <c r="O3969" t="s">
        <v>46</v>
      </c>
      <c r="P3969" t="s">
        <v>46</v>
      </c>
      <c r="Y3969" t="s">
        <v>13373</v>
      </c>
    </row>
    <row r="3970" spans="1:25">
      <c r="A3970" t="s">
        <v>13374</v>
      </c>
      <c r="B3970" t="s">
        <v>13375</v>
      </c>
      <c r="D3970" t="s">
        <v>40</v>
      </c>
      <c r="E3970" t="s">
        <v>41</v>
      </c>
      <c r="J3970" t="s">
        <v>182</v>
      </c>
      <c r="K3970" t="s">
        <v>183</v>
      </c>
      <c r="L3970">
        <v>9</v>
      </c>
      <c r="M3970" t="s">
        <v>13376</v>
      </c>
      <c r="N3970" t="s">
        <v>64</v>
      </c>
      <c r="O3970" t="s">
        <v>46</v>
      </c>
      <c r="P3970" t="s">
        <v>46</v>
      </c>
      <c r="Y3970" t="s">
        <v>13377</v>
      </c>
    </row>
    <row r="3971" spans="1:25">
      <c r="A3971" t="s">
        <v>13378</v>
      </c>
      <c r="B3971" t="s">
        <v>13379</v>
      </c>
      <c r="D3971" t="s">
        <v>40</v>
      </c>
      <c r="E3971" t="s">
        <v>41</v>
      </c>
      <c r="J3971" t="s">
        <v>182</v>
      </c>
      <c r="K3971" t="s">
        <v>183</v>
      </c>
      <c r="L3971">
        <v>10</v>
      </c>
      <c r="M3971" t="s">
        <v>13380</v>
      </c>
      <c r="N3971" t="s">
        <v>64</v>
      </c>
      <c r="O3971" t="s">
        <v>46</v>
      </c>
      <c r="P3971" t="s">
        <v>46</v>
      </c>
      <c r="Y3971" t="s">
        <v>13381</v>
      </c>
    </row>
    <row r="3972" spans="1:25">
      <c r="A3972" t="s">
        <v>13382</v>
      </c>
      <c r="B3972" t="s">
        <v>13383</v>
      </c>
      <c r="D3972" t="s">
        <v>40</v>
      </c>
      <c r="E3972" t="s">
        <v>41</v>
      </c>
      <c r="J3972" t="s">
        <v>68</v>
      </c>
      <c r="K3972" t="s">
        <v>69</v>
      </c>
      <c r="L3972">
        <v>10</v>
      </c>
      <c r="M3972" t="s">
        <v>13380</v>
      </c>
      <c r="N3972" t="s">
        <v>64</v>
      </c>
      <c r="O3972" t="s">
        <v>46</v>
      </c>
      <c r="P3972" t="s">
        <v>46</v>
      </c>
      <c r="Y3972" t="s">
        <v>13384</v>
      </c>
    </row>
    <row r="3973" spans="1:25">
      <c r="A3973" t="s">
        <v>13385</v>
      </c>
      <c r="B3973" t="s">
        <v>13386</v>
      </c>
      <c r="D3973" t="s">
        <v>40</v>
      </c>
      <c r="E3973" t="s">
        <v>41</v>
      </c>
      <c r="J3973" t="s">
        <v>182</v>
      </c>
      <c r="K3973" t="s">
        <v>183</v>
      </c>
      <c r="L3973">
        <v>10</v>
      </c>
      <c r="M3973" t="s">
        <v>13380</v>
      </c>
      <c r="N3973" t="s">
        <v>64</v>
      </c>
      <c r="O3973" t="s">
        <v>46</v>
      </c>
      <c r="P3973" t="s">
        <v>46</v>
      </c>
      <c r="Y3973" t="s">
        <v>13387</v>
      </c>
    </row>
    <row r="3974" spans="1:25">
      <c r="A3974" t="s">
        <v>13388</v>
      </c>
      <c r="B3974" t="s">
        <v>13389</v>
      </c>
      <c r="D3974" t="s">
        <v>40</v>
      </c>
      <c r="E3974" t="s">
        <v>41</v>
      </c>
      <c r="J3974" t="s">
        <v>42</v>
      </c>
      <c r="K3974" t="s">
        <v>43</v>
      </c>
      <c r="L3974">
        <v>10</v>
      </c>
      <c r="M3974" t="s">
        <v>13380</v>
      </c>
      <c r="N3974" t="s">
        <v>2154</v>
      </c>
      <c r="O3974" t="s">
        <v>46</v>
      </c>
      <c r="P3974" t="s">
        <v>46</v>
      </c>
      <c r="Y3974" t="s">
        <v>13390</v>
      </c>
    </row>
    <row r="3975" spans="1:25">
      <c r="A3975" t="s">
        <v>13391</v>
      </c>
      <c r="B3975" t="s">
        <v>13392</v>
      </c>
      <c r="D3975" t="s">
        <v>40</v>
      </c>
      <c r="E3975" t="s">
        <v>41</v>
      </c>
      <c r="J3975" t="s">
        <v>182</v>
      </c>
      <c r="K3975" t="s">
        <v>183</v>
      </c>
      <c r="L3975">
        <v>10</v>
      </c>
      <c r="M3975" t="s">
        <v>13393</v>
      </c>
      <c r="N3975" t="s">
        <v>64</v>
      </c>
      <c r="O3975" t="s">
        <v>46</v>
      </c>
      <c r="P3975" t="s">
        <v>46</v>
      </c>
      <c r="Y3975" t="s">
        <v>13394</v>
      </c>
    </row>
    <row r="3976" spans="1:25">
      <c r="A3976" t="s">
        <v>13395</v>
      </c>
      <c r="B3976" t="s">
        <v>13396</v>
      </c>
      <c r="D3976" t="s">
        <v>40</v>
      </c>
      <c r="E3976" t="s">
        <v>41</v>
      </c>
      <c r="J3976" t="s">
        <v>42</v>
      </c>
      <c r="K3976" t="s">
        <v>43</v>
      </c>
      <c r="L3976">
        <v>10</v>
      </c>
      <c r="M3976" t="s">
        <v>13393</v>
      </c>
      <c r="N3976" t="s">
        <v>950</v>
      </c>
      <c r="O3976" t="s">
        <v>46</v>
      </c>
      <c r="P3976" t="s">
        <v>46</v>
      </c>
      <c r="Y3976" t="s">
        <v>13397</v>
      </c>
    </row>
    <row r="3977" spans="1:25">
      <c r="A3977" t="s">
        <v>13398</v>
      </c>
      <c r="B3977" t="s">
        <v>13399</v>
      </c>
      <c r="D3977" t="s">
        <v>40</v>
      </c>
      <c r="E3977" t="s">
        <v>41</v>
      </c>
      <c r="J3977" t="s">
        <v>182</v>
      </c>
      <c r="K3977" t="s">
        <v>183</v>
      </c>
      <c r="L3977">
        <v>10</v>
      </c>
      <c r="M3977" t="s">
        <v>13393</v>
      </c>
      <c r="N3977" t="s">
        <v>64</v>
      </c>
      <c r="O3977" t="s">
        <v>46</v>
      </c>
      <c r="P3977" t="s">
        <v>46</v>
      </c>
      <c r="Y3977" t="s">
        <v>13400</v>
      </c>
    </row>
    <row r="3978" spans="1:25">
      <c r="A3978" t="s">
        <v>13401</v>
      </c>
      <c r="B3978" t="s">
        <v>13402</v>
      </c>
      <c r="D3978" t="s">
        <v>40</v>
      </c>
      <c r="E3978" t="s">
        <v>41</v>
      </c>
      <c r="J3978" t="s">
        <v>182</v>
      </c>
      <c r="K3978" t="s">
        <v>183</v>
      </c>
      <c r="L3978">
        <v>10</v>
      </c>
      <c r="M3978" t="s">
        <v>13403</v>
      </c>
      <c r="N3978" t="s">
        <v>64</v>
      </c>
      <c r="O3978" t="s">
        <v>46</v>
      </c>
      <c r="P3978" t="s">
        <v>46</v>
      </c>
      <c r="Y3978" t="s">
        <v>13404</v>
      </c>
    </row>
    <row r="3979" spans="1:25">
      <c r="A3979" t="s">
        <v>13405</v>
      </c>
      <c r="B3979" t="s">
        <v>13406</v>
      </c>
      <c r="D3979" t="s">
        <v>40</v>
      </c>
      <c r="E3979" t="s">
        <v>41</v>
      </c>
      <c r="J3979" t="s">
        <v>182</v>
      </c>
      <c r="K3979" t="s">
        <v>183</v>
      </c>
      <c r="L3979">
        <v>10</v>
      </c>
      <c r="M3979" t="s">
        <v>13407</v>
      </c>
      <c r="N3979" t="s">
        <v>64</v>
      </c>
      <c r="O3979" t="s">
        <v>46</v>
      </c>
      <c r="P3979" t="s">
        <v>46</v>
      </c>
      <c r="Y3979" t="s">
        <v>13408</v>
      </c>
    </row>
    <row r="3980" spans="1:25">
      <c r="A3980" t="s">
        <v>13409</v>
      </c>
      <c r="B3980" t="s">
        <v>13410</v>
      </c>
      <c r="D3980" t="s">
        <v>40</v>
      </c>
      <c r="E3980" t="s">
        <v>41</v>
      </c>
      <c r="J3980" t="s">
        <v>182</v>
      </c>
      <c r="K3980" t="s">
        <v>183</v>
      </c>
      <c r="L3980">
        <v>10</v>
      </c>
      <c r="M3980" t="s">
        <v>13407</v>
      </c>
      <c r="N3980" t="s">
        <v>64</v>
      </c>
      <c r="O3980" t="s">
        <v>46</v>
      </c>
      <c r="P3980" t="s">
        <v>46</v>
      </c>
      <c r="Y3980" t="s">
        <v>13411</v>
      </c>
    </row>
    <row r="3981" spans="1:25">
      <c r="A3981" t="s">
        <v>13412</v>
      </c>
      <c r="B3981" t="s">
        <v>13413</v>
      </c>
      <c r="D3981" t="s">
        <v>40</v>
      </c>
      <c r="E3981" t="s">
        <v>41</v>
      </c>
      <c r="J3981" t="s">
        <v>68</v>
      </c>
      <c r="K3981" t="s">
        <v>69</v>
      </c>
      <c r="L3981">
        <v>10</v>
      </c>
      <c r="M3981" t="s">
        <v>13407</v>
      </c>
      <c r="N3981" t="s">
        <v>64</v>
      </c>
      <c r="O3981" t="s">
        <v>46</v>
      </c>
      <c r="P3981" t="s">
        <v>46</v>
      </c>
      <c r="Y3981" t="s">
        <v>13414</v>
      </c>
    </row>
    <row r="3982" spans="1:25">
      <c r="A3982" t="s">
        <v>13415</v>
      </c>
      <c r="B3982" t="s">
        <v>13416</v>
      </c>
      <c r="D3982" t="s">
        <v>40</v>
      </c>
      <c r="E3982" t="s">
        <v>41</v>
      </c>
      <c r="J3982" t="s">
        <v>182</v>
      </c>
      <c r="K3982" t="s">
        <v>183</v>
      </c>
      <c r="L3982">
        <v>10</v>
      </c>
      <c r="M3982" t="s">
        <v>13417</v>
      </c>
      <c r="N3982" t="s">
        <v>64</v>
      </c>
      <c r="O3982" t="s">
        <v>46</v>
      </c>
      <c r="P3982" t="s">
        <v>46</v>
      </c>
      <c r="Y3982" t="s">
        <v>13418</v>
      </c>
    </row>
    <row r="3983" spans="1:25">
      <c r="A3983" t="s">
        <v>13419</v>
      </c>
      <c r="B3983" t="s">
        <v>13420</v>
      </c>
      <c r="D3983" t="s">
        <v>40</v>
      </c>
      <c r="E3983" t="s">
        <v>41</v>
      </c>
      <c r="J3983" t="s">
        <v>182</v>
      </c>
      <c r="K3983" t="s">
        <v>183</v>
      </c>
      <c r="L3983">
        <v>10</v>
      </c>
      <c r="M3983" t="s">
        <v>13417</v>
      </c>
      <c r="N3983" t="s">
        <v>64</v>
      </c>
      <c r="O3983" t="s">
        <v>46</v>
      </c>
      <c r="P3983" t="s">
        <v>46</v>
      </c>
      <c r="Y3983" t="s">
        <v>13421</v>
      </c>
    </row>
    <row r="3984" spans="1:25">
      <c r="A3984" t="s">
        <v>13422</v>
      </c>
      <c r="B3984" t="s">
        <v>13423</v>
      </c>
      <c r="D3984" t="s">
        <v>40</v>
      </c>
      <c r="E3984" t="s">
        <v>41</v>
      </c>
      <c r="J3984" t="s">
        <v>182</v>
      </c>
      <c r="K3984" t="s">
        <v>183</v>
      </c>
      <c r="L3984">
        <v>10</v>
      </c>
      <c r="M3984" t="s">
        <v>13417</v>
      </c>
      <c r="N3984" t="s">
        <v>64</v>
      </c>
      <c r="O3984" t="s">
        <v>46</v>
      </c>
      <c r="P3984" t="s">
        <v>46</v>
      </c>
      <c r="Y3984" t="s">
        <v>13424</v>
      </c>
    </row>
    <row r="3985" spans="1:25">
      <c r="A3985" t="s">
        <v>13425</v>
      </c>
      <c r="B3985" t="s">
        <v>13426</v>
      </c>
      <c r="D3985" t="s">
        <v>40</v>
      </c>
      <c r="E3985" t="s">
        <v>41</v>
      </c>
      <c r="J3985" t="s">
        <v>68</v>
      </c>
      <c r="K3985" t="s">
        <v>69</v>
      </c>
      <c r="L3985">
        <v>10</v>
      </c>
      <c r="M3985" t="s">
        <v>13417</v>
      </c>
      <c r="N3985" t="s">
        <v>64</v>
      </c>
      <c r="O3985" t="s">
        <v>46</v>
      </c>
      <c r="P3985" t="s">
        <v>46</v>
      </c>
      <c r="Y3985" t="s">
        <v>13427</v>
      </c>
    </row>
    <row r="3986" spans="1:25">
      <c r="A3986" t="s">
        <v>13428</v>
      </c>
      <c r="B3986" t="s">
        <v>13429</v>
      </c>
      <c r="D3986" t="s">
        <v>40</v>
      </c>
      <c r="E3986" t="s">
        <v>41</v>
      </c>
      <c r="J3986" t="s">
        <v>76</v>
      </c>
      <c r="K3986" t="s">
        <v>77</v>
      </c>
      <c r="L3986">
        <v>10</v>
      </c>
      <c r="M3986" t="s">
        <v>13430</v>
      </c>
      <c r="N3986" t="s">
        <v>64</v>
      </c>
      <c r="O3986" t="s">
        <v>46</v>
      </c>
      <c r="P3986" t="s">
        <v>46</v>
      </c>
      <c r="Y3986" t="s">
        <v>13431</v>
      </c>
    </row>
    <row r="3987" spans="1:25">
      <c r="A3987" t="s">
        <v>13432</v>
      </c>
      <c r="B3987" t="s">
        <v>13433</v>
      </c>
      <c r="D3987" t="s">
        <v>40</v>
      </c>
      <c r="E3987" t="s">
        <v>41</v>
      </c>
      <c r="J3987" t="s">
        <v>42</v>
      </c>
      <c r="K3987" t="s">
        <v>43</v>
      </c>
      <c r="L3987">
        <v>10</v>
      </c>
      <c r="M3987" t="s">
        <v>13430</v>
      </c>
      <c r="N3987" t="s">
        <v>210</v>
      </c>
      <c r="O3987" t="s">
        <v>46</v>
      </c>
      <c r="P3987" t="s">
        <v>46</v>
      </c>
      <c r="Y3987" t="s">
        <v>13434</v>
      </c>
    </row>
    <row r="3988" spans="1:25">
      <c r="A3988" t="s">
        <v>13435</v>
      </c>
      <c r="B3988" t="s">
        <v>13436</v>
      </c>
      <c r="D3988" t="s">
        <v>40</v>
      </c>
      <c r="E3988" t="s">
        <v>41</v>
      </c>
      <c r="J3988" t="s">
        <v>182</v>
      </c>
      <c r="K3988" t="s">
        <v>183</v>
      </c>
      <c r="L3988">
        <v>10</v>
      </c>
      <c r="M3988" t="s">
        <v>13430</v>
      </c>
      <c r="N3988" t="s">
        <v>64</v>
      </c>
      <c r="O3988" t="s">
        <v>46</v>
      </c>
      <c r="P3988" t="s">
        <v>46</v>
      </c>
      <c r="Y3988" t="s">
        <v>13437</v>
      </c>
    </row>
    <row r="3989" spans="1:25">
      <c r="A3989" t="s">
        <v>13438</v>
      </c>
      <c r="B3989" t="s">
        <v>13439</v>
      </c>
      <c r="D3989" t="s">
        <v>40</v>
      </c>
      <c r="E3989" t="s">
        <v>41</v>
      </c>
      <c r="J3989" t="s">
        <v>76</v>
      </c>
      <c r="K3989" t="s">
        <v>77</v>
      </c>
      <c r="L3989">
        <v>10</v>
      </c>
      <c r="M3989" t="s">
        <v>13430</v>
      </c>
      <c r="N3989" t="s">
        <v>64</v>
      </c>
      <c r="O3989" t="s">
        <v>46</v>
      </c>
      <c r="P3989" t="s">
        <v>46</v>
      </c>
      <c r="Y3989" t="s">
        <v>13440</v>
      </c>
    </row>
    <row r="3990" spans="1:25">
      <c r="A3990" t="s">
        <v>13441</v>
      </c>
      <c r="B3990" t="s">
        <v>13442</v>
      </c>
      <c r="D3990" t="s">
        <v>40</v>
      </c>
      <c r="E3990" t="s">
        <v>41</v>
      </c>
      <c r="J3990" t="s">
        <v>182</v>
      </c>
      <c r="K3990" t="s">
        <v>183</v>
      </c>
      <c r="L3990">
        <v>10</v>
      </c>
      <c r="M3990" t="s">
        <v>13430</v>
      </c>
      <c r="N3990" t="s">
        <v>64</v>
      </c>
      <c r="O3990" t="s">
        <v>46</v>
      </c>
      <c r="P3990" t="s">
        <v>46</v>
      </c>
      <c r="Y3990" t="s">
        <v>13443</v>
      </c>
    </row>
    <row r="3991" spans="1:25">
      <c r="A3991" t="s">
        <v>13444</v>
      </c>
      <c r="B3991" t="s">
        <v>13445</v>
      </c>
      <c r="D3991" t="s">
        <v>40</v>
      </c>
      <c r="E3991" t="s">
        <v>41</v>
      </c>
      <c r="J3991" t="s">
        <v>182</v>
      </c>
      <c r="K3991" t="s">
        <v>183</v>
      </c>
      <c r="L3991">
        <v>10</v>
      </c>
      <c r="M3991" t="s">
        <v>13430</v>
      </c>
      <c r="N3991" t="s">
        <v>64</v>
      </c>
      <c r="O3991" t="s">
        <v>46</v>
      </c>
      <c r="P3991" t="s">
        <v>46</v>
      </c>
      <c r="Y3991" t="s">
        <v>13446</v>
      </c>
    </row>
    <row r="3992" spans="1:25">
      <c r="A3992" t="s">
        <v>13447</v>
      </c>
      <c r="B3992" t="s">
        <v>13448</v>
      </c>
      <c r="D3992" t="s">
        <v>40</v>
      </c>
      <c r="E3992" t="s">
        <v>41</v>
      </c>
      <c r="J3992" t="s">
        <v>42</v>
      </c>
      <c r="K3992" t="s">
        <v>43</v>
      </c>
      <c r="L3992">
        <v>10</v>
      </c>
      <c r="M3992" t="s">
        <v>13430</v>
      </c>
      <c r="N3992" t="s">
        <v>1344</v>
      </c>
      <c r="O3992" t="s">
        <v>46</v>
      </c>
      <c r="P3992" t="s">
        <v>46</v>
      </c>
      <c r="Y3992" t="s">
        <v>13449</v>
      </c>
    </row>
    <row r="3993" spans="1:25">
      <c r="A3993" t="s">
        <v>13450</v>
      </c>
      <c r="B3993" t="s">
        <v>13451</v>
      </c>
      <c r="D3993" t="s">
        <v>40</v>
      </c>
      <c r="E3993" t="s">
        <v>41</v>
      </c>
      <c r="J3993" t="s">
        <v>68</v>
      </c>
      <c r="K3993" t="s">
        <v>69</v>
      </c>
      <c r="L3993">
        <v>10</v>
      </c>
      <c r="M3993" t="s">
        <v>13430</v>
      </c>
      <c r="N3993" t="s">
        <v>64</v>
      </c>
      <c r="O3993" t="s">
        <v>46</v>
      </c>
      <c r="P3993" t="s">
        <v>46</v>
      </c>
      <c r="Y3993" t="s">
        <v>13452</v>
      </c>
    </row>
    <row r="3994" spans="1:25">
      <c r="A3994" t="s">
        <v>13453</v>
      </c>
      <c r="B3994" t="s">
        <v>13454</v>
      </c>
      <c r="D3994" t="s">
        <v>40</v>
      </c>
      <c r="E3994" t="s">
        <v>41</v>
      </c>
      <c r="J3994" t="s">
        <v>68</v>
      </c>
      <c r="K3994" t="s">
        <v>69</v>
      </c>
      <c r="L3994">
        <v>10</v>
      </c>
      <c r="M3994" t="s">
        <v>13430</v>
      </c>
      <c r="N3994" t="s">
        <v>64</v>
      </c>
      <c r="O3994" t="s">
        <v>46</v>
      </c>
      <c r="P3994" t="s">
        <v>46</v>
      </c>
      <c r="Y3994" t="s">
        <v>13455</v>
      </c>
    </row>
    <row r="3995" spans="1:25">
      <c r="A3995" t="s">
        <v>13456</v>
      </c>
      <c r="B3995" t="s">
        <v>13457</v>
      </c>
      <c r="D3995" t="s">
        <v>40</v>
      </c>
      <c r="E3995" t="s">
        <v>41</v>
      </c>
      <c r="J3995" t="s">
        <v>182</v>
      </c>
      <c r="K3995" t="s">
        <v>183</v>
      </c>
      <c r="L3995">
        <v>10</v>
      </c>
      <c r="M3995" t="s">
        <v>13458</v>
      </c>
      <c r="N3995" t="s">
        <v>64</v>
      </c>
      <c r="O3995" t="s">
        <v>46</v>
      </c>
      <c r="P3995" t="s">
        <v>46</v>
      </c>
      <c r="Y3995" t="s">
        <v>13459</v>
      </c>
    </row>
    <row r="3996" spans="1:25">
      <c r="A3996" t="s">
        <v>13460</v>
      </c>
      <c r="B3996" t="s">
        <v>13461</v>
      </c>
      <c r="D3996" t="s">
        <v>40</v>
      </c>
      <c r="E3996" t="s">
        <v>41</v>
      </c>
      <c r="J3996" t="s">
        <v>76</v>
      </c>
      <c r="K3996" t="s">
        <v>77</v>
      </c>
      <c r="L3996">
        <v>10</v>
      </c>
      <c r="M3996" t="s">
        <v>13458</v>
      </c>
      <c r="N3996" t="s">
        <v>64</v>
      </c>
      <c r="O3996" t="s">
        <v>46</v>
      </c>
      <c r="P3996" t="s">
        <v>46</v>
      </c>
      <c r="Y3996" t="s">
        <v>13462</v>
      </c>
    </row>
    <row r="3997" spans="1:25">
      <c r="A3997" t="s">
        <v>13463</v>
      </c>
      <c r="B3997" t="s">
        <v>13464</v>
      </c>
      <c r="D3997" t="s">
        <v>40</v>
      </c>
      <c r="E3997" t="s">
        <v>41</v>
      </c>
      <c r="J3997" t="s">
        <v>68</v>
      </c>
      <c r="K3997" t="s">
        <v>69</v>
      </c>
      <c r="L3997">
        <v>10</v>
      </c>
      <c r="M3997" t="s">
        <v>13458</v>
      </c>
      <c r="N3997" t="s">
        <v>64</v>
      </c>
      <c r="O3997" t="s">
        <v>46</v>
      </c>
      <c r="P3997" t="s">
        <v>46</v>
      </c>
      <c r="Y3997" t="s">
        <v>13465</v>
      </c>
    </row>
    <row r="3998" spans="1:25">
      <c r="A3998" t="s">
        <v>13466</v>
      </c>
      <c r="B3998" t="s">
        <v>13467</v>
      </c>
      <c r="D3998" t="s">
        <v>40</v>
      </c>
      <c r="E3998" t="s">
        <v>41</v>
      </c>
      <c r="J3998" t="s">
        <v>76</v>
      </c>
      <c r="K3998" t="s">
        <v>77</v>
      </c>
      <c r="L3998">
        <v>10</v>
      </c>
      <c r="M3998" t="s">
        <v>13458</v>
      </c>
      <c r="N3998" t="s">
        <v>64</v>
      </c>
      <c r="O3998" t="s">
        <v>46</v>
      </c>
      <c r="P3998" t="s">
        <v>46</v>
      </c>
      <c r="Y3998" t="s">
        <v>13468</v>
      </c>
    </row>
    <row r="3999" spans="1:25">
      <c r="A3999" t="s">
        <v>13469</v>
      </c>
      <c r="B3999" t="s">
        <v>13470</v>
      </c>
      <c r="D3999" t="s">
        <v>40</v>
      </c>
      <c r="E3999" t="s">
        <v>41</v>
      </c>
      <c r="J3999" t="s">
        <v>182</v>
      </c>
      <c r="K3999" t="s">
        <v>183</v>
      </c>
      <c r="L3999">
        <v>10</v>
      </c>
      <c r="M3999" t="s">
        <v>13458</v>
      </c>
      <c r="N3999" t="s">
        <v>64</v>
      </c>
      <c r="O3999" t="s">
        <v>46</v>
      </c>
      <c r="P3999" t="s">
        <v>46</v>
      </c>
      <c r="Y3999" t="s">
        <v>13471</v>
      </c>
    </row>
    <row r="4000" spans="1:25">
      <c r="A4000" t="s">
        <v>13472</v>
      </c>
      <c r="B4000" t="s">
        <v>13473</v>
      </c>
      <c r="D4000" t="s">
        <v>40</v>
      </c>
      <c r="E4000" t="s">
        <v>41</v>
      </c>
      <c r="J4000" t="s">
        <v>68</v>
      </c>
      <c r="K4000" t="s">
        <v>69</v>
      </c>
      <c r="L4000">
        <v>10</v>
      </c>
      <c r="M4000" t="s">
        <v>13474</v>
      </c>
      <c r="N4000" t="s">
        <v>64</v>
      </c>
      <c r="O4000" t="s">
        <v>46</v>
      </c>
      <c r="P4000" t="s">
        <v>46</v>
      </c>
      <c r="Y4000" t="s">
        <v>13475</v>
      </c>
    </row>
    <row r="4001" spans="1:25">
      <c r="A4001" t="s">
        <v>13476</v>
      </c>
      <c r="B4001" t="s">
        <v>13477</v>
      </c>
      <c r="D4001" t="s">
        <v>40</v>
      </c>
      <c r="E4001" t="s">
        <v>41</v>
      </c>
      <c r="J4001" t="s">
        <v>599</v>
      </c>
      <c r="K4001" t="s">
        <v>600</v>
      </c>
      <c r="L4001">
        <v>10</v>
      </c>
      <c r="M4001" t="s">
        <v>13474</v>
      </c>
      <c r="N4001" t="s">
        <v>1276</v>
      </c>
      <c r="O4001" t="s">
        <v>46</v>
      </c>
      <c r="P4001" t="s">
        <v>46</v>
      </c>
      <c r="Y4001" t="s">
        <v>13478</v>
      </c>
    </row>
    <row r="4002" spans="1:25">
      <c r="A4002" t="s">
        <v>13479</v>
      </c>
      <c r="B4002" t="s">
        <v>13480</v>
      </c>
      <c r="D4002" t="s">
        <v>40</v>
      </c>
      <c r="E4002" t="s">
        <v>41</v>
      </c>
      <c r="J4002" t="s">
        <v>182</v>
      </c>
      <c r="K4002" t="s">
        <v>183</v>
      </c>
      <c r="L4002">
        <v>10</v>
      </c>
      <c r="M4002" t="s">
        <v>13474</v>
      </c>
      <c r="N4002" t="s">
        <v>64</v>
      </c>
      <c r="O4002" t="s">
        <v>46</v>
      </c>
      <c r="P4002" t="s">
        <v>46</v>
      </c>
      <c r="Y4002" t="s">
        <v>13481</v>
      </c>
    </row>
    <row r="4003" spans="1:25">
      <c r="A4003" t="s">
        <v>13482</v>
      </c>
      <c r="B4003" t="s">
        <v>13483</v>
      </c>
      <c r="D4003" t="s">
        <v>40</v>
      </c>
      <c r="E4003" t="s">
        <v>41</v>
      </c>
      <c r="J4003" t="s">
        <v>182</v>
      </c>
      <c r="K4003" t="s">
        <v>183</v>
      </c>
      <c r="L4003">
        <v>10</v>
      </c>
      <c r="M4003" t="s">
        <v>13474</v>
      </c>
      <c r="N4003" t="s">
        <v>64</v>
      </c>
      <c r="O4003" t="s">
        <v>46</v>
      </c>
      <c r="P4003" t="s">
        <v>46</v>
      </c>
      <c r="Y4003" t="s">
        <v>13484</v>
      </c>
    </row>
    <row r="4004" spans="1:25">
      <c r="A4004" t="s">
        <v>13485</v>
      </c>
      <c r="B4004" t="s">
        <v>13486</v>
      </c>
      <c r="D4004" t="s">
        <v>40</v>
      </c>
      <c r="E4004" t="s">
        <v>41</v>
      </c>
      <c r="J4004" t="s">
        <v>182</v>
      </c>
      <c r="K4004" t="s">
        <v>183</v>
      </c>
      <c r="L4004">
        <v>10</v>
      </c>
      <c r="M4004" t="s">
        <v>13487</v>
      </c>
      <c r="N4004" t="s">
        <v>64</v>
      </c>
      <c r="O4004" t="s">
        <v>46</v>
      </c>
      <c r="P4004" t="s">
        <v>46</v>
      </c>
      <c r="Y4004" t="s">
        <v>13488</v>
      </c>
    </row>
    <row r="4005" spans="1:25">
      <c r="A4005" t="s">
        <v>13489</v>
      </c>
      <c r="B4005" t="s">
        <v>13490</v>
      </c>
      <c r="D4005" t="s">
        <v>40</v>
      </c>
      <c r="E4005" t="s">
        <v>41</v>
      </c>
      <c r="J4005" t="s">
        <v>139</v>
      </c>
      <c r="K4005" t="s">
        <v>140</v>
      </c>
      <c r="L4005">
        <v>10</v>
      </c>
      <c r="M4005" t="s">
        <v>13487</v>
      </c>
      <c r="N4005" t="s">
        <v>1397</v>
      </c>
      <c r="O4005" t="s">
        <v>46</v>
      </c>
      <c r="P4005" t="s">
        <v>46</v>
      </c>
      <c r="Y4005" t="s">
        <v>13491</v>
      </c>
    </row>
    <row r="4006" spans="1:25">
      <c r="A4006" t="s">
        <v>13492</v>
      </c>
      <c r="B4006" t="s">
        <v>13493</v>
      </c>
      <c r="D4006" t="s">
        <v>40</v>
      </c>
      <c r="E4006" t="s">
        <v>41</v>
      </c>
      <c r="J4006" t="s">
        <v>182</v>
      </c>
      <c r="K4006" t="s">
        <v>183</v>
      </c>
      <c r="L4006">
        <v>10</v>
      </c>
      <c r="M4006" t="s">
        <v>13487</v>
      </c>
      <c r="N4006" t="s">
        <v>64</v>
      </c>
      <c r="O4006" t="s">
        <v>46</v>
      </c>
      <c r="P4006" t="s">
        <v>46</v>
      </c>
      <c r="Y4006" t="s">
        <v>13494</v>
      </c>
    </row>
    <row r="4007" spans="1:25">
      <c r="A4007" t="s">
        <v>13495</v>
      </c>
      <c r="B4007" t="s">
        <v>13496</v>
      </c>
      <c r="D4007" t="s">
        <v>40</v>
      </c>
      <c r="E4007" t="s">
        <v>41</v>
      </c>
      <c r="J4007" t="s">
        <v>76</v>
      </c>
      <c r="K4007" t="s">
        <v>77</v>
      </c>
      <c r="L4007">
        <v>10</v>
      </c>
      <c r="M4007" t="s">
        <v>13487</v>
      </c>
      <c r="N4007" t="s">
        <v>64</v>
      </c>
      <c r="O4007" t="s">
        <v>46</v>
      </c>
      <c r="P4007" t="s">
        <v>46</v>
      </c>
      <c r="Y4007" t="s">
        <v>13497</v>
      </c>
    </row>
    <row r="4008" spans="1:25">
      <c r="A4008" t="s">
        <v>13498</v>
      </c>
      <c r="B4008" t="s">
        <v>13499</v>
      </c>
      <c r="D4008" t="s">
        <v>40</v>
      </c>
      <c r="E4008" t="s">
        <v>41</v>
      </c>
      <c r="J4008" t="s">
        <v>182</v>
      </c>
      <c r="K4008" t="s">
        <v>183</v>
      </c>
      <c r="L4008">
        <v>10</v>
      </c>
      <c r="M4008" t="s">
        <v>13487</v>
      </c>
      <c r="N4008" t="s">
        <v>64</v>
      </c>
      <c r="O4008" t="s">
        <v>46</v>
      </c>
      <c r="P4008" t="s">
        <v>46</v>
      </c>
      <c r="Y4008" t="s">
        <v>13500</v>
      </c>
    </row>
    <row r="4009" spans="1:25">
      <c r="A4009" t="s">
        <v>13501</v>
      </c>
      <c r="B4009" t="s">
        <v>13502</v>
      </c>
      <c r="D4009" t="s">
        <v>40</v>
      </c>
      <c r="E4009" t="s">
        <v>41</v>
      </c>
      <c r="J4009" t="s">
        <v>42</v>
      </c>
      <c r="K4009" t="s">
        <v>43</v>
      </c>
      <c r="L4009">
        <v>10</v>
      </c>
      <c r="M4009" t="s">
        <v>13487</v>
      </c>
      <c r="N4009" t="s">
        <v>924</v>
      </c>
      <c r="O4009" t="s">
        <v>46</v>
      </c>
      <c r="P4009" t="s">
        <v>46</v>
      </c>
      <c r="Y4009" t="s">
        <v>13503</v>
      </c>
    </row>
    <row r="4010" spans="1:25">
      <c r="A4010" t="s">
        <v>13504</v>
      </c>
      <c r="B4010" t="s">
        <v>13505</v>
      </c>
      <c r="D4010" t="s">
        <v>40</v>
      </c>
      <c r="E4010" t="s">
        <v>41</v>
      </c>
      <c r="J4010" t="s">
        <v>182</v>
      </c>
      <c r="K4010" t="s">
        <v>183</v>
      </c>
      <c r="L4010">
        <v>10</v>
      </c>
      <c r="M4010" t="s">
        <v>13506</v>
      </c>
      <c r="N4010" t="s">
        <v>64</v>
      </c>
      <c r="O4010" t="s">
        <v>46</v>
      </c>
      <c r="P4010" t="s">
        <v>46</v>
      </c>
      <c r="Y4010" t="s">
        <v>13507</v>
      </c>
    </row>
    <row r="4011" spans="1:25">
      <c r="A4011" t="s">
        <v>13508</v>
      </c>
      <c r="B4011" t="s">
        <v>13509</v>
      </c>
      <c r="D4011" t="s">
        <v>40</v>
      </c>
      <c r="E4011" t="s">
        <v>41</v>
      </c>
      <c r="J4011" t="s">
        <v>182</v>
      </c>
      <c r="K4011" t="s">
        <v>183</v>
      </c>
      <c r="L4011">
        <v>10</v>
      </c>
      <c r="M4011" t="s">
        <v>13506</v>
      </c>
      <c r="N4011" t="s">
        <v>64</v>
      </c>
      <c r="O4011" t="s">
        <v>46</v>
      </c>
      <c r="P4011" t="s">
        <v>46</v>
      </c>
      <c r="Y4011" t="s">
        <v>13510</v>
      </c>
    </row>
    <row r="4012" spans="1:25">
      <c r="A4012" t="s">
        <v>13511</v>
      </c>
      <c r="B4012" t="s">
        <v>13512</v>
      </c>
      <c r="D4012" t="s">
        <v>40</v>
      </c>
      <c r="E4012" t="s">
        <v>41</v>
      </c>
      <c r="J4012" t="s">
        <v>76</v>
      </c>
      <c r="K4012" t="s">
        <v>77</v>
      </c>
      <c r="L4012">
        <v>10</v>
      </c>
      <c r="M4012" t="s">
        <v>13506</v>
      </c>
      <c r="N4012" t="s">
        <v>64</v>
      </c>
      <c r="O4012" t="s">
        <v>46</v>
      </c>
      <c r="P4012" t="s">
        <v>46</v>
      </c>
      <c r="Y4012" t="s">
        <v>13513</v>
      </c>
    </row>
    <row r="4013" spans="1:25">
      <c r="A4013" t="s">
        <v>13514</v>
      </c>
      <c r="B4013" t="s">
        <v>13515</v>
      </c>
      <c r="D4013" t="s">
        <v>40</v>
      </c>
      <c r="E4013" t="s">
        <v>41</v>
      </c>
      <c r="J4013" t="s">
        <v>76</v>
      </c>
      <c r="K4013" t="s">
        <v>77</v>
      </c>
      <c r="L4013">
        <v>10</v>
      </c>
      <c r="M4013" t="s">
        <v>13506</v>
      </c>
      <c r="N4013" t="s">
        <v>64</v>
      </c>
      <c r="O4013" t="s">
        <v>46</v>
      </c>
      <c r="P4013" t="s">
        <v>46</v>
      </c>
      <c r="Y4013" t="s">
        <v>13516</v>
      </c>
    </row>
    <row r="4014" spans="1:25">
      <c r="A4014" t="s">
        <v>13517</v>
      </c>
      <c r="B4014" t="s">
        <v>13518</v>
      </c>
      <c r="D4014" t="s">
        <v>40</v>
      </c>
      <c r="E4014" t="s">
        <v>41</v>
      </c>
      <c r="J4014" t="s">
        <v>182</v>
      </c>
      <c r="K4014" t="s">
        <v>183</v>
      </c>
      <c r="L4014">
        <v>10</v>
      </c>
      <c r="M4014" t="s">
        <v>13506</v>
      </c>
      <c r="N4014" t="s">
        <v>64</v>
      </c>
      <c r="O4014" t="s">
        <v>46</v>
      </c>
      <c r="P4014" t="s">
        <v>46</v>
      </c>
      <c r="Y4014" t="s">
        <v>13519</v>
      </c>
    </row>
    <row r="4015" spans="1:25">
      <c r="A4015" t="s">
        <v>13520</v>
      </c>
      <c r="B4015" t="s">
        <v>13521</v>
      </c>
      <c r="D4015" t="s">
        <v>40</v>
      </c>
      <c r="E4015" t="s">
        <v>41</v>
      </c>
      <c r="J4015" t="s">
        <v>182</v>
      </c>
      <c r="K4015" t="s">
        <v>183</v>
      </c>
      <c r="L4015">
        <v>10</v>
      </c>
      <c r="M4015" t="s">
        <v>13506</v>
      </c>
      <c r="N4015" t="s">
        <v>64</v>
      </c>
      <c r="O4015" t="s">
        <v>46</v>
      </c>
      <c r="P4015" t="s">
        <v>46</v>
      </c>
      <c r="Y4015" t="s">
        <v>13522</v>
      </c>
    </row>
    <row r="4016" spans="1:25">
      <c r="A4016" t="s">
        <v>13523</v>
      </c>
      <c r="B4016" t="s">
        <v>13524</v>
      </c>
      <c r="D4016" t="s">
        <v>40</v>
      </c>
      <c r="E4016" t="s">
        <v>41</v>
      </c>
      <c r="J4016" t="s">
        <v>182</v>
      </c>
      <c r="K4016" t="s">
        <v>183</v>
      </c>
      <c r="L4016">
        <v>10</v>
      </c>
      <c r="M4016" t="s">
        <v>13506</v>
      </c>
      <c r="N4016" t="s">
        <v>64</v>
      </c>
      <c r="O4016" t="s">
        <v>46</v>
      </c>
      <c r="P4016" t="s">
        <v>46</v>
      </c>
      <c r="Y4016" t="s">
        <v>13525</v>
      </c>
    </row>
    <row r="4017" spans="1:25">
      <c r="A4017" t="s">
        <v>13526</v>
      </c>
      <c r="B4017" t="s">
        <v>13527</v>
      </c>
      <c r="D4017" t="s">
        <v>40</v>
      </c>
      <c r="E4017" t="s">
        <v>41</v>
      </c>
      <c r="J4017" t="s">
        <v>182</v>
      </c>
      <c r="K4017" t="s">
        <v>183</v>
      </c>
      <c r="L4017">
        <v>10</v>
      </c>
      <c r="M4017" t="s">
        <v>13528</v>
      </c>
      <c r="N4017" t="s">
        <v>64</v>
      </c>
      <c r="O4017" t="s">
        <v>46</v>
      </c>
      <c r="P4017" t="s">
        <v>46</v>
      </c>
      <c r="Y4017" t="s">
        <v>13529</v>
      </c>
    </row>
    <row r="4018" spans="1:25">
      <c r="A4018" t="s">
        <v>13530</v>
      </c>
      <c r="B4018" t="s">
        <v>13531</v>
      </c>
      <c r="D4018" t="s">
        <v>40</v>
      </c>
      <c r="E4018" t="s">
        <v>41</v>
      </c>
      <c r="J4018" t="s">
        <v>76</v>
      </c>
      <c r="K4018" t="s">
        <v>77</v>
      </c>
      <c r="L4018">
        <v>10</v>
      </c>
      <c r="M4018" t="s">
        <v>13528</v>
      </c>
      <c r="N4018" t="s">
        <v>64</v>
      </c>
      <c r="O4018" t="s">
        <v>46</v>
      </c>
      <c r="P4018" t="s">
        <v>46</v>
      </c>
      <c r="Y4018" t="s">
        <v>13532</v>
      </c>
    </row>
    <row r="4019" spans="1:25">
      <c r="A4019" t="s">
        <v>13533</v>
      </c>
      <c r="B4019" t="s">
        <v>13534</v>
      </c>
      <c r="D4019" t="s">
        <v>40</v>
      </c>
      <c r="E4019" t="s">
        <v>41</v>
      </c>
      <c r="J4019" t="s">
        <v>76</v>
      </c>
      <c r="K4019" t="s">
        <v>77</v>
      </c>
      <c r="L4019">
        <v>10</v>
      </c>
      <c r="M4019" t="s">
        <v>13528</v>
      </c>
      <c r="N4019" t="s">
        <v>64</v>
      </c>
      <c r="O4019" t="s">
        <v>46</v>
      </c>
      <c r="P4019" t="s">
        <v>46</v>
      </c>
      <c r="Y4019" t="s">
        <v>13535</v>
      </c>
    </row>
    <row r="4020" spans="1:25">
      <c r="A4020" t="s">
        <v>13536</v>
      </c>
      <c r="B4020" t="s">
        <v>13537</v>
      </c>
      <c r="D4020" t="s">
        <v>40</v>
      </c>
      <c r="E4020" t="s">
        <v>41</v>
      </c>
      <c r="J4020" t="s">
        <v>182</v>
      </c>
      <c r="K4020" t="s">
        <v>183</v>
      </c>
      <c r="L4020">
        <v>10</v>
      </c>
      <c r="M4020" t="s">
        <v>13528</v>
      </c>
      <c r="N4020" t="s">
        <v>64</v>
      </c>
      <c r="O4020" t="s">
        <v>46</v>
      </c>
      <c r="P4020" t="s">
        <v>46</v>
      </c>
      <c r="Y4020" t="s">
        <v>13538</v>
      </c>
    </row>
    <row r="4021" spans="1:25">
      <c r="A4021" t="s">
        <v>13539</v>
      </c>
      <c r="B4021" t="s">
        <v>13540</v>
      </c>
      <c r="D4021" t="s">
        <v>40</v>
      </c>
      <c r="E4021" t="s">
        <v>41</v>
      </c>
      <c r="J4021" t="s">
        <v>182</v>
      </c>
      <c r="K4021" t="s">
        <v>183</v>
      </c>
      <c r="L4021">
        <v>10</v>
      </c>
      <c r="M4021" t="s">
        <v>13528</v>
      </c>
      <c r="N4021" t="s">
        <v>64</v>
      </c>
      <c r="O4021" t="s">
        <v>46</v>
      </c>
      <c r="P4021" t="s">
        <v>46</v>
      </c>
      <c r="Y4021" t="s">
        <v>13541</v>
      </c>
    </row>
    <row r="4022" spans="1:25">
      <c r="A4022" t="s">
        <v>13542</v>
      </c>
      <c r="B4022" t="s">
        <v>13543</v>
      </c>
      <c r="D4022" t="s">
        <v>40</v>
      </c>
      <c r="E4022" t="s">
        <v>41</v>
      </c>
      <c r="J4022" t="s">
        <v>248</v>
      </c>
      <c r="K4022" t="s">
        <v>249</v>
      </c>
      <c r="L4022">
        <v>10</v>
      </c>
      <c r="M4022" t="s">
        <v>13544</v>
      </c>
      <c r="N4022" t="s">
        <v>1550</v>
      </c>
      <c r="O4022" t="s">
        <v>46</v>
      </c>
      <c r="P4022" t="s">
        <v>46</v>
      </c>
      <c r="Y4022" t="s">
        <v>13545</v>
      </c>
    </row>
    <row r="4023" spans="1:25">
      <c r="A4023" t="s">
        <v>13546</v>
      </c>
      <c r="B4023" t="s">
        <v>13547</v>
      </c>
      <c r="D4023" t="s">
        <v>40</v>
      </c>
      <c r="E4023" t="s">
        <v>41</v>
      </c>
      <c r="J4023" t="s">
        <v>42</v>
      </c>
      <c r="K4023" t="s">
        <v>43</v>
      </c>
      <c r="L4023">
        <v>10</v>
      </c>
      <c r="M4023" t="s">
        <v>13544</v>
      </c>
      <c r="N4023" t="s">
        <v>1814</v>
      </c>
      <c r="O4023" t="s">
        <v>46</v>
      </c>
      <c r="P4023" t="s">
        <v>46</v>
      </c>
      <c r="Y4023" t="s">
        <v>13548</v>
      </c>
    </row>
    <row r="4024" spans="1:25">
      <c r="A4024" t="s">
        <v>13549</v>
      </c>
      <c r="B4024" t="s">
        <v>13550</v>
      </c>
      <c r="D4024" t="s">
        <v>40</v>
      </c>
      <c r="E4024" t="s">
        <v>41</v>
      </c>
      <c r="J4024" t="s">
        <v>182</v>
      </c>
      <c r="K4024" t="s">
        <v>183</v>
      </c>
      <c r="L4024">
        <v>10</v>
      </c>
      <c r="M4024" t="s">
        <v>13544</v>
      </c>
      <c r="N4024" t="s">
        <v>64</v>
      </c>
      <c r="O4024" t="s">
        <v>46</v>
      </c>
      <c r="P4024" t="s">
        <v>46</v>
      </c>
      <c r="Y4024" t="s">
        <v>13551</v>
      </c>
    </row>
    <row r="4025" spans="1:25">
      <c r="A4025" t="s">
        <v>13552</v>
      </c>
      <c r="B4025" t="s">
        <v>13553</v>
      </c>
      <c r="D4025" t="s">
        <v>40</v>
      </c>
      <c r="E4025" t="s">
        <v>41</v>
      </c>
      <c r="J4025" t="s">
        <v>42</v>
      </c>
      <c r="K4025" t="s">
        <v>43</v>
      </c>
      <c r="L4025">
        <v>10</v>
      </c>
      <c r="M4025" t="s">
        <v>13544</v>
      </c>
      <c r="N4025" t="s">
        <v>4037</v>
      </c>
      <c r="O4025" t="s">
        <v>46</v>
      </c>
      <c r="P4025" t="s">
        <v>46</v>
      </c>
      <c r="Y4025" t="s">
        <v>13554</v>
      </c>
    </row>
    <row r="4026" spans="1:25">
      <c r="A4026" t="s">
        <v>13555</v>
      </c>
      <c r="B4026" t="s">
        <v>13556</v>
      </c>
      <c r="D4026" t="s">
        <v>40</v>
      </c>
      <c r="E4026" t="s">
        <v>41</v>
      </c>
      <c r="J4026" t="s">
        <v>182</v>
      </c>
      <c r="K4026" t="s">
        <v>183</v>
      </c>
      <c r="L4026">
        <v>10</v>
      </c>
      <c r="M4026" t="s">
        <v>13544</v>
      </c>
      <c r="N4026" t="s">
        <v>64</v>
      </c>
      <c r="O4026" t="s">
        <v>46</v>
      </c>
      <c r="P4026" t="s">
        <v>46</v>
      </c>
      <c r="Y4026" t="s">
        <v>13557</v>
      </c>
    </row>
    <row r="4027" spans="1:25">
      <c r="A4027" t="s">
        <v>13558</v>
      </c>
      <c r="B4027" t="s">
        <v>13559</v>
      </c>
      <c r="D4027" t="s">
        <v>40</v>
      </c>
      <c r="E4027" t="s">
        <v>41</v>
      </c>
      <c r="J4027" t="s">
        <v>76</v>
      </c>
      <c r="K4027" t="s">
        <v>77</v>
      </c>
      <c r="L4027">
        <v>10</v>
      </c>
      <c r="M4027" t="s">
        <v>13544</v>
      </c>
      <c r="N4027" t="s">
        <v>64</v>
      </c>
      <c r="O4027" t="s">
        <v>46</v>
      </c>
      <c r="P4027" t="s">
        <v>46</v>
      </c>
      <c r="Y4027" t="s">
        <v>13560</v>
      </c>
    </row>
    <row r="4028" spans="1:25">
      <c r="A4028" t="s">
        <v>13561</v>
      </c>
      <c r="B4028" t="s">
        <v>13562</v>
      </c>
      <c r="D4028" t="s">
        <v>40</v>
      </c>
      <c r="E4028" t="s">
        <v>41</v>
      </c>
      <c r="J4028" t="s">
        <v>76</v>
      </c>
      <c r="K4028" t="s">
        <v>77</v>
      </c>
      <c r="L4028">
        <v>10</v>
      </c>
      <c r="M4028" t="s">
        <v>13544</v>
      </c>
      <c r="N4028" t="s">
        <v>64</v>
      </c>
      <c r="O4028" t="s">
        <v>46</v>
      </c>
      <c r="P4028" t="s">
        <v>46</v>
      </c>
      <c r="Y4028" t="s">
        <v>13563</v>
      </c>
    </row>
    <row r="4029" spans="1:25">
      <c r="A4029" t="s">
        <v>13564</v>
      </c>
      <c r="B4029" t="s">
        <v>13565</v>
      </c>
      <c r="D4029" t="s">
        <v>40</v>
      </c>
      <c r="E4029" t="s">
        <v>41</v>
      </c>
      <c r="J4029" t="s">
        <v>182</v>
      </c>
      <c r="K4029" t="s">
        <v>183</v>
      </c>
      <c r="L4029">
        <v>10</v>
      </c>
      <c r="M4029" t="s">
        <v>13544</v>
      </c>
      <c r="N4029" t="s">
        <v>64</v>
      </c>
      <c r="O4029" t="s">
        <v>46</v>
      </c>
      <c r="P4029" t="s">
        <v>46</v>
      </c>
      <c r="Y4029" t="s">
        <v>13566</v>
      </c>
    </row>
    <row r="4030" spans="1:25">
      <c r="A4030" t="s">
        <v>13567</v>
      </c>
      <c r="B4030" t="s">
        <v>13568</v>
      </c>
      <c r="D4030" t="s">
        <v>40</v>
      </c>
      <c r="E4030" t="s">
        <v>41</v>
      </c>
      <c r="J4030" t="s">
        <v>264</v>
      </c>
      <c r="K4030" t="s">
        <v>265</v>
      </c>
      <c r="L4030">
        <v>10</v>
      </c>
      <c r="M4030" t="s">
        <v>13544</v>
      </c>
      <c r="N4030" t="s">
        <v>2346</v>
      </c>
      <c r="O4030" t="s">
        <v>46</v>
      </c>
      <c r="P4030" t="s">
        <v>46</v>
      </c>
      <c r="Y4030" t="s">
        <v>13569</v>
      </c>
    </row>
    <row r="4031" spans="1:25">
      <c r="A4031" t="s">
        <v>13570</v>
      </c>
      <c r="B4031" t="s">
        <v>13571</v>
      </c>
      <c r="D4031" t="s">
        <v>40</v>
      </c>
      <c r="E4031" t="s">
        <v>41</v>
      </c>
      <c r="J4031" t="s">
        <v>182</v>
      </c>
      <c r="K4031" t="s">
        <v>183</v>
      </c>
      <c r="L4031">
        <v>10</v>
      </c>
      <c r="M4031" t="s">
        <v>13572</v>
      </c>
      <c r="N4031" t="s">
        <v>64</v>
      </c>
      <c r="O4031" t="s">
        <v>46</v>
      </c>
      <c r="P4031" t="s">
        <v>46</v>
      </c>
      <c r="Y4031" t="s">
        <v>13573</v>
      </c>
    </row>
    <row r="4032" spans="1:25">
      <c r="A4032" t="s">
        <v>13574</v>
      </c>
      <c r="B4032" t="s">
        <v>13575</v>
      </c>
      <c r="D4032" t="s">
        <v>40</v>
      </c>
      <c r="E4032" t="s">
        <v>41</v>
      </c>
      <c r="J4032" t="s">
        <v>76</v>
      </c>
      <c r="K4032" t="s">
        <v>77</v>
      </c>
      <c r="L4032">
        <v>10</v>
      </c>
      <c r="M4032" t="s">
        <v>13572</v>
      </c>
      <c r="N4032" t="s">
        <v>64</v>
      </c>
      <c r="O4032" t="s">
        <v>46</v>
      </c>
      <c r="P4032" t="s">
        <v>46</v>
      </c>
      <c r="Y4032" t="s">
        <v>13576</v>
      </c>
    </row>
    <row r="4033" spans="1:25">
      <c r="A4033" t="s">
        <v>13577</v>
      </c>
      <c r="B4033" t="s">
        <v>13578</v>
      </c>
      <c r="D4033" t="s">
        <v>40</v>
      </c>
      <c r="E4033" t="s">
        <v>41</v>
      </c>
      <c r="J4033" t="s">
        <v>182</v>
      </c>
      <c r="K4033" t="s">
        <v>183</v>
      </c>
      <c r="L4033">
        <v>10</v>
      </c>
      <c r="M4033" t="s">
        <v>13572</v>
      </c>
      <c r="N4033" t="s">
        <v>64</v>
      </c>
      <c r="O4033" t="s">
        <v>46</v>
      </c>
      <c r="P4033" t="s">
        <v>46</v>
      </c>
      <c r="Y4033" t="s">
        <v>13579</v>
      </c>
    </row>
    <row r="4034" spans="1:25">
      <c r="A4034" t="s">
        <v>13580</v>
      </c>
      <c r="B4034" t="s">
        <v>13581</v>
      </c>
      <c r="D4034" t="s">
        <v>40</v>
      </c>
      <c r="E4034" t="s">
        <v>41</v>
      </c>
      <c r="J4034" t="s">
        <v>182</v>
      </c>
      <c r="K4034" t="s">
        <v>183</v>
      </c>
      <c r="L4034">
        <v>10</v>
      </c>
      <c r="M4034" t="s">
        <v>13572</v>
      </c>
      <c r="N4034" t="s">
        <v>64</v>
      </c>
      <c r="O4034" t="s">
        <v>46</v>
      </c>
      <c r="P4034" t="s">
        <v>46</v>
      </c>
      <c r="Y4034" t="s">
        <v>13582</v>
      </c>
    </row>
    <row r="4035" spans="1:25">
      <c r="A4035" t="s">
        <v>13583</v>
      </c>
      <c r="B4035" t="s">
        <v>13584</v>
      </c>
      <c r="D4035" t="s">
        <v>40</v>
      </c>
      <c r="E4035" t="s">
        <v>41</v>
      </c>
      <c r="J4035" t="s">
        <v>182</v>
      </c>
      <c r="K4035" t="s">
        <v>183</v>
      </c>
      <c r="L4035">
        <v>10</v>
      </c>
      <c r="M4035" t="s">
        <v>13585</v>
      </c>
      <c r="N4035" t="s">
        <v>64</v>
      </c>
      <c r="O4035" t="s">
        <v>46</v>
      </c>
      <c r="P4035" t="s">
        <v>46</v>
      </c>
      <c r="Y4035" t="s">
        <v>13586</v>
      </c>
    </row>
    <row r="4036" spans="1:25">
      <c r="A4036" t="s">
        <v>13587</v>
      </c>
      <c r="B4036" t="s">
        <v>13588</v>
      </c>
      <c r="D4036" t="s">
        <v>40</v>
      </c>
      <c r="E4036" t="s">
        <v>41</v>
      </c>
      <c r="J4036" t="s">
        <v>76</v>
      </c>
      <c r="K4036" t="s">
        <v>77</v>
      </c>
      <c r="L4036">
        <v>10</v>
      </c>
      <c r="M4036" t="s">
        <v>13589</v>
      </c>
      <c r="N4036" t="s">
        <v>64</v>
      </c>
      <c r="O4036" t="s">
        <v>46</v>
      </c>
      <c r="P4036" t="s">
        <v>46</v>
      </c>
      <c r="Y4036" t="s">
        <v>13590</v>
      </c>
    </row>
    <row r="4037" spans="1:25">
      <c r="A4037" t="s">
        <v>13591</v>
      </c>
      <c r="B4037" t="s">
        <v>13592</v>
      </c>
      <c r="D4037" t="s">
        <v>40</v>
      </c>
      <c r="E4037" t="s">
        <v>41</v>
      </c>
      <c r="J4037" t="s">
        <v>76</v>
      </c>
      <c r="K4037" t="s">
        <v>77</v>
      </c>
      <c r="L4037">
        <v>10</v>
      </c>
      <c r="M4037" t="s">
        <v>13589</v>
      </c>
      <c r="N4037" t="s">
        <v>64</v>
      </c>
      <c r="O4037" t="s">
        <v>46</v>
      </c>
      <c r="P4037" t="s">
        <v>46</v>
      </c>
      <c r="Y4037" t="s">
        <v>13593</v>
      </c>
    </row>
    <row r="4038" spans="1:25">
      <c r="A4038" t="s">
        <v>13594</v>
      </c>
      <c r="B4038" t="s">
        <v>13595</v>
      </c>
      <c r="D4038" t="s">
        <v>40</v>
      </c>
      <c r="E4038" t="s">
        <v>41</v>
      </c>
      <c r="J4038" t="s">
        <v>182</v>
      </c>
      <c r="K4038" t="s">
        <v>183</v>
      </c>
      <c r="L4038">
        <v>10</v>
      </c>
      <c r="M4038" t="s">
        <v>13589</v>
      </c>
      <c r="N4038" t="s">
        <v>64</v>
      </c>
      <c r="O4038" t="s">
        <v>46</v>
      </c>
      <c r="P4038" t="s">
        <v>46</v>
      </c>
      <c r="Y4038" t="s">
        <v>13596</v>
      </c>
    </row>
    <row r="4039" spans="1:25">
      <c r="A4039" t="s">
        <v>13597</v>
      </c>
      <c r="B4039" t="s">
        <v>13598</v>
      </c>
      <c r="D4039" t="s">
        <v>40</v>
      </c>
      <c r="E4039" t="s">
        <v>41</v>
      </c>
      <c r="J4039" t="s">
        <v>76</v>
      </c>
      <c r="K4039" t="s">
        <v>77</v>
      </c>
      <c r="L4039">
        <v>10</v>
      </c>
      <c r="M4039" t="s">
        <v>13589</v>
      </c>
      <c r="N4039" t="s">
        <v>64</v>
      </c>
      <c r="O4039" t="s">
        <v>46</v>
      </c>
      <c r="P4039" t="s">
        <v>46</v>
      </c>
      <c r="Y4039" t="s">
        <v>13599</v>
      </c>
    </row>
    <row r="4040" spans="1:25">
      <c r="A4040" t="s">
        <v>13600</v>
      </c>
      <c r="B4040" t="s">
        <v>13601</v>
      </c>
      <c r="D4040" t="s">
        <v>40</v>
      </c>
      <c r="E4040" t="s">
        <v>41</v>
      </c>
      <c r="J4040" t="s">
        <v>76</v>
      </c>
      <c r="K4040" t="s">
        <v>77</v>
      </c>
      <c r="L4040">
        <v>10</v>
      </c>
      <c r="M4040" t="s">
        <v>13589</v>
      </c>
      <c r="N4040" t="s">
        <v>64</v>
      </c>
      <c r="O4040" t="s">
        <v>46</v>
      </c>
      <c r="P4040" t="s">
        <v>46</v>
      </c>
      <c r="Y4040" t="s">
        <v>13602</v>
      </c>
    </row>
    <row r="4041" spans="1:25">
      <c r="A4041" t="s">
        <v>13603</v>
      </c>
      <c r="B4041" t="s">
        <v>13604</v>
      </c>
      <c r="D4041" t="s">
        <v>40</v>
      </c>
      <c r="E4041" t="s">
        <v>41</v>
      </c>
      <c r="J4041" t="s">
        <v>182</v>
      </c>
      <c r="K4041" t="s">
        <v>183</v>
      </c>
      <c r="L4041">
        <v>10</v>
      </c>
      <c r="M4041" t="s">
        <v>13589</v>
      </c>
      <c r="N4041" t="s">
        <v>64</v>
      </c>
      <c r="O4041" t="s">
        <v>46</v>
      </c>
      <c r="P4041" t="s">
        <v>46</v>
      </c>
      <c r="Y4041" t="s">
        <v>13605</v>
      </c>
    </row>
    <row r="4042" spans="1:25">
      <c r="A4042" t="s">
        <v>13606</v>
      </c>
      <c r="B4042" t="s">
        <v>13607</v>
      </c>
      <c r="D4042" t="s">
        <v>40</v>
      </c>
      <c r="E4042" t="s">
        <v>41</v>
      </c>
      <c r="J4042" t="s">
        <v>76</v>
      </c>
      <c r="K4042" t="s">
        <v>77</v>
      </c>
      <c r="L4042">
        <v>10</v>
      </c>
      <c r="M4042" t="s">
        <v>13608</v>
      </c>
      <c r="N4042" t="s">
        <v>64</v>
      </c>
      <c r="O4042" t="s">
        <v>46</v>
      </c>
      <c r="P4042" t="s">
        <v>46</v>
      </c>
      <c r="Y4042" t="s">
        <v>13609</v>
      </c>
    </row>
    <row r="4043" spans="1:25">
      <c r="A4043" t="s">
        <v>13610</v>
      </c>
      <c r="B4043" t="s">
        <v>13611</v>
      </c>
      <c r="D4043" t="s">
        <v>40</v>
      </c>
      <c r="E4043" t="s">
        <v>41</v>
      </c>
      <c r="J4043" t="s">
        <v>68</v>
      </c>
      <c r="K4043" t="s">
        <v>69</v>
      </c>
      <c r="L4043">
        <v>10</v>
      </c>
      <c r="M4043" t="s">
        <v>13612</v>
      </c>
      <c r="N4043" t="s">
        <v>64</v>
      </c>
      <c r="O4043" t="s">
        <v>46</v>
      </c>
      <c r="P4043" t="s">
        <v>46</v>
      </c>
      <c r="Y4043" t="s">
        <v>13613</v>
      </c>
    </row>
    <row r="4044" spans="1:25">
      <c r="A4044" t="s">
        <v>13614</v>
      </c>
      <c r="B4044" t="s">
        <v>13615</v>
      </c>
      <c r="D4044" t="s">
        <v>40</v>
      </c>
      <c r="E4044" t="s">
        <v>41</v>
      </c>
      <c r="J4044" t="s">
        <v>182</v>
      </c>
      <c r="K4044" t="s">
        <v>183</v>
      </c>
      <c r="L4044">
        <v>10</v>
      </c>
      <c r="M4044" t="s">
        <v>13612</v>
      </c>
      <c r="N4044" t="s">
        <v>64</v>
      </c>
      <c r="O4044" t="s">
        <v>46</v>
      </c>
      <c r="P4044" t="s">
        <v>46</v>
      </c>
      <c r="Y4044" t="s">
        <v>13616</v>
      </c>
    </row>
    <row r="4045" spans="1:25">
      <c r="A4045" t="s">
        <v>13617</v>
      </c>
      <c r="B4045" t="s">
        <v>13618</v>
      </c>
      <c r="D4045" t="s">
        <v>40</v>
      </c>
      <c r="E4045" t="s">
        <v>41</v>
      </c>
      <c r="J4045" t="s">
        <v>182</v>
      </c>
      <c r="K4045" t="s">
        <v>183</v>
      </c>
      <c r="L4045">
        <v>10</v>
      </c>
      <c r="M4045" t="s">
        <v>13619</v>
      </c>
      <c r="N4045" t="s">
        <v>64</v>
      </c>
      <c r="O4045" t="s">
        <v>46</v>
      </c>
      <c r="P4045" t="s">
        <v>46</v>
      </c>
      <c r="Y4045" t="s">
        <v>13620</v>
      </c>
    </row>
    <row r="4046" spans="1:25">
      <c r="A4046" t="s">
        <v>13621</v>
      </c>
      <c r="B4046" t="s">
        <v>13622</v>
      </c>
      <c r="D4046" t="s">
        <v>40</v>
      </c>
      <c r="E4046" t="s">
        <v>41</v>
      </c>
      <c r="J4046" t="s">
        <v>68</v>
      </c>
      <c r="K4046" t="s">
        <v>69</v>
      </c>
      <c r="L4046">
        <v>10</v>
      </c>
      <c r="M4046" t="s">
        <v>13623</v>
      </c>
      <c r="N4046" t="s">
        <v>64</v>
      </c>
      <c r="O4046" t="s">
        <v>46</v>
      </c>
      <c r="P4046" t="s">
        <v>46</v>
      </c>
      <c r="Y4046" t="s">
        <v>13624</v>
      </c>
    </row>
    <row r="4047" spans="1:25">
      <c r="A4047" t="s">
        <v>13625</v>
      </c>
      <c r="B4047" t="s">
        <v>13626</v>
      </c>
      <c r="D4047" t="s">
        <v>40</v>
      </c>
      <c r="E4047" t="s">
        <v>41</v>
      </c>
      <c r="J4047" t="s">
        <v>42</v>
      </c>
      <c r="K4047" t="s">
        <v>43</v>
      </c>
      <c r="L4047">
        <v>10</v>
      </c>
      <c r="M4047" t="s">
        <v>13623</v>
      </c>
      <c r="N4047" t="s">
        <v>173</v>
      </c>
      <c r="O4047" t="s">
        <v>46</v>
      </c>
      <c r="P4047" t="s">
        <v>46</v>
      </c>
      <c r="Y4047" t="s">
        <v>13627</v>
      </c>
    </row>
    <row r="4048" spans="1:25">
      <c r="A4048" t="s">
        <v>13628</v>
      </c>
      <c r="B4048" t="s">
        <v>13629</v>
      </c>
      <c r="D4048" t="s">
        <v>40</v>
      </c>
      <c r="E4048" t="s">
        <v>41</v>
      </c>
      <c r="J4048" t="s">
        <v>42</v>
      </c>
      <c r="K4048" t="s">
        <v>43</v>
      </c>
      <c r="L4048">
        <v>10</v>
      </c>
      <c r="M4048" t="s">
        <v>13623</v>
      </c>
      <c r="N4048" t="s">
        <v>2621</v>
      </c>
      <c r="O4048" t="s">
        <v>46</v>
      </c>
      <c r="P4048" t="s">
        <v>46</v>
      </c>
      <c r="Y4048" t="s">
        <v>13630</v>
      </c>
    </row>
    <row r="4049" spans="1:25">
      <c r="A4049" t="s">
        <v>13631</v>
      </c>
      <c r="B4049" t="s">
        <v>13632</v>
      </c>
      <c r="D4049" t="s">
        <v>40</v>
      </c>
      <c r="E4049" t="s">
        <v>41</v>
      </c>
      <c r="J4049" t="s">
        <v>182</v>
      </c>
      <c r="K4049" t="s">
        <v>183</v>
      </c>
      <c r="L4049">
        <v>10</v>
      </c>
      <c r="M4049" t="s">
        <v>13623</v>
      </c>
      <c r="N4049" t="s">
        <v>64</v>
      </c>
      <c r="O4049" t="s">
        <v>46</v>
      </c>
      <c r="P4049" t="s">
        <v>46</v>
      </c>
      <c r="Y4049" t="s">
        <v>13633</v>
      </c>
    </row>
    <row r="4050" spans="1:25">
      <c r="A4050" t="s">
        <v>13634</v>
      </c>
      <c r="B4050" t="s">
        <v>13635</v>
      </c>
      <c r="D4050" t="s">
        <v>40</v>
      </c>
      <c r="E4050" t="s">
        <v>41</v>
      </c>
      <c r="J4050" t="s">
        <v>76</v>
      </c>
      <c r="K4050" t="s">
        <v>77</v>
      </c>
      <c r="L4050">
        <v>10</v>
      </c>
      <c r="M4050" t="s">
        <v>13623</v>
      </c>
      <c r="N4050" t="s">
        <v>64</v>
      </c>
      <c r="O4050" t="s">
        <v>46</v>
      </c>
      <c r="P4050" t="s">
        <v>46</v>
      </c>
      <c r="Y4050" t="s">
        <v>13636</v>
      </c>
    </row>
    <row r="4051" spans="1:25">
      <c r="A4051" t="s">
        <v>13637</v>
      </c>
      <c r="B4051" t="s">
        <v>13638</v>
      </c>
      <c r="D4051" t="s">
        <v>40</v>
      </c>
      <c r="E4051" t="s">
        <v>41</v>
      </c>
      <c r="J4051" t="s">
        <v>42</v>
      </c>
      <c r="K4051" t="s">
        <v>43</v>
      </c>
      <c r="L4051">
        <v>10</v>
      </c>
      <c r="M4051" t="s">
        <v>13623</v>
      </c>
      <c r="N4051" t="s">
        <v>3013</v>
      </c>
      <c r="O4051" t="s">
        <v>46</v>
      </c>
      <c r="P4051" t="s">
        <v>46</v>
      </c>
      <c r="Y4051" t="s">
        <v>13639</v>
      </c>
    </row>
    <row r="4052" spans="1:25">
      <c r="A4052" t="s">
        <v>13640</v>
      </c>
      <c r="B4052" t="s">
        <v>13641</v>
      </c>
      <c r="D4052" t="s">
        <v>40</v>
      </c>
      <c r="E4052" t="s">
        <v>41</v>
      </c>
      <c r="J4052" t="s">
        <v>182</v>
      </c>
      <c r="K4052" t="s">
        <v>183</v>
      </c>
      <c r="L4052">
        <v>10</v>
      </c>
      <c r="M4052" t="s">
        <v>13642</v>
      </c>
      <c r="N4052" t="s">
        <v>64</v>
      </c>
      <c r="O4052" t="s">
        <v>46</v>
      </c>
      <c r="P4052" t="s">
        <v>46</v>
      </c>
      <c r="Y4052" t="s">
        <v>13643</v>
      </c>
    </row>
    <row r="4053" spans="1:25">
      <c r="A4053" t="s">
        <v>13644</v>
      </c>
      <c r="B4053" t="s">
        <v>13645</v>
      </c>
      <c r="D4053" t="s">
        <v>40</v>
      </c>
      <c r="E4053" t="s">
        <v>41</v>
      </c>
      <c r="J4053" t="s">
        <v>76</v>
      </c>
      <c r="K4053" t="s">
        <v>77</v>
      </c>
      <c r="L4053">
        <v>10</v>
      </c>
      <c r="M4053" t="s">
        <v>13642</v>
      </c>
      <c r="N4053" t="s">
        <v>64</v>
      </c>
      <c r="O4053" t="s">
        <v>46</v>
      </c>
      <c r="P4053" t="s">
        <v>46</v>
      </c>
      <c r="Y4053" t="s">
        <v>13646</v>
      </c>
    </row>
    <row r="4054" spans="1:25">
      <c r="A4054" t="s">
        <v>13647</v>
      </c>
      <c r="B4054" t="s">
        <v>13648</v>
      </c>
      <c r="D4054" t="s">
        <v>40</v>
      </c>
      <c r="E4054" t="s">
        <v>41</v>
      </c>
      <c r="J4054" t="s">
        <v>68</v>
      </c>
      <c r="K4054" t="s">
        <v>69</v>
      </c>
      <c r="L4054">
        <v>10</v>
      </c>
      <c r="M4054" t="s">
        <v>13642</v>
      </c>
      <c r="N4054" t="s">
        <v>64</v>
      </c>
      <c r="O4054" t="s">
        <v>46</v>
      </c>
      <c r="P4054" t="s">
        <v>46</v>
      </c>
      <c r="Y4054" t="s">
        <v>13649</v>
      </c>
    </row>
    <row r="4055" spans="1:25">
      <c r="A4055" t="s">
        <v>13650</v>
      </c>
      <c r="B4055" t="s">
        <v>13651</v>
      </c>
      <c r="D4055" t="s">
        <v>40</v>
      </c>
      <c r="E4055" t="s">
        <v>41</v>
      </c>
      <c r="J4055" t="s">
        <v>68</v>
      </c>
      <c r="K4055" t="s">
        <v>69</v>
      </c>
      <c r="L4055">
        <v>10</v>
      </c>
      <c r="M4055" t="s">
        <v>13642</v>
      </c>
      <c r="N4055" t="s">
        <v>64</v>
      </c>
      <c r="O4055" t="s">
        <v>46</v>
      </c>
      <c r="P4055" t="s">
        <v>46</v>
      </c>
      <c r="Y4055" t="s">
        <v>13652</v>
      </c>
    </row>
    <row r="4056" spans="1:25">
      <c r="A4056" t="s">
        <v>13653</v>
      </c>
      <c r="B4056" t="s">
        <v>13654</v>
      </c>
      <c r="D4056" t="s">
        <v>40</v>
      </c>
      <c r="E4056" t="s">
        <v>41</v>
      </c>
      <c r="J4056" t="s">
        <v>68</v>
      </c>
      <c r="K4056" t="s">
        <v>69</v>
      </c>
      <c r="L4056">
        <v>10</v>
      </c>
      <c r="M4056" t="s">
        <v>13642</v>
      </c>
      <c r="N4056" t="s">
        <v>64</v>
      </c>
      <c r="O4056" t="s">
        <v>46</v>
      </c>
      <c r="P4056" t="s">
        <v>46</v>
      </c>
      <c r="Y4056" t="s">
        <v>13655</v>
      </c>
    </row>
    <row r="4057" spans="1:25">
      <c r="A4057" t="s">
        <v>13656</v>
      </c>
      <c r="B4057" t="s">
        <v>13657</v>
      </c>
      <c r="D4057" t="s">
        <v>40</v>
      </c>
      <c r="E4057" t="s">
        <v>41</v>
      </c>
      <c r="J4057" t="s">
        <v>182</v>
      </c>
      <c r="K4057" t="s">
        <v>183</v>
      </c>
      <c r="L4057">
        <v>10</v>
      </c>
      <c r="M4057" t="s">
        <v>13658</v>
      </c>
      <c r="N4057" t="s">
        <v>64</v>
      </c>
      <c r="O4057" t="s">
        <v>46</v>
      </c>
      <c r="P4057" t="s">
        <v>46</v>
      </c>
      <c r="Y4057" t="s">
        <v>13659</v>
      </c>
    </row>
    <row r="4058" spans="1:25">
      <c r="A4058" t="s">
        <v>13660</v>
      </c>
      <c r="B4058" t="s">
        <v>13661</v>
      </c>
      <c r="D4058" t="s">
        <v>40</v>
      </c>
      <c r="E4058" t="s">
        <v>41</v>
      </c>
      <c r="J4058" t="s">
        <v>68</v>
      </c>
      <c r="K4058" t="s">
        <v>69</v>
      </c>
      <c r="L4058">
        <v>10</v>
      </c>
      <c r="M4058" t="s">
        <v>13658</v>
      </c>
      <c r="N4058" t="s">
        <v>64</v>
      </c>
      <c r="O4058" t="s">
        <v>46</v>
      </c>
      <c r="P4058" t="s">
        <v>46</v>
      </c>
      <c r="Y4058" t="s">
        <v>13662</v>
      </c>
    </row>
    <row r="4059" spans="1:25">
      <c r="A4059" t="s">
        <v>13663</v>
      </c>
      <c r="B4059" t="s">
        <v>13664</v>
      </c>
      <c r="D4059" t="s">
        <v>40</v>
      </c>
      <c r="E4059" t="s">
        <v>41</v>
      </c>
      <c r="J4059" t="s">
        <v>76</v>
      </c>
      <c r="K4059" t="s">
        <v>77</v>
      </c>
      <c r="L4059">
        <v>10</v>
      </c>
      <c r="M4059" t="s">
        <v>13658</v>
      </c>
      <c r="N4059" t="s">
        <v>64</v>
      </c>
      <c r="O4059" t="s">
        <v>46</v>
      </c>
      <c r="P4059" t="s">
        <v>46</v>
      </c>
      <c r="Y4059" t="s">
        <v>13665</v>
      </c>
    </row>
    <row r="4060" spans="1:25">
      <c r="A4060" t="s">
        <v>13666</v>
      </c>
      <c r="B4060" t="s">
        <v>13667</v>
      </c>
      <c r="D4060" t="s">
        <v>40</v>
      </c>
      <c r="E4060" t="s">
        <v>41</v>
      </c>
      <c r="J4060" t="s">
        <v>76</v>
      </c>
      <c r="K4060" t="s">
        <v>77</v>
      </c>
      <c r="L4060">
        <v>10</v>
      </c>
      <c r="M4060" t="s">
        <v>13658</v>
      </c>
      <c r="N4060" t="s">
        <v>64</v>
      </c>
      <c r="O4060" t="s">
        <v>46</v>
      </c>
      <c r="P4060" t="s">
        <v>46</v>
      </c>
      <c r="Y4060" t="s">
        <v>13668</v>
      </c>
    </row>
    <row r="4061" spans="1:25">
      <c r="A4061" t="s">
        <v>13669</v>
      </c>
      <c r="B4061" t="s">
        <v>13670</v>
      </c>
      <c r="D4061" t="s">
        <v>40</v>
      </c>
      <c r="E4061" t="s">
        <v>41</v>
      </c>
      <c r="J4061" t="s">
        <v>182</v>
      </c>
      <c r="K4061" t="s">
        <v>183</v>
      </c>
      <c r="L4061">
        <v>10</v>
      </c>
      <c r="M4061" t="s">
        <v>13671</v>
      </c>
      <c r="N4061" t="s">
        <v>64</v>
      </c>
      <c r="O4061" t="s">
        <v>46</v>
      </c>
      <c r="P4061" t="s">
        <v>46</v>
      </c>
      <c r="Y4061" t="s">
        <v>13672</v>
      </c>
    </row>
    <row r="4062" spans="1:25">
      <c r="A4062" t="s">
        <v>13673</v>
      </c>
      <c r="B4062" t="s">
        <v>13674</v>
      </c>
      <c r="D4062" t="s">
        <v>40</v>
      </c>
      <c r="E4062" t="s">
        <v>41</v>
      </c>
      <c r="J4062" t="s">
        <v>182</v>
      </c>
      <c r="K4062" t="s">
        <v>183</v>
      </c>
      <c r="L4062">
        <v>10</v>
      </c>
      <c r="M4062" t="s">
        <v>13675</v>
      </c>
      <c r="N4062" t="s">
        <v>64</v>
      </c>
      <c r="O4062" t="s">
        <v>46</v>
      </c>
      <c r="P4062" t="s">
        <v>46</v>
      </c>
      <c r="Y4062" t="s">
        <v>13676</v>
      </c>
    </row>
    <row r="4063" spans="1:25">
      <c r="A4063" t="s">
        <v>13677</v>
      </c>
      <c r="B4063" t="s">
        <v>13678</v>
      </c>
      <c r="D4063" t="s">
        <v>40</v>
      </c>
      <c r="E4063" t="s">
        <v>41</v>
      </c>
      <c r="J4063" t="s">
        <v>42</v>
      </c>
      <c r="K4063" t="s">
        <v>43</v>
      </c>
      <c r="L4063">
        <v>10</v>
      </c>
      <c r="M4063" t="s">
        <v>13675</v>
      </c>
      <c r="N4063" t="s">
        <v>210</v>
      </c>
      <c r="O4063" t="s">
        <v>46</v>
      </c>
      <c r="P4063" t="s">
        <v>46</v>
      </c>
      <c r="Y4063" t="s">
        <v>13679</v>
      </c>
    </row>
    <row r="4064" spans="1:25">
      <c r="A4064" t="s">
        <v>13680</v>
      </c>
      <c r="B4064" t="s">
        <v>13681</v>
      </c>
      <c r="D4064" t="s">
        <v>40</v>
      </c>
      <c r="E4064" t="s">
        <v>41</v>
      </c>
      <c r="J4064" t="s">
        <v>182</v>
      </c>
      <c r="K4064" t="s">
        <v>183</v>
      </c>
      <c r="L4064">
        <v>10</v>
      </c>
      <c r="M4064" t="s">
        <v>13675</v>
      </c>
      <c r="N4064" t="s">
        <v>64</v>
      </c>
      <c r="O4064" t="s">
        <v>46</v>
      </c>
      <c r="P4064" t="s">
        <v>46</v>
      </c>
      <c r="Y4064" t="s">
        <v>13682</v>
      </c>
    </row>
    <row r="4065" spans="1:25">
      <c r="A4065" t="s">
        <v>13683</v>
      </c>
      <c r="B4065" t="s">
        <v>13684</v>
      </c>
      <c r="D4065" t="s">
        <v>40</v>
      </c>
      <c r="E4065" t="s">
        <v>41</v>
      </c>
      <c r="J4065" t="s">
        <v>182</v>
      </c>
      <c r="K4065" t="s">
        <v>183</v>
      </c>
      <c r="L4065">
        <v>10</v>
      </c>
      <c r="M4065" t="s">
        <v>13675</v>
      </c>
      <c r="N4065" t="s">
        <v>64</v>
      </c>
      <c r="O4065" t="s">
        <v>46</v>
      </c>
      <c r="P4065" t="s">
        <v>46</v>
      </c>
      <c r="Y4065" t="s">
        <v>13685</v>
      </c>
    </row>
    <row r="4066" spans="1:25">
      <c r="A4066" t="s">
        <v>13686</v>
      </c>
      <c r="B4066" t="s">
        <v>13687</v>
      </c>
      <c r="D4066" t="s">
        <v>40</v>
      </c>
      <c r="E4066" t="s">
        <v>41</v>
      </c>
      <c r="J4066" t="s">
        <v>68</v>
      </c>
      <c r="K4066" t="s">
        <v>69</v>
      </c>
      <c r="L4066">
        <v>10</v>
      </c>
      <c r="M4066" t="s">
        <v>13675</v>
      </c>
      <c r="N4066" t="s">
        <v>64</v>
      </c>
      <c r="O4066" t="s">
        <v>46</v>
      </c>
      <c r="P4066" t="s">
        <v>46</v>
      </c>
      <c r="Y4066" t="s">
        <v>13688</v>
      </c>
    </row>
    <row r="4067" spans="1:25">
      <c r="A4067" t="s">
        <v>13689</v>
      </c>
      <c r="B4067" t="s">
        <v>13690</v>
      </c>
      <c r="D4067" t="s">
        <v>40</v>
      </c>
      <c r="E4067" t="s">
        <v>41</v>
      </c>
      <c r="J4067" t="s">
        <v>42</v>
      </c>
      <c r="K4067" t="s">
        <v>43</v>
      </c>
      <c r="L4067">
        <v>10</v>
      </c>
      <c r="M4067" t="s">
        <v>13675</v>
      </c>
      <c r="N4067" t="s">
        <v>2154</v>
      </c>
      <c r="O4067" t="s">
        <v>46</v>
      </c>
      <c r="P4067" t="s">
        <v>46</v>
      </c>
      <c r="Y4067" t="s">
        <v>13691</v>
      </c>
    </row>
    <row r="4068" spans="1:25">
      <c r="A4068" t="s">
        <v>13692</v>
      </c>
      <c r="B4068" t="s">
        <v>13693</v>
      </c>
      <c r="D4068" t="s">
        <v>40</v>
      </c>
      <c r="E4068" t="s">
        <v>41</v>
      </c>
      <c r="J4068" t="s">
        <v>182</v>
      </c>
      <c r="K4068" t="s">
        <v>183</v>
      </c>
      <c r="L4068">
        <v>10</v>
      </c>
      <c r="M4068" t="s">
        <v>13694</v>
      </c>
      <c r="N4068" t="s">
        <v>64</v>
      </c>
      <c r="O4068" t="s">
        <v>46</v>
      </c>
      <c r="P4068" t="s">
        <v>46</v>
      </c>
      <c r="Y4068" t="s">
        <v>13695</v>
      </c>
    </row>
    <row r="4069" spans="1:25">
      <c r="A4069" t="s">
        <v>13696</v>
      </c>
      <c r="B4069" t="s">
        <v>13697</v>
      </c>
      <c r="D4069" t="s">
        <v>40</v>
      </c>
      <c r="E4069" t="s">
        <v>41</v>
      </c>
      <c r="J4069" t="s">
        <v>248</v>
      </c>
      <c r="K4069" t="s">
        <v>249</v>
      </c>
      <c r="L4069">
        <v>10</v>
      </c>
      <c r="M4069" t="s">
        <v>13694</v>
      </c>
      <c r="N4069" t="s">
        <v>310</v>
      </c>
      <c r="O4069" t="s">
        <v>46</v>
      </c>
      <c r="P4069" t="s">
        <v>46</v>
      </c>
      <c r="Y4069" t="s">
        <v>13698</v>
      </c>
    </row>
    <row r="4070" spans="1:25">
      <c r="A4070" t="s">
        <v>13699</v>
      </c>
      <c r="B4070" t="s">
        <v>13700</v>
      </c>
      <c r="D4070" t="s">
        <v>40</v>
      </c>
      <c r="E4070" t="s">
        <v>41</v>
      </c>
      <c r="J4070" t="s">
        <v>76</v>
      </c>
      <c r="K4070" t="s">
        <v>77</v>
      </c>
      <c r="L4070">
        <v>10</v>
      </c>
      <c r="M4070" t="s">
        <v>13701</v>
      </c>
      <c r="N4070" t="s">
        <v>64</v>
      </c>
      <c r="O4070" t="s">
        <v>46</v>
      </c>
      <c r="P4070" t="s">
        <v>46</v>
      </c>
      <c r="Y4070" t="s">
        <v>13702</v>
      </c>
    </row>
    <row r="4071" spans="1:25">
      <c r="A4071" t="s">
        <v>13703</v>
      </c>
      <c r="B4071" t="s">
        <v>13704</v>
      </c>
      <c r="D4071" t="s">
        <v>40</v>
      </c>
      <c r="E4071" t="s">
        <v>41</v>
      </c>
      <c r="J4071" t="s">
        <v>76</v>
      </c>
      <c r="K4071" t="s">
        <v>77</v>
      </c>
      <c r="L4071">
        <v>10</v>
      </c>
      <c r="M4071" t="s">
        <v>13701</v>
      </c>
      <c r="N4071" t="s">
        <v>64</v>
      </c>
      <c r="O4071" t="s">
        <v>46</v>
      </c>
      <c r="P4071" t="s">
        <v>46</v>
      </c>
      <c r="Y4071" t="s">
        <v>13705</v>
      </c>
    </row>
    <row r="4072" spans="1:25">
      <c r="A4072" t="s">
        <v>13706</v>
      </c>
      <c r="B4072" t="s">
        <v>13707</v>
      </c>
      <c r="D4072" t="s">
        <v>40</v>
      </c>
      <c r="E4072" t="s">
        <v>41</v>
      </c>
      <c r="J4072" t="s">
        <v>76</v>
      </c>
      <c r="K4072" t="s">
        <v>77</v>
      </c>
      <c r="L4072">
        <v>10</v>
      </c>
      <c r="M4072" t="s">
        <v>13708</v>
      </c>
      <c r="N4072" t="s">
        <v>64</v>
      </c>
      <c r="O4072" t="s">
        <v>46</v>
      </c>
      <c r="P4072" t="s">
        <v>46</v>
      </c>
      <c r="Y4072" t="s">
        <v>13709</v>
      </c>
    </row>
    <row r="4073" spans="1:25">
      <c r="A4073" t="s">
        <v>13710</v>
      </c>
      <c r="B4073" t="s">
        <v>13711</v>
      </c>
      <c r="D4073" t="s">
        <v>40</v>
      </c>
      <c r="E4073" t="s">
        <v>41</v>
      </c>
      <c r="J4073" t="s">
        <v>76</v>
      </c>
      <c r="K4073" t="s">
        <v>77</v>
      </c>
      <c r="L4073">
        <v>10</v>
      </c>
      <c r="M4073" t="s">
        <v>13712</v>
      </c>
      <c r="N4073" t="s">
        <v>64</v>
      </c>
      <c r="O4073" t="s">
        <v>46</v>
      </c>
      <c r="P4073" t="s">
        <v>46</v>
      </c>
      <c r="Y4073" t="s">
        <v>13713</v>
      </c>
    </row>
    <row r="4074" spans="1:25">
      <c r="A4074" t="s">
        <v>13714</v>
      </c>
      <c r="B4074" t="s">
        <v>13715</v>
      </c>
      <c r="D4074" t="s">
        <v>40</v>
      </c>
      <c r="E4074" t="s">
        <v>41</v>
      </c>
      <c r="J4074" t="s">
        <v>42</v>
      </c>
      <c r="K4074" t="s">
        <v>43</v>
      </c>
      <c r="L4074">
        <v>10</v>
      </c>
      <c r="M4074" t="s">
        <v>13712</v>
      </c>
      <c r="N4074" t="s">
        <v>1276</v>
      </c>
      <c r="O4074" t="s">
        <v>46</v>
      </c>
      <c r="P4074" t="s">
        <v>46</v>
      </c>
      <c r="Y4074" t="s">
        <v>13716</v>
      </c>
    </row>
    <row r="4075" spans="1:25">
      <c r="A4075" t="s">
        <v>13717</v>
      </c>
      <c r="B4075" t="s">
        <v>13718</v>
      </c>
      <c r="D4075" t="s">
        <v>40</v>
      </c>
      <c r="E4075" t="s">
        <v>41</v>
      </c>
      <c r="J4075" t="s">
        <v>50</v>
      </c>
      <c r="K4075" t="s">
        <v>51</v>
      </c>
      <c r="L4075">
        <v>10</v>
      </c>
      <c r="M4075" t="s">
        <v>13712</v>
      </c>
      <c r="N4075" t="s">
        <v>924</v>
      </c>
      <c r="O4075" t="s">
        <v>46</v>
      </c>
      <c r="P4075" t="s">
        <v>46</v>
      </c>
      <c r="Y4075" t="s">
        <v>13719</v>
      </c>
    </row>
    <row r="4076" spans="1:25">
      <c r="A4076" t="s">
        <v>13720</v>
      </c>
      <c r="B4076" t="s">
        <v>13721</v>
      </c>
      <c r="D4076" t="s">
        <v>40</v>
      </c>
      <c r="E4076" t="s">
        <v>41</v>
      </c>
      <c r="J4076" t="s">
        <v>182</v>
      </c>
      <c r="K4076" t="s">
        <v>183</v>
      </c>
      <c r="L4076">
        <v>10</v>
      </c>
      <c r="M4076" t="s">
        <v>13722</v>
      </c>
      <c r="N4076" t="s">
        <v>64</v>
      </c>
      <c r="O4076" t="s">
        <v>46</v>
      </c>
      <c r="P4076" t="s">
        <v>46</v>
      </c>
      <c r="Y4076" t="s">
        <v>13723</v>
      </c>
    </row>
    <row r="4077" spans="1:25">
      <c r="A4077" t="s">
        <v>13724</v>
      </c>
      <c r="B4077" t="s">
        <v>13725</v>
      </c>
      <c r="D4077" t="s">
        <v>40</v>
      </c>
      <c r="E4077" t="s">
        <v>41</v>
      </c>
      <c r="J4077" t="s">
        <v>42</v>
      </c>
      <c r="K4077" t="s">
        <v>43</v>
      </c>
      <c r="L4077">
        <v>10</v>
      </c>
      <c r="M4077" t="s">
        <v>13722</v>
      </c>
      <c r="N4077" t="s">
        <v>1814</v>
      </c>
      <c r="O4077" t="s">
        <v>46</v>
      </c>
      <c r="P4077" t="s">
        <v>46</v>
      </c>
      <c r="Y4077" t="s">
        <v>13726</v>
      </c>
    </row>
    <row r="4078" spans="1:25">
      <c r="A4078" t="s">
        <v>13727</v>
      </c>
      <c r="B4078" t="s">
        <v>13728</v>
      </c>
      <c r="D4078" t="s">
        <v>40</v>
      </c>
      <c r="E4078" t="s">
        <v>41</v>
      </c>
      <c r="J4078" t="s">
        <v>182</v>
      </c>
      <c r="K4078" t="s">
        <v>183</v>
      </c>
      <c r="L4078">
        <v>10</v>
      </c>
      <c r="M4078" t="s">
        <v>13722</v>
      </c>
      <c r="N4078" t="s">
        <v>64</v>
      </c>
      <c r="O4078" t="s">
        <v>46</v>
      </c>
      <c r="P4078" t="s">
        <v>46</v>
      </c>
      <c r="Y4078" t="s">
        <v>13729</v>
      </c>
    </row>
    <row r="4079" spans="1:25">
      <c r="A4079" t="s">
        <v>13730</v>
      </c>
      <c r="B4079" t="s">
        <v>13731</v>
      </c>
      <c r="D4079" t="s">
        <v>40</v>
      </c>
      <c r="E4079" t="s">
        <v>41</v>
      </c>
      <c r="J4079" t="s">
        <v>76</v>
      </c>
      <c r="K4079" t="s">
        <v>77</v>
      </c>
      <c r="L4079">
        <v>10</v>
      </c>
      <c r="M4079" t="s">
        <v>13722</v>
      </c>
      <c r="N4079" t="s">
        <v>64</v>
      </c>
      <c r="O4079" t="s">
        <v>46</v>
      </c>
      <c r="P4079" t="s">
        <v>46</v>
      </c>
      <c r="Y4079" t="s">
        <v>13732</v>
      </c>
    </row>
    <row r="4080" spans="1:25">
      <c r="A4080" t="s">
        <v>13733</v>
      </c>
      <c r="B4080" t="s">
        <v>13734</v>
      </c>
      <c r="D4080" t="s">
        <v>40</v>
      </c>
      <c r="E4080" t="s">
        <v>41</v>
      </c>
      <c r="J4080" t="s">
        <v>182</v>
      </c>
      <c r="K4080" t="s">
        <v>183</v>
      </c>
      <c r="L4080">
        <v>9</v>
      </c>
      <c r="M4080" t="s">
        <v>13722</v>
      </c>
      <c r="N4080" t="s">
        <v>64</v>
      </c>
      <c r="O4080" t="s">
        <v>46</v>
      </c>
      <c r="P4080" t="s">
        <v>46</v>
      </c>
      <c r="Y4080" t="s">
        <v>13735</v>
      </c>
    </row>
    <row r="4081" spans="1:25">
      <c r="A4081" t="s">
        <v>13736</v>
      </c>
      <c r="B4081" t="s">
        <v>13737</v>
      </c>
      <c r="D4081" t="s">
        <v>40</v>
      </c>
      <c r="E4081" t="s">
        <v>41</v>
      </c>
      <c r="J4081" t="s">
        <v>76</v>
      </c>
      <c r="K4081" t="s">
        <v>77</v>
      </c>
      <c r="L4081">
        <v>9</v>
      </c>
      <c r="M4081" t="s">
        <v>13722</v>
      </c>
      <c r="N4081" t="s">
        <v>64</v>
      </c>
      <c r="O4081" t="s">
        <v>46</v>
      </c>
      <c r="P4081" t="s">
        <v>46</v>
      </c>
      <c r="Y4081" t="s">
        <v>13738</v>
      </c>
    </row>
    <row r="4082" spans="1:25">
      <c r="A4082" t="s">
        <v>13739</v>
      </c>
      <c r="B4082" t="s">
        <v>13740</v>
      </c>
      <c r="D4082" t="s">
        <v>40</v>
      </c>
      <c r="E4082" t="s">
        <v>41</v>
      </c>
      <c r="J4082" t="s">
        <v>68</v>
      </c>
      <c r="K4082" t="s">
        <v>69</v>
      </c>
      <c r="L4082">
        <v>9</v>
      </c>
      <c r="M4082" t="s">
        <v>13722</v>
      </c>
      <c r="N4082" t="s">
        <v>64</v>
      </c>
      <c r="O4082" t="s">
        <v>46</v>
      </c>
      <c r="P4082" t="s">
        <v>46</v>
      </c>
      <c r="Y4082" t="s">
        <v>13741</v>
      </c>
    </row>
    <row r="4083" spans="1:25">
      <c r="A4083" t="s">
        <v>13742</v>
      </c>
      <c r="B4083" t="s">
        <v>13743</v>
      </c>
      <c r="D4083" t="s">
        <v>40</v>
      </c>
      <c r="E4083" t="s">
        <v>41</v>
      </c>
      <c r="J4083" t="s">
        <v>182</v>
      </c>
      <c r="K4083" t="s">
        <v>183</v>
      </c>
      <c r="L4083">
        <v>9</v>
      </c>
      <c r="M4083" t="s">
        <v>13722</v>
      </c>
      <c r="N4083" t="s">
        <v>64</v>
      </c>
      <c r="O4083" t="s">
        <v>46</v>
      </c>
      <c r="P4083" t="s">
        <v>46</v>
      </c>
      <c r="Y4083" t="s">
        <v>13744</v>
      </c>
    </row>
    <row r="4084" spans="1:25">
      <c r="A4084" t="s">
        <v>13745</v>
      </c>
      <c r="B4084" t="s">
        <v>13746</v>
      </c>
      <c r="D4084" t="s">
        <v>40</v>
      </c>
      <c r="E4084" t="s">
        <v>41</v>
      </c>
      <c r="J4084" t="s">
        <v>182</v>
      </c>
      <c r="K4084" t="s">
        <v>183</v>
      </c>
      <c r="L4084">
        <v>9</v>
      </c>
      <c r="M4084" t="s">
        <v>13722</v>
      </c>
      <c r="N4084" t="s">
        <v>64</v>
      </c>
      <c r="O4084" t="s">
        <v>46</v>
      </c>
      <c r="P4084" t="s">
        <v>46</v>
      </c>
      <c r="Y4084" t="s">
        <v>13747</v>
      </c>
    </row>
    <row r="4085" spans="1:25">
      <c r="A4085" t="s">
        <v>13748</v>
      </c>
      <c r="B4085" t="s">
        <v>13749</v>
      </c>
      <c r="D4085" t="s">
        <v>40</v>
      </c>
      <c r="E4085" t="s">
        <v>41</v>
      </c>
      <c r="J4085" t="s">
        <v>182</v>
      </c>
      <c r="K4085" t="s">
        <v>183</v>
      </c>
      <c r="L4085">
        <v>9</v>
      </c>
      <c r="M4085" t="s">
        <v>13750</v>
      </c>
      <c r="N4085" t="s">
        <v>64</v>
      </c>
      <c r="O4085" t="s">
        <v>46</v>
      </c>
      <c r="P4085" t="s">
        <v>46</v>
      </c>
      <c r="Y4085" t="s">
        <v>13751</v>
      </c>
    </row>
    <row r="4086" spans="1:25">
      <c r="A4086" t="s">
        <v>13752</v>
      </c>
      <c r="B4086" t="s">
        <v>13753</v>
      </c>
      <c r="D4086" t="s">
        <v>40</v>
      </c>
      <c r="E4086" t="s">
        <v>41</v>
      </c>
      <c r="J4086" t="s">
        <v>76</v>
      </c>
      <c r="K4086" t="s">
        <v>77</v>
      </c>
      <c r="L4086">
        <v>9</v>
      </c>
      <c r="M4086" t="s">
        <v>13750</v>
      </c>
      <c r="N4086" t="s">
        <v>64</v>
      </c>
      <c r="O4086" t="s">
        <v>46</v>
      </c>
      <c r="P4086" t="s">
        <v>46</v>
      </c>
      <c r="Y4086" t="s">
        <v>13754</v>
      </c>
    </row>
    <row r="4087" spans="1:25">
      <c r="A4087" t="s">
        <v>13755</v>
      </c>
      <c r="B4087" t="s">
        <v>13756</v>
      </c>
      <c r="D4087" t="s">
        <v>40</v>
      </c>
      <c r="E4087" t="s">
        <v>41</v>
      </c>
      <c r="J4087" t="s">
        <v>182</v>
      </c>
      <c r="K4087" t="s">
        <v>183</v>
      </c>
      <c r="L4087">
        <v>9</v>
      </c>
      <c r="M4087" t="s">
        <v>13750</v>
      </c>
      <c r="N4087" t="s">
        <v>64</v>
      </c>
      <c r="O4087" t="s">
        <v>46</v>
      </c>
      <c r="P4087" t="s">
        <v>46</v>
      </c>
      <c r="Y4087" t="s">
        <v>13757</v>
      </c>
    </row>
    <row r="4088" spans="1:25">
      <c r="A4088" t="s">
        <v>13758</v>
      </c>
      <c r="B4088" t="s">
        <v>13759</v>
      </c>
      <c r="D4088" t="s">
        <v>40</v>
      </c>
      <c r="E4088" t="s">
        <v>41</v>
      </c>
      <c r="J4088" t="s">
        <v>182</v>
      </c>
      <c r="K4088" t="s">
        <v>183</v>
      </c>
      <c r="L4088">
        <v>9</v>
      </c>
      <c r="M4088" t="s">
        <v>13750</v>
      </c>
      <c r="N4088" t="s">
        <v>64</v>
      </c>
      <c r="O4088" t="s">
        <v>46</v>
      </c>
      <c r="P4088" t="s">
        <v>46</v>
      </c>
      <c r="Y4088" t="s">
        <v>13760</v>
      </c>
    </row>
    <row r="4089" spans="1:25">
      <c r="A4089" t="s">
        <v>13761</v>
      </c>
      <c r="B4089" t="s">
        <v>13762</v>
      </c>
      <c r="D4089" t="s">
        <v>40</v>
      </c>
      <c r="E4089" t="s">
        <v>41</v>
      </c>
      <c r="J4089" t="s">
        <v>76</v>
      </c>
      <c r="K4089" t="s">
        <v>77</v>
      </c>
      <c r="L4089">
        <v>9</v>
      </c>
      <c r="M4089" t="s">
        <v>13763</v>
      </c>
      <c r="N4089" t="s">
        <v>64</v>
      </c>
      <c r="O4089" t="s">
        <v>46</v>
      </c>
      <c r="P4089" t="s">
        <v>46</v>
      </c>
      <c r="Y4089" t="s">
        <v>13764</v>
      </c>
    </row>
    <row r="4090" spans="1:25">
      <c r="A4090" t="s">
        <v>13765</v>
      </c>
      <c r="B4090" t="s">
        <v>13766</v>
      </c>
      <c r="D4090" t="s">
        <v>40</v>
      </c>
      <c r="E4090" t="s">
        <v>41</v>
      </c>
      <c r="J4090" t="s">
        <v>182</v>
      </c>
      <c r="K4090" t="s">
        <v>183</v>
      </c>
      <c r="L4090">
        <v>9</v>
      </c>
      <c r="M4090" t="s">
        <v>13763</v>
      </c>
      <c r="N4090" t="s">
        <v>64</v>
      </c>
      <c r="O4090" t="s">
        <v>46</v>
      </c>
      <c r="P4090" t="s">
        <v>46</v>
      </c>
      <c r="Y4090" t="s">
        <v>13767</v>
      </c>
    </row>
    <row r="4091" spans="1:25">
      <c r="A4091" t="s">
        <v>13768</v>
      </c>
      <c r="B4091" t="s">
        <v>13769</v>
      </c>
      <c r="D4091" t="s">
        <v>40</v>
      </c>
      <c r="E4091" t="s">
        <v>41</v>
      </c>
      <c r="J4091" t="s">
        <v>68</v>
      </c>
      <c r="K4091" t="s">
        <v>69</v>
      </c>
      <c r="L4091">
        <v>9</v>
      </c>
      <c r="M4091" t="s">
        <v>13763</v>
      </c>
      <c r="N4091" t="s">
        <v>64</v>
      </c>
      <c r="O4091" t="s">
        <v>46</v>
      </c>
      <c r="P4091" t="s">
        <v>46</v>
      </c>
      <c r="Y4091" t="s">
        <v>13770</v>
      </c>
    </row>
    <row r="4092" spans="1:25">
      <c r="A4092" t="s">
        <v>13771</v>
      </c>
      <c r="B4092" t="s">
        <v>13772</v>
      </c>
      <c r="D4092" t="s">
        <v>40</v>
      </c>
      <c r="E4092" t="s">
        <v>41</v>
      </c>
      <c r="J4092" t="s">
        <v>76</v>
      </c>
      <c r="K4092" t="s">
        <v>77</v>
      </c>
      <c r="L4092">
        <v>9</v>
      </c>
      <c r="M4092" t="s">
        <v>13763</v>
      </c>
      <c r="N4092" t="s">
        <v>64</v>
      </c>
      <c r="O4092" t="s">
        <v>46</v>
      </c>
      <c r="P4092" t="s">
        <v>46</v>
      </c>
      <c r="Y4092" t="s">
        <v>13773</v>
      </c>
    </row>
    <row r="4093" spans="1:25">
      <c r="A4093" t="s">
        <v>13774</v>
      </c>
      <c r="B4093" t="s">
        <v>13775</v>
      </c>
      <c r="D4093" t="s">
        <v>40</v>
      </c>
      <c r="E4093" t="s">
        <v>41</v>
      </c>
      <c r="J4093" t="s">
        <v>1142</v>
      </c>
      <c r="K4093" t="s">
        <v>1143</v>
      </c>
      <c r="L4093">
        <v>9</v>
      </c>
      <c r="M4093" t="s">
        <v>13763</v>
      </c>
      <c r="N4093" t="s">
        <v>1397</v>
      </c>
      <c r="O4093" t="s">
        <v>46</v>
      </c>
      <c r="P4093" t="s">
        <v>46</v>
      </c>
      <c r="Y4093" t="s">
        <v>13776</v>
      </c>
    </row>
    <row r="4094" spans="1:25">
      <c r="A4094" t="s">
        <v>13777</v>
      </c>
      <c r="B4094" t="s">
        <v>13778</v>
      </c>
      <c r="D4094" t="s">
        <v>40</v>
      </c>
      <c r="E4094" t="s">
        <v>41</v>
      </c>
      <c r="J4094" t="s">
        <v>182</v>
      </c>
      <c r="K4094" t="s">
        <v>183</v>
      </c>
      <c r="L4094">
        <v>9</v>
      </c>
      <c r="M4094" t="s">
        <v>13763</v>
      </c>
      <c r="N4094" t="s">
        <v>64</v>
      </c>
      <c r="O4094" t="s">
        <v>46</v>
      </c>
      <c r="P4094" t="s">
        <v>46</v>
      </c>
      <c r="Y4094" t="s">
        <v>13779</v>
      </c>
    </row>
    <row r="4095" spans="1:25">
      <c r="A4095" t="s">
        <v>13780</v>
      </c>
      <c r="B4095" t="s">
        <v>13781</v>
      </c>
      <c r="D4095" t="s">
        <v>40</v>
      </c>
      <c r="E4095" t="s">
        <v>41</v>
      </c>
      <c r="J4095" t="s">
        <v>76</v>
      </c>
      <c r="K4095" t="s">
        <v>77</v>
      </c>
      <c r="L4095">
        <v>9</v>
      </c>
      <c r="M4095" t="s">
        <v>13763</v>
      </c>
      <c r="N4095" t="s">
        <v>64</v>
      </c>
      <c r="O4095" t="s">
        <v>46</v>
      </c>
      <c r="P4095" t="s">
        <v>46</v>
      </c>
      <c r="Y4095" t="s">
        <v>13782</v>
      </c>
    </row>
    <row r="4096" spans="1:25">
      <c r="A4096" t="s">
        <v>13783</v>
      </c>
      <c r="B4096" t="s">
        <v>13784</v>
      </c>
      <c r="D4096" t="s">
        <v>40</v>
      </c>
      <c r="E4096" t="s">
        <v>41</v>
      </c>
      <c r="J4096" t="s">
        <v>182</v>
      </c>
      <c r="K4096" t="s">
        <v>183</v>
      </c>
      <c r="L4096">
        <v>9</v>
      </c>
      <c r="M4096" t="s">
        <v>13763</v>
      </c>
      <c r="N4096" t="s">
        <v>64</v>
      </c>
      <c r="O4096" t="s">
        <v>46</v>
      </c>
      <c r="P4096" t="s">
        <v>46</v>
      </c>
      <c r="Y4096" t="s">
        <v>13785</v>
      </c>
    </row>
    <row r="4097" spans="1:25">
      <c r="A4097" t="s">
        <v>13786</v>
      </c>
      <c r="B4097" t="s">
        <v>13787</v>
      </c>
      <c r="D4097" t="s">
        <v>40</v>
      </c>
      <c r="E4097" t="s">
        <v>41</v>
      </c>
      <c r="J4097" t="s">
        <v>68</v>
      </c>
      <c r="K4097" t="s">
        <v>69</v>
      </c>
      <c r="L4097">
        <v>9</v>
      </c>
      <c r="M4097" t="s">
        <v>13763</v>
      </c>
      <c r="N4097" t="s">
        <v>64</v>
      </c>
      <c r="O4097" t="s">
        <v>46</v>
      </c>
      <c r="P4097" t="s">
        <v>46</v>
      </c>
      <c r="Y4097" t="s">
        <v>13788</v>
      </c>
    </row>
    <row r="4098" spans="1:25">
      <c r="A4098" t="s">
        <v>13789</v>
      </c>
      <c r="B4098" t="s">
        <v>13790</v>
      </c>
      <c r="D4098" t="s">
        <v>40</v>
      </c>
      <c r="E4098" t="s">
        <v>41</v>
      </c>
      <c r="J4098" t="s">
        <v>76</v>
      </c>
      <c r="K4098" t="s">
        <v>77</v>
      </c>
      <c r="L4098">
        <v>9</v>
      </c>
      <c r="M4098" t="s">
        <v>13791</v>
      </c>
      <c r="N4098" t="s">
        <v>64</v>
      </c>
      <c r="O4098" t="s">
        <v>46</v>
      </c>
      <c r="P4098" t="s">
        <v>46</v>
      </c>
      <c r="Y4098" t="s">
        <v>13792</v>
      </c>
    </row>
    <row r="4099" spans="1:25">
      <c r="A4099" t="s">
        <v>13793</v>
      </c>
      <c r="B4099" t="s">
        <v>13794</v>
      </c>
      <c r="D4099" t="s">
        <v>40</v>
      </c>
      <c r="E4099" t="s">
        <v>41</v>
      </c>
      <c r="J4099" t="s">
        <v>76</v>
      </c>
      <c r="K4099" t="s">
        <v>77</v>
      </c>
      <c r="L4099">
        <v>9</v>
      </c>
      <c r="M4099" t="s">
        <v>13791</v>
      </c>
      <c r="N4099" t="s">
        <v>64</v>
      </c>
      <c r="O4099" t="s">
        <v>46</v>
      </c>
      <c r="P4099" t="s">
        <v>46</v>
      </c>
      <c r="Y4099" t="s">
        <v>13795</v>
      </c>
    </row>
    <row r="4100" spans="1:25">
      <c r="A4100" t="s">
        <v>13796</v>
      </c>
      <c r="B4100" t="s">
        <v>13797</v>
      </c>
      <c r="D4100" t="s">
        <v>40</v>
      </c>
      <c r="E4100" t="s">
        <v>41</v>
      </c>
      <c r="J4100" t="s">
        <v>68</v>
      </c>
      <c r="K4100" t="s">
        <v>69</v>
      </c>
      <c r="L4100">
        <v>9</v>
      </c>
      <c r="M4100" t="s">
        <v>13791</v>
      </c>
      <c r="N4100" t="s">
        <v>64</v>
      </c>
      <c r="O4100" t="s">
        <v>46</v>
      </c>
      <c r="P4100" t="s">
        <v>46</v>
      </c>
      <c r="Y4100" t="s">
        <v>13798</v>
      </c>
    </row>
    <row r="4101" spans="1:25">
      <c r="A4101" t="s">
        <v>13799</v>
      </c>
      <c r="B4101" t="s">
        <v>13800</v>
      </c>
      <c r="D4101" t="s">
        <v>40</v>
      </c>
      <c r="E4101" t="s">
        <v>41</v>
      </c>
      <c r="J4101" t="s">
        <v>182</v>
      </c>
      <c r="K4101" t="s">
        <v>183</v>
      </c>
      <c r="L4101">
        <v>9</v>
      </c>
      <c r="M4101" t="s">
        <v>13791</v>
      </c>
      <c r="N4101" t="s">
        <v>64</v>
      </c>
      <c r="O4101" t="s">
        <v>46</v>
      </c>
      <c r="P4101" t="s">
        <v>46</v>
      </c>
      <c r="Y4101" t="s">
        <v>13801</v>
      </c>
    </row>
    <row r="4102" spans="1:25">
      <c r="A4102" t="s">
        <v>13802</v>
      </c>
      <c r="B4102" t="s">
        <v>13803</v>
      </c>
      <c r="D4102" t="s">
        <v>40</v>
      </c>
      <c r="E4102" t="s">
        <v>41</v>
      </c>
      <c r="J4102" t="s">
        <v>42</v>
      </c>
      <c r="K4102" t="s">
        <v>43</v>
      </c>
      <c r="L4102">
        <v>9</v>
      </c>
      <c r="M4102" t="s">
        <v>13791</v>
      </c>
      <c r="N4102" t="s">
        <v>1392</v>
      </c>
      <c r="O4102" t="s">
        <v>46</v>
      </c>
      <c r="P4102" t="s">
        <v>46</v>
      </c>
      <c r="Y4102" t="s">
        <v>13804</v>
      </c>
    </row>
    <row r="4103" spans="1:25">
      <c r="A4103" t="s">
        <v>13805</v>
      </c>
      <c r="B4103" t="s">
        <v>13806</v>
      </c>
      <c r="D4103" t="s">
        <v>40</v>
      </c>
      <c r="E4103" t="s">
        <v>41</v>
      </c>
      <c r="J4103" t="s">
        <v>42</v>
      </c>
      <c r="K4103" t="s">
        <v>43</v>
      </c>
      <c r="L4103">
        <v>9</v>
      </c>
      <c r="M4103" t="s">
        <v>13791</v>
      </c>
      <c r="N4103" t="s">
        <v>350</v>
      </c>
      <c r="O4103" t="s">
        <v>46</v>
      </c>
      <c r="P4103" t="s">
        <v>46</v>
      </c>
      <c r="Y4103" t="s">
        <v>13807</v>
      </c>
    </row>
    <row r="4104" spans="1:25">
      <c r="A4104" t="s">
        <v>13808</v>
      </c>
      <c r="B4104" t="s">
        <v>13809</v>
      </c>
      <c r="D4104" t="s">
        <v>40</v>
      </c>
      <c r="E4104" t="s">
        <v>41</v>
      </c>
      <c r="J4104" t="s">
        <v>76</v>
      </c>
      <c r="K4104" t="s">
        <v>77</v>
      </c>
      <c r="L4104">
        <v>9</v>
      </c>
      <c r="M4104" t="s">
        <v>13810</v>
      </c>
      <c r="N4104" t="s">
        <v>64</v>
      </c>
      <c r="O4104" t="s">
        <v>46</v>
      </c>
      <c r="P4104" t="s">
        <v>46</v>
      </c>
      <c r="Y4104" t="s">
        <v>13811</v>
      </c>
    </row>
    <row r="4105" spans="1:25">
      <c r="A4105" t="s">
        <v>13812</v>
      </c>
      <c r="B4105" t="s">
        <v>13813</v>
      </c>
      <c r="D4105" t="s">
        <v>40</v>
      </c>
      <c r="E4105" t="s">
        <v>41</v>
      </c>
      <c r="J4105" t="s">
        <v>182</v>
      </c>
      <c r="K4105" t="s">
        <v>183</v>
      </c>
      <c r="L4105">
        <v>9</v>
      </c>
      <c r="M4105" t="s">
        <v>13810</v>
      </c>
      <c r="N4105" t="s">
        <v>64</v>
      </c>
      <c r="O4105" t="s">
        <v>46</v>
      </c>
      <c r="P4105" t="s">
        <v>46</v>
      </c>
      <c r="Y4105" t="s">
        <v>13814</v>
      </c>
    </row>
    <row r="4106" spans="1:25">
      <c r="A4106" t="s">
        <v>13815</v>
      </c>
      <c r="B4106" t="s">
        <v>13816</v>
      </c>
      <c r="D4106" t="s">
        <v>40</v>
      </c>
      <c r="E4106" t="s">
        <v>41</v>
      </c>
      <c r="J4106" t="s">
        <v>182</v>
      </c>
      <c r="K4106" t="s">
        <v>183</v>
      </c>
      <c r="L4106">
        <v>9</v>
      </c>
      <c r="M4106" t="s">
        <v>13810</v>
      </c>
      <c r="N4106" t="s">
        <v>64</v>
      </c>
      <c r="O4106" t="s">
        <v>46</v>
      </c>
      <c r="P4106" t="s">
        <v>46</v>
      </c>
      <c r="Y4106" t="s">
        <v>13817</v>
      </c>
    </row>
    <row r="4107" spans="1:25">
      <c r="A4107" t="s">
        <v>13818</v>
      </c>
      <c r="B4107" t="s">
        <v>13819</v>
      </c>
      <c r="D4107" t="s">
        <v>40</v>
      </c>
      <c r="E4107" t="s">
        <v>41</v>
      </c>
      <c r="J4107" t="s">
        <v>182</v>
      </c>
      <c r="K4107" t="s">
        <v>183</v>
      </c>
      <c r="L4107">
        <v>9</v>
      </c>
      <c r="M4107" t="s">
        <v>13810</v>
      </c>
      <c r="N4107" t="s">
        <v>64</v>
      </c>
      <c r="O4107" t="s">
        <v>46</v>
      </c>
      <c r="P4107" t="s">
        <v>46</v>
      </c>
      <c r="Y4107" t="s">
        <v>13820</v>
      </c>
    </row>
    <row r="4108" spans="1:25">
      <c r="A4108" t="s">
        <v>13821</v>
      </c>
      <c r="B4108" t="s">
        <v>13822</v>
      </c>
      <c r="D4108" t="s">
        <v>40</v>
      </c>
      <c r="E4108" t="s">
        <v>41</v>
      </c>
      <c r="J4108" t="s">
        <v>182</v>
      </c>
      <c r="K4108" t="s">
        <v>183</v>
      </c>
      <c r="L4108">
        <v>9</v>
      </c>
      <c r="M4108" t="s">
        <v>13823</v>
      </c>
      <c r="N4108" t="s">
        <v>64</v>
      </c>
      <c r="O4108" t="s">
        <v>46</v>
      </c>
      <c r="P4108" t="s">
        <v>46</v>
      </c>
      <c r="Y4108" t="s">
        <v>13824</v>
      </c>
    </row>
    <row r="4109" spans="1:25">
      <c r="A4109" t="s">
        <v>13825</v>
      </c>
      <c r="B4109" t="s">
        <v>13826</v>
      </c>
      <c r="D4109" t="s">
        <v>40</v>
      </c>
      <c r="E4109" t="s">
        <v>41</v>
      </c>
      <c r="J4109" t="s">
        <v>68</v>
      </c>
      <c r="K4109" t="s">
        <v>69</v>
      </c>
      <c r="L4109">
        <v>9</v>
      </c>
      <c r="M4109" t="s">
        <v>13823</v>
      </c>
      <c r="N4109" t="s">
        <v>64</v>
      </c>
      <c r="O4109" t="s">
        <v>46</v>
      </c>
      <c r="P4109" t="s">
        <v>46</v>
      </c>
      <c r="Y4109" t="s">
        <v>13827</v>
      </c>
    </row>
    <row r="4110" spans="1:25">
      <c r="A4110" t="s">
        <v>13828</v>
      </c>
      <c r="B4110" t="s">
        <v>13829</v>
      </c>
      <c r="D4110" t="s">
        <v>40</v>
      </c>
      <c r="E4110" t="s">
        <v>41</v>
      </c>
      <c r="J4110" t="s">
        <v>182</v>
      </c>
      <c r="K4110" t="s">
        <v>183</v>
      </c>
      <c r="L4110">
        <v>9</v>
      </c>
      <c r="M4110" t="s">
        <v>13823</v>
      </c>
      <c r="N4110" t="s">
        <v>64</v>
      </c>
      <c r="O4110" t="s">
        <v>46</v>
      </c>
      <c r="P4110" t="s">
        <v>46</v>
      </c>
      <c r="Y4110" t="s">
        <v>13830</v>
      </c>
    </row>
    <row r="4111" spans="1:25">
      <c r="A4111" t="s">
        <v>13831</v>
      </c>
      <c r="B4111" t="s">
        <v>13832</v>
      </c>
      <c r="D4111" t="s">
        <v>40</v>
      </c>
      <c r="E4111" t="s">
        <v>41</v>
      </c>
      <c r="J4111" t="s">
        <v>76</v>
      </c>
      <c r="K4111" t="s">
        <v>77</v>
      </c>
      <c r="L4111">
        <v>9</v>
      </c>
      <c r="M4111" t="s">
        <v>13823</v>
      </c>
      <c r="N4111" t="s">
        <v>64</v>
      </c>
      <c r="O4111" t="s">
        <v>46</v>
      </c>
      <c r="P4111" t="s">
        <v>46</v>
      </c>
      <c r="Y4111" t="s">
        <v>13833</v>
      </c>
    </row>
    <row r="4112" spans="1:25">
      <c r="A4112" t="s">
        <v>13834</v>
      </c>
      <c r="B4112" t="s">
        <v>13835</v>
      </c>
      <c r="D4112" t="s">
        <v>40</v>
      </c>
      <c r="E4112" t="s">
        <v>41</v>
      </c>
      <c r="J4112" t="s">
        <v>76</v>
      </c>
      <c r="K4112" t="s">
        <v>77</v>
      </c>
      <c r="L4112">
        <v>9</v>
      </c>
      <c r="M4112" t="s">
        <v>13836</v>
      </c>
      <c r="N4112" t="s">
        <v>64</v>
      </c>
      <c r="O4112" t="s">
        <v>46</v>
      </c>
      <c r="P4112" t="s">
        <v>46</v>
      </c>
      <c r="Y4112" t="s">
        <v>13837</v>
      </c>
    </row>
    <row r="4113" spans="1:25">
      <c r="A4113" t="s">
        <v>13838</v>
      </c>
      <c r="B4113" t="s">
        <v>13839</v>
      </c>
      <c r="D4113" t="s">
        <v>40</v>
      </c>
      <c r="E4113" t="s">
        <v>41</v>
      </c>
      <c r="J4113" t="s">
        <v>182</v>
      </c>
      <c r="K4113" t="s">
        <v>183</v>
      </c>
      <c r="L4113">
        <v>9</v>
      </c>
      <c r="M4113" t="s">
        <v>13840</v>
      </c>
      <c r="N4113" t="s">
        <v>64</v>
      </c>
      <c r="O4113" t="s">
        <v>46</v>
      </c>
      <c r="P4113" t="s">
        <v>46</v>
      </c>
      <c r="Y4113" t="s">
        <v>13841</v>
      </c>
    </row>
    <row r="4114" spans="1:25">
      <c r="A4114" t="s">
        <v>13842</v>
      </c>
      <c r="B4114" t="s">
        <v>13843</v>
      </c>
      <c r="D4114" t="s">
        <v>40</v>
      </c>
      <c r="E4114" t="s">
        <v>41</v>
      </c>
      <c r="J4114" t="s">
        <v>182</v>
      </c>
      <c r="K4114" t="s">
        <v>183</v>
      </c>
      <c r="L4114">
        <v>9</v>
      </c>
      <c r="M4114" t="s">
        <v>13840</v>
      </c>
      <c r="N4114" t="s">
        <v>64</v>
      </c>
      <c r="O4114" t="s">
        <v>46</v>
      </c>
      <c r="P4114" t="s">
        <v>46</v>
      </c>
      <c r="Y4114" t="s">
        <v>13844</v>
      </c>
    </row>
    <row r="4115" spans="1:25">
      <c r="A4115" t="s">
        <v>13845</v>
      </c>
      <c r="B4115" t="s">
        <v>13846</v>
      </c>
      <c r="D4115" t="s">
        <v>40</v>
      </c>
      <c r="E4115" t="s">
        <v>41</v>
      </c>
      <c r="J4115" t="s">
        <v>182</v>
      </c>
      <c r="K4115" t="s">
        <v>183</v>
      </c>
      <c r="L4115">
        <v>9</v>
      </c>
      <c r="M4115" t="s">
        <v>13840</v>
      </c>
      <c r="N4115" t="s">
        <v>64</v>
      </c>
      <c r="O4115" t="s">
        <v>46</v>
      </c>
      <c r="P4115" t="s">
        <v>46</v>
      </c>
      <c r="Y4115" t="s">
        <v>13847</v>
      </c>
    </row>
    <row r="4116" spans="1:25">
      <c r="A4116" t="s">
        <v>13848</v>
      </c>
      <c r="B4116" t="s">
        <v>13849</v>
      </c>
      <c r="D4116" t="s">
        <v>40</v>
      </c>
      <c r="E4116" t="s">
        <v>41</v>
      </c>
      <c r="J4116" t="s">
        <v>182</v>
      </c>
      <c r="K4116" t="s">
        <v>183</v>
      </c>
      <c r="L4116">
        <v>9</v>
      </c>
      <c r="M4116" t="s">
        <v>13840</v>
      </c>
      <c r="N4116" t="s">
        <v>64</v>
      </c>
      <c r="O4116" t="s">
        <v>46</v>
      </c>
      <c r="P4116" t="s">
        <v>46</v>
      </c>
      <c r="Y4116" t="s">
        <v>13850</v>
      </c>
    </row>
    <row r="4117" spans="1:25">
      <c r="A4117" t="s">
        <v>13851</v>
      </c>
      <c r="B4117" t="s">
        <v>13852</v>
      </c>
      <c r="D4117" t="s">
        <v>40</v>
      </c>
      <c r="E4117" t="s">
        <v>41</v>
      </c>
      <c r="J4117" t="s">
        <v>182</v>
      </c>
      <c r="K4117" t="s">
        <v>183</v>
      </c>
      <c r="L4117">
        <v>9</v>
      </c>
      <c r="M4117" t="s">
        <v>13840</v>
      </c>
      <c r="N4117" t="s">
        <v>64</v>
      </c>
      <c r="O4117" t="s">
        <v>46</v>
      </c>
      <c r="P4117" t="s">
        <v>46</v>
      </c>
      <c r="Y4117" t="s">
        <v>13853</v>
      </c>
    </row>
    <row r="4118" spans="1:25">
      <c r="A4118" t="s">
        <v>13854</v>
      </c>
      <c r="B4118" t="s">
        <v>13855</v>
      </c>
      <c r="D4118" t="s">
        <v>40</v>
      </c>
      <c r="E4118" t="s">
        <v>41</v>
      </c>
      <c r="J4118" t="s">
        <v>182</v>
      </c>
      <c r="K4118" t="s">
        <v>183</v>
      </c>
      <c r="L4118">
        <v>9</v>
      </c>
      <c r="M4118" t="s">
        <v>13840</v>
      </c>
      <c r="N4118" t="s">
        <v>64</v>
      </c>
      <c r="O4118" t="s">
        <v>46</v>
      </c>
      <c r="P4118" t="s">
        <v>46</v>
      </c>
      <c r="Y4118" t="s">
        <v>13856</v>
      </c>
    </row>
    <row r="4119" spans="1:25">
      <c r="A4119" t="s">
        <v>13857</v>
      </c>
      <c r="B4119" t="s">
        <v>13858</v>
      </c>
      <c r="D4119" t="s">
        <v>40</v>
      </c>
      <c r="E4119" t="s">
        <v>41</v>
      </c>
      <c r="J4119" t="s">
        <v>76</v>
      </c>
      <c r="K4119" t="s">
        <v>77</v>
      </c>
      <c r="L4119">
        <v>9</v>
      </c>
      <c r="M4119" t="s">
        <v>13859</v>
      </c>
      <c r="N4119" t="s">
        <v>64</v>
      </c>
      <c r="O4119" t="s">
        <v>46</v>
      </c>
      <c r="P4119" t="s">
        <v>46</v>
      </c>
      <c r="Y4119" t="s">
        <v>13860</v>
      </c>
    </row>
    <row r="4120" spans="1:25">
      <c r="A4120" t="s">
        <v>13861</v>
      </c>
      <c r="B4120" t="s">
        <v>13862</v>
      </c>
      <c r="D4120" t="s">
        <v>40</v>
      </c>
      <c r="E4120" t="s">
        <v>41</v>
      </c>
      <c r="J4120" t="s">
        <v>76</v>
      </c>
      <c r="K4120" t="s">
        <v>77</v>
      </c>
      <c r="L4120">
        <v>9</v>
      </c>
      <c r="M4120" t="s">
        <v>13859</v>
      </c>
      <c r="N4120" t="s">
        <v>64</v>
      </c>
      <c r="O4120" t="s">
        <v>46</v>
      </c>
      <c r="P4120" t="s">
        <v>46</v>
      </c>
      <c r="Y4120" t="s">
        <v>13863</v>
      </c>
    </row>
    <row r="4121" spans="1:25">
      <c r="A4121" t="s">
        <v>13864</v>
      </c>
      <c r="B4121" t="s">
        <v>13865</v>
      </c>
      <c r="D4121" t="s">
        <v>40</v>
      </c>
      <c r="E4121" t="s">
        <v>41</v>
      </c>
      <c r="J4121" t="s">
        <v>182</v>
      </c>
      <c r="K4121" t="s">
        <v>183</v>
      </c>
      <c r="L4121">
        <v>9</v>
      </c>
      <c r="M4121" t="s">
        <v>13859</v>
      </c>
      <c r="N4121" t="s">
        <v>64</v>
      </c>
      <c r="O4121" t="s">
        <v>46</v>
      </c>
      <c r="P4121" t="s">
        <v>46</v>
      </c>
      <c r="Y4121" t="s">
        <v>13866</v>
      </c>
    </row>
    <row r="4122" spans="1:25">
      <c r="A4122" t="s">
        <v>13867</v>
      </c>
      <c r="B4122" t="s">
        <v>13868</v>
      </c>
      <c r="D4122" t="s">
        <v>40</v>
      </c>
      <c r="E4122" t="s">
        <v>41</v>
      </c>
      <c r="J4122" t="s">
        <v>76</v>
      </c>
      <c r="K4122" t="s">
        <v>77</v>
      </c>
      <c r="L4122">
        <v>9</v>
      </c>
      <c r="M4122" t="s">
        <v>13859</v>
      </c>
      <c r="N4122" t="s">
        <v>64</v>
      </c>
      <c r="O4122" t="s">
        <v>46</v>
      </c>
      <c r="P4122" t="s">
        <v>46</v>
      </c>
      <c r="Y4122" t="s">
        <v>13869</v>
      </c>
    </row>
    <row r="4123" spans="1:25">
      <c r="A4123" t="s">
        <v>13870</v>
      </c>
      <c r="B4123" t="s">
        <v>13871</v>
      </c>
      <c r="D4123" t="s">
        <v>40</v>
      </c>
      <c r="E4123" t="s">
        <v>41</v>
      </c>
      <c r="J4123" t="s">
        <v>182</v>
      </c>
      <c r="K4123" t="s">
        <v>183</v>
      </c>
      <c r="L4123">
        <v>9</v>
      </c>
      <c r="M4123" t="s">
        <v>13859</v>
      </c>
      <c r="N4123" t="s">
        <v>64</v>
      </c>
      <c r="O4123" t="s">
        <v>46</v>
      </c>
      <c r="P4123" t="s">
        <v>46</v>
      </c>
      <c r="Y4123" t="s">
        <v>13872</v>
      </c>
    </row>
    <row r="4124" spans="1:25">
      <c r="A4124" t="s">
        <v>13873</v>
      </c>
      <c r="B4124" t="s">
        <v>13874</v>
      </c>
      <c r="D4124" t="s">
        <v>40</v>
      </c>
      <c r="E4124" t="s">
        <v>41</v>
      </c>
      <c r="J4124" t="s">
        <v>68</v>
      </c>
      <c r="K4124" t="s">
        <v>69</v>
      </c>
      <c r="L4124">
        <v>9</v>
      </c>
      <c r="M4124" t="s">
        <v>13859</v>
      </c>
      <c r="N4124" t="s">
        <v>64</v>
      </c>
      <c r="O4124" t="s">
        <v>46</v>
      </c>
      <c r="P4124" t="s">
        <v>46</v>
      </c>
      <c r="Y4124" t="s">
        <v>13875</v>
      </c>
    </row>
    <row r="4125" spans="1:25">
      <c r="A4125" t="s">
        <v>13876</v>
      </c>
      <c r="B4125" t="s">
        <v>13877</v>
      </c>
      <c r="D4125" t="s">
        <v>40</v>
      </c>
      <c r="E4125" t="s">
        <v>41</v>
      </c>
      <c r="J4125" t="s">
        <v>182</v>
      </c>
      <c r="K4125" t="s">
        <v>183</v>
      </c>
      <c r="L4125">
        <v>9</v>
      </c>
      <c r="M4125" t="s">
        <v>13859</v>
      </c>
      <c r="N4125" t="s">
        <v>64</v>
      </c>
      <c r="O4125" t="s">
        <v>46</v>
      </c>
      <c r="P4125" t="s">
        <v>46</v>
      </c>
      <c r="Y4125" t="s">
        <v>13878</v>
      </c>
    </row>
    <row r="4126" spans="1:25">
      <c r="A4126" t="s">
        <v>13879</v>
      </c>
      <c r="B4126" t="s">
        <v>13880</v>
      </c>
      <c r="D4126" t="s">
        <v>40</v>
      </c>
      <c r="E4126" t="s">
        <v>41</v>
      </c>
      <c r="J4126" t="s">
        <v>182</v>
      </c>
      <c r="K4126" t="s">
        <v>183</v>
      </c>
      <c r="L4126">
        <v>9</v>
      </c>
      <c r="M4126" t="s">
        <v>13859</v>
      </c>
      <c r="N4126" t="s">
        <v>64</v>
      </c>
      <c r="O4126" t="s">
        <v>46</v>
      </c>
      <c r="P4126" t="s">
        <v>46</v>
      </c>
      <c r="Y4126" t="s">
        <v>13881</v>
      </c>
    </row>
    <row r="4127" spans="1:25">
      <c r="A4127" t="s">
        <v>13882</v>
      </c>
      <c r="B4127" t="s">
        <v>13883</v>
      </c>
      <c r="D4127" t="s">
        <v>40</v>
      </c>
      <c r="E4127" t="s">
        <v>41</v>
      </c>
      <c r="J4127" t="s">
        <v>182</v>
      </c>
      <c r="K4127" t="s">
        <v>183</v>
      </c>
      <c r="L4127">
        <v>9</v>
      </c>
      <c r="M4127" t="s">
        <v>13884</v>
      </c>
      <c r="N4127" t="s">
        <v>64</v>
      </c>
      <c r="O4127" t="s">
        <v>46</v>
      </c>
      <c r="P4127" t="s">
        <v>46</v>
      </c>
      <c r="Y4127" t="s">
        <v>13885</v>
      </c>
    </row>
    <row r="4128" spans="1:25">
      <c r="A4128" t="s">
        <v>13886</v>
      </c>
      <c r="B4128" t="s">
        <v>13887</v>
      </c>
      <c r="D4128" t="s">
        <v>40</v>
      </c>
      <c r="E4128" t="s">
        <v>41</v>
      </c>
      <c r="J4128" t="s">
        <v>182</v>
      </c>
      <c r="K4128" t="s">
        <v>183</v>
      </c>
      <c r="L4128">
        <v>9</v>
      </c>
      <c r="M4128" t="s">
        <v>13884</v>
      </c>
      <c r="N4128" t="s">
        <v>64</v>
      </c>
      <c r="O4128" t="s">
        <v>46</v>
      </c>
      <c r="P4128" t="s">
        <v>46</v>
      </c>
      <c r="Y4128" t="s">
        <v>13888</v>
      </c>
    </row>
    <row r="4129" spans="1:25">
      <c r="A4129" t="s">
        <v>13889</v>
      </c>
      <c r="B4129" t="s">
        <v>13890</v>
      </c>
      <c r="D4129" t="s">
        <v>40</v>
      </c>
      <c r="E4129" t="s">
        <v>41</v>
      </c>
      <c r="J4129" t="s">
        <v>182</v>
      </c>
      <c r="K4129" t="s">
        <v>183</v>
      </c>
      <c r="L4129">
        <v>9</v>
      </c>
      <c r="M4129" t="s">
        <v>13884</v>
      </c>
      <c r="N4129" t="s">
        <v>64</v>
      </c>
      <c r="O4129" t="s">
        <v>46</v>
      </c>
      <c r="P4129" t="s">
        <v>46</v>
      </c>
      <c r="Y4129" t="s">
        <v>13891</v>
      </c>
    </row>
    <row r="4130" spans="1:25">
      <c r="A4130" t="s">
        <v>13892</v>
      </c>
      <c r="B4130" t="s">
        <v>13893</v>
      </c>
      <c r="D4130" t="s">
        <v>40</v>
      </c>
      <c r="E4130" t="s">
        <v>41</v>
      </c>
      <c r="J4130" t="s">
        <v>182</v>
      </c>
      <c r="K4130" t="s">
        <v>183</v>
      </c>
      <c r="L4130">
        <v>9</v>
      </c>
      <c r="M4130" t="s">
        <v>13884</v>
      </c>
      <c r="N4130" t="s">
        <v>64</v>
      </c>
      <c r="O4130" t="s">
        <v>46</v>
      </c>
      <c r="P4130" t="s">
        <v>46</v>
      </c>
      <c r="Y4130" t="s">
        <v>13894</v>
      </c>
    </row>
    <row r="4131" spans="1:25">
      <c r="A4131" t="s">
        <v>13895</v>
      </c>
      <c r="B4131" t="s">
        <v>13896</v>
      </c>
      <c r="D4131" t="s">
        <v>40</v>
      </c>
      <c r="E4131" t="s">
        <v>41</v>
      </c>
      <c r="J4131" t="s">
        <v>182</v>
      </c>
      <c r="K4131" t="s">
        <v>183</v>
      </c>
      <c r="L4131">
        <v>9</v>
      </c>
      <c r="M4131" t="s">
        <v>13884</v>
      </c>
      <c r="N4131" t="s">
        <v>64</v>
      </c>
      <c r="O4131" t="s">
        <v>46</v>
      </c>
      <c r="P4131" t="s">
        <v>46</v>
      </c>
      <c r="Y4131" t="s">
        <v>13897</v>
      </c>
    </row>
    <row r="4132" spans="1:25">
      <c r="A4132" t="s">
        <v>13898</v>
      </c>
      <c r="B4132" t="s">
        <v>13899</v>
      </c>
      <c r="D4132" t="s">
        <v>40</v>
      </c>
      <c r="E4132" t="s">
        <v>41</v>
      </c>
      <c r="J4132" t="s">
        <v>76</v>
      </c>
      <c r="K4132" t="s">
        <v>77</v>
      </c>
      <c r="L4132">
        <v>9</v>
      </c>
      <c r="M4132" t="s">
        <v>13900</v>
      </c>
      <c r="N4132" t="s">
        <v>64</v>
      </c>
      <c r="O4132" t="s">
        <v>46</v>
      </c>
      <c r="P4132" t="s">
        <v>46</v>
      </c>
      <c r="Y4132" t="s">
        <v>13901</v>
      </c>
    </row>
    <row r="4133" spans="1:25">
      <c r="A4133" t="s">
        <v>13902</v>
      </c>
      <c r="B4133" t="s">
        <v>13903</v>
      </c>
      <c r="D4133" t="s">
        <v>40</v>
      </c>
      <c r="E4133" t="s">
        <v>41</v>
      </c>
      <c r="J4133" t="s">
        <v>182</v>
      </c>
      <c r="K4133" t="s">
        <v>183</v>
      </c>
      <c r="L4133">
        <v>9</v>
      </c>
      <c r="M4133" t="s">
        <v>13900</v>
      </c>
      <c r="N4133" t="s">
        <v>64</v>
      </c>
      <c r="O4133" t="s">
        <v>46</v>
      </c>
      <c r="P4133" t="s">
        <v>46</v>
      </c>
      <c r="Y4133" t="s">
        <v>13904</v>
      </c>
    </row>
    <row r="4134" spans="1:25">
      <c r="A4134" t="s">
        <v>13905</v>
      </c>
      <c r="B4134" t="s">
        <v>13906</v>
      </c>
      <c r="D4134" t="s">
        <v>40</v>
      </c>
      <c r="E4134" t="s">
        <v>41</v>
      </c>
      <c r="J4134" t="s">
        <v>182</v>
      </c>
      <c r="K4134" t="s">
        <v>183</v>
      </c>
      <c r="L4134">
        <v>9</v>
      </c>
      <c r="M4134" t="s">
        <v>13907</v>
      </c>
      <c r="N4134" t="s">
        <v>64</v>
      </c>
      <c r="O4134" t="s">
        <v>46</v>
      </c>
      <c r="P4134" t="s">
        <v>46</v>
      </c>
      <c r="Y4134" t="s">
        <v>13908</v>
      </c>
    </row>
    <row r="4135" spans="1:25">
      <c r="A4135" t="s">
        <v>13909</v>
      </c>
      <c r="B4135" t="s">
        <v>13910</v>
      </c>
      <c r="D4135" t="s">
        <v>40</v>
      </c>
      <c r="E4135" t="s">
        <v>41</v>
      </c>
      <c r="J4135" t="s">
        <v>182</v>
      </c>
      <c r="K4135" t="s">
        <v>183</v>
      </c>
      <c r="L4135">
        <v>9</v>
      </c>
      <c r="M4135" t="s">
        <v>13907</v>
      </c>
      <c r="N4135" t="s">
        <v>64</v>
      </c>
      <c r="O4135" t="s">
        <v>46</v>
      </c>
      <c r="P4135" t="s">
        <v>46</v>
      </c>
      <c r="Y4135" t="s">
        <v>13911</v>
      </c>
    </row>
    <row r="4136" spans="1:25">
      <c r="A4136" t="s">
        <v>13912</v>
      </c>
      <c r="B4136" t="s">
        <v>13913</v>
      </c>
      <c r="D4136" t="s">
        <v>40</v>
      </c>
      <c r="E4136" t="s">
        <v>41</v>
      </c>
      <c r="J4136" t="s">
        <v>42</v>
      </c>
      <c r="K4136" t="s">
        <v>43</v>
      </c>
      <c r="L4136">
        <v>9</v>
      </c>
      <c r="M4136" t="s">
        <v>13907</v>
      </c>
      <c r="N4136" t="s">
        <v>58</v>
      </c>
      <c r="O4136" t="s">
        <v>46</v>
      </c>
      <c r="P4136" t="s">
        <v>46</v>
      </c>
      <c r="Y4136" t="s">
        <v>13914</v>
      </c>
    </row>
    <row r="4137" spans="1:25">
      <c r="A4137" t="s">
        <v>13915</v>
      </c>
      <c r="B4137" t="s">
        <v>13916</v>
      </c>
      <c r="D4137" t="s">
        <v>40</v>
      </c>
      <c r="E4137" t="s">
        <v>41</v>
      </c>
      <c r="J4137" t="s">
        <v>182</v>
      </c>
      <c r="K4137" t="s">
        <v>183</v>
      </c>
      <c r="L4137">
        <v>9</v>
      </c>
      <c r="M4137" t="s">
        <v>13907</v>
      </c>
      <c r="N4137" t="s">
        <v>64</v>
      </c>
      <c r="O4137" t="s">
        <v>46</v>
      </c>
      <c r="P4137" t="s">
        <v>46</v>
      </c>
      <c r="Y4137" t="s">
        <v>13917</v>
      </c>
    </row>
    <row r="4138" spans="1:25">
      <c r="A4138" t="s">
        <v>13918</v>
      </c>
      <c r="B4138" t="s">
        <v>13919</v>
      </c>
      <c r="D4138" t="s">
        <v>40</v>
      </c>
      <c r="E4138" t="s">
        <v>41</v>
      </c>
      <c r="J4138" t="s">
        <v>139</v>
      </c>
      <c r="K4138" t="s">
        <v>140</v>
      </c>
      <c r="L4138">
        <v>9</v>
      </c>
      <c r="M4138" t="s">
        <v>13920</v>
      </c>
      <c r="N4138" t="s">
        <v>142</v>
      </c>
      <c r="O4138" t="s">
        <v>46</v>
      </c>
      <c r="P4138" t="s">
        <v>46</v>
      </c>
      <c r="Y4138" t="s">
        <v>13921</v>
      </c>
    </row>
    <row r="4139" spans="1:25">
      <c r="A4139" t="s">
        <v>13922</v>
      </c>
      <c r="B4139" t="s">
        <v>13923</v>
      </c>
      <c r="D4139" t="s">
        <v>40</v>
      </c>
      <c r="E4139" t="s">
        <v>41</v>
      </c>
      <c r="J4139" t="s">
        <v>182</v>
      </c>
      <c r="K4139" t="s">
        <v>183</v>
      </c>
      <c r="L4139">
        <v>9</v>
      </c>
      <c r="M4139" t="s">
        <v>13920</v>
      </c>
      <c r="N4139" t="s">
        <v>64</v>
      </c>
      <c r="O4139" t="s">
        <v>46</v>
      </c>
      <c r="P4139" t="s">
        <v>46</v>
      </c>
      <c r="Y4139" t="s">
        <v>13924</v>
      </c>
    </row>
    <row r="4140" spans="1:25">
      <c r="A4140" t="s">
        <v>13925</v>
      </c>
      <c r="B4140" t="s">
        <v>13926</v>
      </c>
      <c r="D4140" t="s">
        <v>40</v>
      </c>
      <c r="E4140" t="s">
        <v>41</v>
      </c>
      <c r="J4140" t="s">
        <v>182</v>
      </c>
      <c r="K4140" t="s">
        <v>183</v>
      </c>
      <c r="L4140">
        <v>9</v>
      </c>
      <c r="M4140" t="s">
        <v>13927</v>
      </c>
      <c r="N4140" t="s">
        <v>64</v>
      </c>
      <c r="O4140" t="s">
        <v>46</v>
      </c>
      <c r="P4140" t="s">
        <v>46</v>
      </c>
      <c r="Y4140" t="s">
        <v>13928</v>
      </c>
    </row>
    <row r="4141" spans="1:25">
      <c r="A4141" t="s">
        <v>13929</v>
      </c>
      <c r="B4141" t="s">
        <v>13930</v>
      </c>
      <c r="D4141" t="s">
        <v>40</v>
      </c>
      <c r="E4141" t="s">
        <v>41</v>
      </c>
      <c r="J4141" t="s">
        <v>182</v>
      </c>
      <c r="K4141" t="s">
        <v>183</v>
      </c>
      <c r="L4141">
        <v>9</v>
      </c>
      <c r="M4141" t="s">
        <v>13927</v>
      </c>
      <c r="N4141" t="s">
        <v>64</v>
      </c>
      <c r="O4141" t="s">
        <v>46</v>
      </c>
      <c r="P4141" t="s">
        <v>46</v>
      </c>
      <c r="Y4141" t="s">
        <v>13931</v>
      </c>
    </row>
    <row r="4142" spans="1:25">
      <c r="A4142" t="s">
        <v>13932</v>
      </c>
      <c r="B4142" t="s">
        <v>13933</v>
      </c>
      <c r="D4142" t="s">
        <v>40</v>
      </c>
      <c r="E4142" t="s">
        <v>41</v>
      </c>
      <c r="J4142" t="s">
        <v>68</v>
      </c>
      <c r="K4142" t="s">
        <v>69</v>
      </c>
      <c r="L4142">
        <v>9</v>
      </c>
      <c r="M4142" t="s">
        <v>13934</v>
      </c>
      <c r="N4142" t="s">
        <v>64</v>
      </c>
      <c r="O4142" t="s">
        <v>46</v>
      </c>
      <c r="P4142" t="s">
        <v>46</v>
      </c>
      <c r="Y4142" t="s">
        <v>13935</v>
      </c>
    </row>
    <row r="4143" spans="1:25">
      <c r="A4143" t="s">
        <v>13936</v>
      </c>
      <c r="B4143" t="s">
        <v>13937</v>
      </c>
      <c r="D4143" t="s">
        <v>40</v>
      </c>
      <c r="E4143" t="s">
        <v>41</v>
      </c>
      <c r="J4143" t="s">
        <v>182</v>
      </c>
      <c r="K4143" t="s">
        <v>183</v>
      </c>
      <c r="L4143">
        <v>9</v>
      </c>
      <c r="M4143" t="s">
        <v>13934</v>
      </c>
      <c r="N4143" t="s">
        <v>64</v>
      </c>
      <c r="O4143" t="s">
        <v>46</v>
      </c>
      <c r="P4143" t="s">
        <v>46</v>
      </c>
      <c r="Y4143" t="s">
        <v>13938</v>
      </c>
    </row>
    <row r="4144" spans="1:25">
      <c r="A4144" t="s">
        <v>13939</v>
      </c>
      <c r="B4144" t="s">
        <v>13940</v>
      </c>
      <c r="D4144" t="s">
        <v>40</v>
      </c>
      <c r="E4144" t="s">
        <v>41</v>
      </c>
      <c r="J4144" t="s">
        <v>182</v>
      </c>
      <c r="K4144" t="s">
        <v>183</v>
      </c>
      <c r="L4144">
        <v>9</v>
      </c>
      <c r="M4144" t="s">
        <v>13934</v>
      </c>
      <c r="N4144" t="s">
        <v>64</v>
      </c>
      <c r="O4144" t="s">
        <v>46</v>
      </c>
      <c r="P4144" t="s">
        <v>46</v>
      </c>
      <c r="Y4144" t="s">
        <v>13941</v>
      </c>
    </row>
    <row r="4145" spans="1:25">
      <c r="A4145" t="s">
        <v>13942</v>
      </c>
      <c r="B4145" t="s">
        <v>13943</v>
      </c>
      <c r="D4145" t="s">
        <v>40</v>
      </c>
      <c r="E4145" t="s">
        <v>41</v>
      </c>
      <c r="J4145" t="s">
        <v>182</v>
      </c>
      <c r="K4145" t="s">
        <v>183</v>
      </c>
      <c r="L4145">
        <v>9</v>
      </c>
      <c r="M4145" t="s">
        <v>13934</v>
      </c>
      <c r="N4145" t="s">
        <v>64</v>
      </c>
      <c r="O4145" t="s">
        <v>46</v>
      </c>
      <c r="P4145" t="s">
        <v>46</v>
      </c>
      <c r="Y4145" t="s">
        <v>13944</v>
      </c>
    </row>
    <row r="4146" spans="1:25">
      <c r="A4146" t="s">
        <v>13945</v>
      </c>
      <c r="B4146" t="s">
        <v>13946</v>
      </c>
      <c r="D4146" t="s">
        <v>40</v>
      </c>
      <c r="E4146" t="s">
        <v>41</v>
      </c>
      <c r="J4146" t="s">
        <v>182</v>
      </c>
      <c r="K4146" t="s">
        <v>183</v>
      </c>
      <c r="L4146">
        <v>9</v>
      </c>
      <c r="M4146" t="s">
        <v>13934</v>
      </c>
      <c r="N4146" t="s">
        <v>64</v>
      </c>
      <c r="O4146" t="s">
        <v>46</v>
      </c>
      <c r="P4146" t="s">
        <v>46</v>
      </c>
      <c r="Y4146" t="s">
        <v>13947</v>
      </c>
    </row>
    <row r="4147" spans="1:25">
      <c r="A4147" t="s">
        <v>13948</v>
      </c>
      <c r="B4147" t="s">
        <v>13949</v>
      </c>
      <c r="D4147" t="s">
        <v>40</v>
      </c>
      <c r="E4147" t="s">
        <v>41</v>
      </c>
      <c r="J4147" t="s">
        <v>76</v>
      </c>
      <c r="K4147" t="s">
        <v>77</v>
      </c>
      <c r="L4147">
        <v>9</v>
      </c>
      <c r="M4147" t="s">
        <v>13934</v>
      </c>
      <c r="N4147" t="s">
        <v>64</v>
      </c>
      <c r="O4147" t="s">
        <v>46</v>
      </c>
      <c r="P4147" t="s">
        <v>46</v>
      </c>
      <c r="Y4147" t="s">
        <v>13950</v>
      </c>
    </row>
    <row r="4148" spans="1:25">
      <c r="A4148" t="s">
        <v>13951</v>
      </c>
      <c r="B4148" t="s">
        <v>13952</v>
      </c>
      <c r="D4148" t="s">
        <v>40</v>
      </c>
      <c r="E4148" t="s">
        <v>41</v>
      </c>
      <c r="J4148" t="s">
        <v>182</v>
      </c>
      <c r="K4148" t="s">
        <v>183</v>
      </c>
      <c r="L4148">
        <v>9</v>
      </c>
      <c r="M4148" t="s">
        <v>13934</v>
      </c>
      <c r="N4148" t="s">
        <v>64</v>
      </c>
      <c r="O4148" t="s">
        <v>46</v>
      </c>
      <c r="P4148" t="s">
        <v>46</v>
      </c>
      <c r="Y4148" t="s">
        <v>13953</v>
      </c>
    </row>
    <row r="4149" spans="1:25">
      <c r="A4149" t="s">
        <v>13954</v>
      </c>
      <c r="B4149" t="s">
        <v>13955</v>
      </c>
      <c r="D4149" t="s">
        <v>40</v>
      </c>
      <c r="E4149" t="s">
        <v>41</v>
      </c>
      <c r="J4149" t="s">
        <v>182</v>
      </c>
      <c r="K4149" t="s">
        <v>183</v>
      </c>
      <c r="L4149">
        <v>9</v>
      </c>
      <c r="M4149" t="s">
        <v>13934</v>
      </c>
      <c r="N4149" t="s">
        <v>64</v>
      </c>
      <c r="O4149" t="s">
        <v>46</v>
      </c>
      <c r="P4149" t="s">
        <v>46</v>
      </c>
      <c r="Y4149" t="s">
        <v>13956</v>
      </c>
    </row>
    <row r="4150" spans="1:25">
      <c r="A4150" t="s">
        <v>13957</v>
      </c>
      <c r="B4150" t="s">
        <v>13958</v>
      </c>
      <c r="D4150" t="s">
        <v>40</v>
      </c>
      <c r="E4150" t="s">
        <v>41</v>
      </c>
      <c r="J4150" t="s">
        <v>76</v>
      </c>
      <c r="K4150" t="s">
        <v>77</v>
      </c>
      <c r="L4150">
        <v>9</v>
      </c>
      <c r="M4150" t="s">
        <v>13934</v>
      </c>
      <c r="N4150" t="s">
        <v>64</v>
      </c>
      <c r="O4150" t="s">
        <v>46</v>
      </c>
      <c r="P4150" t="s">
        <v>46</v>
      </c>
      <c r="Y4150" t="s">
        <v>13959</v>
      </c>
    </row>
    <row r="4151" spans="1:25">
      <c r="A4151" t="s">
        <v>13960</v>
      </c>
      <c r="B4151" t="s">
        <v>13961</v>
      </c>
      <c r="D4151" t="s">
        <v>40</v>
      </c>
      <c r="E4151" t="s">
        <v>41</v>
      </c>
      <c r="J4151" t="s">
        <v>182</v>
      </c>
      <c r="K4151" t="s">
        <v>183</v>
      </c>
      <c r="L4151">
        <v>9</v>
      </c>
      <c r="M4151" t="s">
        <v>13934</v>
      </c>
      <c r="N4151" t="s">
        <v>64</v>
      </c>
      <c r="O4151" t="s">
        <v>46</v>
      </c>
      <c r="P4151" t="s">
        <v>46</v>
      </c>
      <c r="Y4151" t="s">
        <v>13962</v>
      </c>
    </row>
    <row r="4152" spans="1:25">
      <c r="A4152" t="s">
        <v>13963</v>
      </c>
      <c r="B4152" t="s">
        <v>13964</v>
      </c>
      <c r="D4152" t="s">
        <v>40</v>
      </c>
      <c r="E4152" t="s">
        <v>41</v>
      </c>
      <c r="J4152" t="s">
        <v>182</v>
      </c>
      <c r="K4152" t="s">
        <v>183</v>
      </c>
      <c r="L4152">
        <v>9</v>
      </c>
      <c r="M4152" t="s">
        <v>13934</v>
      </c>
      <c r="N4152" t="s">
        <v>64</v>
      </c>
      <c r="O4152" t="s">
        <v>46</v>
      </c>
      <c r="P4152" t="s">
        <v>46</v>
      </c>
      <c r="Y4152" t="s">
        <v>13965</v>
      </c>
    </row>
    <row r="4153" spans="1:25">
      <c r="A4153" t="s">
        <v>13966</v>
      </c>
      <c r="B4153" t="s">
        <v>13967</v>
      </c>
      <c r="D4153" t="s">
        <v>40</v>
      </c>
      <c r="E4153" t="s">
        <v>41</v>
      </c>
      <c r="J4153" t="s">
        <v>76</v>
      </c>
      <c r="K4153" t="s">
        <v>77</v>
      </c>
      <c r="L4153">
        <v>9</v>
      </c>
      <c r="M4153" t="s">
        <v>13968</v>
      </c>
      <c r="N4153" t="s">
        <v>64</v>
      </c>
      <c r="O4153" t="s">
        <v>46</v>
      </c>
      <c r="P4153" t="s">
        <v>46</v>
      </c>
      <c r="Y4153" t="s">
        <v>13969</v>
      </c>
    </row>
    <row r="4154" spans="1:25">
      <c r="A4154" t="s">
        <v>13970</v>
      </c>
      <c r="B4154" t="s">
        <v>13971</v>
      </c>
      <c r="D4154" t="s">
        <v>40</v>
      </c>
      <c r="E4154" t="s">
        <v>41</v>
      </c>
      <c r="J4154" t="s">
        <v>76</v>
      </c>
      <c r="K4154" t="s">
        <v>77</v>
      </c>
      <c r="L4154">
        <v>9</v>
      </c>
      <c r="M4154" t="s">
        <v>13968</v>
      </c>
      <c r="N4154" t="s">
        <v>64</v>
      </c>
      <c r="O4154" t="s">
        <v>46</v>
      </c>
      <c r="P4154" t="s">
        <v>46</v>
      </c>
      <c r="Y4154" t="s">
        <v>13972</v>
      </c>
    </row>
    <row r="4155" spans="1:25">
      <c r="A4155" t="s">
        <v>13973</v>
      </c>
      <c r="B4155" t="s">
        <v>13974</v>
      </c>
      <c r="D4155" t="s">
        <v>40</v>
      </c>
      <c r="E4155" t="s">
        <v>41</v>
      </c>
      <c r="J4155" t="s">
        <v>182</v>
      </c>
      <c r="K4155" t="s">
        <v>183</v>
      </c>
      <c r="L4155">
        <v>9</v>
      </c>
      <c r="M4155" t="s">
        <v>13968</v>
      </c>
      <c r="N4155" t="s">
        <v>64</v>
      </c>
      <c r="O4155" t="s">
        <v>46</v>
      </c>
      <c r="P4155" t="s">
        <v>46</v>
      </c>
      <c r="Y4155" t="s">
        <v>13975</v>
      </c>
    </row>
    <row r="4156" spans="1:25">
      <c r="A4156" t="s">
        <v>13976</v>
      </c>
      <c r="B4156" t="s">
        <v>13977</v>
      </c>
      <c r="D4156" t="s">
        <v>40</v>
      </c>
      <c r="E4156" t="s">
        <v>41</v>
      </c>
      <c r="J4156" t="s">
        <v>76</v>
      </c>
      <c r="K4156" t="s">
        <v>77</v>
      </c>
      <c r="L4156">
        <v>9</v>
      </c>
      <c r="M4156" t="s">
        <v>13968</v>
      </c>
      <c r="N4156" t="s">
        <v>64</v>
      </c>
      <c r="O4156" t="s">
        <v>46</v>
      </c>
      <c r="P4156" t="s">
        <v>46</v>
      </c>
      <c r="Y4156" t="s">
        <v>13978</v>
      </c>
    </row>
    <row r="4157" spans="1:25">
      <c r="A4157" t="s">
        <v>13979</v>
      </c>
      <c r="B4157" t="s">
        <v>13980</v>
      </c>
      <c r="D4157" t="s">
        <v>40</v>
      </c>
      <c r="E4157" t="s">
        <v>41</v>
      </c>
      <c r="J4157" t="s">
        <v>182</v>
      </c>
      <c r="K4157" t="s">
        <v>183</v>
      </c>
      <c r="L4157">
        <v>9</v>
      </c>
      <c r="M4157" t="s">
        <v>13968</v>
      </c>
      <c r="N4157" t="s">
        <v>64</v>
      </c>
      <c r="O4157" t="s">
        <v>46</v>
      </c>
      <c r="P4157" t="s">
        <v>46</v>
      </c>
      <c r="Y4157" t="s">
        <v>13981</v>
      </c>
    </row>
    <row r="4158" spans="1:25">
      <c r="A4158" t="s">
        <v>13982</v>
      </c>
      <c r="B4158" t="s">
        <v>13983</v>
      </c>
      <c r="D4158" t="s">
        <v>40</v>
      </c>
      <c r="E4158" t="s">
        <v>41</v>
      </c>
      <c r="J4158" t="s">
        <v>68</v>
      </c>
      <c r="K4158" t="s">
        <v>69</v>
      </c>
      <c r="L4158">
        <v>9</v>
      </c>
      <c r="M4158" t="s">
        <v>13968</v>
      </c>
      <c r="N4158" t="s">
        <v>64</v>
      </c>
      <c r="O4158" t="s">
        <v>46</v>
      </c>
      <c r="P4158" t="s">
        <v>46</v>
      </c>
      <c r="Y4158" t="s">
        <v>13984</v>
      </c>
    </row>
    <row r="4159" spans="1:25">
      <c r="A4159" t="s">
        <v>13985</v>
      </c>
      <c r="B4159" t="s">
        <v>13986</v>
      </c>
      <c r="D4159" t="s">
        <v>40</v>
      </c>
      <c r="E4159" t="s">
        <v>41</v>
      </c>
      <c r="J4159" t="s">
        <v>76</v>
      </c>
      <c r="K4159" t="s">
        <v>77</v>
      </c>
      <c r="L4159">
        <v>9</v>
      </c>
      <c r="M4159" t="s">
        <v>13968</v>
      </c>
      <c r="N4159" t="s">
        <v>64</v>
      </c>
      <c r="O4159" t="s">
        <v>46</v>
      </c>
      <c r="P4159" t="s">
        <v>46</v>
      </c>
      <c r="Y4159" t="s">
        <v>13987</v>
      </c>
    </row>
    <row r="4160" spans="1:25">
      <c r="A4160" t="s">
        <v>13988</v>
      </c>
      <c r="B4160" t="s">
        <v>13989</v>
      </c>
      <c r="D4160" t="s">
        <v>40</v>
      </c>
      <c r="E4160" t="s">
        <v>41</v>
      </c>
      <c r="J4160" t="s">
        <v>76</v>
      </c>
      <c r="K4160" t="s">
        <v>77</v>
      </c>
      <c r="L4160">
        <v>9</v>
      </c>
      <c r="M4160" t="s">
        <v>13968</v>
      </c>
      <c r="N4160" t="s">
        <v>64</v>
      </c>
      <c r="O4160" t="s">
        <v>46</v>
      </c>
      <c r="P4160" t="s">
        <v>46</v>
      </c>
      <c r="Y4160" t="s">
        <v>13990</v>
      </c>
    </row>
    <row r="4161" spans="1:25">
      <c r="A4161" t="s">
        <v>13991</v>
      </c>
      <c r="B4161" t="s">
        <v>13992</v>
      </c>
      <c r="D4161" t="s">
        <v>40</v>
      </c>
      <c r="E4161" t="s">
        <v>41</v>
      </c>
      <c r="J4161" t="s">
        <v>76</v>
      </c>
      <c r="K4161" t="s">
        <v>77</v>
      </c>
      <c r="L4161">
        <v>9</v>
      </c>
      <c r="M4161" t="s">
        <v>13993</v>
      </c>
      <c r="N4161" t="s">
        <v>64</v>
      </c>
      <c r="O4161" t="s">
        <v>46</v>
      </c>
      <c r="P4161" t="s">
        <v>46</v>
      </c>
      <c r="Y4161" t="s">
        <v>13994</v>
      </c>
    </row>
    <row r="4162" spans="1:25">
      <c r="A4162" t="s">
        <v>13995</v>
      </c>
      <c r="B4162" t="s">
        <v>13996</v>
      </c>
      <c r="D4162" t="s">
        <v>40</v>
      </c>
      <c r="E4162" t="s">
        <v>41</v>
      </c>
      <c r="J4162" t="s">
        <v>76</v>
      </c>
      <c r="K4162" t="s">
        <v>77</v>
      </c>
      <c r="L4162">
        <v>9</v>
      </c>
      <c r="M4162" t="s">
        <v>13993</v>
      </c>
      <c r="N4162" t="s">
        <v>64</v>
      </c>
      <c r="O4162" t="s">
        <v>46</v>
      </c>
      <c r="P4162" t="s">
        <v>46</v>
      </c>
      <c r="Y4162" t="s">
        <v>13997</v>
      </c>
    </row>
    <row r="4163" spans="1:25">
      <c r="A4163" t="s">
        <v>13998</v>
      </c>
      <c r="B4163" t="s">
        <v>13999</v>
      </c>
      <c r="D4163" t="s">
        <v>40</v>
      </c>
      <c r="E4163" t="s">
        <v>41</v>
      </c>
      <c r="J4163" t="s">
        <v>50</v>
      </c>
      <c r="K4163" t="s">
        <v>51</v>
      </c>
      <c r="L4163">
        <v>9</v>
      </c>
      <c r="M4163" t="s">
        <v>13993</v>
      </c>
      <c r="N4163" t="s">
        <v>440</v>
      </c>
      <c r="O4163" t="s">
        <v>46</v>
      </c>
      <c r="P4163" t="s">
        <v>46</v>
      </c>
      <c r="Y4163" t="s">
        <v>14000</v>
      </c>
    </row>
    <row r="4164" spans="1:25">
      <c r="A4164" t="s">
        <v>14001</v>
      </c>
      <c r="B4164" t="s">
        <v>14002</v>
      </c>
      <c r="D4164" t="s">
        <v>40</v>
      </c>
      <c r="E4164" t="s">
        <v>41</v>
      </c>
      <c r="J4164" t="s">
        <v>42</v>
      </c>
      <c r="K4164" t="s">
        <v>43</v>
      </c>
      <c r="L4164">
        <v>9</v>
      </c>
      <c r="M4164" t="s">
        <v>13993</v>
      </c>
      <c r="N4164" t="s">
        <v>436</v>
      </c>
      <c r="O4164" t="s">
        <v>46</v>
      </c>
      <c r="P4164" t="s">
        <v>46</v>
      </c>
      <c r="Y4164" t="s">
        <v>14003</v>
      </c>
    </row>
    <row r="4165" spans="1:25">
      <c r="A4165" t="s">
        <v>14004</v>
      </c>
      <c r="B4165" t="s">
        <v>14005</v>
      </c>
      <c r="D4165" t="s">
        <v>40</v>
      </c>
      <c r="E4165" t="s">
        <v>41</v>
      </c>
      <c r="J4165" t="s">
        <v>76</v>
      </c>
      <c r="K4165" t="s">
        <v>77</v>
      </c>
      <c r="L4165">
        <v>9</v>
      </c>
      <c r="M4165" t="s">
        <v>13993</v>
      </c>
      <c r="N4165" t="s">
        <v>64</v>
      </c>
      <c r="O4165" t="s">
        <v>46</v>
      </c>
      <c r="P4165" t="s">
        <v>46</v>
      </c>
      <c r="Y4165" t="s">
        <v>14006</v>
      </c>
    </row>
    <row r="4166" spans="1:25">
      <c r="A4166" t="s">
        <v>14007</v>
      </c>
      <c r="B4166" t="s">
        <v>14008</v>
      </c>
      <c r="D4166" t="s">
        <v>40</v>
      </c>
      <c r="E4166" t="s">
        <v>41</v>
      </c>
      <c r="J4166" t="s">
        <v>182</v>
      </c>
      <c r="K4166" t="s">
        <v>183</v>
      </c>
      <c r="L4166">
        <v>9</v>
      </c>
      <c r="M4166" t="s">
        <v>14009</v>
      </c>
      <c r="N4166" t="s">
        <v>64</v>
      </c>
      <c r="O4166" t="s">
        <v>46</v>
      </c>
      <c r="P4166" t="s">
        <v>46</v>
      </c>
      <c r="Y4166" t="s">
        <v>14010</v>
      </c>
    </row>
    <row r="4167" spans="1:25">
      <c r="A4167" t="s">
        <v>14011</v>
      </c>
      <c r="B4167" t="s">
        <v>14012</v>
      </c>
      <c r="D4167" t="s">
        <v>40</v>
      </c>
      <c r="E4167" t="s">
        <v>41</v>
      </c>
      <c r="J4167" t="s">
        <v>182</v>
      </c>
      <c r="K4167" t="s">
        <v>183</v>
      </c>
      <c r="L4167">
        <v>9</v>
      </c>
      <c r="M4167" t="s">
        <v>14009</v>
      </c>
      <c r="N4167" t="s">
        <v>64</v>
      </c>
      <c r="O4167" t="s">
        <v>46</v>
      </c>
      <c r="P4167" t="s">
        <v>46</v>
      </c>
      <c r="Y4167" t="s">
        <v>14013</v>
      </c>
    </row>
    <row r="4168" spans="1:25">
      <c r="A4168" t="s">
        <v>14014</v>
      </c>
      <c r="B4168" t="s">
        <v>14015</v>
      </c>
      <c r="D4168" t="s">
        <v>40</v>
      </c>
      <c r="E4168" t="s">
        <v>41</v>
      </c>
      <c r="J4168" t="s">
        <v>76</v>
      </c>
      <c r="K4168" t="s">
        <v>77</v>
      </c>
      <c r="L4168">
        <v>9</v>
      </c>
      <c r="M4168" t="s">
        <v>14009</v>
      </c>
      <c r="N4168" t="s">
        <v>64</v>
      </c>
      <c r="O4168" t="s">
        <v>46</v>
      </c>
      <c r="P4168" t="s">
        <v>46</v>
      </c>
      <c r="Y4168" t="s">
        <v>14016</v>
      </c>
    </row>
    <row r="4169" spans="1:25">
      <c r="A4169" t="s">
        <v>14017</v>
      </c>
      <c r="B4169" t="s">
        <v>14018</v>
      </c>
      <c r="D4169" t="s">
        <v>40</v>
      </c>
      <c r="E4169" t="s">
        <v>41</v>
      </c>
      <c r="J4169" t="s">
        <v>182</v>
      </c>
      <c r="K4169" t="s">
        <v>183</v>
      </c>
      <c r="L4169">
        <v>9</v>
      </c>
      <c r="M4169" t="s">
        <v>14009</v>
      </c>
      <c r="N4169" t="s">
        <v>64</v>
      </c>
      <c r="O4169" t="s">
        <v>46</v>
      </c>
      <c r="P4169" t="s">
        <v>46</v>
      </c>
      <c r="Y4169" t="s">
        <v>14019</v>
      </c>
    </row>
    <row r="4170" spans="1:25">
      <c r="A4170" t="s">
        <v>14020</v>
      </c>
      <c r="B4170" t="s">
        <v>14021</v>
      </c>
      <c r="D4170" t="s">
        <v>40</v>
      </c>
      <c r="E4170" t="s">
        <v>41</v>
      </c>
      <c r="J4170" t="s">
        <v>264</v>
      </c>
      <c r="K4170" t="s">
        <v>265</v>
      </c>
      <c r="L4170">
        <v>9</v>
      </c>
      <c r="M4170" t="s">
        <v>14009</v>
      </c>
      <c r="N4170" t="s">
        <v>1478</v>
      </c>
      <c r="O4170" t="s">
        <v>46</v>
      </c>
      <c r="P4170" t="s">
        <v>46</v>
      </c>
      <c r="Y4170" t="s">
        <v>14022</v>
      </c>
    </row>
    <row r="4171" spans="1:25">
      <c r="A4171" t="s">
        <v>14023</v>
      </c>
      <c r="B4171" t="s">
        <v>14024</v>
      </c>
      <c r="D4171" t="s">
        <v>40</v>
      </c>
      <c r="E4171" t="s">
        <v>41</v>
      </c>
      <c r="J4171" t="s">
        <v>182</v>
      </c>
      <c r="K4171" t="s">
        <v>183</v>
      </c>
      <c r="L4171">
        <v>9</v>
      </c>
      <c r="M4171" t="s">
        <v>14009</v>
      </c>
      <c r="N4171" t="s">
        <v>64</v>
      </c>
      <c r="O4171" t="s">
        <v>46</v>
      </c>
      <c r="P4171" t="s">
        <v>46</v>
      </c>
      <c r="Y4171" t="s">
        <v>14025</v>
      </c>
    </row>
    <row r="4172" spans="1:25">
      <c r="A4172" t="s">
        <v>14026</v>
      </c>
      <c r="B4172" t="s">
        <v>14027</v>
      </c>
      <c r="D4172" t="s">
        <v>40</v>
      </c>
      <c r="E4172" t="s">
        <v>41</v>
      </c>
      <c r="J4172" t="s">
        <v>182</v>
      </c>
      <c r="K4172" t="s">
        <v>183</v>
      </c>
      <c r="L4172">
        <v>9</v>
      </c>
      <c r="M4172" t="s">
        <v>14009</v>
      </c>
      <c r="N4172" t="s">
        <v>64</v>
      </c>
      <c r="O4172" t="s">
        <v>46</v>
      </c>
      <c r="P4172" t="s">
        <v>46</v>
      </c>
      <c r="Y4172" t="s">
        <v>14028</v>
      </c>
    </row>
    <row r="4173" spans="1:25">
      <c r="A4173" t="s">
        <v>14029</v>
      </c>
      <c r="B4173" t="s">
        <v>14030</v>
      </c>
      <c r="D4173" t="s">
        <v>40</v>
      </c>
      <c r="E4173" t="s">
        <v>41</v>
      </c>
      <c r="J4173" t="s">
        <v>182</v>
      </c>
      <c r="K4173" t="s">
        <v>183</v>
      </c>
      <c r="L4173">
        <v>9</v>
      </c>
      <c r="M4173" t="s">
        <v>14031</v>
      </c>
      <c r="N4173" t="s">
        <v>64</v>
      </c>
      <c r="O4173" t="s">
        <v>46</v>
      </c>
      <c r="P4173" t="s">
        <v>46</v>
      </c>
      <c r="Y4173" t="s">
        <v>14032</v>
      </c>
    </row>
    <row r="4174" spans="1:25">
      <c r="A4174" t="s">
        <v>14033</v>
      </c>
      <c r="B4174" t="s">
        <v>14034</v>
      </c>
      <c r="D4174" t="s">
        <v>40</v>
      </c>
      <c r="E4174" t="s">
        <v>41</v>
      </c>
      <c r="J4174" t="s">
        <v>182</v>
      </c>
      <c r="K4174" t="s">
        <v>183</v>
      </c>
      <c r="L4174">
        <v>9</v>
      </c>
      <c r="M4174" t="s">
        <v>14031</v>
      </c>
      <c r="N4174" t="s">
        <v>64</v>
      </c>
      <c r="O4174" t="s">
        <v>46</v>
      </c>
      <c r="P4174" t="s">
        <v>46</v>
      </c>
      <c r="Y4174" t="s">
        <v>14035</v>
      </c>
    </row>
    <row r="4175" spans="1:25">
      <c r="A4175" t="s">
        <v>14036</v>
      </c>
      <c r="B4175" t="s">
        <v>14037</v>
      </c>
      <c r="D4175" t="s">
        <v>40</v>
      </c>
      <c r="E4175" t="s">
        <v>41</v>
      </c>
      <c r="J4175" t="s">
        <v>42</v>
      </c>
      <c r="K4175" t="s">
        <v>43</v>
      </c>
      <c r="L4175">
        <v>9</v>
      </c>
      <c r="M4175" t="s">
        <v>14031</v>
      </c>
      <c r="N4175" t="s">
        <v>178</v>
      </c>
      <c r="O4175" t="s">
        <v>46</v>
      </c>
      <c r="P4175" t="s">
        <v>46</v>
      </c>
      <c r="Y4175" t="s">
        <v>14038</v>
      </c>
    </row>
    <row r="4176" spans="1:25">
      <c r="A4176" t="s">
        <v>14039</v>
      </c>
      <c r="B4176" t="s">
        <v>14040</v>
      </c>
      <c r="D4176" t="s">
        <v>40</v>
      </c>
      <c r="E4176" t="s">
        <v>41</v>
      </c>
      <c r="J4176" t="s">
        <v>182</v>
      </c>
      <c r="K4176" t="s">
        <v>183</v>
      </c>
      <c r="L4176">
        <v>9</v>
      </c>
      <c r="M4176" t="s">
        <v>14031</v>
      </c>
      <c r="N4176" t="s">
        <v>64</v>
      </c>
      <c r="O4176" t="s">
        <v>46</v>
      </c>
      <c r="P4176" t="s">
        <v>46</v>
      </c>
      <c r="Y4176" t="s">
        <v>14041</v>
      </c>
    </row>
    <row r="4177" spans="1:25">
      <c r="A4177" t="s">
        <v>14042</v>
      </c>
      <c r="B4177" t="s">
        <v>14043</v>
      </c>
      <c r="D4177" t="s">
        <v>40</v>
      </c>
      <c r="E4177" t="s">
        <v>41</v>
      </c>
      <c r="J4177" t="s">
        <v>182</v>
      </c>
      <c r="K4177" t="s">
        <v>183</v>
      </c>
      <c r="L4177">
        <v>9</v>
      </c>
      <c r="M4177" t="s">
        <v>14031</v>
      </c>
      <c r="N4177" t="s">
        <v>64</v>
      </c>
      <c r="O4177" t="s">
        <v>46</v>
      </c>
      <c r="P4177" t="s">
        <v>46</v>
      </c>
      <c r="Y4177" t="s">
        <v>14044</v>
      </c>
    </row>
    <row r="4178" spans="1:25">
      <c r="A4178" t="s">
        <v>14045</v>
      </c>
      <c r="B4178" t="s">
        <v>14046</v>
      </c>
      <c r="D4178" t="s">
        <v>40</v>
      </c>
      <c r="E4178" t="s">
        <v>41</v>
      </c>
      <c r="J4178" t="s">
        <v>182</v>
      </c>
      <c r="K4178" t="s">
        <v>183</v>
      </c>
      <c r="L4178">
        <v>9</v>
      </c>
      <c r="M4178" t="s">
        <v>14031</v>
      </c>
      <c r="N4178" t="s">
        <v>64</v>
      </c>
      <c r="O4178" t="s">
        <v>46</v>
      </c>
      <c r="P4178" t="s">
        <v>46</v>
      </c>
      <c r="Y4178" t="s">
        <v>14047</v>
      </c>
    </row>
    <row r="4179" spans="1:25">
      <c r="A4179" t="s">
        <v>14048</v>
      </c>
      <c r="B4179" t="s">
        <v>14049</v>
      </c>
      <c r="D4179" t="s">
        <v>40</v>
      </c>
      <c r="E4179" t="s">
        <v>41</v>
      </c>
      <c r="J4179" t="s">
        <v>76</v>
      </c>
      <c r="K4179" t="s">
        <v>77</v>
      </c>
      <c r="L4179">
        <v>9</v>
      </c>
      <c r="M4179" t="s">
        <v>14050</v>
      </c>
      <c r="N4179" t="s">
        <v>64</v>
      </c>
      <c r="O4179" t="s">
        <v>46</v>
      </c>
      <c r="P4179" t="s">
        <v>46</v>
      </c>
      <c r="Y4179" t="s">
        <v>14051</v>
      </c>
    </row>
    <row r="4180" spans="1:25">
      <c r="A4180" t="s">
        <v>14052</v>
      </c>
      <c r="B4180" t="s">
        <v>14053</v>
      </c>
      <c r="D4180" t="s">
        <v>40</v>
      </c>
      <c r="E4180" t="s">
        <v>41</v>
      </c>
      <c r="J4180" t="s">
        <v>182</v>
      </c>
      <c r="K4180" t="s">
        <v>183</v>
      </c>
      <c r="L4180">
        <v>9</v>
      </c>
      <c r="M4180" t="s">
        <v>14050</v>
      </c>
      <c r="N4180" t="s">
        <v>64</v>
      </c>
      <c r="O4180" t="s">
        <v>46</v>
      </c>
      <c r="P4180" t="s">
        <v>46</v>
      </c>
      <c r="Y4180" t="s">
        <v>14054</v>
      </c>
    </row>
    <row r="4181" spans="1:25">
      <c r="A4181" t="s">
        <v>14055</v>
      </c>
      <c r="B4181" t="s">
        <v>14056</v>
      </c>
      <c r="D4181" t="s">
        <v>40</v>
      </c>
      <c r="E4181" t="s">
        <v>41</v>
      </c>
      <c r="J4181" t="s">
        <v>182</v>
      </c>
      <c r="K4181" t="s">
        <v>183</v>
      </c>
      <c r="L4181">
        <v>9</v>
      </c>
      <c r="M4181" t="s">
        <v>14050</v>
      </c>
      <c r="N4181" t="s">
        <v>64</v>
      </c>
      <c r="O4181" t="s">
        <v>46</v>
      </c>
      <c r="P4181" t="s">
        <v>46</v>
      </c>
      <c r="Y4181" t="s">
        <v>14057</v>
      </c>
    </row>
    <row r="4182" spans="1:25">
      <c r="A4182" t="s">
        <v>14058</v>
      </c>
      <c r="B4182" t="s">
        <v>14059</v>
      </c>
      <c r="D4182" t="s">
        <v>40</v>
      </c>
      <c r="E4182" t="s">
        <v>41</v>
      </c>
      <c r="J4182" t="s">
        <v>76</v>
      </c>
      <c r="K4182" t="s">
        <v>77</v>
      </c>
      <c r="L4182">
        <v>9</v>
      </c>
      <c r="M4182" t="s">
        <v>14050</v>
      </c>
      <c r="N4182" t="s">
        <v>64</v>
      </c>
      <c r="O4182" t="s">
        <v>46</v>
      </c>
      <c r="P4182" t="s">
        <v>46</v>
      </c>
      <c r="Y4182" t="s">
        <v>14060</v>
      </c>
    </row>
    <row r="4183" spans="1:25">
      <c r="A4183" t="s">
        <v>14061</v>
      </c>
      <c r="B4183" t="s">
        <v>14062</v>
      </c>
      <c r="D4183" t="s">
        <v>40</v>
      </c>
      <c r="E4183" t="s">
        <v>41</v>
      </c>
      <c r="J4183" t="s">
        <v>76</v>
      </c>
      <c r="K4183" t="s">
        <v>77</v>
      </c>
      <c r="L4183">
        <v>9</v>
      </c>
      <c r="M4183" t="s">
        <v>14050</v>
      </c>
      <c r="N4183" t="s">
        <v>64</v>
      </c>
      <c r="O4183" t="s">
        <v>46</v>
      </c>
      <c r="P4183" t="s">
        <v>46</v>
      </c>
      <c r="Y4183" t="s">
        <v>14063</v>
      </c>
    </row>
    <row r="4184" spans="1:25">
      <c r="A4184" t="s">
        <v>14064</v>
      </c>
      <c r="B4184" t="s">
        <v>14065</v>
      </c>
      <c r="D4184" t="s">
        <v>40</v>
      </c>
      <c r="E4184" t="s">
        <v>41</v>
      </c>
      <c r="J4184" t="s">
        <v>182</v>
      </c>
      <c r="K4184" t="s">
        <v>183</v>
      </c>
      <c r="L4184">
        <v>9</v>
      </c>
      <c r="M4184" t="s">
        <v>14066</v>
      </c>
      <c r="N4184" t="s">
        <v>64</v>
      </c>
      <c r="O4184" t="s">
        <v>46</v>
      </c>
      <c r="P4184" t="s">
        <v>46</v>
      </c>
      <c r="Y4184" t="s">
        <v>14067</v>
      </c>
    </row>
    <row r="4185" spans="1:25">
      <c r="A4185" t="s">
        <v>14068</v>
      </c>
      <c r="B4185" t="s">
        <v>14069</v>
      </c>
      <c r="D4185" t="s">
        <v>40</v>
      </c>
      <c r="E4185" t="s">
        <v>41</v>
      </c>
      <c r="J4185" t="s">
        <v>182</v>
      </c>
      <c r="K4185" t="s">
        <v>183</v>
      </c>
      <c r="L4185">
        <v>9</v>
      </c>
      <c r="M4185" t="s">
        <v>14066</v>
      </c>
      <c r="N4185" t="s">
        <v>64</v>
      </c>
      <c r="O4185" t="s">
        <v>46</v>
      </c>
      <c r="P4185" t="s">
        <v>46</v>
      </c>
      <c r="Y4185" t="s">
        <v>14070</v>
      </c>
    </row>
    <row r="4186" spans="1:25">
      <c r="A4186" t="s">
        <v>14071</v>
      </c>
      <c r="B4186" t="s">
        <v>14072</v>
      </c>
      <c r="D4186" t="s">
        <v>40</v>
      </c>
      <c r="E4186" t="s">
        <v>41</v>
      </c>
      <c r="J4186" t="s">
        <v>182</v>
      </c>
      <c r="K4186" t="s">
        <v>183</v>
      </c>
      <c r="L4186">
        <v>9</v>
      </c>
      <c r="M4186" t="s">
        <v>14066</v>
      </c>
      <c r="N4186" t="s">
        <v>64</v>
      </c>
      <c r="O4186" t="s">
        <v>46</v>
      </c>
      <c r="P4186" t="s">
        <v>46</v>
      </c>
      <c r="Y4186" t="s">
        <v>14073</v>
      </c>
    </row>
    <row r="4187" spans="1:25">
      <c r="A4187" t="s">
        <v>14074</v>
      </c>
      <c r="B4187" t="s">
        <v>14075</v>
      </c>
      <c r="D4187" t="s">
        <v>40</v>
      </c>
      <c r="E4187" t="s">
        <v>41</v>
      </c>
      <c r="J4187" t="s">
        <v>182</v>
      </c>
      <c r="K4187" t="s">
        <v>183</v>
      </c>
      <c r="L4187">
        <v>9</v>
      </c>
      <c r="M4187" t="s">
        <v>14066</v>
      </c>
      <c r="N4187" t="s">
        <v>64</v>
      </c>
      <c r="O4187" t="s">
        <v>46</v>
      </c>
      <c r="P4187" t="s">
        <v>46</v>
      </c>
      <c r="Y4187" t="s">
        <v>14076</v>
      </c>
    </row>
    <row r="4188" spans="1:25">
      <c r="A4188" t="s">
        <v>14077</v>
      </c>
      <c r="B4188" t="s">
        <v>14078</v>
      </c>
      <c r="D4188" t="s">
        <v>40</v>
      </c>
      <c r="E4188" t="s">
        <v>41</v>
      </c>
      <c r="J4188" t="s">
        <v>182</v>
      </c>
      <c r="K4188" t="s">
        <v>183</v>
      </c>
      <c r="L4188">
        <v>9</v>
      </c>
      <c r="M4188" t="s">
        <v>14066</v>
      </c>
      <c r="N4188" t="s">
        <v>64</v>
      </c>
      <c r="O4188" t="s">
        <v>46</v>
      </c>
      <c r="P4188" t="s">
        <v>46</v>
      </c>
      <c r="Y4188" t="s">
        <v>14079</v>
      </c>
    </row>
    <row r="4189" spans="1:25">
      <c r="A4189" t="s">
        <v>14080</v>
      </c>
      <c r="B4189" t="s">
        <v>14081</v>
      </c>
      <c r="D4189" t="s">
        <v>40</v>
      </c>
      <c r="E4189" t="s">
        <v>41</v>
      </c>
      <c r="J4189" t="s">
        <v>288</v>
      </c>
      <c r="K4189" t="s">
        <v>289</v>
      </c>
      <c r="L4189">
        <v>9</v>
      </c>
      <c r="M4189" t="s">
        <v>14082</v>
      </c>
      <c r="N4189" t="s">
        <v>2346</v>
      </c>
      <c r="O4189" t="s">
        <v>46</v>
      </c>
      <c r="P4189" t="s">
        <v>46</v>
      </c>
      <c r="Y4189" t="s">
        <v>14083</v>
      </c>
    </row>
    <row r="4190" spans="1:25">
      <c r="A4190" t="s">
        <v>14084</v>
      </c>
      <c r="B4190" t="s">
        <v>14085</v>
      </c>
      <c r="D4190" t="s">
        <v>40</v>
      </c>
      <c r="E4190" t="s">
        <v>41</v>
      </c>
      <c r="J4190" t="s">
        <v>76</v>
      </c>
      <c r="K4190" t="s">
        <v>77</v>
      </c>
      <c r="L4190">
        <v>9</v>
      </c>
      <c r="M4190" t="s">
        <v>14082</v>
      </c>
      <c r="N4190" t="s">
        <v>64</v>
      </c>
      <c r="O4190" t="s">
        <v>46</v>
      </c>
      <c r="P4190" t="s">
        <v>46</v>
      </c>
      <c r="Y4190" t="s">
        <v>14086</v>
      </c>
    </row>
    <row r="4191" spans="1:25">
      <c r="A4191" t="s">
        <v>14087</v>
      </c>
      <c r="B4191" t="s">
        <v>14088</v>
      </c>
      <c r="D4191" t="s">
        <v>40</v>
      </c>
      <c r="E4191" t="s">
        <v>41</v>
      </c>
      <c r="J4191" t="s">
        <v>182</v>
      </c>
      <c r="K4191" t="s">
        <v>183</v>
      </c>
      <c r="L4191">
        <v>9</v>
      </c>
      <c r="M4191" t="s">
        <v>14089</v>
      </c>
      <c r="N4191" t="s">
        <v>64</v>
      </c>
      <c r="O4191" t="s">
        <v>46</v>
      </c>
      <c r="P4191" t="s">
        <v>46</v>
      </c>
      <c r="Y4191" t="s">
        <v>14090</v>
      </c>
    </row>
    <row r="4192" spans="1:25">
      <c r="A4192" t="s">
        <v>14091</v>
      </c>
      <c r="B4192" t="s">
        <v>14092</v>
      </c>
      <c r="D4192" t="s">
        <v>40</v>
      </c>
      <c r="E4192" t="s">
        <v>41</v>
      </c>
      <c r="J4192" t="s">
        <v>76</v>
      </c>
      <c r="K4192" t="s">
        <v>77</v>
      </c>
      <c r="L4192">
        <v>9</v>
      </c>
      <c r="M4192" t="s">
        <v>14089</v>
      </c>
      <c r="N4192" t="s">
        <v>64</v>
      </c>
      <c r="O4192" t="s">
        <v>46</v>
      </c>
      <c r="P4192" t="s">
        <v>46</v>
      </c>
      <c r="Y4192" t="s">
        <v>14093</v>
      </c>
    </row>
    <row r="4193" spans="1:25">
      <c r="A4193" t="s">
        <v>14094</v>
      </c>
      <c r="B4193" t="s">
        <v>14095</v>
      </c>
      <c r="D4193" t="s">
        <v>40</v>
      </c>
      <c r="E4193" t="s">
        <v>41</v>
      </c>
      <c r="J4193" t="s">
        <v>182</v>
      </c>
      <c r="K4193" t="s">
        <v>183</v>
      </c>
      <c r="L4193">
        <v>9</v>
      </c>
      <c r="M4193" t="s">
        <v>14089</v>
      </c>
      <c r="N4193" t="s">
        <v>64</v>
      </c>
      <c r="O4193" t="s">
        <v>46</v>
      </c>
      <c r="P4193" t="s">
        <v>46</v>
      </c>
      <c r="Y4193" t="s">
        <v>14096</v>
      </c>
    </row>
    <row r="4194" spans="1:25">
      <c r="A4194" t="s">
        <v>14097</v>
      </c>
      <c r="B4194" t="s">
        <v>14098</v>
      </c>
      <c r="D4194" t="s">
        <v>40</v>
      </c>
      <c r="E4194" t="s">
        <v>41</v>
      </c>
      <c r="J4194" t="s">
        <v>76</v>
      </c>
      <c r="K4194" t="s">
        <v>77</v>
      </c>
      <c r="L4194">
        <v>9</v>
      </c>
      <c r="M4194" t="s">
        <v>14099</v>
      </c>
      <c r="N4194" t="s">
        <v>64</v>
      </c>
      <c r="O4194" t="s">
        <v>46</v>
      </c>
      <c r="P4194" t="s">
        <v>46</v>
      </c>
      <c r="Y4194" t="s">
        <v>14100</v>
      </c>
    </row>
    <row r="4195" spans="1:25">
      <c r="A4195" t="s">
        <v>14101</v>
      </c>
      <c r="B4195" t="s">
        <v>14102</v>
      </c>
      <c r="D4195" t="s">
        <v>40</v>
      </c>
      <c r="E4195" t="s">
        <v>41</v>
      </c>
      <c r="J4195" t="s">
        <v>182</v>
      </c>
      <c r="K4195" t="s">
        <v>183</v>
      </c>
      <c r="L4195">
        <v>9</v>
      </c>
      <c r="M4195" t="s">
        <v>14099</v>
      </c>
      <c r="N4195" t="s">
        <v>64</v>
      </c>
      <c r="O4195" t="s">
        <v>46</v>
      </c>
      <c r="P4195" t="s">
        <v>46</v>
      </c>
      <c r="Y4195" t="s">
        <v>14103</v>
      </c>
    </row>
    <row r="4196" spans="1:25">
      <c r="A4196" t="s">
        <v>14104</v>
      </c>
      <c r="B4196" t="s">
        <v>14105</v>
      </c>
      <c r="D4196" t="s">
        <v>40</v>
      </c>
      <c r="E4196" t="s">
        <v>41</v>
      </c>
      <c r="J4196" t="s">
        <v>76</v>
      </c>
      <c r="K4196" t="s">
        <v>77</v>
      </c>
      <c r="L4196">
        <v>9</v>
      </c>
      <c r="M4196" t="s">
        <v>14099</v>
      </c>
      <c r="N4196" t="s">
        <v>64</v>
      </c>
      <c r="O4196" t="s">
        <v>46</v>
      </c>
      <c r="P4196" t="s">
        <v>46</v>
      </c>
      <c r="Y4196" t="s">
        <v>14106</v>
      </c>
    </row>
    <row r="4197" spans="1:25">
      <c r="A4197" t="s">
        <v>14107</v>
      </c>
      <c r="B4197" t="s">
        <v>14108</v>
      </c>
      <c r="D4197" t="s">
        <v>40</v>
      </c>
      <c r="E4197" t="s">
        <v>41</v>
      </c>
      <c r="J4197" t="s">
        <v>182</v>
      </c>
      <c r="K4197" t="s">
        <v>183</v>
      </c>
      <c r="L4197">
        <v>9</v>
      </c>
      <c r="M4197" t="s">
        <v>14099</v>
      </c>
      <c r="N4197" t="s">
        <v>64</v>
      </c>
      <c r="O4197" t="s">
        <v>46</v>
      </c>
      <c r="P4197" t="s">
        <v>46</v>
      </c>
      <c r="Y4197" t="s">
        <v>14109</v>
      </c>
    </row>
    <row r="4198" spans="1:25">
      <c r="A4198" t="s">
        <v>14110</v>
      </c>
      <c r="B4198" t="s">
        <v>14111</v>
      </c>
      <c r="D4198" t="s">
        <v>40</v>
      </c>
      <c r="E4198" t="s">
        <v>41</v>
      </c>
      <c r="J4198" t="s">
        <v>76</v>
      </c>
      <c r="K4198" t="s">
        <v>77</v>
      </c>
      <c r="L4198">
        <v>9</v>
      </c>
      <c r="M4198" t="s">
        <v>14112</v>
      </c>
      <c r="N4198" t="s">
        <v>64</v>
      </c>
      <c r="O4198" t="s">
        <v>46</v>
      </c>
      <c r="P4198" t="s">
        <v>46</v>
      </c>
      <c r="Y4198" t="s">
        <v>14113</v>
      </c>
    </row>
    <row r="4199" spans="1:25">
      <c r="A4199" t="s">
        <v>14114</v>
      </c>
      <c r="B4199" t="s">
        <v>14115</v>
      </c>
      <c r="D4199" t="s">
        <v>40</v>
      </c>
      <c r="E4199" t="s">
        <v>41</v>
      </c>
      <c r="J4199" t="s">
        <v>76</v>
      </c>
      <c r="K4199" t="s">
        <v>77</v>
      </c>
      <c r="L4199">
        <v>9</v>
      </c>
      <c r="M4199" t="s">
        <v>14116</v>
      </c>
      <c r="N4199" t="s">
        <v>64</v>
      </c>
      <c r="O4199" t="s">
        <v>46</v>
      </c>
      <c r="P4199" t="s">
        <v>46</v>
      </c>
      <c r="Y4199" t="s">
        <v>14117</v>
      </c>
    </row>
    <row r="4200" spans="1:25">
      <c r="A4200" t="s">
        <v>14118</v>
      </c>
      <c r="B4200" t="s">
        <v>14119</v>
      </c>
      <c r="D4200" t="s">
        <v>40</v>
      </c>
      <c r="E4200" t="s">
        <v>41</v>
      </c>
      <c r="J4200" t="s">
        <v>182</v>
      </c>
      <c r="K4200" t="s">
        <v>183</v>
      </c>
      <c r="L4200">
        <v>10</v>
      </c>
      <c r="M4200" t="s">
        <v>14120</v>
      </c>
      <c r="N4200" t="s">
        <v>64</v>
      </c>
      <c r="O4200" t="s">
        <v>46</v>
      </c>
      <c r="P4200" t="s">
        <v>46</v>
      </c>
      <c r="Y4200" t="s">
        <v>14121</v>
      </c>
    </row>
    <row r="4201" spans="1:25">
      <c r="A4201" t="s">
        <v>14122</v>
      </c>
      <c r="B4201" t="s">
        <v>14123</v>
      </c>
      <c r="D4201" t="s">
        <v>40</v>
      </c>
      <c r="E4201" t="s">
        <v>41</v>
      </c>
      <c r="J4201" t="s">
        <v>182</v>
      </c>
      <c r="K4201" t="s">
        <v>183</v>
      </c>
      <c r="L4201">
        <v>10</v>
      </c>
      <c r="M4201" t="s">
        <v>14124</v>
      </c>
      <c r="N4201" t="s">
        <v>64</v>
      </c>
      <c r="O4201" t="s">
        <v>46</v>
      </c>
      <c r="P4201" t="s">
        <v>46</v>
      </c>
      <c r="Y4201" t="s">
        <v>14125</v>
      </c>
    </row>
    <row r="4202" spans="1:25">
      <c r="A4202" t="s">
        <v>14126</v>
      </c>
      <c r="B4202" t="s">
        <v>14127</v>
      </c>
      <c r="D4202" t="s">
        <v>40</v>
      </c>
      <c r="E4202" t="s">
        <v>41</v>
      </c>
      <c r="J4202" t="s">
        <v>76</v>
      </c>
      <c r="K4202" t="s">
        <v>77</v>
      </c>
      <c r="L4202">
        <v>10</v>
      </c>
      <c r="M4202" t="s">
        <v>14124</v>
      </c>
      <c r="N4202" t="s">
        <v>64</v>
      </c>
      <c r="O4202" t="s">
        <v>46</v>
      </c>
      <c r="P4202" t="s">
        <v>46</v>
      </c>
      <c r="Y4202" t="s">
        <v>14128</v>
      </c>
    </row>
    <row r="4203" spans="1:25">
      <c r="A4203" t="s">
        <v>14129</v>
      </c>
      <c r="B4203" t="s">
        <v>14130</v>
      </c>
      <c r="D4203" t="s">
        <v>40</v>
      </c>
      <c r="E4203" t="s">
        <v>41</v>
      </c>
      <c r="J4203" t="s">
        <v>182</v>
      </c>
      <c r="K4203" t="s">
        <v>183</v>
      </c>
      <c r="L4203">
        <v>10</v>
      </c>
      <c r="M4203" t="s">
        <v>14124</v>
      </c>
      <c r="N4203" t="s">
        <v>64</v>
      </c>
      <c r="O4203" t="s">
        <v>46</v>
      </c>
      <c r="P4203" t="s">
        <v>46</v>
      </c>
      <c r="Y4203" t="s">
        <v>14131</v>
      </c>
    </row>
    <row r="4204" spans="1:25">
      <c r="A4204" t="s">
        <v>14132</v>
      </c>
      <c r="B4204" t="s">
        <v>14133</v>
      </c>
      <c r="D4204" t="s">
        <v>40</v>
      </c>
      <c r="E4204" t="s">
        <v>41</v>
      </c>
      <c r="J4204" t="s">
        <v>68</v>
      </c>
      <c r="K4204" t="s">
        <v>69</v>
      </c>
      <c r="L4204">
        <v>10</v>
      </c>
      <c r="M4204" t="s">
        <v>14124</v>
      </c>
      <c r="N4204" t="s">
        <v>64</v>
      </c>
      <c r="O4204" t="s">
        <v>46</v>
      </c>
      <c r="P4204" t="s">
        <v>46</v>
      </c>
      <c r="Y4204" t="s">
        <v>14134</v>
      </c>
    </row>
    <row r="4205" spans="1:25">
      <c r="A4205" t="s">
        <v>14135</v>
      </c>
      <c r="B4205" t="s">
        <v>14136</v>
      </c>
      <c r="D4205" t="s">
        <v>40</v>
      </c>
      <c r="E4205" t="s">
        <v>41</v>
      </c>
      <c r="J4205" t="s">
        <v>42</v>
      </c>
      <c r="K4205" t="s">
        <v>43</v>
      </c>
      <c r="L4205">
        <v>10</v>
      </c>
      <c r="M4205" t="s">
        <v>14124</v>
      </c>
      <c r="N4205" t="s">
        <v>1369</v>
      </c>
      <c r="O4205" t="s">
        <v>46</v>
      </c>
      <c r="P4205" t="s">
        <v>46</v>
      </c>
      <c r="Y4205" t="s">
        <v>14137</v>
      </c>
    </row>
    <row r="4206" spans="1:25">
      <c r="A4206" t="s">
        <v>14138</v>
      </c>
      <c r="B4206" t="s">
        <v>14139</v>
      </c>
      <c r="D4206" t="s">
        <v>40</v>
      </c>
      <c r="E4206" t="s">
        <v>41</v>
      </c>
      <c r="J4206" t="s">
        <v>182</v>
      </c>
      <c r="K4206" t="s">
        <v>183</v>
      </c>
      <c r="L4206">
        <v>10</v>
      </c>
      <c r="M4206" t="s">
        <v>14140</v>
      </c>
      <c r="N4206" t="s">
        <v>64</v>
      </c>
      <c r="O4206" t="s">
        <v>46</v>
      </c>
      <c r="P4206" t="s">
        <v>46</v>
      </c>
      <c r="Y4206" t="s">
        <v>14141</v>
      </c>
    </row>
    <row r="4207" spans="1:25">
      <c r="A4207" t="s">
        <v>14142</v>
      </c>
      <c r="B4207" t="s">
        <v>14143</v>
      </c>
      <c r="D4207" t="s">
        <v>40</v>
      </c>
      <c r="E4207" t="s">
        <v>41</v>
      </c>
      <c r="J4207" t="s">
        <v>182</v>
      </c>
      <c r="K4207" t="s">
        <v>183</v>
      </c>
      <c r="L4207">
        <v>10</v>
      </c>
      <c r="M4207" t="s">
        <v>14144</v>
      </c>
      <c r="N4207" t="s">
        <v>64</v>
      </c>
      <c r="O4207" t="s">
        <v>46</v>
      </c>
      <c r="P4207" t="s">
        <v>46</v>
      </c>
      <c r="Y4207" t="s">
        <v>14145</v>
      </c>
    </row>
    <row r="4208" spans="1:25">
      <c r="A4208" t="s">
        <v>14146</v>
      </c>
      <c r="B4208" t="s">
        <v>14147</v>
      </c>
      <c r="D4208" t="s">
        <v>40</v>
      </c>
      <c r="E4208" t="s">
        <v>41</v>
      </c>
      <c r="J4208" t="s">
        <v>1142</v>
      </c>
      <c r="K4208" t="s">
        <v>1143</v>
      </c>
      <c r="L4208">
        <v>10</v>
      </c>
      <c r="M4208" t="s">
        <v>14144</v>
      </c>
      <c r="N4208" t="s">
        <v>4037</v>
      </c>
      <c r="O4208" t="s">
        <v>46</v>
      </c>
      <c r="P4208" t="s">
        <v>46</v>
      </c>
      <c r="Y4208" t="s">
        <v>14148</v>
      </c>
    </row>
    <row r="4209" spans="1:25">
      <c r="A4209" t="s">
        <v>14149</v>
      </c>
      <c r="B4209" t="s">
        <v>14150</v>
      </c>
      <c r="D4209" t="s">
        <v>40</v>
      </c>
      <c r="E4209" t="s">
        <v>41</v>
      </c>
      <c r="J4209" t="s">
        <v>76</v>
      </c>
      <c r="K4209" t="s">
        <v>77</v>
      </c>
      <c r="L4209">
        <v>10</v>
      </c>
      <c r="M4209" t="s">
        <v>14151</v>
      </c>
      <c r="N4209" t="s">
        <v>64</v>
      </c>
      <c r="O4209" t="s">
        <v>46</v>
      </c>
      <c r="P4209" t="s">
        <v>46</v>
      </c>
      <c r="Y4209" t="s">
        <v>14152</v>
      </c>
    </row>
    <row r="4210" spans="1:25">
      <c r="A4210" t="s">
        <v>14153</v>
      </c>
      <c r="B4210" t="s">
        <v>14154</v>
      </c>
      <c r="D4210" t="s">
        <v>40</v>
      </c>
      <c r="E4210" t="s">
        <v>41</v>
      </c>
      <c r="J4210" t="s">
        <v>68</v>
      </c>
      <c r="K4210" t="s">
        <v>69</v>
      </c>
      <c r="L4210">
        <v>9</v>
      </c>
      <c r="M4210" t="s">
        <v>14155</v>
      </c>
      <c r="N4210" t="s">
        <v>64</v>
      </c>
      <c r="O4210" t="s">
        <v>46</v>
      </c>
      <c r="P4210" t="s">
        <v>46</v>
      </c>
      <c r="Y4210" t="s">
        <v>14156</v>
      </c>
    </row>
    <row r="4211" spans="1:25">
      <c r="A4211" t="s">
        <v>14157</v>
      </c>
      <c r="B4211" t="s">
        <v>14158</v>
      </c>
      <c r="D4211" t="s">
        <v>40</v>
      </c>
      <c r="E4211" t="s">
        <v>41</v>
      </c>
      <c r="J4211" t="s">
        <v>68</v>
      </c>
      <c r="K4211" t="s">
        <v>69</v>
      </c>
      <c r="L4211">
        <v>9</v>
      </c>
      <c r="M4211" t="s">
        <v>14155</v>
      </c>
      <c r="N4211" t="s">
        <v>64</v>
      </c>
      <c r="O4211" t="s">
        <v>46</v>
      </c>
      <c r="P4211" t="s">
        <v>46</v>
      </c>
      <c r="Y4211" t="s">
        <v>14159</v>
      </c>
    </row>
    <row r="4212" spans="1:25">
      <c r="A4212" t="s">
        <v>14160</v>
      </c>
      <c r="B4212" t="s">
        <v>14161</v>
      </c>
      <c r="D4212" t="s">
        <v>40</v>
      </c>
      <c r="E4212" t="s">
        <v>41</v>
      </c>
      <c r="J4212" t="s">
        <v>182</v>
      </c>
      <c r="K4212" t="s">
        <v>183</v>
      </c>
      <c r="L4212">
        <v>10</v>
      </c>
      <c r="M4212" t="s">
        <v>14155</v>
      </c>
      <c r="N4212" t="s">
        <v>64</v>
      </c>
      <c r="O4212" t="s">
        <v>46</v>
      </c>
      <c r="P4212" t="s">
        <v>46</v>
      </c>
      <c r="Y4212" t="s">
        <v>14162</v>
      </c>
    </row>
    <row r="4213" spans="1:25">
      <c r="A4213" t="s">
        <v>14163</v>
      </c>
      <c r="B4213" t="s">
        <v>14164</v>
      </c>
      <c r="D4213" t="s">
        <v>40</v>
      </c>
      <c r="E4213" t="s">
        <v>41</v>
      </c>
      <c r="J4213" t="s">
        <v>182</v>
      </c>
      <c r="K4213" t="s">
        <v>183</v>
      </c>
      <c r="L4213">
        <v>9</v>
      </c>
      <c r="M4213" t="s">
        <v>14165</v>
      </c>
      <c r="N4213" t="s">
        <v>64</v>
      </c>
      <c r="O4213" t="s">
        <v>46</v>
      </c>
      <c r="P4213" t="s">
        <v>46</v>
      </c>
      <c r="Y4213" t="s">
        <v>14166</v>
      </c>
    </row>
    <row r="4214" spans="1:25">
      <c r="A4214" t="s">
        <v>14167</v>
      </c>
      <c r="B4214" t="s">
        <v>14168</v>
      </c>
      <c r="D4214" t="s">
        <v>40</v>
      </c>
      <c r="E4214" t="s">
        <v>41</v>
      </c>
      <c r="J4214" t="s">
        <v>182</v>
      </c>
      <c r="K4214" t="s">
        <v>183</v>
      </c>
      <c r="L4214">
        <v>9</v>
      </c>
      <c r="M4214" t="s">
        <v>14165</v>
      </c>
      <c r="N4214" t="s">
        <v>64</v>
      </c>
      <c r="O4214" t="s">
        <v>46</v>
      </c>
      <c r="P4214" t="s">
        <v>46</v>
      </c>
      <c r="Y4214" t="s">
        <v>14169</v>
      </c>
    </row>
    <row r="4215" spans="1:25">
      <c r="A4215" t="s">
        <v>14170</v>
      </c>
      <c r="B4215" t="s">
        <v>14171</v>
      </c>
      <c r="D4215" t="s">
        <v>40</v>
      </c>
      <c r="E4215" t="s">
        <v>41</v>
      </c>
      <c r="J4215" t="s">
        <v>68</v>
      </c>
      <c r="K4215" t="s">
        <v>69</v>
      </c>
      <c r="L4215">
        <v>9</v>
      </c>
      <c r="M4215" t="s">
        <v>14172</v>
      </c>
      <c r="N4215" t="s">
        <v>64</v>
      </c>
      <c r="O4215" t="s">
        <v>46</v>
      </c>
      <c r="P4215" t="s">
        <v>46</v>
      </c>
      <c r="Y4215" t="s">
        <v>14173</v>
      </c>
    </row>
    <row r="4216" spans="1:25">
      <c r="A4216" t="s">
        <v>14174</v>
      </c>
      <c r="B4216" t="s">
        <v>14175</v>
      </c>
      <c r="D4216" t="s">
        <v>40</v>
      </c>
      <c r="E4216" t="s">
        <v>41</v>
      </c>
      <c r="J4216" t="s">
        <v>76</v>
      </c>
      <c r="K4216" t="s">
        <v>77</v>
      </c>
      <c r="L4216">
        <v>9</v>
      </c>
      <c r="M4216" t="s">
        <v>14172</v>
      </c>
      <c r="N4216" t="s">
        <v>64</v>
      </c>
      <c r="O4216" t="s">
        <v>46</v>
      </c>
      <c r="P4216" t="s">
        <v>46</v>
      </c>
      <c r="Y4216" t="s">
        <v>14176</v>
      </c>
    </row>
    <row r="4217" spans="1:25">
      <c r="A4217" t="s">
        <v>14177</v>
      </c>
      <c r="B4217" t="s">
        <v>14178</v>
      </c>
      <c r="D4217" t="s">
        <v>40</v>
      </c>
      <c r="E4217" t="s">
        <v>41</v>
      </c>
      <c r="J4217" t="s">
        <v>76</v>
      </c>
      <c r="K4217" t="s">
        <v>77</v>
      </c>
      <c r="L4217">
        <v>9</v>
      </c>
      <c r="M4217" t="s">
        <v>14172</v>
      </c>
      <c r="N4217" t="s">
        <v>64</v>
      </c>
      <c r="O4217" t="s">
        <v>46</v>
      </c>
      <c r="P4217" t="s">
        <v>46</v>
      </c>
      <c r="Y4217" t="s">
        <v>14179</v>
      </c>
    </row>
    <row r="4218" spans="1:25">
      <c r="A4218" t="s">
        <v>14180</v>
      </c>
      <c r="B4218" t="s">
        <v>14181</v>
      </c>
      <c r="D4218" t="s">
        <v>40</v>
      </c>
      <c r="E4218" t="s">
        <v>41</v>
      </c>
      <c r="J4218" t="s">
        <v>182</v>
      </c>
      <c r="K4218" t="s">
        <v>183</v>
      </c>
      <c r="L4218">
        <v>9</v>
      </c>
      <c r="M4218" t="s">
        <v>14172</v>
      </c>
      <c r="N4218" t="s">
        <v>64</v>
      </c>
      <c r="O4218" t="s">
        <v>46</v>
      </c>
      <c r="P4218" t="s">
        <v>46</v>
      </c>
      <c r="Y4218" t="s">
        <v>14182</v>
      </c>
    </row>
    <row r="4219" spans="1:25">
      <c r="A4219" t="s">
        <v>14183</v>
      </c>
      <c r="B4219" t="s">
        <v>14184</v>
      </c>
      <c r="D4219" t="s">
        <v>40</v>
      </c>
      <c r="E4219" t="s">
        <v>41</v>
      </c>
      <c r="J4219" t="s">
        <v>182</v>
      </c>
      <c r="K4219" t="s">
        <v>183</v>
      </c>
      <c r="L4219">
        <v>9</v>
      </c>
      <c r="M4219" t="s">
        <v>14172</v>
      </c>
      <c r="N4219" t="s">
        <v>64</v>
      </c>
      <c r="O4219" t="s">
        <v>46</v>
      </c>
      <c r="P4219" t="s">
        <v>46</v>
      </c>
      <c r="Y4219" t="s">
        <v>14185</v>
      </c>
    </row>
    <row r="4220" spans="1:25">
      <c r="A4220" t="s">
        <v>14186</v>
      </c>
      <c r="B4220" t="s">
        <v>14187</v>
      </c>
      <c r="D4220" t="s">
        <v>40</v>
      </c>
      <c r="E4220" t="s">
        <v>41</v>
      </c>
      <c r="J4220" t="s">
        <v>68</v>
      </c>
      <c r="K4220" t="s">
        <v>69</v>
      </c>
      <c r="L4220">
        <v>9</v>
      </c>
      <c r="M4220" t="s">
        <v>14188</v>
      </c>
      <c r="N4220" t="s">
        <v>64</v>
      </c>
      <c r="O4220" t="s">
        <v>46</v>
      </c>
      <c r="P4220" t="s">
        <v>46</v>
      </c>
      <c r="Y4220" t="s">
        <v>14189</v>
      </c>
    </row>
    <row r="4221" spans="1:25">
      <c r="A4221" t="s">
        <v>14190</v>
      </c>
      <c r="B4221" t="s">
        <v>14191</v>
      </c>
      <c r="D4221" t="s">
        <v>40</v>
      </c>
      <c r="E4221" t="s">
        <v>41</v>
      </c>
      <c r="J4221" t="s">
        <v>42</v>
      </c>
      <c r="K4221" t="s">
        <v>43</v>
      </c>
      <c r="L4221">
        <v>9</v>
      </c>
      <c r="M4221" t="s">
        <v>14188</v>
      </c>
      <c r="N4221" t="s">
        <v>1276</v>
      </c>
      <c r="O4221" t="s">
        <v>46</v>
      </c>
      <c r="P4221" t="s">
        <v>46</v>
      </c>
      <c r="Y4221" t="s">
        <v>14192</v>
      </c>
    </row>
    <row r="4222" spans="1:25">
      <c r="A4222" t="s">
        <v>14193</v>
      </c>
      <c r="B4222" t="s">
        <v>14194</v>
      </c>
      <c r="D4222" t="s">
        <v>40</v>
      </c>
      <c r="E4222" t="s">
        <v>41</v>
      </c>
      <c r="J4222" t="s">
        <v>76</v>
      </c>
      <c r="K4222" t="s">
        <v>77</v>
      </c>
      <c r="L4222">
        <v>9</v>
      </c>
      <c r="M4222" t="s">
        <v>14188</v>
      </c>
      <c r="N4222" t="s">
        <v>64</v>
      </c>
      <c r="O4222" t="s">
        <v>46</v>
      </c>
      <c r="P4222" t="s">
        <v>46</v>
      </c>
      <c r="Y4222" t="s">
        <v>14195</v>
      </c>
    </row>
    <row r="4223" spans="1:25">
      <c r="A4223" t="s">
        <v>14196</v>
      </c>
      <c r="B4223" t="s">
        <v>14197</v>
      </c>
      <c r="D4223" t="s">
        <v>40</v>
      </c>
      <c r="E4223" t="s">
        <v>41</v>
      </c>
      <c r="J4223" t="s">
        <v>76</v>
      </c>
      <c r="K4223" t="s">
        <v>77</v>
      </c>
      <c r="L4223">
        <v>9</v>
      </c>
      <c r="M4223" t="s">
        <v>14188</v>
      </c>
      <c r="N4223" t="s">
        <v>64</v>
      </c>
      <c r="O4223" t="s">
        <v>46</v>
      </c>
      <c r="P4223" t="s">
        <v>46</v>
      </c>
      <c r="Y4223" t="s">
        <v>14198</v>
      </c>
    </row>
    <row r="4224" spans="1:25">
      <c r="A4224" t="s">
        <v>14199</v>
      </c>
      <c r="B4224" t="s">
        <v>14200</v>
      </c>
      <c r="D4224" t="s">
        <v>40</v>
      </c>
      <c r="E4224" t="s">
        <v>41</v>
      </c>
      <c r="J4224" t="s">
        <v>76</v>
      </c>
      <c r="K4224" t="s">
        <v>77</v>
      </c>
      <c r="L4224">
        <v>9</v>
      </c>
      <c r="M4224" t="s">
        <v>14188</v>
      </c>
      <c r="N4224" t="s">
        <v>64</v>
      </c>
      <c r="O4224" t="s">
        <v>46</v>
      </c>
      <c r="P4224" t="s">
        <v>46</v>
      </c>
      <c r="Y4224" t="s">
        <v>14201</v>
      </c>
    </row>
    <row r="4225" spans="1:25">
      <c r="A4225" t="s">
        <v>14202</v>
      </c>
      <c r="B4225" t="s">
        <v>14203</v>
      </c>
      <c r="D4225" t="s">
        <v>40</v>
      </c>
      <c r="E4225" t="s">
        <v>41</v>
      </c>
      <c r="J4225" t="s">
        <v>2619</v>
      </c>
      <c r="K4225" t="s">
        <v>140</v>
      </c>
      <c r="L4225">
        <v>9</v>
      </c>
      <c r="M4225" t="s">
        <v>14204</v>
      </c>
      <c r="N4225" t="s">
        <v>2621</v>
      </c>
      <c r="O4225" t="s">
        <v>46</v>
      </c>
      <c r="P4225" t="s">
        <v>46</v>
      </c>
      <c r="Y4225" t="s">
        <v>14205</v>
      </c>
    </row>
    <row r="4226" spans="1:25">
      <c r="A4226" t="s">
        <v>14206</v>
      </c>
      <c r="B4226" t="s">
        <v>14207</v>
      </c>
      <c r="D4226" t="s">
        <v>40</v>
      </c>
      <c r="E4226" t="s">
        <v>41</v>
      </c>
      <c r="J4226" t="s">
        <v>76</v>
      </c>
      <c r="K4226" t="s">
        <v>77</v>
      </c>
      <c r="L4226">
        <v>9</v>
      </c>
      <c r="M4226" t="s">
        <v>14204</v>
      </c>
      <c r="N4226" t="s">
        <v>64</v>
      </c>
      <c r="O4226" t="s">
        <v>46</v>
      </c>
      <c r="P4226" t="s">
        <v>46</v>
      </c>
      <c r="Y4226" t="s">
        <v>14208</v>
      </c>
    </row>
    <row r="4227" spans="1:25">
      <c r="A4227" t="s">
        <v>14209</v>
      </c>
      <c r="B4227" t="s">
        <v>14210</v>
      </c>
      <c r="D4227" t="s">
        <v>40</v>
      </c>
      <c r="E4227" t="s">
        <v>41</v>
      </c>
      <c r="J4227" t="s">
        <v>182</v>
      </c>
      <c r="K4227" t="s">
        <v>183</v>
      </c>
      <c r="L4227">
        <v>9</v>
      </c>
      <c r="M4227" t="s">
        <v>14204</v>
      </c>
      <c r="N4227" t="s">
        <v>64</v>
      </c>
      <c r="O4227" t="s">
        <v>46</v>
      </c>
      <c r="P4227" t="s">
        <v>46</v>
      </c>
      <c r="Y4227" t="s">
        <v>14211</v>
      </c>
    </row>
    <row r="4228" spans="1:25">
      <c r="A4228" t="s">
        <v>14212</v>
      </c>
      <c r="B4228" t="s">
        <v>14213</v>
      </c>
      <c r="D4228" t="s">
        <v>40</v>
      </c>
      <c r="E4228" t="s">
        <v>41</v>
      </c>
      <c r="J4228" t="s">
        <v>182</v>
      </c>
      <c r="K4228" t="s">
        <v>183</v>
      </c>
      <c r="L4228">
        <v>9</v>
      </c>
      <c r="M4228" t="s">
        <v>14204</v>
      </c>
      <c r="N4228" t="s">
        <v>64</v>
      </c>
      <c r="O4228" t="s">
        <v>46</v>
      </c>
      <c r="P4228" t="s">
        <v>46</v>
      </c>
      <c r="Y4228" t="s">
        <v>14214</v>
      </c>
    </row>
    <row r="4229" spans="1:25">
      <c r="A4229" t="s">
        <v>14215</v>
      </c>
      <c r="B4229" t="s">
        <v>14216</v>
      </c>
      <c r="D4229" t="s">
        <v>40</v>
      </c>
      <c r="E4229" t="s">
        <v>41</v>
      </c>
      <c r="J4229" t="s">
        <v>182</v>
      </c>
      <c r="K4229" t="s">
        <v>183</v>
      </c>
      <c r="L4229">
        <v>9</v>
      </c>
      <c r="M4229" t="s">
        <v>14204</v>
      </c>
      <c r="N4229" t="s">
        <v>64</v>
      </c>
      <c r="O4229" t="s">
        <v>46</v>
      </c>
      <c r="P4229" t="s">
        <v>46</v>
      </c>
      <c r="Y4229" t="s">
        <v>14217</v>
      </c>
    </row>
    <row r="4230" spans="1:25">
      <c r="A4230" t="s">
        <v>14218</v>
      </c>
      <c r="B4230" t="s">
        <v>14219</v>
      </c>
      <c r="D4230" t="s">
        <v>40</v>
      </c>
      <c r="E4230" t="s">
        <v>41</v>
      </c>
      <c r="J4230" t="s">
        <v>76</v>
      </c>
      <c r="K4230" t="s">
        <v>77</v>
      </c>
      <c r="L4230">
        <v>9</v>
      </c>
      <c r="M4230" t="s">
        <v>14204</v>
      </c>
      <c r="N4230" t="s">
        <v>64</v>
      </c>
      <c r="O4230" t="s">
        <v>46</v>
      </c>
      <c r="P4230" t="s">
        <v>46</v>
      </c>
      <c r="Y4230" t="s">
        <v>14220</v>
      </c>
    </row>
    <row r="4231" spans="1:25">
      <c r="A4231" t="s">
        <v>14221</v>
      </c>
      <c r="B4231" t="s">
        <v>14222</v>
      </c>
      <c r="D4231" t="s">
        <v>40</v>
      </c>
      <c r="E4231" t="s">
        <v>41</v>
      </c>
      <c r="J4231" t="s">
        <v>182</v>
      </c>
      <c r="K4231" t="s">
        <v>183</v>
      </c>
      <c r="L4231">
        <v>9</v>
      </c>
      <c r="M4231" t="s">
        <v>14204</v>
      </c>
      <c r="N4231" t="s">
        <v>64</v>
      </c>
      <c r="O4231" t="s">
        <v>46</v>
      </c>
      <c r="P4231" t="s">
        <v>46</v>
      </c>
      <c r="Y4231" t="s">
        <v>14223</v>
      </c>
    </row>
    <row r="4232" spans="1:25">
      <c r="A4232" t="s">
        <v>14224</v>
      </c>
      <c r="B4232" t="s">
        <v>14225</v>
      </c>
      <c r="D4232" t="s">
        <v>40</v>
      </c>
      <c r="E4232" t="s">
        <v>41</v>
      </c>
      <c r="J4232" t="s">
        <v>76</v>
      </c>
      <c r="K4232" t="s">
        <v>77</v>
      </c>
      <c r="L4232">
        <v>9</v>
      </c>
      <c r="M4232" t="s">
        <v>14226</v>
      </c>
      <c r="N4232" t="s">
        <v>64</v>
      </c>
      <c r="O4232" t="s">
        <v>46</v>
      </c>
      <c r="P4232" t="s">
        <v>46</v>
      </c>
      <c r="Y4232" t="s">
        <v>14227</v>
      </c>
    </row>
    <row r="4233" spans="1:25">
      <c r="A4233" t="s">
        <v>14228</v>
      </c>
      <c r="B4233" t="s">
        <v>14229</v>
      </c>
      <c r="D4233" t="s">
        <v>40</v>
      </c>
      <c r="E4233" t="s">
        <v>41</v>
      </c>
      <c r="J4233" t="s">
        <v>139</v>
      </c>
      <c r="K4233" t="s">
        <v>140</v>
      </c>
      <c r="L4233">
        <v>9</v>
      </c>
      <c r="M4233" t="s">
        <v>14226</v>
      </c>
      <c r="N4233" t="s">
        <v>210</v>
      </c>
      <c r="O4233" t="s">
        <v>46</v>
      </c>
      <c r="P4233" t="s">
        <v>46</v>
      </c>
      <c r="Y4233" t="s">
        <v>14230</v>
      </c>
    </row>
    <row r="4234" spans="1:25">
      <c r="A4234" t="s">
        <v>14231</v>
      </c>
      <c r="B4234" t="s">
        <v>14232</v>
      </c>
      <c r="D4234" t="s">
        <v>40</v>
      </c>
      <c r="E4234" t="s">
        <v>41</v>
      </c>
      <c r="J4234" t="s">
        <v>288</v>
      </c>
      <c r="K4234" t="s">
        <v>289</v>
      </c>
      <c r="L4234">
        <v>9</v>
      </c>
      <c r="M4234" t="s">
        <v>14226</v>
      </c>
      <c r="N4234" t="s">
        <v>1446</v>
      </c>
      <c r="O4234" t="s">
        <v>46</v>
      </c>
      <c r="P4234" t="s">
        <v>46</v>
      </c>
      <c r="Y4234" t="s">
        <v>14233</v>
      </c>
    </row>
    <row r="4235" spans="1:25">
      <c r="A4235" t="s">
        <v>14234</v>
      </c>
      <c r="B4235" t="s">
        <v>14235</v>
      </c>
      <c r="D4235" t="s">
        <v>40</v>
      </c>
      <c r="E4235" t="s">
        <v>41</v>
      </c>
      <c r="J4235" t="s">
        <v>182</v>
      </c>
      <c r="K4235" t="s">
        <v>183</v>
      </c>
      <c r="L4235">
        <v>9</v>
      </c>
      <c r="M4235" t="s">
        <v>14226</v>
      </c>
      <c r="N4235" t="s">
        <v>64</v>
      </c>
      <c r="O4235" t="s">
        <v>46</v>
      </c>
      <c r="P4235" t="s">
        <v>46</v>
      </c>
      <c r="Y4235" t="s">
        <v>14236</v>
      </c>
    </row>
    <row r="4236" spans="1:25">
      <c r="A4236" t="s">
        <v>14237</v>
      </c>
      <c r="B4236" t="s">
        <v>14238</v>
      </c>
      <c r="D4236" t="s">
        <v>40</v>
      </c>
      <c r="E4236" t="s">
        <v>41</v>
      </c>
      <c r="J4236" t="s">
        <v>182</v>
      </c>
      <c r="K4236" t="s">
        <v>183</v>
      </c>
      <c r="L4236">
        <v>9</v>
      </c>
      <c r="M4236" t="s">
        <v>14239</v>
      </c>
      <c r="N4236" t="s">
        <v>64</v>
      </c>
      <c r="O4236" t="s">
        <v>46</v>
      </c>
      <c r="P4236" t="s">
        <v>46</v>
      </c>
      <c r="Y4236" t="s">
        <v>14240</v>
      </c>
    </row>
    <row r="4237" spans="1:25">
      <c r="A4237" t="s">
        <v>14241</v>
      </c>
      <c r="B4237" t="s">
        <v>14242</v>
      </c>
      <c r="D4237" t="s">
        <v>40</v>
      </c>
      <c r="E4237" t="s">
        <v>41</v>
      </c>
      <c r="J4237" t="s">
        <v>182</v>
      </c>
      <c r="K4237" t="s">
        <v>183</v>
      </c>
      <c r="L4237">
        <v>9</v>
      </c>
      <c r="M4237" t="s">
        <v>14243</v>
      </c>
      <c r="N4237" t="s">
        <v>64</v>
      </c>
      <c r="O4237" t="s">
        <v>46</v>
      </c>
      <c r="P4237" t="s">
        <v>46</v>
      </c>
      <c r="Y4237" t="s">
        <v>14244</v>
      </c>
    </row>
    <row r="4238" spans="1:25">
      <c r="A4238" t="s">
        <v>14245</v>
      </c>
      <c r="B4238" t="s">
        <v>14246</v>
      </c>
      <c r="D4238" t="s">
        <v>40</v>
      </c>
      <c r="E4238" t="s">
        <v>41</v>
      </c>
      <c r="J4238" t="s">
        <v>76</v>
      </c>
      <c r="K4238" t="s">
        <v>77</v>
      </c>
      <c r="L4238">
        <v>9</v>
      </c>
      <c r="M4238" t="s">
        <v>14247</v>
      </c>
      <c r="N4238" t="s">
        <v>64</v>
      </c>
      <c r="O4238" t="s">
        <v>46</v>
      </c>
      <c r="P4238" t="s">
        <v>46</v>
      </c>
      <c r="Y4238" t="s">
        <v>14248</v>
      </c>
    </row>
    <row r="4239" spans="1:25">
      <c r="A4239" t="s">
        <v>14249</v>
      </c>
      <c r="B4239" t="s">
        <v>14250</v>
      </c>
      <c r="D4239" t="s">
        <v>40</v>
      </c>
      <c r="E4239" t="s">
        <v>41</v>
      </c>
      <c r="J4239" t="s">
        <v>182</v>
      </c>
      <c r="K4239" t="s">
        <v>183</v>
      </c>
      <c r="L4239">
        <v>9</v>
      </c>
      <c r="M4239" t="s">
        <v>14251</v>
      </c>
      <c r="N4239" t="s">
        <v>64</v>
      </c>
      <c r="O4239" t="s">
        <v>46</v>
      </c>
      <c r="P4239" t="s">
        <v>46</v>
      </c>
      <c r="Y4239" t="s">
        <v>14252</v>
      </c>
    </row>
    <row r="4240" spans="1:25">
      <c r="A4240" t="s">
        <v>14253</v>
      </c>
      <c r="B4240" t="s">
        <v>14254</v>
      </c>
      <c r="D4240" t="s">
        <v>40</v>
      </c>
      <c r="E4240" t="s">
        <v>41</v>
      </c>
      <c r="J4240" t="s">
        <v>182</v>
      </c>
      <c r="K4240" t="s">
        <v>183</v>
      </c>
      <c r="L4240">
        <v>9</v>
      </c>
      <c r="M4240" t="s">
        <v>14251</v>
      </c>
      <c r="N4240" t="s">
        <v>64</v>
      </c>
      <c r="O4240" t="s">
        <v>46</v>
      </c>
      <c r="P4240" t="s">
        <v>46</v>
      </c>
      <c r="Y4240" t="s">
        <v>14255</v>
      </c>
    </row>
    <row r="4241" spans="1:25">
      <c r="A4241" t="s">
        <v>14256</v>
      </c>
      <c r="B4241" t="s">
        <v>14257</v>
      </c>
      <c r="D4241" t="s">
        <v>40</v>
      </c>
      <c r="E4241" t="s">
        <v>41</v>
      </c>
      <c r="J4241" t="s">
        <v>182</v>
      </c>
      <c r="K4241" t="s">
        <v>183</v>
      </c>
      <c r="L4241">
        <v>9</v>
      </c>
      <c r="M4241" t="s">
        <v>14251</v>
      </c>
      <c r="N4241" t="s">
        <v>64</v>
      </c>
      <c r="O4241" t="s">
        <v>46</v>
      </c>
      <c r="P4241" t="s">
        <v>46</v>
      </c>
      <c r="Y4241" t="s">
        <v>14258</v>
      </c>
    </row>
    <row r="4242" spans="1:25">
      <c r="A4242" t="s">
        <v>14259</v>
      </c>
      <c r="B4242" t="s">
        <v>14260</v>
      </c>
      <c r="D4242" t="s">
        <v>40</v>
      </c>
      <c r="E4242" t="s">
        <v>41</v>
      </c>
      <c r="J4242" t="s">
        <v>42</v>
      </c>
      <c r="K4242" t="s">
        <v>43</v>
      </c>
      <c r="L4242">
        <v>9</v>
      </c>
      <c r="M4242" t="s">
        <v>14251</v>
      </c>
      <c r="N4242" t="s">
        <v>950</v>
      </c>
      <c r="O4242" t="s">
        <v>46</v>
      </c>
      <c r="P4242" t="s">
        <v>46</v>
      </c>
      <c r="Y4242" t="s">
        <v>14261</v>
      </c>
    </row>
    <row r="4243" spans="1:25">
      <c r="A4243" t="s">
        <v>14262</v>
      </c>
      <c r="B4243" t="s">
        <v>14263</v>
      </c>
      <c r="D4243" t="s">
        <v>40</v>
      </c>
      <c r="E4243" t="s">
        <v>41</v>
      </c>
      <c r="J4243" t="s">
        <v>68</v>
      </c>
      <c r="K4243" t="s">
        <v>69</v>
      </c>
      <c r="L4243">
        <v>9</v>
      </c>
      <c r="M4243" t="s">
        <v>14251</v>
      </c>
      <c r="N4243" t="s">
        <v>64</v>
      </c>
      <c r="O4243" t="s">
        <v>46</v>
      </c>
      <c r="P4243" t="s">
        <v>46</v>
      </c>
      <c r="Y4243" t="s">
        <v>14264</v>
      </c>
    </row>
    <row r="4244" spans="1:25">
      <c r="A4244" t="s">
        <v>14265</v>
      </c>
      <c r="B4244" t="s">
        <v>14266</v>
      </c>
      <c r="D4244" t="s">
        <v>40</v>
      </c>
      <c r="E4244" t="s">
        <v>41</v>
      </c>
      <c r="J4244" t="s">
        <v>182</v>
      </c>
      <c r="K4244" t="s">
        <v>183</v>
      </c>
      <c r="L4244">
        <v>9</v>
      </c>
      <c r="M4244" t="s">
        <v>14251</v>
      </c>
      <c r="N4244" t="s">
        <v>64</v>
      </c>
      <c r="O4244" t="s">
        <v>46</v>
      </c>
      <c r="P4244" t="s">
        <v>46</v>
      </c>
      <c r="Y4244" t="s">
        <v>14267</v>
      </c>
    </row>
    <row r="4245" spans="1:25">
      <c r="A4245" t="s">
        <v>14268</v>
      </c>
      <c r="B4245" t="s">
        <v>14269</v>
      </c>
      <c r="D4245" t="s">
        <v>40</v>
      </c>
      <c r="E4245" t="s">
        <v>41</v>
      </c>
      <c r="J4245" t="s">
        <v>42</v>
      </c>
      <c r="K4245" t="s">
        <v>43</v>
      </c>
      <c r="L4245">
        <v>9</v>
      </c>
      <c r="M4245" t="s">
        <v>14251</v>
      </c>
      <c r="N4245" t="s">
        <v>1344</v>
      </c>
      <c r="O4245" t="s">
        <v>46</v>
      </c>
      <c r="P4245" t="s">
        <v>46</v>
      </c>
      <c r="Y4245" t="s">
        <v>14270</v>
      </c>
    </row>
    <row r="4246" spans="1:25">
      <c r="A4246" t="s">
        <v>14271</v>
      </c>
      <c r="B4246" t="s">
        <v>14272</v>
      </c>
      <c r="D4246" t="s">
        <v>40</v>
      </c>
      <c r="E4246" t="s">
        <v>41</v>
      </c>
      <c r="J4246" t="s">
        <v>1142</v>
      </c>
      <c r="K4246" t="s">
        <v>1143</v>
      </c>
      <c r="L4246">
        <v>9</v>
      </c>
      <c r="M4246" t="s">
        <v>14251</v>
      </c>
      <c r="N4246" t="s">
        <v>173</v>
      </c>
      <c r="O4246" t="s">
        <v>46</v>
      </c>
      <c r="P4246" t="s">
        <v>46</v>
      </c>
      <c r="Y4246" t="s">
        <v>14273</v>
      </c>
    </row>
    <row r="4247" spans="1:25">
      <c r="A4247" t="s">
        <v>14274</v>
      </c>
      <c r="B4247" t="s">
        <v>14275</v>
      </c>
      <c r="D4247" t="s">
        <v>40</v>
      </c>
      <c r="E4247" t="s">
        <v>41</v>
      </c>
      <c r="J4247" t="s">
        <v>42</v>
      </c>
      <c r="K4247" t="s">
        <v>43</v>
      </c>
      <c r="L4247">
        <v>9</v>
      </c>
      <c r="M4247" t="s">
        <v>14276</v>
      </c>
      <c r="N4247" t="s">
        <v>3013</v>
      </c>
      <c r="O4247" t="s">
        <v>46</v>
      </c>
      <c r="P4247" t="s">
        <v>46</v>
      </c>
      <c r="Y4247" t="s">
        <v>14277</v>
      </c>
    </row>
    <row r="4248" spans="1:25">
      <c r="A4248" t="s">
        <v>14278</v>
      </c>
      <c r="B4248" t="s">
        <v>14279</v>
      </c>
      <c r="D4248" t="s">
        <v>40</v>
      </c>
      <c r="E4248" t="s">
        <v>41</v>
      </c>
      <c r="J4248" t="s">
        <v>76</v>
      </c>
      <c r="K4248" t="s">
        <v>77</v>
      </c>
      <c r="L4248">
        <v>9</v>
      </c>
      <c r="M4248" t="s">
        <v>14276</v>
      </c>
      <c r="N4248" t="s">
        <v>64</v>
      </c>
      <c r="O4248" t="s">
        <v>46</v>
      </c>
      <c r="P4248" t="s">
        <v>46</v>
      </c>
      <c r="Y4248" t="s">
        <v>14280</v>
      </c>
    </row>
    <row r="4249" spans="1:25">
      <c r="A4249" t="s">
        <v>14281</v>
      </c>
      <c r="B4249" t="s">
        <v>14282</v>
      </c>
      <c r="D4249" t="s">
        <v>40</v>
      </c>
      <c r="E4249" t="s">
        <v>41</v>
      </c>
      <c r="J4249" t="s">
        <v>182</v>
      </c>
      <c r="K4249" t="s">
        <v>183</v>
      </c>
      <c r="L4249">
        <v>9</v>
      </c>
      <c r="M4249" t="s">
        <v>14276</v>
      </c>
      <c r="N4249" t="s">
        <v>64</v>
      </c>
      <c r="O4249" t="s">
        <v>46</v>
      </c>
      <c r="P4249" t="s">
        <v>46</v>
      </c>
      <c r="Y4249" t="s">
        <v>14283</v>
      </c>
    </row>
    <row r="4250" spans="1:25">
      <c r="A4250" t="s">
        <v>14284</v>
      </c>
      <c r="B4250" t="s">
        <v>14285</v>
      </c>
      <c r="D4250" t="s">
        <v>40</v>
      </c>
      <c r="E4250" t="s">
        <v>41</v>
      </c>
      <c r="J4250" t="s">
        <v>76</v>
      </c>
      <c r="K4250" t="s">
        <v>77</v>
      </c>
      <c r="L4250">
        <v>9</v>
      </c>
      <c r="M4250" t="s">
        <v>14286</v>
      </c>
      <c r="N4250" t="s">
        <v>64</v>
      </c>
      <c r="O4250" t="s">
        <v>46</v>
      </c>
      <c r="P4250" t="s">
        <v>46</v>
      </c>
      <c r="Y4250" t="s">
        <v>14287</v>
      </c>
    </row>
    <row r="4251" spans="1:25">
      <c r="A4251" t="s">
        <v>14288</v>
      </c>
      <c r="B4251" t="s">
        <v>14289</v>
      </c>
      <c r="D4251" t="s">
        <v>40</v>
      </c>
      <c r="E4251" t="s">
        <v>41</v>
      </c>
      <c r="J4251" t="s">
        <v>76</v>
      </c>
      <c r="K4251" t="s">
        <v>77</v>
      </c>
      <c r="L4251">
        <v>9</v>
      </c>
      <c r="M4251" t="s">
        <v>14286</v>
      </c>
      <c r="N4251" t="s">
        <v>64</v>
      </c>
      <c r="O4251" t="s">
        <v>46</v>
      </c>
      <c r="P4251" t="s">
        <v>46</v>
      </c>
      <c r="Y4251" t="s">
        <v>14290</v>
      </c>
    </row>
    <row r="4252" spans="1:25">
      <c r="A4252" t="s">
        <v>14291</v>
      </c>
      <c r="B4252" t="s">
        <v>14292</v>
      </c>
      <c r="D4252" t="s">
        <v>40</v>
      </c>
      <c r="E4252" t="s">
        <v>41</v>
      </c>
      <c r="J4252" t="s">
        <v>76</v>
      </c>
      <c r="K4252" t="s">
        <v>77</v>
      </c>
      <c r="L4252">
        <v>9</v>
      </c>
      <c r="M4252" t="s">
        <v>14286</v>
      </c>
      <c r="N4252" t="s">
        <v>64</v>
      </c>
      <c r="O4252" t="s">
        <v>46</v>
      </c>
      <c r="P4252" t="s">
        <v>46</v>
      </c>
      <c r="Y4252" t="s">
        <v>14293</v>
      </c>
    </row>
    <row r="4253" spans="1:25">
      <c r="A4253" t="s">
        <v>14294</v>
      </c>
      <c r="B4253" t="s">
        <v>14295</v>
      </c>
      <c r="D4253" t="s">
        <v>40</v>
      </c>
      <c r="E4253" t="s">
        <v>41</v>
      </c>
      <c r="J4253" t="s">
        <v>76</v>
      </c>
      <c r="K4253" t="s">
        <v>77</v>
      </c>
      <c r="L4253">
        <v>9</v>
      </c>
      <c r="M4253" t="s">
        <v>14286</v>
      </c>
      <c r="N4253" t="s">
        <v>64</v>
      </c>
      <c r="O4253" t="s">
        <v>46</v>
      </c>
      <c r="P4253" t="s">
        <v>46</v>
      </c>
      <c r="Y4253" t="s">
        <v>14296</v>
      </c>
    </row>
    <row r="4254" spans="1:25">
      <c r="A4254" t="s">
        <v>14297</v>
      </c>
      <c r="B4254" t="s">
        <v>14298</v>
      </c>
      <c r="D4254" t="s">
        <v>40</v>
      </c>
      <c r="E4254" t="s">
        <v>41</v>
      </c>
      <c r="J4254" t="s">
        <v>76</v>
      </c>
      <c r="K4254" t="s">
        <v>77</v>
      </c>
      <c r="L4254">
        <v>9</v>
      </c>
      <c r="M4254" t="s">
        <v>14299</v>
      </c>
      <c r="N4254" t="s">
        <v>64</v>
      </c>
      <c r="O4254" t="s">
        <v>46</v>
      </c>
      <c r="P4254" t="s">
        <v>46</v>
      </c>
      <c r="Y4254" t="s">
        <v>14300</v>
      </c>
    </row>
    <row r="4255" spans="1:25">
      <c r="A4255" t="s">
        <v>14301</v>
      </c>
      <c r="B4255" t="s">
        <v>14302</v>
      </c>
      <c r="D4255" t="s">
        <v>40</v>
      </c>
      <c r="E4255" t="s">
        <v>41</v>
      </c>
      <c r="J4255" t="s">
        <v>182</v>
      </c>
      <c r="K4255" t="s">
        <v>183</v>
      </c>
      <c r="L4255">
        <v>9</v>
      </c>
      <c r="M4255" t="s">
        <v>14299</v>
      </c>
      <c r="N4255" t="s">
        <v>64</v>
      </c>
      <c r="O4255" t="s">
        <v>46</v>
      </c>
      <c r="P4255" t="s">
        <v>46</v>
      </c>
      <c r="Y4255" t="s">
        <v>14303</v>
      </c>
    </row>
    <row r="4256" spans="1:25">
      <c r="A4256" t="s">
        <v>14304</v>
      </c>
      <c r="B4256" t="s">
        <v>14305</v>
      </c>
      <c r="D4256" t="s">
        <v>40</v>
      </c>
      <c r="E4256" t="s">
        <v>41</v>
      </c>
      <c r="J4256" t="s">
        <v>182</v>
      </c>
      <c r="K4256" t="s">
        <v>183</v>
      </c>
      <c r="L4256">
        <v>9</v>
      </c>
      <c r="M4256" t="s">
        <v>14299</v>
      </c>
      <c r="N4256" t="s">
        <v>64</v>
      </c>
      <c r="O4256" t="s">
        <v>46</v>
      </c>
      <c r="P4256" t="s">
        <v>46</v>
      </c>
      <c r="Y4256" t="s">
        <v>14306</v>
      </c>
    </row>
    <row r="4257" spans="1:25">
      <c r="A4257" t="s">
        <v>14307</v>
      </c>
      <c r="B4257" t="s">
        <v>14308</v>
      </c>
      <c r="D4257" t="s">
        <v>40</v>
      </c>
      <c r="E4257" t="s">
        <v>41</v>
      </c>
      <c r="J4257" t="s">
        <v>182</v>
      </c>
      <c r="K4257" t="s">
        <v>183</v>
      </c>
      <c r="L4257">
        <v>9</v>
      </c>
      <c r="M4257" t="s">
        <v>14299</v>
      </c>
      <c r="N4257" t="s">
        <v>64</v>
      </c>
      <c r="O4257" t="s">
        <v>46</v>
      </c>
      <c r="P4257" t="s">
        <v>46</v>
      </c>
      <c r="Y4257" t="s">
        <v>14309</v>
      </c>
    </row>
    <row r="4258" spans="1:25">
      <c r="A4258" t="s">
        <v>14310</v>
      </c>
      <c r="B4258" t="s">
        <v>14311</v>
      </c>
      <c r="D4258" t="s">
        <v>40</v>
      </c>
      <c r="E4258" t="s">
        <v>41</v>
      </c>
      <c r="J4258" t="s">
        <v>182</v>
      </c>
      <c r="K4258" t="s">
        <v>183</v>
      </c>
      <c r="L4258">
        <v>9</v>
      </c>
      <c r="M4258" t="s">
        <v>14299</v>
      </c>
      <c r="N4258" t="s">
        <v>64</v>
      </c>
      <c r="O4258" t="s">
        <v>46</v>
      </c>
      <c r="P4258" t="s">
        <v>46</v>
      </c>
      <c r="Y4258" t="s">
        <v>14312</v>
      </c>
    </row>
    <row r="4259" spans="1:25">
      <c r="A4259" t="s">
        <v>14313</v>
      </c>
      <c r="B4259" t="s">
        <v>14314</v>
      </c>
      <c r="D4259" t="s">
        <v>40</v>
      </c>
      <c r="E4259" t="s">
        <v>41</v>
      </c>
      <c r="J4259" t="s">
        <v>76</v>
      </c>
      <c r="K4259" t="s">
        <v>77</v>
      </c>
      <c r="L4259">
        <v>9</v>
      </c>
      <c r="M4259" t="s">
        <v>14299</v>
      </c>
      <c r="N4259" t="s">
        <v>64</v>
      </c>
      <c r="O4259" t="s">
        <v>46</v>
      </c>
      <c r="P4259" t="s">
        <v>46</v>
      </c>
      <c r="Y4259" t="s">
        <v>14315</v>
      </c>
    </row>
    <row r="4260" spans="1:25">
      <c r="A4260" t="s">
        <v>14316</v>
      </c>
      <c r="B4260" t="s">
        <v>14317</v>
      </c>
      <c r="D4260" t="s">
        <v>40</v>
      </c>
      <c r="E4260" t="s">
        <v>41</v>
      </c>
      <c r="J4260" t="s">
        <v>182</v>
      </c>
      <c r="K4260" t="s">
        <v>183</v>
      </c>
      <c r="L4260">
        <v>9</v>
      </c>
      <c r="M4260" t="s">
        <v>14318</v>
      </c>
      <c r="N4260" t="s">
        <v>64</v>
      </c>
      <c r="O4260" t="s">
        <v>46</v>
      </c>
      <c r="P4260" t="s">
        <v>46</v>
      </c>
      <c r="Y4260" t="s">
        <v>14319</v>
      </c>
    </row>
    <row r="4261" spans="1:25">
      <c r="A4261" t="s">
        <v>14320</v>
      </c>
      <c r="B4261" t="s">
        <v>14321</v>
      </c>
      <c r="D4261" t="s">
        <v>40</v>
      </c>
      <c r="E4261" t="s">
        <v>41</v>
      </c>
      <c r="J4261" t="s">
        <v>76</v>
      </c>
      <c r="K4261" t="s">
        <v>77</v>
      </c>
      <c r="L4261">
        <v>9</v>
      </c>
      <c r="M4261" t="s">
        <v>14318</v>
      </c>
      <c r="N4261" t="s">
        <v>64</v>
      </c>
      <c r="O4261" t="s">
        <v>46</v>
      </c>
      <c r="P4261" t="s">
        <v>46</v>
      </c>
      <c r="Y4261" t="s">
        <v>14322</v>
      </c>
    </row>
    <row r="4262" spans="1:25">
      <c r="A4262" t="s">
        <v>14323</v>
      </c>
      <c r="B4262" t="s">
        <v>14324</v>
      </c>
      <c r="D4262" t="s">
        <v>40</v>
      </c>
      <c r="E4262" t="s">
        <v>41</v>
      </c>
      <c r="J4262" t="s">
        <v>182</v>
      </c>
      <c r="K4262" t="s">
        <v>183</v>
      </c>
      <c r="L4262">
        <v>9</v>
      </c>
      <c r="M4262" t="s">
        <v>14325</v>
      </c>
      <c r="N4262" t="s">
        <v>64</v>
      </c>
      <c r="O4262" t="s">
        <v>46</v>
      </c>
      <c r="P4262" t="s">
        <v>46</v>
      </c>
      <c r="Y4262" t="s">
        <v>14326</v>
      </c>
    </row>
    <row r="4263" spans="1:25">
      <c r="A4263" t="s">
        <v>14327</v>
      </c>
      <c r="B4263" t="s">
        <v>14328</v>
      </c>
      <c r="D4263" t="s">
        <v>40</v>
      </c>
      <c r="E4263" t="s">
        <v>41</v>
      </c>
      <c r="J4263" t="s">
        <v>139</v>
      </c>
      <c r="K4263" t="s">
        <v>140</v>
      </c>
      <c r="L4263">
        <v>9</v>
      </c>
      <c r="M4263" t="s">
        <v>14329</v>
      </c>
      <c r="N4263" t="s">
        <v>1397</v>
      </c>
      <c r="O4263" t="s">
        <v>46</v>
      </c>
      <c r="P4263" t="s">
        <v>46</v>
      </c>
      <c r="Y4263" t="s">
        <v>14330</v>
      </c>
    </row>
    <row r="4264" spans="1:25">
      <c r="A4264" t="s">
        <v>14331</v>
      </c>
      <c r="B4264" t="s">
        <v>14332</v>
      </c>
      <c r="D4264" t="s">
        <v>40</v>
      </c>
      <c r="E4264" t="s">
        <v>41</v>
      </c>
      <c r="J4264" t="s">
        <v>76</v>
      </c>
      <c r="K4264" t="s">
        <v>77</v>
      </c>
      <c r="L4264">
        <v>9</v>
      </c>
      <c r="M4264" t="s">
        <v>14329</v>
      </c>
      <c r="N4264" t="s">
        <v>64</v>
      </c>
      <c r="O4264" t="s">
        <v>46</v>
      </c>
      <c r="P4264" t="s">
        <v>46</v>
      </c>
      <c r="Y4264" t="s">
        <v>14333</v>
      </c>
    </row>
    <row r="4265" spans="1:25">
      <c r="A4265" t="s">
        <v>14334</v>
      </c>
      <c r="B4265" t="s">
        <v>14335</v>
      </c>
      <c r="D4265" t="s">
        <v>40</v>
      </c>
      <c r="E4265" t="s">
        <v>41</v>
      </c>
      <c r="J4265" t="s">
        <v>68</v>
      </c>
      <c r="K4265" t="s">
        <v>69</v>
      </c>
      <c r="L4265">
        <v>9</v>
      </c>
      <c r="M4265" t="s">
        <v>14329</v>
      </c>
      <c r="N4265" t="s">
        <v>64</v>
      </c>
      <c r="O4265" t="s">
        <v>46</v>
      </c>
      <c r="P4265" t="s">
        <v>46</v>
      </c>
      <c r="Y4265" t="s">
        <v>14336</v>
      </c>
    </row>
    <row r="4266" spans="1:25">
      <c r="A4266" t="s">
        <v>14337</v>
      </c>
      <c r="B4266" t="s">
        <v>14338</v>
      </c>
      <c r="D4266" t="s">
        <v>40</v>
      </c>
      <c r="E4266" t="s">
        <v>41</v>
      </c>
      <c r="J4266" t="s">
        <v>68</v>
      </c>
      <c r="K4266" t="s">
        <v>69</v>
      </c>
      <c r="L4266">
        <v>9</v>
      </c>
      <c r="M4266" t="s">
        <v>14329</v>
      </c>
      <c r="N4266" t="s">
        <v>64</v>
      </c>
      <c r="O4266" t="s">
        <v>46</v>
      </c>
      <c r="P4266" t="s">
        <v>46</v>
      </c>
      <c r="Y4266" t="s">
        <v>14339</v>
      </c>
    </row>
    <row r="4267" spans="1:25">
      <c r="A4267" t="s">
        <v>14340</v>
      </c>
      <c r="B4267" t="s">
        <v>14341</v>
      </c>
      <c r="D4267" t="s">
        <v>40</v>
      </c>
      <c r="E4267" t="s">
        <v>41</v>
      </c>
      <c r="J4267" t="s">
        <v>182</v>
      </c>
      <c r="K4267" t="s">
        <v>183</v>
      </c>
      <c r="L4267">
        <v>9</v>
      </c>
      <c r="M4267" t="s">
        <v>14329</v>
      </c>
      <c r="N4267" t="s">
        <v>64</v>
      </c>
      <c r="O4267" t="s">
        <v>46</v>
      </c>
      <c r="P4267" t="s">
        <v>46</v>
      </c>
      <c r="Y4267" t="s">
        <v>14342</v>
      </c>
    </row>
    <row r="4268" spans="1:25">
      <c r="A4268" t="s">
        <v>14343</v>
      </c>
      <c r="B4268" t="s">
        <v>14344</v>
      </c>
      <c r="D4268" t="s">
        <v>40</v>
      </c>
      <c r="E4268" t="s">
        <v>41</v>
      </c>
      <c r="J4268" t="s">
        <v>248</v>
      </c>
      <c r="K4268" t="s">
        <v>249</v>
      </c>
      <c r="L4268">
        <v>9</v>
      </c>
      <c r="M4268" t="s">
        <v>14345</v>
      </c>
      <c r="N4268" t="s">
        <v>1024</v>
      </c>
      <c r="O4268" t="s">
        <v>46</v>
      </c>
      <c r="P4268" t="s">
        <v>46</v>
      </c>
      <c r="Y4268" t="s">
        <v>14346</v>
      </c>
    </row>
    <row r="4269" spans="1:25">
      <c r="A4269" t="s">
        <v>14347</v>
      </c>
      <c r="B4269" t="s">
        <v>14348</v>
      </c>
      <c r="D4269" t="s">
        <v>40</v>
      </c>
      <c r="E4269" t="s">
        <v>41</v>
      </c>
      <c r="J4269" t="s">
        <v>76</v>
      </c>
      <c r="K4269" t="s">
        <v>77</v>
      </c>
      <c r="L4269">
        <v>9</v>
      </c>
      <c r="M4269" t="s">
        <v>14345</v>
      </c>
      <c r="N4269" t="s">
        <v>64</v>
      </c>
      <c r="O4269" t="s">
        <v>46</v>
      </c>
      <c r="P4269" t="s">
        <v>46</v>
      </c>
      <c r="Y4269" t="s">
        <v>14349</v>
      </c>
    </row>
    <row r="4270" spans="1:25">
      <c r="A4270" t="s">
        <v>14350</v>
      </c>
      <c r="B4270" t="s">
        <v>14351</v>
      </c>
      <c r="D4270" t="s">
        <v>40</v>
      </c>
      <c r="E4270" t="s">
        <v>41</v>
      </c>
      <c r="J4270" t="s">
        <v>76</v>
      </c>
      <c r="K4270" t="s">
        <v>77</v>
      </c>
      <c r="L4270">
        <v>9</v>
      </c>
      <c r="M4270" t="s">
        <v>14345</v>
      </c>
      <c r="N4270" t="s">
        <v>64</v>
      </c>
      <c r="O4270" t="s">
        <v>46</v>
      </c>
      <c r="P4270" t="s">
        <v>46</v>
      </c>
      <c r="Y4270" t="s">
        <v>14352</v>
      </c>
    </row>
    <row r="4271" spans="1:25">
      <c r="A4271" t="s">
        <v>14353</v>
      </c>
      <c r="B4271" t="s">
        <v>14354</v>
      </c>
      <c r="D4271" t="s">
        <v>40</v>
      </c>
      <c r="E4271" t="s">
        <v>41</v>
      </c>
      <c r="J4271" t="s">
        <v>182</v>
      </c>
      <c r="K4271" t="s">
        <v>183</v>
      </c>
      <c r="L4271">
        <v>9</v>
      </c>
      <c r="M4271" t="s">
        <v>14345</v>
      </c>
      <c r="N4271" t="s">
        <v>64</v>
      </c>
      <c r="O4271" t="s">
        <v>46</v>
      </c>
      <c r="P4271" t="s">
        <v>46</v>
      </c>
      <c r="Y4271" t="s">
        <v>14355</v>
      </c>
    </row>
    <row r="4272" spans="1:25">
      <c r="A4272" t="s">
        <v>14356</v>
      </c>
      <c r="B4272" t="s">
        <v>14357</v>
      </c>
      <c r="D4272" t="s">
        <v>40</v>
      </c>
      <c r="E4272" t="s">
        <v>41</v>
      </c>
      <c r="J4272" t="s">
        <v>182</v>
      </c>
      <c r="K4272" t="s">
        <v>183</v>
      </c>
      <c r="L4272">
        <v>9</v>
      </c>
      <c r="M4272" t="s">
        <v>14345</v>
      </c>
      <c r="N4272" t="s">
        <v>64</v>
      </c>
      <c r="O4272" t="s">
        <v>46</v>
      </c>
      <c r="P4272" t="s">
        <v>46</v>
      </c>
      <c r="Y4272" t="s">
        <v>14358</v>
      </c>
    </row>
    <row r="4273" spans="1:25">
      <c r="A4273" t="s">
        <v>14359</v>
      </c>
      <c r="B4273" t="s">
        <v>14360</v>
      </c>
      <c r="D4273" t="s">
        <v>40</v>
      </c>
      <c r="E4273" t="s">
        <v>41</v>
      </c>
      <c r="J4273" t="s">
        <v>76</v>
      </c>
      <c r="K4273" t="s">
        <v>77</v>
      </c>
      <c r="L4273">
        <v>9</v>
      </c>
      <c r="M4273" t="s">
        <v>14361</v>
      </c>
      <c r="N4273" t="s">
        <v>64</v>
      </c>
      <c r="O4273" t="s">
        <v>46</v>
      </c>
      <c r="P4273" t="s">
        <v>46</v>
      </c>
      <c r="Y4273" t="s">
        <v>14362</v>
      </c>
    </row>
    <row r="4274" spans="1:25">
      <c r="A4274" t="s">
        <v>14363</v>
      </c>
      <c r="B4274" t="s">
        <v>14364</v>
      </c>
      <c r="D4274" t="s">
        <v>40</v>
      </c>
      <c r="E4274" t="s">
        <v>41</v>
      </c>
      <c r="J4274" t="s">
        <v>182</v>
      </c>
      <c r="K4274" t="s">
        <v>183</v>
      </c>
      <c r="L4274">
        <v>9</v>
      </c>
      <c r="M4274" t="s">
        <v>14361</v>
      </c>
      <c r="N4274" t="s">
        <v>64</v>
      </c>
      <c r="O4274" t="s">
        <v>46</v>
      </c>
      <c r="P4274" t="s">
        <v>46</v>
      </c>
      <c r="Y4274" t="s">
        <v>14365</v>
      </c>
    </row>
    <row r="4275" spans="1:25">
      <c r="A4275" t="s">
        <v>14366</v>
      </c>
      <c r="B4275" t="s">
        <v>14367</v>
      </c>
      <c r="D4275" t="s">
        <v>40</v>
      </c>
      <c r="E4275" t="s">
        <v>41</v>
      </c>
      <c r="J4275" t="s">
        <v>182</v>
      </c>
      <c r="K4275" t="s">
        <v>183</v>
      </c>
      <c r="L4275">
        <v>9</v>
      </c>
      <c r="M4275" t="s">
        <v>14361</v>
      </c>
      <c r="N4275" t="s">
        <v>64</v>
      </c>
      <c r="O4275" t="s">
        <v>46</v>
      </c>
      <c r="P4275" t="s">
        <v>46</v>
      </c>
      <c r="Y4275" t="s">
        <v>14368</v>
      </c>
    </row>
    <row r="4276" spans="1:25">
      <c r="A4276" t="s">
        <v>14369</v>
      </c>
      <c r="B4276" t="s">
        <v>14370</v>
      </c>
      <c r="D4276" t="s">
        <v>40</v>
      </c>
      <c r="E4276" t="s">
        <v>41</v>
      </c>
      <c r="J4276" t="s">
        <v>76</v>
      </c>
      <c r="K4276" t="s">
        <v>77</v>
      </c>
      <c r="L4276">
        <v>9</v>
      </c>
      <c r="M4276" t="s">
        <v>14361</v>
      </c>
      <c r="N4276" t="s">
        <v>64</v>
      </c>
      <c r="O4276" t="s">
        <v>46</v>
      </c>
      <c r="P4276" t="s">
        <v>46</v>
      </c>
      <c r="Y4276" t="s">
        <v>14371</v>
      </c>
    </row>
    <row r="4277" spans="1:25">
      <c r="A4277" t="s">
        <v>14372</v>
      </c>
      <c r="B4277" t="s">
        <v>14373</v>
      </c>
      <c r="D4277" t="s">
        <v>40</v>
      </c>
      <c r="E4277" t="s">
        <v>41</v>
      </c>
      <c r="J4277" t="s">
        <v>182</v>
      </c>
      <c r="K4277" t="s">
        <v>183</v>
      </c>
      <c r="L4277">
        <v>9</v>
      </c>
      <c r="M4277" t="s">
        <v>14361</v>
      </c>
      <c r="N4277" t="s">
        <v>64</v>
      </c>
      <c r="O4277" t="s">
        <v>46</v>
      </c>
      <c r="P4277" t="s">
        <v>46</v>
      </c>
      <c r="Y4277" t="s">
        <v>14374</v>
      </c>
    </row>
    <row r="4278" spans="1:25">
      <c r="A4278" t="s">
        <v>14375</v>
      </c>
      <c r="B4278" t="s">
        <v>14376</v>
      </c>
      <c r="D4278" t="s">
        <v>40</v>
      </c>
      <c r="E4278" t="s">
        <v>41</v>
      </c>
      <c r="J4278" t="s">
        <v>264</v>
      </c>
      <c r="K4278" t="s">
        <v>265</v>
      </c>
      <c r="L4278">
        <v>9</v>
      </c>
      <c r="M4278" t="s">
        <v>14361</v>
      </c>
      <c r="N4278" t="s">
        <v>2346</v>
      </c>
      <c r="O4278" t="s">
        <v>46</v>
      </c>
      <c r="P4278" t="s">
        <v>46</v>
      </c>
      <c r="Y4278" t="s">
        <v>14377</v>
      </c>
    </row>
    <row r="4279" spans="1:25">
      <c r="A4279" t="s">
        <v>14378</v>
      </c>
      <c r="B4279" t="s">
        <v>14379</v>
      </c>
      <c r="D4279" t="s">
        <v>40</v>
      </c>
      <c r="E4279" t="s">
        <v>41</v>
      </c>
      <c r="J4279" t="s">
        <v>76</v>
      </c>
      <c r="K4279" t="s">
        <v>77</v>
      </c>
      <c r="L4279">
        <v>9</v>
      </c>
      <c r="M4279" t="s">
        <v>14380</v>
      </c>
      <c r="N4279" t="s">
        <v>64</v>
      </c>
      <c r="O4279" t="s">
        <v>46</v>
      </c>
      <c r="P4279" t="s">
        <v>46</v>
      </c>
      <c r="Y4279" t="s">
        <v>14381</v>
      </c>
    </row>
    <row r="4280" spans="1:25">
      <c r="A4280" t="s">
        <v>14382</v>
      </c>
      <c r="B4280" t="s">
        <v>14383</v>
      </c>
      <c r="D4280" t="s">
        <v>40</v>
      </c>
      <c r="E4280" t="s">
        <v>41</v>
      </c>
      <c r="J4280" t="s">
        <v>76</v>
      </c>
      <c r="K4280" t="s">
        <v>77</v>
      </c>
      <c r="L4280">
        <v>9</v>
      </c>
      <c r="M4280" t="s">
        <v>14380</v>
      </c>
      <c r="N4280" t="s">
        <v>64</v>
      </c>
      <c r="O4280" t="s">
        <v>46</v>
      </c>
      <c r="P4280" t="s">
        <v>46</v>
      </c>
      <c r="Y4280" t="s">
        <v>14384</v>
      </c>
    </row>
    <row r="4281" spans="1:25">
      <c r="A4281" t="s">
        <v>14385</v>
      </c>
      <c r="B4281" t="s">
        <v>14386</v>
      </c>
      <c r="D4281" t="s">
        <v>40</v>
      </c>
      <c r="E4281" t="s">
        <v>41</v>
      </c>
      <c r="J4281" t="s">
        <v>182</v>
      </c>
      <c r="K4281" t="s">
        <v>183</v>
      </c>
      <c r="L4281">
        <v>9</v>
      </c>
      <c r="M4281" t="s">
        <v>14380</v>
      </c>
      <c r="N4281" t="s">
        <v>64</v>
      </c>
      <c r="O4281" t="s">
        <v>46</v>
      </c>
      <c r="P4281" t="s">
        <v>46</v>
      </c>
      <c r="Y4281" t="s">
        <v>14387</v>
      </c>
    </row>
    <row r="4282" spans="1:25">
      <c r="A4282" t="s">
        <v>14388</v>
      </c>
      <c r="B4282" t="s">
        <v>14389</v>
      </c>
      <c r="D4282" t="s">
        <v>40</v>
      </c>
      <c r="E4282" t="s">
        <v>41</v>
      </c>
      <c r="J4282" t="s">
        <v>42</v>
      </c>
      <c r="K4282" t="s">
        <v>43</v>
      </c>
      <c r="L4282">
        <v>9</v>
      </c>
      <c r="M4282" t="s">
        <v>14380</v>
      </c>
      <c r="N4282" t="s">
        <v>178</v>
      </c>
      <c r="O4282" t="s">
        <v>46</v>
      </c>
      <c r="P4282" t="s">
        <v>46</v>
      </c>
      <c r="Y4282" t="s">
        <v>14390</v>
      </c>
    </row>
    <row r="4283" spans="1:25">
      <c r="A4283" t="s">
        <v>14391</v>
      </c>
      <c r="B4283" t="s">
        <v>14392</v>
      </c>
      <c r="D4283" t="s">
        <v>40</v>
      </c>
      <c r="E4283" t="s">
        <v>41</v>
      </c>
      <c r="J4283" t="s">
        <v>182</v>
      </c>
      <c r="K4283" t="s">
        <v>183</v>
      </c>
      <c r="L4283">
        <v>9</v>
      </c>
      <c r="M4283" t="s">
        <v>14380</v>
      </c>
      <c r="N4283" t="s">
        <v>64</v>
      </c>
      <c r="O4283" t="s">
        <v>46</v>
      </c>
      <c r="P4283" t="s">
        <v>46</v>
      </c>
      <c r="Y4283" t="s">
        <v>14393</v>
      </c>
    </row>
    <row r="4284" spans="1:25">
      <c r="A4284" t="s">
        <v>14394</v>
      </c>
      <c r="B4284" t="s">
        <v>14395</v>
      </c>
      <c r="D4284" t="s">
        <v>40</v>
      </c>
      <c r="E4284" t="s">
        <v>41</v>
      </c>
      <c r="J4284" t="s">
        <v>76</v>
      </c>
      <c r="K4284" t="s">
        <v>77</v>
      </c>
      <c r="L4284">
        <v>9</v>
      </c>
      <c r="M4284" t="s">
        <v>14380</v>
      </c>
      <c r="N4284" t="s">
        <v>64</v>
      </c>
      <c r="O4284" t="s">
        <v>46</v>
      </c>
      <c r="P4284" t="s">
        <v>46</v>
      </c>
      <c r="Y4284" t="s">
        <v>14396</v>
      </c>
    </row>
    <row r="4285" spans="1:25">
      <c r="A4285" t="s">
        <v>14397</v>
      </c>
      <c r="B4285" t="s">
        <v>14398</v>
      </c>
      <c r="D4285" t="s">
        <v>40</v>
      </c>
      <c r="E4285" t="s">
        <v>41</v>
      </c>
      <c r="J4285" t="s">
        <v>182</v>
      </c>
      <c r="K4285" t="s">
        <v>183</v>
      </c>
      <c r="L4285">
        <v>9</v>
      </c>
      <c r="M4285" t="s">
        <v>14380</v>
      </c>
      <c r="N4285" t="s">
        <v>64</v>
      </c>
      <c r="O4285" t="s">
        <v>46</v>
      </c>
      <c r="P4285" t="s">
        <v>46</v>
      </c>
      <c r="Y4285" t="s">
        <v>14399</v>
      </c>
    </row>
    <row r="4286" spans="1:25">
      <c r="A4286" t="s">
        <v>14400</v>
      </c>
      <c r="B4286" t="s">
        <v>14401</v>
      </c>
      <c r="D4286" t="s">
        <v>40</v>
      </c>
      <c r="E4286" t="s">
        <v>41</v>
      </c>
      <c r="J4286" t="s">
        <v>76</v>
      </c>
      <c r="K4286" t="s">
        <v>77</v>
      </c>
      <c r="L4286">
        <v>9</v>
      </c>
      <c r="M4286" t="s">
        <v>14380</v>
      </c>
      <c r="N4286" t="s">
        <v>64</v>
      </c>
      <c r="O4286" t="s">
        <v>46</v>
      </c>
      <c r="P4286" t="s">
        <v>46</v>
      </c>
      <c r="Y4286" t="s">
        <v>14402</v>
      </c>
    </row>
    <row r="4287" spans="1:25">
      <c r="A4287" t="s">
        <v>14403</v>
      </c>
      <c r="B4287" t="s">
        <v>14404</v>
      </c>
      <c r="D4287" t="s">
        <v>40</v>
      </c>
      <c r="E4287" t="s">
        <v>41</v>
      </c>
      <c r="J4287" t="s">
        <v>68</v>
      </c>
      <c r="K4287" t="s">
        <v>69</v>
      </c>
      <c r="L4287">
        <v>9</v>
      </c>
      <c r="M4287" t="s">
        <v>14380</v>
      </c>
      <c r="N4287" t="s">
        <v>64</v>
      </c>
      <c r="O4287" t="s">
        <v>46</v>
      </c>
      <c r="P4287" t="s">
        <v>46</v>
      </c>
      <c r="Y4287" t="s">
        <v>14405</v>
      </c>
    </row>
    <row r="4288" spans="1:25">
      <c r="A4288" t="s">
        <v>14406</v>
      </c>
      <c r="B4288" t="s">
        <v>14407</v>
      </c>
      <c r="D4288" t="s">
        <v>40</v>
      </c>
      <c r="E4288" t="s">
        <v>41</v>
      </c>
      <c r="J4288" t="s">
        <v>68</v>
      </c>
      <c r="K4288" t="s">
        <v>69</v>
      </c>
      <c r="L4288">
        <v>9</v>
      </c>
      <c r="M4288" t="s">
        <v>14380</v>
      </c>
      <c r="N4288" t="s">
        <v>64</v>
      </c>
      <c r="O4288" t="s">
        <v>46</v>
      </c>
      <c r="P4288" t="s">
        <v>46</v>
      </c>
      <c r="Y4288" t="s">
        <v>14408</v>
      </c>
    </row>
    <row r="4289" spans="1:25">
      <c r="A4289" t="s">
        <v>14409</v>
      </c>
      <c r="B4289" t="s">
        <v>14410</v>
      </c>
      <c r="D4289" t="s">
        <v>40</v>
      </c>
      <c r="E4289" t="s">
        <v>41</v>
      </c>
      <c r="J4289" t="s">
        <v>182</v>
      </c>
      <c r="K4289" t="s">
        <v>183</v>
      </c>
      <c r="L4289">
        <v>9</v>
      </c>
      <c r="M4289" t="s">
        <v>14411</v>
      </c>
      <c r="N4289" t="s">
        <v>64</v>
      </c>
      <c r="O4289" t="s">
        <v>46</v>
      </c>
      <c r="P4289" t="s">
        <v>46</v>
      </c>
      <c r="Y4289" t="s">
        <v>14412</v>
      </c>
    </row>
    <row r="4290" spans="1:25">
      <c r="A4290" t="s">
        <v>14413</v>
      </c>
      <c r="B4290" t="s">
        <v>14414</v>
      </c>
      <c r="D4290" t="s">
        <v>40</v>
      </c>
      <c r="E4290" t="s">
        <v>41</v>
      </c>
      <c r="J4290" t="s">
        <v>182</v>
      </c>
      <c r="K4290" t="s">
        <v>183</v>
      </c>
      <c r="L4290">
        <v>9</v>
      </c>
      <c r="M4290" t="s">
        <v>14411</v>
      </c>
      <c r="N4290" t="s">
        <v>64</v>
      </c>
      <c r="O4290" t="s">
        <v>46</v>
      </c>
      <c r="P4290" t="s">
        <v>46</v>
      </c>
      <c r="Y4290" t="s">
        <v>14415</v>
      </c>
    </row>
    <row r="4291" spans="1:25">
      <c r="A4291" t="s">
        <v>14416</v>
      </c>
      <c r="B4291" t="s">
        <v>14417</v>
      </c>
      <c r="D4291" t="s">
        <v>40</v>
      </c>
      <c r="E4291" t="s">
        <v>41</v>
      </c>
      <c r="J4291" t="s">
        <v>42</v>
      </c>
      <c r="K4291" t="s">
        <v>43</v>
      </c>
      <c r="L4291">
        <v>9</v>
      </c>
      <c r="M4291" t="s">
        <v>14411</v>
      </c>
      <c r="N4291" t="s">
        <v>1392</v>
      </c>
      <c r="O4291" t="s">
        <v>46</v>
      </c>
      <c r="P4291" t="s">
        <v>46</v>
      </c>
      <c r="Y4291" t="s">
        <v>14418</v>
      </c>
    </row>
    <row r="4292" spans="1:25">
      <c r="A4292" t="s">
        <v>14419</v>
      </c>
      <c r="B4292" t="s">
        <v>14420</v>
      </c>
      <c r="D4292" t="s">
        <v>40</v>
      </c>
      <c r="E4292" t="s">
        <v>41</v>
      </c>
      <c r="J4292" t="s">
        <v>76</v>
      </c>
      <c r="K4292" t="s">
        <v>77</v>
      </c>
      <c r="L4292">
        <v>9</v>
      </c>
      <c r="M4292" t="s">
        <v>14411</v>
      </c>
      <c r="N4292" t="s">
        <v>64</v>
      </c>
      <c r="O4292" t="s">
        <v>46</v>
      </c>
      <c r="P4292" t="s">
        <v>46</v>
      </c>
      <c r="Y4292" t="s">
        <v>14421</v>
      </c>
    </row>
    <row r="4293" spans="1:25">
      <c r="A4293" t="s">
        <v>14422</v>
      </c>
      <c r="B4293" t="s">
        <v>14423</v>
      </c>
      <c r="D4293" t="s">
        <v>40</v>
      </c>
      <c r="E4293" t="s">
        <v>41</v>
      </c>
      <c r="J4293" t="s">
        <v>182</v>
      </c>
      <c r="K4293" t="s">
        <v>183</v>
      </c>
      <c r="L4293">
        <v>9</v>
      </c>
      <c r="M4293" t="s">
        <v>14411</v>
      </c>
      <c r="N4293" t="s">
        <v>64</v>
      </c>
      <c r="O4293" t="s">
        <v>46</v>
      </c>
      <c r="P4293" t="s">
        <v>46</v>
      </c>
      <c r="Y4293" t="s">
        <v>14424</v>
      </c>
    </row>
    <row r="4294" spans="1:25">
      <c r="A4294" t="s">
        <v>14425</v>
      </c>
      <c r="B4294" t="s">
        <v>14426</v>
      </c>
      <c r="D4294" t="s">
        <v>40</v>
      </c>
      <c r="E4294" t="s">
        <v>41</v>
      </c>
      <c r="J4294" t="s">
        <v>68</v>
      </c>
      <c r="K4294" t="s">
        <v>69</v>
      </c>
      <c r="L4294">
        <v>9</v>
      </c>
      <c r="M4294" t="s">
        <v>14411</v>
      </c>
      <c r="N4294" t="s">
        <v>64</v>
      </c>
      <c r="O4294" t="s">
        <v>46</v>
      </c>
      <c r="P4294" t="s">
        <v>46</v>
      </c>
      <c r="Y4294" t="s">
        <v>14427</v>
      </c>
    </row>
    <row r="4295" spans="1:25">
      <c r="A4295" t="s">
        <v>14428</v>
      </c>
      <c r="B4295" t="s">
        <v>14429</v>
      </c>
      <c r="D4295" t="s">
        <v>40</v>
      </c>
      <c r="E4295" t="s">
        <v>41</v>
      </c>
      <c r="J4295" t="s">
        <v>76</v>
      </c>
      <c r="K4295" t="s">
        <v>77</v>
      </c>
      <c r="L4295">
        <v>9</v>
      </c>
      <c r="M4295" t="s">
        <v>14411</v>
      </c>
      <c r="N4295" t="s">
        <v>64</v>
      </c>
      <c r="O4295" t="s">
        <v>46</v>
      </c>
      <c r="P4295" t="s">
        <v>46</v>
      </c>
      <c r="Y4295" t="s">
        <v>14430</v>
      </c>
    </row>
    <row r="4296" spans="1:25">
      <c r="A4296" t="s">
        <v>14431</v>
      </c>
      <c r="B4296" t="s">
        <v>14432</v>
      </c>
      <c r="D4296" t="s">
        <v>40</v>
      </c>
      <c r="E4296" t="s">
        <v>41</v>
      </c>
      <c r="J4296" t="s">
        <v>182</v>
      </c>
      <c r="K4296" t="s">
        <v>183</v>
      </c>
      <c r="L4296">
        <v>9</v>
      </c>
      <c r="M4296" t="s">
        <v>14433</v>
      </c>
      <c r="N4296" t="s">
        <v>64</v>
      </c>
      <c r="O4296" t="s">
        <v>46</v>
      </c>
      <c r="P4296" t="s">
        <v>46</v>
      </c>
      <c r="Y4296" t="s">
        <v>14434</v>
      </c>
    </row>
    <row r="4297" spans="1:25">
      <c r="A4297" t="s">
        <v>14435</v>
      </c>
      <c r="B4297" t="s">
        <v>14436</v>
      </c>
      <c r="D4297" t="s">
        <v>40</v>
      </c>
      <c r="E4297" t="s">
        <v>41</v>
      </c>
      <c r="J4297" t="s">
        <v>182</v>
      </c>
      <c r="K4297" t="s">
        <v>183</v>
      </c>
      <c r="L4297">
        <v>9</v>
      </c>
      <c r="M4297" t="s">
        <v>14433</v>
      </c>
      <c r="N4297" t="s">
        <v>64</v>
      </c>
      <c r="O4297" t="s">
        <v>46</v>
      </c>
      <c r="P4297" t="s">
        <v>46</v>
      </c>
      <c r="Y4297" t="s">
        <v>14437</v>
      </c>
    </row>
    <row r="4298" spans="1:25">
      <c r="A4298" t="s">
        <v>14438</v>
      </c>
      <c r="B4298" t="s">
        <v>14439</v>
      </c>
      <c r="D4298" t="s">
        <v>40</v>
      </c>
      <c r="E4298" t="s">
        <v>41</v>
      </c>
      <c r="J4298" t="s">
        <v>182</v>
      </c>
      <c r="K4298" t="s">
        <v>183</v>
      </c>
      <c r="L4298">
        <v>9</v>
      </c>
      <c r="M4298" t="s">
        <v>14433</v>
      </c>
      <c r="N4298" t="s">
        <v>64</v>
      </c>
      <c r="O4298" t="s">
        <v>46</v>
      </c>
      <c r="P4298" t="s">
        <v>46</v>
      </c>
      <c r="Y4298" t="s">
        <v>14440</v>
      </c>
    </row>
    <row r="4299" spans="1:25">
      <c r="A4299" t="s">
        <v>14441</v>
      </c>
      <c r="B4299" t="s">
        <v>14442</v>
      </c>
      <c r="D4299" t="s">
        <v>40</v>
      </c>
      <c r="E4299" t="s">
        <v>41</v>
      </c>
      <c r="J4299" t="s">
        <v>68</v>
      </c>
      <c r="K4299" t="s">
        <v>69</v>
      </c>
      <c r="L4299">
        <v>9</v>
      </c>
      <c r="M4299" t="s">
        <v>14443</v>
      </c>
      <c r="N4299" t="s">
        <v>64</v>
      </c>
      <c r="O4299" t="s">
        <v>46</v>
      </c>
      <c r="P4299" t="s">
        <v>46</v>
      </c>
      <c r="Y4299" t="s">
        <v>14444</v>
      </c>
    </row>
    <row r="4300" spans="1:25">
      <c r="A4300" t="s">
        <v>14445</v>
      </c>
      <c r="B4300" t="s">
        <v>14446</v>
      </c>
      <c r="D4300" t="s">
        <v>40</v>
      </c>
      <c r="E4300" t="s">
        <v>41</v>
      </c>
      <c r="J4300" t="s">
        <v>76</v>
      </c>
      <c r="K4300" t="s">
        <v>77</v>
      </c>
      <c r="L4300">
        <v>9</v>
      </c>
      <c r="M4300" t="s">
        <v>14443</v>
      </c>
      <c r="N4300" t="s">
        <v>64</v>
      </c>
      <c r="O4300" t="s">
        <v>46</v>
      </c>
      <c r="P4300" t="s">
        <v>46</v>
      </c>
      <c r="Y4300" t="s">
        <v>14447</v>
      </c>
    </row>
    <row r="4301" spans="1:25">
      <c r="A4301" t="s">
        <v>14448</v>
      </c>
      <c r="B4301" t="s">
        <v>14449</v>
      </c>
      <c r="D4301" t="s">
        <v>40</v>
      </c>
      <c r="E4301" t="s">
        <v>41</v>
      </c>
      <c r="J4301" t="s">
        <v>264</v>
      </c>
      <c r="K4301" t="s">
        <v>265</v>
      </c>
      <c r="L4301">
        <v>9</v>
      </c>
      <c r="M4301" t="s">
        <v>14450</v>
      </c>
      <c r="N4301" t="s">
        <v>2346</v>
      </c>
      <c r="O4301" t="s">
        <v>46</v>
      </c>
      <c r="P4301" t="s">
        <v>46</v>
      </c>
      <c r="Y4301" t="s">
        <v>14451</v>
      </c>
    </row>
    <row r="4302" spans="1:25">
      <c r="A4302" t="s">
        <v>14452</v>
      </c>
      <c r="B4302" t="s">
        <v>14453</v>
      </c>
      <c r="D4302" t="s">
        <v>40</v>
      </c>
      <c r="E4302" t="s">
        <v>41</v>
      </c>
      <c r="J4302" t="s">
        <v>42</v>
      </c>
      <c r="K4302" t="s">
        <v>43</v>
      </c>
      <c r="L4302">
        <v>9</v>
      </c>
      <c r="M4302" t="s">
        <v>14450</v>
      </c>
      <c r="N4302" t="s">
        <v>58</v>
      </c>
      <c r="O4302" t="s">
        <v>46</v>
      </c>
      <c r="P4302" t="s">
        <v>46</v>
      </c>
      <c r="Y4302" t="s">
        <v>14454</v>
      </c>
    </row>
    <row r="4303" spans="1:25">
      <c r="A4303" t="s">
        <v>14455</v>
      </c>
      <c r="B4303" t="s">
        <v>14456</v>
      </c>
      <c r="D4303" t="s">
        <v>40</v>
      </c>
      <c r="E4303" t="s">
        <v>41</v>
      </c>
      <c r="J4303" t="s">
        <v>76</v>
      </c>
      <c r="K4303" t="s">
        <v>77</v>
      </c>
      <c r="L4303">
        <v>9</v>
      </c>
      <c r="M4303" t="s">
        <v>14457</v>
      </c>
      <c r="N4303" t="s">
        <v>64</v>
      </c>
      <c r="O4303" t="s">
        <v>46</v>
      </c>
      <c r="P4303" t="s">
        <v>46</v>
      </c>
      <c r="Y4303" t="s">
        <v>14458</v>
      </c>
    </row>
    <row r="4304" spans="1:25">
      <c r="A4304" t="s">
        <v>14459</v>
      </c>
      <c r="B4304" t="s">
        <v>14460</v>
      </c>
      <c r="D4304" t="s">
        <v>40</v>
      </c>
      <c r="E4304" t="s">
        <v>41</v>
      </c>
      <c r="J4304" t="s">
        <v>182</v>
      </c>
      <c r="K4304" t="s">
        <v>183</v>
      </c>
      <c r="L4304">
        <v>9</v>
      </c>
      <c r="M4304" t="s">
        <v>14457</v>
      </c>
      <c r="N4304" t="s">
        <v>64</v>
      </c>
      <c r="O4304" t="s">
        <v>46</v>
      </c>
      <c r="P4304" t="s">
        <v>46</v>
      </c>
      <c r="Y4304" t="s">
        <v>14461</v>
      </c>
    </row>
    <row r="4305" spans="1:25">
      <c r="A4305" t="s">
        <v>14462</v>
      </c>
      <c r="B4305" t="s">
        <v>14463</v>
      </c>
      <c r="D4305" t="s">
        <v>40</v>
      </c>
      <c r="E4305" t="s">
        <v>41</v>
      </c>
      <c r="J4305" t="s">
        <v>182</v>
      </c>
      <c r="K4305" t="s">
        <v>183</v>
      </c>
      <c r="L4305">
        <v>9</v>
      </c>
      <c r="M4305" t="s">
        <v>14457</v>
      </c>
      <c r="N4305" t="s">
        <v>64</v>
      </c>
      <c r="O4305" t="s">
        <v>46</v>
      </c>
      <c r="P4305" t="s">
        <v>46</v>
      </c>
      <c r="Y4305" t="s">
        <v>14464</v>
      </c>
    </row>
    <row r="4306" spans="1:25">
      <c r="A4306" t="s">
        <v>14465</v>
      </c>
      <c r="B4306" t="s">
        <v>14466</v>
      </c>
      <c r="D4306" t="s">
        <v>40</v>
      </c>
      <c r="E4306" t="s">
        <v>41</v>
      </c>
      <c r="J4306" t="s">
        <v>76</v>
      </c>
      <c r="K4306" t="s">
        <v>77</v>
      </c>
      <c r="L4306">
        <v>9</v>
      </c>
      <c r="M4306" t="s">
        <v>14457</v>
      </c>
      <c r="N4306" t="s">
        <v>64</v>
      </c>
      <c r="O4306" t="s">
        <v>46</v>
      </c>
      <c r="P4306" t="s">
        <v>46</v>
      </c>
      <c r="Y4306" t="s">
        <v>14467</v>
      </c>
    </row>
    <row r="4307" spans="1:25">
      <c r="A4307" t="s">
        <v>14468</v>
      </c>
      <c r="B4307" t="s">
        <v>14469</v>
      </c>
      <c r="D4307" t="s">
        <v>40</v>
      </c>
      <c r="E4307" t="s">
        <v>41</v>
      </c>
      <c r="J4307" t="s">
        <v>182</v>
      </c>
      <c r="K4307" t="s">
        <v>183</v>
      </c>
      <c r="L4307">
        <v>9</v>
      </c>
      <c r="M4307" t="s">
        <v>14470</v>
      </c>
      <c r="N4307" t="s">
        <v>64</v>
      </c>
      <c r="O4307" t="s">
        <v>46</v>
      </c>
      <c r="P4307" t="s">
        <v>46</v>
      </c>
      <c r="Y4307" t="s">
        <v>14471</v>
      </c>
    </row>
    <row r="4308" spans="1:25">
      <c r="A4308" t="s">
        <v>14472</v>
      </c>
      <c r="B4308" t="s">
        <v>14473</v>
      </c>
      <c r="D4308" t="s">
        <v>40</v>
      </c>
      <c r="E4308" t="s">
        <v>41</v>
      </c>
      <c r="J4308" t="s">
        <v>76</v>
      </c>
      <c r="K4308" t="s">
        <v>77</v>
      </c>
      <c r="L4308">
        <v>9</v>
      </c>
      <c r="M4308" t="s">
        <v>14474</v>
      </c>
      <c r="N4308" t="s">
        <v>64</v>
      </c>
      <c r="O4308" t="s">
        <v>46</v>
      </c>
      <c r="P4308" t="s">
        <v>46</v>
      </c>
      <c r="Y4308" t="s">
        <v>14475</v>
      </c>
    </row>
    <row r="4309" spans="1:25">
      <c r="A4309" t="s">
        <v>14476</v>
      </c>
      <c r="B4309" t="s">
        <v>14477</v>
      </c>
      <c r="D4309" t="s">
        <v>40</v>
      </c>
      <c r="E4309" t="s">
        <v>41</v>
      </c>
      <c r="J4309" t="s">
        <v>76</v>
      </c>
      <c r="K4309" t="s">
        <v>77</v>
      </c>
      <c r="L4309">
        <v>9</v>
      </c>
      <c r="M4309" t="s">
        <v>14474</v>
      </c>
      <c r="N4309" t="s">
        <v>64</v>
      </c>
      <c r="O4309" t="s">
        <v>46</v>
      </c>
      <c r="P4309" t="s">
        <v>46</v>
      </c>
      <c r="Y4309" t="s">
        <v>14478</v>
      </c>
    </row>
    <row r="4310" spans="1:25">
      <c r="A4310" t="s">
        <v>14479</v>
      </c>
      <c r="B4310" t="s">
        <v>14480</v>
      </c>
      <c r="D4310" t="s">
        <v>40</v>
      </c>
      <c r="E4310" t="s">
        <v>41</v>
      </c>
      <c r="J4310" t="s">
        <v>42</v>
      </c>
      <c r="K4310" t="s">
        <v>43</v>
      </c>
      <c r="L4310">
        <v>9</v>
      </c>
      <c r="M4310" t="s">
        <v>14474</v>
      </c>
      <c r="N4310" t="s">
        <v>53</v>
      </c>
      <c r="O4310" t="s">
        <v>46</v>
      </c>
      <c r="P4310" t="s">
        <v>46</v>
      </c>
      <c r="Y4310" t="s">
        <v>14481</v>
      </c>
    </row>
    <row r="4311" spans="1:25">
      <c r="A4311" t="s">
        <v>14482</v>
      </c>
      <c r="B4311" t="s">
        <v>14483</v>
      </c>
      <c r="D4311" t="s">
        <v>40</v>
      </c>
      <c r="E4311" t="s">
        <v>41</v>
      </c>
      <c r="J4311" t="s">
        <v>76</v>
      </c>
      <c r="K4311" t="s">
        <v>77</v>
      </c>
      <c r="L4311">
        <v>9</v>
      </c>
      <c r="M4311" t="s">
        <v>14474</v>
      </c>
      <c r="N4311" t="s">
        <v>64</v>
      </c>
      <c r="O4311" t="s">
        <v>46</v>
      </c>
      <c r="P4311" t="s">
        <v>46</v>
      </c>
      <c r="Y4311" t="s">
        <v>14484</v>
      </c>
    </row>
    <row r="4312" spans="1:25">
      <c r="A4312" t="s">
        <v>14485</v>
      </c>
      <c r="B4312" t="s">
        <v>14486</v>
      </c>
      <c r="D4312" t="s">
        <v>40</v>
      </c>
      <c r="E4312" t="s">
        <v>41</v>
      </c>
      <c r="J4312" t="s">
        <v>182</v>
      </c>
      <c r="K4312" t="s">
        <v>183</v>
      </c>
      <c r="L4312">
        <v>9</v>
      </c>
      <c r="M4312" t="s">
        <v>14487</v>
      </c>
      <c r="N4312" t="s">
        <v>64</v>
      </c>
      <c r="O4312" t="s">
        <v>46</v>
      </c>
      <c r="P4312" t="s">
        <v>46</v>
      </c>
      <c r="Y4312" t="s">
        <v>14488</v>
      </c>
    </row>
    <row r="4313" spans="1:25">
      <c r="A4313" t="s">
        <v>14489</v>
      </c>
      <c r="B4313" t="s">
        <v>14490</v>
      </c>
      <c r="D4313" t="s">
        <v>40</v>
      </c>
      <c r="E4313" t="s">
        <v>41</v>
      </c>
      <c r="J4313" t="s">
        <v>42</v>
      </c>
      <c r="K4313" t="s">
        <v>43</v>
      </c>
      <c r="L4313">
        <v>9</v>
      </c>
      <c r="M4313" t="s">
        <v>14487</v>
      </c>
      <c r="N4313" t="s">
        <v>1369</v>
      </c>
      <c r="O4313" t="s">
        <v>46</v>
      </c>
      <c r="P4313" t="s">
        <v>46</v>
      </c>
      <c r="Y4313" t="s">
        <v>14491</v>
      </c>
    </row>
    <row r="4314" spans="1:25">
      <c r="A4314" t="s">
        <v>14492</v>
      </c>
      <c r="B4314" t="s">
        <v>14493</v>
      </c>
      <c r="D4314" t="s">
        <v>40</v>
      </c>
      <c r="E4314" t="s">
        <v>41</v>
      </c>
      <c r="J4314" t="s">
        <v>68</v>
      </c>
      <c r="K4314" t="s">
        <v>69</v>
      </c>
      <c r="L4314">
        <v>9</v>
      </c>
      <c r="M4314" t="s">
        <v>14487</v>
      </c>
      <c r="N4314" t="s">
        <v>64</v>
      </c>
      <c r="O4314" t="s">
        <v>46</v>
      </c>
      <c r="P4314" t="s">
        <v>46</v>
      </c>
      <c r="Y4314" t="s">
        <v>14494</v>
      </c>
    </row>
    <row r="4315" spans="1:25">
      <c r="A4315" t="s">
        <v>14495</v>
      </c>
      <c r="B4315" t="s">
        <v>14496</v>
      </c>
      <c r="D4315" t="s">
        <v>40</v>
      </c>
      <c r="E4315" t="s">
        <v>41</v>
      </c>
      <c r="J4315" t="s">
        <v>76</v>
      </c>
      <c r="K4315" t="s">
        <v>77</v>
      </c>
      <c r="L4315">
        <v>9</v>
      </c>
      <c r="M4315" t="s">
        <v>14487</v>
      </c>
      <c r="N4315" t="s">
        <v>64</v>
      </c>
      <c r="O4315" t="s">
        <v>46</v>
      </c>
      <c r="P4315" t="s">
        <v>46</v>
      </c>
      <c r="Y4315" t="s">
        <v>14497</v>
      </c>
    </row>
    <row r="4316" spans="1:25">
      <c r="A4316" t="s">
        <v>14498</v>
      </c>
      <c r="B4316" t="s">
        <v>14499</v>
      </c>
      <c r="D4316" t="s">
        <v>40</v>
      </c>
      <c r="E4316" t="s">
        <v>41</v>
      </c>
      <c r="J4316" t="s">
        <v>76</v>
      </c>
      <c r="K4316" t="s">
        <v>77</v>
      </c>
      <c r="L4316">
        <v>9</v>
      </c>
      <c r="M4316" t="s">
        <v>14500</v>
      </c>
      <c r="N4316" t="s">
        <v>64</v>
      </c>
      <c r="O4316" t="s">
        <v>46</v>
      </c>
      <c r="P4316" t="s">
        <v>46</v>
      </c>
      <c r="Y4316" t="s">
        <v>14501</v>
      </c>
    </row>
    <row r="4317" spans="1:25">
      <c r="A4317" t="s">
        <v>14502</v>
      </c>
      <c r="B4317" t="s">
        <v>14503</v>
      </c>
      <c r="D4317" t="s">
        <v>40</v>
      </c>
      <c r="E4317" t="s">
        <v>41</v>
      </c>
      <c r="J4317" t="s">
        <v>76</v>
      </c>
      <c r="K4317" t="s">
        <v>77</v>
      </c>
      <c r="L4317">
        <v>9</v>
      </c>
      <c r="M4317" t="s">
        <v>14500</v>
      </c>
      <c r="N4317" t="s">
        <v>64</v>
      </c>
      <c r="O4317" t="s">
        <v>46</v>
      </c>
      <c r="P4317" t="s">
        <v>46</v>
      </c>
      <c r="Y4317" t="s">
        <v>14504</v>
      </c>
    </row>
    <row r="4318" spans="1:25">
      <c r="A4318" t="s">
        <v>14505</v>
      </c>
      <c r="B4318" t="s">
        <v>14506</v>
      </c>
      <c r="D4318" t="s">
        <v>40</v>
      </c>
      <c r="E4318" t="s">
        <v>41</v>
      </c>
      <c r="J4318" t="s">
        <v>68</v>
      </c>
      <c r="K4318" t="s">
        <v>69</v>
      </c>
      <c r="L4318">
        <v>9</v>
      </c>
      <c r="M4318" t="s">
        <v>14507</v>
      </c>
      <c r="N4318" t="s">
        <v>64</v>
      </c>
      <c r="O4318" t="s">
        <v>46</v>
      </c>
      <c r="P4318" t="s">
        <v>46</v>
      </c>
      <c r="Y4318" t="s">
        <v>14508</v>
      </c>
    </row>
    <row r="4319" spans="1:25">
      <c r="A4319" t="s">
        <v>14509</v>
      </c>
      <c r="B4319" t="s">
        <v>14510</v>
      </c>
      <c r="D4319" t="s">
        <v>40</v>
      </c>
      <c r="E4319" t="s">
        <v>41</v>
      </c>
      <c r="J4319" t="s">
        <v>76</v>
      </c>
      <c r="K4319" t="s">
        <v>77</v>
      </c>
      <c r="L4319">
        <v>9</v>
      </c>
      <c r="M4319" t="s">
        <v>14507</v>
      </c>
      <c r="N4319" t="s">
        <v>64</v>
      </c>
      <c r="O4319" t="s">
        <v>46</v>
      </c>
      <c r="P4319" t="s">
        <v>46</v>
      </c>
      <c r="Y4319" t="s">
        <v>14511</v>
      </c>
    </row>
    <row r="4320" spans="1:25">
      <c r="A4320" t="s">
        <v>14512</v>
      </c>
      <c r="B4320" t="s">
        <v>14513</v>
      </c>
      <c r="D4320" t="s">
        <v>40</v>
      </c>
      <c r="E4320" t="s">
        <v>41</v>
      </c>
      <c r="J4320" t="s">
        <v>68</v>
      </c>
      <c r="K4320" t="s">
        <v>69</v>
      </c>
      <c r="L4320">
        <v>9</v>
      </c>
      <c r="M4320" t="s">
        <v>14514</v>
      </c>
      <c r="N4320" t="s">
        <v>64</v>
      </c>
      <c r="O4320" t="s">
        <v>46</v>
      </c>
      <c r="P4320" t="s">
        <v>46</v>
      </c>
      <c r="Y4320" t="s">
        <v>14515</v>
      </c>
    </row>
    <row r="4321" spans="1:25">
      <c r="A4321" t="s">
        <v>14516</v>
      </c>
      <c r="B4321" t="s">
        <v>14517</v>
      </c>
      <c r="D4321" t="s">
        <v>40</v>
      </c>
      <c r="E4321" t="s">
        <v>41</v>
      </c>
      <c r="J4321" t="s">
        <v>182</v>
      </c>
      <c r="K4321" t="s">
        <v>183</v>
      </c>
      <c r="L4321">
        <v>9</v>
      </c>
      <c r="M4321" t="s">
        <v>14514</v>
      </c>
      <c r="N4321" t="s">
        <v>64</v>
      </c>
      <c r="O4321" t="s">
        <v>46</v>
      </c>
      <c r="P4321" t="s">
        <v>46</v>
      </c>
      <c r="Y4321" t="s">
        <v>14518</v>
      </c>
    </row>
    <row r="4322" spans="1:25">
      <c r="A4322" t="s">
        <v>14519</v>
      </c>
      <c r="B4322" t="s">
        <v>14520</v>
      </c>
      <c r="D4322" t="s">
        <v>40</v>
      </c>
      <c r="E4322" t="s">
        <v>41</v>
      </c>
      <c r="J4322" t="s">
        <v>42</v>
      </c>
      <c r="K4322" t="s">
        <v>43</v>
      </c>
      <c r="L4322">
        <v>9</v>
      </c>
      <c r="M4322" t="s">
        <v>14521</v>
      </c>
      <c r="N4322" t="s">
        <v>924</v>
      </c>
      <c r="O4322" t="s">
        <v>46</v>
      </c>
      <c r="P4322" t="s">
        <v>46</v>
      </c>
      <c r="Y4322" t="s">
        <v>14522</v>
      </c>
    </row>
    <row r="4323" spans="1:25">
      <c r="A4323" t="s">
        <v>14523</v>
      </c>
      <c r="B4323" t="s">
        <v>14524</v>
      </c>
      <c r="D4323" t="s">
        <v>40</v>
      </c>
      <c r="E4323" t="s">
        <v>41</v>
      </c>
      <c r="J4323" t="s">
        <v>182</v>
      </c>
      <c r="K4323" t="s">
        <v>183</v>
      </c>
      <c r="L4323">
        <v>9</v>
      </c>
      <c r="M4323" t="s">
        <v>14521</v>
      </c>
      <c r="N4323" t="s">
        <v>64</v>
      </c>
      <c r="O4323" t="s">
        <v>46</v>
      </c>
      <c r="P4323" t="s">
        <v>46</v>
      </c>
      <c r="Y4323" t="s">
        <v>14525</v>
      </c>
    </row>
    <row r="4324" spans="1:25">
      <c r="A4324" t="s">
        <v>14526</v>
      </c>
      <c r="B4324" t="s">
        <v>14527</v>
      </c>
      <c r="D4324" t="s">
        <v>40</v>
      </c>
      <c r="E4324" t="s">
        <v>41</v>
      </c>
      <c r="J4324" t="s">
        <v>182</v>
      </c>
      <c r="K4324" t="s">
        <v>183</v>
      </c>
      <c r="L4324">
        <v>9</v>
      </c>
      <c r="M4324" t="s">
        <v>14521</v>
      </c>
      <c r="N4324" t="s">
        <v>64</v>
      </c>
      <c r="O4324" t="s">
        <v>46</v>
      </c>
      <c r="P4324" t="s">
        <v>46</v>
      </c>
      <c r="Y4324" t="s">
        <v>14528</v>
      </c>
    </row>
    <row r="4325" spans="1:25">
      <c r="A4325" t="s">
        <v>14529</v>
      </c>
      <c r="B4325" t="s">
        <v>14530</v>
      </c>
      <c r="D4325" t="s">
        <v>40</v>
      </c>
      <c r="E4325" t="s">
        <v>41</v>
      </c>
      <c r="J4325" t="s">
        <v>182</v>
      </c>
      <c r="K4325" t="s">
        <v>183</v>
      </c>
      <c r="L4325">
        <v>9</v>
      </c>
      <c r="M4325" t="s">
        <v>14521</v>
      </c>
      <c r="N4325" t="s">
        <v>64</v>
      </c>
      <c r="O4325" t="s">
        <v>46</v>
      </c>
      <c r="P4325" t="s">
        <v>46</v>
      </c>
      <c r="Y4325" t="s">
        <v>14531</v>
      </c>
    </row>
    <row r="4326" spans="1:25">
      <c r="A4326" t="s">
        <v>14532</v>
      </c>
      <c r="B4326" t="s">
        <v>14533</v>
      </c>
      <c r="D4326" t="s">
        <v>40</v>
      </c>
      <c r="E4326" t="s">
        <v>41</v>
      </c>
      <c r="J4326" t="s">
        <v>182</v>
      </c>
      <c r="K4326" t="s">
        <v>183</v>
      </c>
      <c r="L4326">
        <v>9</v>
      </c>
      <c r="M4326" t="s">
        <v>14534</v>
      </c>
      <c r="N4326" t="s">
        <v>64</v>
      </c>
      <c r="O4326" t="s">
        <v>46</v>
      </c>
      <c r="P4326" t="s">
        <v>46</v>
      </c>
      <c r="Y4326" t="s">
        <v>14535</v>
      </c>
    </row>
    <row r="4327" spans="1:25">
      <c r="A4327" t="s">
        <v>14536</v>
      </c>
      <c r="B4327" t="s">
        <v>14537</v>
      </c>
      <c r="D4327" t="s">
        <v>40</v>
      </c>
      <c r="E4327" t="s">
        <v>41</v>
      </c>
      <c r="J4327" t="s">
        <v>76</v>
      </c>
      <c r="K4327" t="s">
        <v>77</v>
      </c>
      <c r="L4327">
        <v>9</v>
      </c>
      <c r="M4327" t="s">
        <v>14538</v>
      </c>
      <c r="N4327" t="s">
        <v>64</v>
      </c>
      <c r="O4327" t="s">
        <v>46</v>
      </c>
      <c r="P4327" t="s">
        <v>46</v>
      </c>
      <c r="Y4327" t="s">
        <v>14539</v>
      </c>
    </row>
    <row r="4328" spans="1:25">
      <c r="A4328" t="s">
        <v>14540</v>
      </c>
      <c r="B4328" t="s">
        <v>14541</v>
      </c>
      <c r="D4328" t="s">
        <v>40</v>
      </c>
      <c r="E4328" t="s">
        <v>41</v>
      </c>
      <c r="J4328" t="s">
        <v>182</v>
      </c>
      <c r="K4328" t="s">
        <v>183</v>
      </c>
      <c r="L4328">
        <v>9</v>
      </c>
      <c r="M4328" t="s">
        <v>14538</v>
      </c>
      <c r="N4328" t="s">
        <v>64</v>
      </c>
      <c r="O4328" t="s">
        <v>46</v>
      </c>
      <c r="P4328" t="s">
        <v>46</v>
      </c>
      <c r="Y4328" t="s">
        <v>14542</v>
      </c>
    </row>
    <row r="4329" spans="1:25">
      <c r="A4329" t="s">
        <v>14543</v>
      </c>
      <c r="B4329" t="s">
        <v>14544</v>
      </c>
      <c r="D4329" t="s">
        <v>40</v>
      </c>
      <c r="E4329" t="s">
        <v>41</v>
      </c>
      <c r="J4329" t="s">
        <v>76</v>
      </c>
      <c r="K4329" t="s">
        <v>77</v>
      </c>
      <c r="L4329">
        <v>9</v>
      </c>
      <c r="M4329" t="s">
        <v>14538</v>
      </c>
      <c r="N4329" t="s">
        <v>64</v>
      </c>
      <c r="O4329" t="s">
        <v>46</v>
      </c>
      <c r="P4329" t="s">
        <v>46</v>
      </c>
      <c r="Y4329" t="s">
        <v>14545</v>
      </c>
    </row>
    <row r="4330" spans="1:25">
      <c r="A4330" t="s">
        <v>14546</v>
      </c>
      <c r="B4330" t="s">
        <v>14547</v>
      </c>
      <c r="D4330" t="s">
        <v>40</v>
      </c>
      <c r="E4330" t="s">
        <v>41</v>
      </c>
      <c r="J4330" t="s">
        <v>182</v>
      </c>
      <c r="K4330" t="s">
        <v>183</v>
      </c>
      <c r="L4330">
        <v>9</v>
      </c>
      <c r="M4330" t="s">
        <v>14548</v>
      </c>
      <c r="N4330" t="s">
        <v>64</v>
      </c>
      <c r="O4330" t="s">
        <v>46</v>
      </c>
      <c r="P4330" t="s">
        <v>46</v>
      </c>
      <c r="Y4330" t="s">
        <v>14549</v>
      </c>
    </row>
    <row r="4331" spans="1:25">
      <c r="A4331" t="s">
        <v>14550</v>
      </c>
      <c r="B4331" t="s">
        <v>14551</v>
      </c>
      <c r="D4331" t="s">
        <v>40</v>
      </c>
      <c r="E4331" t="s">
        <v>41</v>
      </c>
      <c r="J4331" t="s">
        <v>76</v>
      </c>
      <c r="K4331" t="s">
        <v>77</v>
      </c>
      <c r="L4331">
        <v>9</v>
      </c>
      <c r="M4331" t="s">
        <v>14548</v>
      </c>
      <c r="N4331" t="s">
        <v>64</v>
      </c>
      <c r="O4331" t="s">
        <v>46</v>
      </c>
      <c r="P4331" t="s">
        <v>46</v>
      </c>
      <c r="Y4331" t="s">
        <v>14552</v>
      </c>
    </row>
    <row r="4332" spans="1:25">
      <c r="A4332" t="s">
        <v>14553</v>
      </c>
      <c r="B4332" t="s">
        <v>14554</v>
      </c>
      <c r="D4332" t="s">
        <v>40</v>
      </c>
      <c r="E4332" t="s">
        <v>41</v>
      </c>
      <c r="J4332" t="s">
        <v>182</v>
      </c>
      <c r="K4332" t="s">
        <v>183</v>
      </c>
      <c r="L4332">
        <v>9</v>
      </c>
      <c r="M4332" t="s">
        <v>14548</v>
      </c>
      <c r="N4332" t="s">
        <v>64</v>
      </c>
      <c r="O4332" t="s">
        <v>46</v>
      </c>
      <c r="P4332" t="s">
        <v>46</v>
      </c>
      <c r="Y4332" t="s">
        <v>14555</v>
      </c>
    </row>
    <row r="4333" spans="1:25">
      <c r="A4333" t="s">
        <v>14556</v>
      </c>
      <c r="B4333" t="s">
        <v>14557</v>
      </c>
      <c r="D4333" t="s">
        <v>40</v>
      </c>
      <c r="E4333" t="s">
        <v>41</v>
      </c>
      <c r="J4333" t="s">
        <v>14558</v>
      </c>
      <c r="K4333" t="s">
        <v>14559</v>
      </c>
      <c r="L4333">
        <v>9</v>
      </c>
      <c r="M4333" t="s">
        <v>14548</v>
      </c>
      <c r="N4333" t="s">
        <v>1276</v>
      </c>
      <c r="O4333" t="s">
        <v>46</v>
      </c>
      <c r="P4333" t="s">
        <v>46</v>
      </c>
      <c r="Y4333" t="s">
        <v>14560</v>
      </c>
    </row>
    <row r="4334" spans="1:25">
      <c r="A4334" t="s">
        <v>14561</v>
      </c>
      <c r="B4334" t="s">
        <v>14562</v>
      </c>
      <c r="D4334" t="s">
        <v>40</v>
      </c>
      <c r="E4334" t="s">
        <v>41</v>
      </c>
      <c r="J4334" t="s">
        <v>182</v>
      </c>
      <c r="K4334" t="s">
        <v>183</v>
      </c>
      <c r="L4334">
        <v>9</v>
      </c>
      <c r="M4334" t="s">
        <v>14548</v>
      </c>
      <c r="N4334" t="s">
        <v>64</v>
      </c>
      <c r="O4334" t="s">
        <v>46</v>
      </c>
      <c r="P4334" t="s">
        <v>46</v>
      </c>
      <c r="Y4334" t="s">
        <v>14563</v>
      </c>
    </row>
    <row r="4335" spans="1:25">
      <c r="A4335" t="s">
        <v>14564</v>
      </c>
      <c r="B4335" t="s">
        <v>14565</v>
      </c>
      <c r="D4335" t="s">
        <v>40</v>
      </c>
      <c r="E4335" t="s">
        <v>41</v>
      </c>
      <c r="J4335" t="s">
        <v>182</v>
      </c>
      <c r="K4335" t="s">
        <v>183</v>
      </c>
      <c r="L4335">
        <v>9</v>
      </c>
      <c r="M4335" t="s">
        <v>14548</v>
      </c>
      <c r="N4335" t="s">
        <v>64</v>
      </c>
      <c r="O4335" t="s">
        <v>46</v>
      </c>
      <c r="P4335" t="s">
        <v>46</v>
      </c>
      <c r="Y4335" t="s">
        <v>14566</v>
      </c>
    </row>
    <row r="4336" spans="1:25">
      <c r="A4336" t="s">
        <v>14567</v>
      </c>
      <c r="B4336" t="s">
        <v>14568</v>
      </c>
      <c r="D4336" t="s">
        <v>40</v>
      </c>
      <c r="E4336" t="s">
        <v>41</v>
      </c>
      <c r="J4336" t="s">
        <v>182</v>
      </c>
      <c r="K4336" t="s">
        <v>183</v>
      </c>
      <c r="L4336">
        <v>9</v>
      </c>
      <c r="M4336" t="s">
        <v>14548</v>
      </c>
      <c r="N4336" t="s">
        <v>64</v>
      </c>
      <c r="O4336" t="s">
        <v>46</v>
      </c>
      <c r="P4336" t="s">
        <v>46</v>
      </c>
      <c r="Y4336" t="s">
        <v>14569</v>
      </c>
    </row>
    <row r="4337" spans="1:25">
      <c r="A4337" t="s">
        <v>14570</v>
      </c>
      <c r="B4337" t="s">
        <v>14571</v>
      </c>
      <c r="D4337" t="s">
        <v>40</v>
      </c>
      <c r="E4337" t="s">
        <v>41</v>
      </c>
      <c r="J4337" t="s">
        <v>182</v>
      </c>
      <c r="K4337" t="s">
        <v>183</v>
      </c>
      <c r="L4337">
        <v>9</v>
      </c>
      <c r="M4337" t="s">
        <v>14548</v>
      </c>
      <c r="N4337" t="s">
        <v>64</v>
      </c>
      <c r="O4337" t="s">
        <v>46</v>
      </c>
      <c r="P4337" t="s">
        <v>46</v>
      </c>
      <c r="Y4337" t="s">
        <v>14572</v>
      </c>
    </row>
    <row r="4338" spans="1:25">
      <c r="A4338" t="s">
        <v>14573</v>
      </c>
      <c r="B4338" t="s">
        <v>14574</v>
      </c>
      <c r="D4338" t="s">
        <v>40</v>
      </c>
      <c r="E4338" t="s">
        <v>41</v>
      </c>
      <c r="J4338" t="s">
        <v>182</v>
      </c>
      <c r="K4338" t="s">
        <v>183</v>
      </c>
      <c r="L4338">
        <v>9</v>
      </c>
      <c r="M4338" t="s">
        <v>14548</v>
      </c>
      <c r="N4338" t="s">
        <v>64</v>
      </c>
      <c r="O4338" t="s">
        <v>46</v>
      </c>
      <c r="P4338" t="s">
        <v>46</v>
      </c>
      <c r="Y4338" t="s">
        <v>14575</v>
      </c>
    </row>
    <row r="4339" spans="1:25">
      <c r="A4339" t="s">
        <v>14576</v>
      </c>
      <c r="B4339" t="s">
        <v>14577</v>
      </c>
      <c r="D4339" t="s">
        <v>40</v>
      </c>
      <c r="E4339" t="s">
        <v>41</v>
      </c>
      <c r="J4339" t="s">
        <v>76</v>
      </c>
      <c r="K4339" t="s">
        <v>77</v>
      </c>
      <c r="L4339">
        <v>9</v>
      </c>
      <c r="M4339" t="s">
        <v>14578</v>
      </c>
      <c r="N4339" t="s">
        <v>64</v>
      </c>
      <c r="O4339" t="s">
        <v>46</v>
      </c>
      <c r="P4339" t="s">
        <v>46</v>
      </c>
      <c r="Y4339" t="s">
        <v>14579</v>
      </c>
    </row>
    <row r="4340" spans="1:25">
      <c r="A4340" t="s">
        <v>14580</v>
      </c>
      <c r="B4340" t="s">
        <v>14581</v>
      </c>
      <c r="D4340" t="s">
        <v>40</v>
      </c>
      <c r="E4340" t="s">
        <v>41</v>
      </c>
      <c r="J4340" t="s">
        <v>182</v>
      </c>
      <c r="K4340" t="s">
        <v>183</v>
      </c>
      <c r="L4340">
        <v>9</v>
      </c>
      <c r="M4340" t="s">
        <v>14582</v>
      </c>
      <c r="N4340" t="s">
        <v>64</v>
      </c>
      <c r="O4340" t="s">
        <v>46</v>
      </c>
      <c r="P4340" t="s">
        <v>46</v>
      </c>
      <c r="Y4340" t="s">
        <v>14583</v>
      </c>
    </row>
    <row r="4341" spans="1:25">
      <c r="A4341" t="s">
        <v>14584</v>
      </c>
      <c r="B4341" t="s">
        <v>14585</v>
      </c>
      <c r="D4341" t="s">
        <v>40</v>
      </c>
      <c r="E4341" t="s">
        <v>41</v>
      </c>
      <c r="J4341" t="s">
        <v>139</v>
      </c>
      <c r="K4341" t="s">
        <v>140</v>
      </c>
      <c r="L4341">
        <v>9</v>
      </c>
      <c r="M4341" t="s">
        <v>14582</v>
      </c>
      <c r="N4341" t="s">
        <v>142</v>
      </c>
      <c r="O4341" t="s">
        <v>46</v>
      </c>
      <c r="P4341" t="s">
        <v>46</v>
      </c>
      <c r="Y4341" t="s">
        <v>14586</v>
      </c>
    </row>
    <row r="4342" spans="1:25">
      <c r="A4342" t="s">
        <v>14587</v>
      </c>
      <c r="B4342" t="s">
        <v>14588</v>
      </c>
      <c r="D4342" t="s">
        <v>40</v>
      </c>
      <c r="E4342" t="s">
        <v>41</v>
      </c>
      <c r="J4342" t="s">
        <v>68</v>
      </c>
      <c r="K4342" t="s">
        <v>69</v>
      </c>
      <c r="L4342">
        <v>9</v>
      </c>
      <c r="M4342" t="s">
        <v>14589</v>
      </c>
      <c r="N4342" t="s">
        <v>64</v>
      </c>
      <c r="O4342" t="s">
        <v>46</v>
      </c>
      <c r="P4342" t="s">
        <v>46</v>
      </c>
      <c r="Y4342" t="s">
        <v>14590</v>
      </c>
    </row>
    <row r="4343" spans="1:25">
      <c r="A4343" t="s">
        <v>14591</v>
      </c>
      <c r="B4343" t="s">
        <v>14592</v>
      </c>
      <c r="D4343" t="s">
        <v>40</v>
      </c>
      <c r="E4343" t="s">
        <v>41</v>
      </c>
      <c r="J4343" t="s">
        <v>42</v>
      </c>
      <c r="K4343" t="s">
        <v>43</v>
      </c>
      <c r="L4343">
        <v>9</v>
      </c>
      <c r="M4343" t="s">
        <v>14589</v>
      </c>
      <c r="N4343" t="s">
        <v>440</v>
      </c>
      <c r="O4343" t="s">
        <v>46</v>
      </c>
      <c r="P4343" t="s">
        <v>46</v>
      </c>
      <c r="Y4343" t="s">
        <v>14593</v>
      </c>
    </row>
    <row r="4344" spans="1:25">
      <c r="A4344" t="s">
        <v>14594</v>
      </c>
      <c r="B4344" t="s">
        <v>14595</v>
      </c>
      <c r="D4344" t="s">
        <v>40</v>
      </c>
      <c r="E4344" t="s">
        <v>41</v>
      </c>
      <c r="J4344" t="s">
        <v>42</v>
      </c>
      <c r="K4344" t="s">
        <v>43</v>
      </c>
      <c r="L4344">
        <v>9</v>
      </c>
      <c r="M4344" t="s">
        <v>14589</v>
      </c>
      <c r="N4344" t="s">
        <v>210</v>
      </c>
      <c r="O4344" t="s">
        <v>46</v>
      </c>
      <c r="P4344" t="s">
        <v>46</v>
      </c>
      <c r="Y4344" t="s">
        <v>14596</v>
      </c>
    </row>
    <row r="4345" spans="1:25">
      <c r="A4345" t="s">
        <v>14597</v>
      </c>
      <c r="B4345" t="s">
        <v>14598</v>
      </c>
      <c r="D4345" t="s">
        <v>40</v>
      </c>
      <c r="E4345" t="s">
        <v>41</v>
      </c>
      <c r="J4345" t="s">
        <v>76</v>
      </c>
      <c r="K4345" t="s">
        <v>77</v>
      </c>
      <c r="L4345">
        <v>9</v>
      </c>
      <c r="M4345" t="s">
        <v>14599</v>
      </c>
      <c r="N4345" t="s">
        <v>64</v>
      </c>
      <c r="O4345" t="s">
        <v>46</v>
      </c>
      <c r="P4345" t="s">
        <v>46</v>
      </c>
      <c r="Y4345" t="s">
        <v>14600</v>
      </c>
    </row>
    <row r="4346" spans="1:25">
      <c r="A4346" t="s">
        <v>14601</v>
      </c>
      <c r="B4346" t="s">
        <v>14602</v>
      </c>
      <c r="D4346" t="s">
        <v>40</v>
      </c>
      <c r="E4346" t="s">
        <v>41</v>
      </c>
      <c r="J4346" t="s">
        <v>76</v>
      </c>
      <c r="K4346" t="s">
        <v>77</v>
      </c>
      <c r="L4346">
        <v>9</v>
      </c>
      <c r="M4346" t="s">
        <v>14599</v>
      </c>
      <c r="N4346" t="s">
        <v>64</v>
      </c>
      <c r="O4346" t="s">
        <v>46</v>
      </c>
      <c r="P4346" t="s">
        <v>46</v>
      </c>
      <c r="Y4346" t="s">
        <v>14603</v>
      </c>
    </row>
    <row r="4347" spans="1:25">
      <c r="A4347" t="s">
        <v>14604</v>
      </c>
      <c r="B4347" t="s">
        <v>14605</v>
      </c>
      <c r="D4347" t="s">
        <v>40</v>
      </c>
      <c r="E4347" t="s">
        <v>41</v>
      </c>
      <c r="J4347" t="s">
        <v>76</v>
      </c>
      <c r="K4347" t="s">
        <v>77</v>
      </c>
      <c r="L4347">
        <v>9</v>
      </c>
      <c r="M4347" t="s">
        <v>14599</v>
      </c>
      <c r="N4347" t="s">
        <v>64</v>
      </c>
      <c r="O4347" t="s">
        <v>46</v>
      </c>
      <c r="P4347" t="s">
        <v>46</v>
      </c>
      <c r="Y4347" t="s">
        <v>14606</v>
      </c>
    </row>
    <row r="4348" spans="1:25">
      <c r="A4348" t="s">
        <v>14607</v>
      </c>
      <c r="B4348" t="s">
        <v>14608</v>
      </c>
      <c r="D4348" t="s">
        <v>40</v>
      </c>
      <c r="E4348" t="s">
        <v>41</v>
      </c>
      <c r="J4348" t="s">
        <v>42</v>
      </c>
      <c r="K4348" t="s">
        <v>43</v>
      </c>
      <c r="L4348">
        <v>9</v>
      </c>
      <c r="M4348" t="s">
        <v>14609</v>
      </c>
      <c r="N4348" t="s">
        <v>2346</v>
      </c>
      <c r="O4348" t="s">
        <v>46</v>
      </c>
      <c r="P4348" t="s">
        <v>46</v>
      </c>
      <c r="Y4348" t="s">
        <v>14610</v>
      </c>
    </row>
    <row r="4349" spans="1:25">
      <c r="A4349" t="s">
        <v>14611</v>
      </c>
      <c r="B4349" t="s">
        <v>14612</v>
      </c>
      <c r="D4349" t="s">
        <v>40</v>
      </c>
      <c r="E4349" t="s">
        <v>41</v>
      </c>
      <c r="J4349" t="s">
        <v>182</v>
      </c>
      <c r="K4349" t="s">
        <v>183</v>
      </c>
      <c r="L4349">
        <v>9</v>
      </c>
      <c r="M4349" t="s">
        <v>14609</v>
      </c>
      <c r="N4349" t="s">
        <v>64</v>
      </c>
      <c r="O4349" t="s">
        <v>46</v>
      </c>
      <c r="P4349" t="s">
        <v>46</v>
      </c>
      <c r="Y4349" t="s">
        <v>14613</v>
      </c>
    </row>
    <row r="4350" spans="1:25">
      <c r="A4350" t="s">
        <v>14614</v>
      </c>
      <c r="B4350" t="s">
        <v>14615</v>
      </c>
      <c r="D4350" t="s">
        <v>40</v>
      </c>
      <c r="E4350" t="s">
        <v>41</v>
      </c>
      <c r="J4350" t="s">
        <v>182</v>
      </c>
      <c r="K4350" t="s">
        <v>183</v>
      </c>
      <c r="L4350">
        <v>9</v>
      </c>
      <c r="M4350" t="s">
        <v>14609</v>
      </c>
      <c r="N4350" t="s">
        <v>64</v>
      </c>
      <c r="O4350" t="s">
        <v>46</v>
      </c>
      <c r="P4350" t="s">
        <v>46</v>
      </c>
      <c r="Y4350" t="s">
        <v>14616</v>
      </c>
    </row>
    <row r="4351" spans="1:25">
      <c r="A4351" t="s">
        <v>14617</v>
      </c>
      <c r="B4351" t="s">
        <v>14618</v>
      </c>
      <c r="D4351" t="s">
        <v>40</v>
      </c>
      <c r="E4351" t="s">
        <v>41</v>
      </c>
      <c r="J4351" t="s">
        <v>182</v>
      </c>
      <c r="K4351" t="s">
        <v>183</v>
      </c>
      <c r="L4351">
        <v>9</v>
      </c>
      <c r="M4351" t="s">
        <v>14609</v>
      </c>
      <c r="N4351" t="s">
        <v>64</v>
      </c>
      <c r="O4351" t="s">
        <v>46</v>
      </c>
      <c r="P4351" t="s">
        <v>46</v>
      </c>
      <c r="Y4351" t="s">
        <v>14619</v>
      </c>
    </row>
    <row r="4352" spans="1:25">
      <c r="A4352" t="s">
        <v>14620</v>
      </c>
      <c r="B4352" t="s">
        <v>14621</v>
      </c>
      <c r="D4352" t="s">
        <v>40</v>
      </c>
      <c r="E4352" t="s">
        <v>41</v>
      </c>
      <c r="J4352" t="s">
        <v>76</v>
      </c>
      <c r="K4352" t="s">
        <v>77</v>
      </c>
      <c r="L4352">
        <v>9</v>
      </c>
      <c r="M4352" t="s">
        <v>14622</v>
      </c>
      <c r="N4352" t="s">
        <v>64</v>
      </c>
      <c r="O4352" t="s">
        <v>46</v>
      </c>
      <c r="P4352" t="s">
        <v>46</v>
      </c>
      <c r="Y4352" t="s">
        <v>14623</v>
      </c>
    </row>
    <row r="4353" spans="1:25">
      <c r="A4353" t="s">
        <v>14624</v>
      </c>
      <c r="B4353" t="s">
        <v>14625</v>
      </c>
      <c r="D4353" t="s">
        <v>40</v>
      </c>
      <c r="E4353" t="s">
        <v>41</v>
      </c>
      <c r="J4353" t="s">
        <v>182</v>
      </c>
      <c r="K4353" t="s">
        <v>183</v>
      </c>
      <c r="L4353">
        <v>9</v>
      </c>
      <c r="M4353" t="s">
        <v>14622</v>
      </c>
      <c r="N4353" t="s">
        <v>64</v>
      </c>
      <c r="O4353" t="s">
        <v>46</v>
      </c>
      <c r="P4353" t="s">
        <v>46</v>
      </c>
      <c r="Y4353" t="s">
        <v>14626</v>
      </c>
    </row>
    <row r="4354" spans="1:25">
      <c r="A4354" t="s">
        <v>14627</v>
      </c>
      <c r="B4354" t="s">
        <v>14628</v>
      </c>
      <c r="D4354" t="s">
        <v>40</v>
      </c>
      <c r="E4354" t="s">
        <v>41</v>
      </c>
      <c r="J4354" t="s">
        <v>42</v>
      </c>
      <c r="K4354" t="s">
        <v>43</v>
      </c>
      <c r="L4354">
        <v>9</v>
      </c>
      <c r="M4354" t="s">
        <v>14622</v>
      </c>
      <c r="N4354" t="s">
        <v>950</v>
      </c>
      <c r="O4354" t="s">
        <v>46</v>
      </c>
      <c r="P4354" t="s">
        <v>46</v>
      </c>
      <c r="Y4354" t="s">
        <v>14629</v>
      </c>
    </row>
    <row r="4355" spans="1:25">
      <c r="A4355" t="s">
        <v>14630</v>
      </c>
      <c r="B4355" t="s">
        <v>14631</v>
      </c>
      <c r="D4355" t="s">
        <v>40</v>
      </c>
      <c r="E4355" t="s">
        <v>41</v>
      </c>
      <c r="J4355" t="s">
        <v>182</v>
      </c>
      <c r="K4355" t="s">
        <v>183</v>
      </c>
      <c r="L4355">
        <v>9</v>
      </c>
      <c r="M4355" t="s">
        <v>14622</v>
      </c>
      <c r="N4355" t="s">
        <v>64</v>
      </c>
      <c r="O4355" t="s">
        <v>46</v>
      </c>
      <c r="P4355" t="s">
        <v>46</v>
      </c>
      <c r="Y4355" t="s">
        <v>14632</v>
      </c>
    </row>
    <row r="4356" spans="1:25">
      <c r="A4356" t="s">
        <v>14633</v>
      </c>
      <c r="B4356" t="s">
        <v>14634</v>
      </c>
      <c r="D4356" t="s">
        <v>40</v>
      </c>
      <c r="E4356" t="s">
        <v>41</v>
      </c>
      <c r="J4356" t="s">
        <v>76</v>
      </c>
      <c r="K4356" t="s">
        <v>77</v>
      </c>
      <c r="L4356">
        <v>9</v>
      </c>
      <c r="M4356" t="s">
        <v>14635</v>
      </c>
      <c r="N4356" t="s">
        <v>64</v>
      </c>
      <c r="O4356" t="s">
        <v>46</v>
      </c>
      <c r="P4356" t="s">
        <v>46</v>
      </c>
      <c r="Y4356" t="s">
        <v>14636</v>
      </c>
    </row>
    <row r="4357" spans="1:25">
      <c r="A4357" t="s">
        <v>14637</v>
      </c>
      <c r="B4357" t="s">
        <v>14638</v>
      </c>
      <c r="D4357" t="s">
        <v>40</v>
      </c>
      <c r="E4357" t="s">
        <v>41</v>
      </c>
      <c r="J4357" t="s">
        <v>1572</v>
      </c>
      <c r="K4357" t="s">
        <v>1573</v>
      </c>
      <c r="L4357">
        <v>9</v>
      </c>
      <c r="M4357" t="s">
        <v>14635</v>
      </c>
      <c r="N4357" t="s">
        <v>64</v>
      </c>
      <c r="O4357" t="s">
        <v>46</v>
      </c>
      <c r="P4357" t="s">
        <v>46</v>
      </c>
      <c r="Y4357" t="s">
        <v>14639</v>
      </c>
    </row>
    <row r="4358" spans="1:25">
      <c r="A4358" t="s">
        <v>14640</v>
      </c>
      <c r="B4358" t="s">
        <v>14641</v>
      </c>
      <c r="D4358" t="s">
        <v>40</v>
      </c>
      <c r="E4358" t="s">
        <v>41</v>
      </c>
      <c r="J4358" t="s">
        <v>68</v>
      </c>
      <c r="K4358" t="s">
        <v>69</v>
      </c>
      <c r="L4358">
        <v>9</v>
      </c>
      <c r="M4358" t="s">
        <v>14642</v>
      </c>
      <c r="N4358" t="s">
        <v>64</v>
      </c>
      <c r="O4358" t="s">
        <v>46</v>
      </c>
      <c r="P4358" t="s">
        <v>46</v>
      </c>
      <c r="Y4358" t="s">
        <v>14643</v>
      </c>
    </row>
    <row r="4359" spans="1:25">
      <c r="A4359" t="s">
        <v>14644</v>
      </c>
      <c r="B4359" t="s">
        <v>14645</v>
      </c>
      <c r="D4359" t="s">
        <v>40</v>
      </c>
      <c r="E4359" t="s">
        <v>41</v>
      </c>
      <c r="J4359" t="s">
        <v>182</v>
      </c>
      <c r="K4359" t="s">
        <v>183</v>
      </c>
      <c r="L4359">
        <v>9</v>
      </c>
      <c r="M4359" t="s">
        <v>14646</v>
      </c>
      <c r="N4359" t="s">
        <v>64</v>
      </c>
      <c r="O4359" t="s">
        <v>46</v>
      </c>
      <c r="P4359" t="s">
        <v>46</v>
      </c>
      <c r="Y4359" t="s">
        <v>14647</v>
      </c>
    </row>
    <row r="4360" spans="1:25">
      <c r="A4360" t="s">
        <v>14648</v>
      </c>
      <c r="B4360" t="s">
        <v>14649</v>
      </c>
      <c r="D4360" t="s">
        <v>40</v>
      </c>
      <c r="E4360" t="s">
        <v>41</v>
      </c>
      <c r="J4360" t="s">
        <v>76</v>
      </c>
      <c r="K4360" t="s">
        <v>77</v>
      </c>
      <c r="L4360">
        <v>9</v>
      </c>
      <c r="M4360" t="s">
        <v>14646</v>
      </c>
      <c r="N4360" t="s">
        <v>64</v>
      </c>
      <c r="O4360" t="s">
        <v>46</v>
      </c>
      <c r="P4360" t="s">
        <v>46</v>
      </c>
      <c r="Y4360" t="s">
        <v>14650</v>
      </c>
    </row>
    <row r="4361" spans="1:25">
      <c r="A4361" t="s">
        <v>14651</v>
      </c>
      <c r="B4361" t="s">
        <v>14652</v>
      </c>
      <c r="D4361" t="s">
        <v>40</v>
      </c>
      <c r="E4361" t="s">
        <v>41</v>
      </c>
      <c r="J4361" t="s">
        <v>182</v>
      </c>
      <c r="K4361" t="s">
        <v>183</v>
      </c>
      <c r="L4361">
        <v>9</v>
      </c>
      <c r="M4361" t="s">
        <v>14646</v>
      </c>
      <c r="N4361" t="s">
        <v>64</v>
      </c>
      <c r="O4361" t="s">
        <v>46</v>
      </c>
      <c r="P4361" t="s">
        <v>46</v>
      </c>
      <c r="Y4361" t="s">
        <v>14653</v>
      </c>
    </row>
    <row r="4362" spans="1:25">
      <c r="A4362" t="s">
        <v>14654</v>
      </c>
      <c r="B4362" t="s">
        <v>14655</v>
      </c>
      <c r="D4362" t="s">
        <v>40</v>
      </c>
      <c r="E4362" t="s">
        <v>41</v>
      </c>
      <c r="J4362" t="s">
        <v>182</v>
      </c>
      <c r="K4362" t="s">
        <v>183</v>
      </c>
      <c r="L4362">
        <v>9</v>
      </c>
      <c r="M4362" t="s">
        <v>14646</v>
      </c>
      <c r="N4362" t="s">
        <v>64</v>
      </c>
      <c r="O4362" t="s">
        <v>46</v>
      </c>
      <c r="P4362" t="s">
        <v>46</v>
      </c>
      <c r="Y4362" t="s">
        <v>14656</v>
      </c>
    </row>
    <row r="4363" spans="1:25">
      <c r="A4363" t="s">
        <v>14657</v>
      </c>
      <c r="B4363" t="s">
        <v>14658</v>
      </c>
      <c r="D4363" t="s">
        <v>40</v>
      </c>
      <c r="E4363" t="s">
        <v>41</v>
      </c>
      <c r="J4363" t="s">
        <v>76</v>
      </c>
      <c r="K4363" t="s">
        <v>77</v>
      </c>
      <c r="L4363">
        <v>9</v>
      </c>
      <c r="M4363" t="s">
        <v>14646</v>
      </c>
      <c r="N4363" t="s">
        <v>64</v>
      </c>
      <c r="O4363" t="s">
        <v>46</v>
      </c>
      <c r="P4363" t="s">
        <v>46</v>
      </c>
      <c r="Y4363" t="s">
        <v>14659</v>
      </c>
    </row>
    <row r="4364" spans="1:25">
      <c r="A4364" t="s">
        <v>14660</v>
      </c>
      <c r="B4364" t="s">
        <v>14661</v>
      </c>
      <c r="D4364" t="s">
        <v>40</v>
      </c>
      <c r="E4364" t="s">
        <v>41</v>
      </c>
      <c r="J4364" t="s">
        <v>248</v>
      </c>
      <c r="K4364" t="s">
        <v>249</v>
      </c>
      <c r="L4364">
        <v>11</v>
      </c>
      <c r="M4364" t="s">
        <v>14646</v>
      </c>
      <c r="N4364" t="s">
        <v>291</v>
      </c>
      <c r="O4364" t="s">
        <v>46</v>
      </c>
      <c r="P4364" t="s">
        <v>46</v>
      </c>
      <c r="Y4364" t="s">
        <v>14662</v>
      </c>
    </row>
    <row r="4365" spans="1:25">
      <c r="A4365" t="s">
        <v>14663</v>
      </c>
      <c r="B4365" t="s">
        <v>14664</v>
      </c>
      <c r="D4365" t="s">
        <v>40</v>
      </c>
      <c r="E4365" t="s">
        <v>41</v>
      </c>
      <c r="J4365" t="s">
        <v>182</v>
      </c>
      <c r="K4365" t="s">
        <v>183</v>
      </c>
      <c r="L4365">
        <v>9</v>
      </c>
      <c r="M4365" t="s">
        <v>14665</v>
      </c>
      <c r="N4365" t="s">
        <v>64</v>
      </c>
      <c r="O4365" t="s">
        <v>46</v>
      </c>
      <c r="P4365" t="s">
        <v>46</v>
      </c>
      <c r="Y4365" t="s">
        <v>14666</v>
      </c>
    </row>
    <row r="4366" spans="1:25">
      <c r="A4366" t="s">
        <v>14667</v>
      </c>
      <c r="B4366" t="s">
        <v>14668</v>
      </c>
      <c r="D4366" t="s">
        <v>40</v>
      </c>
      <c r="E4366" t="s">
        <v>41</v>
      </c>
      <c r="J4366" t="s">
        <v>42</v>
      </c>
      <c r="K4366" t="s">
        <v>43</v>
      </c>
      <c r="L4366">
        <v>9</v>
      </c>
      <c r="M4366" t="s">
        <v>14669</v>
      </c>
      <c r="N4366" t="s">
        <v>350</v>
      </c>
      <c r="O4366" t="s">
        <v>46</v>
      </c>
      <c r="P4366" t="s">
        <v>46</v>
      </c>
      <c r="Y4366" t="s">
        <v>14670</v>
      </c>
    </row>
    <row r="4367" spans="1:25">
      <c r="A4367" t="s">
        <v>14671</v>
      </c>
      <c r="B4367" t="s">
        <v>14672</v>
      </c>
      <c r="D4367" t="s">
        <v>40</v>
      </c>
      <c r="E4367" t="s">
        <v>41</v>
      </c>
      <c r="J4367" t="s">
        <v>76</v>
      </c>
      <c r="K4367" t="s">
        <v>77</v>
      </c>
      <c r="L4367">
        <v>9</v>
      </c>
      <c r="M4367" t="s">
        <v>14673</v>
      </c>
      <c r="N4367" t="s">
        <v>64</v>
      </c>
      <c r="O4367" t="s">
        <v>46</v>
      </c>
      <c r="P4367" t="s">
        <v>46</v>
      </c>
      <c r="Y4367" t="s">
        <v>14674</v>
      </c>
    </row>
    <row r="4368" spans="1:25">
      <c r="A4368" t="s">
        <v>14675</v>
      </c>
      <c r="B4368" t="s">
        <v>14676</v>
      </c>
      <c r="D4368" t="s">
        <v>40</v>
      </c>
      <c r="E4368" t="s">
        <v>41</v>
      </c>
      <c r="J4368" t="s">
        <v>182</v>
      </c>
      <c r="K4368" t="s">
        <v>183</v>
      </c>
      <c r="L4368">
        <v>9</v>
      </c>
      <c r="M4368" t="s">
        <v>14673</v>
      </c>
      <c r="N4368" t="s">
        <v>64</v>
      </c>
      <c r="O4368" t="s">
        <v>46</v>
      </c>
      <c r="P4368" t="s">
        <v>46</v>
      </c>
      <c r="Y4368" t="s">
        <v>14677</v>
      </c>
    </row>
    <row r="4369" spans="1:25">
      <c r="A4369" t="s">
        <v>14678</v>
      </c>
      <c r="B4369" t="s">
        <v>14679</v>
      </c>
      <c r="D4369" t="s">
        <v>40</v>
      </c>
      <c r="E4369" t="s">
        <v>41</v>
      </c>
      <c r="J4369" t="s">
        <v>182</v>
      </c>
      <c r="K4369" t="s">
        <v>183</v>
      </c>
      <c r="L4369">
        <v>9</v>
      </c>
      <c r="M4369" t="s">
        <v>14673</v>
      </c>
      <c r="N4369" t="s">
        <v>64</v>
      </c>
      <c r="O4369" t="s">
        <v>46</v>
      </c>
      <c r="P4369" t="s">
        <v>46</v>
      </c>
      <c r="Y4369" t="s">
        <v>14680</v>
      </c>
    </row>
    <row r="4370" spans="1:25">
      <c r="A4370" t="s">
        <v>14681</v>
      </c>
      <c r="B4370" t="s">
        <v>14682</v>
      </c>
      <c r="D4370" t="s">
        <v>40</v>
      </c>
      <c r="E4370" t="s">
        <v>41</v>
      </c>
      <c r="J4370" t="s">
        <v>68</v>
      </c>
      <c r="K4370" t="s">
        <v>69</v>
      </c>
      <c r="L4370">
        <v>9</v>
      </c>
      <c r="M4370" t="s">
        <v>14683</v>
      </c>
      <c r="N4370" t="s">
        <v>64</v>
      </c>
      <c r="O4370" t="s">
        <v>46</v>
      </c>
      <c r="P4370" t="s">
        <v>46</v>
      </c>
      <c r="Y4370" t="s">
        <v>14684</v>
      </c>
    </row>
    <row r="4371" spans="1:25">
      <c r="A4371" t="s">
        <v>14685</v>
      </c>
      <c r="B4371" t="s">
        <v>14686</v>
      </c>
      <c r="D4371" t="s">
        <v>40</v>
      </c>
      <c r="E4371" t="s">
        <v>41</v>
      </c>
      <c r="J4371" t="s">
        <v>182</v>
      </c>
      <c r="K4371" t="s">
        <v>183</v>
      </c>
      <c r="L4371">
        <v>9</v>
      </c>
      <c r="M4371" t="s">
        <v>14683</v>
      </c>
      <c r="N4371" t="s">
        <v>64</v>
      </c>
      <c r="O4371" t="s">
        <v>46</v>
      </c>
      <c r="P4371" t="s">
        <v>46</v>
      </c>
      <c r="Y4371" t="s">
        <v>14687</v>
      </c>
    </row>
    <row r="4372" spans="1:25">
      <c r="A4372" t="s">
        <v>14688</v>
      </c>
      <c r="B4372" t="s">
        <v>14689</v>
      </c>
      <c r="D4372" t="s">
        <v>40</v>
      </c>
      <c r="E4372" t="s">
        <v>41</v>
      </c>
      <c r="J4372" t="s">
        <v>182</v>
      </c>
      <c r="K4372" t="s">
        <v>183</v>
      </c>
      <c r="L4372">
        <v>9</v>
      </c>
      <c r="M4372" t="s">
        <v>14683</v>
      </c>
      <c r="N4372" t="s">
        <v>64</v>
      </c>
      <c r="O4372" t="s">
        <v>46</v>
      </c>
      <c r="P4372" t="s">
        <v>46</v>
      </c>
      <c r="Y4372" t="s">
        <v>14690</v>
      </c>
    </row>
    <row r="4373" spans="1:25">
      <c r="A4373" t="s">
        <v>14691</v>
      </c>
      <c r="B4373" t="s">
        <v>14692</v>
      </c>
      <c r="D4373" t="s">
        <v>40</v>
      </c>
      <c r="E4373" t="s">
        <v>41</v>
      </c>
      <c r="J4373" t="s">
        <v>182</v>
      </c>
      <c r="K4373" t="s">
        <v>183</v>
      </c>
      <c r="L4373">
        <v>9</v>
      </c>
      <c r="M4373" t="s">
        <v>14683</v>
      </c>
      <c r="N4373" t="s">
        <v>64</v>
      </c>
      <c r="O4373" t="s">
        <v>46</v>
      </c>
      <c r="P4373" t="s">
        <v>46</v>
      </c>
      <c r="Y4373" t="s">
        <v>14693</v>
      </c>
    </row>
    <row r="4374" spans="1:25">
      <c r="A4374" t="s">
        <v>14694</v>
      </c>
      <c r="B4374" t="s">
        <v>14695</v>
      </c>
      <c r="D4374" t="s">
        <v>40</v>
      </c>
      <c r="E4374" t="s">
        <v>41</v>
      </c>
      <c r="J4374" t="s">
        <v>182</v>
      </c>
      <c r="K4374" t="s">
        <v>183</v>
      </c>
      <c r="L4374">
        <v>9</v>
      </c>
      <c r="M4374" t="s">
        <v>14683</v>
      </c>
      <c r="N4374" t="s">
        <v>64</v>
      </c>
      <c r="O4374" t="s">
        <v>46</v>
      </c>
      <c r="P4374" t="s">
        <v>46</v>
      </c>
      <c r="Y4374" t="s">
        <v>14696</v>
      </c>
    </row>
    <row r="4375" spans="1:25">
      <c r="A4375" t="s">
        <v>14697</v>
      </c>
      <c r="B4375" t="s">
        <v>14698</v>
      </c>
      <c r="D4375" t="s">
        <v>40</v>
      </c>
      <c r="E4375" t="s">
        <v>41</v>
      </c>
      <c r="J4375" t="s">
        <v>76</v>
      </c>
      <c r="K4375" t="s">
        <v>77</v>
      </c>
      <c r="L4375">
        <v>9</v>
      </c>
      <c r="M4375" t="s">
        <v>14683</v>
      </c>
      <c r="N4375" t="s">
        <v>64</v>
      </c>
      <c r="O4375" t="s">
        <v>46</v>
      </c>
      <c r="P4375" t="s">
        <v>46</v>
      </c>
      <c r="Y4375" t="s">
        <v>14699</v>
      </c>
    </row>
    <row r="4376" spans="1:25">
      <c r="A4376" t="s">
        <v>14700</v>
      </c>
      <c r="B4376" t="s">
        <v>14701</v>
      </c>
      <c r="D4376" t="s">
        <v>40</v>
      </c>
      <c r="E4376" t="s">
        <v>41</v>
      </c>
      <c r="J4376" t="s">
        <v>1997</v>
      </c>
      <c r="K4376" t="s">
        <v>1998</v>
      </c>
      <c r="L4376">
        <v>9</v>
      </c>
      <c r="M4376" t="s">
        <v>14683</v>
      </c>
      <c r="N4376" t="s">
        <v>310</v>
      </c>
      <c r="O4376" t="s">
        <v>46</v>
      </c>
      <c r="P4376" t="s">
        <v>46</v>
      </c>
      <c r="Y4376" t="s">
        <v>14702</v>
      </c>
    </row>
    <row r="4377" spans="1:25">
      <c r="A4377" t="s">
        <v>14703</v>
      </c>
      <c r="B4377" t="s">
        <v>14704</v>
      </c>
      <c r="D4377" t="s">
        <v>40</v>
      </c>
      <c r="E4377" t="s">
        <v>41</v>
      </c>
      <c r="J4377" t="s">
        <v>68</v>
      </c>
      <c r="K4377" t="s">
        <v>69</v>
      </c>
      <c r="L4377">
        <v>9</v>
      </c>
      <c r="M4377" t="s">
        <v>14705</v>
      </c>
      <c r="N4377" t="s">
        <v>64</v>
      </c>
      <c r="O4377" t="s">
        <v>46</v>
      </c>
      <c r="P4377" t="s">
        <v>46</v>
      </c>
      <c r="Y4377" t="s">
        <v>14706</v>
      </c>
    </row>
    <row r="4378" spans="1:25">
      <c r="A4378" t="s">
        <v>14707</v>
      </c>
      <c r="B4378" t="s">
        <v>14708</v>
      </c>
      <c r="D4378" t="s">
        <v>40</v>
      </c>
      <c r="E4378" t="s">
        <v>41</v>
      </c>
      <c r="J4378" t="s">
        <v>182</v>
      </c>
      <c r="K4378" t="s">
        <v>183</v>
      </c>
      <c r="L4378">
        <v>9</v>
      </c>
      <c r="M4378" t="s">
        <v>14709</v>
      </c>
      <c r="N4378" t="s">
        <v>64</v>
      </c>
      <c r="O4378" t="s">
        <v>46</v>
      </c>
      <c r="P4378" t="s">
        <v>46</v>
      </c>
      <c r="Y4378" t="s">
        <v>14710</v>
      </c>
    </row>
    <row r="4379" spans="1:25">
      <c r="A4379" t="s">
        <v>14711</v>
      </c>
      <c r="B4379" t="s">
        <v>14712</v>
      </c>
      <c r="D4379" t="s">
        <v>40</v>
      </c>
      <c r="E4379" t="s">
        <v>41</v>
      </c>
      <c r="J4379" t="s">
        <v>76</v>
      </c>
      <c r="K4379" t="s">
        <v>77</v>
      </c>
      <c r="L4379">
        <v>9</v>
      </c>
      <c r="M4379" t="s">
        <v>14713</v>
      </c>
      <c r="N4379" t="s">
        <v>64</v>
      </c>
      <c r="O4379" t="s">
        <v>46</v>
      </c>
      <c r="P4379" t="s">
        <v>46</v>
      </c>
      <c r="Y4379" t="s">
        <v>14714</v>
      </c>
    </row>
    <row r="4380" spans="1:25">
      <c r="A4380" t="s">
        <v>14715</v>
      </c>
      <c r="B4380" t="s">
        <v>14716</v>
      </c>
      <c r="D4380" t="s">
        <v>40</v>
      </c>
      <c r="E4380" t="s">
        <v>41</v>
      </c>
      <c r="J4380" t="s">
        <v>68</v>
      </c>
      <c r="K4380" t="s">
        <v>69</v>
      </c>
      <c r="L4380">
        <v>9</v>
      </c>
      <c r="M4380" t="s">
        <v>14713</v>
      </c>
      <c r="N4380" t="s">
        <v>64</v>
      </c>
      <c r="O4380" t="s">
        <v>46</v>
      </c>
      <c r="P4380" t="s">
        <v>46</v>
      </c>
      <c r="Y4380" t="s">
        <v>14717</v>
      </c>
    </row>
    <row r="4381" spans="1:25">
      <c r="A4381" t="s">
        <v>14718</v>
      </c>
      <c r="B4381" t="s">
        <v>14719</v>
      </c>
      <c r="D4381" t="s">
        <v>40</v>
      </c>
      <c r="E4381" t="s">
        <v>41</v>
      </c>
      <c r="J4381" t="s">
        <v>182</v>
      </c>
      <c r="K4381" t="s">
        <v>183</v>
      </c>
      <c r="L4381">
        <v>9</v>
      </c>
      <c r="M4381" t="s">
        <v>14713</v>
      </c>
      <c r="N4381" t="s">
        <v>64</v>
      </c>
      <c r="O4381" t="s">
        <v>46</v>
      </c>
      <c r="P4381" t="s">
        <v>46</v>
      </c>
      <c r="Y4381" t="s">
        <v>14720</v>
      </c>
    </row>
    <row r="4382" spans="1:25">
      <c r="A4382" t="s">
        <v>14721</v>
      </c>
      <c r="B4382" t="s">
        <v>14722</v>
      </c>
      <c r="D4382" t="s">
        <v>40</v>
      </c>
      <c r="E4382" t="s">
        <v>41</v>
      </c>
      <c r="J4382" t="s">
        <v>76</v>
      </c>
      <c r="K4382" t="s">
        <v>77</v>
      </c>
      <c r="L4382">
        <v>9</v>
      </c>
      <c r="M4382" t="s">
        <v>14713</v>
      </c>
      <c r="N4382" t="s">
        <v>64</v>
      </c>
      <c r="O4382" t="s">
        <v>46</v>
      </c>
      <c r="P4382" t="s">
        <v>46</v>
      </c>
      <c r="Y4382" t="s">
        <v>14723</v>
      </c>
    </row>
    <row r="4383" spans="1:25">
      <c r="A4383" t="s">
        <v>14724</v>
      </c>
      <c r="B4383" t="s">
        <v>14725</v>
      </c>
      <c r="D4383" t="s">
        <v>40</v>
      </c>
      <c r="E4383" t="s">
        <v>41</v>
      </c>
      <c r="J4383" t="s">
        <v>182</v>
      </c>
      <c r="K4383" t="s">
        <v>183</v>
      </c>
      <c r="L4383">
        <v>9</v>
      </c>
      <c r="M4383" t="s">
        <v>14726</v>
      </c>
      <c r="N4383" t="s">
        <v>64</v>
      </c>
      <c r="O4383" t="s">
        <v>46</v>
      </c>
      <c r="P4383" t="s">
        <v>46</v>
      </c>
      <c r="Y4383" t="s">
        <v>14727</v>
      </c>
    </row>
    <row r="4384" spans="1:25">
      <c r="A4384" t="s">
        <v>14728</v>
      </c>
      <c r="B4384" t="s">
        <v>14729</v>
      </c>
      <c r="D4384" t="s">
        <v>40</v>
      </c>
      <c r="E4384" t="s">
        <v>41</v>
      </c>
      <c r="J4384" t="s">
        <v>76</v>
      </c>
      <c r="K4384" t="s">
        <v>77</v>
      </c>
      <c r="L4384">
        <v>9</v>
      </c>
      <c r="M4384" t="s">
        <v>14730</v>
      </c>
      <c r="N4384" t="s">
        <v>64</v>
      </c>
      <c r="O4384" t="s">
        <v>46</v>
      </c>
      <c r="P4384" t="s">
        <v>46</v>
      </c>
      <c r="Y4384" t="s">
        <v>14731</v>
      </c>
    </row>
    <row r="4385" spans="1:25">
      <c r="A4385" t="s">
        <v>14732</v>
      </c>
      <c r="B4385" t="s">
        <v>14733</v>
      </c>
      <c r="D4385" t="s">
        <v>40</v>
      </c>
      <c r="E4385" t="s">
        <v>41</v>
      </c>
      <c r="J4385" t="s">
        <v>248</v>
      </c>
      <c r="K4385" t="s">
        <v>249</v>
      </c>
      <c r="L4385">
        <v>9</v>
      </c>
      <c r="M4385" t="s">
        <v>14730</v>
      </c>
      <c r="N4385" t="s">
        <v>1024</v>
      </c>
      <c r="O4385" t="s">
        <v>46</v>
      </c>
      <c r="P4385" t="s">
        <v>46</v>
      </c>
      <c r="Y4385" t="s">
        <v>14734</v>
      </c>
    </row>
    <row r="4386" spans="1:25">
      <c r="A4386" t="s">
        <v>14735</v>
      </c>
      <c r="B4386" t="s">
        <v>14736</v>
      </c>
      <c r="D4386" t="s">
        <v>40</v>
      </c>
      <c r="E4386" t="s">
        <v>41</v>
      </c>
      <c r="J4386" t="s">
        <v>76</v>
      </c>
      <c r="K4386" t="s">
        <v>77</v>
      </c>
      <c r="L4386">
        <v>9</v>
      </c>
      <c r="M4386" t="s">
        <v>14730</v>
      </c>
      <c r="N4386" t="s">
        <v>64</v>
      </c>
      <c r="O4386" t="s">
        <v>46</v>
      </c>
      <c r="P4386" t="s">
        <v>46</v>
      </c>
      <c r="Y4386" t="s">
        <v>14737</v>
      </c>
    </row>
    <row r="4387" spans="1:25">
      <c r="A4387" t="s">
        <v>14738</v>
      </c>
      <c r="B4387" t="s">
        <v>14739</v>
      </c>
      <c r="D4387" t="s">
        <v>40</v>
      </c>
      <c r="E4387" t="s">
        <v>41</v>
      </c>
      <c r="J4387" t="s">
        <v>248</v>
      </c>
      <c r="K4387" t="s">
        <v>249</v>
      </c>
      <c r="L4387">
        <v>9</v>
      </c>
      <c r="M4387" t="s">
        <v>14740</v>
      </c>
      <c r="N4387" t="s">
        <v>142</v>
      </c>
      <c r="O4387" t="s">
        <v>46</v>
      </c>
      <c r="P4387" t="s">
        <v>46</v>
      </c>
      <c r="Y4387" t="s">
        <v>14741</v>
      </c>
    </row>
    <row r="4388" spans="1:25">
      <c r="A4388" t="s">
        <v>14742</v>
      </c>
      <c r="B4388" t="s">
        <v>14743</v>
      </c>
      <c r="D4388" t="s">
        <v>40</v>
      </c>
      <c r="E4388" t="s">
        <v>41</v>
      </c>
      <c r="J4388" t="s">
        <v>182</v>
      </c>
      <c r="K4388" t="s">
        <v>183</v>
      </c>
      <c r="L4388">
        <v>9</v>
      </c>
      <c r="M4388" t="s">
        <v>14740</v>
      </c>
      <c r="N4388" t="s">
        <v>64</v>
      </c>
      <c r="O4388" t="s">
        <v>46</v>
      </c>
      <c r="P4388" t="s">
        <v>46</v>
      </c>
      <c r="Y4388" t="s">
        <v>14744</v>
      </c>
    </row>
    <row r="4389" spans="1:25">
      <c r="A4389" t="s">
        <v>14745</v>
      </c>
      <c r="B4389" t="s">
        <v>14746</v>
      </c>
      <c r="D4389" t="s">
        <v>40</v>
      </c>
      <c r="E4389" t="s">
        <v>41</v>
      </c>
      <c r="J4389" t="s">
        <v>76</v>
      </c>
      <c r="K4389" t="s">
        <v>77</v>
      </c>
      <c r="L4389">
        <v>9</v>
      </c>
      <c r="M4389" t="s">
        <v>14740</v>
      </c>
      <c r="N4389" t="s">
        <v>64</v>
      </c>
      <c r="O4389" t="s">
        <v>46</v>
      </c>
      <c r="P4389" t="s">
        <v>46</v>
      </c>
      <c r="Y4389" t="s">
        <v>14747</v>
      </c>
    </row>
    <row r="4390" spans="1:25">
      <c r="A4390" t="s">
        <v>14748</v>
      </c>
      <c r="B4390" t="s">
        <v>14749</v>
      </c>
      <c r="D4390" t="s">
        <v>40</v>
      </c>
      <c r="E4390" t="s">
        <v>41</v>
      </c>
      <c r="J4390" t="s">
        <v>182</v>
      </c>
      <c r="K4390" t="s">
        <v>183</v>
      </c>
      <c r="L4390">
        <v>9</v>
      </c>
      <c r="M4390" t="s">
        <v>14750</v>
      </c>
      <c r="N4390" t="s">
        <v>64</v>
      </c>
      <c r="O4390" t="s">
        <v>46</v>
      </c>
      <c r="P4390" t="s">
        <v>46</v>
      </c>
      <c r="Y4390" t="s">
        <v>14751</v>
      </c>
    </row>
    <row r="4391" spans="1:25">
      <c r="A4391" t="s">
        <v>14752</v>
      </c>
      <c r="B4391" t="s">
        <v>14753</v>
      </c>
      <c r="D4391" t="s">
        <v>40</v>
      </c>
      <c r="E4391" t="s">
        <v>41</v>
      </c>
      <c r="J4391" t="s">
        <v>182</v>
      </c>
      <c r="K4391" t="s">
        <v>183</v>
      </c>
      <c r="L4391">
        <v>9</v>
      </c>
      <c r="M4391" t="s">
        <v>14750</v>
      </c>
      <c r="N4391" t="s">
        <v>64</v>
      </c>
      <c r="O4391" t="s">
        <v>46</v>
      </c>
      <c r="P4391" t="s">
        <v>46</v>
      </c>
      <c r="Y4391" t="s">
        <v>14754</v>
      </c>
    </row>
    <row r="4392" spans="1:25">
      <c r="A4392" t="s">
        <v>14755</v>
      </c>
      <c r="B4392" t="s">
        <v>14756</v>
      </c>
      <c r="D4392" t="s">
        <v>40</v>
      </c>
      <c r="E4392" t="s">
        <v>41</v>
      </c>
      <c r="J4392" t="s">
        <v>139</v>
      </c>
      <c r="K4392" t="s">
        <v>140</v>
      </c>
      <c r="L4392">
        <v>9</v>
      </c>
      <c r="M4392" t="s">
        <v>14757</v>
      </c>
      <c r="N4392" t="s">
        <v>305</v>
      </c>
      <c r="O4392" t="s">
        <v>46</v>
      </c>
      <c r="P4392" t="s">
        <v>46</v>
      </c>
      <c r="Y4392" t="s">
        <v>14758</v>
      </c>
    </row>
    <row r="4393" spans="1:25">
      <c r="A4393" t="s">
        <v>14759</v>
      </c>
      <c r="B4393" t="s">
        <v>14760</v>
      </c>
      <c r="D4393" t="s">
        <v>40</v>
      </c>
      <c r="E4393" t="s">
        <v>41</v>
      </c>
      <c r="J4393" t="s">
        <v>1114</v>
      </c>
      <c r="K4393" t="s">
        <v>1115</v>
      </c>
      <c r="L4393">
        <v>9</v>
      </c>
      <c r="M4393" t="s">
        <v>14757</v>
      </c>
      <c r="N4393" t="s">
        <v>924</v>
      </c>
      <c r="O4393" t="s">
        <v>46</v>
      </c>
      <c r="P4393" t="s">
        <v>46</v>
      </c>
      <c r="Y4393" t="s">
        <v>14761</v>
      </c>
    </row>
    <row r="4394" spans="1:25">
      <c r="A4394" t="s">
        <v>14762</v>
      </c>
      <c r="B4394" t="s">
        <v>14763</v>
      </c>
      <c r="D4394" t="s">
        <v>40</v>
      </c>
      <c r="E4394" t="s">
        <v>41</v>
      </c>
      <c r="J4394" t="s">
        <v>76</v>
      </c>
      <c r="K4394" t="s">
        <v>77</v>
      </c>
      <c r="L4394">
        <v>9</v>
      </c>
      <c r="M4394" t="s">
        <v>14757</v>
      </c>
      <c r="N4394" t="s">
        <v>64</v>
      </c>
      <c r="O4394" t="s">
        <v>46</v>
      </c>
      <c r="P4394" t="s">
        <v>46</v>
      </c>
      <c r="Y4394" t="s">
        <v>14764</v>
      </c>
    </row>
    <row r="4395" spans="1:25">
      <c r="A4395" t="s">
        <v>14765</v>
      </c>
      <c r="B4395" t="s">
        <v>14766</v>
      </c>
      <c r="D4395" t="s">
        <v>40</v>
      </c>
      <c r="E4395" t="s">
        <v>41</v>
      </c>
      <c r="J4395" t="s">
        <v>264</v>
      </c>
      <c r="K4395" t="s">
        <v>265</v>
      </c>
      <c r="L4395">
        <v>9</v>
      </c>
      <c r="M4395" t="s">
        <v>14757</v>
      </c>
      <c r="N4395" t="s">
        <v>1478</v>
      </c>
      <c r="O4395" t="s">
        <v>46</v>
      </c>
      <c r="P4395" t="s">
        <v>46</v>
      </c>
      <c r="Y4395" t="s">
        <v>14767</v>
      </c>
    </row>
    <row r="4396" spans="1:25">
      <c r="A4396" t="s">
        <v>14768</v>
      </c>
      <c r="B4396" t="s">
        <v>14769</v>
      </c>
      <c r="D4396" t="s">
        <v>40</v>
      </c>
      <c r="E4396" t="s">
        <v>41</v>
      </c>
      <c r="J4396" t="s">
        <v>182</v>
      </c>
      <c r="K4396" t="s">
        <v>183</v>
      </c>
      <c r="L4396">
        <v>9</v>
      </c>
      <c r="M4396" t="s">
        <v>14757</v>
      </c>
      <c r="N4396" t="s">
        <v>64</v>
      </c>
      <c r="O4396" t="s">
        <v>46</v>
      </c>
      <c r="P4396" t="s">
        <v>46</v>
      </c>
      <c r="Y4396" t="s">
        <v>14770</v>
      </c>
    </row>
    <row r="4397" spans="1:25">
      <c r="A4397" t="s">
        <v>14771</v>
      </c>
      <c r="B4397" t="s">
        <v>14772</v>
      </c>
      <c r="D4397" t="s">
        <v>40</v>
      </c>
      <c r="E4397" t="s">
        <v>41</v>
      </c>
      <c r="J4397" t="s">
        <v>76</v>
      </c>
      <c r="K4397" t="s">
        <v>77</v>
      </c>
      <c r="L4397">
        <v>9</v>
      </c>
      <c r="M4397" t="s">
        <v>14757</v>
      </c>
      <c r="N4397" t="s">
        <v>64</v>
      </c>
      <c r="O4397" t="s">
        <v>46</v>
      </c>
      <c r="P4397" t="s">
        <v>46</v>
      </c>
      <c r="Y4397" t="s">
        <v>14773</v>
      </c>
    </row>
    <row r="4398" spans="1:25">
      <c r="A4398" t="s">
        <v>14774</v>
      </c>
      <c r="B4398" t="s">
        <v>14775</v>
      </c>
      <c r="D4398" t="s">
        <v>40</v>
      </c>
      <c r="E4398" t="s">
        <v>41</v>
      </c>
      <c r="J4398" t="s">
        <v>68</v>
      </c>
      <c r="K4398" t="s">
        <v>69</v>
      </c>
      <c r="L4398">
        <v>9</v>
      </c>
      <c r="M4398" t="s">
        <v>14757</v>
      </c>
      <c r="N4398" t="s">
        <v>64</v>
      </c>
      <c r="O4398" t="s">
        <v>46</v>
      </c>
      <c r="P4398" t="s">
        <v>46</v>
      </c>
      <c r="Y4398" t="s">
        <v>14776</v>
      </c>
    </row>
    <row r="4399" spans="1:25">
      <c r="A4399" t="s">
        <v>14777</v>
      </c>
      <c r="B4399" t="s">
        <v>14778</v>
      </c>
      <c r="D4399" t="s">
        <v>40</v>
      </c>
      <c r="E4399" t="s">
        <v>41</v>
      </c>
      <c r="J4399" t="s">
        <v>182</v>
      </c>
      <c r="K4399" t="s">
        <v>183</v>
      </c>
      <c r="L4399">
        <v>9</v>
      </c>
      <c r="M4399" t="s">
        <v>14779</v>
      </c>
      <c r="N4399" t="s">
        <v>64</v>
      </c>
      <c r="O4399" t="s">
        <v>46</v>
      </c>
      <c r="P4399" t="s">
        <v>46</v>
      </c>
      <c r="Y4399" t="s">
        <v>14780</v>
      </c>
    </row>
    <row r="4400" spans="1:25">
      <c r="A4400" t="s">
        <v>14781</v>
      </c>
      <c r="B4400" t="s">
        <v>14782</v>
      </c>
      <c r="D4400" t="s">
        <v>40</v>
      </c>
      <c r="E4400" t="s">
        <v>41</v>
      </c>
      <c r="J4400" t="s">
        <v>182</v>
      </c>
      <c r="K4400" t="s">
        <v>183</v>
      </c>
      <c r="L4400">
        <v>9</v>
      </c>
      <c r="M4400" t="s">
        <v>14779</v>
      </c>
      <c r="N4400" t="s">
        <v>64</v>
      </c>
      <c r="O4400" t="s">
        <v>46</v>
      </c>
      <c r="P4400" t="s">
        <v>46</v>
      </c>
      <c r="Y4400" t="s">
        <v>14783</v>
      </c>
    </row>
    <row r="4401" spans="1:25">
      <c r="A4401" t="s">
        <v>14784</v>
      </c>
      <c r="B4401" t="s">
        <v>14785</v>
      </c>
      <c r="D4401" t="s">
        <v>40</v>
      </c>
      <c r="E4401" t="s">
        <v>41</v>
      </c>
      <c r="J4401" t="s">
        <v>76</v>
      </c>
      <c r="K4401" t="s">
        <v>77</v>
      </c>
      <c r="L4401">
        <v>9</v>
      </c>
      <c r="M4401" t="s">
        <v>14779</v>
      </c>
      <c r="N4401" t="s">
        <v>64</v>
      </c>
      <c r="O4401" t="s">
        <v>46</v>
      </c>
      <c r="P4401" t="s">
        <v>46</v>
      </c>
      <c r="Y4401" t="s">
        <v>14786</v>
      </c>
    </row>
    <row r="4402" spans="1:25">
      <c r="A4402" t="s">
        <v>14787</v>
      </c>
      <c r="B4402" t="s">
        <v>14788</v>
      </c>
      <c r="D4402" t="s">
        <v>40</v>
      </c>
      <c r="E4402" t="s">
        <v>41</v>
      </c>
      <c r="J4402" t="s">
        <v>182</v>
      </c>
      <c r="K4402" t="s">
        <v>183</v>
      </c>
      <c r="L4402">
        <v>9</v>
      </c>
      <c r="M4402" t="s">
        <v>14789</v>
      </c>
      <c r="N4402" t="s">
        <v>64</v>
      </c>
      <c r="O4402" t="s">
        <v>46</v>
      </c>
      <c r="P4402" t="s">
        <v>46</v>
      </c>
      <c r="Y4402" t="s">
        <v>14790</v>
      </c>
    </row>
    <row r="4403" spans="1:25">
      <c r="A4403" t="s">
        <v>14791</v>
      </c>
      <c r="B4403" t="s">
        <v>14792</v>
      </c>
      <c r="D4403" t="s">
        <v>40</v>
      </c>
      <c r="E4403" t="s">
        <v>41</v>
      </c>
      <c r="J4403" t="s">
        <v>182</v>
      </c>
      <c r="K4403" t="s">
        <v>183</v>
      </c>
      <c r="L4403">
        <v>9</v>
      </c>
      <c r="M4403" t="s">
        <v>14789</v>
      </c>
      <c r="N4403" t="s">
        <v>64</v>
      </c>
      <c r="O4403" t="s">
        <v>46</v>
      </c>
      <c r="P4403" t="s">
        <v>46</v>
      </c>
      <c r="Y4403" t="s">
        <v>14793</v>
      </c>
    </row>
    <row r="4404" spans="1:25">
      <c r="A4404" t="s">
        <v>14794</v>
      </c>
      <c r="B4404" t="s">
        <v>14795</v>
      </c>
      <c r="D4404" t="s">
        <v>40</v>
      </c>
      <c r="E4404" t="s">
        <v>41</v>
      </c>
      <c r="J4404" t="s">
        <v>42</v>
      </c>
      <c r="K4404" t="s">
        <v>43</v>
      </c>
      <c r="L4404">
        <v>9</v>
      </c>
      <c r="M4404" t="s">
        <v>14796</v>
      </c>
      <c r="N4404" t="s">
        <v>305</v>
      </c>
      <c r="O4404" t="s">
        <v>46</v>
      </c>
      <c r="P4404" t="s">
        <v>46</v>
      </c>
      <c r="Y4404" t="s">
        <v>14797</v>
      </c>
    </row>
    <row r="4405" spans="1:25">
      <c r="A4405" t="s">
        <v>14798</v>
      </c>
      <c r="B4405" t="s">
        <v>14799</v>
      </c>
      <c r="D4405" t="s">
        <v>40</v>
      </c>
      <c r="E4405" t="s">
        <v>41</v>
      </c>
      <c r="J4405" t="s">
        <v>2619</v>
      </c>
      <c r="K4405" t="s">
        <v>140</v>
      </c>
      <c r="L4405">
        <v>9</v>
      </c>
      <c r="M4405" t="s">
        <v>14796</v>
      </c>
      <c r="N4405" t="s">
        <v>2621</v>
      </c>
      <c r="O4405" t="s">
        <v>46</v>
      </c>
      <c r="P4405" t="s">
        <v>46</v>
      </c>
      <c r="Y4405" t="s">
        <v>14800</v>
      </c>
    </row>
    <row r="4406" spans="1:25">
      <c r="A4406" t="s">
        <v>14801</v>
      </c>
      <c r="B4406" t="s">
        <v>14802</v>
      </c>
      <c r="D4406" t="s">
        <v>40</v>
      </c>
      <c r="E4406" t="s">
        <v>41</v>
      </c>
      <c r="J4406" t="s">
        <v>76</v>
      </c>
      <c r="K4406" t="s">
        <v>77</v>
      </c>
      <c r="L4406">
        <v>9</v>
      </c>
      <c r="M4406" t="s">
        <v>14796</v>
      </c>
      <c r="N4406" t="s">
        <v>64</v>
      </c>
      <c r="O4406" t="s">
        <v>46</v>
      </c>
      <c r="P4406" t="s">
        <v>46</v>
      </c>
      <c r="Y4406" t="s">
        <v>14803</v>
      </c>
    </row>
    <row r="4407" spans="1:25">
      <c r="A4407" t="s">
        <v>14804</v>
      </c>
      <c r="B4407" t="s">
        <v>14805</v>
      </c>
      <c r="D4407" t="s">
        <v>40</v>
      </c>
      <c r="E4407" t="s">
        <v>41</v>
      </c>
      <c r="J4407" t="s">
        <v>76</v>
      </c>
      <c r="K4407" t="s">
        <v>77</v>
      </c>
      <c r="L4407">
        <v>9</v>
      </c>
      <c r="M4407" t="s">
        <v>14806</v>
      </c>
      <c r="N4407" t="s">
        <v>64</v>
      </c>
      <c r="O4407" t="s">
        <v>46</v>
      </c>
      <c r="P4407" t="s">
        <v>46</v>
      </c>
      <c r="Y4407" t="s">
        <v>14807</v>
      </c>
    </row>
    <row r="4408" spans="1:25">
      <c r="A4408" t="s">
        <v>14808</v>
      </c>
      <c r="B4408" t="s">
        <v>14809</v>
      </c>
      <c r="D4408" t="s">
        <v>40</v>
      </c>
      <c r="E4408" t="s">
        <v>41</v>
      </c>
      <c r="J4408" t="s">
        <v>182</v>
      </c>
      <c r="K4408" t="s">
        <v>183</v>
      </c>
      <c r="L4408">
        <v>9</v>
      </c>
      <c r="M4408" t="s">
        <v>14806</v>
      </c>
      <c r="N4408" t="s">
        <v>64</v>
      </c>
      <c r="O4408" t="s">
        <v>46</v>
      </c>
      <c r="P4408" t="s">
        <v>46</v>
      </c>
      <c r="Y4408" t="s">
        <v>14810</v>
      </c>
    </row>
    <row r="4409" spans="1:25">
      <c r="A4409" t="s">
        <v>14811</v>
      </c>
      <c r="B4409" t="s">
        <v>14812</v>
      </c>
      <c r="D4409" t="s">
        <v>40</v>
      </c>
      <c r="E4409" t="s">
        <v>41</v>
      </c>
      <c r="J4409" t="s">
        <v>182</v>
      </c>
      <c r="K4409" t="s">
        <v>183</v>
      </c>
      <c r="L4409">
        <v>9</v>
      </c>
      <c r="M4409" t="s">
        <v>14806</v>
      </c>
      <c r="N4409" t="s">
        <v>64</v>
      </c>
      <c r="O4409" t="s">
        <v>46</v>
      </c>
      <c r="P4409" t="s">
        <v>46</v>
      </c>
      <c r="Y4409" t="s">
        <v>14813</v>
      </c>
    </row>
    <row r="4410" spans="1:25">
      <c r="A4410" t="s">
        <v>14814</v>
      </c>
      <c r="B4410" t="s">
        <v>14815</v>
      </c>
      <c r="D4410" t="s">
        <v>40</v>
      </c>
      <c r="E4410" t="s">
        <v>41</v>
      </c>
      <c r="J4410" t="s">
        <v>76</v>
      </c>
      <c r="K4410" t="s">
        <v>77</v>
      </c>
      <c r="L4410">
        <v>9</v>
      </c>
      <c r="M4410" t="s">
        <v>14806</v>
      </c>
      <c r="N4410" t="s">
        <v>64</v>
      </c>
      <c r="O4410" t="s">
        <v>46</v>
      </c>
      <c r="P4410" t="s">
        <v>46</v>
      </c>
      <c r="Y4410" t="s">
        <v>14816</v>
      </c>
    </row>
    <row r="4411" spans="1:25">
      <c r="A4411" t="s">
        <v>14817</v>
      </c>
      <c r="B4411" t="s">
        <v>14818</v>
      </c>
      <c r="D4411" t="s">
        <v>40</v>
      </c>
      <c r="E4411" t="s">
        <v>41</v>
      </c>
      <c r="J4411" t="s">
        <v>42</v>
      </c>
      <c r="K4411" t="s">
        <v>43</v>
      </c>
      <c r="L4411">
        <v>9</v>
      </c>
      <c r="M4411" t="s">
        <v>14819</v>
      </c>
      <c r="N4411" t="s">
        <v>58</v>
      </c>
      <c r="O4411" t="s">
        <v>46</v>
      </c>
      <c r="P4411" t="s">
        <v>46</v>
      </c>
      <c r="Y4411" t="s">
        <v>14820</v>
      </c>
    </row>
    <row r="4412" spans="1:25">
      <c r="A4412" t="s">
        <v>14821</v>
      </c>
      <c r="B4412" t="s">
        <v>14822</v>
      </c>
      <c r="D4412" t="s">
        <v>40</v>
      </c>
      <c r="E4412" t="s">
        <v>41</v>
      </c>
      <c r="J4412" t="s">
        <v>182</v>
      </c>
      <c r="K4412" t="s">
        <v>183</v>
      </c>
      <c r="L4412">
        <v>9</v>
      </c>
      <c r="M4412" t="s">
        <v>14819</v>
      </c>
      <c r="N4412" t="s">
        <v>64</v>
      </c>
      <c r="O4412" t="s">
        <v>46</v>
      </c>
      <c r="P4412" t="s">
        <v>46</v>
      </c>
      <c r="Y4412" t="s">
        <v>14823</v>
      </c>
    </row>
    <row r="4413" spans="1:25">
      <c r="A4413" t="s">
        <v>14824</v>
      </c>
      <c r="B4413" t="s">
        <v>14825</v>
      </c>
      <c r="D4413" t="s">
        <v>40</v>
      </c>
      <c r="E4413" t="s">
        <v>41</v>
      </c>
      <c r="J4413" t="s">
        <v>182</v>
      </c>
      <c r="K4413" t="s">
        <v>183</v>
      </c>
      <c r="L4413">
        <v>9</v>
      </c>
      <c r="M4413" t="s">
        <v>14819</v>
      </c>
      <c r="N4413" t="s">
        <v>64</v>
      </c>
      <c r="O4413" t="s">
        <v>46</v>
      </c>
      <c r="P4413" t="s">
        <v>46</v>
      </c>
      <c r="Y4413" t="s">
        <v>14826</v>
      </c>
    </row>
    <row r="4414" spans="1:25">
      <c r="A4414" t="s">
        <v>14827</v>
      </c>
      <c r="B4414" t="s">
        <v>14828</v>
      </c>
      <c r="D4414" t="s">
        <v>40</v>
      </c>
      <c r="E4414" t="s">
        <v>41</v>
      </c>
      <c r="J4414" t="s">
        <v>182</v>
      </c>
      <c r="K4414" t="s">
        <v>183</v>
      </c>
      <c r="L4414">
        <v>9</v>
      </c>
      <c r="M4414" t="s">
        <v>14829</v>
      </c>
      <c r="N4414" t="s">
        <v>64</v>
      </c>
      <c r="O4414" t="s">
        <v>46</v>
      </c>
      <c r="P4414" t="s">
        <v>46</v>
      </c>
      <c r="Y4414" t="s">
        <v>14830</v>
      </c>
    </row>
    <row r="4415" spans="1:25">
      <c r="A4415" t="s">
        <v>14831</v>
      </c>
      <c r="B4415" t="s">
        <v>14832</v>
      </c>
      <c r="D4415" t="s">
        <v>40</v>
      </c>
      <c r="E4415" t="s">
        <v>41</v>
      </c>
      <c r="J4415" t="s">
        <v>182</v>
      </c>
      <c r="K4415" t="s">
        <v>183</v>
      </c>
      <c r="L4415">
        <v>9</v>
      </c>
      <c r="M4415" t="s">
        <v>14829</v>
      </c>
      <c r="N4415" t="s">
        <v>64</v>
      </c>
      <c r="O4415" t="s">
        <v>46</v>
      </c>
      <c r="P4415" t="s">
        <v>46</v>
      </c>
      <c r="Y4415" t="s">
        <v>14833</v>
      </c>
    </row>
    <row r="4416" spans="1:25">
      <c r="A4416" t="s">
        <v>14834</v>
      </c>
      <c r="B4416" t="s">
        <v>14835</v>
      </c>
      <c r="D4416" t="s">
        <v>40</v>
      </c>
      <c r="E4416" t="s">
        <v>41</v>
      </c>
      <c r="J4416" t="s">
        <v>68</v>
      </c>
      <c r="K4416" t="s">
        <v>69</v>
      </c>
      <c r="L4416">
        <v>9</v>
      </c>
      <c r="M4416" t="s">
        <v>14829</v>
      </c>
      <c r="N4416" t="s">
        <v>64</v>
      </c>
      <c r="O4416" t="s">
        <v>46</v>
      </c>
      <c r="P4416" t="s">
        <v>46</v>
      </c>
      <c r="Y4416" t="s">
        <v>14836</v>
      </c>
    </row>
    <row r="4417" spans="1:25">
      <c r="A4417" t="s">
        <v>14837</v>
      </c>
      <c r="B4417" t="s">
        <v>14838</v>
      </c>
      <c r="D4417" t="s">
        <v>40</v>
      </c>
      <c r="E4417" t="s">
        <v>41</v>
      </c>
      <c r="J4417" t="s">
        <v>182</v>
      </c>
      <c r="K4417" t="s">
        <v>183</v>
      </c>
      <c r="L4417">
        <v>9</v>
      </c>
      <c r="M4417" t="s">
        <v>14829</v>
      </c>
      <c r="N4417" t="s">
        <v>64</v>
      </c>
      <c r="O4417" t="s">
        <v>46</v>
      </c>
      <c r="P4417" t="s">
        <v>46</v>
      </c>
      <c r="Y4417" t="s">
        <v>14839</v>
      </c>
    </row>
    <row r="4418" spans="1:25">
      <c r="A4418" t="s">
        <v>14840</v>
      </c>
      <c r="B4418" t="s">
        <v>14841</v>
      </c>
      <c r="D4418" t="s">
        <v>40</v>
      </c>
      <c r="E4418" t="s">
        <v>41</v>
      </c>
      <c r="J4418" t="s">
        <v>76</v>
      </c>
      <c r="K4418" t="s">
        <v>77</v>
      </c>
      <c r="L4418">
        <v>9</v>
      </c>
      <c r="M4418" t="s">
        <v>14829</v>
      </c>
      <c r="N4418" t="s">
        <v>64</v>
      </c>
      <c r="O4418" t="s">
        <v>46</v>
      </c>
      <c r="P4418" t="s">
        <v>46</v>
      </c>
      <c r="Y4418" t="s">
        <v>14842</v>
      </c>
    </row>
    <row r="4419" spans="1:25">
      <c r="A4419" t="s">
        <v>14843</v>
      </c>
      <c r="B4419" t="s">
        <v>14844</v>
      </c>
      <c r="D4419" t="s">
        <v>40</v>
      </c>
      <c r="E4419" t="s">
        <v>41</v>
      </c>
      <c r="J4419" t="s">
        <v>182</v>
      </c>
      <c r="K4419" t="s">
        <v>183</v>
      </c>
      <c r="L4419">
        <v>9</v>
      </c>
      <c r="M4419" t="s">
        <v>14829</v>
      </c>
      <c r="N4419" t="s">
        <v>64</v>
      </c>
      <c r="O4419" t="s">
        <v>46</v>
      </c>
      <c r="P4419" t="s">
        <v>46</v>
      </c>
      <c r="Y4419" t="s">
        <v>14845</v>
      </c>
    </row>
    <row r="4420" spans="1:25">
      <c r="A4420" t="s">
        <v>14846</v>
      </c>
      <c r="B4420" t="s">
        <v>14847</v>
      </c>
      <c r="D4420" t="s">
        <v>40</v>
      </c>
      <c r="E4420" t="s">
        <v>41</v>
      </c>
      <c r="J4420" t="s">
        <v>182</v>
      </c>
      <c r="K4420" t="s">
        <v>183</v>
      </c>
      <c r="L4420">
        <v>9</v>
      </c>
      <c r="M4420" t="s">
        <v>14848</v>
      </c>
      <c r="N4420" t="s">
        <v>64</v>
      </c>
      <c r="O4420" t="s">
        <v>46</v>
      </c>
      <c r="P4420" t="s">
        <v>46</v>
      </c>
      <c r="Y4420" t="s">
        <v>14849</v>
      </c>
    </row>
    <row r="4421" spans="1:25">
      <c r="A4421" t="s">
        <v>14850</v>
      </c>
      <c r="B4421" t="s">
        <v>14851</v>
      </c>
      <c r="D4421" t="s">
        <v>40</v>
      </c>
      <c r="E4421" t="s">
        <v>41</v>
      </c>
      <c r="J4421" t="s">
        <v>182</v>
      </c>
      <c r="K4421" t="s">
        <v>183</v>
      </c>
      <c r="L4421">
        <v>9</v>
      </c>
      <c r="M4421" t="s">
        <v>14852</v>
      </c>
      <c r="N4421" t="s">
        <v>64</v>
      </c>
      <c r="O4421" t="s">
        <v>46</v>
      </c>
      <c r="P4421" t="s">
        <v>46</v>
      </c>
      <c r="Y4421" t="s">
        <v>14853</v>
      </c>
    </row>
    <row r="4422" spans="1:25">
      <c r="A4422" t="s">
        <v>14854</v>
      </c>
      <c r="B4422" t="s">
        <v>14855</v>
      </c>
      <c r="D4422" t="s">
        <v>40</v>
      </c>
      <c r="E4422" t="s">
        <v>41</v>
      </c>
      <c r="J4422" t="s">
        <v>182</v>
      </c>
      <c r="K4422" t="s">
        <v>183</v>
      </c>
      <c r="L4422">
        <v>9</v>
      </c>
      <c r="M4422" t="s">
        <v>14856</v>
      </c>
      <c r="N4422" t="s">
        <v>64</v>
      </c>
      <c r="O4422" t="s">
        <v>46</v>
      </c>
      <c r="P4422" t="s">
        <v>46</v>
      </c>
      <c r="Y4422" t="s">
        <v>14857</v>
      </c>
    </row>
    <row r="4423" spans="1:25">
      <c r="A4423" t="s">
        <v>14858</v>
      </c>
      <c r="B4423" t="s">
        <v>14859</v>
      </c>
      <c r="D4423" t="s">
        <v>40</v>
      </c>
      <c r="E4423" t="s">
        <v>41</v>
      </c>
      <c r="J4423" t="s">
        <v>182</v>
      </c>
      <c r="K4423" t="s">
        <v>183</v>
      </c>
      <c r="L4423">
        <v>9</v>
      </c>
      <c r="M4423" t="s">
        <v>14856</v>
      </c>
      <c r="N4423" t="s">
        <v>64</v>
      </c>
      <c r="O4423" t="s">
        <v>46</v>
      </c>
      <c r="P4423" t="s">
        <v>46</v>
      </c>
      <c r="Y4423" t="s">
        <v>14860</v>
      </c>
    </row>
    <row r="4424" spans="1:25">
      <c r="A4424" t="s">
        <v>14861</v>
      </c>
      <c r="B4424" t="s">
        <v>14862</v>
      </c>
      <c r="D4424" t="s">
        <v>40</v>
      </c>
      <c r="E4424" t="s">
        <v>41</v>
      </c>
      <c r="J4424" t="s">
        <v>76</v>
      </c>
      <c r="K4424" t="s">
        <v>77</v>
      </c>
      <c r="L4424">
        <v>9</v>
      </c>
      <c r="M4424" t="s">
        <v>14863</v>
      </c>
      <c r="N4424" t="s">
        <v>64</v>
      </c>
      <c r="O4424" t="s">
        <v>46</v>
      </c>
      <c r="P4424" t="s">
        <v>46</v>
      </c>
      <c r="Y4424" t="s">
        <v>14864</v>
      </c>
    </row>
    <row r="4425" spans="1:25">
      <c r="A4425" t="s">
        <v>14865</v>
      </c>
      <c r="B4425" t="s">
        <v>14866</v>
      </c>
      <c r="D4425" t="s">
        <v>40</v>
      </c>
      <c r="E4425" t="s">
        <v>41</v>
      </c>
      <c r="J4425" t="s">
        <v>42</v>
      </c>
      <c r="K4425" t="s">
        <v>43</v>
      </c>
      <c r="L4425">
        <v>9</v>
      </c>
      <c r="M4425" t="s">
        <v>14863</v>
      </c>
      <c r="N4425" t="s">
        <v>4037</v>
      </c>
      <c r="O4425" t="s">
        <v>46</v>
      </c>
      <c r="P4425" t="s">
        <v>46</v>
      </c>
      <c r="Y4425" t="s">
        <v>14867</v>
      </c>
    </row>
    <row r="4426" spans="1:25">
      <c r="A4426" t="s">
        <v>14868</v>
      </c>
      <c r="B4426" t="s">
        <v>14869</v>
      </c>
      <c r="D4426" t="s">
        <v>40</v>
      </c>
      <c r="E4426" t="s">
        <v>41</v>
      </c>
      <c r="J4426" t="s">
        <v>1142</v>
      </c>
      <c r="K4426" t="s">
        <v>1143</v>
      </c>
      <c r="L4426">
        <v>9</v>
      </c>
      <c r="M4426" t="s">
        <v>14863</v>
      </c>
      <c r="N4426" t="s">
        <v>310</v>
      </c>
      <c r="O4426" t="s">
        <v>46</v>
      </c>
      <c r="P4426" t="s">
        <v>46</v>
      </c>
      <c r="Y4426" t="s">
        <v>14870</v>
      </c>
    </row>
    <row r="4427" spans="1:25">
      <c r="A4427" t="s">
        <v>14871</v>
      </c>
      <c r="B4427" t="s">
        <v>14872</v>
      </c>
      <c r="D4427" t="s">
        <v>40</v>
      </c>
      <c r="E4427" t="s">
        <v>41</v>
      </c>
      <c r="J4427" t="s">
        <v>182</v>
      </c>
      <c r="K4427" t="s">
        <v>183</v>
      </c>
      <c r="L4427">
        <v>9</v>
      </c>
      <c r="M4427" t="s">
        <v>14863</v>
      </c>
      <c r="N4427" t="s">
        <v>64</v>
      </c>
      <c r="O4427" t="s">
        <v>46</v>
      </c>
      <c r="P4427" t="s">
        <v>46</v>
      </c>
      <c r="Y4427" t="s">
        <v>14873</v>
      </c>
    </row>
    <row r="4428" spans="1:25">
      <c r="A4428" t="s">
        <v>14874</v>
      </c>
      <c r="B4428" t="s">
        <v>14875</v>
      </c>
      <c r="D4428" t="s">
        <v>40</v>
      </c>
      <c r="E4428" t="s">
        <v>41</v>
      </c>
      <c r="J4428" t="s">
        <v>182</v>
      </c>
      <c r="K4428" t="s">
        <v>183</v>
      </c>
      <c r="L4428">
        <v>9</v>
      </c>
      <c r="M4428" t="s">
        <v>14876</v>
      </c>
      <c r="N4428" t="s">
        <v>64</v>
      </c>
      <c r="O4428" t="s">
        <v>46</v>
      </c>
      <c r="P4428" t="s">
        <v>46</v>
      </c>
      <c r="Y4428" t="s">
        <v>14877</v>
      </c>
    </row>
    <row r="4429" spans="1:25">
      <c r="A4429" t="s">
        <v>14878</v>
      </c>
      <c r="B4429" t="s">
        <v>14879</v>
      </c>
      <c r="D4429" t="s">
        <v>40</v>
      </c>
      <c r="E4429" t="s">
        <v>41</v>
      </c>
      <c r="J4429" t="s">
        <v>76</v>
      </c>
      <c r="K4429" t="s">
        <v>77</v>
      </c>
      <c r="L4429">
        <v>9</v>
      </c>
      <c r="M4429" t="s">
        <v>14876</v>
      </c>
      <c r="N4429" t="s">
        <v>64</v>
      </c>
      <c r="O4429" t="s">
        <v>46</v>
      </c>
      <c r="P4429" t="s">
        <v>46</v>
      </c>
      <c r="Y4429" t="s">
        <v>14880</v>
      </c>
    </row>
    <row r="4430" spans="1:25">
      <c r="A4430" t="s">
        <v>14881</v>
      </c>
      <c r="B4430" t="s">
        <v>14882</v>
      </c>
      <c r="D4430" t="s">
        <v>40</v>
      </c>
      <c r="E4430" t="s">
        <v>41</v>
      </c>
      <c r="J4430" t="s">
        <v>182</v>
      </c>
      <c r="K4430" t="s">
        <v>183</v>
      </c>
      <c r="L4430">
        <v>9</v>
      </c>
      <c r="M4430" t="s">
        <v>14876</v>
      </c>
      <c r="N4430" t="s">
        <v>64</v>
      </c>
      <c r="O4430" t="s">
        <v>46</v>
      </c>
      <c r="P4430" t="s">
        <v>46</v>
      </c>
      <c r="Y4430" t="s">
        <v>14883</v>
      </c>
    </row>
    <row r="4431" spans="1:25">
      <c r="A4431" t="s">
        <v>14884</v>
      </c>
      <c r="B4431" t="s">
        <v>14885</v>
      </c>
      <c r="D4431" t="s">
        <v>40</v>
      </c>
      <c r="E4431" t="s">
        <v>41</v>
      </c>
      <c r="J4431" t="s">
        <v>76</v>
      </c>
      <c r="K4431" t="s">
        <v>77</v>
      </c>
      <c r="L4431">
        <v>9</v>
      </c>
      <c r="M4431" t="s">
        <v>14886</v>
      </c>
      <c r="N4431" t="s">
        <v>64</v>
      </c>
      <c r="O4431" t="s">
        <v>46</v>
      </c>
      <c r="P4431" t="s">
        <v>46</v>
      </c>
      <c r="Y4431" t="s">
        <v>14887</v>
      </c>
    </row>
    <row r="4432" spans="1:25">
      <c r="A4432" t="s">
        <v>14888</v>
      </c>
      <c r="B4432" t="s">
        <v>14889</v>
      </c>
      <c r="D4432" t="s">
        <v>40</v>
      </c>
      <c r="E4432" t="s">
        <v>41</v>
      </c>
      <c r="J4432" t="s">
        <v>182</v>
      </c>
      <c r="K4432" t="s">
        <v>183</v>
      </c>
      <c r="L4432">
        <v>9</v>
      </c>
      <c r="M4432" t="s">
        <v>14886</v>
      </c>
      <c r="N4432" t="s">
        <v>64</v>
      </c>
      <c r="O4432" t="s">
        <v>46</v>
      </c>
      <c r="P4432" t="s">
        <v>46</v>
      </c>
      <c r="Y4432" t="s">
        <v>14890</v>
      </c>
    </row>
    <row r="4433" spans="1:25">
      <c r="A4433" t="s">
        <v>14891</v>
      </c>
      <c r="B4433" t="s">
        <v>14892</v>
      </c>
      <c r="D4433" t="s">
        <v>40</v>
      </c>
      <c r="E4433" t="s">
        <v>41</v>
      </c>
      <c r="J4433" t="s">
        <v>42</v>
      </c>
      <c r="K4433" t="s">
        <v>43</v>
      </c>
      <c r="L4433">
        <v>9</v>
      </c>
      <c r="M4433" t="s">
        <v>14886</v>
      </c>
      <c r="N4433" t="s">
        <v>291</v>
      </c>
      <c r="O4433" t="s">
        <v>46</v>
      </c>
      <c r="P4433" t="s">
        <v>46</v>
      </c>
      <c r="Y4433" t="s">
        <v>14893</v>
      </c>
    </row>
    <row r="4434" spans="1:25">
      <c r="A4434" t="s">
        <v>14894</v>
      </c>
      <c r="B4434" t="s">
        <v>14895</v>
      </c>
      <c r="D4434" t="s">
        <v>40</v>
      </c>
      <c r="E4434" t="s">
        <v>41</v>
      </c>
      <c r="J4434" t="s">
        <v>182</v>
      </c>
      <c r="K4434" t="s">
        <v>183</v>
      </c>
      <c r="L4434">
        <v>9</v>
      </c>
      <c r="M4434" t="s">
        <v>14896</v>
      </c>
      <c r="N4434" t="s">
        <v>64</v>
      </c>
      <c r="O4434" t="s">
        <v>46</v>
      </c>
      <c r="P4434" t="s">
        <v>46</v>
      </c>
      <c r="Y4434" t="s">
        <v>14897</v>
      </c>
    </row>
    <row r="4435" spans="1:25">
      <c r="A4435" t="s">
        <v>14898</v>
      </c>
      <c r="B4435" t="s">
        <v>14899</v>
      </c>
      <c r="D4435" t="s">
        <v>40</v>
      </c>
      <c r="E4435" t="s">
        <v>41</v>
      </c>
      <c r="J4435" t="s">
        <v>182</v>
      </c>
      <c r="K4435" t="s">
        <v>183</v>
      </c>
      <c r="L4435">
        <v>9</v>
      </c>
      <c r="M4435" t="s">
        <v>14900</v>
      </c>
      <c r="N4435" t="s">
        <v>64</v>
      </c>
      <c r="O4435" t="s">
        <v>46</v>
      </c>
      <c r="P4435" t="s">
        <v>46</v>
      </c>
      <c r="Y4435" t="s">
        <v>14901</v>
      </c>
    </row>
    <row r="4436" spans="1:25">
      <c r="A4436" t="s">
        <v>14902</v>
      </c>
      <c r="B4436" t="s">
        <v>14903</v>
      </c>
      <c r="D4436" t="s">
        <v>40</v>
      </c>
      <c r="E4436" t="s">
        <v>41</v>
      </c>
      <c r="J4436" t="s">
        <v>182</v>
      </c>
      <c r="K4436" t="s">
        <v>183</v>
      </c>
      <c r="L4436">
        <v>9</v>
      </c>
      <c r="M4436" t="s">
        <v>14904</v>
      </c>
      <c r="N4436" t="s">
        <v>64</v>
      </c>
      <c r="O4436" t="s">
        <v>46</v>
      </c>
      <c r="P4436" t="s">
        <v>46</v>
      </c>
      <c r="Y4436" t="s">
        <v>14905</v>
      </c>
    </row>
    <row r="4437" spans="1:25">
      <c r="A4437" t="s">
        <v>14906</v>
      </c>
      <c r="B4437" t="s">
        <v>14907</v>
      </c>
      <c r="D4437" t="s">
        <v>40</v>
      </c>
      <c r="E4437" t="s">
        <v>41</v>
      </c>
      <c r="J4437" t="s">
        <v>42</v>
      </c>
      <c r="K4437" t="s">
        <v>43</v>
      </c>
      <c r="L4437">
        <v>9</v>
      </c>
      <c r="M4437" t="s">
        <v>14904</v>
      </c>
      <c r="N4437" t="s">
        <v>4037</v>
      </c>
      <c r="O4437" t="s">
        <v>46</v>
      </c>
      <c r="P4437" t="s">
        <v>46</v>
      </c>
      <c r="Y4437" t="s">
        <v>14908</v>
      </c>
    </row>
    <row r="4438" spans="1:25">
      <c r="A4438" t="s">
        <v>14909</v>
      </c>
      <c r="B4438" t="s">
        <v>14910</v>
      </c>
      <c r="D4438" t="s">
        <v>40</v>
      </c>
      <c r="E4438" t="s">
        <v>41</v>
      </c>
      <c r="J4438" t="s">
        <v>182</v>
      </c>
      <c r="K4438" t="s">
        <v>183</v>
      </c>
      <c r="L4438">
        <v>9</v>
      </c>
      <c r="M4438" t="s">
        <v>14904</v>
      </c>
      <c r="N4438" t="s">
        <v>64</v>
      </c>
      <c r="O4438" t="s">
        <v>46</v>
      </c>
      <c r="P4438" t="s">
        <v>46</v>
      </c>
      <c r="Y4438" t="s">
        <v>14911</v>
      </c>
    </row>
    <row r="4439" spans="1:25">
      <c r="A4439" t="s">
        <v>14912</v>
      </c>
      <c r="B4439" t="s">
        <v>14913</v>
      </c>
      <c r="D4439" t="s">
        <v>40</v>
      </c>
      <c r="E4439" t="s">
        <v>41</v>
      </c>
      <c r="J4439" t="s">
        <v>42</v>
      </c>
      <c r="K4439" t="s">
        <v>43</v>
      </c>
      <c r="L4439">
        <v>12</v>
      </c>
      <c r="M4439" t="s">
        <v>14904</v>
      </c>
      <c r="N4439" t="s">
        <v>350</v>
      </c>
      <c r="O4439" t="s">
        <v>46</v>
      </c>
      <c r="P4439" t="s">
        <v>46</v>
      </c>
      <c r="Y4439" t="s">
        <v>14914</v>
      </c>
    </row>
    <row r="4440" spans="1:25">
      <c r="A4440" t="s">
        <v>14915</v>
      </c>
      <c r="B4440" t="s">
        <v>14916</v>
      </c>
      <c r="D4440" t="s">
        <v>40</v>
      </c>
      <c r="E4440" t="s">
        <v>41</v>
      </c>
      <c r="J4440" t="s">
        <v>182</v>
      </c>
      <c r="K4440" t="s">
        <v>183</v>
      </c>
      <c r="L4440">
        <v>9</v>
      </c>
      <c r="M4440" t="s">
        <v>14917</v>
      </c>
      <c r="N4440" t="s">
        <v>64</v>
      </c>
      <c r="O4440" t="s">
        <v>46</v>
      </c>
      <c r="P4440" t="s">
        <v>46</v>
      </c>
      <c r="Y4440" t="s">
        <v>14918</v>
      </c>
    </row>
    <row r="4441" spans="1:25">
      <c r="A4441" t="s">
        <v>14919</v>
      </c>
      <c r="B4441" t="s">
        <v>14920</v>
      </c>
      <c r="D4441" t="s">
        <v>40</v>
      </c>
      <c r="E4441" t="s">
        <v>41</v>
      </c>
      <c r="J4441" t="s">
        <v>68</v>
      </c>
      <c r="K4441" t="s">
        <v>69</v>
      </c>
      <c r="L4441">
        <v>9</v>
      </c>
      <c r="M4441" t="s">
        <v>14917</v>
      </c>
      <c r="N4441" t="s">
        <v>64</v>
      </c>
      <c r="O4441" t="s">
        <v>46</v>
      </c>
      <c r="P4441" t="s">
        <v>46</v>
      </c>
      <c r="Y4441" t="s">
        <v>14921</v>
      </c>
    </row>
    <row r="4442" spans="1:25">
      <c r="A4442" t="s">
        <v>14922</v>
      </c>
      <c r="B4442" t="s">
        <v>14923</v>
      </c>
      <c r="D4442" t="s">
        <v>40</v>
      </c>
      <c r="E4442" t="s">
        <v>41</v>
      </c>
      <c r="J4442" t="s">
        <v>182</v>
      </c>
      <c r="K4442" t="s">
        <v>183</v>
      </c>
      <c r="L4442">
        <v>9</v>
      </c>
      <c r="M4442" t="s">
        <v>14917</v>
      </c>
      <c r="N4442" t="s">
        <v>64</v>
      </c>
      <c r="O4442" t="s">
        <v>46</v>
      </c>
      <c r="P4442" t="s">
        <v>46</v>
      </c>
      <c r="Y4442" t="s">
        <v>14924</v>
      </c>
    </row>
    <row r="4443" spans="1:25">
      <c r="A4443" t="s">
        <v>14925</v>
      </c>
      <c r="B4443" t="s">
        <v>14926</v>
      </c>
      <c r="D4443" t="s">
        <v>40</v>
      </c>
      <c r="E4443" t="s">
        <v>41</v>
      </c>
      <c r="J4443" t="s">
        <v>182</v>
      </c>
      <c r="K4443" t="s">
        <v>183</v>
      </c>
      <c r="L4443">
        <v>9</v>
      </c>
      <c r="M4443" t="s">
        <v>14917</v>
      </c>
      <c r="N4443" t="s">
        <v>64</v>
      </c>
      <c r="O4443" t="s">
        <v>46</v>
      </c>
      <c r="P4443" t="s">
        <v>46</v>
      </c>
      <c r="Y4443" t="s">
        <v>14927</v>
      </c>
    </row>
    <row r="4444" spans="1:25">
      <c r="A4444" t="s">
        <v>14928</v>
      </c>
      <c r="B4444" t="s">
        <v>14929</v>
      </c>
      <c r="D4444" t="s">
        <v>40</v>
      </c>
      <c r="E4444" t="s">
        <v>41</v>
      </c>
      <c r="J4444" t="s">
        <v>76</v>
      </c>
      <c r="K4444" t="s">
        <v>77</v>
      </c>
      <c r="L4444">
        <v>9</v>
      </c>
      <c r="M4444" t="s">
        <v>14917</v>
      </c>
      <c r="N4444" t="s">
        <v>64</v>
      </c>
      <c r="O4444" t="s">
        <v>46</v>
      </c>
      <c r="P4444" t="s">
        <v>46</v>
      </c>
      <c r="Y4444" t="s">
        <v>14930</v>
      </c>
    </row>
    <row r="4445" spans="1:25">
      <c r="A4445" t="s">
        <v>14931</v>
      </c>
      <c r="B4445" t="s">
        <v>14932</v>
      </c>
      <c r="D4445" t="s">
        <v>40</v>
      </c>
      <c r="E4445" t="s">
        <v>41</v>
      </c>
      <c r="J4445" t="s">
        <v>182</v>
      </c>
      <c r="K4445" t="s">
        <v>183</v>
      </c>
      <c r="L4445">
        <v>9</v>
      </c>
      <c r="M4445" t="s">
        <v>14933</v>
      </c>
      <c r="N4445" t="s">
        <v>64</v>
      </c>
      <c r="O4445" t="s">
        <v>46</v>
      </c>
      <c r="P4445" t="s">
        <v>46</v>
      </c>
      <c r="Y4445" t="s">
        <v>14934</v>
      </c>
    </row>
    <row r="4446" spans="1:25">
      <c r="A4446" t="s">
        <v>14935</v>
      </c>
      <c r="B4446" t="s">
        <v>14936</v>
      </c>
      <c r="D4446" t="s">
        <v>40</v>
      </c>
      <c r="E4446" t="s">
        <v>41</v>
      </c>
      <c r="J4446" t="s">
        <v>182</v>
      </c>
      <c r="K4446" t="s">
        <v>183</v>
      </c>
      <c r="L4446">
        <v>9</v>
      </c>
      <c r="M4446" t="s">
        <v>14933</v>
      </c>
      <c r="N4446" t="s">
        <v>64</v>
      </c>
      <c r="O4446" t="s">
        <v>46</v>
      </c>
      <c r="P4446" t="s">
        <v>46</v>
      </c>
      <c r="Y4446" t="s">
        <v>14937</v>
      </c>
    </row>
    <row r="4447" spans="1:25">
      <c r="A4447" t="s">
        <v>14938</v>
      </c>
      <c r="B4447" t="s">
        <v>14939</v>
      </c>
      <c r="D4447" t="s">
        <v>40</v>
      </c>
      <c r="E4447" t="s">
        <v>41</v>
      </c>
      <c r="J4447" t="s">
        <v>182</v>
      </c>
      <c r="K4447" t="s">
        <v>183</v>
      </c>
      <c r="L4447">
        <v>9</v>
      </c>
      <c r="M4447" t="s">
        <v>14933</v>
      </c>
      <c r="N4447" t="s">
        <v>64</v>
      </c>
      <c r="O4447" t="s">
        <v>46</v>
      </c>
      <c r="P4447" t="s">
        <v>46</v>
      </c>
      <c r="Y4447" t="s">
        <v>14940</v>
      </c>
    </row>
    <row r="4448" spans="1:25">
      <c r="A4448" t="s">
        <v>14941</v>
      </c>
      <c r="B4448" t="s">
        <v>14942</v>
      </c>
      <c r="D4448" t="s">
        <v>40</v>
      </c>
      <c r="E4448" t="s">
        <v>41</v>
      </c>
      <c r="J4448" t="s">
        <v>76</v>
      </c>
      <c r="K4448" t="s">
        <v>77</v>
      </c>
      <c r="L4448">
        <v>9</v>
      </c>
      <c r="M4448" t="s">
        <v>14933</v>
      </c>
      <c r="N4448" t="s">
        <v>64</v>
      </c>
      <c r="O4448" t="s">
        <v>46</v>
      </c>
      <c r="P4448" t="s">
        <v>46</v>
      </c>
      <c r="Y4448" t="s">
        <v>14943</v>
      </c>
    </row>
    <row r="4449" spans="1:25">
      <c r="A4449" t="s">
        <v>14944</v>
      </c>
      <c r="B4449" t="s">
        <v>14945</v>
      </c>
      <c r="D4449" t="s">
        <v>40</v>
      </c>
      <c r="E4449" t="s">
        <v>41</v>
      </c>
      <c r="J4449" t="s">
        <v>182</v>
      </c>
      <c r="K4449" t="s">
        <v>183</v>
      </c>
      <c r="L4449">
        <v>9</v>
      </c>
      <c r="M4449" t="s">
        <v>14946</v>
      </c>
      <c r="N4449" t="s">
        <v>64</v>
      </c>
      <c r="O4449" t="s">
        <v>46</v>
      </c>
      <c r="P4449" t="s">
        <v>46</v>
      </c>
      <c r="Y4449" t="s">
        <v>14947</v>
      </c>
    </row>
    <row r="4450" spans="1:25">
      <c r="A4450" t="s">
        <v>14948</v>
      </c>
      <c r="B4450" t="s">
        <v>14949</v>
      </c>
      <c r="D4450" t="s">
        <v>40</v>
      </c>
      <c r="E4450" t="s">
        <v>41</v>
      </c>
      <c r="J4450" t="s">
        <v>182</v>
      </c>
      <c r="K4450" t="s">
        <v>183</v>
      </c>
      <c r="L4450">
        <v>9</v>
      </c>
      <c r="M4450" t="s">
        <v>14946</v>
      </c>
      <c r="N4450" t="s">
        <v>64</v>
      </c>
      <c r="O4450" t="s">
        <v>46</v>
      </c>
      <c r="P4450" t="s">
        <v>46</v>
      </c>
      <c r="Y4450" t="s">
        <v>14950</v>
      </c>
    </row>
    <row r="4451" spans="1:25">
      <c r="A4451" t="s">
        <v>14951</v>
      </c>
      <c r="B4451" t="s">
        <v>14952</v>
      </c>
      <c r="D4451" t="s">
        <v>40</v>
      </c>
      <c r="E4451" t="s">
        <v>41</v>
      </c>
      <c r="J4451" t="s">
        <v>182</v>
      </c>
      <c r="K4451" t="s">
        <v>183</v>
      </c>
      <c r="L4451">
        <v>9</v>
      </c>
      <c r="M4451" t="s">
        <v>14953</v>
      </c>
      <c r="N4451" t="s">
        <v>64</v>
      </c>
      <c r="O4451" t="s">
        <v>46</v>
      </c>
      <c r="P4451" t="s">
        <v>46</v>
      </c>
      <c r="Y4451" t="s">
        <v>14954</v>
      </c>
    </row>
    <row r="4452" spans="1:25">
      <c r="A4452" t="s">
        <v>14955</v>
      </c>
      <c r="B4452" t="s">
        <v>14956</v>
      </c>
      <c r="D4452" t="s">
        <v>40</v>
      </c>
      <c r="E4452" t="s">
        <v>41</v>
      </c>
      <c r="J4452" t="s">
        <v>182</v>
      </c>
      <c r="K4452" t="s">
        <v>183</v>
      </c>
      <c r="L4452">
        <v>9</v>
      </c>
      <c r="M4452" t="s">
        <v>14953</v>
      </c>
      <c r="N4452" t="s">
        <v>64</v>
      </c>
      <c r="O4452" t="s">
        <v>46</v>
      </c>
      <c r="P4452" t="s">
        <v>46</v>
      </c>
      <c r="Y4452" t="s">
        <v>14957</v>
      </c>
    </row>
    <row r="4453" spans="1:25">
      <c r="A4453" t="s">
        <v>14958</v>
      </c>
      <c r="B4453" t="s">
        <v>14959</v>
      </c>
      <c r="D4453" t="s">
        <v>40</v>
      </c>
      <c r="E4453" t="s">
        <v>41</v>
      </c>
      <c r="J4453" t="s">
        <v>182</v>
      </c>
      <c r="K4453" t="s">
        <v>183</v>
      </c>
      <c r="L4453">
        <v>9</v>
      </c>
      <c r="M4453" t="s">
        <v>14953</v>
      </c>
      <c r="N4453" t="s">
        <v>64</v>
      </c>
      <c r="O4453" t="s">
        <v>46</v>
      </c>
      <c r="P4453" t="s">
        <v>46</v>
      </c>
      <c r="Y4453" t="s">
        <v>14960</v>
      </c>
    </row>
    <row r="4454" spans="1:25">
      <c r="A4454" t="s">
        <v>14961</v>
      </c>
      <c r="B4454" t="s">
        <v>14962</v>
      </c>
      <c r="D4454" t="s">
        <v>40</v>
      </c>
      <c r="E4454" t="s">
        <v>41</v>
      </c>
      <c r="J4454" t="s">
        <v>182</v>
      </c>
      <c r="K4454" t="s">
        <v>183</v>
      </c>
      <c r="L4454">
        <v>9</v>
      </c>
      <c r="M4454" t="s">
        <v>14953</v>
      </c>
      <c r="N4454" t="s">
        <v>64</v>
      </c>
      <c r="O4454" t="s">
        <v>46</v>
      </c>
      <c r="P4454" t="s">
        <v>46</v>
      </c>
      <c r="Y4454" t="s">
        <v>14963</v>
      </c>
    </row>
    <row r="4455" spans="1:25">
      <c r="A4455" t="s">
        <v>14964</v>
      </c>
      <c r="B4455" t="s">
        <v>14965</v>
      </c>
      <c r="D4455" t="s">
        <v>40</v>
      </c>
      <c r="E4455" t="s">
        <v>41</v>
      </c>
      <c r="J4455" t="s">
        <v>182</v>
      </c>
      <c r="K4455" t="s">
        <v>183</v>
      </c>
      <c r="L4455">
        <v>9</v>
      </c>
      <c r="M4455" t="s">
        <v>14953</v>
      </c>
      <c r="N4455" t="s">
        <v>64</v>
      </c>
      <c r="O4455" t="s">
        <v>46</v>
      </c>
      <c r="P4455" t="s">
        <v>46</v>
      </c>
      <c r="Y4455" t="s">
        <v>14966</v>
      </c>
    </row>
    <row r="4456" spans="1:25">
      <c r="A4456" t="s">
        <v>14967</v>
      </c>
      <c r="B4456" t="s">
        <v>14968</v>
      </c>
      <c r="D4456" t="s">
        <v>40</v>
      </c>
      <c r="E4456" t="s">
        <v>41</v>
      </c>
      <c r="J4456" t="s">
        <v>182</v>
      </c>
      <c r="K4456" t="s">
        <v>183</v>
      </c>
      <c r="L4456">
        <v>9</v>
      </c>
      <c r="M4456" t="s">
        <v>14953</v>
      </c>
      <c r="N4456" t="s">
        <v>64</v>
      </c>
      <c r="O4456" t="s">
        <v>46</v>
      </c>
      <c r="P4456" t="s">
        <v>46</v>
      </c>
      <c r="Y4456" t="s">
        <v>14969</v>
      </c>
    </row>
    <row r="4457" spans="1:25">
      <c r="A4457" t="s">
        <v>14970</v>
      </c>
      <c r="B4457" t="s">
        <v>14971</v>
      </c>
      <c r="D4457" t="s">
        <v>40</v>
      </c>
      <c r="E4457" t="s">
        <v>41</v>
      </c>
      <c r="J4457" t="s">
        <v>182</v>
      </c>
      <c r="K4457" t="s">
        <v>183</v>
      </c>
      <c r="L4457">
        <v>9</v>
      </c>
      <c r="M4457" t="s">
        <v>14953</v>
      </c>
      <c r="N4457" t="s">
        <v>64</v>
      </c>
      <c r="O4457" t="s">
        <v>46</v>
      </c>
      <c r="P4457" t="s">
        <v>46</v>
      </c>
      <c r="Y4457" t="s">
        <v>14972</v>
      </c>
    </row>
    <row r="4458" spans="1:25">
      <c r="A4458" t="s">
        <v>14973</v>
      </c>
      <c r="B4458" t="s">
        <v>14974</v>
      </c>
      <c r="D4458" t="s">
        <v>40</v>
      </c>
      <c r="E4458" t="s">
        <v>41</v>
      </c>
      <c r="J4458" t="s">
        <v>264</v>
      </c>
      <c r="K4458" t="s">
        <v>265</v>
      </c>
      <c r="L4458">
        <v>9</v>
      </c>
      <c r="M4458" t="s">
        <v>14975</v>
      </c>
      <c r="N4458" t="s">
        <v>1344</v>
      </c>
      <c r="O4458" t="s">
        <v>46</v>
      </c>
      <c r="P4458" t="s">
        <v>46</v>
      </c>
      <c r="Y4458" t="s">
        <v>14976</v>
      </c>
    </row>
    <row r="4459" spans="1:25">
      <c r="A4459" t="s">
        <v>14977</v>
      </c>
      <c r="B4459" t="s">
        <v>14978</v>
      </c>
      <c r="D4459" t="s">
        <v>40</v>
      </c>
      <c r="E4459" t="s">
        <v>41</v>
      </c>
      <c r="J4459" t="s">
        <v>42</v>
      </c>
      <c r="K4459" t="s">
        <v>43</v>
      </c>
      <c r="L4459">
        <v>9</v>
      </c>
      <c r="M4459" t="s">
        <v>14975</v>
      </c>
      <c r="N4459" t="s">
        <v>1344</v>
      </c>
      <c r="O4459" t="s">
        <v>46</v>
      </c>
      <c r="P4459" t="s">
        <v>46</v>
      </c>
      <c r="Y4459" t="s">
        <v>14979</v>
      </c>
    </row>
    <row r="4460" spans="1:25">
      <c r="A4460" t="s">
        <v>14980</v>
      </c>
      <c r="B4460" t="s">
        <v>14981</v>
      </c>
      <c r="D4460" t="s">
        <v>40</v>
      </c>
      <c r="E4460" t="s">
        <v>41</v>
      </c>
      <c r="J4460" t="s">
        <v>182</v>
      </c>
      <c r="K4460" t="s">
        <v>183</v>
      </c>
      <c r="L4460">
        <v>9</v>
      </c>
      <c r="M4460" t="s">
        <v>14975</v>
      </c>
      <c r="N4460" t="s">
        <v>64</v>
      </c>
      <c r="O4460" t="s">
        <v>46</v>
      </c>
      <c r="P4460" t="s">
        <v>46</v>
      </c>
      <c r="Y4460" t="s">
        <v>14982</v>
      </c>
    </row>
    <row r="4461" spans="1:25">
      <c r="A4461" t="s">
        <v>14983</v>
      </c>
      <c r="B4461" t="s">
        <v>14984</v>
      </c>
      <c r="D4461" t="s">
        <v>40</v>
      </c>
      <c r="E4461" t="s">
        <v>41</v>
      </c>
      <c r="J4461" t="s">
        <v>182</v>
      </c>
      <c r="K4461" t="s">
        <v>183</v>
      </c>
      <c r="L4461">
        <v>9</v>
      </c>
      <c r="M4461" t="s">
        <v>14975</v>
      </c>
      <c r="N4461" t="s">
        <v>64</v>
      </c>
      <c r="O4461" t="s">
        <v>46</v>
      </c>
      <c r="P4461" t="s">
        <v>46</v>
      </c>
      <c r="Y4461" t="s">
        <v>14985</v>
      </c>
    </row>
    <row r="4462" spans="1:25">
      <c r="A4462" t="s">
        <v>14986</v>
      </c>
      <c r="B4462" t="s">
        <v>14987</v>
      </c>
      <c r="D4462" t="s">
        <v>40</v>
      </c>
      <c r="E4462" t="s">
        <v>41</v>
      </c>
      <c r="J4462" t="s">
        <v>182</v>
      </c>
      <c r="K4462" t="s">
        <v>183</v>
      </c>
      <c r="L4462">
        <v>9</v>
      </c>
      <c r="M4462" t="s">
        <v>14975</v>
      </c>
      <c r="N4462" t="s">
        <v>64</v>
      </c>
      <c r="O4462" t="s">
        <v>46</v>
      </c>
      <c r="P4462" t="s">
        <v>46</v>
      </c>
      <c r="Y4462" t="s">
        <v>14988</v>
      </c>
    </row>
    <row r="4463" spans="1:25">
      <c r="A4463" t="s">
        <v>14989</v>
      </c>
      <c r="B4463" t="s">
        <v>14990</v>
      </c>
      <c r="D4463" t="s">
        <v>40</v>
      </c>
      <c r="E4463" t="s">
        <v>41</v>
      </c>
      <c r="J4463" t="s">
        <v>182</v>
      </c>
      <c r="K4463" t="s">
        <v>183</v>
      </c>
      <c r="L4463">
        <v>9</v>
      </c>
      <c r="M4463" t="s">
        <v>14991</v>
      </c>
      <c r="N4463" t="s">
        <v>64</v>
      </c>
      <c r="O4463" t="s">
        <v>46</v>
      </c>
      <c r="P4463" t="s">
        <v>46</v>
      </c>
      <c r="Y4463" t="s">
        <v>14992</v>
      </c>
    </row>
    <row r="4464" spans="1:25">
      <c r="A4464" t="s">
        <v>14993</v>
      </c>
      <c r="B4464" t="s">
        <v>14994</v>
      </c>
      <c r="D4464" t="s">
        <v>40</v>
      </c>
      <c r="E4464" t="s">
        <v>41</v>
      </c>
      <c r="J4464" t="s">
        <v>139</v>
      </c>
      <c r="K4464" t="s">
        <v>140</v>
      </c>
      <c r="L4464">
        <v>9</v>
      </c>
      <c r="M4464" t="s">
        <v>14991</v>
      </c>
      <c r="N4464" t="s">
        <v>1397</v>
      </c>
      <c r="O4464" t="s">
        <v>46</v>
      </c>
      <c r="P4464" t="s">
        <v>46</v>
      </c>
      <c r="Y4464" t="s">
        <v>14995</v>
      </c>
    </row>
    <row r="4465" spans="1:25">
      <c r="A4465" t="s">
        <v>14996</v>
      </c>
      <c r="B4465" t="s">
        <v>14997</v>
      </c>
      <c r="D4465" t="s">
        <v>40</v>
      </c>
      <c r="E4465" t="s">
        <v>41</v>
      </c>
      <c r="J4465" t="s">
        <v>76</v>
      </c>
      <c r="K4465" t="s">
        <v>77</v>
      </c>
      <c r="L4465">
        <v>9</v>
      </c>
      <c r="M4465" t="s">
        <v>14991</v>
      </c>
      <c r="N4465" t="s">
        <v>64</v>
      </c>
      <c r="O4465" t="s">
        <v>46</v>
      </c>
      <c r="P4465" t="s">
        <v>46</v>
      </c>
      <c r="Y4465" t="s">
        <v>14998</v>
      </c>
    </row>
    <row r="4466" spans="1:25">
      <c r="A4466" t="s">
        <v>14999</v>
      </c>
      <c r="B4466" t="s">
        <v>15000</v>
      </c>
      <c r="D4466" t="s">
        <v>40</v>
      </c>
      <c r="E4466" t="s">
        <v>41</v>
      </c>
      <c r="J4466" t="s">
        <v>68</v>
      </c>
      <c r="K4466" t="s">
        <v>69</v>
      </c>
      <c r="L4466">
        <v>9</v>
      </c>
      <c r="M4466" t="s">
        <v>14991</v>
      </c>
      <c r="N4466" t="s">
        <v>64</v>
      </c>
      <c r="O4466" t="s">
        <v>46</v>
      </c>
      <c r="P4466" t="s">
        <v>46</v>
      </c>
      <c r="Y4466" t="s">
        <v>15001</v>
      </c>
    </row>
    <row r="4467" spans="1:25">
      <c r="A4467" t="s">
        <v>15002</v>
      </c>
      <c r="B4467" t="s">
        <v>15003</v>
      </c>
      <c r="D4467" t="s">
        <v>40</v>
      </c>
      <c r="E4467" t="s">
        <v>41</v>
      </c>
      <c r="J4467" t="s">
        <v>42</v>
      </c>
      <c r="K4467" t="s">
        <v>43</v>
      </c>
      <c r="L4467">
        <v>9</v>
      </c>
      <c r="M4467" t="s">
        <v>14991</v>
      </c>
      <c r="N4467" t="s">
        <v>257</v>
      </c>
      <c r="O4467" t="s">
        <v>46</v>
      </c>
      <c r="P4467" t="s">
        <v>46</v>
      </c>
      <c r="Y4467" t="s">
        <v>15004</v>
      </c>
    </row>
    <row r="4468" spans="1:25">
      <c r="A4468" t="s">
        <v>15005</v>
      </c>
      <c r="B4468" t="s">
        <v>15006</v>
      </c>
      <c r="D4468" t="s">
        <v>40</v>
      </c>
      <c r="E4468" t="s">
        <v>41</v>
      </c>
      <c r="J4468" t="s">
        <v>76</v>
      </c>
      <c r="K4468" t="s">
        <v>77</v>
      </c>
      <c r="L4468">
        <v>9</v>
      </c>
      <c r="M4468" t="s">
        <v>14991</v>
      </c>
      <c r="N4468" t="s">
        <v>64</v>
      </c>
      <c r="O4468" t="s">
        <v>46</v>
      </c>
      <c r="P4468" t="s">
        <v>46</v>
      </c>
      <c r="Y4468" t="s">
        <v>15007</v>
      </c>
    </row>
    <row r="4469" spans="1:25">
      <c r="A4469" t="s">
        <v>15008</v>
      </c>
      <c r="B4469" t="s">
        <v>15009</v>
      </c>
      <c r="D4469" t="s">
        <v>40</v>
      </c>
      <c r="E4469" t="s">
        <v>41</v>
      </c>
      <c r="J4469" t="s">
        <v>76</v>
      </c>
      <c r="K4469" t="s">
        <v>77</v>
      </c>
      <c r="L4469">
        <v>9</v>
      </c>
      <c r="M4469" t="s">
        <v>14991</v>
      </c>
      <c r="N4469" t="s">
        <v>64</v>
      </c>
      <c r="O4469" t="s">
        <v>46</v>
      </c>
      <c r="P4469" t="s">
        <v>46</v>
      </c>
      <c r="Y4469" t="s">
        <v>15010</v>
      </c>
    </row>
    <row r="4470" spans="1:25">
      <c r="A4470" t="s">
        <v>15011</v>
      </c>
      <c r="B4470" t="s">
        <v>15012</v>
      </c>
      <c r="D4470" t="s">
        <v>40</v>
      </c>
      <c r="E4470" t="s">
        <v>41</v>
      </c>
      <c r="J4470" t="s">
        <v>76</v>
      </c>
      <c r="K4470" t="s">
        <v>77</v>
      </c>
      <c r="L4470">
        <v>9</v>
      </c>
      <c r="M4470" t="s">
        <v>15013</v>
      </c>
      <c r="N4470" t="s">
        <v>64</v>
      </c>
      <c r="O4470" t="s">
        <v>46</v>
      </c>
      <c r="P4470" t="s">
        <v>46</v>
      </c>
      <c r="Y4470" t="s">
        <v>15014</v>
      </c>
    </row>
    <row r="4471" spans="1:25">
      <c r="A4471" t="s">
        <v>15015</v>
      </c>
      <c r="B4471" t="s">
        <v>15016</v>
      </c>
      <c r="D4471" t="s">
        <v>40</v>
      </c>
      <c r="E4471" t="s">
        <v>41</v>
      </c>
      <c r="J4471" t="s">
        <v>76</v>
      </c>
      <c r="K4471" t="s">
        <v>77</v>
      </c>
      <c r="L4471">
        <v>9</v>
      </c>
      <c r="M4471" t="s">
        <v>15013</v>
      </c>
      <c r="N4471" t="s">
        <v>64</v>
      </c>
      <c r="O4471" t="s">
        <v>46</v>
      </c>
      <c r="P4471" t="s">
        <v>46</v>
      </c>
      <c r="Y4471" t="s">
        <v>15017</v>
      </c>
    </row>
    <row r="4472" spans="1:25">
      <c r="A4472" t="s">
        <v>15018</v>
      </c>
      <c r="B4472" t="s">
        <v>15019</v>
      </c>
      <c r="D4472" t="s">
        <v>40</v>
      </c>
      <c r="E4472" t="s">
        <v>41</v>
      </c>
      <c r="J4472" t="s">
        <v>182</v>
      </c>
      <c r="K4472" t="s">
        <v>183</v>
      </c>
      <c r="L4472">
        <v>9</v>
      </c>
      <c r="M4472" t="s">
        <v>15013</v>
      </c>
      <c r="N4472" t="s">
        <v>64</v>
      </c>
      <c r="O4472" t="s">
        <v>46</v>
      </c>
      <c r="P4472" t="s">
        <v>46</v>
      </c>
      <c r="Y4472" t="s">
        <v>15020</v>
      </c>
    </row>
    <row r="4473" spans="1:25">
      <c r="A4473" t="s">
        <v>15021</v>
      </c>
      <c r="B4473" t="s">
        <v>15022</v>
      </c>
      <c r="D4473" t="s">
        <v>40</v>
      </c>
      <c r="E4473" t="s">
        <v>41</v>
      </c>
      <c r="J4473" t="s">
        <v>182</v>
      </c>
      <c r="K4473" t="s">
        <v>183</v>
      </c>
      <c r="L4473">
        <v>9</v>
      </c>
      <c r="M4473" t="s">
        <v>15013</v>
      </c>
      <c r="N4473" t="s">
        <v>64</v>
      </c>
      <c r="O4473" t="s">
        <v>46</v>
      </c>
      <c r="P4473" t="s">
        <v>46</v>
      </c>
      <c r="Y4473" t="s">
        <v>15023</v>
      </c>
    </row>
    <row r="4474" spans="1:25">
      <c r="A4474" t="s">
        <v>15024</v>
      </c>
      <c r="B4474" t="s">
        <v>15025</v>
      </c>
      <c r="D4474" t="s">
        <v>40</v>
      </c>
      <c r="E4474" t="s">
        <v>41</v>
      </c>
      <c r="J4474" t="s">
        <v>182</v>
      </c>
      <c r="K4474" t="s">
        <v>183</v>
      </c>
      <c r="L4474">
        <v>9</v>
      </c>
      <c r="M4474" t="s">
        <v>15013</v>
      </c>
      <c r="N4474" t="s">
        <v>64</v>
      </c>
      <c r="O4474" t="s">
        <v>46</v>
      </c>
      <c r="P4474" t="s">
        <v>46</v>
      </c>
      <c r="Y4474" t="s">
        <v>15026</v>
      </c>
    </row>
    <row r="4475" spans="1:25">
      <c r="A4475" t="s">
        <v>15027</v>
      </c>
      <c r="B4475" t="s">
        <v>15028</v>
      </c>
      <c r="D4475" t="s">
        <v>40</v>
      </c>
      <c r="E4475" t="s">
        <v>41</v>
      </c>
      <c r="J4475" t="s">
        <v>182</v>
      </c>
      <c r="K4475" t="s">
        <v>183</v>
      </c>
      <c r="L4475">
        <v>9</v>
      </c>
      <c r="M4475" t="s">
        <v>15029</v>
      </c>
      <c r="N4475" t="s">
        <v>64</v>
      </c>
      <c r="O4475" t="s">
        <v>46</v>
      </c>
      <c r="P4475" t="s">
        <v>46</v>
      </c>
      <c r="Y4475" t="s">
        <v>15030</v>
      </c>
    </row>
    <row r="4476" spans="1:25">
      <c r="A4476" t="s">
        <v>15031</v>
      </c>
      <c r="B4476" t="s">
        <v>15032</v>
      </c>
      <c r="D4476" t="s">
        <v>40</v>
      </c>
      <c r="E4476" t="s">
        <v>41</v>
      </c>
      <c r="J4476" t="s">
        <v>68</v>
      </c>
      <c r="K4476" t="s">
        <v>69</v>
      </c>
      <c r="L4476">
        <v>9</v>
      </c>
      <c r="M4476" t="s">
        <v>15033</v>
      </c>
      <c r="N4476" t="s">
        <v>64</v>
      </c>
      <c r="O4476" t="s">
        <v>46</v>
      </c>
      <c r="P4476" t="s">
        <v>46</v>
      </c>
      <c r="Y4476" t="s">
        <v>15034</v>
      </c>
    </row>
    <row r="4477" spans="1:25">
      <c r="A4477" t="s">
        <v>15035</v>
      </c>
      <c r="B4477" t="s">
        <v>15036</v>
      </c>
      <c r="D4477" t="s">
        <v>40</v>
      </c>
      <c r="E4477" t="s">
        <v>41</v>
      </c>
      <c r="J4477" t="s">
        <v>182</v>
      </c>
      <c r="K4477" t="s">
        <v>183</v>
      </c>
      <c r="L4477">
        <v>9</v>
      </c>
      <c r="M4477" t="s">
        <v>15037</v>
      </c>
      <c r="N4477" t="s">
        <v>64</v>
      </c>
      <c r="O4477" t="s">
        <v>46</v>
      </c>
      <c r="P4477" t="s">
        <v>46</v>
      </c>
      <c r="Y4477" t="s">
        <v>15038</v>
      </c>
    </row>
    <row r="4478" spans="1:25">
      <c r="A4478" t="s">
        <v>15039</v>
      </c>
      <c r="B4478" t="s">
        <v>15040</v>
      </c>
      <c r="D4478" t="s">
        <v>40</v>
      </c>
      <c r="E4478" t="s">
        <v>41</v>
      </c>
      <c r="J4478" t="s">
        <v>76</v>
      </c>
      <c r="K4478" t="s">
        <v>77</v>
      </c>
      <c r="L4478">
        <v>9</v>
      </c>
      <c r="M4478" t="s">
        <v>15037</v>
      </c>
      <c r="N4478" t="s">
        <v>64</v>
      </c>
      <c r="O4478" t="s">
        <v>46</v>
      </c>
      <c r="P4478" t="s">
        <v>46</v>
      </c>
      <c r="Y4478" t="s">
        <v>15041</v>
      </c>
    </row>
    <row r="4479" spans="1:25">
      <c r="A4479" t="s">
        <v>15042</v>
      </c>
      <c r="B4479" t="s">
        <v>15043</v>
      </c>
      <c r="D4479" t="s">
        <v>40</v>
      </c>
      <c r="E4479" t="s">
        <v>41</v>
      </c>
      <c r="J4479" t="s">
        <v>76</v>
      </c>
      <c r="K4479" t="s">
        <v>77</v>
      </c>
      <c r="L4479">
        <v>9</v>
      </c>
      <c r="M4479" t="s">
        <v>15044</v>
      </c>
      <c r="N4479" t="s">
        <v>64</v>
      </c>
      <c r="O4479" t="s">
        <v>46</v>
      </c>
      <c r="P4479" t="s">
        <v>46</v>
      </c>
      <c r="Y4479" t="s">
        <v>15045</v>
      </c>
    </row>
    <row r="4480" spans="1:25">
      <c r="A4480" t="s">
        <v>15046</v>
      </c>
      <c r="B4480" t="s">
        <v>15047</v>
      </c>
      <c r="D4480" t="s">
        <v>40</v>
      </c>
      <c r="E4480" t="s">
        <v>41</v>
      </c>
      <c r="J4480" t="s">
        <v>76</v>
      </c>
      <c r="K4480" t="s">
        <v>77</v>
      </c>
      <c r="L4480">
        <v>9</v>
      </c>
      <c r="M4480" t="s">
        <v>15044</v>
      </c>
      <c r="N4480" t="s">
        <v>64</v>
      </c>
      <c r="O4480" t="s">
        <v>46</v>
      </c>
      <c r="P4480" t="s">
        <v>46</v>
      </c>
      <c r="Y4480" t="s">
        <v>15048</v>
      </c>
    </row>
    <row r="4481" spans="1:25">
      <c r="A4481" t="s">
        <v>15049</v>
      </c>
      <c r="B4481" t="s">
        <v>15050</v>
      </c>
      <c r="D4481" t="s">
        <v>40</v>
      </c>
      <c r="E4481" t="s">
        <v>41</v>
      </c>
      <c r="J4481" t="s">
        <v>68</v>
      </c>
      <c r="K4481" t="s">
        <v>69</v>
      </c>
      <c r="L4481">
        <v>9</v>
      </c>
      <c r="M4481" t="s">
        <v>15044</v>
      </c>
      <c r="N4481" t="s">
        <v>64</v>
      </c>
      <c r="O4481" t="s">
        <v>46</v>
      </c>
      <c r="P4481" t="s">
        <v>46</v>
      </c>
      <c r="Y4481" t="s">
        <v>15051</v>
      </c>
    </row>
    <row r="4482" spans="1:25">
      <c r="A4482" t="s">
        <v>15052</v>
      </c>
      <c r="B4482" t="s">
        <v>15053</v>
      </c>
      <c r="D4482" t="s">
        <v>40</v>
      </c>
      <c r="E4482" t="s">
        <v>41</v>
      </c>
      <c r="J4482" t="s">
        <v>50</v>
      </c>
      <c r="K4482" t="s">
        <v>51</v>
      </c>
      <c r="L4482">
        <v>14</v>
      </c>
      <c r="M4482" t="s">
        <v>15054</v>
      </c>
      <c r="N4482" t="s">
        <v>350</v>
      </c>
      <c r="O4482" t="s">
        <v>46</v>
      </c>
      <c r="P4482" t="s">
        <v>46</v>
      </c>
      <c r="Y4482" t="s">
        <v>15055</v>
      </c>
    </row>
    <row r="4483" spans="1:25">
      <c r="A4483" t="s">
        <v>15056</v>
      </c>
      <c r="B4483" t="s">
        <v>15057</v>
      </c>
      <c r="D4483" t="s">
        <v>40</v>
      </c>
      <c r="E4483" t="s">
        <v>41</v>
      </c>
      <c r="J4483" t="s">
        <v>182</v>
      </c>
      <c r="K4483" t="s">
        <v>183</v>
      </c>
      <c r="L4483">
        <v>9</v>
      </c>
      <c r="M4483" t="s">
        <v>15058</v>
      </c>
      <c r="N4483" t="s">
        <v>64</v>
      </c>
      <c r="O4483" t="s">
        <v>46</v>
      </c>
      <c r="P4483" t="s">
        <v>46</v>
      </c>
      <c r="Y4483" t="s">
        <v>15059</v>
      </c>
    </row>
    <row r="4484" spans="1:25">
      <c r="A4484" t="s">
        <v>15060</v>
      </c>
      <c r="B4484" t="s">
        <v>15061</v>
      </c>
      <c r="D4484" t="s">
        <v>40</v>
      </c>
      <c r="E4484" t="s">
        <v>41</v>
      </c>
      <c r="J4484" t="s">
        <v>68</v>
      </c>
      <c r="K4484" t="s">
        <v>69</v>
      </c>
      <c r="L4484">
        <v>9</v>
      </c>
      <c r="M4484" t="s">
        <v>15058</v>
      </c>
      <c r="N4484" t="s">
        <v>64</v>
      </c>
      <c r="O4484" t="s">
        <v>46</v>
      </c>
      <c r="P4484" t="s">
        <v>46</v>
      </c>
      <c r="Y4484" t="s">
        <v>15062</v>
      </c>
    </row>
    <row r="4485" spans="1:25">
      <c r="A4485" t="s">
        <v>15063</v>
      </c>
      <c r="B4485" t="s">
        <v>15064</v>
      </c>
      <c r="D4485" t="s">
        <v>40</v>
      </c>
      <c r="E4485" t="s">
        <v>41</v>
      </c>
      <c r="J4485" t="s">
        <v>182</v>
      </c>
      <c r="K4485" t="s">
        <v>183</v>
      </c>
      <c r="L4485">
        <v>9</v>
      </c>
      <c r="M4485" t="s">
        <v>15065</v>
      </c>
      <c r="N4485" t="s">
        <v>64</v>
      </c>
      <c r="O4485" t="s">
        <v>46</v>
      </c>
      <c r="P4485" t="s">
        <v>46</v>
      </c>
      <c r="Y4485" t="s">
        <v>15066</v>
      </c>
    </row>
    <row r="4486" spans="1:25">
      <c r="A4486" t="s">
        <v>15067</v>
      </c>
      <c r="B4486" t="s">
        <v>15068</v>
      </c>
      <c r="D4486" t="s">
        <v>40</v>
      </c>
      <c r="E4486" t="s">
        <v>41</v>
      </c>
      <c r="J4486" t="s">
        <v>76</v>
      </c>
      <c r="K4486" t="s">
        <v>77</v>
      </c>
      <c r="L4486">
        <v>9</v>
      </c>
      <c r="M4486" t="s">
        <v>15065</v>
      </c>
      <c r="N4486" t="s">
        <v>64</v>
      </c>
      <c r="O4486" t="s">
        <v>46</v>
      </c>
      <c r="P4486" t="s">
        <v>46</v>
      </c>
      <c r="Y4486" t="s">
        <v>15069</v>
      </c>
    </row>
    <row r="4487" spans="1:25">
      <c r="A4487" t="s">
        <v>15070</v>
      </c>
      <c r="B4487" t="s">
        <v>15071</v>
      </c>
      <c r="D4487" t="s">
        <v>40</v>
      </c>
      <c r="E4487" t="s">
        <v>41</v>
      </c>
      <c r="J4487" t="s">
        <v>76</v>
      </c>
      <c r="K4487" t="s">
        <v>77</v>
      </c>
      <c r="L4487">
        <v>9</v>
      </c>
      <c r="M4487" t="s">
        <v>15065</v>
      </c>
      <c r="N4487" t="s">
        <v>64</v>
      </c>
      <c r="O4487" t="s">
        <v>46</v>
      </c>
      <c r="P4487" t="s">
        <v>46</v>
      </c>
      <c r="Y4487" t="s">
        <v>15072</v>
      </c>
    </row>
    <row r="4488" spans="1:25">
      <c r="A4488" t="s">
        <v>15073</v>
      </c>
      <c r="B4488" t="s">
        <v>15074</v>
      </c>
      <c r="D4488" t="s">
        <v>40</v>
      </c>
      <c r="E4488" t="s">
        <v>41</v>
      </c>
      <c r="J4488" t="s">
        <v>42</v>
      </c>
      <c r="K4488" t="s">
        <v>43</v>
      </c>
      <c r="L4488">
        <v>9</v>
      </c>
      <c r="M4488" t="s">
        <v>15065</v>
      </c>
      <c r="N4488" t="s">
        <v>2346</v>
      </c>
      <c r="O4488" t="s">
        <v>46</v>
      </c>
      <c r="P4488" t="s">
        <v>46</v>
      </c>
      <c r="Y4488" t="s">
        <v>15075</v>
      </c>
    </row>
    <row r="4489" spans="1:25">
      <c r="A4489" t="s">
        <v>15076</v>
      </c>
      <c r="B4489" t="s">
        <v>15077</v>
      </c>
      <c r="D4489" t="s">
        <v>40</v>
      </c>
      <c r="E4489" t="s">
        <v>41</v>
      </c>
      <c r="J4489" t="s">
        <v>76</v>
      </c>
      <c r="K4489" t="s">
        <v>77</v>
      </c>
      <c r="L4489">
        <v>9</v>
      </c>
      <c r="M4489" t="s">
        <v>15065</v>
      </c>
      <c r="N4489" t="s">
        <v>64</v>
      </c>
      <c r="O4489" t="s">
        <v>46</v>
      </c>
      <c r="P4489" t="s">
        <v>46</v>
      </c>
      <c r="Y4489" t="s">
        <v>15078</v>
      </c>
    </row>
    <row r="4490" spans="1:25">
      <c r="A4490" t="s">
        <v>15079</v>
      </c>
      <c r="B4490" t="s">
        <v>15080</v>
      </c>
      <c r="D4490" t="s">
        <v>40</v>
      </c>
      <c r="E4490" t="s">
        <v>41</v>
      </c>
      <c r="J4490" t="s">
        <v>182</v>
      </c>
      <c r="K4490" t="s">
        <v>183</v>
      </c>
      <c r="L4490">
        <v>9</v>
      </c>
      <c r="M4490" t="s">
        <v>15081</v>
      </c>
      <c r="N4490" t="s">
        <v>64</v>
      </c>
      <c r="O4490" t="s">
        <v>46</v>
      </c>
      <c r="P4490" t="s">
        <v>46</v>
      </c>
      <c r="Y4490" t="s">
        <v>15082</v>
      </c>
    </row>
    <row r="4491" spans="1:25">
      <c r="A4491" t="s">
        <v>15083</v>
      </c>
      <c r="B4491" t="s">
        <v>15084</v>
      </c>
      <c r="D4491" t="s">
        <v>40</v>
      </c>
      <c r="E4491" t="s">
        <v>41</v>
      </c>
      <c r="J4491" t="s">
        <v>182</v>
      </c>
      <c r="K4491" t="s">
        <v>183</v>
      </c>
      <c r="L4491">
        <v>9</v>
      </c>
      <c r="M4491" t="s">
        <v>15081</v>
      </c>
      <c r="N4491" t="s">
        <v>64</v>
      </c>
      <c r="O4491" t="s">
        <v>46</v>
      </c>
      <c r="P4491" t="s">
        <v>46</v>
      </c>
      <c r="Y4491" t="s">
        <v>15085</v>
      </c>
    </row>
    <row r="4492" spans="1:25">
      <c r="A4492" t="s">
        <v>15086</v>
      </c>
      <c r="B4492" t="s">
        <v>15087</v>
      </c>
      <c r="D4492" t="s">
        <v>40</v>
      </c>
      <c r="E4492" t="s">
        <v>41</v>
      </c>
      <c r="J4492" t="s">
        <v>68</v>
      </c>
      <c r="K4492" t="s">
        <v>69</v>
      </c>
      <c r="L4492">
        <v>9</v>
      </c>
      <c r="M4492" t="s">
        <v>15088</v>
      </c>
      <c r="N4492" t="s">
        <v>64</v>
      </c>
      <c r="O4492" t="s">
        <v>46</v>
      </c>
      <c r="P4492" t="s">
        <v>46</v>
      </c>
      <c r="Y4492" t="s">
        <v>15089</v>
      </c>
    </row>
    <row r="4493" spans="1:25">
      <c r="A4493" t="s">
        <v>15090</v>
      </c>
      <c r="B4493" t="s">
        <v>15091</v>
      </c>
      <c r="D4493" t="s">
        <v>40</v>
      </c>
      <c r="E4493" t="s">
        <v>41</v>
      </c>
      <c r="J4493" t="s">
        <v>182</v>
      </c>
      <c r="K4493" t="s">
        <v>183</v>
      </c>
      <c r="L4493">
        <v>9</v>
      </c>
      <c r="M4493" t="s">
        <v>15088</v>
      </c>
      <c r="N4493" t="s">
        <v>64</v>
      </c>
      <c r="O4493" t="s">
        <v>46</v>
      </c>
      <c r="P4493" t="s">
        <v>46</v>
      </c>
      <c r="Y4493" t="s">
        <v>15092</v>
      </c>
    </row>
    <row r="4494" spans="1:25">
      <c r="A4494" t="s">
        <v>15093</v>
      </c>
      <c r="B4494" t="s">
        <v>15094</v>
      </c>
      <c r="D4494" t="s">
        <v>40</v>
      </c>
      <c r="E4494" t="s">
        <v>41</v>
      </c>
      <c r="J4494" t="s">
        <v>42</v>
      </c>
      <c r="K4494" t="s">
        <v>43</v>
      </c>
      <c r="L4494">
        <v>9</v>
      </c>
      <c r="M4494" t="s">
        <v>15088</v>
      </c>
      <c r="N4494" t="s">
        <v>178</v>
      </c>
      <c r="O4494" t="s">
        <v>46</v>
      </c>
      <c r="P4494" t="s">
        <v>46</v>
      </c>
      <c r="Y4494" t="s">
        <v>15095</v>
      </c>
    </row>
    <row r="4495" spans="1:25">
      <c r="A4495" t="s">
        <v>15096</v>
      </c>
      <c r="B4495" t="s">
        <v>15097</v>
      </c>
      <c r="D4495" t="s">
        <v>40</v>
      </c>
      <c r="E4495" t="s">
        <v>41</v>
      </c>
      <c r="J4495" t="s">
        <v>182</v>
      </c>
      <c r="K4495" t="s">
        <v>183</v>
      </c>
      <c r="L4495">
        <v>9</v>
      </c>
      <c r="M4495" t="s">
        <v>15098</v>
      </c>
      <c r="N4495" t="s">
        <v>64</v>
      </c>
      <c r="O4495" t="s">
        <v>46</v>
      </c>
      <c r="P4495" t="s">
        <v>46</v>
      </c>
      <c r="Y4495" t="s">
        <v>15099</v>
      </c>
    </row>
    <row r="4496" spans="1:25">
      <c r="A4496" t="s">
        <v>15100</v>
      </c>
      <c r="B4496" t="s">
        <v>15101</v>
      </c>
      <c r="D4496" t="s">
        <v>40</v>
      </c>
      <c r="E4496" t="s">
        <v>41</v>
      </c>
      <c r="J4496" t="s">
        <v>182</v>
      </c>
      <c r="K4496" t="s">
        <v>183</v>
      </c>
      <c r="L4496">
        <v>9</v>
      </c>
      <c r="M4496" t="s">
        <v>15098</v>
      </c>
      <c r="N4496" t="s">
        <v>64</v>
      </c>
      <c r="O4496" t="s">
        <v>46</v>
      </c>
      <c r="P4496" t="s">
        <v>46</v>
      </c>
      <c r="Y4496" t="s">
        <v>15102</v>
      </c>
    </row>
    <row r="4497" spans="1:25">
      <c r="A4497" t="s">
        <v>15103</v>
      </c>
      <c r="B4497" t="s">
        <v>15104</v>
      </c>
      <c r="D4497" t="s">
        <v>40</v>
      </c>
      <c r="E4497" t="s">
        <v>41</v>
      </c>
      <c r="J4497" t="s">
        <v>182</v>
      </c>
      <c r="K4497" t="s">
        <v>183</v>
      </c>
      <c r="L4497">
        <v>9</v>
      </c>
      <c r="M4497" t="s">
        <v>15098</v>
      </c>
      <c r="N4497" t="s">
        <v>64</v>
      </c>
      <c r="O4497" t="s">
        <v>46</v>
      </c>
      <c r="P4497" t="s">
        <v>46</v>
      </c>
      <c r="Y4497" t="s">
        <v>15105</v>
      </c>
    </row>
    <row r="4498" spans="1:25">
      <c r="A4498" t="s">
        <v>15106</v>
      </c>
      <c r="B4498" t="s">
        <v>15107</v>
      </c>
      <c r="D4498" t="s">
        <v>40</v>
      </c>
      <c r="E4498" t="s">
        <v>41</v>
      </c>
      <c r="J4498" t="s">
        <v>182</v>
      </c>
      <c r="K4498" t="s">
        <v>183</v>
      </c>
      <c r="L4498">
        <v>9</v>
      </c>
      <c r="M4498" t="s">
        <v>15098</v>
      </c>
      <c r="N4498" t="s">
        <v>64</v>
      </c>
      <c r="O4498" t="s">
        <v>46</v>
      </c>
      <c r="P4498" t="s">
        <v>46</v>
      </c>
      <c r="Y4498" t="s">
        <v>15108</v>
      </c>
    </row>
    <row r="4499" spans="1:25">
      <c r="A4499" t="s">
        <v>15109</v>
      </c>
      <c r="B4499" t="s">
        <v>15110</v>
      </c>
      <c r="D4499" t="s">
        <v>40</v>
      </c>
      <c r="E4499" t="s">
        <v>41</v>
      </c>
      <c r="J4499" t="s">
        <v>182</v>
      </c>
      <c r="K4499" t="s">
        <v>183</v>
      </c>
      <c r="L4499">
        <v>9</v>
      </c>
      <c r="M4499" t="s">
        <v>15111</v>
      </c>
      <c r="N4499" t="s">
        <v>64</v>
      </c>
      <c r="O4499" t="s">
        <v>46</v>
      </c>
      <c r="P4499" t="s">
        <v>46</v>
      </c>
      <c r="Y4499" t="s">
        <v>15112</v>
      </c>
    </row>
    <row r="4500" spans="1:25">
      <c r="A4500" t="s">
        <v>15113</v>
      </c>
      <c r="B4500" t="s">
        <v>15114</v>
      </c>
      <c r="D4500" t="s">
        <v>40</v>
      </c>
      <c r="E4500" t="s">
        <v>41</v>
      </c>
      <c r="J4500" t="s">
        <v>182</v>
      </c>
      <c r="K4500" t="s">
        <v>183</v>
      </c>
      <c r="L4500">
        <v>9</v>
      </c>
      <c r="M4500" t="s">
        <v>15111</v>
      </c>
      <c r="N4500" t="s">
        <v>64</v>
      </c>
      <c r="O4500" t="s">
        <v>46</v>
      </c>
      <c r="P4500" t="s">
        <v>46</v>
      </c>
      <c r="Y4500" t="s">
        <v>15115</v>
      </c>
    </row>
    <row r="4501" spans="1:25">
      <c r="A4501" t="s">
        <v>15116</v>
      </c>
      <c r="B4501" t="s">
        <v>15117</v>
      </c>
      <c r="D4501" t="s">
        <v>40</v>
      </c>
      <c r="E4501" t="s">
        <v>41</v>
      </c>
      <c r="J4501" t="s">
        <v>182</v>
      </c>
      <c r="K4501" t="s">
        <v>183</v>
      </c>
      <c r="L4501">
        <v>9</v>
      </c>
      <c r="M4501" t="s">
        <v>15111</v>
      </c>
      <c r="N4501" t="s">
        <v>64</v>
      </c>
      <c r="O4501" t="s">
        <v>46</v>
      </c>
      <c r="P4501" t="s">
        <v>46</v>
      </c>
      <c r="Y4501" t="s">
        <v>15118</v>
      </c>
    </row>
    <row r="4502" spans="1:25">
      <c r="A4502" t="s">
        <v>15119</v>
      </c>
      <c r="B4502" t="s">
        <v>15120</v>
      </c>
      <c r="D4502" t="s">
        <v>40</v>
      </c>
      <c r="E4502" t="s">
        <v>41</v>
      </c>
      <c r="J4502" t="s">
        <v>182</v>
      </c>
      <c r="K4502" t="s">
        <v>183</v>
      </c>
      <c r="L4502">
        <v>9</v>
      </c>
      <c r="M4502" t="s">
        <v>15111</v>
      </c>
      <c r="N4502" t="s">
        <v>64</v>
      </c>
      <c r="O4502" t="s">
        <v>46</v>
      </c>
      <c r="P4502" t="s">
        <v>46</v>
      </c>
      <c r="Y4502" t="s">
        <v>15121</v>
      </c>
    </row>
    <row r="4503" spans="1:25">
      <c r="A4503" t="s">
        <v>15122</v>
      </c>
      <c r="B4503" t="s">
        <v>15123</v>
      </c>
      <c r="D4503" t="s">
        <v>40</v>
      </c>
      <c r="E4503" t="s">
        <v>41</v>
      </c>
      <c r="J4503" t="s">
        <v>182</v>
      </c>
      <c r="K4503" t="s">
        <v>183</v>
      </c>
      <c r="L4503">
        <v>9</v>
      </c>
      <c r="M4503" t="s">
        <v>15124</v>
      </c>
      <c r="N4503" t="s">
        <v>64</v>
      </c>
      <c r="O4503" t="s">
        <v>46</v>
      </c>
      <c r="P4503" t="s">
        <v>46</v>
      </c>
      <c r="Y4503" t="s">
        <v>15125</v>
      </c>
    </row>
    <row r="4504" spans="1:25">
      <c r="A4504" t="s">
        <v>15126</v>
      </c>
      <c r="B4504" t="s">
        <v>15127</v>
      </c>
      <c r="D4504" t="s">
        <v>40</v>
      </c>
      <c r="E4504" t="s">
        <v>41</v>
      </c>
      <c r="J4504" t="s">
        <v>76</v>
      </c>
      <c r="K4504" t="s">
        <v>77</v>
      </c>
      <c r="L4504">
        <v>9</v>
      </c>
      <c r="M4504" t="s">
        <v>15124</v>
      </c>
      <c r="N4504" t="s">
        <v>64</v>
      </c>
      <c r="O4504" t="s">
        <v>46</v>
      </c>
      <c r="P4504" t="s">
        <v>46</v>
      </c>
      <c r="Y4504" t="s">
        <v>15128</v>
      </c>
    </row>
    <row r="4505" spans="1:25">
      <c r="A4505" t="s">
        <v>15129</v>
      </c>
      <c r="B4505" t="s">
        <v>15130</v>
      </c>
      <c r="D4505" t="s">
        <v>40</v>
      </c>
      <c r="E4505" t="s">
        <v>41</v>
      </c>
      <c r="J4505" t="s">
        <v>182</v>
      </c>
      <c r="K4505" t="s">
        <v>183</v>
      </c>
      <c r="L4505">
        <v>9</v>
      </c>
      <c r="M4505" t="s">
        <v>15124</v>
      </c>
      <c r="N4505" t="s">
        <v>64</v>
      </c>
      <c r="O4505" t="s">
        <v>46</v>
      </c>
      <c r="P4505" t="s">
        <v>46</v>
      </c>
      <c r="Y4505" t="s">
        <v>15131</v>
      </c>
    </row>
    <row r="4506" spans="1:25">
      <c r="A4506" t="s">
        <v>15132</v>
      </c>
      <c r="B4506" t="s">
        <v>15133</v>
      </c>
      <c r="D4506" t="s">
        <v>40</v>
      </c>
      <c r="E4506" t="s">
        <v>41</v>
      </c>
      <c r="J4506" t="s">
        <v>182</v>
      </c>
      <c r="K4506" t="s">
        <v>183</v>
      </c>
      <c r="L4506">
        <v>9</v>
      </c>
      <c r="M4506" t="s">
        <v>15134</v>
      </c>
      <c r="N4506" t="s">
        <v>64</v>
      </c>
      <c r="O4506" t="s">
        <v>46</v>
      </c>
      <c r="P4506" t="s">
        <v>46</v>
      </c>
      <c r="Y4506" t="s">
        <v>15135</v>
      </c>
    </row>
    <row r="4507" spans="1:25">
      <c r="A4507" t="s">
        <v>15136</v>
      </c>
      <c r="B4507" t="s">
        <v>15137</v>
      </c>
      <c r="D4507" t="s">
        <v>40</v>
      </c>
      <c r="E4507" t="s">
        <v>41</v>
      </c>
      <c r="J4507" t="s">
        <v>182</v>
      </c>
      <c r="K4507" t="s">
        <v>183</v>
      </c>
      <c r="L4507">
        <v>9</v>
      </c>
      <c r="M4507" t="s">
        <v>15134</v>
      </c>
      <c r="N4507" t="s">
        <v>64</v>
      </c>
      <c r="O4507" t="s">
        <v>46</v>
      </c>
      <c r="P4507" t="s">
        <v>46</v>
      </c>
      <c r="Y4507" t="s">
        <v>15138</v>
      </c>
    </row>
    <row r="4508" spans="1:25">
      <c r="A4508" t="s">
        <v>15139</v>
      </c>
      <c r="B4508" t="s">
        <v>15140</v>
      </c>
      <c r="D4508" t="s">
        <v>40</v>
      </c>
      <c r="E4508" t="s">
        <v>41</v>
      </c>
      <c r="J4508" t="s">
        <v>182</v>
      </c>
      <c r="K4508" t="s">
        <v>183</v>
      </c>
      <c r="L4508">
        <v>9</v>
      </c>
      <c r="M4508" t="s">
        <v>15134</v>
      </c>
      <c r="N4508" t="s">
        <v>64</v>
      </c>
      <c r="O4508" t="s">
        <v>46</v>
      </c>
      <c r="P4508" t="s">
        <v>46</v>
      </c>
      <c r="Y4508" t="s">
        <v>15141</v>
      </c>
    </row>
    <row r="4509" spans="1:25">
      <c r="A4509" t="s">
        <v>15142</v>
      </c>
      <c r="B4509" t="s">
        <v>15143</v>
      </c>
      <c r="D4509" t="s">
        <v>40</v>
      </c>
      <c r="E4509" t="s">
        <v>41</v>
      </c>
      <c r="J4509" t="s">
        <v>182</v>
      </c>
      <c r="K4509" t="s">
        <v>183</v>
      </c>
      <c r="L4509">
        <v>9</v>
      </c>
      <c r="M4509" t="s">
        <v>15134</v>
      </c>
      <c r="N4509" t="s">
        <v>64</v>
      </c>
      <c r="O4509" t="s">
        <v>46</v>
      </c>
      <c r="P4509" t="s">
        <v>46</v>
      </c>
      <c r="Y4509" t="s">
        <v>15144</v>
      </c>
    </row>
    <row r="4510" spans="1:25">
      <c r="A4510" t="s">
        <v>15145</v>
      </c>
      <c r="B4510" t="s">
        <v>15146</v>
      </c>
      <c r="D4510" t="s">
        <v>40</v>
      </c>
      <c r="E4510" t="s">
        <v>41</v>
      </c>
      <c r="J4510" t="s">
        <v>182</v>
      </c>
      <c r="K4510" t="s">
        <v>183</v>
      </c>
      <c r="L4510">
        <v>9</v>
      </c>
      <c r="M4510" t="s">
        <v>15147</v>
      </c>
      <c r="N4510" t="s">
        <v>64</v>
      </c>
      <c r="O4510" t="s">
        <v>46</v>
      </c>
      <c r="P4510" t="s">
        <v>46</v>
      </c>
      <c r="Y4510" t="s">
        <v>15148</v>
      </c>
    </row>
    <row r="4511" spans="1:25">
      <c r="A4511" t="s">
        <v>15149</v>
      </c>
      <c r="B4511" t="s">
        <v>15150</v>
      </c>
      <c r="D4511" t="s">
        <v>40</v>
      </c>
      <c r="E4511" t="s">
        <v>41</v>
      </c>
      <c r="J4511" t="s">
        <v>76</v>
      </c>
      <c r="K4511" t="s">
        <v>77</v>
      </c>
      <c r="L4511">
        <v>9</v>
      </c>
      <c r="M4511" t="s">
        <v>15151</v>
      </c>
      <c r="N4511" t="s">
        <v>64</v>
      </c>
      <c r="O4511" t="s">
        <v>46</v>
      </c>
      <c r="P4511" t="s">
        <v>46</v>
      </c>
      <c r="Y4511" t="s">
        <v>15152</v>
      </c>
    </row>
    <row r="4512" spans="1:25">
      <c r="A4512" t="s">
        <v>15153</v>
      </c>
      <c r="B4512" t="s">
        <v>15154</v>
      </c>
      <c r="D4512" t="s">
        <v>40</v>
      </c>
      <c r="E4512" t="s">
        <v>41</v>
      </c>
      <c r="J4512" t="s">
        <v>182</v>
      </c>
      <c r="K4512" t="s">
        <v>183</v>
      </c>
      <c r="L4512">
        <v>9</v>
      </c>
      <c r="M4512" t="s">
        <v>15151</v>
      </c>
      <c r="N4512" t="s">
        <v>64</v>
      </c>
      <c r="O4512" t="s">
        <v>46</v>
      </c>
      <c r="P4512" t="s">
        <v>46</v>
      </c>
      <c r="Y4512" t="s">
        <v>15155</v>
      </c>
    </row>
    <row r="4513" spans="1:25">
      <c r="A4513" t="s">
        <v>15156</v>
      </c>
      <c r="B4513" t="s">
        <v>15157</v>
      </c>
      <c r="D4513" t="s">
        <v>40</v>
      </c>
      <c r="E4513" t="s">
        <v>41</v>
      </c>
      <c r="J4513" t="s">
        <v>68</v>
      </c>
      <c r="K4513" t="s">
        <v>69</v>
      </c>
      <c r="L4513">
        <v>9</v>
      </c>
      <c r="M4513" t="s">
        <v>15151</v>
      </c>
      <c r="N4513" t="s">
        <v>64</v>
      </c>
      <c r="O4513" t="s">
        <v>46</v>
      </c>
      <c r="P4513" t="s">
        <v>46</v>
      </c>
      <c r="Y4513" t="s">
        <v>15158</v>
      </c>
    </row>
    <row r="4514" spans="1:25">
      <c r="A4514" t="s">
        <v>15159</v>
      </c>
      <c r="B4514" t="s">
        <v>15160</v>
      </c>
      <c r="D4514" t="s">
        <v>40</v>
      </c>
      <c r="E4514" t="s">
        <v>41</v>
      </c>
      <c r="J4514" t="s">
        <v>182</v>
      </c>
      <c r="K4514" t="s">
        <v>183</v>
      </c>
      <c r="L4514">
        <v>9</v>
      </c>
      <c r="M4514" t="s">
        <v>15151</v>
      </c>
      <c r="N4514" t="s">
        <v>64</v>
      </c>
      <c r="O4514" t="s">
        <v>46</v>
      </c>
      <c r="P4514" t="s">
        <v>46</v>
      </c>
      <c r="Y4514" t="s">
        <v>15161</v>
      </c>
    </row>
    <row r="4515" spans="1:25">
      <c r="A4515" t="s">
        <v>15162</v>
      </c>
      <c r="B4515" t="s">
        <v>15163</v>
      </c>
      <c r="D4515" t="s">
        <v>40</v>
      </c>
      <c r="E4515" t="s">
        <v>41</v>
      </c>
      <c r="J4515" t="s">
        <v>248</v>
      </c>
      <c r="K4515" t="s">
        <v>249</v>
      </c>
      <c r="L4515">
        <v>9</v>
      </c>
      <c r="M4515" t="s">
        <v>15164</v>
      </c>
      <c r="N4515" t="s">
        <v>210</v>
      </c>
      <c r="O4515" t="s">
        <v>46</v>
      </c>
      <c r="P4515" t="s">
        <v>46</v>
      </c>
      <c r="Y4515" t="s">
        <v>15165</v>
      </c>
    </row>
    <row r="4516" spans="1:25">
      <c r="A4516" t="s">
        <v>15166</v>
      </c>
      <c r="B4516" t="s">
        <v>15167</v>
      </c>
      <c r="D4516" t="s">
        <v>40</v>
      </c>
      <c r="E4516" t="s">
        <v>41</v>
      </c>
      <c r="J4516" t="s">
        <v>182</v>
      </c>
      <c r="K4516" t="s">
        <v>183</v>
      </c>
      <c r="L4516">
        <v>9</v>
      </c>
      <c r="M4516" t="s">
        <v>15164</v>
      </c>
      <c r="N4516" t="s">
        <v>64</v>
      </c>
      <c r="O4516" t="s">
        <v>46</v>
      </c>
      <c r="P4516" t="s">
        <v>46</v>
      </c>
      <c r="Y4516" t="s">
        <v>15168</v>
      </c>
    </row>
    <row r="4517" spans="1:25">
      <c r="A4517" t="s">
        <v>15169</v>
      </c>
      <c r="B4517" t="s">
        <v>15170</v>
      </c>
      <c r="D4517" t="s">
        <v>40</v>
      </c>
      <c r="E4517" t="s">
        <v>41</v>
      </c>
      <c r="J4517" t="s">
        <v>76</v>
      </c>
      <c r="K4517" t="s">
        <v>77</v>
      </c>
      <c r="L4517">
        <v>9</v>
      </c>
      <c r="M4517" t="s">
        <v>15164</v>
      </c>
      <c r="N4517" t="s">
        <v>64</v>
      </c>
      <c r="O4517" t="s">
        <v>46</v>
      </c>
      <c r="P4517" t="s">
        <v>46</v>
      </c>
      <c r="Y4517" t="s">
        <v>15171</v>
      </c>
    </row>
    <row r="4518" spans="1:25">
      <c r="A4518" t="s">
        <v>15172</v>
      </c>
      <c r="B4518" t="s">
        <v>15173</v>
      </c>
      <c r="D4518" t="s">
        <v>40</v>
      </c>
      <c r="E4518" t="s">
        <v>41</v>
      </c>
      <c r="J4518" t="s">
        <v>248</v>
      </c>
      <c r="K4518" t="s">
        <v>249</v>
      </c>
      <c r="L4518">
        <v>9</v>
      </c>
      <c r="M4518" t="s">
        <v>15164</v>
      </c>
      <c r="N4518" t="s">
        <v>173</v>
      </c>
      <c r="O4518" t="s">
        <v>46</v>
      </c>
      <c r="P4518" t="s">
        <v>46</v>
      </c>
      <c r="Y4518" t="s">
        <v>15174</v>
      </c>
    </row>
    <row r="4519" spans="1:25">
      <c r="A4519" t="s">
        <v>15175</v>
      </c>
      <c r="B4519" t="s">
        <v>15176</v>
      </c>
      <c r="D4519" t="s">
        <v>40</v>
      </c>
      <c r="E4519" t="s">
        <v>41</v>
      </c>
      <c r="J4519" t="s">
        <v>182</v>
      </c>
      <c r="K4519" t="s">
        <v>183</v>
      </c>
      <c r="L4519">
        <v>9</v>
      </c>
      <c r="M4519" t="s">
        <v>15164</v>
      </c>
      <c r="N4519" t="s">
        <v>64</v>
      </c>
      <c r="O4519" t="s">
        <v>46</v>
      </c>
      <c r="P4519" t="s">
        <v>46</v>
      </c>
      <c r="Y4519" t="s">
        <v>15177</v>
      </c>
    </row>
    <row r="4520" spans="1:25">
      <c r="A4520" t="s">
        <v>15178</v>
      </c>
      <c r="B4520" t="s">
        <v>15179</v>
      </c>
      <c r="D4520" t="s">
        <v>40</v>
      </c>
      <c r="E4520" t="s">
        <v>41</v>
      </c>
      <c r="J4520" t="s">
        <v>42</v>
      </c>
      <c r="K4520" t="s">
        <v>43</v>
      </c>
      <c r="L4520">
        <v>9</v>
      </c>
      <c r="M4520" t="s">
        <v>15180</v>
      </c>
      <c r="N4520" t="s">
        <v>1397</v>
      </c>
      <c r="O4520" t="s">
        <v>46</v>
      </c>
      <c r="P4520" t="s">
        <v>46</v>
      </c>
      <c r="Y4520" t="s">
        <v>15181</v>
      </c>
    </row>
    <row r="4521" spans="1:25">
      <c r="A4521" t="s">
        <v>15182</v>
      </c>
      <c r="B4521" t="s">
        <v>15183</v>
      </c>
      <c r="D4521" t="s">
        <v>40</v>
      </c>
      <c r="E4521" t="s">
        <v>41</v>
      </c>
      <c r="J4521" t="s">
        <v>76</v>
      </c>
      <c r="K4521" t="s">
        <v>77</v>
      </c>
      <c r="L4521">
        <v>9</v>
      </c>
      <c r="M4521" t="s">
        <v>15180</v>
      </c>
      <c r="N4521" t="s">
        <v>64</v>
      </c>
      <c r="O4521" t="s">
        <v>46</v>
      </c>
      <c r="P4521" t="s">
        <v>46</v>
      </c>
      <c r="Y4521" t="s">
        <v>15184</v>
      </c>
    </row>
    <row r="4522" spans="1:25">
      <c r="A4522" t="s">
        <v>15185</v>
      </c>
      <c r="B4522" t="s">
        <v>15186</v>
      </c>
      <c r="D4522" t="s">
        <v>40</v>
      </c>
      <c r="E4522" t="s">
        <v>41</v>
      </c>
      <c r="J4522" t="s">
        <v>76</v>
      </c>
      <c r="K4522" t="s">
        <v>77</v>
      </c>
      <c r="L4522">
        <v>9</v>
      </c>
      <c r="M4522" t="s">
        <v>15180</v>
      </c>
      <c r="N4522" t="s">
        <v>64</v>
      </c>
      <c r="O4522" t="s">
        <v>46</v>
      </c>
      <c r="P4522" t="s">
        <v>46</v>
      </c>
      <c r="Y4522" t="s">
        <v>15187</v>
      </c>
    </row>
    <row r="4523" spans="1:25">
      <c r="A4523" t="s">
        <v>15188</v>
      </c>
      <c r="B4523" t="s">
        <v>15189</v>
      </c>
      <c r="D4523" t="s">
        <v>40</v>
      </c>
      <c r="E4523" t="s">
        <v>41</v>
      </c>
      <c r="J4523" t="s">
        <v>182</v>
      </c>
      <c r="K4523" t="s">
        <v>183</v>
      </c>
      <c r="L4523">
        <v>9</v>
      </c>
      <c r="M4523" t="s">
        <v>15190</v>
      </c>
      <c r="N4523" t="s">
        <v>64</v>
      </c>
      <c r="O4523" t="s">
        <v>46</v>
      </c>
      <c r="P4523" t="s">
        <v>46</v>
      </c>
      <c r="Y4523" t="s">
        <v>15191</v>
      </c>
    </row>
    <row r="4524" spans="1:25">
      <c r="A4524" t="s">
        <v>15192</v>
      </c>
      <c r="B4524" t="s">
        <v>15193</v>
      </c>
      <c r="D4524" t="s">
        <v>40</v>
      </c>
      <c r="E4524" t="s">
        <v>41</v>
      </c>
      <c r="J4524" t="s">
        <v>42</v>
      </c>
      <c r="K4524" t="s">
        <v>43</v>
      </c>
      <c r="L4524">
        <v>9</v>
      </c>
      <c r="M4524" t="s">
        <v>15190</v>
      </c>
      <c r="N4524" t="s">
        <v>1024</v>
      </c>
      <c r="O4524" t="s">
        <v>46</v>
      </c>
      <c r="P4524" t="s">
        <v>46</v>
      </c>
      <c r="Y4524" t="s">
        <v>15194</v>
      </c>
    </row>
    <row r="4525" spans="1:25">
      <c r="A4525" t="s">
        <v>15195</v>
      </c>
      <c r="B4525" t="s">
        <v>15196</v>
      </c>
      <c r="D4525" t="s">
        <v>40</v>
      </c>
      <c r="E4525" t="s">
        <v>41</v>
      </c>
      <c r="J4525" t="s">
        <v>182</v>
      </c>
      <c r="K4525" t="s">
        <v>183</v>
      </c>
      <c r="L4525">
        <v>9</v>
      </c>
      <c r="M4525" t="s">
        <v>15190</v>
      </c>
      <c r="N4525" t="s">
        <v>64</v>
      </c>
      <c r="O4525" t="s">
        <v>46</v>
      </c>
      <c r="P4525" t="s">
        <v>46</v>
      </c>
      <c r="Y4525" t="s">
        <v>15197</v>
      </c>
    </row>
    <row r="4526" spans="1:25">
      <c r="A4526" t="s">
        <v>15198</v>
      </c>
      <c r="B4526" t="s">
        <v>15199</v>
      </c>
      <c r="D4526" t="s">
        <v>40</v>
      </c>
      <c r="E4526" t="s">
        <v>41</v>
      </c>
      <c r="J4526" t="s">
        <v>182</v>
      </c>
      <c r="K4526" t="s">
        <v>183</v>
      </c>
      <c r="L4526">
        <v>9</v>
      </c>
      <c r="M4526" t="s">
        <v>15200</v>
      </c>
      <c r="N4526" t="s">
        <v>64</v>
      </c>
      <c r="O4526" t="s">
        <v>46</v>
      </c>
      <c r="P4526" t="s">
        <v>46</v>
      </c>
      <c r="Y4526" t="s">
        <v>15201</v>
      </c>
    </row>
    <row r="4527" spans="1:25">
      <c r="A4527" t="s">
        <v>15202</v>
      </c>
      <c r="B4527" t="s">
        <v>15203</v>
      </c>
      <c r="D4527" t="s">
        <v>40</v>
      </c>
      <c r="E4527" t="s">
        <v>41</v>
      </c>
      <c r="J4527" t="s">
        <v>76</v>
      </c>
      <c r="K4527" t="s">
        <v>77</v>
      </c>
      <c r="L4527">
        <v>9</v>
      </c>
      <c r="M4527" t="s">
        <v>15204</v>
      </c>
      <c r="N4527" t="s">
        <v>64</v>
      </c>
      <c r="O4527" t="s">
        <v>46</v>
      </c>
      <c r="P4527" t="s">
        <v>46</v>
      </c>
      <c r="Y4527" t="s">
        <v>15205</v>
      </c>
    </row>
    <row r="4528" spans="1:25">
      <c r="A4528" t="s">
        <v>15206</v>
      </c>
      <c r="B4528" t="s">
        <v>15207</v>
      </c>
      <c r="D4528" t="s">
        <v>40</v>
      </c>
      <c r="E4528" t="s">
        <v>41</v>
      </c>
      <c r="J4528" t="s">
        <v>182</v>
      </c>
      <c r="K4528" t="s">
        <v>183</v>
      </c>
      <c r="L4528">
        <v>9</v>
      </c>
      <c r="M4528" t="s">
        <v>15204</v>
      </c>
      <c r="N4528" t="s">
        <v>64</v>
      </c>
      <c r="O4528" t="s">
        <v>46</v>
      </c>
      <c r="P4528" t="s">
        <v>46</v>
      </c>
      <c r="Y4528" t="s">
        <v>15208</v>
      </c>
    </row>
    <row r="4529" spans="1:25">
      <c r="A4529" t="s">
        <v>15209</v>
      </c>
      <c r="B4529" t="s">
        <v>15210</v>
      </c>
      <c r="D4529" t="s">
        <v>40</v>
      </c>
      <c r="E4529" t="s">
        <v>41</v>
      </c>
      <c r="J4529" t="s">
        <v>42</v>
      </c>
      <c r="K4529" t="s">
        <v>43</v>
      </c>
      <c r="L4529">
        <v>9</v>
      </c>
      <c r="M4529" t="s">
        <v>15204</v>
      </c>
      <c r="N4529" t="s">
        <v>1446</v>
      </c>
      <c r="O4529" t="s">
        <v>46</v>
      </c>
      <c r="P4529" t="s">
        <v>46</v>
      </c>
      <c r="Y4529" t="s">
        <v>15211</v>
      </c>
    </row>
    <row r="4530" spans="1:25">
      <c r="A4530" t="s">
        <v>15212</v>
      </c>
      <c r="B4530" t="s">
        <v>15213</v>
      </c>
      <c r="D4530" t="s">
        <v>40</v>
      </c>
      <c r="E4530" t="s">
        <v>41</v>
      </c>
      <c r="J4530" t="s">
        <v>182</v>
      </c>
      <c r="K4530" t="s">
        <v>183</v>
      </c>
      <c r="L4530">
        <v>9</v>
      </c>
      <c r="M4530" t="s">
        <v>15204</v>
      </c>
      <c r="N4530" t="s">
        <v>64</v>
      </c>
      <c r="O4530" t="s">
        <v>46</v>
      </c>
      <c r="P4530" t="s">
        <v>46</v>
      </c>
      <c r="Y4530" t="s">
        <v>15214</v>
      </c>
    </row>
    <row r="4531" spans="1:25">
      <c r="A4531" t="s">
        <v>15215</v>
      </c>
      <c r="B4531" t="s">
        <v>15216</v>
      </c>
      <c r="D4531" t="s">
        <v>40</v>
      </c>
      <c r="E4531" t="s">
        <v>41</v>
      </c>
      <c r="J4531" t="s">
        <v>182</v>
      </c>
      <c r="K4531" t="s">
        <v>183</v>
      </c>
      <c r="L4531">
        <v>9</v>
      </c>
      <c r="M4531" t="s">
        <v>15204</v>
      </c>
      <c r="N4531" t="s">
        <v>64</v>
      </c>
      <c r="O4531" t="s">
        <v>46</v>
      </c>
      <c r="P4531" t="s">
        <v>46</v>
      </c>
      <c r="Y4531" t="s">
        <v>15217</v>
      </c>
    </row>
    <row r="4532" spans="1:25">
      <c r="A4532" t="s">
        <v>15218</v>
      </c>
      <c r="B4532" t="s">
        <v>15219</v>
      </c>
      <c r="D4532" t="s">
        <v>40</v>
      </c>
      <c r="E4532" t="s">
        <v>41</v>
      </c>
      <c r="J4532" t="s">
        <v>182</v>
      </c>
      <c r="K4532" t="s">
        <v>183</v>
      </c>
      <c r="L4532">
        <v>9</v>
      </c>
      <c r="M4532" t="s">
        <v>15220</v>
      </c>
      <c r="N4532" t="s">
        <v>64</v>
      </c>
      <c r="O4532" t="s">
        <v>46</v>
      </c>
      <c r="P4532" t="s">
        <v>46</v>
      </c>
      <c r="Y4532" t="s">
        <v>15221</v>
      </c>
    </row>
    <row r="4533" spans="1:25">
      <c r="A4533" t="s">
        <v>15222</v>
      </c>
      <c r="B4533" t="s">
        <v>15223</v>
      </c>
      <c r="D4533" t="s">
        <v>40</v>
      </c>
      <c r="E4533" t="s">
        <v>41</v>
      </c>
      <c r="J4533" t="s">
        <v>76</v>
      </c>
      <c r="K4533" t="s">
        <v>77</v>
      </c>
      <c r="L4533">
        <v>9</v>
      </c>
      <c r="M4533" t="s">
        <v>15224</v>
      </c>
      <c r="N4533" t="s">
        <v>64</v>
      </c>
      <c r="O4533" t="s">
        <v>46</v>
      </c>
      <c r="P4533" t="s">
        <v>46</v>
      </c>
      <c r="Y4533" t="s">
        <v>15225</v>
      </c>
    </row>
    <row r="4534" spans="1:25">
      <c r="A4534" t="s">
        <v>15226</v>
      </c>
      <c r="B4534" t="s">
        <v>15227</v>
      </c>
      <c r="D4534" t="s">
        <v>40</v>
      </c>
      <c r="E4534" t="s">
        <v>41</v>
      </c>
      <c r="J4534" t="s">
        <v>182</v>
      </c>
      <c r="K4534" t="s">
        <v>183</v>
      </c>
      <c r="L4534">
        <v>9</v>
      </c>
      <c r="M4534" t="s">
        <v>15224</v>
      </c>
      <c r="N4534" t="s">
        <v>64</v>
      </c>
      <c r="O4534" t="s">
        <v>46</v>
      </c>
      <c r="P4534" t="s">
        <v>46</v>
      </c>
      <c r="Y4534" t="s">
        <v>15228</v>
      </c>
    </row>
    <row r="4535" spans="1:25">
      <c r="A4535" t="s">
        <v>15229</v>
      </c>
      <c r="B4535" t="s">
        <v>15230</v>
      </c>
      <c r="D4535" t="s">
        <v>40</v>
      </c>
      <c r="E4535" t="s">
        <v>41</v>
      </c>
      <c r="J4535" t="s">
        <v>182</v>
      </c>
      <c r="K4535" t="s">
        <v>183</v>
      </c>
      <c r="L4535">
        <v>9</v>
      </c>
      <c r="M4535" t="s">
        <v>15231</v>
      </c>
      <c r="N4535" t="s">
        <v>64</v>
      </c>
      <c r="O4535" t="s">
        <v>46</v>
      </c>
      <c r="P4535" t="s">
        <v>46</v>
      </c>
      <c r="Y4535" t="s">
        <v>15232</v>
      </c>
    </row>
    <row r="4536" spans="1:25">
      <c r="A4536" t="s">
        <v>15233</v>
      </c>
      <c r="B4536" t="s">
        <v>15234</v>
      </c>
      <c r="D4536" t="s">
        <v>40</v>
      </c>
      <c r="E4536" t="s">
        <v>41</v>
      </c>
      <c r="J4536" t="s">
        <v>42</v>
      </c>
      <c r="K4536" t="s">
        <v>43</v>
      </c>
      <c r="L4536">
        <v>9</v>
      </c>
      <c r="M4536" t="s">
        <v>15235</v>
      </c>
      <c r="N4536" t="s">
        <v>142</v>
      </c>
      <c r="O4536" t="s">
        <v>46</v>
      </c>
      <c r="P4536" t="s">
        <v>46</v>
      </c>
      <c r="Y4536" t="s">
        <v>15236</v>
      </c>
    </row>
    <row r="4537" spans="1:25">
      <c r="A4537" t="s">
        <v>15237</v>
      </c>
      <c r="B4537" t="s">
        <v>15238</v>
      </c>
      <c r="D4537" t="s">
        <v>40</v>
      </c>
      <c r="E4537" t="s">
        <v>41</v>
      </c>
      <c r="J4537" t="s">
        <v>68</v>
      </c>
      <c r="K4537" t="s">
        <v>69</v>
      </c>
      <c r="L4537">
        <v>9</v>
      </c>
      <c r="M4537" t="s">
        <v>15235</v>
      </c>
      <c r="N4537" t="s">
        <v>64</v>
      </c>
      <c r="O4537" t="s">
        <v>46</v>
      </c>
      <c r="P4537" t="s">
        <v>46</v>
      </c>
      <c r="Y4537" t="s">
        <v>15239</v>
      </c>
    </row>
    <row r="4538" spans="1:25">
      <c r="A4538" t="s">
        <v>15240</v>
      </c>
      <c r="B4538" t="s">
        <v>15241</v>
      </c>
      <c r="D4538" t="s">
        <v>40</v>
      </c>
      <c r="E4538" t="s">
        <v>41</v>
      </c>
      <c r="J4538" t="s">
        <v>182</v>
      </c>
      <c r="K4538" t="s">
        <v>183</v>
      </c>
      <c r="L4538">
        <v>9</v>
      </c>
      <c r="M4538" t="s">
        <v>15235</v>
      </c>
      <c r="N4538" t="s">
        <v>64</v>
      </c>
      <c r="O4538" t="s">
        <v>46</v>
      </c>
      <c r="P4538" t="s">
        <v>46</v>
      </c>
      <c r="Y4538" t="s">
        <v>15242</v>
      </c>
    </row>
    <row r="4539" spans="1:25">
      <c r="A4539" t="s">
        <v>15243</v>
      </c>
      <c r="B4539" t="s">
        <v>15244</v>
      </c>
      <c r="D4539" t="s">
        <v>40</v>
      </c>
      <c r="E4539" t="s">
        <v>41</v>
      </c>
      <c r="J4539" t="s">
        <v>76</v>
      </c>
      <c r="K4539" t="s">
        <v>77</v>
      </c>
      <c r="L4539">
        <v>9</v>
      </c>
      <c r="M4539" t="s">
        <v>15235</v>
      </c>
      <c r="N4539" t="s">
        <v>64</v>
      </c>
      <c r="O4539" t="s">
        <v>46</v>
      </c>
      <c r="P4539" t="s">
        <v>46</v>
      </c>
      <c r="Y4539" t="s">
        <v>15245</v>
      </c>
    </row>
    <row r="4540" spans="1:25">
      <c r="A4540" t="s">
        <v>15246</v>
      </c>
      <c r="B4540" t="s">
        <v>15247</v>
      </c>
      <c r="D4540" t="s">
        <v>40</v>
      </c>
      <c r="E4540" t="s">
        <v>41</v>
      </c>
      <c r="J4540" t="s">
        <v>182</v>
      </c>
      <c r="K4540" t="s">
        <v>183</v>
      </c>
      <c r="L4540">
        <v>9</v>
      </c>
      <c r="M4540" t="s">
        <v>15235</v>
      </c>
      <c r="N4540" t="s">
        <v>64</v>
      </c>
      <c r="O4540" t="s">
        <v>46</v>
      </c>
      <c r="P4540" t="s">
        <v>46</v>
      </c>
      <c r="Y4540" t="s">
        <v>15248</v>
      </c>
    </row>
    <row r="4541" spans="1:25">
      <c r="A4541" t="s">
        <v>15249</v>
      </c>
      <c r="B4541" t="s">
        <v>15250</v>
      </c>
      <c r="D4541" t="s">
        <v>40</v>
      </c>
      <c r="E4541" t="s">
        <v>41</v>
      </c>
      <c r="J4541" t="s">
        <v>182</v>
      </c>
      <c r="K4541" t="s">
        <v>183</v>
      </c>
      <c r="L4541">
        <v>9</v>
      </c>
      <c r="M4541" t="s">
        <v>15235</v>
      </c>
      <c r="N4541" t="s">
        <v>64</v>
      </c>
      <c r="O4541" t="s">
        <v>46</v>
      </c>
      <c r="P4541" t="s">
        <v>46</v>
      </c>
      <c r="Y4541" t="s">
        <v>15251</v>
      </c>
    </row>
    <row r="4542" spans="1:25">
      <c r="A4542" t="s">
        <v>15252</v>
      </c>
      <c r="B4542" t="s">
        <v>15253</v>
      </c>
      <c r="D4542" t="s">
        <v>40</v>
      </c>
      <c r="E4542" t="s">
        <v>41</v>
      </c>
      <c r="J4542" t="s">
        <v>182</v>
      </c>
      <c r="K4542" t="s">
        <v>183</v>
      </c>
      <c r="L4542">
        <v>9</v>
      </c>
      <c r="M4542" t="s">
        <v>15254</v>
      </c>
      <c r="N4542" t="s">
        <v>64</v>
      </c>
      <c r="O4542" t="s">
        <v>46</v>
      </c>
      <c r="P4542" t="s">
        <v>46</v>
      </c>
      <c r="Y4542" t="s">
        <v>15255</v>
      </c>
    </row>
    <row r="4543" spans="1:25">
      <c r="A4543" t="s">
        <v>15256</v>
      </c>
      <c r="B4543" t="s">
        <v>15257</v>
      </c>
      <c r="D4543" t="s">
        <v>40</v>
      </c>
      <c r="E4543" t="s">
        <v>41</v>
      </c>
      <c r="J4543" t="s">
        <v>182</v>
      </c>
      <c r="K4543" t="s">
        <v>183</v>
      </c>
      <c r="L4543">
        <v>9</v>
      </c>
      <c r="M4543" t="s">
        <v>15254</v>
      </c>
      <c r="N4543" t="s">
        <v>64</v>
      </c>
      <c r="O4543" t="s">
        <v>46</v>
      </c>
      <c r="P4543" t="s">
        <v>46</v>
      </c>
      <c r="Y4543" t="s">
        <v>15258</v>
      </c>
    </row>
    <row r="4544" spans="1:25">
      <c r="A4544" t="s">
        <v>15259</v>
      </c>
      <c r="B4544" t="s">
        <v>15260</v>
      </c>
      <c r="D4544" t="s">
        <v>40</v>
      </c>
      <c r="E4544" t="s">
        <v>41</v>
      </c>
      <c r="J4544" t="s">
        <v>42</v>
      </c>
      <c r="K4544" t="s">
        <v>43</v>
      </c>
      <c r="L4544">
        <v>9</v>
      </c>
      <c r="M4544" t="s">
        <v>15261</v>
      </c>
      <c r="N4544" t="s">
        <v>5995</v>
      </c>
      <c r="O4544" t="s">
        <v>46</v>
      </c>
      <c r="P4544" t="s">
        <v>46</v>
      </c>
      <c r="Y4544" t="s">
        <v>15262</v>
      </c>
    </row>
    <row r="4545" spans="1:25">
      <c r="A4545" t="s">
        <v>15263</v>
      </c>
      <c r="B4545" t="s">
        <v>15264</v>
      </c>
      <c r="D4545" t="s">
        <v>40</v>
      </c>
      <c r="E4545" t="s">
        <v>41</v>
      </c>
      <c r="J4545" t="s">
        <v>182</v>
      </c>
      <c r="K4545" t="s">
        <v>183</v>
      </c>
      <c r="L4545">
        <v>9</v>
      </c>
      <c r="M4545" t="s">
        <v>15265</v>
      </c>
      <c r="N4545" t="s">
        <v>64</v>
      </c>
      <c r="O4545" t="s">
        <v>46</v>
      </c>
      <c r="P4545" t="s">
        <v>46</v>
      </c>
      <c r="Y4545" t="s">
        <v>15266</v>
      </c>
    </row>
    <row r="4546" spans="1:25">
      <c r="A4546" t="s">
        <v>15267</v>
      </c>
      <c r="B4546" t="s">
        <v>15268</v>
      </c>
      <c r="D4546" t="s">
        <v>40</v>
      </c>
      <c r="E4546" t="s">
        <v>41</v>
      </c>
      <c r="J4546" t="s">
        <v>182</v>
      </c>
      <c r="K4546" t="s">
        <v>183</v>
      </c>
      <c r="L4546">
        <v>9</v>
      </c>
      <c r="M4546" t="s">
        <v>15265</v>
      </c>
      <c r="N4546" t="s">
        <v>64</v>
      </c>
      <c r="O4546" t="s">
        <v>46</v>
      </c>
      <c r="P4546" t="s">
        <v>46</v>
      </c>
      <c r="Y4546" t="s">
        <v>15269</v>
      </c>
    </row>
    <row r="4547" spans="1:25">
      <c r="A4547" t="s">
        <v>15270</v>
      </c>
      <c r="B4547" t="s">
        <v>15271</v>
      </c>
      <c r="D4547" t="s">
        <v>40</v>
      </c>
      <c r="E4547" t="s">
        <v>41</v>
      </c>
      <c r="J4547" t="s">
        <v>182</v>
      </c>
      <c r="K4547" t="s">
        <v>183</v>
      </c>
      <c r="L4547">
        <v>9</v>
      </c>
      <c r="M4547" t="s">
        <v>15265</v>
      </c>
      <c r="N4547" t="s">
        <v>64</v>
      </c>
      <c r="O4547" t="s">
        <v>46</v>
      </c>
      <c r="P4547" t="s">
        <v>46</v>
      </c>
      <c r="Y4547" t="s">
        <v>15272</v>
      </c>
    </row>
    <row r="4548" spans="1:25">
      <c r="A4548" t="s">
        <v>15273</v>
      </c>
      <c r="B4548" t="s">
        <v>15274</v>
      </c>
      <c r="D4548" t="s">
        <v>40</v>
      </c>
      <c r="E4548" t="s">
        <v>41</v>
      </c>
      <c r="J4548" t="s">
        <v>182</v>
      </c>
      <c r="K4548" t="s">
        <v>183</v>
      </c>
      <c r="L4548">
        <v>9</v>
      </c>
      <c r="M4548" t="s">
        <v>15265</v>
      </c>
      <c r="N4548" t="s">
        <v>64</v>
      </c>
      <c r="O4548" t="s">
        <v>46</v>
      </c>
      <c r="P4548" t="s">
        <v>46</v>
      </c>
      <c r="Y4548" t="s">
        <v>15275</v>
      </c>
    </row>
    <row r="4549" spans="1:25">
      <c r="A4549" t="s">
        <v>15276</v>
      </c>
      <c r="B4549" t="s">
        <v>15277</v>
      </c>
      <c r="D4549" t="s">
        <v>40</v>
      </c>
      <c r="E4549" t="s">
        <v>41</v>
      </c>
      <c r="J4549" t="s">
        <v>182</v>
      </c>
      <c r="K4549" t="s">
        <v>183</v>
      </c>
      <c r="L4549">
        <v>9</v>
      </c>
      <c r="M4549" t="s">
        <v>15278</v>
      </c>
      <c r="N4549" t="s">
        <v>64</v>
      </c>
      <c r="O4549" t="s">
        <v>46</v>
      </c>
      <c r="P4549" t="s">
        <v>46</v>
      </c>
      <c r="Y4549" t="s">
        <v>15279</v>
      </c>
    </row>
    <row r="4550" spans="1:25">
      <c r="A4550" t="s">
        <v>15280</v>
      </c>
      <c r="B4550" t="s">
        <v>15281</v>
      </c>
      <c r="D4550" t="s">
        <v>40</v>
      </c>
      <c r="E4550" t="s">
        <v>41</v>
      </c>
      <c r="J4550" t="s">
        <v>76</v>
      </c>
      <c r="K4550" t="s">
        <v>77</v>
      </c>
      <c r="L4550">
        <v>9</v>
      </c>
      <c r="M4550" t="s">
        <v>15278</v>
      </c>
      <c r="N4550" t="s">
        <v>64</v>
      </c>
      <c r="O4550" t="s">
        <v>46</v>
      </c>
      <c r="P4550" t="s">
        <v>46</v>
      </c>
      <c r="Y4550" t="s">
        <v>15282</v>
      </c>
    </row>
    <row r="4551" spans="1:25">
      <c r="A4551" t="s">
        <v>15283</v>
      </c>
      <c r="B4551" t="s">
        <v>15284</v>
      </c>
      <c r="D4551" t="s">
        <v>40</v>
      </c>
      <c r="E4551" t="s">
        <v>41</v>
      </c>
      <c r="J4551" t="s">
        <v>50</v>
      </c>
      <c r="K4551" t="s">
        <v>51</v>
      </c>
      <c r="L4551">
        <v>9</v>
      </c>
      <c r="M4551" t="s">
        <v>15285</v>
      </c>
      <c r="N4551" t="s">
        <v>350</v>
      </c>
      <c r="O4551" t="s">
        <v>46</v>
      </c>
      <c r="P4551" t="s">
        <v>46</v>
      </c>
      <c r="Y4551" t="s">
        <v>15286</v>
      </c>
    </row>
    <row r="4552" spans="1:25">
      <c r="A4552" t="s">
        <v>15287</v>
      </c>
      <c r="B4552" t="s">
        <v>15288</v>
      </c>
      <c r="D4552" t="s">
        <v>40</v>
      </c>
      <c r="E4552" t="s">
        <v>41</v>
      </c>
      <c r="J4552" t="s">
        <v>182</v>
      </c>
      <c r="K4552" t="s">
        <v>183</v>
      </c>
      <c r="L4552">
        <v>10</v>
      </c>
      <c r="M4552" t="s">
        <v>15289</v>
      </c>
      <c r="N4552" t="s">
        <v>64</v>
      </c>
      <c r="O4552" t="s">
        <v>46</v>
      </c>
      <c r="P4552" t="s">
        <v>46</v>
      </c>
      <c r="Y4552" t="s">
        <v>15290</v>
      </c>
    </row>
    <row r="4553" spans="1:25">
      <c r="A4553" t="s">
        <v>15291</v>
      </c>
      <c r="B4553" t="s">
        <v>15292</v>
      </c>
      <c r="D4553" t="s">
        <v>40</v>
      </c>
      <c r="E4553" t="s">
        <v>41</v>
      </c>
      <c r="J4553" t="s">
        <v>68</v>
      </c>
      <c r="K4553" t="s">
        <v>69</v>
      </c>
      <c r="L4553">
        <v>10</v>
      </c>
      <c r="M4553" t="s">
        <v>15289</v>
      </c>
      <c r="N4553" t="s">
        <v>64</v>
      </c>
      <c r="O4553" t="s">
        <v>46</v>
      </c>
      <c r="P4553" t="s">
        <v>46</v>
      </c>
      <c r="Y4553" t="s">
        <v>15293</v>
      </c>
    </row>
    <row r="4554" spans="1:25">
      <c r="A4554" t="s">
        <v>15294</v>
      </c>
      <c r="B4554" t="s">
        <v>15295</v>
      </c>
      <c r="D4554" t="s">
        <v>40</v>
      </c>
      <c r="E4554" t="s">
        <v>41</v>
      </c>
      <c r="J4554" t="s">
        <v>76</v>
      </c>
      <c r="K4554" t="s">
        <v>77</v>
      </c>
      <c r="L4554">
        <v>10</v>
      </c>
      <c r="M4554" t="s">
        <v>15289</v>
      </c>
      <c r="N4554" t="s">
        <v>64</v>
      </c>
      <c r="O4554" t="s">
        <v>46</v>
      </c>
      <c r="P4554" t="s">
        <v>46</v>
      </c>
      <c r="Y4554" t="s">
        <v>15296</v>
      </c>
    </row>
    <row r="4555" spans="1:25">
      <c r="A4555" t="s">
        <v>15297</v>
      </c>
      <c r="B4555" t="s">
        <v>15298</v>
      </c>
      <c r="D4555" t="s">
        <v>40</v>
      </c>
      <c r="E4555" t="s">
        <v>41</v>
      </c>
      <c r="J4555" t="s">
        <v>182</v>
      </c>
      <c r="K4555" t="s">
        <v>183</v>
      </c>
      <c r="L4555">
        <v>10</v>
      </c>
      <c r="M4555" t="s">
        <v>15289</v>
      </c>
      <c r="N4555" t="s">
        <v>64</v>
      </c>
      <c r="O4555" t="s">
        <v>46</v>
      </c>
      <c r="P4555" t="s">
        <v>46</v>
      </c>
      <c r="Y4555" t="s">
        <v>15299</v>
      </c>
    </row>
    <row r="4556" spans="1:25">
      <c r="A4556" t="s">
        <v>15300</v>
      </c>
      <c r="B4556" t="s">
        <v>15301</v>
      </c>
      <c r="D4556" t="s">
        <v>40</v>
      </c>
      <c r="E4556" t="s">
        <v>41</v>
      </c>
      <c r="J4556" t="s">
        <v>76</v>
      </c>
      <c r="K4556" t="s">
        <v>77</v>
      </c>
      <c r="L4556">
        <v>10</v>
      </c>
      <c r="M4556" t="s">
        <v>15302</v>
      </c>
      <c r="N4556" t="s">
        <v>64</v>
      </c>
      <c r="O4556" t="s">
        <v>46</v>
      </c>
      <c r="P4556" t="s">
        <v>46</v>
      </c>
      <c r="Y4556" t="s">
        <v>15303</v>
      </c>
    </row>
    <row r="4557" spans="1:25">
      <c r="A4557" t="s">
        <v>15304</v>
      </c>
      <c r="B4557" t="s">
        <v>15305</v>
      </c>
      <c r="D4557" t="s">
        <v>40</v>
      </c>
      <c r="E4557" t="s">
        <v>41</v>
      </c>
      <c r="J4557" t="s">
        <v>68</v>
      </c>
      <c r="K4557" t="s">
        <v>69</v>
      </c>
      <c r="L4557">
        <v>10</v>
      </c>
      <c r="M4557" t="s">
        <v>15302</v>
      </c>
      <c r="N4557" t="s">
        <v>64</v>
      </c>
      <c r="O4557" t="s">
        <v>46</v>
      </c>
      <c r="P4557" t="s">
        <v>46</v>
      </c>
      <c r="Y4557" t="s">
        <v>15306</v>
      </c>
    </row>
    <row r="4558" spans="1:25">
      <c r="A4558" t="s">
        <v>15307</v>
      </c>
      <c r="B4558" t="s">
        <v>15308</v>
      </c>
      <c r="D4558" t="s">
        <v>40</v>
      </c>
      <c r="E4558" t="s">
        <v>41</v>
      </c>
      <c r="J4558" t="s">
        <v>182</v>
      </c>
      <c r="K4558" t="s">
        <v>183</v>
      </c>
      <c r="L4558">
        <v>10</v>
      </c>
      <c r="M4558" t="s">
        <v>15302</v>
      </c>
      <c r="N4558" t="s">
        <v>64</v>
      </c>
      <c r="O4558" t="s">
        <v>46</v>
      </c>
      <c r="P4558" t="s">
        <v>46</v>
      </c>
      <c r="Y4558" t="s">
        <v>15309</v>
      </c>
    </row>
    <row r="4559" spans="1:25">
      <c r="A4559" t="s">
        <v>15310</v>
      </c>
      <c r="B4559" t="s">
        <v>15311</v>
      </c>
      <c r="D4559" t="s">
        <v>40</v>
      </c>
      <c r="E4559" t="s">
        <v>41</v>
      </c>
      <c r="J4559" t="s">
        <v>182</v>
      </c>
      <c r="K4559" t="s">
        <v>183</v>
      </c>
      <c r="L4559">
        <v>10</v>
      </c>
      <c r="M4559" t="s">
        <v>15302</v>
      </c>
      <c r="N4559" t="s">
        <v>64</v>
      </c>
      <c r="O4559" t="s">
        <v>46</v>
      </c>
      <c r="P4559" t="s">
        <v>46</v>
      </c>
      <c r="Y4559" t="s">
        <v>15312</v>
      </c>
    </row>
    <row r="4560" spans="1:25">
      <c r="A4560" t="s">
        <v>15313</v>
      </c>
      <c r="B4560" t="s">
        <v>15314</v>
      </c>
      <c r="D4560" t="s">
        <v>40</v>
      </c>
      <c r="E4560" t="s">
        <v>41</v>
      </c>
      <c r="J4560" t="s">
        <v>599</v>
      </c>
      <c r="K4560" t="s">
        <v>600</v>
      </c>
      <c r="L4560">
        <v>10</v>
      </c>
      <c r="M4560" t="s">
        <v>15302</v>
      </c>
      <c r="N4560" t="s">
        <v>2621</v>
      </c>
      <c r="O4560" t="s">
        <v>46</v>
      </c>
      <c r="P4560" t="s">
        <v>46</v>
      </c>
      <c r="Y4560" t="s">
        <v>15315</v>
      </c>
    </row>
    <row r="4561" spans="1:25">
      <c r="A4561" t="s">
        <v>15316</v>
      </c>
      <c r="B4561" t="s">
        <v>15317</v>
      </c>
      <c r="D4561" t="s">
        <v>40</v>
      </c>
      <c r="E4561" t="s">
        <v>41</v>
      </c>
      <c r="J4561" t="s">
        <v>76</v>
      </c>
      <c r="K4561" t="s">
        <v>77</v>
      </c>
      <c r="L4561">
        <v>9</v>
      </c>
      <c r="M4561" t="s">
        <v>15302</v>
      </c>
      <c r="N4561" t="s">
        <v>64</v>
      </c>
      <c r="O4561" t="s">
        <v>46</v>
      </c>
      <c r="P4561" t="s">
        <v>46</v>
      </c>
      <c r="Y4561" t="s">
        <v>15318</v>
      </c>
    </row>
    <row r="4562" spans="1:25">
      <c r="A4562" t="s">
        <v>15319</v>
      </c>
      <c r="B4562" t="s">
        <v>15320</v>
      </c>
      <c r="D4562" t="s">
        <v>40</v>
      </c>
      <c r="E4562" t="s">
        <v>41</v>
      </c>
      <c r="J4562" t="s">
        <v>182</v>
      </c>
      <c r="K4562" t="s">
        <v>183</v>
      </c>
      <c r="L4562">
        <v>10</v>
      </c>
      <c r="M4562" t="s">
        <v>15302</v>
      </c>
      <c r="N4562" t="s">
        <v>64</v>
      </c>
      <c r="O4562" t="s">
        <v>46</v>
      </c>
      <c r="P4562" t="s">
        <v>46</v>
      </c>
      <c r="Y4562" t="s">
        <v>15321</v>
      </c>
    </row>
    <row r="4563" spans="1:25">
      <c r="A4563" t="s">
        <v>15322</v>
      </c>
      <c r="B4563" t="s">
        <v>15323</v>
      </c>
      <c r="D4563" t="s">
        <v>40</v>
      </c>
      <c r="E4563" t="s">
        <v>41</v>
      </c>
      <c r="J4563" t="s">
        <v>76</v>
      </c>
      <c r="K4563" t="s">
        <v>77</v>
      </c>
      <c r="L4563">
        <v>9</v>
      </c>
      <c r="M4563" t="s">
        <v>15324</v>
      </c>
      <c r="N4563" t="s">
        <v>64</v>
      </c>
      <c r="O4563" t="s">
        <v>46</v>
      </c>
      <c r="P4563" t="s">
        <v>46</v>
      </c>
      <c r="Y4563" t="s">
        <v>15325</v>
      </c>
    </row>
    <row r="4564" spans="1:25">
      <c r="A4564" t="s">
        <v>15326</v>
      </c>
      <c r="B4564" t="s">
        <v>15327</v>
      </c>
      <c r="D4564" t="s">
        <v>40</v>
      </c>
      <c r="E4564" t="s">
        <v>41</v>
      </c>
      <c r="J4564" t="s">
        <v>182</v>
      </c>
      <c r="K4564" t="s">
        <v>183</v>
      </c>
      <c r="L4564">
        <v>9</v>
      </c>
      <c r="M4564" t="s">
        <v>15328</v>
      </c>
      <c r="N4564" t="s">
        <v>64</v>
      </c>
      <c r="O4564" t="s">
        <v>46</v>
      </c>
      <c r="P4564" t="s">
        <v>46</v>
      </c>
      <c r="Y4564" t="s">
        <v>15329</v>
      </c>
    </row>
    <row r="4565" spans="1:25">
      <c r="A4565" t="s">
        <v>15330</v>
      </c>
      <c r="B4565" t="s">
        <v>15331</v>
      </c>
      <c r="D4565" t="s">
        <v>40</v>
      </c>
      <c r="E4565" t="s">
        <v>41</v>
      </c>
      <c r="J4565" t="s">
        <v>182</v>
      </c>
      <c r="K4565" t="s">
        <v>183</v>
      </c>
      <c r="L4565">
        <v>9</v>
      </c>
      <c r="M4565" t="s">
        <v>15332</v>
      </c>
      <c r="N4565" t="s">
        <v>64</v>
      </c>
      <c r="O4565" t="s">
        <v>46</v>
      </c>
      <c r="P4565" t="s">
        <v>46</v>
      </c>
      <c r="Y4565" t="s">
        <v>15333</v>
      </c>
    </row>
    <row r="4566" spans="1:25">
      <c r="A4566" t="s">
        <v>15334</v>
      </c>
      <c r="B4566" t="s">
        <v>15335</v>
      </c>
      <c r="D4566" t="s">
        <v>40</v>
      </c>
      <c r="E4566" t="s">
        <v>41</v>
      </c>
      <c r="J4566" t="s">
        <v>76</v>
      </c>
      <c r="K4566" t="s">
        <v>77</v>
      </c>
      <c r="L4566">
        <v>9</v>
      </c>
      <c r="M4566" t="s">
        <v>15332</v>
      </c>
      <c r="N4566" t="s">
        <v>64</v>
      </c>
      <c r="O4566" t="s">
        <v>46</v>
      </c>
      <c r="P4566" t="s">
        <v>46</v>
      </c>
      <c r="Y4566" t="s">
        <v>15336</v>
      </c>
    </row>
    <row r="4567" spans="1:25">
      <c r="A4567" t="s">
        <v>15337</v>
      </c>
      <c r="B4567" t="s">
        <v>15338</v>
      </c>
      <c r="D4567" t="s">
        <v>40</v>
      </c>
      <c r="E4567" t="s">
        <v>41</v>
      </c>
      <c r="J4567" t="s">
        <v>76</v>
      </c>
      <c r="K4567" t="s">
        <v>77</v>
      </c>
      <c r="L4567">
        <v>9</v>
      </c>
      <c r="M4567" t="s">
        <v>15332</v>
      </c>
      <c r="N4567" t="s">
        <v>64</v>
      </c>
      <c r="O4567" t="s">
        <v>46</v>
      </c>
      <c r="P4567" t="s">
        <v>46</v>
      </c>
      <c r="Y4567" t="s">
        <v>15339</v>
      </c>
    </row>
    <row r="4568" spans="1:25">
      <c r="A4568" t="s">
        <v>15340</v>
      </c>
      <c r="B4568" t="s">
        <v>15341</v>
      </c>
      <c r="D4568" t="s">
        <v>40</v>
      </c>
      <c r="E4568" t="s">
        <v>41</v>
      </c>
      <c r="J4568" t="s">
        <v>76</v>
      </c>
      <c r="K4568" t="s">
        <v>77</v>
      </c>
      <c r="L4568">
        <v>9</v>
      </c>
      <c r="M4568" t="s">
        <v>15332</v>
      </c>
      <c r="N4568" t="s">
        <v>64</v>
      </c>
      <c r="O4568" t="s">
        <v>46</v>
      </c>
      <c r="P4568" t="s">
        <v>46</v>
      </c>
      <c r="Y4568" t="s">
        <v>15342</v>
      </c>
    </row>
    <row r="4569" spans="1:25">
      <c r="A4569" t="s">
        <v>15343</v>
      </c>
      <c r="B4569" t="s">
        <v>15344</v>
      </c>
      <c r="D4569" t="s">
        <v>40</v>
      </c>
      <c r="E4569" t="s">
        <v>41</v>
      </c>
      <c r="J4569" t="s">
        <v>182</v>
      </c>
      <c r="K4569" t="s">
        <v>183</v>
      </c>
      <c r="L4569">
        <v>9</v>
      </c>
      <c r="M4569" t="s">
        <v>15345</v>
      </c>
      <c r="N4569" t="s">
        <v>64</v>
      </c>
      <c r="O4569" t="s">
        <v>46</v>
      </c>
      <c r="P4569" t="s">
        <v>46</v>
      </c>
      <c r="Y4569" t="s">
        <v>15346</v>
      </c>
    </row>
    <row r="4570" spans="1:25">
      <c r="A4570" t="s">
        <v>15347</v>
      </c>
      <c r="B4570" t="s">
        <v>15348</v>
      </c>
      <c r="D4570" t="s">
        <v>40</v>
      </c>
      <c r="E4570" t="s">
        <v>41</v>
      </c>
      <c r="J4570" t="s">
        <v>182</v>
      </c>
      <c r="K4570" t="s">
        <v>183</v>
      </c>
      <c r="L4570">
        <v>9</v>
      </c>
      <c r="M4570" t="s">
        <v>15349</v>
      </c>
      <c r="N4570" t="s">
        <v>64</v>
      </c>
      <c r="O4570" t="s">
        <v>46</v>
      </c>
      <c r="P4570" t="s">
        <v>46</v>
      </c>
      <c r="Y4570" t="s">
        <v>15350</v>
      </c>
    </row>
    <row r="4571" spans="1:25">
      <c r="A4571" t="s">
        <v>15351</v>
      </c>
      <c r="B4571" t="s">
        <v>15352</v>
      </c>
      <c r="D4571" t="s">
        <v>40</v>
      </c>
      <c r="E4571" t="s">
        <v>41</v>
      </c>
      <c r="J4571" t="s">
        <v>182</v>
      </c>
      <c r="K4571" t="s">
        <v>183</v>
      </c>
      <c r="L4571">
        <v>9</v>
      </c>
      <c r="M4571" t="s">
        <v>15349</v>
      </c>
      <c r="N4571" t="s">
        <v>64</v>
      </c>
      <c r="O4571" t="s">
        <v>46</v>
      </c>
      <c r="P4571" t="s">
        <v>46</v>
      </c>
      <c r="Y4571" t="s">
        <v>15353</v>
      </c>
    </row>
    <row r="4572" spans="1:25">
      <c r="A4572" t="s">
        <v>15354</v>
      </c>
      <c r="B4572" t="s">
        <v>15355</v>
      </c>
      <c r="D4572" t="s">
        <v>40</v>
      </c>
      <c r="E4572" t="s">
        <v>41</v>
      </c>
      <c r="J4572" t="s">
        <v>76</v>
      </c>
      <c r="K4572" t="s">
        <v>77</v>
      </c>
      <c r="L4572">
        <v>9</v>
      </c>
      <c r="M4572" t="s">
        <v>15356</v>
      </c>
      <c r="N4572" t="s">
        <v>64</v>
      </c>
      <c r="O4572" t="s">
        <v>46</v>
      </c>
      <c r="P4572" t="s">
        <v>46</v>
      </c>
      <c r="Y4572" t="s">
        <v>15357</v>
      </c>
    </row>
    <row r="4573" spans="1:25">
      <c r="A4573" t="s">
        <v>15358</v>
      </c>
      <c r="B4573" t="s">
        <v>15359</v>
      </c>
      <c r="D4573" t="s">
        <v>40</v>
      </c>
      <c r="E4573" t="s">
        <v>41</v>
      </c>
      <c r="J4573" t="s">
        <v>76</v>
      </c>
      <c r="K4573" t="s">
        <v>77</v>
      </c>
      <c r="L4573">
        <v>9</v>
      </c>
      <c r="M4573" t="s">
        <v>15356</v>
      </c>
      <c r="N4573" t="s">
        <v>64</v>
      </c>
      <c r="O4573" t="s">
        <v>46</v>
      </c>
      <c r="P4573" t="s">
        <v>46</v>
      </c>
      <c r="Y4573" t="s">
        <v>15360</v>
      </c>
    </row>
    <row r="4574" spans="1:25">
      <c r="A4574" t="s">
        <v>15361</v>
      </c>
      <c r="B4574" t="s">
        <v>15362</v>
      </c>
      <c r="D4574" t="s">
        <v>40</v>
      </c>
      <c r="E4574" t="s">
        <v>41</v>
      </c>
      <c r="J4574" t="s">
        <v>182</v>
      </c>
      <c r="K4574" t="s">
        <v>183</v>
      </c>
      <c r="L4574">
        <v>9</v>
      </c>
      <c r="M4574" t="s">
        <v>15356</v>
      </c>
      <c r="N4574" t="s">
        <v>64</v>
      </c>
      <c r="O4574" t="s">
        <v>46</v>
      </c>
      <c r="P4574" t="s">
        <v>46</v>
      </c>
      <c r="Y4574" t="s">
        <v>15363</v>
      </c>
    </row>
    <row r="4575" spans="1:25">
      <c r="A4575" t="s">
        <v>15364</v>
      </c>
      <c r="B4575" t="s">
        <v>15365</v>
      </c>
      <c r="D4575" t="s">
        <v>40</v>
      </c>
      <c r="E4575" t="s">
        <v>41</v>
      </c>
      <c r="J4575" t="s">
        <v>68</v>
      </c>
      <c r="K4575" t="s">
        <v>69</v>
      </c>
      <c r="L4575">
        <v>9</v>
      </c>
      <c r="M4575" t="s">
        <v>15356</v>
      </c>
      <c r="N4575" t="s">
        <v>64</v>
      </c>
      <c r="O4575" t="s">
        <v>46</v>
      </c>
      <c r="P4575" t="s">
        <v>46</v>
      </c>
      <c r="Y4575" t="s">
        <v>15366</v>
      </c>
    </row>
    <row r="4576" spans="1:25">
      <c r="A4576" t="s">
        <v>15367</v>
      </c>
      <c r="B4576" t="s">
        <v>15368</v>
      </c>
      <c r="D4576" t="s">
        <v>40</v>
      </c>
      <c r="E4576" t="s">
        <v>41</v>
      </c>
      <c r="J4576" t="s">
        <v>182</v>
      </c>
      <c r="K4576" t="s">
        <v>183</v>
      </c>
      <c r="L4576">
        <v>9</v>
      </c>
      <c r="M4576" t="s">
        <v>15369</v>
      </c>
      <c r="N4576" t="s">
        <v>64</v>
      </c>
      <c r="O4576" t="s">
        <v>46</v>
      </c>
      <c r="P4576" t="s">
        <v>46</v>
      </c>
      <c r="Y4576" t="s">
        <v>15370</v>
      </c>
    </row>
    <row r="4577" spans="1:25">
      <c r="A4577" t="s">
        <v>15371</v>
      </c>
      <c r="B4577" t="s">
        <v>15372</v>
      </c>
      <c r="D4577" t="s">
        <v>40</v>
      </c>
      <c r="E4577" t="s">
        <v>41</v>
      </c>
      <c r="J4577" t="s">
        <v>182</v>
      </c>
      <c r="K4577" t="s">
        <v>183</v>
      </c>
      <c r="L4577">
        <v>9</v>
      </c>
      <c r="M4577" t="s">
        <v>15369</v>
      </c>
      <c r="N4577" t="s">
        <v>64</v>
      </c>
      <c r="O4577" t="s">
        <v>46</v>
      </c>
      <c r="P4577" t="s">
        <v>46</v>
      </c>
      <c r="Y4577" t="s">
        <v>15373</v>
      </c>
    </row>
    <row r="4578" spans="1:25">
      <c r="A4578" t="s">
        <v>15374</v>
      </c>
      <c r="B4578" t="s">
        <v>15375</v>
      </c>
      <c r="D4578" t="s">
        <v>40</v>
      </c>
      <c r="E4578" t="s">
        <v>41</v>
      </c>
      <c r="J4578" t="s">
        <v>182</v>
      </c>
      <c r="K4578" t="s">
        <v>183</v>
      </c>
      <c r="L4578">
        <v>9</v>
      </c>
      <c r="M4578" t="s">
        <v>15376</v>
      </c>
      <c r="N4578" t="s">
        <v>64</v>
      </c>
      <c r="O4578" t="s">
        <v>46</v>
      </c>
      <c r="P4578" t="s">
        <v>46</v>
      </c>
      <c r="Y4578" t="s">
        <v>15377</v>
      </c>
    </row>
    <row r="4579" spans="1:25">
      <c r="A4579" t="s">
        <v>15378</v>
      </c>
      <c r="B4579" t="s">
        <v>15379</v>
      </c>
      <c r="D4579" t="s">
        <v>40</v>
      </c>
      <c r="E4579" t="s">
        <v>41</v>
      </c>
      <c r="J4579" t="s">
        <v>42</v>
      </c>
      <c r="K4579" t="s">
        <v>43</v>
      </c>
      <c r="L4579">
        <v>9</v>
      </c>
      <c r="M4579" t="s">
        <v>15376</v>
      </c>
      <c r="N4579" t="s">
        <v>210</v>
      </c>
      <c r="O4579" t="s">
        <v>46</v>
      </c>
      <c r="P4579" t="s">
        <v>46</v>
      </c>
      <c r="Y4579" t="s">
        <v>15380</v>
      </c>
    </row>
    <row r="4580" spans="1:25">
      <c r="A4580" t="s">
        <v>15381</v>
      </c>
      <c r="B4580" t="s">
        <v>15382</v>
      </c>
      <c r="D4580" t="s">
        <v>40</v>
      </c>
      <c r="E4580" t="s">
        <v>41</v>
      </c>
      <c r="J4580" t="s">
        <v>76</v>
      </c>
      <c r="K4580" t="s">
        <v>77</v>
      </c>
      <c r="L4580">
        <v>9</v>
      </c>
      <c r="M4580" t="s">
        <v>15376</v>
      </c>
      <c r="N4580" t="s">
        <v>64</v>
      </c>
      <c r="O4580" t="s">
        <v>46</v>
      </c>
      <c r="P4580" t="s">
        <v>46</v>
      </c>
      <c r="Y4580" t="s">
        <v>15383</v>
      </c>
    </row>
    <row r="4581" spans="1:25">
      <c r="A4581" t="s">
        <v>15384</v>
      </c>
      <c r="B4581" t="s">
        <v>15385</v>
      </c>
      <c r="D4581" t="s">
        <v>40</v>
      </c>
      <c r="E4581" t="s">
        <v>41</v>
      </c>
      <c r="J4581" t="s">
        <v>182</v>
      </c>
      <c r="K4581" t="s">
        <v>183</v>
      </c>
      <c r="L4581">
        <v>9</v>
      </c>
      <c r="M4581" t="s">
        <v>15386</v>
      </c>
      <c r="N4581" t="s">
        <v>64</v>
      </c>
      <c r="O4581" t="s">
        <v>46</v>
      </c>
      <c r="P4581" t="s">
        <v>46</v>
      </c>
      <c r="Y4581" t="s">
        <v>15387</v>
      </c>
    </row>
    <row r="4582" spans="1:25">
      <c r="A4582" t="s">
        <v>15388</v>
      </c>
      <c r="B4582" t="s">
        <v>15389</v>
      </c>
      <c r="D4582" t="s">
        <v>40</v>
      </c>
      <c r="E4582" t="s">
        <v>41</v>
      </c>
      <c r="J4582" t="s">
        <v>182</v>
      </c>
      <c r="K4582" t="s">
        <v>183</v>
      </c>
      <c r="L4582">
        <v>9</v>
      </c>
      <c r="M4582" t="s">
        <v>15386</v>
      </c>
      <c r="N4582" t="s">
        <v>64</v>
      </c>
      <c r="O4582" t="s">
        <v>46</v>
      </c>
      <c r="P4582" t="s">
        <v>46</v>
      </c>
      <c r="Y4582" t="s">
        <v>15390</v>
      </c>
    </row>
    <row r="4583" spans="1:25">
      <c r="A4583" t="s">
        <v>15391</v>
      </c>
      <c r="B4583" t="s">
        <v>15392</v>
      </c>
      <c r="D4583" t="s">
        <v>40</v>
      </c>
      <c r="E4583" t="s">
        <v>41</v>
      </c>
      <c r="J4583" t="s">
        <v>76</v>
      </c>
      <c r="K4583" t="s">
        <v>77</v>
      </c>
      <c r="L4583">
        <v>9</v>
      </c>
      <c r="M4583" t="s">
        <v>15386</v>
      </c>
      <c r="N4583" t="s">
        <v>64</v>
      </c>
      <c r="O4583" t="s">
        <v>46</v>
      </c>
      <c r="P4583" t="s">
        <v>46</v>
      </c>
      <c r="Y4583" t="s">
        <v>15393</v>
      </c>
    </row>
    <row r="4584" spans="1:25">
      <c r="A4584" t="s">
        <v>15394</v>
      </c>
      <c r="B4584" t="s">
        <v>15395</v>
      </c>
      <c r="D4584" t="s">
        <v>40</v>
      </c>
      <c r="E4584" t="s">
        <v>41</v>
      </c>
      <c r="J4584" t="s">
        <v>182</v>
      </c>
      <c r="K4584" t="s">
        <v>183</v>
      </c>
      <c r="L4584">
        <v>9</v>
      </c>
      <c r="M4584" t="s">
        <v>15386</v>
      </c>
      <c r="N4584" t="s">
        <v>64</v>
      </c>
      <c r="O4584" t="s">
        <v>46</v>
      </c>
      <c r="P4584" t="s">
        <v>46</v>
      </c>
      <c r="Y4584" t="s">
        <v>15396</v>
      </c>
    </row>
    <row r="4585" spans="1:25">
      <c r="A4585" t="s">
        <v>15397</v>
      </c>
      <c r="B4585" t="s">
        <v>15398</v>
      </c>
      <c r="D4585" t="s">
        <v>40</v>
      </c>
      <c r="E4585" t="s">
        <v>41</v>
      </c>
      <c r="J4585" t="s">
        <v>182</v>
      </c>
      <c r="K4585" t="s">
        <v>183</v>
      </c>
      <c r="L4585">
        <v>9</v>
      </c>
      <c r="M4585" t="s">
        <v>15386</v>
      </c>
      <c r="N4585" t="s">
        <v>64</v>
      </c>
      <c r="O4585" t="s">
        <v>46</v>
      </c>
      <c r="P4585" t="s">
        <v>46</v>
      </c>
      <c r="Y4585" t="s">
        <v>15399</v>
      </c>
    </row>
    <row r="4586" spans="1:25">
      <c r="A4586" t="s">
        <v>15400</v>
      </c>
      <c r="B4586" t="s">
        <v>15401</v>
      </c>
      <c r="D4586" t="s">
        <v>40</v>
      </c>
      <c r="E4586" t="s">
        <v>41</v>
      </c>
      <c r="J4586" t="s">
        <v>288</v>
      </c>
      <c r="K4586" t="s">
        <v>289</v>
      </c>
      <c r="L4586">
        <v>9</v>
      </c>
      <c r="M4586" t="s">
        <v>15386</v>
      </c>
      <c r="N4586" t="s">
        <v>291</v>
      </c>
      <c r="O4586" t="s">
        <v>46</v>
      </c>
      <c r="P4586" t="s">
        <v>46</v>
      </c>
      <c r="Y4586" t="s">
        <v>15402</v>
      </c>
    </row>
    <row r="4587" spans="1:25">
      <c r="A4587" t="s">
        <v>15403</v>
      </c>
      <c r="B4587" t="s">
        <v>15404</v>
      </c>
      <c r="D4587" t="s">
        <v>40</v>
      </c>
      <c r="E4587" t="s">
        <v>41</v>
      </c>
      <c r="J4587" t="s">
        <v>76</v>
      </c>
      <c r="K4587" t="s">
        <v>77</v>
      </c>
      <c r="L4587">
        <v>9</v>
      </c>
      <c r="M4587" t="s">
        <v>15386</v>
      </c>
      <c r="N4587" t="s">
        <v>64</v>
      </c>
      <c r="O4587" t="s">
        <v>46</v>
      </c>
      <c r="P4587" t="s">
        <v>46</v>
      </c>
      <c r="Y4587" t="s">
        <v>15405</v>
      </c>
    </row>
    <row r="4588" spans="1:25">
      <c r="A4588" t="s">
        <v>15406</v>
      </c>
      <c r="B4588" t="s">
        <v>15407</v>
      </c>
      <c r="D4588" t="s">
        <v>40</v>
      </c>
      <c r="E4588" t="s">
        <v>41</v>
      </c>
      <c r="J4588" t="s">
        <v>139</v>
      </c>
      <c r="K4588" t="s">
        <v>140</v>
      </c>
      <c r="L4588">
        <v>9</v>
      </c>
      <c r="M4588" t="s">
        <v>15408</v>
      </c>
      <c r="N4588" t="s">
        <v>924</v>
      </c>
      <c r="O4588" t="s">
        <v>46</v>
      </c>
      <c r="P4588" t="s">
        <v>46</v>
      </c>
      <c r="Y4588" t="s">
        <v>15409</v>
      </c>
    </row>
    <row r="4589" spans="1:25">
      <c r="A4589" t="s">
        <v>15410</v>
      </c>
      <c r="B4589" t="s">
        <v>15411</v>
      </c>
      <c r="D4589" t="s">
        <v>40</v>
      </c>
      <c r="E4589" t="s">
        <v>41</v>
      </c>
      <c r="J4589" t="s">
        <v>182</v>
      </c>
      <c r="K4589" t="s">
        <v>183</v>
      </c>
      <c r="L4589">
        <v>9</v>
      </c>
      <c r="M4589" t="s">
        <v>15408</v>
      </c>
      <c r="N4589" t="s">
        <v>64</v>
      </c>
      <c r="O4589" t="s">
        <v>46</v>
      </c>
      <c r="P4589" t="s">
        <v>46</v>
      </c>
      <c r="Y4589" t="s">
        <v>15412</v>
      </c>
    </row>
    <row r="4590" spans="1:25">
      <c r="A4590" t="s">
        <v>15413</v>
      </c>
      <c r="B4590" t="s">
        <v>15414</v>
      </c>
      <c r="D4590" t="s">
        <v>40</v>
      </c>
      <c r="E4590" t="s">
        <v>41</v>
      </c>
      <c r="J4590" t="s">
        <v>50</v>
      </c>
      <c r="K4590" t="s">
        <v>51</v>
      </c>
      <c r="L4590">
        <v>9</v>
      </c>
      <c r="M4590" t="s">
        <v>15408</v>
      </c>
      <c r="N4590" t="s">
        <v>310</v>
      </c>
      <c r="O4590" t="s">
        <v>46</v>
      </c>
      <c r="P4590" t="s">
        <v>46</v>
      </c>
      <c r="Y4590" t="s">
        <v>15415</v>
      </c>
    </row>
    <row r="4591" spans="1:25">
      <c r="A4591" t="s">
        <v>15416</v>
      </c>
      <c r="B4591" t="s">
        <v>15417</v>
      </c>
      <c r="D4591" t="s">
        <v>40</v>
      </c>
      <c r="E4591" t="s">
        <v>41</v>
      </c>
      <c r="J4591" t="s">
        <v>182</v>
      </c>
      <c r="K4591" t="s">
        <v>183</v>
      </c>
      <c r="L4591">
        <v>9</v>
      </c>
      <c r="M4591" t="s">
        <v>15408</v>
      </c>
      <c r="N4591" t="s">
        <v>64</v>
      </c>
      <c r="O4591" t="s">
        <v>46</v>
      </c>
      <c r="P4591" t="s">
        <v>46</v>
      </c>
      <c r="Y4591" t="s">
        <v>15418</v>
      </c>
    </row>
    <row r="4592" spans="1:25">
      <c r="A4592" t="s">
        <v>15419</v>
      </c>
      <c r="B4592" t="s">
        <v>15420</v>
      </c>
      <c r="D4592" t="s">
        <v>40</v>
      </c>
      <c r="E4592" t="s">
        <v>41</v>
      </c>
      <c r="J4592" t="s">
        <v>182</v>
      </c>
      <c r="K4592" t="s">
        <v>183</v>
      </c>
      <c r="L4592">
        <v>9</v>
      </c>
      <c r="M4592" t="s">
        <v>15408</v>
      </c>
      <c r="N4592" t="s">
        <v>64</v>
      </c>
      <c r="O4592" t="s">
        <v>46</v>
      </c>
      <c r="P4592" t="s">
        <v>46</v>
      </c>
      <c r="Y4592" t="s">
        <v>15421</v>
      </c>
    </row>
    <row r="4593" spans="1:25">
      <c r="A4593" t="s">
        <v>15422</v>
      </c>
      <c r="B4593" t="s">
        <v>15423</v>
      </c>
      <c r="D4593" t="s">
        <v>40</v>
      </c>
      <c r="E4593" t="s">
        <v>41</v>
      </c>
      <c r="J4593" t="s">
        <v>248</v>
      </c>
      <c r="K4593" t="s">
        <v>249</v>
      </c>
      <c r="L4593">
        <v>9</v>
      </c>
      <c r="M4593" t="s">
        <v>15408</v>
      </c>
      <c r="N4593" t="s">
        <v>1334</v>
      </c>
      <c r="O4593" t="s">
        <v>46</v>
      </c>
      <c r="P4593" t="s">
        <v>46</v>
      </c>
      <c r="Y4593" t="s">
        <v>15424</v>
      </c>
    </row>
    <row r="4594" spans="1:25">
      <c r="A4594" t="s">
        <v>15425</v>
      </c>
      <c r="B4594" t="s">
        <v>15426</v>
      </c>
      <c r="D4594" t="s">
        <v>40</v>
      </c>
      <c r="E4594" t="s">
        <v>41</v>
      </c>
      <c r="J4594" t="s">
        <v>76</v>
      </c>
      <c r="K4594" t="s">
        <v>77</v>
      </c>
      <c r="L4594">
        <v>9</v>
      </c>
      <c r="M4594" t="s">
        <v>15408</v>
      </c>
      <c r="N4594" t="s">
        <v>64</v>
      </c>
      <c r="O4594" t="s">
        <v>46</v>
      </c>
      <c r="P4594" t="s">
        <v>46</v>
      </c>
      <c r="Y4594" t="s">
        <v>15427</v>
      </c>
    </row>
    <row r="4595" spans="1:25">
      <c r="A4595" t="s">
        <v>15428</v>
      </c>
      <c r="B4595" t="s">
        <v>15429</v>
      </c>
      <c r="D4595" t="s">
        <v>40</v>
      </c>
      <c r="E4595" t="s">
        <v>41</v>
      </c>
      <c r="J4595" t="s">
        <v>68</v>
      </c>
      <c r="K4595" t="s">
        <v>69</v>
      </c>
      <c r="L4595">
        <v>9</v>
      </c>
      <c r="M4595" t="s">
        <v>15430</v>
      </c>
      <c r="N4595" t="s">
        <v>64</v>
      </c>
      <c r="O4595" t="s">
        <v>46</v>
      </c>
      <c r="P4595" t="s">
        <v>46</v>
      </c>
      <c r="Y4595" t="s">
        <v>15431</v>
      </c>
    </row>
    <row r="4596" spans="1:25">
      <c r="A4596" t="s">
        <v>15432</v>
      </c>
      <c r="B4596" t="s">
        <v>15433</v>
      </c>
      <c r="D4596" t="s">
        <v>40</v>
      </c>
      <c r="E4596" t="s">
        <v>41</v>
      </c>
      <c r="J4596" t="s">
        <v>182</v>
      </c>
      <c r="K4596" t="s">
        <v>183</v>
      </c>
      <c r="L4596">
        <v>9</v>
      </c>
      <c r="M4596" t="s">
        <v>15430</v>
      </c>
      <c r="N4596" t="s">
        <v>64</v>
      </c>
      <c r="O4596" t="s">
        <v>46</v>
      </c>
      <c r="P4596" t="s">
        <v>46</v>
      </c>
      <c r="Y4596" t="s">
        <v>15434</v>
      </c>
    </row>
    <row r="4597" spans="1:25">
      <c r="A4597" t="s">
        <v>15435</v>
      </c>
      <c r="B4597" t="s">
        <v>15436</v>
      </c>
      <c r="D4597" t="s">
        <v>40</v>
      </c>
      <c r="E4597" t="s">
        <v>41</v>
      </c>
      <c r="J4597" t="s">
        <v>1114</v>
      </c>
      <c r="K4597" t="s">
        <v>1115</v>
      </c>
      <c r="L4597">
        <v>9</v>
      </c>
      <c r="M4597" t="s">
        <v>15430</v>
      </c>
      <c r="N4597" t="s">
        <v>752</v>
      </c>
      <c r="O4597" t="s">
        <v>46</v>
      </c>
      <c r="P4597" t="s">
        <v>46</v>
      </c>
      <c r="Y4597" t="s">
        <v>15437</v>
      </c>
    </row>
    <row r="4598" spans="1:25">
      <c r="A4598" t="s">
        <v>15438</v>
      </c>
      <c r="B4598" t="s">
        <v>15439</v>
      </c>
      <c r="D4598" t="s">
        <v>40</v>
      </c>
      <c r="E4598" t="s">
        <v>41</v>
      </c>
      <c r="J4598" t="s">
        <v>182</v>
      </c>
      <c r="K4598" t="s">
        <v>183</v>
      </c>
      <c r="L4598">
        <v>9</v>
      </c>
      <c r="M4598" t="s">
        <v>15440</v>
      </c>
      <c r="N4598" t="s">
        <v>64</v>
      </c>
      <c r="O4598" t="s">
        <v>46</v>
      </c>
      <c r="P4598" t="s">
        <v>46</v>
      </c>
      <c r="Y4598" t="s">
        <v>15441</v>
      </c>
    </row>
    <row r="4599" spans="1:25">
      <c r="A4599" t="s">
        <v>15442</v>
      </c>
      <c r="B4599" t="s">
        <v>15443</v>
      </c>
      <c r="D4599" t="s">
        <v>40</v>
      </c>
      <c r="E4599" t="s">
        <v>41</v>
      </c>
      <c r="J4599" t="s">
        <v>182</v>
      </c>
      <c r="K4599" t="s">
        <v>183</v>
      </c>
      <c r="L4599">
        <v>9</v>
      </c>
      <c r="M4599" t="s">
        <v>15440</v>
      </c>
      <c r="N4599" t="s">
        <v>64</v>
      </c>
      <c r="O4599" t="s">
        <v>46</v>
      </c>
      <c r="P4599" t="s">
        <v>46</v>
      </c>
      <c r="Y4599" t="s">
        <v>15444</v>
      </c>
    </row>
    <row r="4600" spans="1:25">
      <c r="A4600" t="s">
        <v>15445</v>
      </c>
      <c r="B4600" t="s">
        <v>15446</v>
      </c>
      <c r="D4600" t="s">
        <v>40</v>
      </c>
      <c r="E4600" t="s">
        <v>41</v>
      </c>
      <c r="J4600" t="s">
        <v>76</v>
      </c>
      <c r="K4600" t="s">
        <v>77</v>
      </c>
      <c r="L4600">
        <v>9</v>
      </c>
      <c r="M4600" t="s">
        <v>15440</v>
      </c>
      <c r="N4600" t="s">
        <v>64</v>
      </c>
      <c r="O4600" t="s">
        <v>46</v>
      </c>
      <c r="P4600" t="s">
        <v>46</v>
      </c>
      <c r="Y4600" t="s">
        <v>15447</v>
      </c>
    </row>
    <row r="4601" spans="1:25">
      <c r="A4601" t="s">
        <v>15448</v>
      </c>
      <c r="B4601" t="s">
        <v>15449</v>
      </c>
      <c r="D4601" t="s">
        <v>40</v>
      </c>
      <c r="E4601" t="s">
        <v>41</v>
      </c>
      <c r="J4601" t="s">
        <v>182</v>
      </c>
      <c r="K4601" t="s">
        <v>183</v>
      </c>
      <c r="L4601">
        <v>9</v>
      </c>
      <c r="M4601" t="s">
        <v>15440</v>
      </c>
      <c r="N4601" t="s">
        <v>64</v>
      </c>
      <c r="O4601" t="s">
        <v>46</v>
      </c>
      <c r="P4601" t="s">
        <v>46</v>
      </c>
      <c r="Y4601" t="s">
        <v>15450</v>
      </c>
    </row>
    <row r="4602" spans="1:25">
      <c r="A4602" t="s">
        <v>15451</v>
      </c>
      <c r="B4602" t="s">
        <v>15452</v>
      </c>
      <c r="D4602" t="s">
        <v>40</v>
      </c>
      <c r="E4602" t="s">
        <v>41</v>
      </c>
      <c r="J4602" t="s">
        <v>76</v>
      </c>
      <c r="K4602" t="s">
        <v>77</v>
      </c>
      <c r="L4602">
        <v>9</v>
      </c>
      <c r="M4602" t="s">
        <v>15440</v>
      </c>
      <c r="N4602" t="s">
        <v>64</v>
      </c>
      <c r="O4602" t="s">
        <v>46</v>
      </c>
      <c r="P4602" t="s">
        <v>46</v>
      </c>
      <c r="Y4602" t="s">
        <v>15453</v>
      </c>
    </row>
    <row r="4603" spans="1:25">
      <c r="A4603" t="s">
        <v>15454</v>
      </c>
      <c r="B4603" t="s">
        <v>15455</v>
      </c>
      <c r="D4603" t="s">
        <v>40</v>
      </c>
      <c r="E4603" t="s">
        <v>41</v>
      </c>
      <c r="J4603" t="s">
        <v>182</v>
      </c>
      <c r="K4603" t="s">
        <v>183</v>
      </c>
      <c r="L4603">
        <v>9</v>
      </c>
      <c r="M4603" t="s">
        <v>15456</v>
      </c>
      <c r="N4603" t="s">
        <v>64</v>
      </c>
      <c r="O4603" t="s">
        <v>46</v>
      </c>
      <c r="P4603" t="s">
        <v>46</v>
      </c>
      <c r="Y4603" t="s">
        <v>15457</v>
      </c>
    </row>
    <row r="4604" spans="1:25">
      <c r="A4604" t="s">
        <v>15458</v>
      </c>
      <c r="B4604" t="s">
        <v>15459</v>
      </c>
      <c r="D4604" t="s">
        <v>40</v>
      </c>
      <c r="E4604" t="s">
        <v>41</v>
      </c>
      <c r="J4604" t="s">
        <v>76</v>
      </c>
      <c r="K4604" t="s">
        <v>77</v>
      </c>
      <c r="L4604">
        <v>9</v>
      </c>
      <c r="M4604" t="s">
        <v>15456</v>
      </c>
      <c r="N4604" t="s">
        <v>64</v>
      </c>
      <c r="O4604" t="s">
        <v>46</v>
      </c>
      <c r="P4604" t="s">
        <v>46</v>
      </c>
      <c r="Y4604" t="s">
        <v>15460</v>
      </c>
    </row>
    <row r="4605" spans="1:25">
      <c r="A4605" t="s">
        <v>15461</v>
      </c>
      <c r="B4605" t="s">
        <v>15462</v>
      </c>
      <c r="D4605" t="s">
        <v>40</v>
      </c>
      <c r="E4605" t="s">
        <v>41</v>
      </c>
      <c r="J4605" t="s">
        <v>182</v>
      </c>
      <c r="K4605" t="s">
        <v>183</v>
      </c>
      <c r="L4605">
        <v>9</v>
      </c>
      <c r="M4605" t="s">
        <v>15463</v>
      </c>
      <c r="N4605" t="s">
        <v>64</v>
      </c>
      <c r="O4605" t="s">
        <v>46</v>
      </c>
      <c r="P4605" t="s">
        <v>46</v>
      </c>
      <c r="Y4605" t="s">
        <v>15464</v>
      </c>
    </row>
    <row r="4606" spans="1:25">
      <c r="A4606" t="s">
        <v>15465</v>
      </c>
      <c r="B4606" t="s">
        <v>15466</v>
      </c>
      <c r="D4606" t="s">
        <v>40</v>
      </c>
      <c r="E4606" t="s">
        <v>41</v>
      </c>
      <c r="J4606" t="s">
        <v>42</v>
      </c>
      <c r="K4606" t="s">
        <v>43</v>
      </c>
      <c r="L4606">
        <v>9</v>
      </c>
      <c r="M4606" t="s">
        <v>15463</v>
      </c>
      <c r="N4606" t="s">
        <v>350</v>
      </c>
      <c r="O4606" t="s">
        <v>46</v>
      </c>
      <c r="P4606" t="s">
        <v>46</v>
      </c>
      <c r="Y4606" t="s">
        <v>15467</v>
      </c>
    </row>
    <row r="4607" spans="1:25">
      <c r="A4607" t="s">
        <v>15468</v>
      </c>
      <c r="B4607" t="s">
        <v>15469</v>
      </c>
      <c r="D4607" t="s">
        <v>40</v>
      </c>
      <c r="E4607" t="s">
        <v>41</v>
      </c>
      <c r="J4607" t="s">
        <v>182</v>
      </c>
      <c r="K4607" t="s">
        <v>183</v>
      </c>
      <c r="L4607">
        <v>9</v>
      </c>
      <c r="M4607" t="s">
        <v>15463</v>
      </c>
      <c r="N4607" t="s">
        <v>64</v>
      </c>
      <c r="O4607" t="s">
        <v>46</v>
      </c>
      <c r="P4607" t="s">
        <v>46</v>
      </c>
      <c r="Y4607" t="s">
        <v>15470</v>
      </c>
    </row>
    <row r="4608" spans="1:25">
      <c r="A4608" t="s">
        <v>15471</v>
      </c>
      <c r="B4608" t="s">
        <v>15472</v>
      </c>
      <c r="D4608" t="s">
        <v>40</v>
      </c>
      <c r="E4608" t="s">
        <v>41</v>
      </c>
      <c r="J4608" t="s">
        <v>68</v>
      </c>
      <c r="K4608" t="s">
        <v>69</v>
      </c>
      <c r="L4608">
        <v>9</v>
      </c>
      <c r="M4608" t="s">
        <v>15463</v>
      </c>
      <c r="N4608" t="s">
        <v>64</v>
      </c>
      <c r="O4608" t="s">
        <v>46</v>
      </c>
      <c r="P4608" t="s">
        <v>46</v>
      </c>
      <c r="Y4608" t="s">
        <v>15473</v>
      </c>
    </row>
    <row r="4609" spans="1:25">
      <c r="A4609" t="s">
        <v>15474</v>
      </c>
      <c r="B4609" t="s">
        <v>15475</v>
      </c>
      <c r="D4609" t="s">
        <v>40</v>
      </c>
      <c r="E4609" t="s">
        <v>41</v>
      </c>
      <c r="J4609" t="s">
        <v>182</v>
      </c>
      <c r="K4609" t="s">
        <v>183</v>
      </c>
      <c r="L4609">
        <v>9</v>
      </c>
      <c r="M4609" t="s">
        <v>15476</v>
      </c>
      <c r="N4609" t="s">
        <v>64</v>
      </c>
      <c r="O4609" t="s">
        <v>46</v>
      </c>
      <c r="P4609" t="s">
        <v>46</v>
      </c>
      <c r="Y4609" t="s">
        <v>15477</v>
      </c>
    </row>
    <row r="4610" spans="1:25">
      <c r="A4610" t="s">
        <v>15478</v>
      </c>
      <c r="B4610" t="s">
        <v>15479</v>
      </c>
      <c r="D4610" t="s">
        <v>40</v>
      </c>
      <c r="E4610" t="s">
        <v>41</v>
      </c>
      <c r="J4610" t="s">
        <v>76</v>
      </c>
      <c r="K4610" t="s">
        <v>77</v>
      </c>
      <c r="L4610">
        <v>9</v>
      </c>
      <c r="M4610" t="s">
        <v>15476</v>
      </c>
      <c r="N4610" t="s">
        <v>64</v>
      </c>
      <c r="O4610" t="s">
        <v>46</v>
      </c>
      <c r="P4610" t="s">
        <v>46</v>
      </c>
      <c r="Y4610" t="s">
        <v>15480</v>
      </c>
    </row>
    <row r="4611" spans="1:25">
      <c r="A4611" t="s">
        <v>15481</v>
      </c>
      <c r="B4611" t="s">
        <v>15482</v>
      </c>
      <c r="D4611" t="s">
        <v>40</v>
      </c>
      <c r="E4611" t="s">
        <v>41</v>
      </c>
      <c r="J4611" t="s">
        <v>264</v>
      </c>
      <c r="K4611" t="s">
        <v>265</v>
      </c>
      <c r="L4611">
        <v>9</v>
      </c>
      <c r="M4611" t="s">
        <v>15483</v>
      </c>
      <c r="N4611" t="s">
        <v>1478</v>
      </c>
      <c r="O4611" t="s">
        <v>46</v>
      </c>
      <c r="P4611" t="s">
        <v>46</v>
      </c>
      <c r="Y4611" t="s">
        <v>15484</v>
      </c>
    </row>
    <row r="4612" spans="1:25">
      <c r="A4612" t="s">
        <v>15485</v>
      </c>
      <c r="B4612" t="s">
        <v>15486</v>
      </c>
      <c r="D4612" t="s">
        <v>40</v>
      </c>
      <c r="E4612" t="s">
        <v>41</v>
      </c>
      <c r="J4612" t="s">
        <v>76</v>
      </c>
      <c r="K4612" t="s">
        <v>77</v>
      </c>
      <c r="L4612">
        <v>9</v>
      </c>
      <c r="M4612" t="s">
        <v>15483</v>
      </c>
      <c r="N4612" t="s">
        <v>64</v>
      </c>
      <c r="O4612" t="s">
        <v>46</v>
      </c>
      <c r="P4612" t="s">
        <v>46</v>
      </c>
      <c r="Y4612" t="s">
        <v>15487</v>
      </c>
    </row>
    <row r="4613" spans="1:25">
      <c r="A4613" t="s">
        <v>15488</v>
      </c>
      <c r="B4613" t="s">
        <v>15489</v>
      </c>
      <c r="D4613" t="s">
        <v>40</v>
      </c>
      <c r="E4613" t="s">
        <v>41</v>
      </c>
      <c r="J4613" t="s">
        <v>182</v>
      </c>
      <c r="K4613" t="s">
        <v>183</v>
      </c>
      <c r="L4613">
        <v>9</v>
      </c>
      <c r="M4613" t="s">
        <v>15483</v>
      </c>
      <c r="N4613" t="s">
        <v>64</v>
      </c>
      <c r="O4613" t="s">
        <v>46</v>
      </c>
      <c r="P4613" t="s">
        <v>46</v>
      </c>
      <c r="Y4613" t="s">
        <v>15490</v>
      </c>
    </row>
    <row r="4614" spans="1:25">
      <c r="A4614" t="s">
        <v>15491</v>
      </c>
      <c r="B4614" t="s">
        <v>15492</v>
      </c>
      <c r="D4614" t="s">
        <v>40</v>
      </c>
      <c r="E4614" t="s">
        <v>41</v>
      </c>
      <c r="J4614" t="s">
        <v>68</v>
      </c>
      <c r="K4614" t="s">
        <v>69</v>
      </c>
      <c r="L4614">
        <v>9</v>
      </c>
      <c r="M4614" t="s">
        <v>15483</v>
      </c>
      <c r="N4614" t="s">
        <v>64</v>
      </c>
      <c r="O4614" t="s">
        <v>46</v>
      </c>
      <c r="P4614" t="s">
        <v>46</v>
      </c>
      <c r="Y4614" t="s">
        <v>15493</v>
      </c>
    </row>
    <row r="4615" spans="1:25">
      <c r="A4615" t="s">
        <v>15494</v>
      </c>
      <c r="B4615" t="s">
        <v>15495</v>
      </c>
      <c r="D4615" t="s">
        <v>40</v>
      </c>
      <c r="E4615" t="s">
        <v>41</v>
      </c>
      <c r="J4615" t="s">
        <v>182</v>
      </c>
      <c r="K4615" t="s">
        <v>183</v>
      </c>
      <c r="L4615">
        <v>9</v>
      </c>
      <c r="M4615" t="s">
        <v>15483</v>
      </c>
      <c r="N4615" t="s">
        <v>64</v>
      </c>
      <c r="O4615" t="s">
        <v>46</v>
      </c>
      <c r="P4615" t="s">
        <v>46</v>
      </c>
      <c r="Y4615" t="s">
        <v>15496</v>
      </c>
    </row>
    <row r="4616" spans="1:25">
      <c r="A4616" t="s">
        <v>15497</v>
      </c>
      <c r="B4616" t="s">
        <v>15498</v>
      </c>
      <c r="D4616" t="s">
        <v>40</v>
      </c>
      <c r="E4616" t="s">
        <v>41</v>
      </c>
      <c r="J4616" t="s">
        <v>1554</v>
      </c>
      <c r="K4616" t="s">
        <v>1555</v>
      </c>
      <c r="L4616">
        <v>9</v>
      </c>
      <c r="M4616" t="s">
        <v>15483</v>
      </c>
      <c r="N4616" t="s">
        <v>1138</v>
      </c>
      <c r="O4616" t="s">
        <v>46</v>
      </c>
      <c r="P4616" t="s">
        <v>46</v>
      </c>
      <c r="Y4616" t="s">
        <v>15499</v>
      </c>
    </row>
    <row r="4617" spans="1:25">
      <c r="A4617" t="s">
        <v>15500</v>
      </c>
      <c r="B4617" t="s">
        <v>15501</v>
      </c>
      <c r="D4617" t="s">
        <v>40</v>
      </c>
      <c r="E4617" t="s">
        <v>41</v>
      </c>
      <c r="J4617" t="s">
        <v>42</v>
      </c>
      <c r="K4617" t="s">
        <v>43</v>
      </c>
      <c r="L4617">
        <v>9</v>
      </c>
      <c r="M4617" t="s">
        <v>15483</v>
      </c>
      <c r="N4617" t="s">
        <v>741</v>
      </c>
      <c r="O4617" t="s">
        <v>46</v>
      </c>
      <c r="P4617" t="s">
        <v>46</v>
      </c>
      <c r="Y4617" t="s">
        <v>15502</v>
      </c>
    </row>
    <row r="4618" spans="1:25">
      <c r="A4618" t="s">
        <v>15503</v>
      </c>
      <c r="B4618" t="s">
        <v>15504</v>
      </c>
      <c r="D4618" t="s">
        <v>40</v>
      </c>
      <c r="E4618" t="s">
        <v>41</v>
      </c>
      <c r="J4618" t="s">
        <v>76</v>
      </c>
      <c r="K4618" t="s">
        <v>77</v>
      </c>
      <c r="L4618">
        <v>9</v>
      </c>
      <c r="M4618" t="s">
        <v>15483</v>
      </c>
      <c r="N4618" t="s">
        <v>64</v>
      </c>
      <c r="O4618" t="s">
        <v>46</v>
      </c>
      <c r="P4618" t="s">
        <v>46</v>
      </c>
      <c r="Y4618" t="s">
        <v>15505</v>
      </c>
    </row>
    <row r="4619" spans="1:25">
      <c r="A4619" t="s">
        <v>15506</v>
      </c>
      <c r="B4619" t="s">
        <v>15507</v>
      </c>
      <c r="D4619" t="s">
        <v>40</v>
      </c>
      <c r="E4619" t="s">
        <v>41</v>
      </c>
      <c r="J4619" t="s">
        <v>182</v>
      </c>
      <c r="K4619" t="s">
        <v>183</v>
      </c>
      <c r="L4619">
        <v>9</v>
      </c>
      <c r="M4619" t="s">
        <v>15508</v>
      </c>
      <c r="N4619" t="s">
        <v>64</v>
      </c>
      <c r="O4619" t="s">
        <v>46</v>
      </c>
      <c r="P4619" t="s">
        <v>46</v>
      </c>
      <c r="Y4619" t="s">
        <v>15509</v>
      </c>
    </row>
    <row r="4620" spans="1:25">
      <c r="A4620" t="s">
        <v>15510</v>
      </c>
      <c r="B4620" t="s">
        <v>15511</v>
      </c>
      <c r="D4620" t="s">
        <v>40</v>
      </c>
      <c r="E4620" t="s">
        <v>41</v>
      </c>
      <c r="J4620" t="s">
        <v>76</v>
      </c>
      <c r="K4620" t="s">
        <v>77</v>
      </c>
      <c r="L4620">
        <v>9</v>
      </c>
      <c r="M4620" t="s">
        <v>15508</v>
      </c>
      <c r="N4620" t="s">
        <v>64</v>
      </c>
      <c r="O4620" t="s">
        <v>46</v>
      </c>
      <c r="P4620" t="s">
        <v>46</v>
      </c>
      <c r="Y4620" t="s">
        <v>15512</v>
      </c>
    </row>
    <row r="4621" spans="1:25">
      <c r="A4621" t="s">
        <v>15513</v>
      </c>
      <c r="B4621" t="s">
        <v>15514</v>
      </c>
      <c r="D4621" t="s">
        <v>40</v>
      </c>
      <c r="E4621" t="s">
        <v>41</v>
      </c>
      <c r="J4621" t="s">
        <v>76</v>
      </c>
      <c r="K4621" t="s">
        <v>77</v>
      </c>
      <c r="L4621">
        <v>9</v>
      </c>
      <c r="M4621" t="s">
        <v>15508</v>
      </c>
      <c r="N4621" t="s">
        <v>64</v>
      </c>
      <c r="O4621" t="s">
        <v>46</v>
      </c>
      <c r="P4621" t="s">
        <v>46</v>
      </c>
      <c r="Y4621" t="s">
        <v>15515</v>
      </c>
    </row>
    <row r="4622" spans="1:25">
      <c r="A4622" t="s">
        <v>15516</v>
      </c>
      <c r="B4622" t="s">
        <v>15517</v>
      </c>
      <c r="D4622" t="s">
        <v>40</v>
      </c>
      <c r="E4622" t="s">
        <v>41</v>
      </c>
      <c r="J4622" t="s">
        <v>42</v>
      </c>
      <c r="K4622" t="s">
        <v>43</v>
      </c>
      <c r="L4622">
        <v>9</v>
      </c>
      <c r="M4622" t="s">
        <v>15508</v>
      </c>
      <c r="N4622" t="s">
        <v>4037</v>
      </c>
      <c r="O4622" t="s">
        <v>46</v>
      </c>
      <c r="P4622" t="s">
        <v>46</v>
      </c>
      <c r="Y4622" t="s">
        <v>15518</v>
      </c>
    </row>
    <row r="4623" spans="1:25">
      <c r="A4623" t="s">
        <v>15519</v>
      </c>
      <c r="B4623" t="s">
        <v>15520</v>
      </c>
      <c r="D4623" t="s">
        <v>40</v>
      </c>
      <c r="E4623" t="s">
        <v>41</v>
      </c>
      <c r="J4623" t="s">
        <v>68</v>
      </c>
      <c r="K4623" t="s">
        <v>69</v>
      </c>
      <c r="L4623">
        <v>9</v>
      </c>
      <c r="M4623" t="s">
        <v>15508</v>
      </c>
      <c r="N4623" t="s">
        <v>64</v>
      </c>
      <c r="O4623" t="s">
        <v>46</v>
      </c>
      <c r="P4623" t="s">
        <v>46</v>
      </c>
      <c r="Y4623" t="s">
        <v>15521</v>
      </c>
    </row>
    <row r="4624" spans="1:25">
      <c r="A4624" t="s">
        <v>15522</v>
      </c>
      <c r="B4624" t="s">
        <v>15523</v>
      </c>
      <c r="D4624" t="s">
        <v>40</v>
      </c>
      <c r="E4624" t="s">
        <v>41</v>
      </c>
      <c r="J4624" t="s">
        <v>182</v>
      </c>
      <c r="K4624" t="s">
        <v>183</v>
      </c>
      <c r="L4624">
        <v>9</v>
      </c>
      <c r="M4624" t="s">
        <v>15508</v>
      </c>
      <c r="N4624" t="s">
        <v>64</v>
      </c>
      <c r="O4624" t="s">
        <v>46</v>
      </c>
      <c r="P4624" t="s">
        <v>46</v>
      </c>
      <c r="Y4624" t="s">
        <v>15524</v>
      </c>
    </row>
    <row r="4625" spans="1:25">
      <c r="A4625" t="s">
        <v>15525</v>
      </c>
      <c r="B4625" t="s">
        <v>15526</v>
      </c>
      <c r="D4625" t="s">
        <v>40</v>
      </c>
      <c r="E4625" t="s">
        <v>41</v>
      </c>
      <c r="J4625" t="s">
        <v>42</v>
      </c>
      <c r="K4625" t="s">
        <v>43</v>
      </c>
      <c r="L4625">
        <v>9</v>
      </c>
      <c r="M4625" t="s">
        <v>15508</v>
      </c>
      <c r="N4625" t="s">
        <v>1446</v>
      </c>
      <c r="O4625" t="s">
        <v>46</v>
      </c>
      <c r="P4625" t="s">
        <v>46</v>
      </c>
      <c r="Y4625" t="s">
        <v>15527</v>
      </c>
    </row>
    <row r="4626" spans="1:25">
      <c r="A4626" t="s">
        <v>15528</v>
      </c>
      <c r="B4626" t="s">
        <v>15529</v>
      </c>
      <c r="D4626" t="s">
        <v>40</v>
      </c>
      <c r="E4626" t="s">
        <v>41</v>
      </c>
      <c r="J4626" t="s">
        <v>42</v>
      </c>
      <c r="K4626" t="s">
        <v>43</v>
      </c>
      <c r="L4626">
        <v>9</v>
      </c>
      <c r="M4626" t="s">
        <v>15508</v>
      </c>
      <c r="N4626" t="s">
        <v>1334</v>
      </c>
      <c r="O4626" t="s">
        <v>46</v>
      </c>
      <c r="P4626" t="s">
        <v>46</v>
      </c>
      <c r="Y4626" t="s">
        <v>15530</v>
      </c>
    </row>
    <row r="4627" spans="1:25">
      <c r="A4627" t="s">
        <v>15531</v>
      </c>
      <c r="B4627" t="s">
        <v>15532</v>
      </c>
      <c r="D4627" t="s">
        <v>40</v>
      </c>
      <c r="E4627" t="s">
        <v>41</v>
      </c>
      <c r="J4627" t="s">
        <v>76</v>
      </c>
      <c r="K4627" t="s">
        <v>77</v>
      </c>
      <c r="L4627">
        <v>9</v>
      </c>
      <c r="M4627" t="s">
        <v>15533</v>
      </c>
      <c r="N4627" t="s">
        <v>64</v>
      </c>
      <c r="O4627" t="s">
        <v>46</v>
      </c>
      <c r="P4627" t="s">
        <v>46</v>
      </c>
      <c r="Y4627" t="s">
        <v>15534</v>
      </c>
    </row>
    <row r="4628" spans="1:25">
      <c r="A4628" t="s">
        <v>15535</v>
      </c>
      <c r="B4628" t="s">
        <v>15536</v>
      </c>
      <c r="D4628" t="s">
        <v>40</v>
      </c>
      <c r="E4628" t="s">
        <v>41</v>
      </c>
      <c r="J4628" t="s">
        <v>76</v>
      </c>
      <c r="K4628" t="s">
        <v>77</v>
      </c>
      <c r="L4628">
        <v>9</v>
      </c>
      <c r="M4628" t="s">
        <v>15533</v>
      </c>
      <c r="N4628" t="s">
        <v>64</v>
      </c>
      <c r="O4628" t="s">
        <v>46</v>
      </c>
      <c r="P4628" t="s">
        <v>46</v>
      </c>
      <c r="Y4628" t="s">
        <v>15537</v>
      </c>
    </row>
    <row r="4629" spans="1:25">
      <c r="A4629" t="s">
        <v>15538</v>
      </c>
      <c r="B4629" t="s">
        <v>15539</v>
      </c>
      <c r="D4629" t="s">
        <v>40</v>
      </c>
      <c r="E4629" t="s">
        <v>41</v>
      </c>
      <c r="J4629" t="s">
        <v>76</v>
      </c>
      <c r="K4629" t="s">
        <v>77</v>
      </c>
      <c r="L4629">
        <v>9</v>
      </c>
      <c r="M4629" t="s">
        <v>15533</v>
      </c>
      <c r="N4629" t="s">
        <v>64</v>
      </c>
      <c r="O4629" t="s">
        <v>46</v>
      </c>
      <c r="P4629" t="s">
        <v>46</v>
      </c>
      <c r="Y4629" t="s">
        <v>15540</v>
      </c>
    </row>
    <row r="4630" spans="1:25">
      <c r="A4630" t="s">
        <v>15541</v>
      </c>
      <c r="B4630" t="s">
        <v>15542</v>
      </c>
      <c r="D4630" t="s">
        <v>40</v>
      </c>
      <c r="E4630" t="s">
        <v>41</v>
      </c>
      <c r="J4630" t="s">
        <v>76</v>
      </c>
      <c r="K4630" t="s">
        <v>77</v>
      </c>
      <c r="L4630">
        <v>9</v>
      </c>
      <c r="M4630" t="s">
        <v>15533</v>
      </c>
      <c r="N4630" t="s">
        <v>64</v>
      </c>
      <c r="O4630" t="s">
        <v>46</v>
      </c>
      <c r="P4630" t="s">
        <v>46</v>
      </c>
      <c r="Y4630" t="s">
        <v>15543</v>
      </c>
    </row>
    <row r="4631" spans="1:25">
      <c r="A4631" t="s">
        <v>15544</v>
      </c>
      <c r="B4631" t="s">
        <v>15545</v>
      </c>
      <c r="D4631" t="s">
        <v>40</v>
      </c>
      <c r="E4631" t="s">
        <v>41</v>
      </c>
      <c r="J4631" t="s">
        <v>76</v>
      </c>
      <c r="K4631" t="s">
        <v>77</v>
      </c>
      <c r="L4631">
        <v>9</v>
      </c>
      <c r="M4631" t="s">
        <v>15533</v>
      </c>
      <c r="N4631" t="s">
        <v>64</v>
      </c>
      <c r="O4631" t="s">
        <v>46</v>
      </c>
      <c r="P4631" t="s">
        <v>46</v>
      </c>
      <c r="Y4631" t="s">
        <v>15546</v>
      </c>
    </row>
    <row r="4632" spans="1:25">
      <c r="A4632" t="s">
        <v>15547</v>
      </c>
      <c r="B4632" t="s">
        <v>15548</v>
      </c>
      <c r="D4632" t="s">
        <v>40</v>
      </c>
      <c r="E4632" t="s">
        <v>41</v>
      </c>
      <c r="J4632" t="s">
        <v>182</v>
      </c>
      <c r="K4632" t="s">
        <v>183</v>
      </c>
      <c r="L4632">
        <v>9</v>
      </c>
      <c r="M4632" t="s">
        <v>15549</v>
      </c>
      <c r="N4632" t="s">
        <v>64</v>
      </c>
      <c r="O4632" t="s">
        <v>46</v>
      </c>
      <c r="P4632" t="s">
        <v>46</v>
      </c>
      <c r="Y4632" t="s">
        <v>15550</v>
      </c>
    </row>
    <row r="4633" spans="1:25">
      <c r="A4633" t="s">
        <v>15551</v>
      </c>
      <c r="B4633" t="s">
        <v>15552</v>
      </c>
      <c r="D4633" t="s">
        <v>40</v>
      </c>
      <c r="E4633" t="s">
        <v>41</v>
      </c>
      <c r="J4633" t="s">
        <v>76</v>
      </c>
      <c r="K4633" t="s">
        <v>77</v>
      </c>
      <c r="L4633">
        <v>9</v>
      </c>
      <c r="M4633" t="s">
        <v>15549</v>
      </c>
      <c r="N4633" t="s">
        <v>64</v>
      </c>
      <c r="O4633" t="s">
        <v>46</v>
      </c>
      <c r="P4633" t="s">
        <v>46</v>
      </c>
      <c r="Y4633" t="s">
        <v>15553</v>
      </c>
    </row>
    <row r="4634" spans="1:25">
      <c r="A4634" t="s">
        <v>15554</v>
      </c>
      <c r="B4634" t="s">
        <v>15555</v>
      </c>
      <c r="D4634" t="s">
        <v>40</v>
      </c>
      <c r="E4634" t="s">
        <v>41</v>
      </c>
      <c r="J4634" t="s">
        <v>182</v>
      </c>
      <c r="K4634" t="s">
        <v>183</v>
      </c>
      <c r="L4634">
        <v>9</v>
      </c>
      <c r="M4634" t="s">
        <v>15549</v>
      </c>
      <c r="N4634" t="s">
        <v>64</v>
      </c>
      <c r="O4634" t="s">
        <v>46</v>
      </c>
      <c r="P4634" t="s">
        <v>46</v>
      </c>
      <c r="Y4634" t="s">
        <v>15556</v>
      </c>
    </row>
    <row r="4635" spans="1:25">
      <c r="A4635" t="s">
        <v>15557</v>
      </c>
      <c r="B4635" t="s">
        <v>15558</v>
      </c>
      <c r="D4635" t="s">
        <v>40</v>
      </c>
      <c r="E4635" t="s">
        <v>41</v>
      </c>
      <c r="J4635" t="s">
        <v>182</v>
      </c>
      <c r="K4635" t="s">
        <v>183</v>
      </c>
      <c r="L4635">
        <v>9</v>
      </c>
      <c r="M4635" t="s">
        <v>15549</v>
      </c>
      <c r="N4635" t="s">
        <v>64</v>
      </c>
      <c r="O4635" t="s">
        <v>46</v>
      </c>
      <c r="P4635" t="s">
        <v>46</v>
      </c>
      <c r="Y4635" t="s">
        <v>15559</v>
      </c>
    </row>
    <row r="4636" spans="1:25">
      <c r="A4636" t="s">
        <v>15560</v>
      </c>
      <c r="B4636" t="s">
        <v>15561</v>
      </c>
      <c r="D4636" t="s">
        <v>40</v>
      </c>
      <c r="E4636" t="s">
        <v>41</v>
      </c>
      <c r="J4636" t="s">
        <v>76</v>
      </c>
      <c r="K4636" t="s">
        <v>77</v>
      </c>
      <c r="L4636">
        <v>9</v>
      </c>
      <c r="M4636" t="s">
        <v>15549</v>
      </c>
      <c r="N4636" t="s">
        <v>64</v>
      </c>
      <c r="O4636" t="s">
        <v>46</v>
      </c>
      <c r="P4636" t="s">
        <v>46</v>
      </c>
      <c r="Y4636" t="s">
        <v>15562</v>
      </c>
    </row>
    <row r="4637" spans="1:25">
      <c r="A4637" t="s">
        <v>15563</v>
      </c>
      <c r="B4637" t="s">
        <v>15564</v>
      </c>
      <c r="D4637" t="s">
        <v>40</v>
      </c>
      <c r="E4637" t="s">
        <v>41</v>
      </c>
      <c r="J4637" t="s">
        <v>76</v>
      </c>
      <c r="K4637" t="s">
        <v>77</v>
      </c>
      <c r="L4637">
        <v>9</v>
      </c>
      <c r="M4637" t="s">
        <v>15565</v>
      </c>
      <c r="N4637" t="s">
        <v>64</v>
      </c>
      <c r="O4637" t="s">
        <v>46</v>
      </c>
      <c r="P4637" t="s">
        <v>46</v>
      </c>
      <c r="Y4637" t="s">
        <v>15566</v>
      </c>
    </row>
    <row r="4638" spans="1:25">
      <c r="A4638" t="s">
        <v>15567</v>
      </c>
      <c r="B4638" t="s">
        <v>15568</v>
      </c>
      <c r="D4638" t="s">
        <v>40</v>
      </c>
      <c r="E4638" t="s">
        <v>41</v>
      </c>
      <c r="J4638" t="s">
        <v>76</v>
      </c>
      <c r="K4638" t="s">
        <v>77</v>
      </c>
      <c r="L4638">
        <v>9</v>
      </c>
      <c r="M4638" t="s">
        <v>15565</v>
      </c>
      <c r="N4638" t="s">
        <v>64</v>
      </c>
      <c r="O4638" t="s">
        <v>46</v>
      </c>
      <c r="P4638" t="s">
        <v>46</v>
      </c>
      <c r="Y4638" t="s">
        <v>15569</v>
      </c>
    </row>
    <row r="4639" spans="1:25">
      <c r="A4639" t="s">
        <v>15570</v>
      </c>
      <c r="B4639" t="s">
        <v>15571</v>
      </c>
      <c r="D4639" t="s">
        <v>40</v>
      </c>
      <c r="E4639" t="s">
        <v>41</v>
      </c>
      <c r="J4639" t="s">
        <v>76</v>
      </c>
      <c r="K4639" t="s">
        <v>77</v>
      </c>
      <c r="L4639">
        <v>9</v>
      </c>
      <c r="M4639" t="s">
        <v>15565</v>
      </c>
      <c r="N4639" t="s">
        <v>64</v>
      </c>
      <c r="O4639" t="s">
        <v>46</v>
      </c>
      <c r="P4639" t="s">
        <v>46</v>
      </c>
      <c r="Y4639" t="s">
        <v>15572</v>
      </c>
    </row>
    <row r="4640" spans="1:25">
      <c r="A4640" t="s">
        <v>15573</v>
      </c>
      <c r="B4640" t="s">
        <v>15574</v>
      </c>
      <c r="D4640" t="s">
        <v>40</v>
      </c>
      <c r="E4640" t="s">
        <v>41</v>
      </c>
      <c r="J4640" t="s">
        <v>182</v>
      </c>
      <c r="K4640" t="s">
        <v>183</v>
      </c>
      <c r="L4640">
        <v>9</v>
      </c>
      <c r="M4640" t="s">
        <v>15565</v>
      </c>
      <c r="N4640" t="s">
        <v>64</v>
      </c>
      <c r="O4640" t="s">
        <v>46</v>
      </c>
      <c r="P4640" t="s">
        <v>46</v>
      </c>
      <c r="Y4640" t="s">
        <v>15575</v>
      </c>
    </row>
    <row r="4641" spans="1:25">
      <c r="A4641" t="s">
        <v>15576</v>
      </c>
      <c r="B4641" t="s">
        <v>15577</v>
      </c>
      <c r="D4641" t="s">
        <v>40</v>
      </c>
      <c r="E4641" t="s">
        <v>41</v>
      </c>
      <c r="J4641" t="s">
        <v>76</v>
      </c>
      <c r="K4641" t="s">
        <v>77</v>
      </c>
      <c r="L4641">
        <v>9</v>
      </c>
      <c r="M4641" t="s">
        <v>15565</v>
      </c>
      <c r="N4641" t="s">
        <v>64</v>
      </c>
      <c r="O4641" t="s">
        <v>46</v>
      </c>
      <c r="P4641" t="s">
        <v>46</v>
      </c>
      <c r="Y4641" t="s">
        <v>15578</v>
      </c>
    </row>
    <row r="4642" spans="1:25">
      <c r="A4642" t="s">
        <v>15579</v>
      </c>
      <c r="B4642" t="s">
        <v>15580</v>
      </c>
      <c r="D4642" t="s">
        <v>40</v>
      </c>
      <c r="E4642" t="s">
        <v>41</v>
      </c>
      <c r="J4642" t="s">
        <v>264</v>
      </c>
      <c r="K4642" t="s">
        <v>265</v>
      </c>
      <c r="L4642">
        <v>7</v>
      </c>
      <c r="M4642" t="s">
        <v>15581</v>
      </c>
      <c r="N4642" t="s">
        <v>1446</v>
      </c>
      <c r="O4642" t="s">
        <v>46</v>
      </c>
      <c r="P4642" t="s">
        <v>46</v>
      </c>
      <c r="Y4642" t="s">
        <v>15582</v>
      </c>
    </row>
    <row r="4643" spans="1:25">
      <c r="A4643" t="s">
        <v>15583</v>
      </c>
      <c r="B4643" t="s">
        <v>15584</v>
      </c>
      <c r="D4643" t="s">
        <v>40</v>
      </c>
      <c r="E4643" t="s">
        <v>41</v>
      </c>
      <c r="J4643" t="s">
        <v>50</v>
      </c>
      <c r="K4643" t="s">
        <v>51</v>
      </c>
      <c r="L4643">
        <v>11</v>
      </c>
      <c r="M4643" t="s">
        <v>15585</v>
      </c>
      <c r="N4643" t="s">
        <v>350</v>
      </c>
      <c r="O4643" t="s">
        <v>46</v>
      </c>
      <c r="P4643" t="s">
        <v>46</v>
      </c>
      <c r="Y4643" t="s">
        <v>15586</v>
      </c>
    </row>
    <row r="4644" spans="1:25">
      <c r="A4644" t="s">
        <v>15587</v>
      </c>
      <c r="B4644" t="s">
        <v>15588</v>
      </c>
      <c r="D4644" t="s">
        <v>40</v>
      </c>
      <c r="E4644" t="s">
        <v>41</v>
      </c>
      <c r="J4644" t="s">
        <v>182</v>
      </c>
      <c r="K4644" t="s">
        <v>183</v>
      </c>
      <c r="L4644">
        <v>9</v>
      </c>
      <c r="M4644" t="s">
        <v>15589</v>
      </c>
      <c r="N4644" t="s">
        <v>64</v>
      </c>
      <c r="O4644" t="s">
        <v>46</v>
      </c>
      <c r="P4644" t="s">
        <v>46</v>
      </c>
      <c r="Y4644" t="s">
        <v>15590</v>
      </c>
    </row>
    <row r="4645" spans="1:25">
      <c r="A4645" t="s">
        <v>15591</v>
      </c>
      <c r="B4645" t="s">
        <v>15592</v>
      </c>
      <c r="D4645" t="s">
        <v>40</v>
      </c>
      <c r="E4645" t="s">
        <v>41</v>
      </c>
      <c r="J4645" t="s">
        <v>42</v>
      </c>
      <c r="K4645" t="s">
        <v>43</v>
      </c>
      <c r="L4645">
        <v>9</v>
      </c>
      <c r="M4645" t="s">
        <v>15589</v>
      </c>
      <c r="N4645" t="s">
        <v>2621</v>
      </c>
      <c r="O4645" t="s">
        <v>46</v>
      </c>
      <c r="P4645" t="s">
        <v>46</v>
      </c>
      <c r="Y4645" t="s">
        <v>15593</v>
      </c>
    </row>
    <row r="4646" spans="1:25">
      <c r="A4646" t="s">
        <v>15594</v>
      </c>
      <c r="B4646" t="s">
        <v>15595</v>
      </c>
      <c r="D4646" t="s">
        <v>40</v>
      </c>
      <c r="E4646" t="s">
        <v>41</v>
      </c>
      <c r="J4646" t="s">
        <v>182</v>
      </c>
      <c r="K4646" t="s">
        <v>183</v>
      </c>
      <c r="L4646">
        <v>10</v>
      </c>
      <c r="M4646" t="s">
        <v>15596</v>
      </c>
      <c r="N4646" t="s">
        <v>64</v>
      </c>
      <c r="O4646" t="s">
        <v>46</v>
      </c>
      <c r="P4646" t="s">
        <v>46</v>
      </c>
      <c r="Y4646" t="s">
        <v>15597</v>
      </c>
    </row>
    <row r="4647" spans="1:25">
      <c r="A4647" t="s">
        <v>15598</v>
      </c>
      <c r="B4647" t="s">
        <v>15599</v>
      </c>
      <c r="D4647" t="s">
        <v>40</v>
      </c>
      <c r="E4647" t="s">
        <v>41</v>
      </c>
      <c r="J4647" t="s">
        <v>182</v>
      </c>
      <c r="K4647" t="s">
        <v>183</v>
      </c>
      <c r="L4647">
        <v>9</v>
      </c>
      <c r="M4647" t="s">
        <v>15596</v>
      </c>
      <c r="N4647" t="s">
        <v>64</v>
      </c>
      <c r="O4647" t="s">
        <v>46</v>
      </c>
      <c r="P4647" t="s">
        <v>46</v>
      </c>
      <c r="Y4647" t="s">
        <v>15600</v>
      </c>
    </row>
    <row r="4648" spans="1:25">
      <c r="A4648" t="s">
        <v>15601</v>
      </c>
      <c r="B4648" t="s">
        <v>15602</v>
      </c>
      <c r="D4648" t="s">
        <v>40</v>
      </c>
      <c r="E4648" t="s">
        <v>41</v>
      </c>
      <c r="J4648" t="s">
        <v>76</v>
      </c>
      <c r="K4648" t="s">
        <v>77</v>
      </c>
      <c r="L4648">
        <v>9</v>
      </c>
      <c r="M4648" t="s">
        <v>15596</v>
      </c>
      <c r="N4648" t="s">
        <v>64</v>
      </c>
      <c r="O4648" t="s">
        <v>46</v>
      </c>
      <c r="P4648" t="s">
        <v>46</v>
      </c>
      <c r="Y4648" t="s">
        <v>15603</v>
      </c>
    </row>
    <row r="4649" spans="1:25">
      <c r="A4649" t="s">
        <v>15604</v>
      </c>
      <c r="B4649" t="s">
        <v>15605</v>
      </c>
      <c r="D4649" t="s">
        <v>40</v>
      </c>
      <c r="E4649" t="s">
        <v>41</v>
      </c>
      <c r="J4649" t="s">
        <v>182</v>
      </c>
      <c r="K4649" t="s">
        <v>183</v>
      </c>
      <c r="L4649">
        <v>9</v>
      </c>
      <c r="M4649" t="s">
        <v>15596</v>
      </c>
      <c r="N4649" t="s">
        <v>64</v>
      </c>
      <c r="O4649" t="s">
        <v>46</v>
      </c>
      <c r="P4649" t="s">
        <v>46</v>
      </c>
      <c r="Y4649" t="s">
        <v>15606</v>
      </c>
    </row>
    <row r="4650" spans="1:25">
      <c r="A4650" t="s">
        <v>15607</v>
      </c>
      <c r="B4650" t="s">
        <v>15608</v>
      </c>
      <c r="D4650" t="s">
        <v>40</v>
      </c>
      <c r="E4650" t="s">
        <v>41</v>
      </c>
      <c r="J4650" t="s">
        <v>182</v>
      </c>
      <c r="K4650" t="s">
        <v>183</v>
      </c>
      <c r="L4650">
        <v>9</v>
      </c>
      <c r="M4650" t="s">
        <v>15596</v>
      </c>
      <c r="N4650" t="s">
        <v>64</v>
      </c>
      <c r="O4650" t="s">
        <v>46</v>
      </c>
      <c r="P4650" t="s">
        <v>46</v>
      </c>
      <c r="Y4650" t="s">
        <v>15609</v>
      </c>
    </row>
    <row r="4651" spans="1:25">
      <c r="A4651" t="s">
        <v>15610</v>
      </c>
      <c r="B4651" t="s">
        <v>15611</v>
      </c>
      <c r="D4651" t="s">
        <v>40</v>
      </c>
      <c r="E4651" t="s">
        <v>41</v>
      </c>
      <c r="J4651" t="s">
        <v>182</v>
      </c>
      <c r="K4651" t="s">
        <v>183</v>
      </c>
      <c r="L4651">
        <v>9</v>
      </c>
      <c r="M4651" t="s">
        <v>15596</v>
      </c>
      <c r="N4651" t="s">
        <v>64</v>
      </c>
      <c r="O4651" t="s">
        <v>46</v>
      </c>
      <c r="P4651" t="s">
        <v>46</v>
      </c>
      <c r="Y4651" t="s">
        <v>15612</v>
      </c>
    </row>
    <row r="4652" spans="1:25">
      <c r="A4652" t="s">
        <v>15613</v>
      </c>
      <c r="B4652" t="s">
        <v>15614</v>
      </c>
      <c r="D4652" t="s">
        <v>40</v>
      </c>
      <c r="E4652" t="s">
        <v>41</v>
      </c>
      <c r="J4652" t="s">
        <v>182</v>
      </c>
      <c r="K4652" t="s">
        <v>183</v>
      </c>
      <c r="L4652">
        <v>9</v>
      </c>
      <c r="M4652" t="s">
        <v>15615</v>
      </c>
      <c r="N4652" t="s">
        <v>64</v>
      </c>
      <c r="O4652" t="s">
        <v>46</v>
      </c>
      <c r="P4652" t="s">
        <v>46</v>
      </c>
      <c r="Y4652" t="s">
        <v>15616</v>
      </c>
    </row>
    <row r="4653" spans="1:25">
      <c r="A4653" t="s">
        <v>15617</v>
      </c>
      <c r="B4653" t="s">
        <v>15618</v>
      </c>
      <c r="D4653" t="s">
        <v>40</v>
      </c>
      <c r="E4653" t="s">
        <v>41</v>
      </c>
      <c r="J4653" t="s">
        <v>68</v>
      </c>
      <c r="K4653" t="s">
        <v>69</v>
      </c>
      <c r="L4653">
        <v>9</v>
      </c>
      <c r="M4653" t="s">
        <v>15615</v>
      </c>
      <c r="N4653" t="s">
        <v>64</v>
      </c>
      <c r="O4653" t="s">
        <v>46</v>
      </c>
      <c r="P4653" t="s">
        <v>46</v>
      </c>
      <c r="Y4653" t="s">
        <v>15619</v>
      </c>
    </row>
    <row r="4654" spans="1:25">
      <c r="A4654" t="s">
        <v>15620</v>
      </c>
      <c r="B4654" t="s">
        <v>15621</v>
      </c>
      <c r="D4654" t="s">
        <v>40</v>
      </c>
      <c r="E4654" t="s">
        <v>41</v>
      </c>
      <c r="J4654" t="s">
        <v>182</v>
      </c>
      <c r="K4654" t="s">
        <v>183</v>
      </c>
      <c r="L4654">
        <v>9</v>
      </c>
      <c r="M4654" t="s">
        <v>15615</v>
      </c>
      <c r="N4654" t="s">
        <v>64</v>
      </c>
      <c r="O4654" t="s">
        <v>46</v>
      </c>
      <c r="P4654" t="s">
        <v>46</v>
      </c>
      <c r="Y4654" t="s">
        <v>15622</v>
      </c>
    </row>
    <row r="4655" spans="1:25">
      <c r="A4655" t="s">
        <v>15623</v>
      </c>
      <c r="B4655" t="s">
        <v>15624</v>
      </c>
      <c r="D4655" t="s">
        <v>40</v>
      </c>
      <c r="E4655" t="s">
        <v>41</v>
      </c>
      <c r="J4655" t="s">
        <v>76</v>
      </c>
      <c r="K4655" t="s">
        <v>77</v>
      </c>
      <c r="L4655">
        <v>9</v>
      </c>
      <c r="M4655" t="s">
        <v>15615</v>
      </c>
      <c r="N4655" t="s">
        <v>64</v>
      </c>
      <c r="O4655" t="s">
        <v>46</v>
      </c>
      <c r="P4655" t="s">
        <v>46</v>
      </c>
      <c r="Y4655" t="s">
        <v>15625</v>
      </c>
    </row>
    <row r="4656" spans="1:25">
      <c r="A4656" t="s">
        <v>15626</v>
      </c>
      <c r="B4656" t="s">
        <v>15627</v>
      </c>
      <c r="D4656" t="s">
        <v>40</v>
      </c>
      <c r="E4656" t="s">
        <v>41</v>
      </c>
      <c r="J4656" t="s">
        <v>182</v>
      </c>
      <c r="K4656" t="s">
        <v>183</v>
      </c>
      <c r="L4656">
        <v>9</v>
      </c>
      <c r="M4656" t="s">
        <v>15615</v>
      </c>
      <c r="N4656" t="s">
        <v>64</v>
      </c>
      <c r="O4656" t="s">
        <v>46</v>
      </c>
      <c r="P4656" t="s">
        <v>46</v>
      </c>
      <c r="Y4656" t="s">
        <v>15628</v>
      </c>
    </row>
    <row r="4657" spans="1:25">
      <c r="A4657" t="s">
        <v>15629</v>
      </c>
      <c r="B4657" t="s">
        <v>15630</v>
      </c>
      <c r="D4657" t="s">
        <v>40</v>
      </c>
      <c r="E4657" t="s">
        <v>41</v>
      </c>
      <c r="J4657" t="s">
        <v>50</v>
      </c>
      <c r="K4657" t="s">
        <v>51</v>
      </c>
      <c r="L4657">
        <v>9</v>
      </c>
      <c r="M4657" t="s">
        <v>15615</v>
      </c>
      <c r="N4657" t="s">
        <v>310</v>
      </c>
      <c r="O4657" t="s">
        <v>46</v>
      </c>
      <c r="P4657" t="s">
        <v>46</v>
      </c>
      <c r="Y4657" t="s">
        <v>15631</v>
      </c>
    </row>
    <row r="4658" spans="1:25">
      <c r="A4658" t="s">
        <v>15632</v>
      </c>
      <c r="B4658" t="s">
        <v>15633</v>
      </c>
      <c r="D4658" t="s">
        <v>40</v>
      </c>
      <c r="E4658" t="s">
        <v>41</v>
      </c>
      <c r="J4658" t="s">
        <v>182</v>
      </c>
      <c r="K4658" t="s">
        <v>183</v>
      </c>
      <c r="L4658">
        <v>9</v>
      </c>
      <c r="M4658" t="s">
        <v>15634</v>
      </c>
      <c r="N4658" t="s">
        <v>64</v>
      </c>
      <c r="O4658" t="s">
        <v>46</v>
      </c>
      <c r="P4658" t="s">
        <v>46</v>
      </c>
      <c r="Y4658" t="s">
        <v>15635</v>
      </c>
    </row>
    <row r="4659" spans="1:25">
      <c r="A4659" t="s">
        <v>15636</v>
      </c>
      <c r="B4659" t="s">
        <v>15637</v>
      </c>
      <c r="D4659" t="s">
        <v>40</v>
      </c>
      <c r="E4659" t="s">
        <v>41</v>
      </c>
      <c r="J4659" t="s">
        <v>182</v>
      </c>
      <c r="K4659" t="s">
        <v>183</v>
      </c>
      <c r="L4659">
        <v>9</v>
      </c>
      <c r="M4659" t="s">
        <v>15634</v>
      </c>
      <c r="N4659" t="s">
        <v>64</v>
      </c>
      <c r="O4659" t="s">
        <v>46</v>
      </c>
      <c r="P4659" t="s">
        <v>46</v>
      </c>
      <c r="Y4659" t="s">
        <v>15638</v>
      </c>
    </row>
    <row r="4660" spans="1:25">
      <c r="A4660" t="s">
        <v>15639</v>
      </c>
      <c r="B4660" t="s">
        <v>15640</v>
      </c>
      <c r="D4660" t="s">
        <v>40</v>
      </c>
      <c r="E4660" t="s">
        <v>41</v>
      </c>
      <c r="J4660" t="s">
        <v>76</v>
      </c>
      <c r="K4660" t="s">
        <v>77</v>
      </c>
      <c r="L4660">
        <v>9</v>
      </c>
      <c r="M4660" t="s">
        <v>15634</v>
      </c>
      <c r="N4660" t="s">
        <v>64</v>
      </c>
      <c r="O4660" t="s">
        <v>46</v>
      </c>
      <c r="P4660" t="s">
        <v>46</v>
      </c>
      <c r="Y4660" t="s">
        <v>15641</v>
      </c>
    </row>
    <row r="4661" spans="1:25">
      <c r="A4661" t="s">
        <v>15642</v>
      </c>
      <c r="B4661" t="s">
        <v>15643</v>
      </c>
      <c r="D4661" t="s">
        <v>40</v>
      </c>
      <c r="E4661" t="s">
        <v>41</v>
      </c>
      <c r="J4661" t="s">
        <v>42</v>
      </c>
      <c r="K4661" t="s">
        <v>43</v>
      </c>
      <c r="L4661">
        <v>9</v>
      </c>
      <c r="M4661" t="s">
        <v>15634</v>
      </c>
      <c r="N4661" t="s">
        <v>1550</v>
      </c>
      <c r="O4661" t="s">
        <v>46</v>
      </c>
      <c r="P4661" t="s">
        <v>46</v>
      </c>
      <c r="Y4661" t="s">
        <v>15644</v>
      </c>
    </row>
    <row r="4662" spans="1:25">
      <c r="A4662" t="s">
        <v>15645</v>
      </c>
      <c r="B4662" t="s">
        <v>15646</v>
      </c>
      <c r="D4662" t="s">
        <v>40</v>
      </c>
      <c r="E4662" t="s">
        <v>41</v>
      </c>
      <c r="J4662" t="s">
        <v>76</v>
      </c>
      <c r="K4662" t="s">
        <v>77</v>
      </c>
      <c r="L4662">
        <v>9</v>
      </c>
      <c r="M4662" t="s">
        <v>15647</v>
      </c>
      <c r="N4662" t="s">
        <v>64</v>
      </c>
      <c r="O4662" t="s">
        <v>46</v>
      </c>
      <c r="P4662" t="s">
        <v>46</v>
      </c>
      <c r="Y4662" t="s">
        <v>15648</v>
      </c>
    </row>
    <row r="4663" spans="1:25">
      <c r="A4663" t="s">
        <v>15649</v>
      </c>
      <c r="B4663" t="s">
        <v>15650</v>
      </c>
      <c r="D4663" t="s">
        <v>40</v>
      </c>
      <c r="E4663" t="s">
        <v>41</v>
      </c>
      <c r="J4663" t="s">
        <v>76</v>
      </c>
      <c r="K4663" t="s">
        <v>77</v>
      </c>
      <c r="L4663">
        <v>9</v>
      </c>
      <c r="M4663" t="s">
        <v>15647</v>
      </c>
      <c r="N4663" t="s">
        <v>64</v>
      </c>
      <c r="O4663" t="s">
        <v>46</v>
      </c>
      <c r="P4663" t="s">
        <v>46</v>
      </c>
      <c r="Y4663" t="s">
        <v>15651</v>
      </c>
    </row>
    <row r="4664" spans="1:25">
      <c r="A4664" t="s">
        <v>15652</v>
      </c>
      <c r="B4664" t="s">
        <v>15653</v>
      </c>
      <c r="D4664" t="s">
        <v>40</v>
      </c>
      <c r="E4664" t="s">
        <v>41</v>
      </c>
      <c r="J4664" t="s">
        <v>182</v>
      </c>
      <c r="K4664" t="s">
        <v>183</v>
      </c>
      <c r="L4664">
        <v>9</v>
      </c>
      <c r="M4664" t="s">
        <v>15647</v>
      </c>
      <c r="N4664" t="s">
        <v>64</v>
      </c>
      <c r="O4664" t="s">
        <v>46</v>
      </c>
      <c r="P4664" t="s">
        <v>46</v>
      </c>
      <c r="Y4664" t="s">
        <v>15654</v>
      </c>
    </row>
    <row r="4665" spans="1:25">
      <c r="A4665" t="s">
        <v>15655</v>
      </c>
      <c r="B4665" t="s">
        <v>15656</v>
      </c>
      <c r="D4665" t="s">
        <v>40</v>
      </c>
      <c r="E4665" t="s">
        <v>41</v>
      </c>
      <c r="J4665" t="s">
        <v>182</v>
      </c>
      <c r="K4665" t="s">
        <v>183</v>
      </c>
      <c r="L4665">
        <v>9</v>
      </c>
      <c r="M4665" t="s">
        <v>15657</v>
      </c>
      <c r="N4665" t="s">
        <v>64</v>
      </c>
      <c r="O4665" t="s">
        <v>46</v>
      </c>
      <c r="P4665" t="s">
        <v>46</v>
      </c>
      <c r="Y4665" t="s">
        <v>15658</v>
      </c>
    </row>
    <row r="4666" spans="1:25">
      <c r="A4666" t="s">
        <v>15659</v>
      </c>
      <c r="B4666" t="s">
        <v>15660</v>
      </c>
      <c r="D4666" t="s">
        <v>40</v>
      </c>
      <c r="E4666" t="s">
        <v>41</v>
      </c>
      <c r="J4666" t="s">
        <v>248</v>
      </c>
      <c r="K4666" t="s">
        <v>249</v>
      </c>
      <c r="L4666">
        <v>9</v>
      </c>
      <c r="M4666" t="s">
        <v>15657</v>
      </c>
      <c r="N4666" t="s">
        <v>1276</v>
      </c>
      <c r="O4666" t="s">
        <v>46</v>
      </c>
      <c r="P4666" t="s">
        <v>46</v>
      </c>
      <c r="Y4666" t="s">
        <v>15661</v>
      </c>
    </row>
    <row r="4667" spans="1:25">
      <c r="A4667" t="s">
        <v>15662</v>
      </c>
      <c r="B4667" t="s">
        <v>15663</v>
      </c>
      <c r="D4667" t="s">
        <v>40</v>
      </c>
      <c r="E4667" t="s">
        <v>41</v>
      </c>
      <c r="J4667" t="s">
        <v>68</v>
      </c>
      <c r="K4667" t="s">
        <v>69</v>
      </c>
      <c r="L4667">
        <v>9</v>
      </c>
      <c r="M4667" t="s">
        <v>15657</v>
      </c>
      <c r="N4667" t="s">
        <v>64</v>
      </c>
      <c r="O4667" t="s">
        <v>46</v>
      </c>
      <c r="P4667" t="s">
        <v>46</v>
      </c>
      <c r="Y4667" t="s">
        <v>15664</v>
      </c>
    </row>
    <row r="4668" spans="1:25">
      <c r="A4668" t="s">
        <v>15665</v>
      </c>
      <c r="B4668" t="s">
        <v>15666</v>
      </c>
      <c r="D4668" t="s">
        <v>40</v>
      </c>
      <c r="E4668" t="s">
        <v>41</v>
      </c>
      <c r="J4668" t="s">
        <v>182</v>
      </c>
      <c r="K4668" t="s">
        <v>183</v>
      </c>
      <c r="L4668">
        <v>9</v>
      </c>
      <c r="M4668" t="s">
        <v>15657</v>
      </c>
      <c r="N4668" t="s">
        <v>64</v>
      </c>
      <c r="O4668" t="s">
        <v>46</v>
      </c>
      <c r="P4668" t="s">
        <v>46</v>
      </c>
      <c r="Y4668" t="s">
        <v>15667</v>
      </c>
    </row>
    <row r="4669" spans="1:25">
      <c r="A4669" t="s">
        <v>15668</v>
      </c>
      <c r="B4669" t="s">
        <v>15669</v>
      </c>
      <c r="D4669" t="s">
        <v>40</v>
      </c>
      <c r="E4669" t="s">
        <v>41</v>
      </c>
      <c r="J4669" t="s">
        <v>42</v>
      </c>
      <c r="K4669" t="s">
        <v>43</v>
      </c>
      <c r="L4669">
        <v>9</v>
      </c>
      <c r="M4669" t="s">
        <v>15657</v>
      </c>
      <c r="N4669" t="s">
        <v>752</v>
      </c>
      <c r="O4669" t="s">
        <v>46</v>
      </c>
      <c r="P4669" t="s">
        <v>46</v>
      </c>
      <c r="Y4669" t="s">
        <v>15670</v>
      </c>
    </row>
    <row r="4670" spans="1:25">
      <c r="A4670" t="s">
        <v>15671</v>
      </c>
      <c r="B4670" t="s">
        <v>15672</v>
      </c>
      <c r="D4670" t="s">
        <v>40</v>
      </c>
      <c r="E4670" t="s">
        <v>41</v>
      </c>
      <c r="J4670" t="s">
        <v>182</v>
      </c>
      <c r="K4670" t="s">
        <v>183</v>
      </c>
      <c r="L4670">
        <v>9</v>
      </c>
      <c r="M4670" t="s">
        <v>15657</v>
      </c>
      <c r="N4670" t="s">
        <v>64</v>
      </c>
      <c r="O4670" t="s">
        <v>46</v>
      </c>
      <c r="P4670" t="s">
        <v>46</v>
      </c>
      <c r="Y4670" t="s">
        <v>15673</v>
      </c>
    </row>
    <row r="4671" spans="1:25">
      <c r="A4671" t="s">
        <v>15674</v>
      </c>
      <c r="B4671" t="s">
        <v>15675</v>
      </c>
      <c r="D4671" t="s">
        <v>40</v>
      </c>
      <c r="E4671" t="s">
        <v>41</v>
      </c>
      <c r="J4671" t="s">
        <v>76</v>
      </c>
      <c r="K4671" t="s">
        <v>77</v>
      </c>
      <c r="L4671">
        <v>9</v>
      </c>
      <c r="M4671" t="s">
        <v>15657</v>
      </c>
      <c r="N4671" t="s">
        <v>64</v>
      </c>
      <c r="O4671" t="s">
        <v>46</v>
      </c>
      <c r="P4671" t="s">
        <v>46</v>
      </c>
      <c r="Y4671" t="s">
        <v>15676</v>
      </c>
    </row>
    <row r="4672" spans="1:25">
      <c r="A4672" t="s">
        <v>15677</v>
      </c>
      <c r="B4672" t="s">
        <v>15678</v>
      </c>
      <c r="D4672" t="s">
        <v>40</v>
      </c>
      <c r="E4672" t="s">
        <v>41</v>
      </c>
      <c r="J4672" t="s">
        <v>76</v>
      </c>
      <c r="K4672" t="s">
        <v>77</v>
      </c>
      <c r="L4672">
        <v>9</v>
      </c>
      <c r="M4672" t="s">
        <v>15679</v>
      </c>
      <c r="N4672" t="s">
        <v>64</v>
      </c>
      <c r="O4672" t="s">
        <v>46</v>
      </c>
      <c r="P4672" t="s">
        <v>46</v>
      </c>
      <c r="Y4672" t="s">
        <v>15680</v>
      </c>
    </row>
    <row r="4673" spans="1:25">
      <c r="A4673" t="s">
        <v>15681</v>
      </c>
      <c r="B4673" t="s">
        <v>15682</v>
      </c>
      <c r="D4673" t="s">
        <v>40</v>
      </c>
      <c r="E4673" t="s">
        <v>41</v>
      </c>
      <c r="J4673" t="s">
        <v>182</v>
      </c>
      <c r="K4673" t="s">
        <v>183</v>
      </c>
      <c r="L4673">
        <v>9</v>
      </c>
      <c r="M4673" t="s">
        <v>15679</v>
      </c>
      <c r="N4673" t="s">
        <v>64</v>
      </c>
      <c r="O4673" t="s">
        <v>46</v>
      </c>
      <c r="P4673" t="s">
        <v>46</v>
      </c>
      <c r="Y4673" t="s">
        <v>15683</v>
      </c>
    </row>
    <row r="4674" spans="1:25">
      <c r="A4674" t="s">
        <v>15684</v>
      </c>
      <c r="B4674" t="s">
        <v>15685</v>
      </c>
      <c r="D4674" t="s">
        <v>40</v>
      </c>
      <c r="E4674" t="s">
        <v>41</v>
      </c>
      <c r="J4674" t="s">
        <v>68</v>
      </c>
      <c r="K4674" t="s">
        <v>69</v>
      </c>
      <c r="L4674">
        <v>9</v>
      </c>
      <c r="M4674" t="s">
        <v>15679</v>
      </c>
      <c r="N4674" t="s">
        <v>64</v>
      </c>
      <c r="O4674" t="s">
        <v>46</v>
      </c>
      <c r="P4674" t="s">
        <v>46</v>
      </c>
      <c r="Y4674" t="s">
        <v>15686</v>
      </c>
    </row>
    <row r="4675" spans="1:25">
      <c r="A4675" t="s">
        <v>15687</v>
      </c>
      <c r="B4675" t="s">
        <v>15688</v>
      </c>
      <c r="D4675" t="s">
        <v>40</v>
      </c>
      <c r="E4675" t="s">
        <v>41</v>
      </c>
      <c r="J4675" t="s">
        <v>182</v>
      </c>
      <c r="K4675" t="s">
        <v>183</v>
      </c>
      <c r="L4675">
        <v>9</v>
      </c>
      <c r="M4675" t="s">
        <v>15679</v>
      </c>
      <c r="N4675" t="s">
        <v>64</v>
      </c>
      <c r="O4675" t="s">
        <v>46</v>
      </c>
      <c r="P4675" t="s">
        <v>46</v>
      </c>
      <c r="Y4675" t="s">
        <v>15689</v>
      </c>
    </row>
    <row r="4676" spans="1:25">
      <c r="A4676" t="s">
        <v>15690</v>
      </c>
      <c r="B4676" t="s">
        <v>15691</v>
      </c>
      <c r="D4676" t="s">
        <v>40</v>
      </c>
      <c r="E4676" t="s">
        <v>41</v>
      </c>
      <c r="J4676" t="s">
        <v>68</v>
      </c>
      <c r="K4676" t="s">
        <v>69</v>
      </c>
      <c r="L4676">
        <v>9</v>
      </c>
      <c r="M4676" t="s">
        <v>15679</v>
      </c>
      <c r="N4676" t="s">
        <v>64</v>
      </c>
      <c r="O4676" t="s">
        <v>46</v>
      </c>
      <c r="P4676" t="s">
        <v>46</v>
      </c>
      <c r="Y4676" t="s">
        <v>15692</v>
      </c>
    </row>
    <row r="4677" spans="1:25">
      <c r="A4677" t="s">
        <v>15693</v>
      </c>
      <c r="B4677" t="s">
        <v>15694</v>
      </c>
      <c r="D4677" t="s">
        <v>40</v>
      </c>
      <c r="E4677" t="s">
        <v>41</v>
      </c>
      <c r="J4677" t="s">
        <v>76</v>
      </c>
      <c r="K4677" t="s">
        <v>77</v>
      </c>
      <c r="L4677">
        <v>9</v>
      </c>
      <c r="M4677" t="s">
        <v>15695</v>
      </c>
      <c r="N4677" t="s">
        <v>64</v>
      </c>
      <c r="O4677" t="s">
        <v>46</v>
      </c>
      <c r="P4677" t="s">
        <v>46</v>
      </c>
      <c r="Y4677" t="s">
        <v>15696</v>
      </c>
    </row>
    <row r="4678" spans="1:25">
      <c r="A4678" t="s">
        <v>15697</v>
      </c>
      <c r="B4678" t="s">
        <v>15698</v>
      </c>
      <c r="D4678" t="s">
        <v>40</v>
      </c>
      <c r="E4678" t="s">
        <v>41</v>
      </c>
      <c r="J4678" t="s">
        <v>42</v>
      </c>
      <c r="K4678" t="s">
        <v>43</v>
      </c>
      <c r="L4678">
        <v>9</v>
      </c>
      <c r="M4678" t="s">
        <v>15695</v>
      </c>
      <c r="N4678" t="s">
        <v>142</v>
      </c>
      <c r="O4678" t="s">
        <v>46</v>
      </c>
      <c r="P4678" t="s">
        <v>46</v>
      </c>
      <c r="Y4678" t="s">
        <v>15699</v>
      </c>
    </row>
    <row r="4679" spans="1:25">
      <c r="A4679" t="s">
        <v>15700</v>
      </c>
      <c r="B4679" t="s">
        <v>15701</v>
      </c>
      <c r="D4679" t="s">
        <v>40</v>
      </c>
      <c r="E4679" t="s">
        <v>41</v>
      </c>
      <c r="J4679" t="s">
        <v>182</v>
      </c>
      <c r="K4679" t="s">
        <v>183</v>
      </c>
      <c r="L4679">
        <v>9</v>
      </c>
      <c r="M4679" t="s">
        <v>15695</v>
      </c>
      <c r="N4679" t="s">
        <v>64</v>
      </c>
      <c r="O4679" t="s">
        <v>46</v>
      </c>
      <c r="P4679" t="s">
        <v>46</v>
      </c>
      <c r="Y4679" t="s">
        <v>15702</v>
      </c>
    </row>
    <row r="4680" spans="1:25">
      <c r="A4680" t="s">
        <v>15703</v>
      </c>
      <c r="B4680" t="s">
        <v>15704</v>
      </c>
      <c r="D4680" t="s">
        <v>40</v>
      </c>
      <c r="E4680" t="s">
        <v>41</v>
      </c>
      <c r="J4680" t="s">
        <v>76</v>
      </c>
      <c r="K4680" t="s">
        <v>77</v>
      </c>
      <c r="L4680">
        <v>9</v>
      </c>
      <c r="M4680" t="s">
        <v>15705</v>
      </c>
      <c r="N4680" t="s">
        <v>64</v>
      </c>
      <c r="O4680" t="s">
        <v>46</v>
      </c>
      <c r="P4680" t="s">
        <v>46</v>
      </c>
      <c r="Y4680" t="s">
        <v>15706</v>
      </c>
    </row>
    <row r="4681" spans="1:25">
      <c r="A4681" t="s">
        <v>15707</v>
      </c>
      <c r="B4681" t="s">
        <v>15708</v>
      </c>
      <c r="D4681" t="s">
        <v>40</v>
      </c>
      <c r="E4681" t="s">
        <v>41</v>
      </c>
      <c r="J4681" t="s">
        <v>248</v>
      </c>
      <c r="K4681" t="s">
        <v>249</v>
      </c>
      <c r="L4681">
        <v>9</v>
      </c>
      <c r="M4681" t="s">
        <v>15705</v>
      </c>
      <c r="N4681" t="s">
        <v>1047</v>
      </c>
      <c r="O4681" t="s">
        <v>46</v>
      </c>
      <c r="P4681" t="s">
        <v>46</v>
      </c>
      <c r="Y4681" t="s">
        <v>15709</v>
      </c>
    </row>
    <row r="4682" spans="1:25">
      <c r="A4682" t="s">
        <v>15710</v>
      </c>
      <c r="B4682" t="s">
        <v>15711</v>
      </c>
      <c r="D4682" t="s">
        <v>40</v>
      </c>
      <c r="E4682" t="s">
        <v>41</v>
      </c>
      <c r="J4682" t="s">
        <v>264</v>
      </c>
      <c r="K4682" t="s">
        <v>265</v>
      </c>
      <c r="L4682">
        <v>9</v>
      </c>
      <c r="M4682" t="s">
        <v>15705</v>
      </c>
      <c r="N4682" t="s">
        <v>45</v>
      </c>
      <c r="O4682" t="s">
        <v>46</v>
      </c>
      <c r="P4682" t="s">
        <v>46</v>
      </c>
      <c r="Y4682" t="s">
        <v>15712</v>
      </c>
    </row>
    <row r="4683" spans="1:25">
      <c r="A4683" t="s">
        <v>15713</v>
      </c>
      <c r="B4683" t="s">
        <v>15714</v>
      </c>
      <c r="D4683" t="s">
        <v>40</v>
      </c>
      <c r="E4683" t="s">
        <v>41</v>
      </c>
      <c r="J4683" t="s">
        <v>182</v>
      </c>
      <c r="K4683" t="s">
        <v>183</v>
      </c>
      <c r="L4683">
        <v>9</v>
      </c>
      <c r="M4683" t="s">
        <v>15705</v>
      </c>
      <c r="N4683" t="s">
        <v>64</v>
      </c>
      <c r="O4683" t="s">
        <v>46</v>
      </c>
      <c r="P4683" t="s">
        <v>46</v>
      </c>
      <c r="Y4683" t="s">
        <v>15715</v>
      </c>
    </row>
    <row r="4684" spans="1:25">
      <c r="A4684" t="s">
        <v>15716</v>
      </c>
      <c r="B4684" t="s">
        <v>15717</v>
      </c>
      <c r="D4684" t="s">
        <v>40</v>
      </c>
      <c r="E4684" t="s">
        <v>41</v>
      </c>
      <c r="J4684" t="s">
        <v>182</v>
      </c>
      <c r="K4684" t="s">
        <v>183</v>
      </c>
      <c r="L4684">
        <v>9</v>
      </c>
      <c r="M4684" t="s">
        <v>15718</v>
      </c>
      <c r="N4684" t="s">
        <v>64</v>
      </c>
      <c r="O4684" t="s">
        <v>46</v>
      </c>
      <c r="P4684" t="s">
        <v>46</v>
      </c>
      <c r="Y4684" t="s">
        <v>15719</v>
      </c>
    </row>
    <row r="4685" spans="1:25">
      <c r="A4685" t="s">
        <v>15720</v>
      </c>
      <c r="B4685" t="s">
        <v>15721</v>
      </c>
      <c r="D4685" t="s">
        <v>40</v>
      </c>
      <c r="E4685" t="s">
        <v>41</v>
      </c>
      <c r="J4685" t="s">
        <v>68</v>
      </c>
      <c r="K4685" t="s">
        <v>69</v>
      </c>
      <c r="L4685">
        <v>9</v>
      </c>
      <c r="M4685" t="s">
        <v>15722</v>
      </c>
      <c r="N4685" t="s">
        <v>64</v>
      </c>
      <c r="O4685" t="s">
        <v>46</v>
      </c>
      <c r="P4685" t="s">
        <v>46</v>
      </c>
      <c r="Y4685" t="s">
        <v>15723</v>
      </c>
    </row>
    <row r="4686" spans="1:25">
      <c r="A4686" t="s">
        <v>15724</v>
      </c>
      <c r="B4686" t="s">
        <v>15725</v>
      </c>
      <c r="D4686" t="s">
        <v>40</v>
      </c>
      <c r="E4686" t="s">
        <v>41</v>
      </c>
      <c r="J4686" t="s">
        <v>182</v>
      </c>
      <c r="K4686" t="s">
        <v>183</v>
      </c>
      <c r="L4686">
        <v>9</v>
      </c>
      <c r="M4686" t="s">
        <v>15722</v>
      </c>
      <c r="N4686" t="s">
        <v>64</v>
      </c>
      <c r="O4686" t="s">
        <v>46</v>
      </c>
      <c r="P4686" t="s">
        <v>46</v>
      </c>
      <c r="Y4686" t="s">
        <v>15726</v>
      </c>
    </row>
    <row r="4687" spans="1:25">
      <c r="A4687" t="s">
        <v>15727</v>
      </c>
      <c r="B4687" t="s">
        <v>15728</v>
      </c>
      <c r="D4687" t="s">
        <v>40</v>
      </c>
      <c r="E4687" t="s">
        <v>41</v>
      </c>
      <c r="J4687" t="s">
        <v>42</v>
      </c>
      <c r="K4687" t="s">
        <v>43</v>
      </c>
      <c r="L4687">
        <v>9</v>
      </c>
      <c r="M4687" t="s">
        <v>15722</v>
      </c>
      <c r="N4687" t="s">
        <v>315</v>
      </c>
      <c r="O4687" t="s">
        <v>46</v>
      </c>
      <c r="P4687" t="s">
        <v>46</v>
      </c>
      <c r="Y4687" t="s">
        <v>15729</v>
      </c>
    </row>
    <row r="4688" spans="1:25">
      <c r="A4688" t="s">
        <v>15730</v>
      </c>
      <c r="B4688" t="s">
        <v>15731</v>
      </c>
      <c r="D4688" t="s">
        <v>40</v>
      </c>
      <c r="E4688" t="s">
        <v>41</v>
      </c>
      <c r="J4688" t="s">
        <v>182</v>
      </c>
      <c r="K4688" t="s">
        <v>183</v>
      </c>
      <c r="L4688">
        <v>9</v>
      </c>
      <c r="M4688" t="s">
        <v>15732</v>
      </c>
      <c r="N4688" t="s">
        <v>64</v>
      </c>
      <c r="O4688" t="s">
        <v>46</v>
      </c>
      <c r="P4688" t="s">
        <v>46</v>
      </c>
      <c r="Y4688" t="s">
        <v>15733</v>
      </c>
    </row>
    <row r="4689" spans="1:25">
      <c r="A4689" t="s">
        <v>15734</v>
      </c>
      <c r="B4689" t="s">
        <v>15735</v>
      </c>
      <c r="D4689" t="s">
        <v>40</v>
      </c>
      <c r="E4689" t="s">
        <v>41</v>
      </c>
      <c r="J4689" t="s">
        <v>182</v>
      </c>
      <c r="K4689" t="s">
        <v>183</v>
      </c>
      <c r="L4689">
        <v>9</v>
      </c>
      <c r="M4689" t="s">
        <v>15732</v>
      </c>
      <c r="N4689" t="s">
        <v>64</v>
      </c>
      <c r="O4689" t="s">
        <v>46</v>
      </c>
      <c r="P4689" t="s">
        <v>46</v>
      </c>
      <c r="Y4689" t="s">
        <v>15736</v>
      </c>
    </row>
    <row r="4690" spans="1:25">
      <c r="A4690" t="s">
        <v>15737</v>
      </c>
      <c r="B4690" t="s">
        <v>15738</v>
      </c>
      <c r="D4690" t="s">
        <v>40</v>
      </c>
      <c r="E4690" t="s">
        <v>41</v>
      </c>
      <c r="J4690" t="s">
        <v>182</v>
      </c>
      <c r="K4690" t="s">
        <v>183</v>
      </c>
      <c r="L4690">
        <v>9</v>
      </c>
      <c r="M4690" t="s">
        <v>15732</v>
      </c>
      <c r="N4690" t="s">
        <v>64</v>
      </c>
      <c r="O4690" t="s">
        <v>46</v>
      </c>
      <c r="P4690" t="s">
        <v>46</v>
      </c>
      <c r="Y4690" t="s">
        <v>15739</v>
      </c>
    </row>
    <row r="4691" spans="1:25">
      <c r="A4691" t="s">
        <v>15740</v>
      </c>
      <c r="B4691" t="s">
        <v>15741</v>
      </c>
      <c r="D4691" t="s">
        <v>40</v>
      </c>
      <c r="E4691" t="s">
        <v>41</v>
      </c>
      <c r="J4691" t="s">
        <v>182</v>
      </c>
      <c r="K4691" t="s">
        <v>183</v>
      </c>
      <c r="L4691">
        <v>9</v>
      </c>
      <c r="M4691" t="s">
        <v>15732</v>
      </c>
      <c r="N4691" t="s">
        <v>64</v>
      </c>
      <c r="O4691" t="s">
        <v>46</v>
      </c>
      <c r="P4691" t="s">
        <v>46</v>
      </c>
      <c r="Y4691" t="s">
        <v>15742</v>
      </c>
    </row>
    <row r="4692" spans="1:25">
      <c r="A4692" t="s">
        <v>15743</v>
      </c>
      <c r="B4692" t="s">
        <v>15744</v>
      </c>
      <c r="D4692" t="s">
        <v>40</v>
      </c>
      <c r="E4692" t="s">
        <v>41</v>
      </c>
      <c r="J4692" t="s">
        <v>42</v>
      </c>
      <c r="K4692" t="s">
        <v>43</v>
      </c>
      <c r="L4692">
        <v>9</v>
      </c>
      <c r="M4692" t="s">
        <v>15732</v>
      </c>
      <c r="N4692" t="s">
        <v>950</v>
      </c>
      <c r="O4692" t="s">
        <v>46</v>
      </c>
      <c r="P4692" t="s">
        <v>46</v>
      </c>
      <c r="Y4692" t="s">
        <v>15745</v>
      </c>
    </row>
    <row r="4693" spans="1:25">
      <c r="A4693" t="s">
        <v>15746</v>
      </c>
      <c r="B4693" t="s">
        <v>15747</v>
      </c>
      <c r="D4693" t="s">
        <v>40</v>
      </c>
      <c r="E4693" t="s">
        <v>41</v>
      </c>
      <c r="J4693" t="s">
        <v>182</v>
      </c>
      <c r="K4693" t="s">
        <v>183</v>
      </c>
      <c r="L4693">
        <v>9</v>
      </c>
      <c r="M4693" t="s">
        <v>15748</v>
      </c>
      <c r="N4693" t="s">
        <v>64</v>
      </c>
      <c r="O4693" t="s">
        <v>46</v>
      </c>
      <c r="P4693" t="s">
        <v>46</v>
      </c>
      <c r="Y4693" t="s">
        <v>15749</v>
      </c>
    </row>
    <row r="4694" spans="1:25">
      <c r="A4694" t="s">
        <v>15750</v>
      </c>
      <c r="B4694" t="s">
        <v>15751</v>
      </c>
      <c r="D4694" t="s">
        <v>40</v>
      </c>
      <c r="E4694" t="s">
        <v>41</v>
      </c>
      <c r="J4694" t="s">
        <v>182</v>
      </c>
      <c r="K4694" t="s">
        <v>183</v>
      </c>
      <c r="L4694">
        <v>9</v>
      </c>
      <c r="M4694" t="s">
        <v>15748</v>
      </c>
      <c r="N4694" t="s">
        <v>64</v>
      </c>
      <c r="O4694" t="s">
        <v>46</v>
      </c>
      <c r="P4694" t="s">
        <v>46</v>
      </c>
      <c r="Y4694" t="s">
        <v>15752</v>
      </c>
    </row>
    <row r="4695" spans="1:25">
      <c r="A4695" t="s">
        <v>15753</v>
      </c>
      <c r="B4695" t="s">
        <v>15754</v>
      </c>
      <c r="D4695" t="s">
        <v>40</v>
      </c>
      <c r="E4695" t="s">
        <v>41</v>
      </c>
      <c r="J4695" t="s">
        <v>139</v>
      </c>
      <c r="K4695" t="s">
        <v>140</v>
      </c>
      <c r="L4695">
        <v>4</v>
      </c>
      <c r="M4695" t="s">
        <v>15755</v>
      </c>
      <c r="N4695" t="s">
        <v>1392</v>
      </c>
      <c r="O4695" t="s">
        <v>46</v>
      </c>
      <c r="P4695" t="s">
        <v>46</v>
      </c>
      <c r="Y4695" t="s">
        <v>15756</v>
      </c>
    </row>
    <row r="4696" spans="1:25">
      <c r="A4696" t="s">
        <v>15757</v>
      </c>
      <c r="B4696" t="s">
        <v>15758</v>
      </c>
      <c r="D4696" t="s">
        <v>40</v>
      </c>
      <c r="E4696" t="s">
        <v>41</v>
      </c>
      <c r="J4696" t="s">
        <v>42</v>
      </c>
      <c r="K4696" t="s">
        <v>43</v>
      </c>
      <c r="L4696">
        <v>12</v>
      </c>
      <c r="M4696" t="s">
        <v>15759</v>
      </c>
      <c r="N4696" t="s">
        <v>1276</v>
      </c>
      <c r="O4696" t="s">
        <v>46</v>
      </c>
      <c r="P4696" t="s">
        <v>46</v>
      </c>
      <c r="Y4696" t="s">
        <v>15760</v>
      </c>
    </row>
    <row r="4697" spans="1:25">
      <c r="A4697" t="s">
        <v>15761</v>
      </c>
      <c r="B4697" t="s">
        <v>15762</v>
      </c>
      <c r="D4697" t="s">
        <v>40</v>
      </c>
      <c r="E4697" t="s">
        <v>41</v>
      </c>
      <c r="J4697" t="s">
        <v>182</v>
      </c>
      <c r="K4697" t="s">
        <v>183</v>
      </c>
      <c r="L4697">
        <v>9</v>
      </c>
      <c r="M4697" t="s">
        <v>15763</v>
      </c>
      <c r="N4697" t="s">
        <v>64</v>
      </c>
      <c r="O4697" t="s">
        <v>46</v>
      </c>
      <c r="P4697" t="s">
        <v>46</v>
      </c>
      <c r="Y4697" t="s">
        <v>15764</v>
      </c>
    </row>
    <row r="4698" spans="1:25">
      <c r="A4698" t="s">
        <v>15765</v>
      </c>
      <c r="B4698" t="s">
        <v>15766</v>
      </c>
      <c r="D4698" t="s">
        <v>40</v>
      </c>
      <c r="E4698" t="s">
        <v>41</v>
      </c>
      <c r="J4698" t="s">
        <v>182</v>
      </c>
      <c r="K4698" t="s">
        <v>183</v>
      </c>
      <c r="L4698">
        <v>9</v>
      </c>
      <c r="M4698" t="s">
        <v>15763</v>
      </c>
      <c r="N4698" t="s">
        <v>64</v>
      </c>
      <c r="O4698" t="s">
        <v>46</v>
      </c>
      <c r="P4698" t="s">
        <v>46</v>
      </c>
      <c r="Y4698" t="s">
        <v>15767</v>
      </c>
    </row>
    <row r="4699" spans="1:25">
      <c r="A4699" t="s">
        <v>15768</v>
      </c>
      <c r="B4699" t="s">
        <v>15769</v>
      </c>
      <c r="D4699" t="s">
        <v>40</v>
      </c>
      <c r="E4699" t="s">
        <v>41</v>
      </c>
      <c r="J4699" t="s">
        <v>182</v>
      </c>
      <c r="K4699" t="s">
        <v>183</v>
      </c>
      <c r="L4699">
        <v>9</v>
      </c>
      <c r="M4699" t="s">
        <v>15763</v>
      </c>
      <c r="N4699" t="s">
        <v>64</v>
      </c>
      <c r="O4699" t="s">
        <v>46</v>
      </c>
      <c r="P4699" t="s">
        <v>46</v>
      </c>
      <c r="Y4699" t="s">
        <v>15770</v>
      </c>
    </row>
    <row r="4700" spans="1:25">
      <c r="A4700" t="s">
        <v>15771</v>
      </c>
      <c r="B4700" t="s">
        <v>15772</v>
      </c>
      <c r="D4700" t="s">
        <v>40</v>
      </c>
      <c r="E4700" t="s">
        <v>41</v>
      </c>
      <c r="J4700" t="s">
        <v>76</v>
      </c>
      <c r="K4700" t="s">
        <v>77</v>
      </c>
      <c r="L4700">
        <v>9</v>
      </c>
      <c r="M4700" t="s">
        <v>15763</v>
      </c>
      <c r="N4700" t="s">
        <v>64</v>
      </c>
      <c r="O4700" t="s">
        <v>46</v>
      </c>
      <c r="P4700" t="s">
        <v>46</v>
      </c>
      <c r="Y4700" t="s">
        <v>15773</v>
      </c>
    </row>
    <row r="4701" spans="1:25">
      <c r="A4701" t="s">
        <v>15774</v>
      </c>
      <c r="B4701" t="s">
        <v>15775</v>
      </c>
      <c r="D4701" t="s">
        <v>40</v>
      </c>
      <c r="E4701" t="s">
        <v>41</v>
      </c>
      <c r="J4701" t="s">
        <v>182</v>
      </c>
      <c r="K4701" t="s">
        <v>183</v>
      </c>
      <c r="L4701">
        <v>9</v>
      </c>
      <c r="M4701" t="s">
        <v>15776</v>
      </c>
      <c r="N4701" t="s">
        <v>64</v>
      </c>
      <c r="O4701" t="s">
        <v>46</v>
      </c>
      <c r="P4701" t="s">
        <v>46</v>
      </c>
      <c r="Y4701" t="s">
        <v>15777</v>
      </c>
    </row>
    <row r="4702" spans="1:25">
      <c r="A4702" t="s">
        <v>15778</v>
      </c>
      <c r="B4702" t="s">
        <v>15779</v>
      </c>
      <c r="D4702" t="s">
        <v>40</v>
      </c>
      <c r="E4702" t="s">
        <v>41</v>
      </c>
      <c r="J4702" t="s">
        <v>68</v>
      </c>
      <c r="K4702" t="s">
        <v>69</v>
      </c>
      <c r="L4702">
        <v>9</v>
      </c>
      <c r="M4702" t="s">
        <v>15776</v>
      </c>
      <c r="N4702" t="s">
        <v>64</v>
      </c>
      <c r="O4702" t="s">
        <v>46</v>
      </c>
      <c r="P4702" t="s">
        <v>46</v>
      </c>
      <c r="Y4702" t="s">
        <v>15780</v>
      </c>
    </row>
    <row r="4703" spans="1:25">
      <c r="A4703" t="s">
        <v>15781</v>
      </c>
      <c r="B4703" t="s">
        <v>15782</v>
      </c>
      <c r="D4703" t="s">
        <v>40</v>
      </c>
      <c r="E4703" t="s">
        <v>41</v>
      </c>
      <c r="J4703" t="s">
        <v>182</v>
      </c>
      <c r="K4703" t="s">
        <v>183</v>
      </c>
      <c r="L4703">
        <v>9</v>
      </c>
      <c r="M4703" t="s">
        <v>15776</v>
      </c>
      <c r="N4703" t="s">
        <v>64</v>
      </c>
      <c r="O4703" t="s">
        <v>46</v>
      </c>
      <c r="P4703" t="s">
        <v>46</v>
      </c>
      <c r="Y4703" t="s">
        <v>15783</v>
      </c>
    </row>
    <row r="4704" spans="1:25">
      <c r="A4704" t="s">
        <v>15784</v>
      </c>
      <c r="B4704" t="s">
        <v>15785</v>
      </c>
      <c r="D4704" t="s">
        <v>40</v>
      </c>
      <c r="E4704" t="s">
        <v>41</v>
      </c>
      <c r="J4704" t="s">
        <v>42</v>
      </c>
      <c r="K4704" t="s">
        <v>43</v>
      </c>
      <c r="L4704">
        <v>9</v>
      </c>
      <c r="M4704" t="s">
        <v>15776</v>
      </c>
      <c r="N4704" t="s">
        <v>924</v>
      </c>
      <c r="O4704" t="s">
        <v>46</v>
      </c>
      <c r="P4704" t="s">
        <v>46</v>
      </c>
      <c r="Y4704" t="s">
        <v>15786</v>
      </c>
    </row>
    <row r="4705" spans="1:25">
      <c r="A4705" t="s">
        <v>15787</v>
      </c>
      <c r="B4705" t="s">
        <v>15788</v>
      </c>
      <c r="D4705" t="s">
        <v>40</v>
      </c>
      <c r="E4705" t="s">
        <v>41</v>
      </c>
      <c r="J4705" t="s">
        <v>182</v>
      </c>
      <c r="K4705" t="s">
        <v>183</v>
      </c>
      <c r="L4705">
        <v>9</v>
      </c>
      <c r="M4705" t="s">
        <v>15776</v>
      </c>
      <c r="N4705" t="s">
        <v>64</v>
      </c>
      <c r="O4705" t="s">
        <v>46</v>
      </c>
      <c r="P4705" t="s">
        <v>46</v>
      </c>
      <c r="Y4705" t="s">
        <v>15789</v>
      </c>
    </row>
    <row r="4706" spans="1:25">
      <c r="A4706" t="s">
        <v>15790</v>
      </c>
      <c r="B4706" t="s">
        <v>15791</v>
      </c>
      <c r="D4706" t="s">
        <v>40</v>
      </c>
      <c r="E4706" t="s">
        <v>41</v>
      </c>
      <c r="J4706" t="s">
        <v>182</v>
      </c>
      <c r="K4706" t="s">
        <v>183</v>
      </c>
      <c r="L4706">
        <v>9</v>
      </c>
      <c r="M4706" t="s">
        <v>15792</v>
      </c>
      <c r="N4706" t="s">
        <v>64</v>
      </c>
      <c r="O4706" t="s">
        <v>46</v>
      </c>
      <c r="P4706" t="s">
        <v>46</v>
      </c>
      <c r="Y4706" t="s">
        <v>15793</v>
      </c>
    </row>
    <row r="4707" spans="1:25">
      <c r="A4707" t="s">
        <v>15794</v>
      </c>
      <c r="B4707" t="s">
        <v>15795</v>
      </c>
      <c r="D4707" t="s">
        <v>40</v>
      </c>
      <c r="E4707" t="s">
        <v>41</v>
      </c>
      <c r="J4707" t="s">
        <v>182</v>
      </c>
      <c r="K4707" t="s">
        <v>183</v>
      </c>
      <c r="L4707">
        <v>9</v>
      </c>
      <c r="M4707" t="s">
        <v>15792</v>
      </c>
      <c r="N4707" t="s">
        <v>64</v>
      </c>
      <c r="O4707" t="s">
        <v>46</v>
      </c>
      <c r="P4707" t="s">
        <v>46</v>
      </c>
      <c r="Y4707" t="s">
        <v>15796</v>
      </c>
    </row>
    <row r="4708" spans="1:25">
      <c r="A4708" t="s">
        <v>15797</v>
      </c>
      <c r="B4708" t="s">
        <v>15798</v>
      </c>
      <c r="D4708" t="s">
        <v>40</v>
      </c>
      <c r="E4708" t="s">
        <v>41</v>
      </c>
      <c r="J4708" t="s">
        <v>182</v>
      </c>
      <c r="K4708" t="s">
        <v>183</v>
      </c>
      <c r="L4708">
        <v>9</v>
      </c>
      <c r="M4708" t="s">
        <v>15792</v>
      </c>
      <c r="N4708" t="s">
        <v>64</v>
      </c>
      <c r="O4708" t="s">
        <v>46</v>
      </c>
      <c r="P4708" t="s">
        <v>46</v>
      </c>
      <c r="Y4708" t="s">
        <v>15799</v>
      </c>
    </row>
    <row r="4709" spans="1:25">
      <c r="A4709" t="s">
        <v>15800</v>
      </c>
      <c r="B4709" t="s">
        <v>15801</v>
      </c>
      <c r="D4709" t="s">
        <v>40</v>
      </c>
      <c r="E4709" t="s">
        <v>41</v>
      </c>
      <c r="J4709" t="s">
        <v>42</v>
      </c>
      <c r="K4709" t="s">
        <v>43</v>
      </c>
      <c r="L4709">
        <v>9</v>
      </c>
      <c r="M4709" t="s">
        <v>15792</v>
      </c>
      <c r="N4709" t="s">
        <v>210</v>
      </c>
      <c r="O4709" t="s">
        <v>46</v>
      </c>
      <c r="P4709" t="s">
        <v>46</v>
      </c>
      <c r="Y4709" t="s">
        <v>15802</v>
      </c>
    </row>
    <row r="4710" spans="1:25">
      <c r="A4710" t="s">
        <v>15803</v>
      </c>
      <c r="B4710" t="s">
        <v>15804</v>
      </c>
      <c r="D4710" t="s">
        <v>40</v>
      </c>
      <c r="E4710" t="s">
        <v>41</v>
      </c>
      <c r="J4710" t="s">
        <v>182</v>
      </c>
      <c r="K4710" t="s">
        <v>183</v>
      </c>
      <c r="L4710">
        <v>9</v>
      </c>
      <c r="M4710" t="s">
        <v>15792</v>
      </c>
      <c r="N4710" t="s">
        <v>64</v>
      </c>
      <c r="O4710" t="s">
        <v>46</v>
      </c>
      <c r="P4710" t="s">
        <v>46</v>
      </c>
      <c r="Y4710" t="s">
        <v>15805</v>
      </c>
    </row>
    <row r="4711" spans="1:25">
      <c r="A4711" t="s">
        <v>15806</v>
      </c>
      <c r="B4711" t="s">
        <v>15807</v>
      </c>
      <c r="D4711" t="s">
        <v>40</v>
      </c>
      <c r="E4711" t="s">
        <v>41</v>
      </c>
      <c r="J4711" t="s">
        <v>182</v>
      </c>
      <c r="K4711" t="s">
        <v>183</v>
      </c>
      <c r="L4711">
        <v>9</v>
      </c>
      <c r="M4711" t="s">
        <v>15808</v>
      </c>
      <c r="N4711" t="s">
        <v>64</v>
      </c>
      <c r="O4711" t="s">
        <v>46</v>
      </c>
      <c r="P4711" t="s">
        <v>46</v>
      </c>
      <c r="Y4711" t="s">
        <v>15809</v>
      </c>
    </row>
    <row r="4712" spans="1:25">
      <c r="A4712" t="s">
        <v>15810</v>
      </c>
      <c r="B4712" t="s">
        <v>15811</v>
      </c>
      <c r="D4712" t="s">
        <v>40</v>
      </c>
      <c r="E4712" t="s">
        <v>41</v>
      </c>
      <c r="J4712" t="s">
        <v>76</v>
      </c>
      <c r="K4712" t="s">
        <v>77</v>
      </c>
      <c r="L4712">
        <v>9</v>
      </c>
      <c r="M4712" t="s">
        <v>15808</v>
      </c>
      <c r="N4712" t="s">
        <v>64</v>
      </c>
      <c r="O4712" t="s">
        <v>46</v>
      </c>
      <c r="P4712" t="s">
        <v>46</v>
      </c>
      <c r="Y4712" t="s">
        <v>15812</v>
      </c>
    </row>
    <row r="4713" spans="1:25">
      <c r="A4713" t="s">
        <v>15813</v>
      </c>
      <c r="B4713" t="s">
        <v>15814</v>
      </c>
      <c r="D4713" t="s">
        <v>40</v>
      </c>
      <c r="E4713" t="s">
        <v>41</v>
      </c>
      <c r="J4713" t="s">
        <v>68</v>
      </c>
      <c r="K4713" t="s">
        <v>69</v>
      </c>
      <c r="L4713">
        <v>9</v>
      </c>
      <c r="M4713" t="s">
        <v>15808</v>
      </c>
      <c r="N4713" t="s">
        <v>64</v>
      </c>
      <c r="O4713" t="s">
        <v>46</v>
      </c>
      <c r="P4713" t="s">
        <v>46</v>
      </c>
      <c r="Y4713" t="s">
        <v>15815</v>
      </c>
    </row>
    <row r="4714" spans="1:25">
      <c r="A4714" t="s">
        <v>15816</v>
      </c>
      <c r="B4714" t="s">
        <v>15817</v>
      </c>
      <c r="D4714" t="s">
        <v>40</v>
      </c>
      <c r="E4714" t="s">
        <v>41</v>
      </c>
      <c r="J4714" t="s">
        <v>76</v>
      </c>
      <c r="K4714" t="s">
        <v>77</v>
      </c>
      <c r="L4714">
        <v>9</v>
      </c>
      <c r="M4714" t="s">
        <v>15808</v>
      </c>
      <c r="N4714" t="s">
        <v>64</v>
      </c>
      <c r="O4714" t="s">
        <v>46</v>
      </c>
      <c r="P4714" t="s">
        <v>46</v>
      </c>
      <c r="Y4714" t="s">
        <v>15818</v>
      </c>
    </row>
    <row r="4715" spans="1:25">
      <c r="A4715" t="s">
        <v>15819</v>
      </c>
      <c r="B4715" t="s">
        <v>15820</v>
      </c>
      <c r="D4715" t="s">
        <v>40</v>
      </c>
      <c r="E4715" t="s">
        <v>41</v>
      </c>
      <c r="J4715" t="s">
        <v>182</v>
      </c>
      <c r="K4715" t="s">
        <v>183</v>
      </c>
      <c r="L4715">
        <v>9</v>
      </c>
      <c r="M4715" t="s">
        <v>15808</v>
      </c>
      <c r="N4715" t="s">
        <v>64</v>
      </c>
      <c r="O4715" t="s">
        <v>46</v>
      </c>
      <c r="P4715" t="s">
        <v>46</v>
      </c>
      <c r="Y4715" t="s">
        <v>15821</v>
      </c>
    </row>
    <row r="4716" spans="1:25">
      <c r="A4716" t="s">
        <v>15822</v>
      </c>
      <c r="B4716" t="s">
        <v>15823</v>
      </c>
      <c r="D4716" t="s">
        <v>40</v>
      </c>
      <c r="E4716" t="s">
        <v>41</v>
      </c>
      <c r="J4716" t="s">
        <v>76</v>
      </c>
      <c r="K4716" t="s">
        <v>77</v>
      </c>
      <c r="L4716">
        <v>9</v>
      </c>
      <c r="M4716" t="s">
        <v>15808</v>
      </c>
      <c r="N4716" t="s">
        <v>64</v>
      </c>
      <c r="O4716" t="s">
        <v>46</v>
      </c>
      <c r="P4716" t="s">
        <v>46</v>
      </c>
      <c r="Y4716" t="s">
        <v>15824</v>
      </c>
    </row>
    <row r="4717" spans="1:25">
      <c r="A4717" t="s">
        <v>15825</v>
      </c>
      <c r="B4717" t="s">
        <v>15826</v>
      </c>
      <c r="D4717" t="s">
        <v>40</v>
      </c>
      <c r="E4717" t="s">
        <v>41</v>
      </c>
      <c r="J4717" t="s">
        <v>182</v>
      </c>
      <c r="K4717" t="s">
        <v>183</v>
      </c>
      <c r="L4717">
        <v>9</v>
      </c>
      <c r="M4717" t="s">
        <v>15808</v>
      </c>
      <c r="N4717" t="s">
        <v>64</v>
      </c>
      <c r="O4717" t="s">
        <v>46</v>
      </c>
      <c r="P4717" t="s">
        <v>46</v>
      </c>
      <c r="Y4717" t="s">
        <v>15827</v>
      </c>
    </row>
    <row r="4718" spans="1:25">
      <c r="A4718" t="s">
        <v>15828</v>
      </c>
      <c r="B4718" t="s">
        <v>15829</v>
      </c>
      <c r="D4718" t="s">
        <v>40</v>
      </c>
      <c r="E4718" t="s">
        <v>41</v>
      </c>
      <c r="J4718" t="s">
        <v>42</v>
      </c>
      <c r="K4718" t="s">
        <v>43</v>
      </c>
      <c r="L4718">
        <v>9</v>
      </c>
      <c r="M4718" t="s">
        <v>15808</v>
      </c>
      <c r="N4718" t="s">
        <v>1024</v>
      </c>
      <c r="O4718" t="s">
        <v>46</v>
      </c>
      <c r="P4718" t="s">
        <v>46</v>
      </c>
      <c r="Y4718" t="s">
        <v>15830</v>
      </c>
    </row>
    <row r="4719" spans="1:25">
      <c r="A4719" t="s">
        <v>15831</v>
      </c>
      <c r="B4719" t="s">
        <v>15832</v>
      </c>
      <c r="D4719" t="s">
        <v>40</v>
      </c>
      <c r="E4719" t="s">
        <v>41</v>
      </c>
      <c r="J4719" t="s">
        <v>182</v>
      </c>
      <c r="K4719" t="s">
        <v>183</v>
      </c>
      <c r="L4719">
        <v>9</v>
      </c>
      <c r="M4719" t="s">
        <v>15808</v>
      </c>
      <c r="N4719" t="s">
        <v>64</v>
      </c>
      <c r="O4719" t="s">
        <v>46</v>
      </c>
      <c r="P4719" t="s">
        <v>46</v>
      </c>
      <c r="Y4719" t="s">
        <v>15833</v>
      </c>
    </row>
    <row r="4720" spans="1:25">
      <c r="A4720" t="s">
        <v>15834</v>
      </c>
      <c r="B4720" t="s">
        <v>15835</v>
      </c>
      <c r="D4720" t="s">
        <v>40</v>
      </c>
      <c r="E4720" t="s">
        <v>41</v>
      </c>
      <c r="J4720" t="s">
        <v>76</v>
      </c>
      <c r="K4720" t="s">
        <v>77</v>
      </c>
      <c r="L4720">
        <v>9</v>
      </c>
      <c r="M4720" t="s">
        <v>15808</v>
      </c>
      <c r="N4720" t="s">
        <v>64</v>
      </c>
      <c r="O4720" t="s">
        <v>46</v>
      </c>
      <c r="P4720" t="s">
        <v>46</v>
      </c>
      <c r="Y4720" t="s">
        <v>15836</v>
      </c>
    </row>
    <row r="4721" spans="1:25">
      <c r="A4721" t="s">
        <v>15837</v>
      </c>
      <c r="B4721" t="s">
        <v>15838</v>
      </c>
      <c r="D4721" t="s">
        <v>40</v>
      </c>
      <c r="E4721" t="s">
        <v>41</v>
      </c>
      <c r="J4721" t="s">
        <v>182</v>
      </c>
      <c r="K4721" t="s">
        <v>183</v>
      </c>
      <c r="L4721">
        <v>9</v>
      </c>
      <c r="M4721" t="s">
        <v>15839</v>
      </c>
      <c r="N4721" t="s">
        <v>64</v>
      </c>
      <c r="O4721" t="s">
        <v>46</v>
      </c>
      <c r="P4721" t="s">
        <v>46</v>
      </c>
      <c r="Y4721" t="s">
        <v>15840</v>
      </c>
    </row>
    <row r="4722" spans="1:25">
      <c r="A4722" t="s">
        <v>15841</v>
      </c>
      <c r="B4722" t="s">
        <v>15842</v>
      </c>
      <c r="D4722" t="s">
        <v>40</v>
      </c>
      <c r="E4722" t="s">
        <v>41</v>
      </c>
      <c r="J4722" t="s">
        <v>76</v>
      </c>
      <c r="K4722" t="s">
        <v>77</v>
      </c>
      <c r="L4722">
        <v>9</v>
      </c>
      <c r="M4722" t="s">
        <v>15839</v>
      </c>
      <c r="N4722" t="s">
        <v>64</v>
      </c>
      <c r="O4722" t="s">
        <v>46</v>
      </c>
      <c r="P4722" t="s">
        <v>46</v>
      </c>
      <c r="Y4722" t="s">
        <v>15843</v>
      </c>
    </row>
    <row r="4723" spans="1:25">
      <c r="A4723" t="s">
        <v>15844</v>
      </c>
      <c r="B4723" t="s">
        <v>15845</v>
      </c>
      <c r="D4723" t="s">
        <v>40</v>
      </c>
      <c r="E4723" t="s">
        <v>41</v>
      </c>
      <c r="J4723" t="s">
        <v>9159</v>
      </c>
      <c r="K4723" t="s">
        <v>9160</v>
      </c>
      <c r="L4723">
        <v>9</v>
      </c>
      <c r="M4723" t="s">
        <v>15846</v>
      </c>
      <c r="N4723" t="s">
        <v>310</v>
      </c>
      <c r="O4723" t="s">
        <v>46</v>
      </c>
      <c r="P4723" t="s">
        <v>46</v>
      </c>
      <c r="Y4723" t="s">
        <v>15847</v>
      </c>
    </row>
    <row r="4724" spans="1:25">
      <c r="A4724" t="s">
        <v>15848</v>
      </c>
      <c r="B4724" t="s">
        <v>15849</v>
      </c>
      <c r="D4724" t="s">
        <v>40</v>
      </c>
      <c r="E4724" t="s">
        <v>41</v>
      </c>
      <c r="J4724" t="s">
        <v>182</v>
      </c>
      <c r="K4724" t="s">
        <v>183</v>
      </c>
      <c r="L4724">
        <v>9</v>
      </c>
      <c r="M4724" t="s">
        <v>15846</v>
      </c>
      <c r="N4724" t="s">
        <v>64</v>
      </c>
      <c r="O4724" t="s">
        <v>46</v>
      </c>
      <c r="P4724" t="s">
        <v>46</v>
      </c>
      <c r="Y4724" t="s">
        <v>15850</v>
      </c>
    </row>
    <row r="4725" spans="1:25">
      <c r="A4725" t="s">
        <v>15851</v>
      </c>
      <c r="B4725" t="s">
        <v>15852</v>
      </c>
      <c r="D4725" t="s">
        <v>40</v>
      </c>
      <c r="E4725" t="s">
        <v>41</v>
      </c>
      <c r="J4725" t="s">
        <v>76</v>
      </c>
      <c r="K4725" t="s">
        <v>77</v>
      </c>
      <c r="L4725">
        <v>9</v>
      </c>
      <c r="M4725" t="s">
        <v>15846</v>
      </c>
      <c r="N4725" t="s">
        <v>64</v>
      </c>
      <c r="O4725" t="s">
        <v>46</v>
      </c>
      <c r="P4725" t="s">
        <v>46</v>
      </c>
      <c r="Y4725" t="s">
        <v>15853</v>
      </c>
    </row>
    <row r="4726" spans="1:25">
      <c r="A4726" t="s">
        <v>15854</v>
      </c>
      <c r="B4726" t="s">
        <v>15855</v>
      </c>
      <c r="D4726" t="s">
        <v>40</v>
      </c>
      <c r="E4726" t="s">
        <v>41</v>
      </c>
      <c r="J4726" t="s">
        <v>1554</v>
      </c>
      <c r="K4726" t="s">
        <v>1555</v>
      </c>
      <c r="L4726">
        <v>9</v>
      </c>
      <c r="M4726" t="s">
        <v>15856</v>
      </c>
      <c r="N4726" t="s">
        <v>218</v>
      </c>
      <c r="O4726" t="s">
        <v>46</v>
      </c>
      <c r="P4726" t="s">
        <v>46</v>
      </c>
      <c r="Y4726" t="s">
        <v>15857</v>
      </c>
    </row>
    <row r="4727" spans="1:25">
      <c r="A4727" t="s">
        <v>15858</v>
      </c>
      <c r="B4727" t="s">
        <v>15859</v>
      </c>
      <c r="D4727" t="s">
        <v>40</v>
      </c>
      <c r="E4727" t="s">
        <v>41</v>
      </c>
      <c r="J4727" t="s">
        <v>182</v>
      </c>
      <c r="K4727" t="s">
        <v>183</v>
      </c>
      <c r="L4727">
        <v>9</v>
      </c>
      <c r="M4727" t="s">
        <v>15856</v>
      </c>
      <c r="N4727" t="s">
        <v>64</v>
      </c>
      <c r="O4727" t="s">
        <v>46</v>
      </c>
      <c r="P4727" t="s">
        <v>46</v>
      </c>
      <c r="Y4727" t="s">
        <v>15860</v>
      </c>
    </row>
    <row r="4728" spans="1:25">
      <c r="A4728" t="s">
        <v>15861</v>
      </c>
      <c r="B4728" t="s">
        <v>15862</v>
      </c>
      <c r="D4728" t="s">
        <v>40</v>
      </c>
      <c r="E4728" t="s">
        <v>41</v>
      </c>
      <c r="J4728" t="s">
        <v>182</v>
      </c>
      <c r="K4728" t="s">
        <v>183</v>
      </c>
      <c r="L4728">
        <v>9</v>
      </c>
      <c r="M4728" t="s">
        <v>15856</v>
      </c>
      <c r="N4728" t="s">
        <v>64</v>
      </c>
      <c r="O4728" t="s">
        <v>46</v>
      </c>
      <c r="P4728" t="s">
        <v>46</v>
      </c>
      <c r="Y4728" t="s">
        <v>15863</v>
      </c>
    </row>
    <row r="4729" spans="1:25">
      <c r="A4729" t="s">
        <v>15864</v>
      </c>
      <c r="B4729" t="s">
        <v>15865</v>
      </c>
      <c r="D4729" t="s">
        <v>40</v>
      </c>
      <c r="E4729" t="s">
        <v>41</v>
      </c>
      <c r="J4729" t="s">
        <v>76</v>
      </c>
      <c r="K4729" t="s">
        <v>77</v>
      </c>
      <c r="L4729">
        <v>9</v>
      </c>
      <c r="M4729" t="s">
        <v>15856</v>
      </c>
      <c r="N4729" t="s">
        <v>64</v>
      </c>
      <c r="O4729" t="s">
        <v>46</v>
      </c>
      <c r="P4729" t="s">
        <v>46</v>
      </c>
      <c r="Y4729" t="s">
        <v>15866</v>
      </c>
    </row>
    <row r="4730" spans="1:25">
      <c r="A4730" t="s">
        <v>15867</v>
      </c>
      <c r="B4730" t="s">
        <v>15868</v>
      </c>
      <c r="D4730" t="s">
        <v>40</v>
      </c>
      <c r="E4730" t="s">
        <v>41</v>
      </c>
      <c r="J4730" t="s">
        <v>182</v>
      </c>
      <c r="K4730" t="s">
        <v>183</v>
      </c>
      <c r="L4730">
        <v>9</v>
      </c>
      <c r="M4730" t="s">
        <v>15856</v>
      </c>
      <c r="N4730" t="s">
        <v>64</v>
      </c>
      <c r="O4730" t="s">
        <v>46</v>
      </c>
      <c r="P4730" t="s">
        <v>46</v>
      </c>
      <c r="Y4730" t="s">
        <v>15869</v>
      </c>
    </row>
    <row r="4731" spans="1:25">
      <c r="A4731" t="s">
        <v>15870</v>
      </c>
      <c r="B4731" t="s">
        <v>15871</v>
      </c>
      <c r="D4731" t="s">
        <v>40</v>
      </c>
      <c r="E4731" t="s">
        <v>41</v>
      </c>
      <c r="J4731" t="s">
        <v>182</v>
      </c>
      <c r="K4731" t="s">
        <v>183</v>
      </c>
      <c r="L4731">
        <v>9</v>
      </c>
      <c r="M4731" t="s">
        <v>15872</v>
      </c>
      <c r="N4731" t="s">
        <v>64</v>
      </c>
      <c r="O4731" t="s">
        <v>46</v>
      </c>
      <c r="P4731" t="s">
        <v>46</v>
      </c>
      <c r="Y4731" t="s">
        <v>15873</v>
      </c>
    </row>
    <row r="4732" spans="1:25">
      <c r="A4732" t="s">
        <v>15874</v>
      </c>
      <c r="B4732" t="s">
        <v>15875</v>
      </c>
      <c r="D4732" t="s">
        <v>40</v>
      </c>
      <c r="E4732" t="s">
        <v>41</v>
      </c>
      <c r="J4732" t="s">
        <v>42</v>
      </c>
      <c r="K4732" t="s">
        <v>43</v>
      </c>
      <c r="L4732">
        <v>9</v>
      </c>
      <c r="M4732" t="s">
        <v>15872</v>
      </c>
      <c r="N4732" t="s">
        <v>1446</v>
      </c>
      <c r="O4732" t="s">
        <v>46</v>
      </c>
      <c r="P4732" t="s">
        <v>46</v>
      </c>
      <c r="Y4732" t="s">
        <v>15876</v>
      </c>
    </row>
    <row r="4733" spans="1:25">
      <c r="A4733" t="s">
        <v>15877</v>
      </c>
      <c r="B4733" t="s">
        <v>15878</v>
      </c>
      <c r="D4733" t="s">
        <v>40</v>
      </c>
      <c r="E4733" t="s">
        <v>41</v>
      </c>
      <c r="J4733" t="s">
        <v>76</v>
      </c>
      <c r="K4733" t="s">
        <v>77</v>
      </c>
      <c r="L4733">
        <v>9</v>
      </c>
      <c r="M4733" t="s">
        <v>15872</v>
      </c>
      <c r="N4733" t="s">
        <v>64</v>
      </c>
      <c r="O4733" t="s">
        <v>46</v>
      </c>
      <c r="P4733" t="s">
        <v>46</v>
      </c>
      <c r="Y4733" t="s">
        <v>15879</v>
      </c>
    </row>
    <row r="4734" spans="1:25">
      <c r="A4734" t="s">
        <v>15880</v>
      </c>
      <c r="B4734" t="s">
        <v>15881</v>
      </c>
      <c r="D4734" t="s">
        <v>40</v>
      </c>
      <c r="E4734" t="s">
        <v>41</v>
      </c>
      <c r="J4734" t="s">
        <v>76</v>
      </c>
      <c r="K4734" t="s">
        <v>77</v>
      </c>
      <c r="L4734">
        <v>9</v>
      </c>
      <c r="M4734" t="s">
        <v>15872</v>
      </c>
      <c r="N4734" t="s">
        <v>64</v>
      </c>
      <c r="O4734" t="s">
        <v>46</v>
      </c>
      <c r="P4734" t="s">
        <v>46</v>
      </c>
      <c r="Y4734" t="s">
        <v>15882</v>
      </c>
    </row>
    <row r="4735" spans="1:25">
      <c r="A4735" t="s">
        <v>15883</v>
      </c>
      <c r="B4735" t="s">
        <v>15884</v>
      </c>
      <c r="D4735" t="s">
        <v>40</v>
      </c>
      <c r="E4735" t="s">
        <v>41</v>
      </c>
      <c r="J4735" t="s">
        <v>182</v>
      </c>
      <c r="K4735" t="s">
        <v>183</v>
      </c>
      <c r="L4735">
        <v>9</v>
      </c>
      <c r="M4735" t="s">
        <v>15885</v>
      </c>
      <c r="N4735" t="s">
        <v>64</v>
      </c>
      <c r="O4735" t="s">
        <v>46</v>
      </c>
      <c r="P4735" t="s">
        <v>46</v>
      </c>
      <c r="Y4735" t="s">
        <v>15886</v>
      </c>
    </row>
    <row r="4736" spans="1:25">
      <c r="A4736" t="s">
        <v>15887</v>
      </c>
      <c r="B4736" t="s">
        <v>15888</v>
      </c>
      <c r="D4736" t="s">
        <v>40</v>
      </c>
      <c r="E4736" t="s">
        <v>41</v>
      </c>
      <c r="J4736" t="s">
        <v>68</v>
      </c>
      <c r="K4736" t="s">
        <v>69</v>
      </c>
      <c r="L4736">
        <v>9</v>
      </c>
      <c r="M4736" t="s">
        <v>15885</v>
      </c>
      <c r="N4736" t="s">
        <v>64</v>
      </c>
      <c r="O4736" t="s">
        <v>46</v>
      </c>
      <c r="P4736" t="s">
        <v>46</v>
      </c>
      <c r="Y4736" t="s">
        <v>15889</v>
      </c>
    </row>
    <row r="4737" spans="1:25">
      <c r="A4737" t="s">
        <v>15890</v>
      </c>
      <c r="B4737" t="s">
        <v>15891</v>
      </c>
      <c r="D4737" t="s">
        <v>40</v>
      </c>
      <c r="E4737" t="s">
        <v>41</v>
      </c>
      <c r="J4737" t="s">
        <v>76</v>
      </c>
      <c r="K4737" t="s">
        <v>77</v>
      </c>
      <c r="L4737">
        <v>9</v>
      </c>
      <c r="M4737" t="s">
        <v>15892</v>
      </c>
      <c r="N4737" t="s">
        <v>64</v>
      </c>
      <c r="O4737" t="s">
        <v>46</v>
      </c>
      <c r="P4737" t="s">
        <v>46</v>
      </c>
      <c r="Y4737" t="s">
        <v>15893</v>
      </c>
    </row>
    <row r="4738" spans="1:25">
      <c r="A4738" t="s">
        <v>15894</v>
      </c>
      <c r="B4738" t="s">
        <v>15895</v>
      </c>
      <c r="D4738" t="s">
        <v>40</v>
      </c>
      <c r="E4738" t="s">
        <v>41</v>
      </c>
      <c r="J4738" t="s">
        <v>182</v>
      </c>
      <c r="K4738" t="s">
        <v>183</v>
      </c>
      <c r="L4738">
        <v>9</v>
      </c>
      <c r="M4738" t="s">
        <v>15892</v>
      </c>
      <c r="N4738" t="s">
        <v>64</v>
      </c>
      <c r="O4738" t="s">
        <v>46</v>
      </c>
      <c r="P4738" t="s">
        <v>46</v>
      </c>
      <c r="Y4738" t="s">
        <v>15896</v>
      </c>
    </row>
    <row r="4739" spans="1:25">
      <c r="A4739" t="s">
        <v>15897</v>
      </c>
      <c r="B4739" t="s">
        <v>15898</v>
      </c>
      <c r="D4739" t="s">
        <v>40</v>
      </c>
      <c r="E4739" t="s">
        <v>41</v>
      </c>
      <c r="J4739" t="s">
        <v>182</v>
      </c>
      <c r="K4739" t="s">
        <v>183</v>
      </c>
      <c r="L4739">
        <v>9</v>
      </c>
      <c r="M4739" t="s">
        <v>15892</v>
      </c>
      <c r="N4739" t="s">
        <v>64</v>
      </c>
      <c r="O4739" t="s">
        <v>46</v>
      </c>
      <c r="P4739" t="s">
        <v>46</v>
      </c>
      <c r="Y4739" t="s">
        <v>15899</v>
      </c>
    </row>
    <row r="4740" spans="1:25">
      <c r="A4740" t="s">
        <v>15900</v>
      </c>
      <c r="B4740" t="s">
        <v>15901</v>
      </c>
      <c r="D4740" t="s">
        <v>40</v>
      </c>
      <c r="E4740" t="s">
        <v>41</v>
      </c>
      <c r="J4740" t="s">
        <v>182</v>
      </c>
      <c r="K4740" t="s">
        <v>183</v>
      </c>
      <c r="L4740">
        <v>9</v>
      </c>
      <c r="M4740" t="s">
        <v>15892</v>
      </c>
      <c r="N4740" t="s">
        <v>64</v>
      </c>
      <c r="O4740" t="s">
        <v>46</v>
      </c>
      <c r="P4740" t="s">
        <v>46</v>
      </c>
      <c r="Y4740" t="s">
        <v>15902</v>
      </c>
    </row>
    <row r="4741" spans="1:25">
      <c r="A4741" t="s">
        <v>15903</v>
      </c>
      <c r="B4741" t="s">
        <v>15904</v>
      </c>
      <c r="D4741" t="s">
        <v>40</v>
      </c>
      <c r="E4741" t="s">
        <v>41</v>
      </c>
      <c r="J4741" t="s">
        <v>68</v>
      </c>
      <c r="K4741" t="s">
        <v>69</v>
      </c>
      <c r="L4741">
        <v>9</v>
      </c>
      <c r="M4741" t="s">
        <v>15892</v>
      </c>
      <c r="N4741" t="s">
        <v>64</v>
      </c>
      <c r="O4741" t="s">
        <v>46</v>
      </c>
      <c r="P4741" t="s">
        <v>46</v>
      </c>
      <c r="Y4741" t="s">
        <v>15905</v>
      </c>
    </row>
    <row r="4742" spans="1:25">
      <c r="A4742" t="s">
        <v>15906</v>
      </c>
      <c r="B4742" t="s">
        <v>15907</v>
      </c>
      <c r="D4742" t="s">
        <v>40</v>
      </c>
      <c r="E4742" t="s">
        <v>41</v>
      </c>
      <c r="J4742" t="s">
        <v>76</v>
      </c>
      <c r="K4742" t="s">
        <v>77</v>
      </c>
      <c r="L4742">
        <v>9</v>
      </c>
      <c r="M4742" t="s">
        <v>15908</v>
      </c>
      <c r="N4742" t="s">
        <v>64</v>
      </c>
      <c r="O4742" t="s">
        <v>46</v>
      </c>
      <c r="P4742" t="s">
        <v>46</v>
      </c>
      <c r="Y4742" t="s">
        <v>15909</v>
      </c>
    </row>
    <row r="4743" spans="1:25">
      <c r="A4743" t="s">
        <v>15910</v>
      </c>
      <c r="B4743" t="s">
        <v>15911</v>
      </c>
      <c r="D4743" t="s">
        <v>40</v>
      </c>
      <c r="E4743" t="s">
        <v>41</v>
      </c>
      <c r="J4743" t="s">
        <v>76</v>
      </c>
      <c r="K4743" t="s">
        <v>77</v>
      </c>
      <c r="L4743">
        <v>9</v>
      </c>
      <c r="M4743" t="s">
        <v>15912</v>
      </c>
      <c r="N4743" t="s">
        <v>64</v>
      </c>
      <c r="O4743" t="s">
        <v>46</v>
      </c>
      <c r="P4743" t="s">
        <v>46</v>
      </c>
      <c r="Y4743" t="s">
        <v>15913</v>
      </c>
    </row>
    <row r="4744" spans="1:25">
      <c r="A4744" t="s">
        <v>15914</v>
      </c>
      <c r="B4744" t="s">
        <v>15915</v>
      </c>
      <c r="D4744" t="s">
        <v>40</v>
      </c>
      <c r="E4744" t="s">
        <v>41</v>
      </c>
      <c r="J4744" t="s">
        <v>182</v>
      </c>
      <c r="K4744" t="s">
        <v>183</v>
      </c>
      <c r="L4744">
        <v>9</v>
      </c>
      <c r="M4744" t="s">
        <v>15916</v>
      </c>
      <c r="N4744" t="s">
        <v>64</v>
      </c>
      <c r="O4744" t="s">
        <v>46</v>
      </c>
      <c r="P4744" t="s">
        <v>46</v>
      </c>
      <c r="Y4744" t="s">
        <v>15917</v>
      </c>
    </row>
    <row r="4745" spans="1:25">
      <c r="A4745" t="s">
        <v>15918</v>
      </c>
      <c r="B4745" t="s">
        <v>15919</v>
      </c>
      <c r="D4745" t="s">
        <v>40</v>
      </c>
      <c r="E4745" t="s">
        <v>41</v>
      </c>
      <c r="J4745" t="s">
        <v>182</v>
      </c>
      <c r="K4745" t="s">
        <v>183</v>
      </c>
      <c r="L4745">
        <v>9</v>
      </c>
      <c r="M4745" t="s">
        <v>15916</v>
      </c>
      <c r="N4745" t="s">
        <v>64</v>
      </c>
      <c r="O4745" t="s">
        <v>46</v>
      </c>
      <c r="P4745" t="s">
        <v>46</v>
      </c>
      <c r="Y4745" t="s">
        <v>15920</v>
      </c>
    </row>
    <row r="4746" spans="1:25">
      <c r="A4746" t="s">
        <v>15921</v>
      </c>
      <c r="B4746" t="s">
        <v>15922</v>
      </c>
      <c r="D4746" t="s">
        <v>40</v>
      </c>
      <c r="E4746" t="s">
        <v>41</v>
      </c>
      <c r="J4746" t="s">
        <v>182</v>
      </c>
      <c r="K4746" t="s">
        <v>183</v>
      </c>
      <c r="L4746">
        <v>9</v>
      </c>
      <c r="M4746" t="s">
        <v>15916</v>
      </c>
      <c r="N4746" t="s">
        <v>64</v>
      </c>
      <c r="O4746" t="s">
        <v>46</v>
      </c>
      <c r="P4746" t="s">
        <v>46</v>
      </c>
      <c r="Y4746" t="s">
        <v>15923</v>
      </c>
    </row>
    <row r="4747" spans="1:25">
      <c r="A4747" t="s">
        <v>15924</v>
      </c>
      <c r="B4747" t="s">
        <v>15925</v>
      </c>
      <c r="D4747" t="s">
        <v>40</v>
      </c>
      <c r="E4747" t="s">
        <v>41</v>
      </c>
      <c r="J4747" t="s">
        <v>76</v>
      </c>
      <c r="K4747" t="s">
        <v>77</v>
      </c>
      <c r="L4747">
        <v>9</v>
      </c>
      <c r="M4747" t="s">
        <v>15916</v>
      </c>
      <c r="N4747" t="s">
        <v>64</v>
      </c>
      <c r="O4747" t="s">
        <v>46</v>
      </c>
      <c r="P4747" t="s">
        <v>46</v>
      </c>
      <c r="Y4747" t="s">
        <v>15926</v>
      </c>
    </row>
    <row r="4748" spans="1:25">
      <c r="A4748" t="s">
        <v>15927</v>
      </c>
      <c r="B4748" t="s">
        <v>15928</v>
      </c>
      <c r="D4748" t="s">
        <v>40</v>
      </c>
      <c r="E4748" t="s">
        <v>41</v>
      </c>
      <c r="J4748" t="s">
        <v>182</v>
      </c>
      <c r="K4748" t="s">
        <v>183</v>
      </c>
      <c r="L4748">
        <v>9</v>
      </c>
      <c r="M4748" t="s">
        <v>15916</v>
      </c>
      <c r="N4748" t="s">
        <v>64</v>
      </c>
      <c r="O4748" t="s">
        <v>46</v>
      </c>
      <c r="P4748" t="s">
        <v>46</v>
      </c>
      <c r="Y4748" t="s">
        <v>15929</v>
      </c>
    </row>
    <row r="4749" spans="1:25">
      <c r="A4749" t="s">
        <v>15930</v>
      </c>
      <c r="B4749" t="s">
        <v>15931</v>
      </c>
      <c r="D4749" t="s">
        <v>40</v>
      </c>
      <c r="E4749" t="s">
        <v>41</v>
      </c>
      <c r="J4749" t="s">
        <v>182</v>
      </c>
      <c r="K4749" t="s">
        <v>183</v>
      </c>
      <c r="L4749">
        <v>9</v>
      </c>
      <c r="M4749" t="s">
        <v>15916</v>
      </c>
      <c r="N4749" t="s">
        <v>64</v>
      </c>
      <c r="O4749" t="s">
        <v>46</v>
      </c>
      <c r="P4749" t="s">
        <v>46</v>
      </c>
      <c r="Y4749" t="s">
        <v>15932</v>
      </c>
    </row>
    <row r="4750" spans="1:25">
      <c r="A4750" t="s">
        <v>15933</v>
      </c>
      <c r="B4750" t="s">
        <v>15934</v>
      </c>
      <c r="D4750" t="s">
        <v>40</v>
      </c>
      <c r="E4750" t="s">
        <v>41</v>
      </c>
      <c r="J4750" t="s">
        <v>182</v>
      </c>
      <c r="K4750" t="s">
        <v>183</v>
      </c>
      <c r="L4750">
        <v>9</v>
      </c>
      <c r="M4750" t="s">
        <v>15916</v>
      </c>
      <c r="N4750" t="s">
        <v>64</v>
      </c>
      <c r="O4750" t="s">
        <v>46</v>
      </c>
      <c r="P4750" t="s">
        <v>46</v>
      </c>
      <c r="Y4750" t="s">
        <v>15935</v>
      </c>
    </row>
    <row r="4751" spans="1:25">
      <c r="A4751" t="s">
        <v>15936</v>
      </c>
      <c r="B4751" t="s">
        <v>15937</v>
      </c>
      <c r="D4751" t="s">
        <v>40</v>
      </c>
      <c r="E4751" t="s">
        <v>41</v>
      </c>
      <c r="J4751" t="s">
        <v>182</v>
      </c>
      <c r="K4751" t="s">
        <v>183</v>
      </c>
      <c r="L4751">
        <v>9</v>
      </c>
      <c r="M4751" t="s">
        <v>15916</v>
      </c>
      <c r="N4751" t="s">
        <v>64</v>
      </c>
      <c r="O4751" t="s">
        <v>46</v>
      </c>
      <c r="P4751" t="s">
        <v>46</v>
      </c>
      <c r="Y4751" t="s">
        <v>15938</v>
      </c>
    </row>
    <row r="4752" spans="1:25">
      <c r="A4752" t="s">
        <v>15939</v>
      </c>
      <c r="B4752" t="s">
        <v>15940</v>
      </c>
      <c r="D4752" t="s">
        <v>40</v>
      </c>
      <c r="E4752" t="s">
        <v>41</v>
      </c>
      <c r="J4752" t="s">
        <v>182</v>
      </c>
      <c r="K4752" t="s">
        <v>183</v>
      </c>
      <c r="L4752">
        <v>9</v>
      </c>
      <c r="M4752" t="s">
        <v>15916</v>
      </c>
      <c r="N4752" t="s">
        <v>64</v>
      </c>
      <c r="O4752" t="s">
        <v>46</v>
      </c>
      <c r="P4752" t="s">
        <v>46</v>
      </c>
      <c r="Y4752" t="s">
        <v>15941</v>
      </c>
    </row>
    <row r="4753" spans="1:25">
      <c r="A4753" t="s">
        <v>15942</v>
      </c>
      <c r="B4753" t="s">
        <v>15943</v>
      </c>
      <c r="D4753" t="s">
        <v>40</v>
      </c>
      <c r="E4753" t="s">
        <v>41</v>
      </c>
      <c r="J4753" t="s">
        <v>182</v>
      </c>
      <c r="K4753" t="s">
        <v>183</v>
      </c>
      <c r="L4753">
        <v>9</v>
      </c>
      <c r="M4753" t="s">
        <v>15944</v>
      </c>
      <c r="N4753" t="s">
        <v>64</v>
      </c>
      <c r="O4753" t="s">
        <v>46</v>
      </c>
      <c r="P4753" t="s">
        <v>46</v>
      </c>
      <c r="Y4753" t="s">
        <v>15945</v>
      </c>
    </row>
    <row r="4754" spans="1:25">
      <c r="A4754" t="s">
        <v>15946</v>
      </c>
      <c r="B4754" t="s">
        <v>15947</v>
      </c>
      <c r="D4754" t="s">
        <v>40</v>
      </c>
      <c r="E4754" t="s">
        <v>41</v>
      </c>
      <c r="J4754" t="s">
        <v>76</v>
      </c>
      <c r="K4754" t="s">
        <v>77</v>
      </c>
      <c r="L4754">
        <v>9</v>
      </c>
      <c r="M4754" t="s">
        <v>15944</v>
      </c>
      <c r="N4754" t="s">
        <v>64</v>
      </c>
      <c r="O4754" t="s">
        <v>46</v>
      </c>
      <c r="P4754" t="s">
        <v>46</v>
      </c>
      <c r="Y4754" t="s">
        <v>15948</v>
      </c>
    </row>
    <row r="4755" spans="1:25">
      <c r="A4755" t="s">
        <v>15949</v>
      </c>
      <c r="B4755" t="s">
        <v>15950</v>
      </c>
      <c r="D4755" t="s">
        <v>40</v>
      </c>
      <c r="E4755" t="s">
        <v>41</v>
      </c>
      <c r="J4755" t="s">
        <v>182</v>
      </c>
      <c r="K4755" t="s">
        <v>183</v>
      </c>
      <c r="L4755">
        <v>9</v>
      </c>
      <c r="M4755" t="s">
        <v>15944</v>
      </c>
      <c r="N4755" t="s">
        <v>64</v>
      </c>
      <c r="O4755" t="s">
        <v>46</v>
      </c>
      <c r="P4755" t="s">
        <v>46</v>
      </c>
      <c r="Y4755" t="s">
        <v>15951</v>
      </c>
    </row>
    <row r="4756" spans="1:25">
      <c r="A4756" t="s">
        <v>15952</v>
      </c>
      <c r="B4756" t="s">
        <v>15953</v>
      </c>
      <c r="D4756" t="s">
        <v>40</v>
      </c>
      <c r="E4756" t="s">
        <v>41</v>
      </c>
      <c r="J4756" t="s">
        <v>76</v>
      </c>
      <c r="K4756" t="s">
        <v>77</v>
      </c>
      <c r="L4756">
        <v>9</v>
      </c>
      <c r="M4756" t="s">
        <v>15944</v>
      </c>
      <c r="N4756" t="s">
        <v>64</v>
      </c>
      <c r="O4756" t="s">
        <v>46</v>
      </c>
      <c r="P4756" t="s">
        <v>46</v>
      </c>
      <c r="Y4756" t="s">
        <v>15954</v>
      </c>
    </row>
    <row r="4757" spans="1:25">
      <c r="A4757" t="s">
        <v>15955</v>
      </c>
      <c r="B4757" t="s">
        <v>15956</v>
      </c>
      <c r="D4757" t="s">
        <v>40</v>
      </c>
      <c r="E4757" t="s">
        <v>41</v>
      </c>
      <c r="J4757" t="s">
        <v>76</v>
      </c>
      <c r="K4757" t="s">
        <v>77</v>
      </c>
      <c r="L4757">
        <v>9</v>
      </c>
      <c r="M4757" t="s">
        <v>15944</v>
      </c>
      <c r="N4757" t="s">
        <v>64</v>
      </c>
      <c r="O4757" t="s">
        <v>46</v>
      </c>
      <c r="P4757" t="s">
        <v>46</v>
      </c>
      <c r="Y4757" t="s">
        <v>15957</v>
      </c>
    </row>
    <row r="4758" spans="1:25">
      <c r="A4758" t="s">
        <v>15958</v>
      </c>
      <c r="B4758" t="s">
        <v>15959</v>
      </c>
      <c r="D4758" t="s">
        <v>40</v>
      </c>
      <c r="E4758" t="s">
        <v>41</v>
      </c>
      <c r="J4758" t="s">
        <v>182</v>
      </c>
      <c r="K4758" t="s">
        <v>183</v>
      </c>
      <c r="L4758">
        <v>9</v>
      </c>
      <c r="M4758" t="s">
        <v>15944</v>
      </c>
      <c r="N4758" t="s">
        <v>64</v>
      </c>
      <c r="O4758" t="s">
        <v>46</v>
      </c>
      <c r="P4758" t="s">
        <v>46</v>
      </c>
      <c r="Y4758" t="s">
        <v>15960</v>
      </c>
    </row>
    <row r="4759" spans="1:25">
      <c r="A4759" t="s">
        <v>15961</v>
      </c>
      <c r="B4759" t="s">
        <v>15962</v>
      </c>
      <c r="D4759" t="s">
        <v>40</v>
      </c>
      <c r="E4759" t="s">
        <v>41</v>
      </c>
      <c r="J4759" t="s">
        <v>76</v>
      </c>
      <c r="K4759" t="s">
        <v>77</v>
      </c>
      <c r="L4759">
        <v>9</v>
      </c>
      <c r="M4759" t="s">
        <v>15944</v>
      </c>
      <c r="N4759" t="s">
        <v>64</v>
      </c>
      <c r="O4759" t="s">
        <v>46</v>
      </c>
      <c r="P4759" t="s">
        <v>46</v>
      </c>
      <c r="Y4759" t="s">
        <v>15963</v>
      </c>
    </row>
    <row r="4760" spans="1:25">
      <c r="A4760" t="s">
        <v>15964</v>
      </c>
      <c r="B4760" t="s">
        <v>15965</v>
      </c>
      <c r="D4760" t="s">
        <v>40</v>
      </c>
      <c r="E4760" t="s">
        <v>41</v>
      </c>
      <c r="J4760" t="s">
        <v>15966</v>
      </c>
      <c r="K4760" t="s">
        <v>15967</v>
      </c>
      <c r="L4760">
        <v>9</v>
      </c>
      <c r="M4760" t="s">
        <v>15944</v>
      </c>
      <c r="N4760" t="s">
        <v>173</v>
      </c>
      <c r="O4760" t="s">
        <v>46</v>
      </c>
      <c r="P4760" t="s">
        <v>46</v>
      </c>
      <c r="Y4760" t="s">
        <v>15968</v>
      </c>
    </row>
    <row r="4761" spans="1:25">
      <c r="A4761" t="s">
        <v>15969</v>
      </c>
      <c r="B4761" t="s">
        <v>15970</v>
      </c>
      <c r="D4761" t="s">
        <v>40</v>
      </c>
      <c r="E4761" t="s">
        <v>41</v>
      </c>
      <c r="J4761" t="s">
        <v>76</v>
      </c>
      <c r="K4761" t="s">
        <v>77</v>
      </c>
      <c r="L4761">
        <v>9</v>
      </c>
      <c r="M4761" t="s">
        <v>15944</v>
      </c>
      <c r="N4761" t="s">
        <v>64</v>
      </c>
      <c r="O4761" t="s">
        <v>46</v>
      </c>
      <c r="P4761" t="s">
        <v>46</v>
      </c>
      <c r="Y4761" t="s">
        <v>15971</v>
      </c>
    </row>
    <row r="4762" spans="1:25">
      <c r="A4762" t="s">
        <v>15972</v>
      </c>
      <c r="B4762" t="s">
        <v>15973</v>
      </c>
      <c r="D4762" t="s">
        <v>40</v>
      </c>
      <c r="E4762" t="s">
        <v>41</v>
      </c>
      <c r="J4762" t="s">
        <v>139</v>
      </c>
      <c r="K4762" t="s">
        <v>140</v>
      </c>
      <c r="L4762">
        <v>9</v>
      </c>
      <c r="M4762" t="s">
        <v>15974</v>
      </c>
      <c r="N4762" t="s">
        <v>1397</v>
      </c>
      <c r="O4762" t="s">
        <v>46</v>
      </c>
      <c r="P4762" t="s">
        <v>46</v>
      </c>
      <c r="Y4762" t="s">
        <v>15975</v>
      </c>
    </row>
    <row r="4763" spans="1:25">
      <c r="A4763" t="s">
        <v>15976</v>
      </c>
      <c r="B4763" t="s">
        <v>15977</v>
      </c>
      <c r="D4763" t="s">
        <v>40</v>
      </c>
      <c r="E4763" t="s">
        <v>41</v>
      </c>
      <c r="J4763" t="s">
        <v>182</v>
      </c>
      <c r="K4763" t="s">
        <v>183</v>
      </c>
      <c r="L4763">
        <v>9</v>
      </c>
      <c r="M4763" t="s">
        <v>15974</v>
      </c>
      <c r="N4763" t="s">
        <v>64</v>
      </c>
      <c r="O4763" t="s">
        <v>46</v>
      </c>
      <c r="P4763" t="s">
        <v>46</v>
      </c>
      <c r="Y4763" t="s">
        <v>15978</v>
      </c>
    </row>
    <row r="4764" spans="1:25">
      <c r="A4764" t="s">
        <v>15979</v>
      </c>
      <c r="B4764" t="s">
        <v>15980</v>
      </c>
      <c r="D4764" t="s">
        <v>40</v>
      </c>
      <c r="E4764" t="s">
        <v>41</v>
      </c>
      <c r="J4764" t="s">
        <v>76</v>
      </c>
      <c r="K4764" t="s">
        <v>77</v>
      </c>
      <c r="L4764">
        <v>9</v>
      </c>
      <c r="M4764" t="s">
        <v>15974</v>
      </c>
      <c r="N4764" t="s">
        <v>64</v>
      </c>
      <c r="O4764" t="s">
        <v>46</v>
      </c>
      <c r="P4764" t="s">
        <v>46</v>
      </c>
      <c r="Y4764" t="s">
        <v>15981</v>
      </c>
    </row>
    <row r="4765" spans="1:25">
      <c r="A4765" t="s">
        <v>15982</v>
      </c>
      <c r="B4765" t="s">
        <v>15983</v>
      </c>
      <c r="D4765" t="s">
        <v>40</v>
      </c>
      <c r="E4765" t="s">
        <v>41</v>
      </c>
      <c r="J4765" t="s">
        <v>182</v>
      </c>
      <c r="K4765" t="s">
        <v>183</v>
      </c>
      <c r="L4765">
        <v>9</v>
      </c>
      <c r="M4765" t="s">
        <v>15974</v>
      </c>
      <c r="N4765" t="s">
        <v>64</v>
      </c>
      <c r="O4765" t="s">
        <v>46</v>
      </c>
      <c r="P4765" t="s">
        <v>46</v>
      </c>
      <c r="Y4765" t="s">
        <v>15984</v>
      </c>
    </row>
    <row r="4766" spans="1:25">
      <c r="A4766" t="s">
        <v>15985</v>
      </c>
      <c r="B4766" t="s">
        <v>15986</v>
      </c>
      <c r="D4766" t="s">
        <v>40</v>
      </c>
      <c r="E4766" t="s">
        <v>41</v>
      </c>
      <c r="J4766" t="s">
        <v>182</v>
      </c>
      <c r="K4766" t="s">
        <v>183</v>
      </c>
      <c r="L4766">
        <v>9</v>
      </c>
      <c r="M4766" t="s">
        <v>15987</v>
      </c>
      <c r="N4766" t="s">
        <v>64</v>
      </c>
      <c r="O4766" t="s">
        <v>46</v>
      </c>
      <c r="P4766" t="s">
        <v>46</v>
      </c>
      <c r="Y4766" t="s">
        <v>15988</v>
      </c>
    </row>
    <row r="4767" spans="1:25">
      <c r="A4767" t="s">
        <v>15989</v>
      </c>
      <c r="B4767" t="s">
        <v>15990</v>
      </c>
      <c r="D4767" t="s">
        <v>40</v>
      </c>
      <c r="E4767" t="s">
        <v>41</v>
      </c>
      <c r="J4767" t="s">
        <v>182</v>
      </c>
      <c r="K4767" t="s">
        <v>183</v>
      </c>
      <c r="L4767">
        <v>9</v>
      </c>
      <c r="M4767" t="s">
        <v>15987</v>
      </c>
      <c r="N4767" t="s">
        <v>64</v>
      </c>
      <c r="O4767" t="s">
        <v>46</v>
      </c>
      <c r="P4767" t="s">
        <v>46</v>
      </c>
      <c r="Y4767" t="s">
        <v>15991</v>
      </c>
    </row>
    <row r="4768" spans="1:25">
      <c r="A4768" t="s">
        <v>15992</v>
      </c>
      <c r="B4768" t="s">
        <v>15993</v>
      </c>
      <c r="D4768" t="s">
        <v>40</v>
      </c>
      <c r="E4768" t="s">
        <v>41</v>
      </c>
      <c r="J4768" t="s">
        <v>182</v>
      </c>
      <c r="K4768" t="s">
        <v>183</v>
      </c>
      <c r="L4768">
        <v>9</v>
      </c>
      <c r="M4768" t="s">
        <v>15987</v>
      </c>
      <c r="N4768" t="s">
        <v>64</v>
      </c>
      <c r="O4768" t="s">
        <v>46</v>
      </c>
      <c r="P4768" t="s">
        <v>46</v>
      </c>
      <c r="Y4768" t="s">
        <v>15994</v>
      </c>
    </row>
    <row r="4769" spans="1:25">
      <c r="A4769" t="s">
        <v>15995</v>
      </c>
      <c r="B4769" t="s">
        <v>15996</v>
      </c>
      <c r="D4769" t="s">
        <v>40</v>
      </c>
      <c r="E4769" t="s">
        <v>41</v>
      </c>
      <c r="J4769" t="s">
        <v>76</v>
      </c>
      <c r="K4769" t="s">
        <v>77</v>
      </c>
      <c r="L4769">
        <v>9</v>
      </c>
      <c r="M4769" t="s">
        <v>15987</v>
      </c>
      <c r="N4769" t="s">
        <v>64</v>
      </c>
      <c r="O4769" t="s">
        <v>46</v>
      </c>
      <c r="P4769" t="s">
        <v>46</v>
      </c>
      <c r="Y4769" t="s">
        <v>15997</v>
      </c>
    </row>
    <row r="4770" spans="1:25">
      <c r="A4770" t="s">
        <v>15998</v>
      </c>
      <c r="B4770" t="s">
        <v>15999</v>
      </c>
      <c r="D4770" t="s">
        <v>40</v>
      </c>
      <c r="E4770" t="s">
        <v>41</v>
      </c>
      <c r="J4770" t="s">
        <v>182</v>
      </c>
      <c r="K4770" t="s">
        <v>183</v>
      </c>
      <c r="L4770">
        <v>9</v>
      </c>
      <c r="M4770" t="s">
        <v>16000</v>
      </c>
      <c r="N4770" t="s">
        <v>64</v>
      </c>
      <c r="O4770" t="s">
        <v>46</v>
      </c>
      <c r="P4770" t="s">
        <v>46</v>
      </c>
      <c r="Y4770" t="s">
        <v>16001</v>
      </c>
    </row>
    <row r="4771" spans="1:25">
      <c r="A4771" t="s">
        <v>16002</v>
      </c>
      <c r="B4771" t="s">
        <v>16003</v>
      </c>
      <c r="D4771" t="s">
        <v>40</v>
      </c>
      <c r="E4771" t="s">
        <v>41</v>
      </c>
      <c r="J4771" t="s">
        <v>182</v>
      </c>
      <c r="K4771" t="s">
        <v>183</v>
      </c>
      <c r="L4771">
        <v>9</v>
      </c>
      <c r="M4771" t="s">
        <v>16000</v>
      </c>
      <c r="N4771" t="s">
        <v>64</v>
      </c>
      <c r="O4771" t="s">
        <v>46</v>
      </c>
      <c r="P4771" t="s">
        <v>46</v>
      </c>
      <c r="Y4771" t="s">
        <v>16004</v>
      </c>
    </row>
    <row r="4772" spans="1:25">
      <c r="A4772" t="s">
        <v>16005</v>
      </c>
      <c r="B4772" t="s">
        <v>16006</v>
      </c>
      <c r="D4772" t="s">
        <v>40</v>
      </c>
      <c r="E4772" t="s">
        <v>41</v>
      </c>
      <c r="J4772" t="s">
        <v>264</v>
      </c>
      <c r="K4772" t="s">
        <v>265</v>
      </c>
      <c r="L4772">
        <v>9</v>
      </c>
      <c r="M4772" t="s">
        <v>16000</v>
      </c>
      <c r="N4772" t="s">
        <v>1478</v>
      </c>
      <c r="O4772" t="s">
        <v>46</v>
      </c>
      <c r="P4772" t="s">
        <v>46</v>
      </c>
      <c r="Y4772" t="s">
        <v>16007</v>
      </c>
    </row>
    <row r="4773" spans="1:25">
      <c r="A4773" t="s">
        <v>16008</v>
      </c>
      <c r="B4773" t="s">
        <v>16009</v>
      </c>
      <c r="D4773" t="s">
        <v>40</v>
      </c>
      <c r="E4773" t="s">
        <v>41</v>
      </c>
      <c r="J4773" t="s">
        <v>182</v>
      </c>
      <c r="K4773" t="s">
        <v>183</v>
      </c>
      <c r="L4773">
        <v>9</v>
      </c>
      <c r="M4773" t="s">
        <v>16000</v>
      </c>
      <c r="N4773" t="s">
        <v>64</v>
      </c>
      <c r="O4773" t="s">
        <v>46</v>
      </c>
      <c r="P4773" t="s">
        <v>46</v>
      </c>
      <c r="Y4773" t="s">
        <v>16010</v>
      </c>
    </row>
    <row r="4774" spans="1:25">
      <c r="A4774" t="s">
        <v>16011</v>
      </c>
      <c r="B4774" t="s">
        <v>16012</v>
      </c>
      <c r="D4774" t="s">
        <v>40</v>
      </c>
      <c r="E4774" t="s">
        <v>41</v>
      </c>
      <c r="J4774" t="s">
        <v>76</v>
      </c>
      <c r="K4774" t="s">
        <v>77</v>
      </c>
      <c r="L4774">
        <v>9</v>
      </c>
      <c r="M4774" t="s">
        <v>16000</v>
      </c>
      <c r="N4774" t="s">
        <v>64</v>
      </c>
      <c r="O4774" t="s">
        <v>46</v>
      </c>
      <c r="P4774" t="s">
        <v>46</v>
      </c>
      <c r="Y4774" t="s">
        <v>16013</v>
      </c>
    </row>
    <row r="4775" spans="1:25">
      <c r="A4775" t="s">
        <v>16014</v>
      </c>
      <c r="B4775" t="s">
        <v>16015</v>
      </c>
      <c r="D4775" t="s">
        <v>40</v>
      </c>
      <c r="E4775" t="s">
        <v>41</v>
      </c>
      <c r="J4775" t="s">
        <v>76</v>
      </c>
      <c r="K4775" t="s">
        <v>77</v>
      </c>
      <c r="L4775">
        <v>10</v>
      </c>
      <c r="M4775" t="s">
        <v>16016</v>
      </c>
      <c r="N4775" t="s">
        <v>64</v>
      </c>
      <c r="O4775" t="s">
        <v>46</v>
      </c>
      <c r="P4775" t="s">
        <v>46</v>
      </c>
      <c r="Y4775" t="s">
        <v>16017</v>
      </c>
    </row>
    <row r="4776" spans="1:25">
      <c r="A4776" t="s">
        <v>16018</v>
      </c>
      <c r="B4776" t="s">
        <v>16019</v>
      </c>
      <c r="D4776" t="s">
        <v>40</v>
      </c>
      <c r="E4776" t="s">
        <v>41</v>
      </c>
      <c r="J4776" t="s">
        <v>76</v>
      </c>
      <c r="K4776" t="s">
        <v>77</v>
      </c>
      <c r="L4776">
        <v>9</v>
      </c>
      <c r="M4776" t="s">
        <v>16016</v>
      </c>
      <c r="N4776" t="s">
        <v>64</v>
      </c>
      <c r="O4776" t="s">
        <v>46</v>
      </c>
      <c r="P4776" t="s">
        <v>46</v>
      </c>
      <c r="Y4776" t="s">
        <v>16020</v>
      </c>
    </row>
    <row r="4777" spans="1:25">
      <c r="A4777" t="s">
        <v>16021</v>
      </c>
      <c r="B4777" t="s">
        <v>16022</v>
      </c>
      <c r="D4777" t="s">
        <v>40</v>
      </c>
      <c r="E4777" t="s">
        <v>41</v>
      </c>
      <c r="J4777" t="s">
        <v>182</v>
      </c>
      <c r="K4777" t="s">
        <v>183</v>
      </c>
      <c r="L4777">
        <v>9</v>
      </c>
      <c r="M4777" t="s">
        <v>16016</v>
      </c>
      <c r="N4777" t="s">
        <v>64</v>
      </c>
      <c r="O4777" t="s">
        <v>46</v>
      </c>
      <c r="P4777" t="s">
        <v>46</v>
      </c>
      <c r="Y4777" t="s">
        <v>16023</v>
      </c>
    </row>
    <row r="4778" spans="1:25">
      <c r="A4778" t="s">
        <v>16024</v>
      </c>
      <c r="B4778" t="s">
        <v>16025</v>
      </c>
      <c r="D4778" t="s">
        <v>40</v>
      </c>
      <c r="E4778" t="s">
        <v>41</v>
      </c>
      <c r="J4778" t="s">
        <v>182</v>
      </c>
      <c r="K4778" t="s">
        <v>183</v>
      </c>
      <c r="L4778">
        <v>9</v>
      </c>
      <c r="M4778" t="s">
        <v>16016</v>
      </c>
      <c r="N4778" t="s">
        <v>64</v>
      </c>
      <c r="O4778" t="s">
        <v>46</v>
      </c>
      <c r="P4778" t="s">
        <v>46</v>
      </c>
      <c r="Y4778" t="s">
        <v>16026</v>
      </c>
    </row>
    <row r="4779" spans="1:25">
      <c r="A4779" t="s">
        <v>16027</v>
      </c>
      <c r="B4779" t="s">
        <v>16028</v>
      </c>
      <c r="D4779" t="s">
        <v>40</v>
      </c>
      <c r="E4779" t="s">
        <v>41</v>
      </c>
      <c r="J4779" t="s">
        <v>182</v>
      </c>
      <c r="K4779" t="s">
        <v>183</v>
      </c>
      <c r="L4779">
        <v>9</v>
      </c>
      <c r="M4779" t="s">
        <v>16029</v>
      </c>
      <c r="N4779" t="s">
        <v>64</v>
      </c>
      <c r="O4779" t="s">
        <v>46</v>
      </c>
      <c r="P4779" t="s">
        <v>46</v>
      </c>
      <c r="Y4779" t="s">
        <v>16030</v>
      </c>
    </row>
    <row r="4780" spans="1:25">
      <c r="A4780" t="s">
        <v>16031</v>
      </c>
      <c r="B4780" t="s">
        <v>16032</v>
      </c>
      <c r="D4780" t="s">
        <v>40</v>
      </c>
      <c r="E4780" t="s">
        <v>41</v>
      </c>
      <c r="J4780" t="s">
        <v>76</v>
      </c>
      <c r="K4780" t="s">
        <v>77</v>
      </c>
      <c r="L4780">
        <v>9</v>
      </c>
      <c r="M4780" t="s">
        <v>16029</v>
      </c>
      <c r="N4780" t="s">
        <v>64</v>
      </c>
      <c r="O4780" t="s">
        <v>46</v>
      </c>
      <c r="P4780" t="s">
        <v>46</v>
      </c>
      <c r="Y4780" t="s">
        <v>16033</v>
      </c>
    </row>
    <row r="4781" spans="1:25">
      <c r="A4781" t="s">
        <v>16034</v>
      </c>
      <c r="B4781" t="s">
        <v>16035</v>
      </c>
      <c r="D4781" t="s">
        <v>40</v>
      </c>
      <c r="E4781" t="s">
        <v>41</v>
      </c>
      <c r="J4781" t="s">
        <v>76</v>
      </c>
      <c r="K4781" t="s">
        <v>77</v>
      </c>
      <c r="L4781">
        <v>9</v>
      </c>
      <c r="M4781" t="s">
        <v>16029</v>
      </c>
      <c r="N4781" t="s">
        <v>64</v>
      </c>
      <c r="O4781" t="s">
        <v>46</v>
      </c>
      <c r="P4781" t="s">
        <v>46</v>
      </c>
      <c r="Y4781" t="s">
        <v>16036</v>
      </c>
    </row>
    <row r="4782" spans="1:25">
      <c r="A4782" t="s">
        <v>16037</v>
      </c>
      <c r="B4782" t="s">
        <v>16038</v>
      </c>
      <c r="D4782" t="s">
        <v>40</v>
      </c>
      <c r="E4782" t="s">
        <v>41</v>
      </c>
      <c r="J4782" t="s">
        <v>182</v>
      </c>
      <c r="K4782" t="s">
        <v>183</v>
      </c>
      <c r="L4782">
        <v>9</v>
      </c>
      <c r="M4782" t="s">
        <v>16029</v>
      </c>
      <c r="N4782" t="s">
        <v>64</v>
      </c>
      <c r="O4782" t="s">
        <v>46</v>
      </c>
      <c r="P4782" t="s">
        <v>46</v>
      </c>
      <c r="Y4782" t="s">
        <v>16039</v>
      </c>
    </row>
    <row r="4783" spans="1:25">
      <c r="A4783" t="s">
        <v>16040</v>
      </c>
      <c r="B4783" t="s">
        <v>16041</v>
      </c>
      <c r="D4783" t="s">
        <v>40</v>
      </c>
      <c r="E4783" t="s">
        <v>41</v>
      </c>
      <c r="J4783" t="s">
        <v>182</v>
      </c>
      <c r="K4783" t="s">
        <v>183</v>
      </c>
      <c r="L4783">
        <v>9</v>
      </c>
      <c r="M4783" t="s">
        <v>16029</v>
      </c>
      <c r="N4783" t="s">
        <v>64</v>
      </c>
      <c r="O4783" t="s">
        <v>46</v>
      </c>
      <c r="P4783" t="s">
        <v>46</v>
      </c>
      <c r="Y4783" t="s">
        <v>16042</v>
      </c>
    </row>
    <row r="4784" spans="1:25">
      <c r="A4784" t="s">
        <v>16043</v>
      </c>
      <c r="B4784" t="s">
        <v>16044</v>
      </c>
      <c r="D4784" t="s">
        <v>40</v>
      </c>
      <c r="E4784" t="s">
        <v>41</v>
      </c>
      <c r="J4784" t="s">
        <v>182</v>
      </c>
      <c r="K4784" t="s">
        <v>183</v>
      </c>
      <c r="L4784">
        <v>9</v>
      </c>
      <c r="M4784" t="s">
        <v>16045</v>
      </c>
      <c r="N4784" t="s">
        <v>64</v>
      </c>
      <c r="O4784" t="s">
        <v>46</v>
      </c>
      <c r="P4784" t="s">
        <v>46</v>
      </c>
      <c r="Y4784" t="s">
        <v>16046</v>
      </c>
    </row>
    <row r="4785" spans="1:25">
      <c r="A4785" t="s">
        <v>16047</v>
      </c>
      <c r="B4785" t="s">
        <v>16048</v>
      </c>
      <c r="D4785" t="s">
        <v>40</v>
      </c>
      <c r="E4785" t="s">
        <v>41</v>
      </c>
      <c r="J4785" t="s">
        <v>182</v>
      </c>
      <c r="K4785" t="s">
        <v>183</v>
      </c>
      <c r="L4785">
        <v>9</v>
      </c>
      <c r="M4785" t="s">
        <v>16045</v>
      </c>
      <c r="N4785" t="s">
        <v>64</v>
      </c>
      <c r="O4785" t="s">
        <v>46</v>
      </c>
      <c r="P4785" t="s">
        <v>46</v>
      </c>
      <c r="Y4785" t="s">
        <v>16049</v>
      </c>
    </row>
    <row r="4786" spans="1:25">
      <c r="A4786" t="s">
        <v>16050</v>
      </c>
      <c r="B4786" t="s">
        <v>16051</v>
      </c>
      <c r="D4786" t="s">
        <v>40</v>
      </c>
      <c r="E4786" t="s">
        <v>41</v>
      </c>
      <c r="J4786" t="s">
        <v>182</v>
      </c>
      <c r="K4786" t="s">
        <v>183</v>
      </c>
      <c r="L4786">
        <v>9</v>
      </c>
      <c r="M4786" t="s">
        <v>16045</v>
      </c>
      <c r="N4786" t="s">
        <v>64</v>
      </c>
      <c r="O4786" t="s">
        <v>46</v>
      </c>
      <c r="P4786" t="s">
        <v>46</v>
      </c>
      <c r="Y4786" t="s">
        <v>16052</v>
      </c>
    </row>
    <row r="4787" spans="1:25">
      <c r="A4787" t="s">
        <v>16053</v>
      </c>
      <c r="B4787" t="s">
        <v>16054</v>
      </c>
      <c r="D4787" t="s">
        <v>40</v>
      </c>
      <c r="E4787" t="s">
        <v>41</v>
      </c>
      <c r="J4787" t="s">
        <v>182</v>
      </c>
      <c r="K4787" t="s">
        <v>183</v>
      </c>
      <c r="L4787">
        <v>9</v>
      </c>
      <c r="M4787" t="s">
        <v>16045</v>
      </c>
      <c r="N4787" t="s">
        <v>64</v>
      </c>
      <c r="O4787" t="s">
        <v>46</v>
      </c>
      <c r="P4787" t="s">
        <v>46</v>
      </c>
      <c r="Y4787" t="s">
        <v>16055</v>
      </c>
    </row>
    <row r="4788" spans="1:25">
      <c r="A4788" t="s">
        <v>16056</v>
      </c>
      <c r="B4788" t="s">
        <v>16057</v>
      </c>
      <c r="D4788" t="s">
        <v>40</v>
      </c>
      <c r="E4788" t="s">
        <v>41</v>
      </c>
      <c r="J4788" t="s">
        <v>182</v>
      </c>
      <c r="K4788" t="s">
        <v>183</v>
      </c>
      <c r="L4788">
        <v>9</v>
      </c>
      <c r="M4788" t="s">
        <v>16045</v>
      </c>
      <c r="N4788" t="s">
        <v>64</v>
      </c>
      <c r="O4788" t="s">
        <v>46</v>
      </c>
      <c r="P4788" t="s">
        <v>46</v>
      </c>
      <c r="Y4788" t="s">
        <v>16058</v>
      </c>
    </row>
    <row r="4789" spans="1:25">
      <c r="A4789" t="s">
        <v>16059</v>
      </c>
      <c r="B4789" t="s">
        <v>16060</v>
      </c>
      <c r="D4789" t="s">
        <v>40</v>
      </c>
      <c r="E4789" t="s">
        <v>41</v>
      </c>
      <c r="J4789" t="s">
        <v>182</v>
      </c>
      <c r="K4789" t="s">
        <v>183</v>
      </c>
      <c r="L4789">
        <v>9</v>
      </c>
      <c r="M4789" t="s">
        <v>16045</v>
      </c>
      <c r="N4789" t="s">
        <v>64</v>
      </c>
      <c r="O4789" t="s">
        <v>46</v>
      </c>
      <c r="P4789" t="s">
        <v>46</v>
      </c>
      <c r="Y4789" t="s">
        <v>16061</v>
      </c>
    </row>
    <row r="4790" spans="1:25">
      <c r="A4790" t="s">
        <v>16062</v>
      </c>
      <c r="B4790" t="s">
        <v>16063</v>
      </c>
      <c r="D4790" t="s">
        <v>40</v>
      </c>
      <c r="E4790" t="s">
        <v>41</v>
      </c>
      <c r="J4790" t="s">
        <v>76</v>
      </c>
      <c r="K4790" t="s">
        <v>77</v>
      </c>
      <c r="L4790">
        <v>9</v>
      </c>
      <c r="M4790" t="s">
        <v>16045</v>
      </c>
      <c r="N4790" t="s">
        <v>64</v>
      </c>
      <c r="O4790" t="s">
        <v>46</v>
      </c>
      <c r="P4790" t="s">
        <v>46</v>
      </c>
      <c r="Y4790" t="s">
        <v>16064</v>
      </c>
    </row>
    <row r="4791" spans="1:25">
      <c r="A4791" t="s">
        <v>16065</v>
      </c>
      <c r="B4791" t="s">
        <v>16066</v>
      </c>
      <c r="D4791" t="s">
        <v>40</v>
      </c>
      <c r="E4791" t="s">
        <v>41</v>
      </c>
      <c r="J4791" t="s">
        <v>76</v>
      </c>
      <c r="K4791" t="s">
        <v>77</v>
      </c>
      <c r="L4791">
        <v>9</v>
      </c>
      <c r="M4791" t="s">
        <v>16045</v>
      </c>
      <c r="N4791" t="s">
        <v>64</v>
      </c>
      <c r="O4791" t="s">
        <v>46</v>
      </c>
      <c r="P4791" t="s">
        <v>46</v>
      </c>
      <c r="Y4791" t="s">
        <v>16067</v>
      </c>
    </row>
    <row r="4792" spans="1:25">
      <c r="A4792" t="s">
        <v>16068</v>
      </c>
      <c r="B4792" t="s">
        <v>16069</v>
      </c>
      <c r="D4792" t="s">
        <v>40</v>
      </c>
      <c r="E4792" t="s">
        <v>41</v>
      </c>
      <c r="J4792" t="s">
        <v>42</v>
      </c>
      <c r="K4792" t="s">
        <v>43</v>
      </c>
      <c r="L4792">
        <v>9</v>
      </c>
      <c r="M4792" t="s">
        <v>16045</v>
      </c>
      <c r="N4792" t="s">
        <v>1550</v>
      </c>
      <c r="O4792" t="s">
        <v>46</v>
      </c>
      <c r="P4792" t="s">
        <v>46</v>
      </c>
      <c r="Y4792" t="s">
        <v>16070</v>
      </c>
    </row>
    <row r="4793" spans="1:25">
      <c r="A4793" t="s">
        <v>16071</v>
      </c>
      <c r="B4793" t="s">
        <v>16072</v>
      </c>
      <c r="D4793" t="s">
        <v>40</v>
      </c>
      <c r="E4793" t="s">
        <v>41</v>
      </c>
      <c r="J4793" t="s">
        <v>42</v>
      </c>
      <c r="K4793" t="s">
        <v>43</v>
      </c>
      <c r="L4793">
        <v>9</v>
      </c>
      <c r="M4793" t="s">
        <v>16045</v>
      </c>
      <c r="N4793" t="s">
        <v>509</v>
      </c>
      <c r="O4793" t="s">
        <v>46</v>
      </c>
      <c r="P4793" t="s">
        <v>46</v>
      </c>
      <c r="Y4793" t="s">
        <v>16073</v>
      </c>
    </row>
    <row r="4794" spans="1:25">
      <c r="A4794" t="s">
        <v>16074</v>
      </c>
      <c r="B4794" t="s">
        <v>16075</v>
      </c>
      <c r="D4794" t="s">
        <v>40</v>
      </c>
      <c r="E4794" t="s">
        <v>41</v>
      </c>
      <c r="J4794" t="s">
        <v>182</v>
      </c>
      <c r="K4794" t="s">
        <v>183</v>
      </c>
      <c r="L4794">
        <v>9</v>
      </c>
      <c r="M4794" t="s">
        <v>16076</v>
      </c>
      <c r="N4794" t="s">
        <v>64</v>
      </c>
      <c r="O4794" t="s">
        <v>46</v>
      </c>
      <c r="P4794" t="s">
        <v>46</v>
      </c>
      <c r="Y4794" t="s">
        <v>16077</v>
      </c>
    </row>
    <row r="4795" spans="1:25">
      <c r="A4795" t="s">
        <v>16078</v>
      </c>
      <c r="B4795" t="s">
        <v>16079</v>
      </c>
      <c r="D4795" t="s">
        <v>40</v>
      </c>
      <c r="E4795" t="s">
        <v>41</v>
      </c>
      <c r="J4795" t="s">
        <v>68</v>
      </c>
      <c r="K4795" t="s">
        <v>69</v>
      </c>
      <c r="L4795">
        <v>9</v>
      </c>
      <c r="M4795" t="s">
        <v>16080</v>
      </c>
      <c r="N4795" t="s">
        <v>64</v>
      </c>
      <c r="O4795" t="s">
        <v>46</v>
      </c>
      <c r="P4795" t="s">
        <v>46</v>
      </c>
      <c r="Y4795" t="s">
        <v>16081</v>
      </c>
    </row>
    <row r="4796" spans="1:25">
      <c r="A4796" t="s">
        <v>16082</v>
      </c>
      <c r="B4796" t="s">
        <v>16083</v>
      </c>
      <c r="D4796" t="s">
        <v>40</v>
      </c>
      <c r="E4796" t="s">
        <v>41</v>
      </c>
      <c r="J4796" t="s">
        <v>182</v>
      </c>
      <c r="K4796" t="s">
        <v>183</v>
      </c>
      <c r="L4796">
        <v>9</v>
      </c>
      <c r="M4796" t="s">
        <v>16084</v>
      </c>
      <c r="N4796" t="s">
        <v>64</v>
      </c>
      <c r="O4796" t="s">
        <v>46</v>
      </c>
      <c r="P4796" t="s">
        <v>46</v>
      </c>
      <c r="Y4796" t="s">
        <v>16085</v>
      </c>
    </row>
    <row r="4797" spans="1:25">
      <c r="A4797" t="s">
        <v>16086</v>
      </c>
      <c r="B4797" t="s">
        <v>16087</v>
      </c>
      <c r="D4797" t="s">
        <v>40</v>
      </c>
      <c r="E4797" t="s">
        <v>41</v>
      </c>
      <c r="J4797" t="s">
        <v>182</v>
      </c>
      <c r="K4797" t="s">
        <v>183</v>
      </c>
      <c r="L4797">
        <v>9</v>
      </c>
      <c r="M4797" t="s">
        <v>16084</v>
      </c>
      <c r="N4797" t="s">
        <v>64</v>
      </c>
      <c r="O4797" t="s">
        <v>46</v>
      </c>
      <c r="P4797" t="s">
        <v>46</v>
      </c>
      <c r="Y4797" t="s">
        <v>16088</v>
      </c>
    </row>
    <row r="4798" spans="1:25">
      <c r="A4798" t="s">
        <v>16089</v>
      </c>
      <c r="B4798" t="s">
        <v>16090</v>
      </c>
      <c r="D4798" t="s">
        <v>40</v>
      </c>
      <c r="E4798" t="s">
        <v>41</v>
      </c>
      <c r="J4798" t="s">
        <v>182</v>
      </c>
      <c r="K4798" t="s">
        <v>183</v>
      </c>
      <c r="L4798">
        <v>9</v>
      </c>
      <c r="M4798" t="s">
        <v>16091</v>
      </c>
      <c r="N4798" t="s">
        <v>64</v>
      </c>
      <c r="O4798" t="s">
        <v>46</v>
      </c>
      <c r="P4798" t="s">
        <v>46</v>
      </c>
      <c r="Y4798" t="s">
        <v>16092</v>
      </c>
    </row>
    <row r="4799" spans="1:25">
      <c r="A4799" t="s">
        <v>16093</v>
      </c>
      <c r="B4799" t="s">
        <v>16094</v>
      </c>
      <c r="D4799" t="s">
        <v>40</v>
      </c>
      <c r="E4799" t="s">
        <v>41</v>
      </c>
      <c r="J4799" t="s">
        <v>76</v>
      </c>
      <c r="K4799" t="s">
        <v>77</v>
      </c>
      <c r="L4799">
        <v>9</v>
      </c>
      <c r="M4799" t="s">
        <v>16091</v>
      </c>
      <c r="N4799" t="s">
        <v>64</v>
      </c>
      <c r="O4799" t="s">
        <v>46</v>
      </c>
      <c r="P4799" t="s">
        <v>46</v>
      </c>
      <c r="Y4799" t="s">
        <v>16095</v>
      </c>
    </row>
    <row r="4800" spans="1:25">
      <c r="A4800" t="s">
        <v>16096</v>
      </c>
      <c r="B4800" t="s">
        <v>16097</v>
      </c>
      <c r="D4800" t="s">
        <v>40</v>
      </c>
      <c r="E4800" t="s">
        <v>41</v>
      </c>
      <c r="J4800" t="s">
        <v>42</v>
      </c>
      <c r="K4800" t="s">
        <v>43</v>
      </c>
      <c r="L4800">
        <v>9</v>
      </c>
      <c r="M4800" t="s">
        <v>16091</v>
      </c>
      <c r="N4800" t="s">
        <v>617</v>
      </c>
      <c r="O4800" t="s">
        <v>46</v>
      </c>
      <c r="P4800" t="s">
        <v>46</v>
      </c>
      <c r="Y4800" t="s">
        <v>16098</v>
      </c>
    </row>
    <row r="4801" spans="1:25">
      <c r="A4801" t="s">
        <v>16099</v>
      </c>
      <c r="B4801" t="s">
        <v>16100</v>
      </c>
      <c r="D4801" t="s">
        <v>40</v>
      </c>
      <c r="E4801" t="s">
        <v>41</v>
      </c>
      <c r="J4801" t="s">
        <v>182</v>
      </c>
      <c r="K4801" t="s">
        <v>183</v>
      </c>
      <c r="L4801">
        <v>9</v>
      </c>
      <c r="M4801" t="s">
        <v>16091</v>
      </c>
      <c r="N4801" t="s">
        <v>64</v>
      </c>
      <c r="O4801" t="s">
        <v>46</v>
      </c>
      <c r="P4801" t="s">
        <v>46</v>
      </c>
      <c r="Y4801" t="s">
        <v>16101</v>
      </c>
    </row>
    <row r="4802" spans="1:25">
      <c r="A4802" t="s">
        <v>16102</v>
      </c>
      <c r="B4802" t="s">
        <v>16103</v>
      </c>
      <c r="D4802" t="s">
        <v>40</v>
      </c>
      <c r="E4802" t="s">
        <v>41</v>
      </c>
      <c r="J4802" t="s">
        <v>42</v>
      </c>
      <c r="K4802" t="s">
        <v>43</v>
      </c>
      <c r="L4802">
        <v>9</v>
      </c>
      <c r="M4802" t="s">
        <v>16091</v>
      </c>
      <c r="N4802" t="s">
        <v>178</v>
      </c>
      <c r="O4802" t="s">
        <v>46</v>
      </c>
      <c r="P4802" t="s">
        <v>46</v>
      </c>
      <c r="Y4802" t="s">
        <v>16104</v>
      </c>
    </row>
    <row r="4803" spans="1:25">
      <c r="A4803" t="s">
        <v>16105</v>
      </c>
      <c r="B4803" t="s">
        <v>16106</v>
      </c>
      <c r="D4803" t="s">
        <v>40</v>
      </c>
      <c r="E4803" t="s">
        <v>41</v>
      </c>
      <c r="J4803" t="s">
        <v>68</v>
      </c>
      <c r="K4803" t="s">
        <v>69</v>
      </c>
      <c r="L4803">
        <v>9</v>
      </c>
      <c r="M4803" t="s">
        <v>16091</v>
      </c>
      <c r="N4803" t="s">
        <v>64</v>
      </c>
      <c r="O4803" t="s">
        <v>46</v>
      </c>
      <c r="P4803" t="s">
        <v>46</v>
      </c>
      <c r="Y4803" t="s">
        <v>16107</v>
      </c>
    </row>
    <row r="4804" spans="1:25">
      <c r="A4804" t="s">
        <v>16108</v>
      </c>
      <c r="B4804" t="s">
        <v>16109</v>
      </c>
      <c r="D4804" t="s">
        <v>40</v>
      </c>
      <c r="E4804" t="s">
        <v>41</v>
      </c>
      <c r="J4804" t="s">
        <v>182</v>
      </c>
      <c r="K4804" t="s">
        <v>183</v>
      </c>
      <c r="L4804">
        <v>9</v>
      </c>
      <c r="M4804" t="s">
        <v>16110</v>
      </c>
      <c r="N4804" t="s">
        <v>64</v>
      </c>
      <c r="O4804" t="s">
        <v>46</v>
      </c>
      <c r="P4804" t="s">
        <v>46</v>
      </c>
      <c r="Y4804" t="s">
        <v>16111</v>
      </c>
    </row>
    <row r="4805" spans="1:25">
      <c r="A4805" t="s">
        <v>16112</v>
      </c>
      <c r="B4805" t="s">
        <v>16113</v>
      </c>
      <c r="D4805" t="s">
        <v>40</v>
      </c>
      <c r="E4805" t="s">
        <v>41</v>
      </c>
      <c r="J4805" t="s">
        <v>182</v>
      </c>
      <c r="K4805" t="s">
        <v>183</v>
      </c>
      <c r="L4805">
        <v>9</v>
      </c>
      <c r="M4805" t="s">
        <v>16110</v>
      </c>
      <c r="N4805" t="s">
        <v>64</v>
      </c>
      <c r="O4805" t="s">
        <v>46</v>
      </c>
      <c r="P4805" t="s">
        <v>46</v>
      </c>
      <c r="Y4805" t="s">
        <v>16114</v>
      </c>
    </row>
    <row r="4806" spans="1:25">
      <c r="A4806" t="s">
        <v>16115</v>
      </c>
      <c r="B4806" t="s">
        <v>16116</v>
      </c>
      <c r="D4806" t="s">
        <v>40</v>
      </c>
      <c r="E4806" t="s">
        <v>41</v>
      </c>
      <c r="J4806" t="s">
        <v>182</v>
      </c>
      <c r="K4806" t="s">
        <v>183</v>
      </c>
      <c r="L4806">
        <v>9</v>
      </c>
      <c r="M4806" t="s">
        <v>16110</v>
      </c>
      <c r="N4806" t="s">
        <v>64</v>
      </c>
      <c r="O4806" t="s">
        <v>46</v>
      </c>
      <c r="P4806" t="s">
        <v>46</v>
      </c>
      <c r="Y4806" t="s">
        <v>16117</v>
      </c>
    </row>
    <row r="4807" spans="1:25">
      <c r="A4807" t="s">
        <v>16118</v>
      </c>
      <c r="B4807" t="s">
        <v>16119</v>
      </c>
      <c r="D4807" t="s">
        <v>40</v>
      </c>
      <c r="E4807" t="s">
        <v>41</v>
      </c>
      <c r="J4807" t="s">
        <v>76</v>
      </c>
      <c r="K4807" t="s">
        <v>77</v>
      </c>
      <c r="L4807">
        <v>9</v>
      </c>
      <c r="M4807" t="s">
        <v>16120</v>
      </c>
      <c r="N4807" t="s">
        <v>64</v>
      </c>
      <c r="O4807" t="s">
        <v>46</v>
      </c>
      <c r="P4807" t="s">
        <v>46</v>
      </c>
      <c r="Y4807" t="s">
        <v>16121</v>
      </c>
    </row>
    <row r="4808" spans="1:25">
      <c r="A4808" t="s">
        <v>16122</v>
      </c>
      <c r="B4808" t="s">
        <v>16123</v>
      </c>
      <c r="D4808" t="s">
        <v>40</v>
      </c>
      <c r="E4808" t="s">
        <v>41</v>
      </c>
      <c r="J4808" t="s">
        <v>182</v>
      </c>
      <c r="K4808" t="s">
        <v>183</v>
      </c>
      <c r="L4808">
        <v>9</v>
      </c>
      <c r="M4808" t="s">
        <v>16120</v>
      </c>
      <c r="N4808" t="s">
        <v>64</v>
      </c>
      <c r="O4808" t="s">
        <v>46</v>
      </c>
      <c r="P4808" t="s">
        <v>46</v>
      </c>
      <c r="Y4808" t="s">
        <v>16124</v>
      </c>
    </row>
    <row r="4809" spans="1:25">
      <c r="A4809" t="s">
        <v>16125</v>
      </c>
      <c r="B4809" t="s">
        <v>16126</v>
      </c>
      <c r="D4809" t="s">
        <v>40</v>
      </c>
      <c r="E4809" t="s">
        <v>41</v>
      </c>
      <c r="J4809" t="s">
        <v>182</v>
      </c>
      <c r="K4809" t="s">
        <v>183</v>
      </c>
      <c r="L4809">
        <v>9</v>
      </c>
      <c r="M4809" t="s">
        <v>16127</v>
      </c>
      <c r="N4809" t="s">
        <v>64</v>
      </c>
      <c r="O4809" t="s">
        <v>46</v>
      </c>
      <c r="P4809" t="s">
        <v>46</v>
      </c>
      <c r="Y4809" t="s">
        <v>16128</v>
      </c>
    </row>
    <row r="4810" spans="1:25">
      <c r="A4810" t="s">
        <v>16129</v>
      </c>
      <c r="B4810" t="s">
        <v>16130</v>
      </c>
      <c r="D4810" t="s">
        <v>40</v>
      </c>
      <c r="E4810" t="s">
        <v>41</v>
      </c>
      <c r="J4810" t="s">
        <v>182</v>
      </c>
      <c r="K4810" t="s">
        <v>183</v>
      </c>
      <c r="L4810">
        <v>9</v>
      </c>
      <c r="M4810" t="s">
        <v>16127</v>
      </c>
      <c r="N4810" t="s">
        <v>64</v>
      </c>
      <c r="O4810" t="s">
        <v>46</v>
      </c>
      <c r="P4810" t="s">
        <v>46</v>
      </c>
      <c r="Y4810" t="s">
        <v>16131</v>
      </c>
    </row>
    <row r="4811" spans="1:25">
      <c r="A4811" t="s">
        <v>16132</v>
      </c>
      <c r="B4811" t="s">
        <v>16133</v>
      </c>
      <c r="D4811" t="s">
        <v>40</v>
      </c>
      <c r="E4811" t="s">
        <v>41</v>
      </c>
      <c r="J4811" t="s">
        <v>248</v>
      </c>
      <c r="K4811" t="s">
        <v>249</v>
      </c>
      <c r="L4811">
        <v>9</v>
      </c>
      <c r="M4811" t="s">
        <v>16127</v>
      </c>
      <c r="N4811" t="s">
        <v>373</v>
      </c>
      <c r="O4811" t="s">
        <v>46</v>
      </c>
      <c r="P4811" t="s">
        <v>46</v>
      </c>
      <c r="Y4811" t="s">
        <v>16134</v>
      </c>
    </row>
    <row r="4812" spans="1:25">
      <c r="A4812" t="s">
        <v>16135</v>
      </c>
      <c r="B4812" t="s">
        <v>16136</v>
      </c>
      <c r="D4812" t="s">
        <v>40</v>
      </c>
      <c r="E4812" t="s">
        <v>41</v>
      </c>
      <c r="J4812" t="s">
        <v>76</v>
      </c>
      <c r="K4812" t="s">
        <v>77</v>
      </c>
      <c r="L4812">
        <v>9</v>
      </c>
      <c r="M4812" t="s">
        <v>16127</v>
      </c>
      <c r="N4812" t="s">
        <v>64</v>
      </c>
      <c r="O4812" t="s">
        <v>46</v>
      </c>
      <c r="P4812" t="s">
        <v>46</v>
      </c>
      <c r="Y4812" t="s">
        <v>16137</v>
      </c>
    </row>
    <row r="4813" spans="1:25">
      <c r="A4813" t="s">
        <v>16138</v>
      </c>
      <c r="B4813" t="s">
        <v>16139</v>
      </c>
      <c r="D4813" t="s">
        <v>40</v>
      </c>
      <c r="E4813" t="s">
        <v>41</v>
      </c>
      <c r="J4813" t="s">
        <v>182</v>
      </c>
      <c r="K4813" t="s">
        <v>183</v>
      </c>
      <c r="L4813">
        <v>9</v>
      </c>
      <c r="M4813" t="s">
        <v>16127</v>
      </c>
      <c r="N4813" t="s">
        <v>64</v>
      </c>
      <c r="O4813" t="s">
        <v>46</v>
      </c>
      <c r="P4813" t="s">
        <v>46</v>
      </c>
      <c r="Y4813" t="s">
        <v>16140</v>
      </c>
    </row>
    <row r="4814" spans="1:25">
      <c r="A4814" t="s">
        <v>16141</v>
      </c>
      <c r="B4814" t="s">
        <v>16142</v>
      </c>
      <c r="D4814" t="s">
        <v>40</v>
      </c>
      <c r="E4814" t="s">
        <v>41</v>
      </c>
      <c r="J4814" t="s">
        <v>76</v>
      </c>
      <c r="K4814" t="s">
        <v>77</v>
      </c>
      <c r="L4814">
        <v>9</v>
      </c>
      <c r="M4814" t="s">
        <v>16143</v>
      </c>
      <c r="N4814" t="s">
        <v>64</v>
      </c>
      <c r="O4814" t="s">
        <v>46</v>
      </c>
      <c r="P4814" t="s">
        <v>46</v>
      </c>
      <c r="Y4814" t="s">
        <v>16144</v>
      </c>
    </row>
    <row r="4815" spans="1:25">
      <c r="A4815" t="s">
        <v>16145</v>
      </c>
      <c r="B4815" t="s">
        <v>16146</v>
      </c>
      <c r="D4815" t="s">
        <v>40</v>
      </c>
      <c r="E4815" t="s">
        <v>41</v>
      </c>
      <c r="J4815" t="s">
        <v>182</v>
      </c>
      <c r="K4815" t="s">
        <v>183</v>
      </c>
      <c r="L4815">
        <v>9</v>
      </c>
      <c r="M4815" t="s">
        <v>16143</v>
      </c>
      <c r="N4815" t="s">
        <v>64</v>
      </c>
      <c r="O4815" t="s">
        <v>46</v>
      </c>
      <c r="P4815" t="s">
        <v>46</v>
      </c>
      <c r="Y4815" t="s">
        <v>16147</v>
      </c>
    </row>
    <row r="4816" spans="1:25">
      <c r="A4816" t="s">
        <v>16148</v>
      </c>
      <c r="B4816" t="s">
        <v>16149</v>
      </c>
      <c r="D4816" t="s">
        <v>40</v>
      </c>
      <c r="E4816" t="s">
        <v>41</v>
      </c>
      <c r="J4816" t="s">
        <v>76</v>
      </c>
      <c r="K4816" t="s">
        <v>77</v>
      </c>
      <c r="L4816">
        <v>9</v>
      </c>
      <c r="M4816" t="s">
        <v>16143</v>
      </c>
      <c r="N4816" t="s">
        <v>64</v>
      </c>
      <c r="O4816" t="s">
        <v>46</v>
      </c>
      <c r="P4816" t="s">
        <v>46</v>
      </c>
      <c r="Y4816" t="s">
        <v>16150</v>
      </c>
    </row>
    <row r="4817" spans="1:25">
      <c r="A4817" t="s">
        <v>16151</v>
      </c>
      <c r="B4817" t="s">
        <v>16152</v>
      </c>
      <c r="D4817" t="s">
        <v>40</v>
      </c>
      <c r="E4817" t="s">
        <v>41</v>
      </c>
      <c r="J4817" t="s">
        <v>182</v>
      </c>
      <c r="K4817" t="s">
        <v>183</v>
      </c>
      <c r="L4817">
        <v>9</v>
      </c>
      <c r="M4817" t="s">
        <v>16153</v>
      </c>
      <c r="N4817" t="s">
        <v>64</v>
      </c>
      <c r="O4817" t="s">
        <v>46</v>
      </c>
      <c r="P4817" t="s">
        <v>46</v>
      </c>
      <c r="Y4817" t="s">
        <v>16154</v>
      </c>
    </row>
    <row r="4818" spans="1:25">
      <c r="A4818" t="s">
        <v>16155</v>
      </c>
      <c r="B4818" t="s">
        <v>16156</v>
      </c>
      <c r="D4818" t="s">
        <v>40</v>
      </c>
      <c r="E4818" t="s">
        <v>41</v>
      </c>
      <c r="J4818" t="s">
        <v>76</v>
      </c>
      <c r="K4818" t="s">
        <v>77</v>
      </c>
      <c r="L4818">
        <v>9</v>
      </c>
      <c r="M4818" t="s">
        <v>16153</v>
      </c>
      <c r="N4818" t="s">
        <v>64</v>
      </c>
      <c r="O4818" t="s">
        <v>46</v>
      </c>
      <c r="P4818" t="s">
        <v>46</v>
      </c>
      <c r="Y4818" t="s">
        <v>16157</v>
      </c>
    </row>
    <row r="4819" spans="1:25">
      <c r="A4819" t="s">
        <v>16158</v>
      </c>
      <c r="B4819" t="s">
        <v>16159</v>
      </c>
      <c r="D4819" t="s">
        <v>40</v>
      </c>
      <c r="E4819" t="s">
        <v>41</v>
      </c>
      <c r="J4819" t="s">
        <v>68</v>
      </c>
      <c r="K4819" t="s">
        <v>69</v>
      </c>
      <c r="L4819">
        <v>9</v>
      </c>
      <c r="M4819" t="s">
        <v>16153</v>
      </c>
      <c r="N4819" t="s">
        <v>64</v>
      </c>
      <c r="O4819" t="s">
        <v>46</v>
      </c>
      <c r="P4819" t="s">
        <v>46</v>
      </c>
      <c r="Y4819" t="s">
        <v>16160</v>
      </c>
    </row>
    <row r="4820" spans="1:25">
      <c r="A4820" t="s">
        <v>16161</v>
      </c>
      <c r="B4820" t="s">
        <v>16162</v>
      </c>
      <c r="D4820" t="s">
        <v>40</v>
      </c>
      <c r="E4820" t="s">
        <v>41</v>
      </c>
      <c r="J4820" t="s">
        <v>182</v>
      </c>
      <c r="K4820" t="s">
        <v>183</v>
      </c>
      <c r="L4820">
        <v>9</v>
      </c>
      <c r="M4820" t="s">
        <v>16163</v>
      </c>
      <c r="N4820" t="s">
        <v>64</v>
      </c>
      <c r="O4820" t="s">
        <v>46</v>
      </c>
      <c r="P4820" t="s">
        <v>46</v>
      </c>
      <c r="Y4820" t="s">
        <v>16164</v>
      </c>
    </row>
    <row r="4821" spans="1:25">
      <c r="A4821" t="s">
        <v>16165</v>
      </c>
      <c r="B4821" t="s">
        <v>16166</v>
      </c>
      <c r="D4821" t="s">
        <v>40</v>
      </c>
      <c r="E4821" t="s">
        <v>41</v>
      </c>
      <c r="J4821" t="s">
        <v>76</v>
      </c>
      <c r="K4821" t="s">
        <v>77</v>
      </c>
      <c r="L4821">
        <v>9</v>
      </c>
      <c r="M4821" t="s">
        <v>16163</v>
      </c>
      <c r="N4821" t="s">
        <v>64</v>
      </c>
      <c r="O4821" t="s">
        <v>46</v>
      </c>
      <c r="P4821" t="s">
        <v>46</v>
      </c>
      <c r="Y4821" t="s">
        <v>16167</v>
      </c>
    </row>
    <row r="4822" spans="1:25">
      <c r="A4822" t="s">
        <v>16168</v>
      </c>
      <c r="B4822" t="s">
        <v>16169</v>
      </c>
      <c r="D4822" t="s">
        <v>40</v>
      </c>
      <c r="E4822" t="s">
        <v>41</v>
      </c>
      <c r="J4822" t="s">
        <v>182</v>
      </c>
      <c r="K4822" t="s">
        <v>183</v>
      </c>
      <c r="L4822">
        <v>9</v>
      </c>
      <c r="M4822" t="s">
        <v>16170</v>
      </c>
      <c r="N4822" t="s">
        <v>64</v>
      </c>
      <c r="O4822" t="s">
        <v>46</v>
      </c>
      <c r="P4822" t="s">
        <v>46</v>
      </c>
      <c r="Y4822" t="s">
        <v>16171</v>
      </c>
    </row>
    <row r="4823" spans="1:25">
      <c r="A4823" t="s">
        <v>16172</v>
      </c>
      <c r="B4823" t="s">
        <v>16173</v>
      </c>
      <c r="D4823" t="s">
        <v>40</v>
      </c>
      <c r="E4823" t="s">
        <v>41</v>
      </c>
      <c r="J4823" t="s">
        <v>182</v>
      </c>
      <c r="K4823" t="s">
        <v>183</v>
      </c>
      <c r="L4823">
        <v>9</v>
      </c>
      <c r="M4823" t="s">
        <v>16174</v>
      </c>
      <c r="N4823" t="s">
        <v>64</v>
      </c>
      <c r="O4823" t="s">
        <v>46</v>
      </c>
      <c r="P4823" t="s">
        <v>46</v>
      </c>
      <c r="Y4823" t="s">
        <v>16175</v>
      </c>
    </row>
    <row r="4824" spans="1:25">
      <c r="A4824" t="s">
        <v>16176</v>
      </c>
      <c r="B4824" t="s">
        <v>16177</v>
      </c>
      <c r="D4824" t="s">
        <v>40</v>
      </c>
      <c r="E4824" t="s">
        <v>41</v>
      </c>
      <c r="J4824" t="s">
        <v>76</v>
      </c>
      <c r="K4824" t="s">
        <v>77</v>
      </c>
      <c r="L4824">
        <v>9</v>
      </c>
      <c r="M4824" t="s">
        <v>16174</v>
      </c>
      <c r="N4824" t="s">
        <v>64</v>
      </c>
      <c r="O4824" t="s">
        <v>46</v>
      </c>
      <c r="P4824" t="s">
        <v>46</v>
      </c>
      <c r="Y4824" t="s">
        <v>16178</v>
      </c>
    </row>
    <row r="4825" spans="1:25">
      <c r="A4825" t="s">
        <v>16179</v>
      </c>
      <c r="B4825" t="s">
        <v>16180</v>
      </c>
      <c r="D4825" t="s">
        <v>40</v>
      </c>
      <c r="E4825" t="s">
        <v>41</v>
      </c>
      <c r="J4825" t="s">
        <v>182</v>
      </c>
      <c r="K4825" t="s">
        <v>183</v>
      </c>
      <c r="L4825">
        <v>9</v>
      </c>
      <c r="M4825" t="s">
        <v>16181</v>
      </c>
      <c r="N4825" t="s">
        <v>64</v>
      </c>
      <c r="O4825" t="s">
        <v>46</v>
      </c>
      <c r="P4825" t="s">
        <v>46</v>
      </c>
      <c r="Y4825" t="s">
        <v>16182</v>
      </c>
    </row>
    <row r="4826" spans="1:25">
      <c r="A4826" t="s">
        <v>16183</v>
      </c>
      <c r="B4826" t="s">
        <v>16184</v>
      </c>
      <c r="D4826" t="s">
        <v>40</v>
      </c>
      <c r="E4826" t="s">
        <v>41</v>
      </c>
      <c r="J4826" t="s">
        <v>182</v>
      </c>
      <c r="K4826" t="s">
        <v>183</v>
      </c>
      <c r="L4826">
        <v>9</v>
      </c>
      <c r="M4826" t="s">
        <v>16181</v>
      </c>
      <c r="N4826" t="s">
        <v>64</v>
      </c>
      <c r="O4826" t="s">
        <v>46</v>
      </c>
      <c r="P4826" t="s">
        <v>46</v>
      </c>
      <c r="Y4826" t="s">
        <v>16185</v>
      </c>
    </row>
    <row r="4827" spans="1:25">
      <c r="A4827" t="s">
        <v>16186</v>
      </c>
      <c r="B4827" t="s">
        <v>16187</v>
      </c>
      <c r="D4827" t="s">
        <v>40</v>
      </c>
      <c r="E4827" t="s">
        <v>41</v>
      </c>
      <c r="J4827" t="s">
        <v>76</v>
      </c>
      <c r="K4827" t="s">
        <v>77</v>
      </c>
      <c r="L4827">
        <v>9</v>
      </c>
      <c r="M4827" t="s">
        <v>16181</v>
      </c>
      <c r="N4827" t="s">
        <v>64</v>
      </c>
      <c r="O4827" t="s">
        <v>46</v>
      </c>
      <c r="P4827" t="s">
        <v>46</v>
      </c>
      <c r="Y4827" t="s">
        <v>16188</v>
      </c>
    </row>
    <row r="4828" spans="1:25">
      <c r="A4828" t="s">
        <v>16189</v>
      </c>
      <c r="B4828" t="s">
        <v>16190</v>
      </c>
      <c r="D4828" t="s">
        <v>40</v>
      </c>
      <c r="E4828" t="s">
        <v>41</v>
      </c>
      <c r="J4828" t="s">
        <v>76</v>
      </c>
      <c r="K4828" t="s">
        <v>77</v>
      </c>
      <c r="L4828">
        <v>9</v>
      </c>
      <c r="M4828" t="s">
        <v>16191</v>
      </c>
      <c r="N4828" t="s">
        <v>64</v>
      </c>
      <c r="O4828" t="s">
        <v>46</v>
      </c>
      <c r="P4828" t="s">
        <v>46</v>
      </c>
      <c r="Y4828" t="s">
        <v>16192</v>
      </c>
    </row>
    <row r="4829" spans="1:25">
      <c r="A4829" t="s">
        <v>16193</v>
      </c>
      <c r="B4829" t="s">
        <v>16194</v>
      </c>
      <c r="D4829" t="s">
        <v>40</v>
      </c>
      <c r="E4829" t="s">
        <v>41</v>
      </c>
      <c r="J4829" t="s">
        <v>182</v>
      </c>
      <c r="K4829" t="s">
        <v>183</v>
      </c>
      <c r="L4829">
        <v>9</v>
      </c>
      <c r="M4829" t="s">
        <v>16191</v>
      </c>
      <c r="N4829" t="s">
        <v>64</v>
      </c>
      <c r="O4829" t="s">
        <v>46</v>
      </c>
      <c r="P4829" t="s">
        <v>46</v>
      </c>
      <c r="Y4829" t="s">
        <v>16195</v>
      </c>
    </row>
    <row r="4830" spans="1:25">
      <c r="A4830" t="s">
        <v>16196</v>
      </c>
      <c r="B4830" t="s">
        <v>16197</v>
      </c>
      <c r="D4830" t="s">
        <v>40</v>
      </c>
      <c r="E4830" t="s">
        <v>41</v>
      </c>
      <c r="J4830" t="s">
        <v>182</v>
      </c>
      <c r="K4830" t="s">
        <v>183</v>
      </c>
      <c r="L4830">
        <v>9</v>
      </c>
      <c r="M4830" t="s">
        <v>16191</v>
      </c>
      <c r="N4830" t="s">
        <v>64</v>
      </c>
      <c r="O4830" t="s">
        <v>46</v>
      </c>
      <c r="P4830" t="s">
        <v>46</v>
      </c>
      <c r="Y4830" t="s">
        <v>16198</v>
      </c>
    </row>
    <row r="4831" spans="1:25">
      <c r="A4831" t="s">
        <v>16199</v>
      </c>
      <c r="B4831" t="s">
        <v>16200</v>
      </c>
      <c r="D4831" t="s">
        <v>40</v>
      </c>
      <c r="E4831" t="s">
        <v>41</v>
      </c>
      <c r="J4831" t="s">
        <v>68</v>
      </c>
      <c r="K4831" t="s">
        <v>69</v>
      </c>
      <c r="L4831">
        <v>9</v>
      </c>
      <c r="M4831" t="s">
        <v>16201</v>
      </c>
      <c r="N4831" t="s">
        <v>64</v>
      </c>
      <c r="O4831" t="s">
        <v>46</v>
      </c>
      <c r="P4831" t="s">
        <v>46</v>
      </c>
      <c r="Y4831" t="s">
        <v>16202</v>
      </c>
    </row>
    <row r="4832" spans="1:25">
      <c r="A4832" t="s">
        <v>16203</v>
      </c>
      <c r="B4832" t="s">
        <v>16204</v>
      </c>
      <c r="D4832" t="s">
        <v>40</v>
      </c>
      <c r="E4832" t="s">
        <v>41</v>
      </c>
      <c r="J4832" t="s">
        <v>76</v>
      </c>
      <c r="K4832" t="s">
        <v>77</v>
      </c>
      <c r="L4832">
        <v>9</v>
      </c>
      <c r="M4832" t="s">
        <v>16201</v>
      </c>
      <c r="N4832" t="s">
        <v>64</v>
      </c>
      <c r="O4832" t="s">
        <v>46</v>
      </c>
      <c r="P4832" t="s">
        <v>46</v>
      </c>
      <c r="Y4832" t="s">
        <v>16205</v>
      </c>
    </row>
    <row r="4833" spans="1:25">
      <c r="A4833" t="s">
        <v>16206</v>
      </c>
      <c r="B4833" t="s">
        <v>16207</v>
      </c>
      <c r="D4833" t="s">
        <v>40</v>
      </c>
      <c r="E4833" t="s">
        <v>41</v>
      </c>
      <c r="J4833" t="s">
        <v>182</v>
      </c>
      <c r="K4833" t="s">
        <v>183</v>
      </c>
      <c r="L4833">
        <v>9</v>
      </c>
      <c r="M4833" t="s">
        <v>16201</v>
      </c>
      <c r="N4833" t="s">
        <v>64</v>
      </c>
      <c r="O4833" t="s">
        <v>46</v>
      </c>
      <c r="P4833" t="s">
        <v>46</v>
      </c>
      <c r="Y4833" t="s">
        <v>16208</v>
      </c>
    </row>
    <row r="4834" spans="1:25">
      <c r="A4834" t="s">
        <v>16209</v>
      </c>
      <c r="B4834" t="s">
        <v>16210</v>
      </c>
      <c r="D4834" t="s">
        <v>40</v>
      </c>
      <c r="E4834" t="s">
        <v>41</v>
      </c>
      <c r="J4834" t="s">
        <v>182</v>
      </c>
      <c r="K4834" t="s">
        <v>183</v>
      </c>
      <c r="L4834">
        <v>9</v>
      </c>
      <c r="M4834" t="s">
        <v>16211</v>
      </c>
      <c r="N4834" t="s">
        <v>64</v>
      </c>
      <c r="O4834" t="s">
        <v>46</v>
      </c>
      <c r="P4834" t="s">
        <v>46</v>
      </c>
      <c r="Y4834" t="s">
        <v>16212</v>
      </c>
    </row>
    <row r="4835" spans="1:25">
      <c r="A4835" t="s">
        <v>16213</v>
      </c>
      <c r="B4835" t="s">
        <v>16214</v>
      </c>
      <c r="D4835" t="s">
        <v>40</v>
      </c>
      <c r="E4835" t="s">
        <v>41</v>
      </c>
      <c r="J4835" t="s">
        <v>76</v>
      </c>
      <c r="K4835" t="s">
        <v>77</v>
      </c>
      <c r="L4835">
        <v>9</v>
      </c>
      <c r="M4835" t="s">
        <v>16211</v>
      </c>
      <c r="N4835" t="s">
        <v>64</v>
      </c>
      <c r="O4835" t="s">
        <v>46</v>
      </c>
      <c r="P4835" t="s">
        <v>46</v>
      </c>
      <c r="Y4835" t="s">
        <v>16215</v>
      </c>
    </row>
    <row r="4836" spans="1:25">
      <c r="A4836" t="s">
        <v>16216</v>
      </c>
      <c r="B4836" t="s">
        <v>16217</v>
      </c>
      <c r="D4836" t="s">
        <v>40</v>
      </c>
      <c r="E4836" t="s">
        <v>41</v>
      </c>
      <c r="J4836" t="s">
        <v>139</v>
      </c>
      <c r="K4836" t="s">
        <v>140</v>
      </c>
      <c r="L4836">
        <v>6</v>
      </c>
      <c r="M4836" t="s">
        <v>16218</v>
      </c>
      <c r="N4836" t="s">
        <v>1397</v>
      </c>
      <c r="O4836" t="s">
        <v>46</v>
      </c>
      <c r="P4836" t="s">
        <v>46</v>
      </c>
      <c r="Y4836" t="s">
        <v>16219</v>
      </c>
    </row>
    <row r="4837" spans="1:25">
      <c r="A4837" t="s">
        <v>16220</v>
      </c>
      <c r="B4837" t="s">
        <v>16221</v>
      </c>
      <c r="D4837" t="s">
        <v>40</v>
      </c>
      <c r="E4837" t="s">
        <v>41</v>
      </c>
      <c r="J4837" t="s">
        <v>139</v>
      </c>
      <c r="K4837" t="s">
        <v>140</v>
      </c>
      <c r="L4837">
        <v>7</v>
      </c>
      <c r="M4837" t="s">
        <v>16222</v>
      </c>
      <c r="N4837" t="s">
        <v>350</v>
      </c>
      <c r="O4837" t="s">
        <v>46</v>
      </c>
      <c r="P4837" t="s">
        <v>46</v>
      </c>
      <c r="Y4837" t="s">
        <v>16223</v>
      </c>
    </row>
    <row r="4838" spans="1:25">
      <c r="A4838" t="s">
        <v>16224</v>
      </c>
      <c r="B4838" t="s">
        <v>16225</v>
      </c>
      <c r="D4838" t="s">
        <v>40</v>
      </c>
      <c r="E4838" t="s">
        <v>41</v>
      </c>
      <c r="J4838" t="s">
        <v>182</v>
      </c>
      <c r="K4838" t="s">
        <v>183</v>
      </c>
      <c r="L4838">
        <v>9</v>
      </c>
      <c r="M4838" t="s">
        <v>16226</v>
      </c>
      <c r="N4838" t="s">
        <v>64</v>
      </c>
      <c r="O4838" t="s">
        <v>46</v>
      </c>
      <c r="P4838" t="s">
        <v>46</v>
      </c>
      <c r="Y4838" t="s">
        <v>16227</v>
      </c>
    </row>
    <row r="4839" spans="1:25">
      <c r="A4839" t="s">
        <v>16228</v>
      </c>
      <c r="B4839" t="s">
        <v>16229</v>
      </c>
      <c r="D4839" t="s">
        <v>40</v>
      </c>
      <c r="E4839" t="s">
        <v>41</v>
      </c>
      <c r="J4839" t="s">
        <v>68</v>
      </c>
      <c r="K4839" t="s">
        <v>69</v>
      </c>
      <c r="L4839">
        <v>9</v>
      </c>
      <c r="M4839" t="s">
        <v>16226</v>
      </c>
      <c r="N4839" t="s">
        <v>64</v>
      </c>
      <c r="O4839" t="s">
        <v>46</v>
      </c>
      <c r="P4839" t="s">
        <v>46</v>
      </c>
      <c r="Y4839" t="s">
        <v>16230</v>
      </c>
    </row>
    <row r="4840" spans="1:25">
      <c r="A4840" t="s">
        <v>16231</v>
      </c>
      <c r="B4840" t="s">
        <v>16232</v>
      </c>
      <c r="D4840" t="s">
        <v>40</v>
      </c>
      <c r="E4840" t="s">
        <v>41</v>
      </c>
      <c r="J4840" t="s">
        <v>182</v>
      </c>
      <c r="K4840" t="s">
        <v>183</v>
      </c>
      <c r="L4840">
        <v>9</v>
      </c>
      <c r="M4840" t="s">
        <v>16226</v>
      </c>
      <c r="N4840" t="s">
        <v>64</v>
      </c>
      <c r="O4840" t="s">
        <v>46</v>
      </c>
      <c r="P4840" t="s">
        <v>46</v>
      </c>
      <c r="Y4840" t="s">
        <v>16233</v>
      </c>
    </row>
    <row r="4841" spans="1:25">
      <c r="A4841" t="s">
        <v>16234</v>
      </c>
      <c r="B4841" t="s">
        <v>16235</v>
      </c>
      <c r="D4841" t="s">
        <v>40</v>
      </c>
      <c r="E4841" t="s">
        <v>41</v>
      </c>
      <c r="J4841" t="s">
        <v>76</v>
      </c>
      <c r="K4841" t="s">
        <v>77</v>
      </c>
      <c r="L4841">
        <v>9</v>
      </c>
      <c r="M4841" t="s">
        <v>16226</v>
      </c>
      <c r="N4841" t="s">
        <v>64</v>
      </c>
      <c r="O4841" t="s">
        <v>46</v>
      </c>
      <c r="P4841" t="s">
        <v>46</v>
      </c>
      <c r="Y4841" t="s">
        <v>16236</v>
      </c>
    </row>
    <row r="4842" spans="1:25">
      <c r="A4842" t="s">
        <v>16237</v>
      </c>
      <c r="B4842" t="s">
        <v>16238</v>
      </c>
      <c r="D4842" t="s">
        <v>40</v>
      </c>
      <c r="E4842" t="s">
        <v>41</v>
      </c>
      <c r="J4842" t="s">
        <v>42</v>
      </c>
      <c r="K4842" t="s">
        <v>43</v>
      </c>
      <c r="L4842">
        <v>9</v>
      </c>
      <c r="M4842" t="s">
        <v>16239</v>
      </c>
      <c r="N4842" t="s">
        <v>1047</v>
      </c>
      <c r="O4842" t="s">
        <v>46</v>
      </c>
      <c r="P4842" t="s">
        <v>46</v>
      </c>
      <c r="Y4842" t="s">
        <v>16240</v>
      </c>
    </row>
    <row r="4843" spans="1:25">
      <c r="A4843" t="s">
        <v>16241</v>
      </c>
      <c r="B4843" t="s">
        <v>16242</v>
      </c>
      <c r="D4843" t="s">
        <v>40</v>
      </c>
      <c r="E4843" t="s">
        <v>41</v>
      </c>
      <c r="J4843" t="s">
        <v>182</v>
      </c>
      <c r="K4843" t="s">
        <v>183</v>
      </c>
      <c r="L4843">
        <v>9</v>
      </c>
      <c r="M4843" t="s">
        <v>16243</v>
      </c>
      <c r="N4843" t="s">
        <v>64</v>
      </c>
      <c r="O4843" t="s">
        <v>46</v>
      </c>
      <c r="P4843" t="s">
        <v>46</v>
      </c>
      <c r="Y4843" t="s">
        <v>16244</v>
      </c>
    </row>
    <row r="4844" spans="1:25">
      <c r="A4844" t="s">
        <v>16245</v>
      </c>
      <c r="B4844" t="s">
        <v>16246</v>
      </c>
      <c r="D4844" t="s">
        <v>40</v>
      </c>
      <c r="E4844" t="s">
        <v>41</v>
      </c>
      <c r="J4844" t="s">
        <v>76</v>
      </c>
      <c r="K4844" t="s">
        <v>77</v>
      </c>
      <c r="L4844">
        <v>9</v>
      </c>
      <c r="M4844" t="s">
        <v>16243</v>
      </c>
      <c r="N4844" t="s">
        <v>64</v>
      </c>
      <c r="O4844" t="s">
        <v>46</v>
      </c>
      <c r="P4844" t="s">
        <v>46</v>
      </c>
      <c r="Y4844" t="s">
        <v>16247</v>
      </c>
    </row>
    <row r="4845" spans="1:25">
      <c r="A4845" t="s">
        <v>16248</v>
      </c>
      <c r="B4845" t="s">
        <v>16249</v>
      </c>
      <c r="D4845" t="s">
        <v>40</v>
      </c>
      <c r="E4845" t="s">
        <v>41</v>
      </c>
      <c r="J4845" t="s">
        <v>182</v>
      </c>
      <c r="K4845" t="s">
        <v>183</v>
      </c>
      <c r="L4845">
        <v>9</v>
      </c>
      <c r="M4845" t="s">
        <v>16243</v>
      </c>
      <c r="N4845" t="s">
        <v>64</v>
      </c>
      <c r="O4845" t="s">
        <v>46</v>
      </c>
      <c r="P4845" t="s">
        <v>46</v>
      </c>
      <c r="Y4845" t="s">
        <v>16250</v>
      </c>
    </row>
    <row r="4846" spans="1:25">
      <c r="A4846" t="s">
        <v>16251</v>
      </c>
      <c r="B4846" t="s">
        <v>16252</v>
      </c>
      <c r="D4846" t="s">
        <v>40</v>
      </c>
      <c r="E4846" t="s">
        <v>41</v>
      </c>
      <c r="J4846" t="s">
        <v>182</v>
      </c>
      <c r="K4846" t="s">
        <v>183</v>
      </c>
      <c r="L4846">
        <v>9</v>
      </c>
      <c r="M4846" t="s">
        <v>16243</v>
      </c>
      <c r="N4846" t="s">
        <v>64</v>
      </c>
      <c r="O4846" t="s">
        <v>46</v>
      </c>
      <c r="P4846" t="s">
        <v>46</v>
      </c>
      <c r="Y4846" t="s">
        <v>16253</v>
      </c>
    </row>
    <row r="4847" spans="1:25">
      <c r="A4847" t="s">
        <v>16254</v>
      </c>
      <c r="B4847" t="s">
        <v>16255</v>
      </c>
      <c r="D4847" t="s">
        <v>40</v>
      </c>
      <c r="E4847" t="s">
        <v>41</v>
      </c>
      <c r="J4847" t="s">
        <v>182</v>
      </c>
      <c r="K4847" t="s">
        <v>183</v>
      </c>
      <c r="L4847">
        <v>9</v>
      </c>
      <c r="M4847" t="s">
        <v>16243</v>
      </c>
      <c r="N4847" t="s">
        <v>64</v>
      </c>
      <c r="O4847" t="s">
        <v>46</v>
      </c>
      <c r="P4847" t="s">
        <v>46</v>
      </c>
      <c r="Y4847" t="s">
        <v>16256</v>
      </c>
    </row>
    <row r="4848" spans="1:25">
      <c r="A4848" t="s">
        <v>16257</v>
      </c>
      <c r="B4848" t="s">
        <v>16258</v>
      </c>
      <c r="D4848" t="s">
        <v>40</v>
      </c>
      <c r="E4848" t="s">
        <v>41</v>
      </c>
      <c r="J4848" t="s">
        <v>182</v>
      </c>
      <c r="K4848" t="s">
        <v>183</v>
      </c>
      <c r="L4848">
        <v>9</v>
      </c>
      <c r="M4848" t="s">
        <v>16243</v>
      </c>
      <c r="N4848" t="s">
        <v>64</v>
      </c>
      <c r="O4848" t="s">
        <v>46</v>
      </c>
      <c r="P4848" t="s">
        <v>46</v>
      </c>
      <c r="Y4848" t="s">
        <v>16259</v>
      </c>
    </row>
    <row r="4849" spans="1:25">
      <c r="A4849" t="s">
        <v>16260</v>
      </c>
      <c r="B4849" t="s">
        <v>16261</v>
      </c>
      <c r="D4849" t="s">
        <v>40</v>
      </c>
      <c r="E4849" t="s">
        <v>41</v>
      </c>
      <c r="J4849" t="s">
        <v>182</v>
      </c>
      <c r="K4849" t="s">
        <v>183</v>
      </c>
      <c r="L4849">
        <v>9</v>
      </c>
      <c r="M4849" t="s">
        <v>16243</v>
      </c>
      <c r="N4849" t="s">
        <v>64</v>
      </c>
      <c r="O4849" t="s">
        <v>46</v>
      </c>
      <c r="P4849" t="s">
        <v>46</v>
      </c>
      <c r="Y4849" t="s">
        <v>16262</v>
      </c>
    </row>
    <row r="4850" spans="1:25">
      <c r="A4850" t="s">
        <v>16263</v>
      </c>
      <c r="B4850" t="s">
        <v>16264</v>
      </c>
      <c r="D4850" t="s">
        <v>40</v>
      </c>
      <c r="E4850" t="s">
        <v>41</v>
      </c>
      <c r="J4850" t="s">
        <v>76</v>
      </c>
      <c r="K4850" t="s">
        <v>77</v>
      </c>
      <c r="L4850">
        <v>9</v>
      </c>
      <c r="M4850" t="s">
        <v>16265</v>
      </c>
      <c r="N4850" t="s">
        <v>64</v>
      </c>
      <c r="O4850" t="s">
        <v>46</v>
      </c>
      <c r="P4850" t="s">
        <v>46</v>
      </c>
      <c r="Y4850" t="s">
        <v>16266</v>
      </c>
    </row>
    <row r="4851" spans="1:25">
      <c r="A4851" t="s">
        <v>16267</v>
      </c>
      <c r="B4851" t="s">
        <v>16268</v>
      </c>
      <c r="D4851" t="s">
        <v>40</v>
      </c>
      <c r="E4851" t="s">
        <v>41</v>
      </c>
      <c r="J4851" t="s">
        <v>76</v>
      </c>
      <c r="K4851" t="s">
        <v>77</v>
      </c>
      <c r="L4851">
        <v>9</v>
      </c>
      <c r="M4851" t="s">
        <v>16265</v>
      </c>
      <c r="N4851" t="s">
        <v>64</v>
      </c>
      <c r="O4851" t="s">
        <v>46</v>
      </c>
      <c r="P4851" t="s">
        <v>46</v>
      </c>
      <c r="Y4851" t="s">
        <v>16269</v>
      </c>
    </row>
    <row r="4852" spans="1:25">
      <c r="A4852" t="s">
        <v>16270</v>
      </c>
      <c r="B4852" t="s">
        <v>16271</v>
      </c>
      <c r="D4852" t="s">
        <v>40</v>
      </c>
      <c r="E4852" t="s">
        <v>41</v>
      </c>
      <c r="J4852" t="s">
        <v>182</v>
      </c>
      <c r="K4852" t="s">
        <v>183</v>
      </c>
      <c r="L4852">
        <v>9</v>
      </c>
      <c r="M4852" t="s">
        <v>16265</v>
      </c>
      <c r="N4852" t="s">
        <v>64</v>
      </c>
      <c r="O4852" t="s">
        <v>46</v>
      </c>
      <c r="P4852" t="s">
        <v>46</v>
      </c>
      <c r="Y4852" t="s">
        <v>16272</v>
      </c>
    </row>
    <row r="4853" spans="1:25">
      <c r="A4853" t="s">
        <v>16273</v>
      </c>
      <c r="B4853" t="s">
        <v>16274</v>
      </c>
      <c r="D4853" t="s">
        <v>40</v>
      </c>
      <c r="E4853" t="s">
        <v>41</v>
      </c>
      <c r="J4853" t="s">
        <v>182</v>
      </c>
      <c r="K4853" t="s">
        <v>183</v>
      </c>
      <c r="L4853">
        <v>9</v>
      </c>
      <c r="M4853" t="s">
        <v>16265</v>
      </c>
      <c r="N4853" t="s">
        <v>64</v>
      </c>
      <c r="O4853" t="s">
        <v>46</v>
      </c>
      <c r="P4853" t="s">
        <v>46</v>
      </c>
      <c r="Y4853" t="s">
        <v>16275</v>
      </c>
    </row>
    <row r="4854" spans="1:25">
      <c r="A4854" t="s">
        <v>16276</v>
      </c>
      <c r="B4854" t="s">
        <v>16277</v>
      </c>
      <c r="D4854" t="s">
        <v>40</v>
      </c>
      <c r="E4854" t="s">
        <v>41</v>
      </c>
      <c r="J4854" t="s">
        <v>76</v>
      </c>
      <c r="K4854" t="s">
        <v>77</v>
      </c>
      <c r="L4854">
        <v>9</v>
      </c>
      <c r="M4854" t="s">
        <v>16278</v>
      </c>
      <c r="N4854" t="s">
        <v>64</v>
      </c>
      <c r="O4854" t="s">
        <v>46</v>
      </c>
      <c r="P4854" t="s">
        <v>46</v>
      </c>
      <c r="Y4854" t="s">
        <v>16279</v>
      </c>
    </row>
    <row r="4855" spans="1:25">
      <c r="A4855" t="s">
        <v>16280</v>
      </c>
      <c r="B4855" t="s">
        <v>16281</v>
      </c>
      <c r="D4855" t="s">
        <v>40</v>
      </c>
      <c r="E4855" t="s">
        <v>41</v>
      </c>
      <c r="J4855" t="s">
        <v>76</v>
      </c>
      <c r="K4855" t="s">
        <v>77</v>
      </c>
      <c r="L4855">
        <v>9</v>
      </c>
      <c r="M4855" t="s">
        <v>16278</v>
      </c>
      <c r="N4855" t="s">
        <v>64</v>
      </c>
      <c r="O4855" t="s">
        <v>46</v>
      </c>
      <c r="P4855" t="s">
        <v>46</v>
      </c>
      <c r="Y4855" t="s">
        <v>16282</v>
      </c>
    </row>
    <row r="4856" spans="1:25">
      <c r="A4856" t="s">
        <v>16283</v>
      </c>
      <c r="B4856" t="s">
        <v>16284</v>
      </c>
      <c r="D4856" t="s">
        <v>40</v>
      </c>
      <c r="E4856" t="s">
        <v>41</v>
      </c>
      <c r="J4856" t="s">
        <v>68</v>
      </c>
      <c r="K4856" t="s">
        <v>69</v>
      </c>
      <c r="L4856">
        <v>9</v>
      </c>
      <c r="M4856" t="s">
        <v>16285</v>
      </c>
      <c r="N4856" t="s">
        <v>64</v>
      </c>
      <c r="O4856" t="s">
        <v>46</v>
      </c>
      <c r="P4856" t="s">
        <v>46</v>
      </c>
      <c r="Y4856" t="s">
        <v>16286</v>
      </c>
    </row>
    <row r="4857" spans="1:25">
      <c r="A4857" t="s">
        <v>16287</v>
      </c>
      <c r="B4857" t="s">
        <v>16288</v>
      </c>
      <c r="D4857" t="s">
        <v>40</v>
      </c>
      <c r="E4857" t="s">
        <v>41</v>
      </c>
      <c r="J4857" t="s">
        <v>50</v>
      </c>
      <c r="K4857" t="s">
        <v>51</v>
      </c>
      <c r="L4857">
        <v>10</v>
      </c>
      <c r="M4857" t="s">
        <v>16285</v>
      </c>
      <c r="N4857" t="s">
        <v>509</v>
      </c>
      <c r="O4857" t="s">
        <v>46</v>
      </c>
      <c r="P4857" t="s">
        <v>46</v>
      </c>
      <c r="Y4857" t="s">
        <v>16289</v>
      </c>
    </row>
    <row r="4858" spans="1:25">
      <c r="A4858" t="s">
        <v>16290</v>
      </c>
      <c r="B4858" t="s">
        <v>16291</v>
      </c>
      <c r="D4858" t="s">
        <v>40</v>
      </c>
      <c r="E4858" t="s">
        <v>41</v>
      </c>
      <c r="J4858" t="s">
        <v>182</v>
      </c>
      <c r="K4858" t="s">
        <v>183</v>
      </c>
      <c r="L4858">
        <v>9</v>
      </c>
      <c r="M4858" t="s">
        <v>16292</v>
      </c>
      <c r="N4858" t="s">
        <v>64</v>
      </c>
      <c r="O4858" t="s">
        <v>46</v>
      </c>
      <c r="P4858" t="s">
        <v>46</v>
      </c>
      <c r="Y4858" t="s">
        <v>16293</v>
      </c>
    </row>
    <row r="4859" spans="1:25">
      <c r="A4859" t="s">
        <v>16294</v>
      </c>
      <c r="B4859" t="s">
        <v>16295</v>
      </c>
      <c r="D4859" t="s">
        <v>40</v>
      </c>
      <c r="E4859" t="s">
        <v>41</v>
      </c>
      <c r="J4859" t="s">
        <v>182</v>
      </c>
      <c r="K4859" t="s">
        <v>183</v>
      </c>
      <c r="L4859">
        <v>9</v>
      </c>
      <c r="M4859" t="s">
        <v>16292</v>
      </c>
      <c r="N4859" t="s">
        <v>64</v>
      </c>
      <c r="O4859" t="s">
        <v>46</v>
      </c>
      <c r="P4859" t="s">
        <v>46</v>
      </c>
      <c r="Y4859" t="s">
        <v>16296</v>
      </c>
    </row>
    <row r="4860" spans="1:25">
      <c r="A4860" t="s">
        <v>16297</v>
      </c>
      <c r="B4860" t="s">
        <v>16298</v>
      </c>
      <c r="D4860" t="s">
        <v>40</v>
      </c>
      <c r="E4860" t="s">
        <v>41</v>
      </c>
      <c r="J4860" t="s">
        <v>182</v>
      </c>
      <c r="K4860" t="s">
        <v>183</v>
      </c>
      <c r="L4860">
        <v>9</v>
      </c>
      <c r="M4860" t="s">
        <v>16299</v>
      </c>
      <c r="N4860" t="s">
        <v>64</v>
      </c>
      <c r="O4860" t="s">
        <v>46</v>
      </c>
      <c r="P4860" t="s">
        <v>46</v>
      </c>
      <c r="Y4860" t="s">
        <v>16300</v>
      </c>
    </row>
    <row r="4861" spans="1:25">
      <c r="A4861" t="s">
        <v>16301</v>
      </c>
      <c r="B4861" t="s">
        <v>16302</v>
      </c>
      <c r="D4861" t="s">
        <v>40</v>
      </c>
      <c r="E4861" t="s">
        <v>41</v>
      </c>
      <c r="J4861" t="s">
        <v>76</v>
      </c>
      <c r="K4861" t="s">
        <v>77</v>
      </c>
      <c r="L4861">
        <v>9</v>
      </c>
      <c r="M4861" t="s">
        <v>16299</v>
      </c>
      <c r="N4861" t="s">
        <v>64</v>
      </c>
      <c r="O4861" t="s">
        <v>46</v>
      </c>
      <c r="P4861" t="s">
        <v>46</v>
      </c>
      <c r="Y4861" t="s">
        <v>16303</v>
      </c>
    </row>
    <row r="4862" spans="1:25">
      <c r="A4862" t="s">
        <v>16304</v>
      </c>
      <c r="B4862" t="s">
        <v>16305</v>
      </c>
      <c r="D4862" t="s">
        <v>40</v>
      </c>
      <c r="E4862" t="s">
        <v>41</v>
      </c>
      <c r="J4862" t="s">
        <v>76</v>
      </c>
      <c r="K4862" t="s">
        <v>77</v>
      </c>
      <c r="L4862">
        <v>9</v>
      </c>
      <c r="M4862" t="s">
        <v>16299</v>
      </c>
      <c r="N4862" t="s">
        <v>64</v>
      </c>
      <c r="O4862" t="s">
        <v>46</v>
      </c>
      <c r="P4862" t="s">
        <v>46</v>
      </c>
      <c r="Y4862" t="s">
        <v>16306</v>
      </c>
    </row>
    <row r="4863" spans="1:25">
      <c r="A4863" t="s">
        <v>16307</v>
      </c>
      <c r="B4863" t="s">
        <v>16308</v>
      </c>
      <c r="D4863" t="s">
        <v>40</v>
      </c>
      <c r="E4863" t="s">
        <v>41</v>
      </c>
      <c r="J4863" t="s">
        <v>76</v>
      </c>
      <c r="K4863" t="s">
        <v>77</v>
      </c>
      <c r="L4863">
        <v>9</v>
      </c>
      <c r="M4863" t="s">
        <v>16299</v>
      </c>
      <c r="N4863" t="s">
        <v>64</v>
      </c>
      <c r="O4863" t="s">
        <v>46</v>
      </c>
      <c r="P4863" t="s">
        <v>46</v>
      </c>
      <c r="Y4863" t="s">
        <v>16309</v>
      </c>
    </row>
    <row r="4864" spans="1:25">
      <c r="A4864" t="s">
        <v>16310</v>
      </c>
      <c r="B4864" t="s">
        <v>16311</v>
      </c>
      <c r="D4864" t="s">
        <v>40</v>
      </c>
      <c r="E4864" t="s">
        <v>41</v>
      </c>
      <c r="J4864" t="s">
        <v>182</v>
      </c>
      <c r="K4864" t="s">
        <v>183</v>
      </c>
      <c r="L4864">
        <v>9</v>
      </c>
      <c r="M4864" t="s">
        <v>16299</v>
      </c>
      <c r="N4864" t="s">
        <v>64</v>
      </c>
      <c r="O4864" t="s">
        <v>46</v>
      </c>
      <c r="P4864" t="s">
        <v>46</v>
      </c>
      <c r="Y4864" t="s">
        <v>16312</v>
      </c>
    </row>
    <row r="4865" spans="1:25">
      <c r="A4865" t="s">
        <v>16313</v>
      </c>
      <c r="B4865" t="s">
        <v>16314</v>
      </c>
      <c r="D4865" t="s">
        <v>40</v>
      </c>
      <c r="E4865" t="s">
        <v>41</v>
      </c>
      <c r="J4865" t="s">
        <v>182</v>
      </c>
      <c r="K4865" t="s">
        <v>183</v>
      </c>
      <c r="L4865">
        <v>9</v>
      </c>
      <c r="M4865" t="s">
        <v>16299</v>
      </c>
      <c r="N4865" t="s">
        <v>64</v>
      </c>
      <c r="O4865" t="s">
        <v>46</v>
      </c>
      <c r="P4865" t="s">
        <v>46</v>
      </c>
      <c r="Y4865" t="s">
        <v>16315</v>
      </c>
    </row>
    <row r="4866" spans="1:25">
      <c r="A4866" t="s">
        <v>16316</v>
      </c>
      <c r="B4866" t="s">
        <v>16317</v>
      </c>
      <c r="D4866" t="s">
        <v>40</v>
      </c>
      <c r="E4866" t="s">
        <v>41</v>
      </c>
      <c r="J4866" t="s">
        <v>76</v>
      </c>
      <c r="K4866" t="s">
        <v>77</v>
      </c>
      <c r="L4866">
        <v>9</v>
      </c>
      <c r="M4866" t="s">
        <v>16299</v>
      </c>
      <c r="N4866" t="s">
        <v>64</v>
      </c>
      <c r="O4866" t="s">
        <v>46</v>
      </c>
      <c r="P4866" t="s">
        <v>46</v>
      </c>
      <c r="Y4866" t="s">
        <v>16318</v>
      </c>
    </row>
    <row r="4867" spans="1:25">
      <c r="A4867" t="s">
        <v>16319</v>
      </c>
      <c r="B4867" t="s">
        <v>16320</v>
      </c>
      <c r="D4867" t="s">
        <v>40</v>
      </c>
      <c r="E4867" t="s">
        <v>41</v>
      </c>
      <c r="J4867" t="s">
        <v>42</v>
      </c>
      <c r="K4867" t="s">
        <v>43</v>
      </c>
      <c r="L4867">
        <v>9</v>
      </c>
      <c r="M4867" t="s">
        <v>16321</v>
      </c>
      <c r="N4867" t="s">
        <v>2154</v>
      </c>
      <c r="O4867" t="s">
        <v>46</v>
      </c>
      <c r="P4867" t="s">
        <v>46</v>
      </c>
      <c r="Y4867" t="s">
        <v>16322</v>
      </c>
    </row>
    <row r="4868" spans="1:25">
      <c r="A4868" t="s">
        <v>16323</v>
      </c>
      <c r="B4868" t="s">
        <v>16324</v>
      </c>
      <c r="D4868" t="s">
        <v>40</v>
      </c>
      <c r="E4868" t="s">
        <v>41</v>
      </c>
      <c r="J4868" t="s">
        <v>76</v>
      </c>
      <c r="K4868" t="s">
        <v>77</v>
      </c>
      <c r="L4868">
        <v>9</v>
      </c>
      <c r="M4868" t="s">
        <v>16321</v>
      </c>
      <c r="N4868" t="s">
        <v>64</v>
      </c>
      <c r="O4868" t="s">
        <v>46</v>
      </c>
      <c r="P4868" t="s">
        <v>46</v>
      </c>
      <c r="Y4868" t="s">
        <v>16325</v>
      </c>
    </row>
    <row r="4869" spans="1:25">
      <c r="A4869" t="s">
        <v>16326</v>
      </c>
      <c r="B4869" t="s">
        <v>16327</v>
      </c>
      <c r="D4869" t="s">
        <v>40</v>
      </c>
      <c r="E4869" t="s">
        <v>41</v>
      </c>
      <c r="J4869" t="s">
        <v>76</v>
      </c>
      <c r="K4869" t="s">
        <v>77</v>
      </c>
      <c r="L4869">
        <v>9</v>
      </c>
      <c r="M4869" t="s">
        <v>16321</v>
      </c>
      <c r="N4869" t="s">
        <v>64</v>
      </c>
      <c r="O4869" t="s">
        <v>46</v>
      </c>
      <c r="P4869" t="s">
        <v>46</v>
      </c>
      <c r="Y4869" t="s">
        <v>16328</v>
      </c>
    </row>
    <row r="4870" spans="1:25">
      <c r="A4870" t="s">
        <v>16329</v>
      </c>
      <c r="B4870" t="s">
        <v>16330</v>
      </c>
      <c r="D4870" t="s">
        <v>40</v>
      </c>
      <c r="E4870" t="s">
        <v>41</v>
      </c>
      <c r="J4870" t="s">
        <v>182</v>
      </c>
      <c r="K4870" t="s">
        <v>183</v>
      </c>
      <c r="L4870">
        <v>9</v>
      </c>
      <c r="M4870" t="s">
        <v>16321</v>
      </c>
      <c r="N4870" t="s">
        <v>64</v>
      </c>
      <c r="O4870" t="s">
        <v>46</v>
      </c>
      <c r="P4870" t="s">
        <v>46</v>
      </c>
      <c r="Y4870" t="s">
        <v>16331</v>
      </c>
    </row>
    <row r="4871" spans="1:25">
      <c r="A4871" t="s">
        <v>16332</v>
      </c>
      <c r="B4871" t="s">
        <v>16333</v>
      </c>
      <c r="D4871" t="s">
        <v>40</v>
      </c>
      <c r="E4871" t="s">
        <v>41</v>
      </c>
      <c r="J4871" t="s">
        <v>76</v>
      </c>
      <c r="K4871" t="s">
        <v>77</v>
      </c>
      <c r="L4871">
        <v>9</v>
      </c>
      <c r="M4871" t="s">
        <v>16334</v>
      </c>
      <c r="N4871" t="s">
        <v>64</v>
      </c>
      <c r="O4871" t="s">
        <v>46</v>
      </c>
      <c r="P4871" t="s">
        <v>46</v>
      </c>
      <c r="Y4871" t="s">
        <v>16335</v>
      </c>
    </row>
    <row r="4872" spans="1:25">
      <c r="A4872" t="s">
        <v>16336</v>
      </c>
      <c r="B4872" t="s">
        <v>16337</v>
      </c>
      <c r="D4872" t="s">
        <v>40</v>
      </c>
      <c r="E4872" t="s">
        <v>41</v>
      </c>
      <c r="J4872" t="s">
        <v>182</v>
      </c>
      <c r="K4872" t="s">
        <v>183</v>
      </c>
      <c r="L4872">
        <v>9</v>
      </c>
      <c r="M4872" t="s">
        <v>16334</v>
      </c>
      <c r="N4872" t="s">
        <v>64</v>
      </c>
      <c r="O4872" t="s">
        <v>46</v>
      </c>
      <c r="P4872" t="s">
        <v>46</v>
      </c>
      <c r="Y4872" t="s">
        <v>16338</v>
      </c>
    </row>
    <row r="4873" spans="1:25">
      <c r="A4873" t="s">
        <v>16339</v>
      </c>
      <c r="B4873" t="s">
        <v>16340</v>
      </c>
      <c r="D4873" t="s">
        <v>40</v>
      </c>
      <c r="E4873" t="s">
        <v>41</v>
      </c>
      <c r="J4873" t="s">
        <v>182</v>
      </c>
      <c r="K4873" t="s">
        <v>183</v>
      </c>
      <c r="L4873">
        <v>9</v>
      </c>
      <c r="M4873" t="s">
        <v>16334</v>
      </c>
      <c r="N4873" t="s">
        <v>64</v>
      </c>
      <c r="O4873" t="s">
        <v>46</v>
      </c>
      <c r="P4873" t="s">
        <v>46</v>
      </c>
      <c r="Y4873" t="s">
        <v>16341</v>
      </c>
    </row>
    <row r="4874" spans="1:25">
      <c r="A4874" t="s">
        <v>16342</v>
      </c>
      <c r="B4874" t="s">
        <v>16343</v>
      </c>
      <c r="D4874" t="s">
        <v>40</v>
      </c>
      <c r="E4874" t="s">
        <v>41</v>
      </c>
      <c r="J4874" t="s">
        <v>182</v>
      </c>
      <c r="K4874" t="s">
        <v>183</v>
      </c>
      <c r="L4874">
        <v>9</v>
      </c>
      <c r="M4874" t="s">
        <v>16334</v>
      </c>
      <c r="N4874" t="s">
        <v>64</v>
      </c>
      <c r="O4874" t="s">
        <v>46</v>
      </c>
      <c r="P4874" t="s">
        <v>46</v>
      </c>
      <c r="Y4874" t="s">
        <v>16344</v>
      </c>
    </row>
    <row r="4875" spans="1:25">
      <c r="A4875" t="s">
        <v>16345</v>
      </c>
      <c r="B4875" t="s">
        <v>16346</v>
      </c>
      <c r="D4875" t="s">
        <v>40</v>
      </c>
      <c r="E4875" t="s">
        <v>41</v>
      </c>
      <c r="J4875" t="s">
        <v>42</v>
      </c>
      <c r="K4875" t="s">
        <v>43</v>
      </c>
      <c r="L4875">
        <v>9</v>
      </c>
      <c r="M4875" t="s">
        <v>16347</v>
      </c>
      <c r="N4875" t="s">
        <v>1550</v>
      </c>
      <c r="O4875" t="s">
        <v>46</v>
      </c>
      <c r="P4875" t="s">
        <v>46</v>
      </c>
      <c r="Y4875" t="s">
        <v>16348</v>
      </c>
    </row>
    <row r="4876" spans="1:25">
      <c r="A4876" t="s">
        <v>16349</v>
      </c>
      <c r="B4876" t="s">
        <v>16350</v>
      </c>
      <c r="D4876" t="s">
        <v>40</v>
      </c>
      <c r="E4876" t="s">
        <v>41</v>
      </c>
      <c r="J4876" t="s">
        <v>76</v>
      </c>
      <c r="K4876" t="s">
        <v>77</v>
      </c>
      <c r="L4876">
        <v>9</v>
      </c>
      <c r="M4876" t="s">
        <v>16347</v>
      </c>
      <c r="N4876" t="s">
        <v>64</v>
      </c>
      <c r="O4876" t="s">
        <v>46</v>
      </c>
      <c r="P4876" t="s">
        <v>46</v>
      </c>
      <c r="Y4876" t="s">
        <v>16351</v>
      </c>
    </row>
    <row r="4877" spans="1:25">
      <c r="A4877" t="s">
        <v>16352</v>
      </c>
      <c r="B4877" t="s">
        <v>16353</v>
      </c>
      <c r="D4877" t="s">
        <v>40</v>
      </c>
      <c r="E4877" t="s">
        <v>41</v>
      </c>
      <c r="J4877" t="s">
        <v>182</v>
      </c>
      <c r="K4877" t="s">
        <v>183</v>
      </c>
      <c r="L4877">
        <v>9</v>
      </c>
      <c r="M4877" t="s">
        <v>16347</v>
      </c>
      <c r="N4877" t="s">
        <v>64</v>
      </c>
      <c r="O4877" t="s">
        <v>46</v>
      </c>
      <c r="P4877" t="s">
        <v>46</v>
      </c>
      <c r="Y4877" t="s">
        <v>16354</v>
      </c>
    </row>
    <row r="4878" spans="1:25">
      <c r="A4878" t="s">
        <v>16355</v>
      </c>
      <c r="B4878" t="s">
        <v>16356</v>
      </c>
      <c r="D4878" t="s">
        <v>40</v>
      </c>
      <c r="E4878" t="s">
        <v>41</v>
      </c>
      <c r="J4878" t="s">
        <v>182</v>
      </c>
      <c r="K4878" t="s">
        <v>183</v>
      </c>
      <c r="L4878">
        <v>13</v>
      </c>
      <c r="M4878" t="s">
        <v>16357</v>
      </c>
      <c r="N4878" t="s">
        <v>64</v>
      </c>
      <c r="O4878" t="s">
        <v>46</v>
      </c>
      <c r="P4878" t="s">
        <v>46</v>
      </c>
      <c r="Y4878" t="s">
        <v>16358</v>
      </c>
    </row>
    <row r="4879" spans="1:25">
      <c r="A4879" t="s">
        <v>16359</v>
      </c>
      <c r="B4879" t="s">
        <v>16360</v>
      </c>
      <c r="D4879" t="s">
        <v>40</v>
      </c>
      <c r="E4879" t="s">
        <v>41</v>
      </c>
      <c r="J4879" t="s">
        <v>182</v>
      </c>
      <c r="K4879" t="s">
        <v>183</v>
      </c>
      <c r="L4879">
        <v>12</v>
      </c>
      <c r="M4879" t="s">
        <v>16357</v>
      </c>
      <c r="N4879" t="s">
        <v>64</v>
      </c>
      <c r="O4879" t="s">
        <v>46</v>
      </c>
      <c r="P4879" t="s">
        <v>46</v>
      </c>
      <c r="Y4879" t="s">
        <v>16361</v>
      </c>
    </row>
    <row r="4880" spans="1:25">
      <c r="A4880" t="s">
        <v>16362</v>
      </c>
      <c r="B4880" t="s">
        <v>16363</v>
      </c>
      <c r="D4880" t="s">
        <v>40</v>
      </c>
      <c r="E4880" t="s">
        <v>41</v>
      </c>
      <c r="J4880" t="s">
        <v>182</v>
      </c>
      <c r="K4880" t="s">
        <v>183</v>
      </c>
      <c r="L4880">
        <v>10</v>
      </c>
      <c r="M4880" t="s">
        <v>16364</v>
      </c>
      <c r="N4880" t="s">
        <v>64</v>
      </c>
      <c r="O4880" t="s">
        <v>46</v>
      </c>
      <c r="P4880" t="s">
        <v>46</v>
      </c>
      <c r="Y4880" t="s">
        <v>16365</v>
      </c>
    </row>
    <row r="4881" spans="1:25">
      <c r="A4881" t="s">
        <v>16366</v>
      </c>
      <c r="B4881" t="s">
        <v>16367</v>
      </c>
      <c r="D4881" t="s">
        <v>40</v>
      </c>
      <c r="E4881" t="s">
        <v>41</v>
      </c>
      <c r="J4881" t="s">
        <v>182</v>
      </c>
      <c r="K4881" t="s">
        <v>183</v>
      </c>
      <c r="L4881">
        <v>11</v>
      </c>
      <c r="M4881" t="s">
        <v>16364</v>
      </c>
      <c r="N4881" t="s">
        <v>64</v>
      </c>
      <c r="O4881" t="s">
        <v>46</v>
      </c>
      <c r="P4881" t="s">
        <v>46</v>
      </c>
      <c r="Y4881" t="s">
        <v>16368</v>
      </c>
    </row>
    <row r="4882" spans="1:25">
      <c r="A4882" t="s">
        <v>16369</v>
      </c>
      <c r="B4882" t="s">
        <v>16370</v>
      </c>
      <c r="D4882" t="s">
        <v>40</v>
      </c>
      <c r="E4882" t="s">
        <v>41</v>
      </c>
      <c r="J4882" t="s">
        <v>182</v>
      </c>
      <c r="K4882" t="s">
        <v>183</v>
      </c>
      <c r="L4882">
        <v>10</v>
      </c>
      <c r="M4882" t="s">
        <v>16371</v>
      </c>
      <c r="N4882" t="s">
        <v>64</v>
      </c>
      <c r="O4882" t="s">
        <v>46</v>
      </c>
      <c r="P4882" t="s">
        <v>46</v>
      </c>
      <c r="Y4882" t="s">
        <v>16372</v>
      </c>
    </row>
    <row r="4883" spans="1:25">
      <c r="A4883" t="s">
        <v>16373</v>
      </c>
      <c r="B4883" t="s">
        <v>16374</v>
      </c>
      <c r="D4883" t="s">
        <v>40</v>
      </c>
      <c r="E4883" t="s">
        <v>41</v>
      </c>
      <c r="J4883" t="s">
        <v>182</v>
      </c>
      <c r="K4883" t="s">
        <v>183</v>
      </c>
      <c r="L4883">
        <v>10</v>
      </c>
      <c r="M4883" t="s">
        <v>16371</v>
      </c>
      <c r="N4883" t="s">
        <v>64</v>
      </c>
      <c r="O4883" t="s">
        <v>46</v>
      </c>
      <c r="P4883" t="s">
        <v>46</v>
      </c>
      <c r="Y4883" t="s">
        <v>16375</v>
      </c>
    </row>
    <row r="4884" spans="1:25">
      <c r="A4884" t="s">
        <v>16376</v>
      </c>
      <c r="B4884" t="s">
        <v>16377</v>
      </c>
      <c r="D4884" t="s">
        <v>40</v>
      </c>
      <c r="E4884" t="s">
        <v>41</v>
      </c>
      <c r="J4884" t="s">
        <v>76</v>
      </c>
      <c r="K4884" t="s">
        <v>77</v>
      </c>
      <c r="L4884">
        <v>9</v>
      </c>
      <c r="M4884" t="s">
        <v>16378</v>
      </c>
      <c r="N4884" t="s">
        <v>64</v>
      </c>
      <c r="O4884" t="s">
        <v>46</v>
      </c>
      <c r="P4884" t="s">
        <v>46</v>
      </c>
      <c r="Y4884" t="s">
        <v>16379</v>
      </c>
    </row>
    <row r="4885" spans="1:25">
      <c r="A4885" t="s">
        <v>16380</v>
      </c>
      <c r="B4885" t="s">
        <v>16381</v>
      </c>
      <c r="D4885" t="s">
        <v>40</v>
      </c>
      <c r="E4885" t="s">
        <v>41</v>
      </c>
      <c r="J4885" t="s">
        <v>68</v>
      </c>
      <c r="K4885" t="s">
        <v>69</v>
      </c>
      <c r="L4885">
        <v>9</v>
      </c>
      <c r="M4885" t="s">
        <v>16378</v>
      </c>
      <c r="N4885" t="s">
        <v>64</v>
      </c>
      <c r="O4885" t="s">
        <v>46</v>
      </c>
      <c r="P4885" t="s">
        <v>46</v>
      </c>
      <c r="Y4885" t="s">
        <v>16382</v>
      </c>
    </row>
    <row r="4886" spans="1:25">
      <c r="A4886" t="s">
        <v>16383</v>
      </c>
      <c r="B4886" t="s">
        <v>16384</v>
      </c>
      <c r="D4886" t="s">
        <v>40</v>
      </c>
      <c r="E4886" t="s">
        <v>41</v>
      </c>
      <c r="J4886" t="s">
        <v>42</v>
      </c>
      <c r="K4886" t="s">
        <v>43</v>
      </c>
      <c r="L4886">
        <v>9</v>
      </c>
      <c r="M4886" t="s">
        <v>16385</v>
      </c>
      <c r="N4886" t="s">
        <v>1397</v>
      </c>
      <c r="O4886" t="s">
        <v>46</v>
      </c>
      <c r="P4886" t="s">
        <v>46</v>
      </c>
      <c r="Y4886" t="s">
        <v>16386</v>
      </c>
    </row>
    <row r="4887" spans="1:25">
      <c r="A4887" t="s">
        <v>16387</v>
      </c>
      <c r="B4887" t="s">
        <v>16388</v>
      </c>
      <c r="D4887" t="s">
        <v>40</v>
      </c>
      <c r="E4887" t="s">
        <v>41</v>
      </c>
      <c r="J4887" t="s">
        <v>76</v>
      </c>
      <c r="K4887" t="s">
        <v>77</v>
      </c>
      <c r="L4887">
        <v>9</v>
      </c>
      <c r="M4887" t="s">
        <v>16385</v>
      </c>
      <c r="N4887" t="s">
        <v>64</v>
      </c>
      <c r="O4887" t="s">
        <v>46</v>
      </c>
      <c r="P4887" t="s">
        <v>46</v>
      </c>
      <c r="Y4887" t="s">
        <v>16389</v>
      </c>
    </row>
    <row r="4888" spans="1:25">
      <c r="A4888" t="s">
        <v>16390</v>
      </c>
      <c r="B4888" t="s">
        <v>16391</v>
      </c>
      <c r="D4888" t="s">
        <v>40</v>
      </c>
      <c r="E4888" t="s">
        <v>41</v>
      </c>
      <c r="J4888" t="s">
        <v>76</v>
      </c>
      <c r="K4888" t="s">
        <v>77</v>
      </c>
      <c r="L4888">
        <v>9</v>
      </c>
      <c r="M4888" t="s">
        <v>16385</v>
      </c>
      <c r="N4888" t="s">
        <v>64</v>
      </c>
      <c r="O4888" t="s">
        <v>46</v>
      </c>
      <c r="P4888" t="s">
        <v>46</v>
      </c>
      <c r="Y4888" t="s">
        <v>16392</v>
      </c>
    </row>
    <row r="4889" spans="1:25">
      <c r="A4889" t="s">
        <v>16393</v>
      </c>
      <c r="B4889" t="s">
        <v>16394</v>
      </c>
      <c r="D4889" t="s">
        <v>40</v>
      </c>
      <c r="E4889" t="s">
        <v>41</v>
      </c>
      <c r="J4889" t="s">
        <v>42</v>
      </c>
      <c r="K4889" t="s">
        <v>43</v>
      </c>
      <c r="L4889">
        <v>9</v>
      </c>
      <c r="M4889" t="s">
        <v>16395</v>
      </c>
      <c r="N4889" t="s">
        <v>291</v>
      </c>
      <c r="O4889" t="s">
        <v>46</v>
      </c>
      <c r="P4889" t="s">
        <v>46</v>
      </c>
      <c r="Y4889" t="s">
        <v>16396</v>
      </c>
    </row>
    <row r="4890" spans="1:25">
      <c r="A4890" t="s">
        <v>16397</v>
      </c>
      <c r="B4890" t="s">
        <v>16398</v>
      </c>
      <c r="D4890" t="s">
        <v>40</v>
      </c>
      <c r="E4890" t="s">
        <v>41</v>
      </c>
      <c r="J4890" t="s">
        <v>182</v>
      </c>
      <c r="K4890" t="s">
        <v>183</v>
      </c>
      <c r="L4890">
        <v>9</v>
      </c>
      <c r="M4890" t="s">
        <v>16399</v>
      </c>
      <c r="N4890" t="s">
        <v>64</v>
      </c>
      <c r="O4890" t="s">
        <v>46</v>
      </c>
      <c r="P4890" t="s">
        <v>46</v>
      </c>
      <c r="Y4890" t="s">
        <v>16400</v>
      </c>
    </row>
    <row r="4891" spans="1:25">
      <c r="A4891" t="s">
        <v>16401</v>
      </c>
      <c r="B4891" t="s">
        <v>16402</v>
      </c>
      <c r="D4891" t="s">
        <v>40</v>
      </c>
      <c r="E4891" t="s">
        <v>41</v>
      </c>
      <c r="J4891" t="s">
        <v>68</v>
      </c>
      <c r="K4891" t="s">
        <v>69</v>
      </c>
      <c r="L4891">
        <v>9</v>
      </c>
      <c r="M4891" t="s">
        <v>16399</v>
      </c>
      <c r="N4891" t="s">
        <v>64</v>
      </c>
      <c r="O4891" t="s">
        <v>46</v>
      </c>
      <c r="P4891" t="s">
        <v>46</v>
      </c>
      <c r="Y4891" t="s">
        <v>16403</v>
      </c>
    </row>
    <row r="4892" spans="1:25">
      <c r="A4892" t="s">
        <v>16404</v>
      </c>
      <c r="B4892" t="s">
        <v>16405</v>
      </c>
      <c r="D4892" t="s">
        <v>40</v>
      </c>
      <c r="E4892" t="s">
        <v>41</v>
      </c>
      <c r="J4892" t="s">
        <v>182</v>
      </c>
      <c r="K4892" t="s">
        <v>183</v>
      </c>
      <c r="L4892">
        <v>9</v>
      </c>
      <c r="M4892" t="s">
        <v>16406</v>
      </c>
      <c r="N4892" t="s">
        <v>64</v>
      </c>
      <c r="O4892" t="s">
        <v>46</v>
      </c>
      <c r="P4892" t="s">
        <v>46</v>
      </c>
      <c r="Y4892" t="s">
        <v>16407</v>
      </c>
    </row>
    <row r="4893" spans="1:25">
      <c r="A4893" t="s">
        <v>16408</v>
      </c>
      <c r="B4893" t="s">
        <v>16409</v>
      </c>
      <c r="D4893" t="s">
        <v>40</v>
      </c>
      <c r="E4893" t="s">
        <v>41</v>
      </c>
      <c r="J4893" t="s">
        <v>182</v>
      </c>
      <c r="K4893" t="s">
        <v>183</v>
      </c>
      <c r="L4893">
        <v>9</v>
      </c>
      <c r="M4893" t="s">
        <v>16406</v>
      </c>
      <c r="N4893" t="s">
        <v>64</v>
      </c>
      <c r="O4893" t="s">
        <v>46</v>
      </c>
      <c r="P4893" t="s">
        <v>46</v>
      </c>
      <c r="Y4893" t="s">
        <v>16410</v>
      </c>
    </row>
    <row r="4894" spans="1:25">
      <c r="A4894" t="s">
        <v>16411</v>
      </c>
      <c r="B4894" t="s">
        <v>16412</v>
      </c>
      <c r="D4894" t="s">
        <v>40</v>
      </c>
      <c r="E4894" t="s">
        <v>41</v>
      </c>
      <c r="J4894" t="s">
        <v>50</v>
      </c>
      <c r="K4894" t="s">
        <v>51</v>
      </c>
      <c r="L4894">
        <v>9</v>
      </c>
      <c r="M4894" t="s">
        <v>16406</v>
      </c>
      <c r="N4894" t="s">
        <v>617</v>
      </c>
      <c r="O4894" t="s">
        <v>46</v>
      </c>
      <c r="P4894" t="s">
        <v>46</v>
      </c>
      <c r="Y4894" t="s">
        <v>16413</v>
      </c>
    </row>
    <row r="4895" spans="1:25">
      <c r="A4895" t="s">
        <v>16414</v>
      </c>
      <c r="B4895" t="s">
        <v>16415</v>
      </c>
      <c r="D4895" t="s">
        <v>40</v>
      </c>
      <c r="E4895" t="s">
        <v>41</v>
      </c>
      <c r="J4895" t="s">
        <v>76</v>
      </c>
      <c r="K4895" t="s">
        <v>77</v>
      </c>
      <c r="L4895">
        <v>9</v>
      </c>
      <c r="M4895" t="s">
        <v>16406</v>
      </c>
      <c r="N4895" t="s">
        <v>64</v>
      </c>
      <c r="O4895" t="s">
        <v>46</v>
      </c>
      <c r="P4895" t="s">
        <v>46</v>
      </c>
      <c r="Y4895" t="s">
        <v>16416</v>
      </c>
    </row>
    <row r="4896" spans="1:25">
      <c r="A4896" t="s">
        <v>16417</v>
      </c>
      <c r="B4896" t="s">
        <v>16418</v>
      </c>
      <c r="D4896" t="s">
        <v>40</v>
      </c>
      <c r="E4896" t="s">
        <v>41</v>
      </c>
      <c r="J4896" t="s">
        <v>42</v>
      </c>
      <c r="K4896" t="s">
        <v>43</v>
      </c>
      <c r="L4896">
        <v>9</v>
      </c>
      <c r="M4896" t="s">
        <v>16419</v>
      </c>
      <c r="N4896" t="s">
        <v>173</v>
      </c>
      <c r="O4896" t="s">
        <v>46</v>
      </c>
      <c r="P4896" t="s">
        <v>46</v>
      </c>
      <c r="Y4896" t="s">
        <v>16420</v>
      </c>
    </row>
    <row r="4897" spans="1:25">
      <c r="A4897" t="s">
        <v>16421</v>
      </c>
      <c r="B4897" t="s">
        <v>16422</v>
      </c>
      <c r="D4897" t="s">
        <v>40</v>
      </c>
      <c r="E4897" t="s">
        <v>41</v>
      </c>
      <c r="J4897" t="s">
        <v>76</v>
      </c>
      <c r="K4897" t="s">
        <v>77</v>
      </c>
      <c r="L4897">
        <v>9</v>
      </c>
      <c r="M4897" t="s">
        <v>16419</v>
      </c>
      <c r="N4897" t="s">
        <v>64</v>
      </c>
      <c r="O4897" t="s">
        <v>46</v>
      </c>
      <c r="P4897" t="s">
        <v>46</v>
      </c>
      <c r="Y4897" t="s">
        <v>16423</v>
      </c>
    </row>
    <row r="4898" spans="1:25">
      <c r="A4898" t="s">
        <v>16424</v>
      </c>
      <c r="B4898" t="s">
        <v>16425</v>
      </c>
      <c r="D4898" t="s">
        <v>40</v>
      </c>
      <c r="E4898" t="s">
        <v>41</v>
      </c>
      <c r="J4898" t="s">
        <v>68</v>
      </c>
      <c r="K4898" t="s">
        <v>69</v>
      </c>
      <c r="L4898">
        <v>9</v>
      </c>
      <c r="M4898" t="s">
        <v>16419</v>
      </c>
      <c r="N4898" t="s">
        <v>64</v>
      </c>
      <c r="O4898" t="s">
        <v>46</v>
      </c>
      <c r="P4898" t="s">
        <v>46</v>
      </c>
      <c r="Y4898" t="s">
        <v>16426</v>
      </c>
    </row>
    <row r="4899" spans="1:25">
      <c r="A4899" t="s">
        <v>16427</v>
      </c>
      <c r="B4899" t="s">
        <v>16428</v>
      </c>
      <c r="D4899" t="s">
        <v>40</v>
      </c>
      <c r="E4899" t="s">
        <v>41</v>
      </c>
      <c r="J4899" t="s">
        <v>182</v>
      </c>
      <c r="K4899" t="s">
        <v>183</v>
      </c>
      <c r="L4899">
        <v>9</v>
      </c>
      <c r="M4899" t="s">
        <v>16429</v>
      </c>
      <c r="N4899" t="s">
        <v>64</v>
      </c>
      <c r="O4899" t="s">
        <v>46</v>
      </c>
      <c r="P4899" t="s">
        <v>46</v>
      </c>
      <c r="Y4899" t="s">
        <v>16430</v>
      </c>
    </row>
    <row r="4900" spans="1:25">
      <c r="A4900" t="s">
        <v>16431</v>
      </c>
      <c r="B4900" t="s">
        <v>16432</v>
      </c>
      <c r="D4900" t="s">
        <v>40</v>
      </c>
      <c r="E4900" t="s">
        <v>41</v>
      </c>
      <c r="J4900" t="s">
        <v>76</v>
      </c>
      <c r="K4900" t="s">
        <v>77</v>
      </c>
      <c r="L4900">
        <v>9</v>
      </c>
      <c r="M4900" t="s">
        <v>16429</v>
      </c>
      <c r="N4900" t="s">
        <v>64</v>
      </c>
      <c r="O4900" t="s">
        <v>46</v>
      </c>
      <c r="P4900" t="s">
        <v>46</v>
      </c>
      <c r="Y4900" t="s">
        <v>16433</v>
      </c>
    </row>
    <row r="4901" spans="1:25">
      <c r="A4901" t="s">
        <v>16434</v>
      </c>
      <c r="B4901" t="s">
        <v>16435</v>
      </c>
      <c r="D4901" t="s">
        <v>40</v>
      </c>
      <c r="E4901" t="s">
        <v>41</v>
      </c>
      <c r="J4901" t="s">
        <v>911</v>
      </c>
      <c r="K4901" t="s">
        <v>912</v>
      </c>
      <c r="L4901">
        <v>9</v>
      </c>
      <c r="M4901" t="s">
        <v>16429</v>
      </c>
      <c r="N4901" t="s">
        <v>1814</v>
      </c>
      <c r="O4901" t="s">
        <v>46</v>
      </c>
      <c r="P4901" t="s">
        <v>46</v>
      </c>
      <c r="Y4901" t="s">
        <v>16436</v>
      </c>
    </row>
    <row r="4902" spans="1:25">
      <c r="A4902" t="s">
        <v>16437</v>
      </c>
      <c r="B4902" t="s">
        <v>16438</v>
      </c>
      <c r="D4902" t="s">
        <v>40</v>
      </c>
      <c r="E4902" t="s">
        <v>41</v>
      </c>
      <c r="J4902" t="s">
        <v>76</v>
      </c>
      <c r="K4902" t="s">
        <v>77</v>
      </c>
      <c r="L4902">
        <v>9</v>
      </c>
      <c r="M4902" t="s">
        <v>16429</v>
      </c>
      <c r="N4902" t="s">
        <v>64</v>
      </c>
      <c r="O4902" t="s">
        <v>46</v>
      </c>
      <c r="P4902" t="s">
        <v>46</v>
      </c>
      <c r="Y4902" t="s">
        <v>16439</v>
      </c>
    </row>
    <row r="4903" spans="1:25">
      <c r="A4903" t="s">
        <v>16440</v>
      </c>
      <c r="B4903" t="s">
        <v>16441</v>
      </c>
      <c r="D4903" t="s">
        <v>40</v>
      </c>
      <c r="E4903" t="s">
        <v>41</v>
      </c>
      <c r="J4903" t="s">
        <v>68</v>
      </c>
      <c r="K4903" t="s">
        <v>69</v>
      </c>
      <c r="L4903">
        <v>9</v>
      </c>
      <c r="M4903" t="s">
        <v>16442</v>
      </c>
      <c r="N4903" t="s">
        <v>64</v>
      </c>
      <c r="O4903" t="s">
        <v>46</v>
      </c>
      <c r="P4903" t="s">
        <v>46</v>
      </c>
      <c r="Y4903" t="s">
        <v>16443</v>
      </c>
    </row>
    <row r="4904" spans="1:25">
      <c r="A4904" t="s">
        <v>16444</v>
      </c>
      <c r="B4904" t="s">
        <v>16445</v>
      </c>
      <c r="D4904" t="s">
        <v>40</v>
      </c>
      <c r="E4904" t="s">
        <v>41</v>
      </c>
      <c r="J4904" t="s">
        <v>182</v>
      </c>
      <c r="K4904" t="s">
        <v>183</v>
      </c>
      <c r="L4904">
        <v>9</v>
      </c>
      <c r="M4904" t="s">
        <v>16442</v>
      </c>
      <c r="N4904" t="s">
        <v>64</v>
      </c>
      <c r="O4904" t="s">
        <v>46</v>
      </c>
      <c r="P4904" t="s">
        <v>46</v>
      </c>
      <c r="Y4904" t="s">
        <v>16446</v>
      </c>
    </row>
    <row r="4905" spans="1:25">
      <c r="A4905" t="s">
        <v>16447</v>
      </c>
      <c r="B4905" t="s">
        <v>16448</v>
      </c>
      <c r="D4905" t="s">
        <v>40</v>
      </c>
      <c r="E4905" t="s">
        <v>41</v>
      </c>
      <c r="J4905" t="s">
        <v>76</v>
      </c>
      <c r="K4905" t="s">
        <v>77</v>
      </c>
      <c r="L4905">
        <v>9</v>
      </c>
      <c r="M4905" t="s">
        <v>16442</v>
      </c>
      <c r="N4905" t="s">
        <v>64</v>
      </c>
      <c r="O4905" t="s">
        <v>46</v>
      </c>
      <c r="P4905" t="s">
        <v>46</v>
      </c>
      <c r="Y4905" t="s">
        <v>16449</v>
      </c>
    </row>
    <row r="4906" spans="1:25">
      <c r="A4906" t="s">
        <v>16450</v>
      </c>
      <c r="B4906" t="s">
        <v>16451</v>
      </c>
      <c r="D4906" t="s">
        <v>40</v>
      </c>
      <c r="E4906" t="s">
        <v>41</v>
      </c>
      <c r="J4906" t="s">
        <v>182</v>
      </c>
      <c r="K4906" t="s">
        <v>183</v>
      </c>
      <c r="L4906">
        <v>9</v>
      </c>
      <c r="M4906" t="s">
        <v>16442</v>
      </c>
      <c r="N4906" t="s">
        <v>64</v>
      </c>
      <c r="O4906" t="s">
        <v>46</v>
      </c>
      <c r="P4906" t="s">
        <v>46</v>
      </c>
      <c r="Y4906" t="s">
        <v>16452</v>
      </c>
    </row>
    <row r="4907" spans="1:25">
      <c r="A4907" t="s">
        <v>16453</v>
      </c>
      <c r="B4907" t="s">
        <v>16454</v>
      </c>
      <c r="D4907" t="s">
        <v>40</v>
      </c>
      <c r="E4907" t="s">
        <v>41</v>
      </c>
      <c r="J4907" t="s">
        <v>76</v>
      </c>
      <c r="K4907" t="s">
        <v>77</v>
      </c>
      <c r="L4907">
        <v>9</v>
      </c>
      <c r="M4907" t="s">
        <v>16442</v>
      </c>
      <c r="N4907" t="s">
        <v>64</v>
      </c>
      <c r="O4907" t="s">
        <v>46</v>
      </c>
      <c r="P4907" t="s">
        <v>46</v>
      </c>
      <c r="Y4907" t="s">
        <v>16455</v>
      </c>
    </row>
    <row r="4908" spans="1:25">
      <c r="A4908" t="s">
        <v>16456</v>
      </c>
      <c r="B4908" t="s">
        <v>16457</v>
      </c>
      <c r="D4908" t="s">
        <v>40</v>
      </c>
      <c r="E4908" t="s">
        <v>41</v>
      </c>
      <c r="J4908" t="s">
        <v>16458</v>
      </c>
      <c r="K4908" t="s">
        <v>16459</v>
      </c>
      <c r="L4908">
        <v>9</v>
      </c>
      <c r="M4908" t="s">
        <v>16460</v>
      </c>
      <c r="N4908" t="s">
        <v>178</v>
      </c>
      <c r="O4908" t="s">
        <v>46</v>
      </c>
      <c r="P4908" t="s">
        <v>46</v>
      </c>
      <c r="Y4908" t="s">
        <v>16461</v>
      </c>
    </row>
    <row r="4909" spans="1:25">
      <c r="A4909" t="s">
        <v>16462</v>
      </c>
      <c r="B4909" t="s">
        <v>16463</v>
      </c>
      <c r="D4909" t="s">
        <v>40</v>
      </c>
      <c r="E4909" t="s">
        <v>41</v>
      </c>
      <c r="J4909" t="s">
        <v>68</v>
      </c>
      <c r="K4909" t="s">
        <v>69</v>
      </c>
      <c r="L4909">
        <v>9</v>
      </c>
      <c r="M4909" t="s">
        <v>16460</v>
      </c>
      <c r="N4909" t="s">
        <v>64</v>
      </c>
      <c r="O4909" t="s">
        <v>46</v>
      </c>
      <c r="P4909" t="s">
        <v>46</v>
      </c>
      <c r="Y4909" t="s">
        <v>16464</v>
      </c>
    </row>
    <row r="4910" spans="1:25">
      <c r="A4910" t="s">
        <v>16465</v>
      </c>
      <c r="B4910" t="s">
        <v>16466</v>
      </c>
      <c r="D4910" t="s">
        <v>40</v>
      </c>
      <c r="E4910" t="s">
        <v>41</v>
      </c>
      <c r="J4910" t="s">
        <v>182</v>
      </c>
      <c r="K4910" t="s">
        <v>183</v>
      </c>
      <c r="L4910">
        <v>9</v>
      </c>
      <c r="M4910" t="s">
        <v>16460</v>
      </c>
      <c r="N4910" t="s">
        <v>64</v>
      </c>
      <c r="O4910" t="s">
        <v>46</v>
      </c>
      <c r="P4910" t="s">
        <v>46</v>
      </c>
      <c r="Y4910" t="s">
        <v>16467</v>
      </c>
    </row>
    <row r="4911" spans="1:25">
      <c r="A4911" t="s">
        <v>16468</v>
      </c>
      <c r="B4911" t="s">
        <v>16469</v>
      </c>
      <c r="D4911" t="s">
        <v>40</v>
      </c>
      <c r="E4911" t="s">
        <v>41</v>
      </c>
      <c r="J4911" t="s">
        <v>182</v>
      </c>
      <c r="K4911" t="s">
        <v>183</v>
      </c>
      <c r="L4911">
        <v>9</v>
      </c>
      <c r="M4911" t="s">
        <v>16470</v>
      </c>
      <c r="N4911" t="s">
        <v>64</v>
      </c>
      <c r="O4911" t="s">
        <v>46</v>
      </c>
      <c r="P4911" t="s">
        <v>46</v>
      </c>
      <c r="Y4911" t="s">
        <v>16471</v>
      </c>
    </row>
    <row r="4912" spans="1:25">
      <c r="A4912" t="s">
        <v>16472</v>
      </c>
      <c r="B4912" t="s">
        <v>16473</v>
      </c>
      <c r="D4912" t="s">
        <v>40</v>
      </c>
      <c r="E4912" t="s">
        <v>41</v>
      </c>
      <c r="J4912" t="s">
        <v>182</v>
      </c>
      <c r="K4912" t="s">
        <v>183</v>
      </c>
      <c r="L4912">
        <v>9</v>
      </c>
      <c r="M4912" t="s">
        <v>16474</v>
      </c>
      <c r="N4912" t="s">
        <v>64</v>
      </c>
      <c r="O4912" t="s">
        <v>46</v>
      </c>
      <c r="P4912" t="s">
        <v>46</v>
      </c>
      <c r="Y4912" t="s">
        <v>16475</v>
      </c>
    </row>
    <row r="4913" spans="1:25">
      <c r="A4913" t="s">
        <v>16476</v>
      </c>
      <c r="B4913" t="s">
        <v>16477</v>
      </c>
      <c r="D4913" t="s">
        <v>40</v>
      </c>
      <c r="E4913" t="s">
        <v>41</v>
      </c>
      <c r="J4913" t="s">
        <v>68</v>
      </c>
      <c r="K4913" t="s">
        <v>69</v>
      </c>
      <c r="L4913">
        <v>9</v>
      </c>
      <c r="M4913" t="s">
        <v>16474</v>
      </c>
      <c r="N4913" t="s">
        <v>64</v>
      </c>
      <c r="O4913" t="s">
        <v>46</v>
      </c>
      <c r="P4913" t="s">
        <v>46</v>
      </c>
      <c r="Y4913" t="s">
        <v>16478</v>
      </c>
    </row>
    <row r="4914" spans="1:25">
      <c r="A4914" t="s">
        <v>16479</v>
      </c>
      <c r="B4914" t="s">
        <v>16480</v>
      </c>
      <c r="D4914" t="s">
        <v>40</v>
      </c>
      <c r="E4914" t="s">
        <v>41</v>
      </c>
      <c r="J4914" t="s">
        <v>76</v>
      </c>
      <c r="K4914" t="s">
        <v>77</v>
      </c>
      <c r="L4914">
        <v>9</v>
      </c>
      <c r="M4914" t="s">
        <v>16474</v>
      </c>
      <c r="N4914" t="s">
        <v>64</v>
      </c>
      <c r="O4914" t="s">
        <v>46</v>
      </c>
      <c r="P4914" t="s">
        <v>46</v>
      </c>
      <c r="Y4914" t="s">
        <v>16481</v>
      </c>
    </row>
    <row r="4915" spans="1:25">
      <c r="A4915" t="s">
        <v>16482</v>
      </c>
      <c r="B4915" t="s">
        <v>16483</v>
      </c>
      <c r="D4915" t="s">
        <v>40</v>
      </c>
      <c r="E4915" t="s">
        <v>41</v>
      </c>
      <c r="J4915" t="s">
        <v>42</v>
      </c>
      <c r="K4915" t="s">
        <v>43</v>
      </c>
      <c r="L4915">
        <v>9</v>
      </c>
      <c r="M4915" t="s">
        <v>16474</v>
      </c>
      <c r="N4915" t="s">
        <v>310</v>
      </c>
      <c r="O4915" t="s">
        <v>46</v>
      </c>
      <c r="P4915" t="s">
        <v>46</v>
      </c>
      <c r="Y4915" t="s">
        <v>16484</v>
      </c>
    </row>
    <row r="4916" spans="1:25">
      <c r="A4916" t="s">
        <v>16485</v>
      </c>
      <c r="B4916" t="s">
        <v>16486</v>
      </c>
      <c r="D4916" t="s">
        <v>40</v>
      </c>
      <c r="E4916" t="s">
        <v>41</v>
      </c>
      <c r="J4916" t="s">
        <v>182</v>
      </c>
      <c r="K4916" t="s">
        <v>183</v>
      </c>
      <c r="L4916">
        <v>9</v>
      </c>
      <c r="M4916" t="s">
        <v>16474</v>
      </c>
      <c r="N4916" t="s">
        <v>64</v>
      </c>
      <c r="O4916" t="s">
        <v>46</v>
      </c>
      <c r="P4916" t="s">
        <v>46</v>
      </c>
      <c r="Y4916" t="s">
        <v>16487</v>
      </c>
    </row>
    <row r="4917" spans="1:25">
      <c r="A4917" t="s">
        <v>16488</v>
      </c>
      <c r="B4917" t="s">
        <v>16489</v>
      </c>
      <c r="D4917" t="s">
        <v>40</v>
      </c>
      <c r="E4917" t="s">
        <v>41</v>
      </c>
      <c r="J4917" t="s">
        <v>182</v>
      </c>
      <c r="K4917" t="s">
        <v>183</v>
      </c>
      <c r="L4917">
        <v>9</v>
      </c>
      <c r="M4917" t="s">
        <v>16490</v>
      </c>
      <c r="N4917" t="s">
        <v>64</v>
      </c>
      <c r="O4917" t="s">
        <v>46</v>
      </c>
      <c r="P4917" t="s">
        <v>46</v>
      </c>
      <c r="Y4917" t="s">
        <v>16491</v>
      </c>
    </row>
    <row r="4918" spans="1:25">
      <c r="A4918" t="s">
        <v>16492</v>
      </c>
      <c r="B4918" t="s">
        <v>16493</v>
      </c>
      <c r="D4918" t="s">
        <v>40</v>
      </c>
      <c r="E4918" t="s">
        <v>41</v>
      </c>
      <c r="J4918" t="s">
        <v>76</v>
      </c>
      <c r="K4918" t="s">
        <v>77</v>
      </c>
      <c r="L4918">
        <v>9</v>
      </c>
      <c r="M4918" t="s">
        <v>16490</v>
      </c>
      <c r="N4918" t="s">
        <v>64</v>
      </c>
      <c r="O4918" t="s">
        <v>46</v>
      </c>
      <c r="P4918" t="s">
        <v>46</v>
      </c>
      <c r="Y4918" t="s">
        <v>16494</v>
      </c>
    </row>
    <row r="4919" spans="1:25">
      <c r="A4919" t="s">
        <v>16495</v>
      </c>
      <c r="B4919" t="s">
        <v>16496</v>
      </c>
      <c r="D4919" t="s">
        <v>40</v>
      </c>
      <c r="E4919" t="s">
        <v>41</v>
      </c>
      <c r="J4919" t="s">
        <v>76</v>
      </c>
      <c r="K4919" t="s">
        <v>77</v>
      </c>
      <c r="L4919">
        <v>9</v>
      </c>
      <c r="M4919" t="s">
        <v>16490</v>
      </c>
      <c r="N4919" t="s">
        <v>64</v>
      </c>
      <c r="O4919" t="s">
        <v>46</v>
      </c>
      <c r="P4919" t="s">
        <v>46</v>
      </c>
      <c r="Y4919" t="s">
        <v>16497</v>
      </c>
    </row>
    <row r="4920" spans="1:25">
      <c r="A4920" t="s">
        <v>16498</v>
      </c>
      <c r="B4920" t="s">
        <v>16499</v>
      </c>
      <c r="D4920" t="s">
        <v>40</v>
      </c>
      <c r="E4920" t="s">
        <v>41</v>
      </c>
      <c r="J4920" t="s">
        <v>182</v>
      </c>
      <c r="K4920" t="s">
        <v>183</v>
      </c>
      <c r="L4920">
        <v>9</v>
      </c>
      <c r="M4920" t="s">
        <v>16490</v>
      </c>
      <c r="N4920" t="s">
        <v>64</v>
      </c>
      <c r="O4920" t="s">
        <v>46</v>
      </c>
      <c r="P4920" t="s">
        <v>46</v>
      </c>
      <c r="Y4920" t="s">
        <v>16500</v>
      </c>
    </row>
    <row r="4921" spans="1:25">
      <c r="A4921" t="s">
        <v>16501</v>
      </c>
      <c r="B4921" t="s">
        <v>16502</v>
      </c>
      <c r="D4921" t="s">
        <v>40</v>
      </c>
      <c r="E4921" t="s">
        <v>41</v>
      </c>
      <c r="J4921" t="s">
        <v>182</v>
      </c>
      <c r="K4921" t="s">
        <v>183</v>
      </c>
      <c r="L4921">
        <v>9</v>
      </c>
      <c r="M4921" t="s">
        <v>16490</v>
      </c>
      <c r="N4921" t="s">
        <v>64</v>
      </c>
      <c r="O4921" t="s">
        <v>46</v>
      </c>
      <c r="P4921" t="s">
        <v>46</v>
      </c>
      <c r="Y4921" t="s">
        <v>16503</v>
      </c>
    </row>
    <row r="4922" spans="1:25">
      <c r="A4922" t="s">
        <v>16504</v>
      </c>
      <c r="B4922" t="s">
        <v>16505</v>
      </c>
      <c r="D4922" t="s">
        <v>40</v>
      </c>
      <c r="E4922" t="s">
        <v>41</v>
      </c>
      <c r="J4922" t="s">
        <v>182</v>
      </c>
      <c r="K4922" t="s">
        <v>183</v>
      </c>
      <c r="L4922">
        <v>9</v>
      </c>
      <c r="M4922" t="s">
        <v>16490</v>
      </c>
      <c r="N4922" t="s">
        <v>64</v>
      </c>
      <c r="O4922" t="s">
        <v>46</v>
      </c>
      <c r="P4922" t="s">
        <v>46</v>
      </c>
      <c r="Y4922" t="s">
        <v>16506</v>
      </c>
    </row>
    <row r="4923" spans="1:25">
      <c r="A4923" t="s">
        <v>16507</v>
      </c>
      <c r="B4923" t="s">
        <v>16508</v>
      </c>
      <c r="D4923" t="s">
        <v>40</v>
      </c>
      <c r="E4923" t="s">
        <v>41</v>
      </c>
      <c r="J4923" t="s">
        <v>42</v>
      </c>
      <c r="K4923" t="s">
        <v>43</v>
      </c>
      <c r="L4923">
        <v>9</v>
      </c>
      <c r="M4923" t="s">
        <v>16490</v>
      </c>
      <c r="N4923" t="s">
        <v>53</v>
      </c>
      <c r="O4923" t="s">
        <v>46</v>
      </c>
      <c r="P4923" t="s">
        <v>46</v>
      </c>
      <c r="Y4923" t="s">
        <v>16509</v>
      </c>
    </row>
    <row r="4924" spans="1:25">
      <c r="A4924" t="s">
        <v>16510</v>
      </c>
      <c r="B4924" t="s">
        <v>16511</v>
      </c>
      <c r="D4924" t="s">
        <v>40</v>
      </c>
      <c r="E4924" t="s">
        <v>41</v>
      </c>
      <c r="J4924" t="s">
        <v>76</v>
      </c>
      <c r="K4924" t="s">
        <v>77</v>
      </c>
      <c r="L4924">
        <v>9</v>
      </c>
      <c r="M4924" t="s">
        <v>16512</v>
      </c>
      <c r="N4924" t="s">
        <v>64</v>
      </c>
      <c r="O4924" t="s">
        <v>46</v>
      </c>
      <c r="P4924" t="s">
        <v>46</v>
      </c>
      <c r="Y4924" t="s">
        <v>16513</v>
      </c>
    </row>
    <row r="4925" spans="1:25">
      <c r="A4925" t="s">
        <v>16514</v>
      </c>
      <c r="B4925" t="s">
        <v>16515</v>
      </c>
      <c r="D4925" t="s">
        <v>40</v>
      </c>
      <c r="E4925" t="s">
        <v>41</v>
      </c>
      <c r="J4925" t="s">
        <v>76</v>
      </c>
      <c r="K4925" t="s">
        <v>77</v>
      </c>
      <c r="L4925">
        <v>9</v>
      </c>
      <c r="M4925" t="s">
        <v>16512</v>
      </c>
      <c r="N4925" t="s">
        <v>64</v>
      </c>
      <c r="O4925" t="s">
        <v>46</v>
      </c>
      <c r="P4925" t="s">
        <v>46</v>
      </c>
      <c r="Y4925" t="s">
        <v>16516</v>
      </c>
    </row>
    <row r="4926" spans="1:25">
      <c r="A4926" t="s">
        <v>16517</v>
      </c>
      <c r="B4926" t="s">
        <v>16518</v>
      </c>
      <c r="D4926" t="s">
        <v>40</v>
      </c>
      <c r="E4926" t="s">
        <v>41</v>
      </c>
      <c r="J4926" t="s">
        <v>182</v>
      </c>
      <c r="K4926" t="s">
        <v>183</v>
      </c>
      <c r="L4926">
        <v>9</v>
      </c>
      <c r="M4926" t="s">
        <v>16512</v>
      </c>
      <c r="N4926" t="s">
        <v>64</v>
      </c>
      <c r="O4926" t="s">
        <v>46</v>
      </c>
      <c r="P4926" t="s">
        <v>46</v>
      </c>
      <c r="Y4926" t="s">
        <v>16519</v>
      </c>
    </row>
    <row r="4927" spans="1:25">
      <c r="A4927" t="s">
        <v>16520</v>
      </c>
      <c r="B4927" t="s">
        <v>16521</v>
      </c>
      <c r="D4927" t="s">
        <v>40</v>
      </c>
      <c r="E4927" t="s">
        <v>41</v>
      </c>
      <c r="J4927" t="s">
        <v>182</v>
      </c>
      <c r="K4927" t="s">
        <v>183</v>
      </c>
      <c r="L4927">
        <v>9</v>
      </c>
      <c r="M4927" t="s">
        <v>16512</v>
      </c>
      <c r="N4927" t="s">
        <v>64</v>
      </c>
      <c r="O4927" t="s">
        <v>46</v>
      </c>
      <c r="P4927" t="s">
        <v>46</v>
      </c>
      <c r="Y4927" t="s">
        <v>16522</v>
      </c>
    </row>
    <row r="4928" spans="1:25">
      <c r="A4928" t="s">
        <v>16523</v>
      </c>
      <c r="B4928" t="s">
        <v>16524</v>
      </c>
      <c r="D4928" t="s">
        <v>40</v>
      </c>
      <c r="E4928" t="s">
        <v>41</v>
      </c>
      <c r="J4928" t="s">
        <v>76</v>
      </c>
      <c r="K4928" t="s">
        <v>77</v>
      </c>
      <c r="L4928">
        <v>9</v>
      </c>
      <c r="M4928" t="s">
        <v>16525</v>
      </c>
      <c r="N4928" t="s">
        <v>64</v>
      </c>
      <c r="O4928" t="s">
        <v>46</v>
      </c>
      <c r="P4928" t="s">
        <v>46</v>
      </c>
      <c r="Y4928" t="s">
        <v>16526</v>
      </c>
    </row>
    <row r="4929" spans="1:25">
      <c r="A4929" t="s">
        <v>16527</v>
      </c>
      <c r="B4929" t="s">
        <v>16528</v>
      </c>
      <c r="D4929" t="s">
        <v>40</v>
      </c>
      <c r="E4929" t="s">
        <v>41</v>
      </c>
      <c r="J4929" t="s">
        <v>182</v>
      </c>
      <c r="K4929" t="s">
        <v>183</v>
      </c>
      <c r="L4929">
        <v>9</v>
      </c>
      <c r="M4929" t="s">
        <v>16525</v>
      </c>
      <c r="N4929" t="s">
        <v>64</v>
      </c>
      <c r="O4929" t="s">
        <v>46</v>
      </c>
      <c r="P4929" t="s">
        <v>46</v>
      </c>
      <c r="Y4929" t="s">
        <v>16529</v>
      </c>
    </row>
    <row r="4930" spans="1:25">
      <c r="A4930" t="s">
        <v>16530</v>
      </c>
      <c r="B4930" t="s">
        <v>16531</v>
      </c>
      <c r="D4930" t="s">
        <v>40</v>
      </c>
      <c r="E4930" t="s">
        <v>41</v>
      </c>
      <c r="J4930" t="s">
        <v>182</v>
      </c>
      <c r="K4930" t="s">
        <v>183</v>
      </c>
      <c r="L4930">
        <v>9</v>
      </c>
      <c r="M4930" t="s">
        <v>16525</v>
      </c>
      <c r="N4930" t="s">
        <v>64</v>
      </c>
      <c r="O4930" t="s">
        <v>46</v>
      </c>
      <c r="P4930" t="s">
        <v>46</v>
      </c>
      <c r="Y4930" t="s">
        <v>16532</v>
      </c>
    </row>
    <row r="4931" spans="1:25">
      <c r="A4931" t="s">
        <v>16533</v>
      </c>
      <c r="B4931" t="s">
        <v>16534</v>
      </c>
      <c r="D4931" t="s">
        <v>40</v>
      </c>
      <c r="E4931" t="s">
        <v>41</v>
      </c>
      <c r="J4931" t="s">
        <v>76</v>
      </c>
      <c r="K4931" t="s">
        <v>77</v>
      </c>
      <c r="L4931">
        <v>9</v>
      </c>
      <c r="M4931" t="s">
        <v>16525</v>
      </c>
      <c r="N4931" t="s">
        <v>64</v>
      </c>
      <c r="O4931" t="s">
        <v>46</v>
      </c>
      <c r="P4931" t="s">
        <v>46</v>
      </c>
      <c r="Y4931" t="s">
        <v>16535</v>
      </c>
    </row>
    <row r="4932" spans="1:25">
      <c r="A4932" t="s">
        <v>16536</v>
      </c>
      <c r="B4932" t="s">
        <v>16537</v>
      </c>
      <c r="D4932" t="s">
        <v>40</v>
      </c>
      <c r="E4932" t="s">
        <v>41</v>
      </c>
      <c r="J4932" t="s">
        <v>68</v>
      </c>
      <c r="K4932" t="s">
        <v>69</v>
      </c>
      <c r="L4932">
        <v>9</v>
      </c>
      <c r="M4932" t="s">
        <v>16525</v>
      </c>
      <c r="N4932" t="s">
        <v>64</v>
      </c>
      <c r="O4932" t="s">
        <v>46</v>
      </c>
      <c r="P4932" t="s">
        <v>46</v>
      </c>
      <c r="Y4932" t="s">
        <v>16538</v>
      </c>
    </row>
    <row r="4933" spans="1:25">
      <c r="A4933" t="s">
        <v>16539</v>
      </c>
      <c r="B4933" t="s">
        <v>16540</v>
      </c>
      <c r="D4933" t="s">
        <v>40</v>
      </c>
      <c r="E4933" t="s">
        <v>41</v>
      </c>
      <c r="J4933" t="s">
        <v>76</v>
      </c>
      <c r="K4933" t="s">
        <v>77</v>
      </c>
      <c r="L4933">
        <v>9</v>
      </c>
      <c r="M4933" t="s">
        <v>16541</v>
      </c>
      <c r="N4933" t="s">
        <v>64</v>
      </c>
      <c r="O4933" t="s">
        <v>46</v>
      </c>
      <c r="P4933" t="s">
        <v>46</v>
      </c>
      <c r="Y4933" t="s">
        <v>16542</v>
      </c>
    </row>
    <row r="4934" spans="1:25">
      <c r="A4934" t="s">
        <v>16543</v>
      </c>
      <c r="B4934" t="s">
        <v>16544</v>
      </c>
      <c r="D4934" t="s">
        <v>40</v>
      </c>
      <c r="E4934" t="s">
        <v>41</v>
      </c>
      <c r="J4934" t="s">
        <v>182</v>
      </c>
      <c r="K4934" t="s">
        <v>183</v>
      </c>
      <c r="L4934">
        <v>9</v>
      </c>
      <c r="M4934" t="s">
        <v>16541</v>
      </c>
      <c r="N4934" t="s">
        <v>64</v>
      </c>
      <c r="O4934" t="s">
        <v>46</v>
      </c>
      <c r="P4934" t="s">
        <v>46</v>
      </c>
      <c r="Y4934" t="s">
        <v>16545</v>
      </c>
    </row>
    <row r="4935" spans="1:25">
      <c r="A4935" t="s">
        <v>16546</v>
      </c>
      <c r="B4935" t="s">
        <v>16547</v>
      </c>
      <c r="D4935" t="s">
        <v>40</v>
      </c>
      <c r="E4935" t="s">
        <v>41</v>
      </c>
      <c r="J4935" t="s">
        <v>76</v>
      </c>
      <c r="K4935" t="s">
        <v>77</v>
      </c>
      <c r="L4935">
        <v>9</v>
      </c>
      <c r="M4935" t="s">
        <v>16541</v>
      </c>
      <c r="N4935" t="s">
        <v>64</v>
      </c>
      <c r="O4935" t="s">
        <v>46</v>
      </c>
      <c r="P4935" t="s">
        <v>46</v>
      </c>
      <c r="Y4935" t="s">
        <v>16548</v>
      </c>
    </row>
    <row r="4936" spans="1:25">
      <c r="A4936" t="s">
        <v>16549</v>
      </c>
      <c r="B4936" t="s">
        <v>16550</v>
      </c>
      <c r="D4936" t="s">
        <v>40</v>
      </c>
      <c r="E4936" t="s">
        <v>41</v>
      </c>
      <c r="J4936" t="s">
        <v>182</v>
      </c>
      <c r="K4936" t="s">
        <v>183</v>
      </c>
      <c r="L4936">
        <v>9</v>
      </c>
      <c r="M4936" t="s">
        <v>16541</v>
      </c>
      <c r="N4936" t="s">
        <v>64</v>
      </c>
      <c r="O4936" t="s">
        <v>46</v>
      </c>
      <c r="P4936" t="s">
        <v>46</v>
      </c>
      <c r="Y4936" t="s">
        <v>16551</v>
      </c>
    </row>
    <row r="4937" spans="1:25">
      <c r="A4937" t="s">
        <v>16552</v>
      </c>
      <c r="B4937" t="s">
        <v>16553</v>
      </c>
      <c r="D4937" t="s">
        <v>40</v>
      </c>
      <c r="E4937" t="s">
        <v>41</v>
      </c>
      <c r="J4937" t="s">
        <v>182</v>
      </c>
      <c r="K4937" t="s">
        <v>183</v>
      </c>
      <c r="L4937">
        <v>9</v>
      </c>
      <c r="M4937" t="s">
        <v>16541</v>
      </c>
      <c r="N4937" t="s">
        <v>64</v>
      </c>
      <c r="O4937" t="s">
        <v>46</v>
      </c>
      <c r="P4937" t="s">
        <v>46</v>
      </c>
      <c r="Y4937" t="s">
        <v>16554</v>
      </c>
    </row>
    <row r="4938" spans="1:25">
      <c r="A4938" t="s">
        <v>16555</v>
      </c>
      <c r="B4938" t="s">
        <v>16556</v>
      </c>
      <c r="D4938" t="s">
        <v>40</v>
      </c>
      <c r="E4938" t="s">
        <v>41</v>
      </c>
      <c r="J4938" t="s">
        <v>76</v>
      </c>
      <c r="K4938" t="s">
        <v>77</v>
      </c>
      <c r="L4938">
        <v>9</v>
      </c>
      <c r="M4938" t="s">
        <v>16541</v>
      </c>
      <c r="N4938" t="s">
        <v>64</v>
      </c>
      <c r="O4938" t="s">
        <v>46</v>
      </c>
      <c r="P4938" t="s">
        <v>46</v>
      </c>
      <c r="Y4938" t="s">
        <v>16557</v>
      </c>
    </row>
    <row r="4939" spans="1:25">
      <c r="A4939" t="s">
        <v>16558</v>
      </c>
      <c r="B4939" t="s">
        <v>16559</v>
      </c>
      <c r="D4939" t="s">
        <v>40</v>
      </c>
      <c r="E4939" t="s">
        <v>41</v>
      </c>
      <c r="J4939" t="s">
        <v>288</v>
      </c>
      <c r="K4939" t="s">
        <v>289</v>
      </c>
      <c r="L4939">
        <v>9</v>
      </c>
      <c r="M4939" t="s">
        <v>16560</v>
      </c>
      <c r="N4939" t="s">
        <v>2154</v>
      </c>
      <c r="O4939" t="s">
        <v>46</v>
      </c>
      <c r="P4939" t="s">
        <v>46</v>
      </c>
      <c r="Y4939" t="s">
        <v>16561</v>
      </c>
    </row>
    <row r="4940" spans="1:25">
      <c r="A4940" t="s">
        <v>16562</v>
      </c>
      <c r="B4940" t="s">
        <v>16563</v>
      </c>
      <c r="D4940" t="s">
        <v>40</v>
      </c>
      <c r="E4940" t="s">
        <v>41</v>
      </c>
      <c r="J4940" t="s">
        <v>76</v>
      </c>
      <c r="K4940" t="s">
        <v>77</v>
      </c>
      <c r="L4940">
        <v>9</v>
      </c>
      <c r="M4940" t="s">
        <v>16560</v>
      </c>
      <c r="N4940" t="s">
        <v>64</v>
      </c>
      <c r="O4940" t="s">
        <v>46</v>
      </c>
      <c r="P4940" t="s">
        <v>46</v>
      </c>
      <c r="Y4940" t="s">
        <v>16564</v>
      </c>
    </row>
    <row r="4941" spans="1:25">
      <c r="A4941" t="s">
        <v>16565</v>
      </c>
      <c r="B4941" t="s">
        <v>16566</v>
      </c>
      <c r="D4941" t="s">
        <v>40</v>
      </c>
      <c r="E4941" t="s">
        <v>41</v>
      </c>
      <c r="J4941" t="s">
        <v>182</v>
      </c>
      <c r="K4941" t="s">
        <v>183</v>
      </c>
      <c r="L4941">
        <v>9</v>
      </c>
      <c r="M4941" t="s">
        <v>16560</v>
      </c>
      <c r="N4941" t="s">
        <v>64</v>
      </c>
      <c r="O4941" t="s">
        <v>46</v>
      </c>
      <c r="P4941" t="s">
        <v>46</v>
      </c>
      <c r="Y4941" t="s">
        <v>16567</v>
      </c>
    </row>
    <row r="4942" spans="1:25">
      <c r="A4942" t="s">
        <v>16568</v>
      </c>
      <c r="B4942" t="s">
        <v>16569</v>
      </c>
      <c r="D4942" t="s">
        <v>40</v>
      </c>
      <c r="E4942" t="s">
        <v>41</v>
      </c>
      <c r="J4942" t="s">
        <v>42</v>
      </c>
      <c r="K4942" t="s">
        <v>43</v>
      </c>
      <c r="L4942">
        <v>9</v>
      </c>
      <c r="M4942" t="s">
        <v>16560</v>
      </c>
      <c r="N4942" t="s">
        <v>924</v>
      </c>
      <c r="O4942" t="s">
        <v>46</v>
      </c>
      <c r="P4942" t="s">
        <v>46</v>
      </c>
      <c r="Y4942" t="s">
        <v>16570</v>
      </c>
    </row>
    <row r="4943" spans="1:25">
      <c r="A4943" t="s">
        <v>16571</v>
      </c>
      <c r="B4943" t="s">
        <v>16572</v>
      </c>
      <c r="D4943" t="s">
        <v>40</v>
      </c>
      <c r="E4943" t="s">
        <v>41</v>
      </c>
      <c r="J4943" t="s">
        <v>139</v>
      </c>
      <c r="K4943" t="s">
        <v>140</v>
      </c>
      <c r="L4943">
        <v>9</v>
      </c>
      <c r="M4943" t="s">
        <v>16560</v>
      </c>
      <c r="N4943" t="s">
        <v>741</v>
      </c>
      <c r="O4943" t="s">
        <v>46</v>
      </c>
      <c r="P4943" t="s">
        <v>46</v>
      </c>
      <c r="Y4943" t="s">
        <v>16573</v>
      </c>
    </row>
    <row r="4944" spans="1:25">
      <c r="A4944" t="s">
        <v>16574</v>
      </c>
      <c r="B4944" t="s">
        <v>16575</v>
      </c>
      <c r="D4944" t="s">
        <v>40</v>
      </c>
      <c r="E4944" t="s">
        <v>41</v>
      </c>
      <c r="J4944" t="s">
        <v>76</v>
      </c>
      <c r="K4944" t="s">
        <v>77</v>
      </c>
      <c r="L4944">
        <v>9</v>
      </c>
      <c r="M4944" t="s">
        <v>16576</v>
      </c>
      <c r="N4944" t="s">
        <v>64</v>
      </c>
      <c r="O4944" t="s">
        <v>46</v>
      </c>
      <c r="P4944" t="s">
        <v>46</v>
      </c>
      <c r="Y4944" t="s">
        <v>16577</v>
      </c>
    </row>
    <row r="4945" spans="1:25">
      <c r="A4945" t="s">
        <v>16578</v>
      </c>
      <c r="B4945" t="s">
        <v>16579</v>
      </c>
      <c r="D4945" t="s">
        <v>40</v>
      </c>
      <c r="E4945" t="s">
        <v>41</v>
      </c>
      <c r="J4945" t="s">
        <v>182</v>
      </c>
      <c r="K4945" t="s">
        <v>183</v>
      </c>
      <c r="L4945">
        <v>9</v>
      </c>
      <c r="M4945" t="s">
        <v>16576</v>
      </c>
      <c r="N4945" t="s">
        <v>64</v>
      </c>
      <c r="O4945" t="s">
        <v>46</v>
      </c>
      <c r="P4945" t="s">
        <v>46</v>
      </c>
      <c r="Y4945" t="s">
        <v>16580</v>
      </c>
    </row>
    <row r="4946" spans="1:25">
      <c r="A4946" t="s">
        <v>16581</v>
      </c>
      <c r="B4946" t="s">
        <v>16582</v>
      </c>
      <c r="D4946" t="s">
        <v>40</v>
      </c>
      <c r="E4946" t="s">
        <v>41</v>
      </c>
      <c r="J4946" t="s">
        <v>76</v>
      </c>
      <c r="K4946" t="s">
        <v>77</v>
      </c>
      <c r="L4946">
        <v>9</v>
      </c>
      <c r="M4946" t="s">
        <v>16576</v>
      </c>
      <c r="N4946" t="s">
        <v>64</v>
      </c>
      <c r="O4946" t="s">
        <v>46</v>
      </c>
      <c r="P4946" t="s">
        <v>46</v>
      </c>
      <c r="Y4946" t="s">
        <v>16583</v>
      </c>
    </row>
    <row r="4947" spans="1:25">
      <c r="A4947" t="s">
        <v>16584</v>
      </c>
      <c r="B4947" t="s">
        <v>16585</v>
      </c>
      <c r="D4947" t="s">
        <v>40</v>
      </c>
      <c r="E4947" t="s">
        <v>41</v>
      </c>
      <c r="J4947" t="s">
        <v>76</v>
      </c>
      <c r="K4947" t="s">
        <v>77</v>
      </c>
      <c r="L4947">
        <v>9</v>
      </c>
      <c r="M4947" t="s">
        <v>16576</v>
      </c>
      <c r="N4947" t="s">
        <v>64</v>
      </c>
      <c r="O4947" t="s">
        <v>46</v>
      </c>
      <c r="P4947" t="s">
        <v>46</v>
      </c>
      <c r="Y4947" t="s">
        <v>16586</v>
      </c>
    </row>
    <row r="4948" spans="1:25">
      <c r="A4948" t="s">
        <v>16587</v>
      </c>
      <c r="B4948" t="s">
        <v>16588</v>
      </c>
      <c r="D4948" t="s">
        <v>40</v>
      </c>
      <c r="E4948" t="s">
        <v>41</v>
      </c>
      <c r="J4948" t="s">
        <v>182</v>
      </c>
      <c r="K4948" t="s">
        <v>183</v>
      </c>
      <c r="L4948">
        <v>9</v>
      </c>
      <c r="M4948" t="s">
        <v>16589</v>
      </c>
      <c r="N4948" t="s">
        <v>64</v>
      </c>
      <c r="O4948" t="s">
        <v>46</v>
      </c>
      <c r="P4948" t="s">
        <v>46</v>
      </c>
      <c r="Y4948" t="s">
        <v>16590</v>
      </c>
    </row>
    <row r="4949" spans="1:25">
      <c r="A4949" t="s">
        <v>16591</v>
      </c>
      <c r="B4949" t="s">
        <v>16592</v>
      </c>
      <c r="D4949" t="s">
        <v>40</v>
      </c>
      <c r="E4949" t="s">
        <v>41</v>
      </c>
      <c r="J4949" t="s">
        <v>76</v>
      </c>
      <c r="K4949" t="s">
        <v>77</v>
      </c>
      <c r="L4949">
        <v>9</v>
      </c>
      <c r="M4949" t="s">
        <v>16589</v>
      </c>
      <c r="N4949" t="s">
        <v>64</v>
      </c>
      <c r="O4949" t="s">
        <v>46</v>
      </c>
      <c r="P4949" t="s">
        <v>46</v>
      </c>
      <c r="Y4949" t="s">
        <v>16593</v>
      </c>
    </row>
    <row r="4950" spans="1:25">
      <c r="A4950" t="s">
        <v>16594</v>
      </c>
      <c r="B4950" t="s">
        <v>16595</v>
      </c>
      <c r="D4950" t="s">
        <v>40</v>
      </c>
      <c r="E4950" t="s">
        <v>41</v>
      </c>
      <c r="J4950" t="s">
        <v>182</v>
      </c>
      <c r="K4950" t="s">
        <v>183</v>
      </c>
      <c r="L4950">
        <v>9</v>
      </c>
      <c r="M4950" t="s">
        <v>16589</v>
      </c>
      <c r="N4950" t="s">
        <v>64</v>
      </c>
      <c r="O4950" t="s">
        <v>46</v>
      </c>
      <c r="P4950" t="s">
        <v>46</v>
      </c>
      <c r="Y4950" t="s">
        <v>16596</v>
      </c>
    </row>
    <row r="4951" spans="1:25">
      <c r="A4951" t="s">
        <v>16597</v>
      </c>
      <c r="B4951" t="s">
        <v>16598</v>
      </c>
      <c r="D4951" t="s">
        <v>40</v>
      </c>
      <c r="E4951" t="s">
        <v>41</v>
      </c>
      <c r="J4951" t="s">
        <v>182</v>
      </c>
      <c r="K4951" t="s">
        <v>183</v>
      </c>
      <c r="L4951">
        <v>9</v>
      </c>
      <c r="M4951" t="s">
        <v>16589</v>
      </c>
      <c r="N4951" t="s">
        <v>64</v>
      </c>
      <c r="O4951" t="s">
        <v>46</v>
      </c>
      <c r="P4951" t="s">
        <v>46</v>
      </c>
      <c r="Y4951" t="s">
        <v>16599</v>
      </c>
    </row>
    <row r="4952" spans="1:25">
      <c r="A4952" t="s">
        <v>16600</v>
      </c>
      <c r="B4952" t="s">
        <v>16601</v>
      </c>
      <c r="D4952" t="s">
        <v>40</v>
      </c>
      <c r="E4952" t="s">
        <v>41</v>
      </c>
      <c r="J4952" t="s">
        <v>182</v>
      </c>
      <c r="K4952" t="s">
        <v>183</v>
      </c>
      <c r="L4952">
        <v>9</v>
      </c>
      <c r="M4952" t="s">
        <v>16602</v>
      </c>
      <c r="N4952" t="s">
        <v>64</v>
      </c>
      <c r="O4952" t="s">
        <v>46</v>
      </c>
      <c r="P4952" t="s">
        <v>46</v>
      </c>
      <c r="Y4952" t="s">
        <v>16603</v>
      </c>
    </row>
    <row r="4953" spans="1:25">
      <c r="A4953" t="s">
        <v>16604</v>
      </c>
      <c r="B4953" t="s">
        <v>16605</v>
      </c>
      <c r="D4953" t="s">
        <v>40</v>
      </c>
      <c r="E4953" t="s">
        <v>41</v>
      </c>
      <c r="J4953" t="s">
        <v>68</v>
      </c>
      <c r="K4953" t="s">
        <v>69</v>
      </c>
      <c r="L4953">
        <v>9</v>
      </c>
      <c r="M4953" t="s">
        <v>16606</v>
      </c>
      <c r="N4953" t="s">
        <v>64</v>
      </c>
      <c r="O4953" t="s">
        <v>46</v>
      </c>
      <c r="P4953" t="s">
        <v>46</v>
      </c>
      <c r="Y4953" t="s">
        <v>16607</v>
      </c>
    </row>
    <row r="4954" spans="1:25">
      <c r="A4954" t="s">
        <v>16608</v>
      </c>
      <c r="B4954" t="s">
        <v>16609</v>
      </c>
      <c r="D4954" t="s">
        <v>40</v>
      </c>
      <c r="E4954" t="s">
        <v>41</v>
      </c>
      <c r="J4954" t="s">
        <v>182</v>
      </c>
      <c r="K4954" t="s">
        <v>183</v>
      </c>
      <c r="L4954">
        <v>9</v>
      </c>
      <c r="M4954" t="s">
        <v>16606</v>
      </c>
      <c r="N4954" t="s">
        <v>64</v>
      </c>
      <c r="O4954" t="s">
        <v>46</v>
      </c>
      <c r="P4954" t="s">
        <v>46</v>
      </c>
      <c r="Y4954" t="s">
        <v>16610</v>
      </c>
    </row>
    <row r="4955" spans="1:25">
      <c r="A4955" t="s">
        <v>16611</v>
      </c>
      <c r="B4955" t="s">
        <v>16612</v>
      </c>
      <c r="D4955" t="s">
        <v>40</v>
      </c>
      <c r="E4955" t="s">
        <v>41</v>
      </c>
      <c r="J4955" t="s">
        <v>76</v>
      </c>
      <c r="K4955" t="s">
        <v>77</v>
      </c>
      <c r="L4955">
        <v>9</v>
      </c>
      <c r="M4955" t="s">
        <v>16613</v>
      </c>
      <c r="N4955" t="s">
        <v>64</v>
      </c>
      <c r="O4955" t="s">
        <v>46</v>
      </c>
      <c r="P4955" t="s">
        <v>46</v>
      </c>
      <c r="Y4955" t="s">
        <v>16614</v>
      </c>
    </row>
    <row r="4956" spans="1:25">
      <c r="A4956" t="s">
        <v>16615</v>
      </c>
      <c r="B4956" t="s">
        <v>16616</v>
      </c>
      <c r="D4956" t="s">
        <v>40</v>
      </c>
      <c r="E4956" t="s">
        <v>41</v>
      </c>
      <c r="J4956" t="s">
        <v>182</v>
      </c>
      <c r="K4956" t="s">
        <v>183</v>
      </c>
      <c r="L4956">
        <v>9</v>
      </c>
      <c r="M4956" t="s">
        <v>16617</v>
      </c>
      <c r="N4956" t="s">
        <v>64</v>
      </c>
      <c r="O4956" t="s">
        <v>46</v>
      </c>
      <c r="P4956" t="s">
        <v>46</v>
      </c>
      <c r="Y4956" t="s">
        <v>16618</v>
      </c>
    </row>
    <row r="4957" spans="1:25">
      <c r="A4957" t="s">
        <v>16619</v>
      </c>
      <c r="B4957" t="s">
        <v>16620</v>
      </c>
      <c r="D4957" t="s">
        <v>40</v>
      </c>
      <c r="E4957" t="s">
        <v>41</v>
      </c>
      <c r="J4957" t="s">
        <v>182</v>
      </c>
      <c r="K4957" t="s">
        <v>183</v>
      </c>
      <c r="L4957">
        <v>9</v>
      </c>
      <c r="M4957" t="s">
        <v>16617</v>
      </c>
      <c r="N4957" t="s">
        <v>64</v>
      </c>
      <c r="O4957" t="s">
        <v>46</v>
      </c>
      <c r="P4957" t="s">
        <v>46</v>
      </c>
      <c r="Y4957" t="s">
        <v>16621</v>
      </c>
    </row>
    <row r="4958" spans="1:25">
      <c r="A4958" t="s">
        <v>16622</v>
      </c>
      <c r="B4958" t="s">
        <v>16623</v>
      </c>
      <c r="D4958" t="s">
        <v>40</v>
      </c>
      <c r="E4958" t="s">
        <v>41</v>
      </c>
      <c r="J4958" t="s">
        <v>76</v>
      </c>
      <c r="K4958" t="s">
        <v>77</v>
      </c>
      <c r="L4958">
        <v>9</v>
      </c>
      <c r="M4958" t="s">
        <v>16617</v>
      </c>
      <c r="N4958" t="s">
        <v>64</v>
      </c>
      <c r="O4958" t="s">
        <v>46</v>
      </c>
      <c r="P4958" t="s">
        <v>46</v>
      </c>
      <c r="Y4958" t="s">
        <v>16624</v>
      </c>
    </row>
    <row r="4959" spans="1:25">
      <c r="A4959" t="s">
        <v>16625</v>
      </c>
      <c r="B4959" t="s">
        <v>16626</v>
      </c>
      <c r="D4959" t="s">
        <v>40</v>
      </c>
      <c r="E4959" t="s">
        <v>41</v>
      </c>
      <c r="J4959" t="s">
        <v>182</v>
      </c>
      <c r="K4959" t="s">
        <v>183</v>
      </c>
      <c r="L4959">
        <v>9</v>
      </c>
      <c r="M4959" t="s">
        <v>16617</v>
      </c>
      <c r="N4959" t="s">
        <v>64</v>
      </c>
      <c r="O4959" t="s">
        <v>46</v>
      </c>
      <c r="P4959" t="s">
        <v>46</v>
      </c>
      <c r="Y4959" t="s">
        <v>16627</v>
      </c>
    </row>
    <row r="4960" spans="1:25">
      <c r="A4960" t="s">
        <v>16628</v>
      </c>
      <c r="B4960" t="s">
        <v>16629</v>
      </c>
      <c r="D4960" t="s">
        <v>40</v>
      </c>
      <c r="E4960" t="s">
        <v>41</v>
      </c>
      <c r="J4960" t="s">
        <v>68</v>
      </c>
      <c r="K4960" t="s">
        <v>69</v>
      </c>
      <c r="L4960">
        <v>9</v>
      </c>
      <c r="M4960" t="s">
        <v>16617</v>
      </c>
      <c r="N4960" t="s">
        <v>64</v>
      </c>
      <c r="O4960" t="s">
        <v>46</v>
      </c>
      <c r="P4960" t="s">
        <v>46</v>
      </c>
      <c r="Y4960" t="s">
        <v>16630</v>
      </c>
    </row>
    <row r="4961" spans="1:25">
      <c r="A4961" t="s">
        <v>16631</v>
      </c>
      <c r="B4961" t="s">
        <v>16632</v>
      </c>
      <c r="D4961" t="s">
        <v>40</v>
      </c>
      <c r="E4961" t="s">
        <v>41</v>
      </c>
      <c r="J4961" t="s">
        <v>182</v>
      </c>
      <c r="K4961" t="s">
        <v>183</v>
      </c>
      <c r="L4961">
        <v>9</v>
      </c>
      <c r="M4961" t="s">
        <v>16633</v>
      </c>
      <c r="N4961" t="s">
        <v>64</v>
      </c>
      <c r="O4961" t="s">
        <v>46</v>
      </c>
      <c r="P4961" t="s">
        <v>46</v>
      </c>
      <c r="Y4961" t="s">
        <v>16634</v>
      </c>
    </row>
    <row r="4962" spans="1:25">
      <c r="A4962" t="s">
        <v>16635</v>
      </c>
      <c r="B4962" t="s">
        <v>16636</v>
      </c>
      <c r="D4962" t="s">
        <v>40</v>
      </c>
      <c r="E4962" t="s">
        <v>41</v>
      </c>
      <c r="J4962" t="s">
        <v>182</v>
      </c>
      <c r="K4962" t="s">
        <v>183</v>
      </c>
      <c r="L4962">
        <v>9</v>
      </c>
      <c r="M4962" t="s">
        <v>16633</v>
      </c>
      <c r="N4962" t="s">
        <v>64</v>
      </c>
      <c r="O4962" t="s">
        <v>46</v>
      </c>
      <c r="P4962" t="s">
        <v>46</v>
      </c>
      <c r="Y4962" t="s">
        <v>16637</v>
      </c>
    </row>
    <row r="4963" spans="1:25">
      <c r="A4963" t="s">
        <v>16638</v>
      </c>
      <c r="B4963" t="s">
        <v>16639</v>
      </c>
      <c r="D4963" t="s">
        <v>40</v>
      </c>
      <c r="E4963" t="s">
        <v>41</v>
      </c>
      <c r="J4963" t="s">
        <v>182</v>
      </c>
      <c r="K4963" t="s">
        <v>183</v>
      </c>
      <c r="L4963">
        <v>9</v>
      </c>
      <c r="M4963" t="s">
        <v>16640</v>
      </c>
      <c r="N4963" t="s">
        <v>64</v>
      </c>
      <c r="O4963" t="s">
        <v>46</v>
      </c>
      <c r="P4963" t="s">
        <v>46</v>
      </c>
      <c r="Y4963" t="s">
        <v>16641</v>
      </c>
    </row>
    <row r="4964" spans="1:25">
      <c r="A4964" t="s">
        <v>16642</v>
      </c>
      <c r="B4964" t="s">
        <v>16643</v>
      </c>
      <c r="D4964" t="s">
        <v>40</v>
      </c>
      <c r="E4964" t="s">
        <v>41</v>
      </c>
      <c r="J4964" t="s">
        <v>182</v>
      </c>
      <c r="K4964" t="s">
        <v>183</v>
      </c>
      <c r="L4964">
        <v>9</v>
      </c>
      <c r="M4964" t="s">
        <v>16640</v>
      </c>
      <c r="N4964" t="s">
        <v>64</v>
      </c>
      <c r="O4964" t="s">
        <v>46</v>
      </c>
      <c r="P4964" t="s">
        <v>46</v>
      </c>
      <c r="Y4964" t="s">
        <v>16644</v>
      </c>
    </row>
    <row r="4965" spans="1:25">
      <c r="A4965" t="s">
        <v>16645</v>
      </c>
      <c r="B4965" t="s">
        <v>16646</v>
      </c>
      <c r="D4965" t="s">
        <v>40</v>
      </c>
      <c r="E4965" t="s">
        <v>41</v>
      </c>
      <c r="J4965" t="s">
        <v>68</v>
      </c>
      <c r="K4965" t="s">
        <v>69</v>
      </c>
      <c r="L4965">
        <v>9</v>
      </c>
      <c r="M4965" t="s">
        <v>16640</v>
      </c>
      <c r="N4965" t="s">
        <v>64</v>
      </c>
      <c r="O4965" t="s">
        <v>46</v>
      </c>
      <c r="P4965" t="s">
        <v>46</v>
      </c>
      <c r="Y4965" t="s">
        <v>16647</v>
      </c>
    </row>
    <row r="4966" spans="1:25">
      <c r="A4966" t="s">
        <v>16648</v>
      </c>
      <c r="B4966" t="s">
        <v>16649</v>
      </c>
      <c r="D4966" t="s">
        <v>40</v>
      </c>
      <c r="E4966" t="s">
        <v>41</v>
      </c>
      <c r="J4966" t="s">
        <v>182</v>
      </c>
      <c r="K4966" t="s">
        <v>183</v>
      </c>
      <c r="L4966">
        <v>9</v>
      </c>
      <c r="M4966" t="s">
        <v>16640</v>
      </c>
      <c r="N4966" t="s">
        <v>64</v>
      </c>
      <c r="O4966" t="s">
        <v>46</v>
      </c>
      <c r="P4966" t="s">
        <v>46</v>
      </c>
      <c r="Y4966" t="s">
        <v>16650</v>
      </c>
    </row>
    <row r="4967" spans="1:25">
      <c r="A4967" t="s">
        <v>16651</v>
      </c>
      <c r="B4967" t="s">
        <v>16652</v>
      </c>
      <c r="D4967" t="s">
        <v>40</v>
      </c>
      <c r="E4967" t="s">
        <v>41</v>
      </c>
      <c r="J4967" t="s">
        <v>42</v>
      </c>
      <c r="K4967" t="s">
        <v>43</v>
      </c>
      <c r="L4967">
        <v>9</v>
      </c>
      <c r="M4967" t="s">
        <v>16653</v>
      </c>
      <c r="N4967" t="s">
        <v>1446</v>
      </c>
      <c r="O4967" t="s">
        <v>46</v>
      </c>
      <c r="P4967" t="s">
        <v>46</v>
      </c>
      <c r="Y4967" t="s">
        <v>16654</v>
      </c>
    </row>
    <row r="4968" spans="1:25">
      <c r="A4968" t="s">
        <v>16655</v>
      </c>
      <c r="B4968" t="s">
        <v>16656</v>
      </c>
      <c r="D4968" t="s">
        <v>40</v>
      </c>
      <c r="E4968" t="s">
        <v>41</v>
      </c>
      <c r="J4968" t="s">
        <v>182</v>
      </c>
      <c r="K4968" t="s">
        <v>183</v>
      </c>
      <c r="L4968">
        <v>9</v>
      </c>
      <c r="M4968" t="s">
        <v>16657</v>
      </c>
      <c r="N4968" t="s">
        <v>64</v>
      </c>
      <c r="O4968" t="s">
        <v>46</v>
      </c>
      <c r="P4968" t="s">
        <v>46</v>
      </c>
      <c r="Y4968" t="s">
        <v>16658</v>
      </c>
    </row>
    <row r="4969" spans="1:25">
      <c r="A4969" t="s">
        <v>16659</v>
      </c>
      <c r="B4969" t="s">
        <v>16660</v>
      </c>
      <c r="D4969" t="s">
        <v>40</v>
      </c>
      <c r="E4969" t="s">
        <v>41</v>
      </c>
      <c r="J4969" t="s">
        <v>76</v>
      </c>
      <c r="K4969" t="s">
        <v>77</v>
      </c>
      <c r="L4969">
        <v>9</v>
      </c>
      <c r="M4969" t="s">
        <v>16661</v>
      </c>
      <c r="N4969" t="s">
        <v>64</v>
      </c>
      <c r="O4969" t="s">
        <v>46</v>
      </c>
      <c r="P4969" t="s">
        <v>46</v>
      </c>
      <c r="Y4969" t="s">
        <v>16662</v>
      </c>
    </row>
    <row r="4970" spans="1:25">
      <c r="A4970" t="s">
        <v>16663</v>
      </c>
      <c r="B4970" t="s">
        <v>16664</v>
      </c>
      <c r="D4970" t="s">
        <v>40</v>
      </c>
      <c r="E4970" t="s">
        <v>41</v>
      </c>
      <c r="J4970" t="s">
        <v>182</v>
      </c>
      <c r="K4970" t="s">
        <v>183</v>
      </c>
      <c r="L4970">
        <v>9</v>
      </c>
      <c r="M4970" t="s">
        <v>16665</v>
      </c>
      <c r="N4970" t="s">
        <v>64</v>
      </c>
      <c r="O4970" t="s">
        <v>46</v>
      </c>
      <c r="P4970" t="s">
        <v>46</v>
      </c>
      <c r="Y4970" t="s">
        <v>16666</v>
      </c>
    </row>
    <row r="4971" spans="1:25">
      <c r="A4971" t="s">
        <v>16667</v>
      </c>
      <c r="B4971" t="s">
        <v>16668</v>
      </c>
      <c r="D4971" t="s">
        <v>40</v>
      </c>
      <c r="E4971" t="s">
        <v>41</v>
      </c>
      <c r="J4971" t="s">
        <v>182</v>
      </c>
      <c r="K4971" t="s">
        <v>183</v>
      </c>
      <c r="L4971">
        <v>9</v>
      </c>
      <c r="M4971" t="s">
        <v>16669</v>
      </c>
      <c r="N4971" t="s">
        <v>64</v>
      </c>
      <c r="O4971" t="s">
        <v>46</v>
      </c>
      <c r="P4971" t="s">
        <v>46</v>
      </c>
      <c r="Y4971" t="s">
        <v>16670</v>
      </c>
    </row>
    <row r="4972" spans="1:25">
      <c r="A4972" t="s">
        <v>16671</v>
      </c>
      <c r="B4972" t="s">
        <v>16672</v>
      </c>
      <c r="D4972" t="s">
        <v>40</v>
      </c>
      <c r="E4972" t="s">
        <v>41</v>
      </c>
      <c r="J4972" t="s">
        <v>76</v>
      </c>
      <c r="K4972" t="s">
        <v>77</v>
      </c>
      <c r="L4972">
        <v>9</v>
      </c>
      <c r="M4972" t="s">
        <v>16669</v>
      </c>
      <c r="N4972" t="s">
        <v>64</v>
      </c>
      <c r="O4972" t="s">
        <v>46</v>
      </c>
      <c r="P4972" t="s">
        <v>46</v>
      </c>
      <c r="Y4972" t="s">
        <v>16673</v>
      </c>
    </row>
    <row r="4973" spans="1:25">
      <c r="A4973" t="s">
        <v>16674</v>
      </c>
      <c r="B4973" t="s">
        <v>16675</v>
      </c>
      <c r="D4973" t="s">
        <v>40</v>
      </c>
      <c r="E4973" t="s">
        <v>41</v>
      </c>
      <c r="J4973" t="s">
        <v>248</v>
      </c>
      <c r="K4973" t="s">
        <v>249</v>
      </c>
      <c r="L4973">
        <v>9</v>
      </c>
      <c r="M4973" t="s">
        <v>16676</v>
      </c>
      <c r="N4973" t="s">
        <v>950</v>
      </c>
      <c r="O4973" t="s">
        <v>46</v>
      </c>
      <c r="P4973" t="s">
        <v>46</v>
      </c>
      <c r="Y4973" t="s">
        <v>16677</v>
      </c>
    </row>
    <row r="4974" spans="1:25">
      <c r="A4974" t="s">
        <v>16678</v>
      </c>
      <c r="B4974" t="s">
        <v>16679</v>
      </c>
      <c r="D4974" t="s">
        <v>40</v>
      </c>
      <c r="E4974" t="s">
        <v>41</v>
      </c>
      <c r="J4974" t="s">
        <v>182</v>
      </c>
      <c r="K4974" t="s">
        <v>183</v>
      </c>
      <c r="L4974">
        <v>9</v>
      </c>
      <c r="M4974" t="s">
        <v>16676</v>
      </c>
      <c r="N4974" t="s">
        <v>64</v>
      </c>
      <c r="O4974" t="s">
        <v>46</v>
      </c>
      <c r="P4974" t="s">
        <v>46</v>
      </c>
      <c r="Y4974" t="s">
        <v>16680</v>
      </c>
    </row>
    <row r="4975" spans="1:25">
      <c r="A4975" t="s">
        <v>16681</v>
      </c>
      <c r="B4975" t="s">
        <v>16682</v>
      </c>
      <c r="D4975" t="s">
        <v>40</v>
      </c>
      <c r="E4975" t="s">
        <v>41</v>
      </c>
      <c r="J4975" t="s">
        <v>76</v>
      </c>
      <c r="K4975" t="s">
        <v>77</v>
      </c>
      <c r="L4975">
        <v>9</v>
      </c>
      <c r="M4975" t="s">
        <v>16676</v>
      </c>
      <c r="N4975" t="s">
        <v>64</v>
      </c>
      <c r="O4975" t="s">
        <v>46</v>
      </c>
      <c r="P4975" t="s">
        <v>46</v>
      </c>
      <c r="Y4975" t="s">
        <v>16683</v>
      </c>
    </row>
    <row r="4976" spans="1:25">
      <c r="A4976" t="s">
        <v>16684</v>
      </c>
      <c r="B4976" t="s">
        <v>16685</v>
      </c>
      <c r="D4976" t="s">
        <v>40</v>
      </c>
      <c r="E4976" t="s">
        <v>41</v>
      </c>
      <c r="J4976" t="s">
        <v>76</v>
      </c>
      <c r="K4976" t="s">
        <v>77</v>
      </c>
      <c r="L4976">
        <v>9</v>
      </c>
      <c r="M4976" t="s">
        <v>16676</v>
      </c>
      <c r="N4976" t="s">
        <v>64</v>
      </c>
      <c r="O4976" t="s">
        <v>46</v>
      </c>
      <c r="P4976" t="s">
        <v>46</v>
      </c>
      <c r="Y4976" t="s">
        <v>16686</v>
      </c>
    </row>
    <row r="4977" spans="1:25">
      <c r="A4977" t="s">
        <v>16687</v>
      </c>
      <c r="B4977" t="s">
        <v>16688</v>
      </c>
      <c r="D4977" t="s">
        <v>40</v>
      </c>
      <c r="E4977" t="s">
        <v>41</v>
      </c>
      <c r="J4977" t="s">
        <v>76</v>
      </c>
      <c r="K4977" t="s">
        <v>77</v>
      </c>
      <c r="L4977">
        <v>9</v>
      </c>
      <c r="M4977" t="s">
        <v>16676</v>
      </c>
      <c r="N4977" t="s">
        <v>64</v>
      </c>
      <c r="O4977" t="s">
        <v>46</v>
      </c>
      <c r="P4977" t="s">
        <v>46</v>
      </c>
      <c r="Y4977" t="s">
        <v>16689</v>
      </c>
    </row>
    <row r="4978" spans="1:25">
      <c r="A4978" t="s">
        <v>16690</v>
      </c>
      <c r="B4978" t="s">
        <v>16691</v>
      </c>
      <c r="D4978" t="s">
        <v>40</v>
      </c>
      <c r="E4978" t="s">
        <v>41</v>
      </c>
      <c r="J4978" t="s">
        <v>182</v>
      </c>
      <c r="K4978" t="s">
        <v>183</v>
      </c>
      <c r="L4978">
        <v>9</v>
      </c>
      <c r="M4978" t="s">
        <v>16676</v>
      </c>
      <c r="N4978" t="s">
        <v>64</v>
      </c>
      <c r="O4978" t="s">
        <v>46</v>
      </c>
      <c r="P4978" t="s">
        <v>46</v>
      </c>
      <c r="Y4978" t="s">
        <v>16692</v>
      </c>
    </row>
    <row r="4979" spans="1:25">
      <c r="A4979" t="s">
        <v>16693</v>
      </c>
      <c r="B4979" t="s">
        <v>16694</v>
      </c>
      <c r="D4979" t="s">
        <v>40</v>
      </c>
      <c r="E4979" t="s">
        <v>41</v>
      </c>
      <c r="J4979" t="s">
        <v>68</v>
      </c>
      <c r="K4979" t="s">
        <v>69</v>
      </c>
      <c r="L4979">
        <v>9</v>
      </c>
      <c r="M4979" t="s">
        <v>16676</v>
      </c>
      <c r="N4979" t="s">
        <v>64</v>
      </c>
      <c r="O4979" t="s">
        <v>46</v>
      </c>
      <c r="P4979" t="s">
        <v>46</v>
      </c>
      <c r="Y4979" t="s">
        <v>16695</v>
      </c>
    </row>
    <row r="4980" spans="1:25">
      <c r="A4980" t="s">
        <v>16696</v>
      </c>
      <c r="B4980" t="s">
        <v>16697</v>
      </c>
      <c r="D4980" t="s">
        <v>40</v>
      </c>
      <c r="E4980" t="s">
        <v>41</v>
      </c>
      <c r="J4980" t="s">
        <v>182</v>
      </c>
      <c r="K4980" t="s">
        <v>183</v>
      </c>
      <c r="L4980">
        <v>9</v>
      </c>
      <c r="M4980" t="s">
        <v>16676</v>
      </c>
      <c r="N4980" t="s">
        <v>64</v>
      </c>
      <c r="O4980" t="s">
        <v>46</v>
      </c>
      <c r="P4980" t="s">
        <v>46</v>
      </c>
      <c r="Y4980" t="s">
        <v>16698</v>
      </c>
    </row>
    <row r="4981" spans="1:25">
      <c r="A4981" t="s">
        <v>16699</v>
      </c>
      <c r="B4981" t="s">
        <v>16700</v>
      </c>
      <c r="D4981" t="s">
        <v>40</v>
      </c>
      <c r="E4981" t="s">
        <v>41</v>
      </c>
      <c r="J4981" t="s">
        <v>1142</v>
      </c>
      <c r="K4981" t="s">
        <v>1143</v>
      </c>
      <c r="L4981">
        <v>9</v>
      </c>
      <c r="M4981" t="s">
        <v>16676</v>
      </c>
      <c r="N4981" t="s">
        <v>1024</v>
      </c>
      <c r="O4981" t="s">
        <v>46</v>
      </c>
      <c r="P4981" t="s">
        <v>46</v>
      </c>
      <c r="Y4981" t="s">
        <v>16701</v>
      </c>
    </row>
    <row r="4982" spans="1:25">
      <c r="A4982" t="s">
        <v>16702</v>
      </c>
      <c r="B4982" t="s">
        <v>16703</v>
      </c>
      <c r="D4982" t="s">
        <v>40</v>
      </c>
      <c r="E4982" t="s">
        <v>41</v>
      </c>
      <c r="J4982" t="s">
        <v>182</v>
      </c>
      <c r="K4982" t="s">
        <v>183</v>
      </c>
      <c r="L4982">
        <v>9</v>
      </c>
      <c r="M4982" t="s">
        <v>16676</v>
      </c>
      <c r="N4982" t="s">
        <v>64</v>
      </c>
      <c r="O4982" t="s">
        <v>46</v>
      </c>
      <c r="P4982" t="s">
        <v>46</v>
      </c>
      <c r="Y4982" t="s">
        <v>16704</v>
      </c>
    </row>
    <row r="4983" spans="1:25">
      <c r="A4983" t="s">
        <v>16705</v>
      </c>
      <c r="B4983" t="s">
        <v>16706</v>
      </c>
      <c r="D4983" t="s">
        <v>40</v>
      </c>
      <c r="E4983" t="s">
        <v>41</v>
      </c>
      <c r="J4983" t="s">
        <v>182</v>
      </c>
      <c r="K4983" t="s">
        <v>183</v>
      </c>
      <c r="L4983">
        <v>9</v>
      </c>
      <c r="M4983" t="s">
        <v>16707</v>
      </c>
      <c r="N4983" t="s">
        <v>64</v>
      </c>
      <c r="O4983" t="s">
        <v>46</v>
      </c>
      <c r="P4983" t="s">
        <v>46</v>
      </c>
      <c r="Y4983" t="s">
        <v>16708</v>
      </c>
    </row>
    <row r="4984" spans="1:25">
      <c r="A4984" t="s">
        <v>16709</v>
      </c>
      <c r="B4984" t="s">
        <v>16710</v>
      </c>
      <c r="D4984" t="s">
        <v>40</v>
      </c>
      <c r="E4984" t="s">
        <v>41</v>
      </c>
      <c r="J4984" t="s">
        <v>182</v>
      </c>
      <c r="K4984" t="s">
        <v>183</v>
      </c>
      <c r="L4984">
        <v>9</v>
      </c>
      <c r="M4984" t="s">
        <v>16707</v>
      </c>
      <c r="N4984" t="s">
        <v>64</v>
      </c>
      <c r="O4984" t="s">
        <v>46</v>
      </c>
      <c r="P4984" t="s">
        <v>46</v>
      </c>
      <c r="Y4984" t="s">
        <v>16711</v>
      </c>
    </row>
    <row r="4985" spans="1:25">
      <c r="A4985" t="s">
        <v>16712</v>
      </c>
      <c r="B4985" t="s">
        <v>16713</v>
      </c>
      <c r="D4985" t="s">
        <v>40</v>
      </c>
      <c r="E4985" t="s">
        <v>41</v>
      </c>
      <c r="J4985" t="s">
        <v>76</v>
      </c>
      <c r="K4985" t="s">
        <v>77</v>
      </c>
      <c r="L4985">
        <v>9</v>
      </c>
      <c r="M4985" t="s">
        <v>16707</v>
      </c>
      <c r="N4985" t="s">
        <v>64</v>
      </c>
      <c r="O4985" t="s">
        <v>46</v>
      </c>
      <c r="P4985" t="s">
        <v>46</v>
      </c>
      <c r="Y4985" t="s">
        <v>16714</v>
      </c>
    </row>
    <row r="4986" spans="1:25">
      <c r="A4986" t="s">
        <v>16715</v>
      </c>
      <c r="B4986" t="s">
        <v>16716</v>
      </c>
      <c r="D4986" t="s">
        <v>40</v>
      </c>
      <c r="E4986" t="s">
        <v>41</v>
      </c>
      <c r="J4986" t="s">
        <v>182</v>
      </c>
      <c r="K4986" t="s">
        <v>183</v>
      </c>
      <c r="L4986">
        <v>9</v>
      </c>
      <c r="M4986" t="s">
        <v>16707</v>
      </c>
      <c r="N4986" t="s">
        <v>64</v>
      </c>
      <c r="O4986" t="s">
        <v>46</v>
      </c>
      <c r="P4986" t="s">
        <v>46</v>
      </c>
      <c r="Y4986" t="s">
        <v>16717</v>
      </c>
    </row>
    <row r="4987" spans="1:25">
      <c r="A4987" t="s">
        <v>16718</v>
      </c>
      <c r="B4987" t="s">
        <v>16719</v>
      </c>
      <c r="D4987" t="s">
        <v>40</v>
      </c>
      <c r="E4987" t="s">
        <v>41</v>
      </c>
      <c r="J4987" t="s">
        <v>182</v>
      </c>
      <c r="K4987" t="s">
        <v>183</v>
      </c>
      <c r="L4987">
        <v>9</v>
      </c>
      <c r="M4987" t="s">
        <v>16707</v>
      </c>
      <c r="N4987" t="s">
        <v>64</v>
      </c>
      <c r="O4987" t="s">
        <v>46</v>
      </c>
      <c r="P4987" t="s">
        <v>46</v>
      </c>
      <c r="Y4987" t="s">
        <v>16720</v>
      </c>
    </row>
    <row r="4988" spans="1:25">
      <c r="A4988" t="s">
        <v>16721</v>
      </c>
      <c r="B4988" t="s">
        <v>16722</v>
      </c>
      <c r="D4988" t="s">
        <v>40</v>
      </c>
      <c r="E4988" t="s">
        <v>41</v>
      </c>
      <c r="J4988" t="s">
        <v>182</v>
      </c>
      <c r="K4988" t="s">
        <v>183</v>
      </c>
      <c r="L4988">
        <v>9</v>
      </c>
      <c r="M4988" t="s">
        <v>16707</v>
      </c>
      <c r="N4988" t="s">
        <v>64</v>
      </c>
      <c r="O4988" t="s">
        <v>46</v>
      </c>
      <c r="P4988" t="s">
        <v>46</v>
      </c>
      <c r="Y4988" t="s">
        <v>16723</v>
      </c>
    </row>
    <row r="4989" spans="1:25">
      <c r="A4989" t="s">
        <v>16724</v>
      </c>
      <c r="B4989" t="s">
        <v>16725</v>
      </c>
      <c r="D4989" t="s">
        <v>40</v>
      </c>
      <c r="E4989" t="s">
        <v>41</v>
      </c>
      <c r="J4989" t="s">
        <v>139</v>
      </c>
      <c r="K4989" t="s">
        <v>140</v>
      </c>
      <c r="L4989">
        <v>9</v>
      </c>
      <c r="M4989" t="s">
        <v>16707</v>
      </c>
      <c r="N4989" t="s">
        <v>373</v>
      </c>
      <c r="O4989" t="s">
        <v>46</v>
      </c>
      <c r="P4989" t="s">
        <v>46</v>
      </c>
      <c r="Y4989" t="s">
        <v>16726</v>
      </c>
    </row>
    <row r="4990" spans="1:25">
      <c r="A4990" t="s">
        <v>16727</v>
      </c>
      <c r="B4990" t="s">
        <v>16728</v>
      </c>
      <c r="D4990" t="s">
        <v>40</v>
      </c>
      <c r="E4990" t="s">
        <v>41</v>
      </c>
      <c r="J4990" t="s">
        <v>76</v>
      </c>
      <c r="K4990" t="s">
        <v>77</v>
      </c>
      <c r="L4990">
        <v>9</v>
      </c>
      <c r="M4990" t="s">
        <v>16707</v>
      </c>
      <c r="N4990" t="s">
        <v>64</v>
      </c>
      <c r="O4990" t="s">
        <v>46</v>
      </c>
      <c r="P4990" t="s">
        <v>46</v>
      </c>
      <c r="Y4990" t="s">
        <v>16729</v>
      </c>
    </row>
    <row r="4991" spans="1:25">
      <c r="A4991" t="s">
        <v>16730</v>
      </c>
      <c r="B4991" t="s">
        <v>16731</v>
      </c>
      <c r="D4991" t="s">
        <v>40</v>
      </c>
      <c r="E4991" t="s">
        <v>41</v>
      </c>
      <c r="J4991" t="s">
        <v>182</v>
      </c>
      <c r="K4991" t="s">
        <v>183</v>
      </c>
      <c r="L4991">
        <v>9</v>
      </c>
      <c r="M4991" t="s">
        <v>16707</v>
      </c>
      <c r="N4991" t="s">
        <v>64</v>
      </c>
      <c r="O4991" t="s">
        <v>46</v>
      </c>
      <c r="P4991" t="s">
        <v>46</v>
      </c>
      <c r="Y4991" t="s">
        <v>16732</v>
      </c>
    </row>
    <row r="4992" spans="1:25">
      <c r="A4992" t="s">
        <v>16733</v>
      </c>
      <c r="B4992" t="s">
        <v>16734</v>
      </c>
      <c r="D4992" t="s">
        <v>40</v>
      </c>
      <c r="E4992" t="s">
        <v>41</v>
      </c>
      <c r="J4992" t="s">
        <v>76</v>
      </c>
      <c r="K4992" t="s">
        <v>77</v>
      </c>
      <c r="L4992">
        <v>9</v>
      </c>
      <c r="M4992" t="s">
        <v>16735</v>
      </c>
      <c r="N4992" t="s">
        <v>64</v>
      </c>
      <c r="O4992" t="s">
        <v>46</v>
      </c>
      <c r="P4992" t="s">
        <v>46</v>
      </c>
      <c r="Y4992" t="s">
        <v>16736</v>
      </c>
    </row>
    <row r="4993" spans="1:25">
      <c r="A4993" t="s">
        <v>16737</v>
      </c>
      <c r="B4993" t="s">
        <v>16738</v>
      </c>
      <c r="D4993" t="s">
        <v>40</v>
      </c>
      <c r="E4993" t="s">
        <v>41</v>
      </c>
      <c r="J4993" t="s">
        <v>182</v>
      </c>
      <c r="K4993" t="s">
        <v>183</v>
      </c>
      <c r="L4993">
        <v>9</v>
      </c>
      <c r="M4993" t="s">
        <v>16735</v>
      </c>
      <c r="N4993" t="s">
        <v>64</v>
      </c>
      <c r="O4993" t="s">
        <v>46</v>
      </c>
      <c r="P4993" t="s">
        <v>46</v>
      </c>
      <c r="Y4993" t="s">
        <v>16739</v>
      </c>
    </row>
    <row r="4994" spans="1:25">
      <c r="A4994" t="s">
        <v>16740</v>
      </c>
      <c r="B4994" t="s">
        <v>16741</v>
      </c>
      <c r="D4994" t="s">
        <v>40</v>
      </c>
      <c r="E4994" t="s">
        <v>41</v>
      </c>
      <c r="J4994" t="s">
        <v>182</v>
      </c>
      <c r="K4994" t="s">
        <v>183</v>
      </c>
      <c r="L4994">
        <v>9</v>
      </c>
      <c r="M4994" t="s">
        <v>16735</v>
      </c>
      <c r="N4994" t="s">
        <v>64</v>
      </c>
      <c r="O4994" t="s">
        <v>46</v>
      </c>
      <c r="P4994" t="s">
        <v>46</v>
      </c>
      <c r="Y4994" t="s">
        <v>16742</v>
      </c>
    </row>
    <row r="4995" spans="1:25">
      <c r="A4995" t="s">
        <v>16743</v>
      </c>
      <c r="B4995" t="s">
        <v>16744</v>
      </c>
      <c r="D4995" t="s">
        <v>40</v>
      </c>
      <c r="E4995" t="s">
        <v>41</v>
      </c>
      <c r="J4995" t="s">
        <v>182</v>
      </c>
      <c r="K4995" t="s">
        <v>183</v>
      </c>
      <c r="L4995">
        <v>9</v>
      </c>
      <c r="M4995" t="s">
        <v>16735</v>
      </c>
      <c r="N4995" t="s">
        <v>64</v>
      </c>
      <c r="O4995" t="s">
        <v>46</v>
      </c>
      <c r="P4995" t="s">
        <v>46</v>
      </c>
      <c r="Y4995" t="s">
        <v>16745</v>
      </c>
    </row>
    <row r="4996" spans="1:25">
      <c r="A4996" t="s">
        <v>16746</v>
      </c>
      <c r="B4996" t="s">
        <v>16747</v>
      </c>
      <c r="D4996" t="s">
        <v>40</v>
      </c>
      <c r="E4996" t="s">
        <v>41</v>
      </c>
      <c r="J4996" t="s">
        <v>1114</v>
      </c>
      <c r="K4996" t="s">
        <v>1115</v>
      </c>
      <c r="L4996">
        <v>9</v>
      </c>
      <c r="M4996" t="s">
        <v>16735</v>
      </c>
      <c r="N4996" t="s">
        <v>315</v>
      </c>
      <c r="O4996" t="s">
        <v>46</v>
      </c>
      <c r="P4996" t="s">
        <v>46</v>
      </c>
      <c r="Y4996" t="s">
        <v>16748</v>
      </c>
    </row>
    <row r="4997" spans="1:25">
      <c r="A4997" t="s">
        <v>16749</v>
      </c>
      <c r="B4997" t="s">
        <v>16750</v>
      </c>
      <c r="D4997" t="s">
        <v>40</v>
      </c>
      <c r="E4997" t="s">
        <v>41</v>
      </c>
      <c r="J4997" t="s">
        <v>76</v>
      </c>
      <c r="K4997" t="s">
        <v>77</v>
      </c>
      <c r="L4997">
        <v>9</v>
      </c>
      <c r="M4997" t="s">
        <v>16735</v>
      </c>
      <c r="N4997" t="s">
        <v>64</v>
      </c>
      <c r="O4997" t="s">
        <v>46</v>
      </c>
      <c r="P4997" t="s">
        <v>46</v>
      </c>
      <c r="Y4997" t="s">
        <v>16751</v>
      </c>
    </row>
    <row r="4998" spans="1:25">
      <c r="A4998" t="s">
        <v>16752</v>
      </c>
      <c r="B4998" t="s">
        <v>16753</v>
      </c>
      <c r="D4998" t="s">
        <v>40</v>
      </c>
      <c r="E4998" t="s">
        <v>41</v>
      </c>
      <c r="J4998" t="s">
        <v>182</v>
      </c>
      <c r="K4998" t="s">
        <v>183</v>
      </c>
      <c r="L4998">
        <v>9</v>
      </c>
      <c r="M4998" t="s">
        <v>16754</v>
      </c>
      <c r="N4998" t="s">
        <v>64</v>
      </c>
      <c r="O4998" t="s">
        <v>46</v>
      </c>
      <c r="P4998" t="s">
        <v>46</v>
      </c>
      <c r="Y4998" t="s">
        <v>16755</v>
      </c>
    </row>
    <row r="4999" spans="1:25">
      <c r="A4999" t="s">
        <v>16756</v>
      </c>
      <c r="B4999" t="s">
        <v>16757</v>
      </c>
      <c r="D4999" t="s">
        <v>40</v>
      </c>
      <c r="E4999" t="s">
        <v>41</v>
      </c>
      <c r="J4999" t="s">
        <v>76</v>
      </c>
      <c r="K4999" t="s">
        <v>77</v>
      </c>
      <c r="L4999">
        <v>9</v>
      </c>
      <c r="M4999" t="s">
        <v>16754</v>
      </c>
      <c r="N4999" t="s">
        <v>64</v>
      </c>
      <c r="O4999" t="s">
        <v>46</v>
      </c>
      <c r="P4999" t="s">
        <v>46</v>
      </c>
      <c r="Y4999" t="s">
        <v>16758</v>
      </c>
    </row>
    <row r="5000" spans="1:25">
      <c r="A5000" t="s">
        <v>16759</v>
      </c>
      <c r="B5000" t="s">
        <v>16760</v>
      </c>
      <c r="D5000" t="s">
        <v>40</v>
      </c>
      <c r="E5000" t="s">
        <v>41</v>
      </c>
      <c r="J5000" t="s">
        <v>182</v>
      </c>
      <c r="K5000" t="s">
        <v>183</v>
      </c>
      <c r="L5000">
        <v>9</v>
      </c>
      <c r="M5000" t="s">
        <v>16754</v>
      </c>
      <c r="N5000" t="s">
        <v>64</v>
      </c>
      <c r="O5000" t="s">
        <v>46</v>
      </c>
      <c r="P5000" t="s">
        <v>46</v>
      </c>
      <c r="Y5000" t="s">
        <v>16761</v>
      </c>
    </row>
    <row r="5001" spans="1:25">
      <c r="A5001" t="s">
        <v>16762</v>
      </c>
      <c r="B5001" t="s">
        <v>16763</v>
      </c>
      <c r="D5001" t="s">
        <v>40</v>
      </c>
      <c r="E5001" t="s">
        <v>41</v>
      </c>
      <c r="J5001" t="s">
        <v>182</v>
      </c>
      <c r="K5001" t="s">
        <v>183</v>
      </c>
      <c r="L5001">
        <v>9</v>
      </c>
      <c r="M5001" t="s">
        <v>16754</v>
      </c>
      <c r="N5001" t="s">
        <v>64</v>
      </c>
      <c r="O5001" t="s">
        <v>46</v>
      </c>
      <c r="P5001" t="s">
        <v>46</v>
      </c>
      <c r="Y5001" t="s">
        <v>16764</v>
      </c>
    </row>
    <row r="5002" spans="1:25">
      <c r="A5002" t="s">
        <v>16765</v>
      </c>
      <c r="B5002" t="s">
        <v>16766</v>
      </c>
      <c r="D5002" t="s">
        <v>40</v>
      </c>
      <c r="E5002" t="s">
        <v>41</v>
      </c>
      <c r="J5002" t="s">
        <v>182</v>
      </c>
      <c r="K5002" t="s">
        <v>183</v>
      </c>
      <c r="L5002">
        <v>9</v>
      </c>
      <c r="M5002" t="s">
        <v>16754</v>
      </c>
      <c r="N5002" t="s">
        <v>64</v>
      </c>
      <c r="O5002" t="s">
        <v>46</v>
      </c>
      <c r="P5002" t="s">
        <v>46</v>
      </c>
      <c r="Y5002" t="s">
        <v>16767</v>
      </c>
    </row>
    <row r="5003" spans="1:25">
      <c r="A5003" t="s">
        <v>16768</v>
      </c>
      <c r="B5003" t="s">
        <v>16769</v>
      </c>
      <c r="D5003" t="s">
        <v>40</v>
      </c>
      <c r="E5003" t="s">
        <v>41</v>
      </c>
      <c r="J5003" t="s">
        <v>182</v>
      </c>
      <c r="K5003" t="s">
        <v>183</v>
      </c>
      <c r="L5003">
        <v>9</v>
      </c>
      <c r="M5003" t="s">
        <v>16770</v>
      </c>
      <c r="N5003" t="s">
        <v>64</v>
      </c>
      <c r="O5003" t="s">
        <v>46</v>
      </c>
      <c r="P5003" t="s">
        <v>46</v>
      </c>
      <c r="Y5003" t="s">
        <v>16771</v>
      </c>
    </row>
    <row r="5004" spans="1:25">
      <c r="A5004" t="s">
        <v>16772</v>
      </c>
      <c r="B5004" t="s">
        <v>16773</v>
      </c>
      <c r="D5004" t="s">
        <v>40</v>
      </c>
      <c r="E5004" t="s">
        <v>41</v>
      </c>
      <c r="J5004" t="s">
        <v>182</v>
      </c>
      <c r="K5004" t="s">
        <v>183</v>
      </c>
      <c r="L5004">
        <v>9</v>
      </c>
      <c r="M5004" t="s">
        <v>16770</v>
      </c>
      <c r="N5004" t="s">
        <v>64</v>
      </c>
      <c r="O5004" t="s">
        <v>46</v>
      </c>
      <c r="P5004" t="s">
        <v>46</v>
      </c>
      <c r="Y5004" t="s">
        <v>16774</v>
      </c>
    </row>
    <row r="5005" spans="1:25">
      <c r="A5005" t="s">
        <v>16775</v>
      </c>
      <c r="B5005" t="s">
        <v>16776</v>
      </c>
      <c r="D5005" t="s">
        <v>40</v>
      </c>
      <c r="E5005" t="s">
        <v>41</v>
      </c>
      <c r="J5005" t="s">
        <v>182</v>
      </c>
      <c r="K5005" t="s">
        <v>183</v>
      </c>
      <c r="L5005">
        <v>9</v>
      </c>
      <c r="M5005" t="s">
        <v>16770</v>
      </c>
      <c r="N5005" t="s">
        <v>64</v>
      </c>
      <c r="O5005" t="s">
        <v>46</v>
      </c>
      <c r="P5005" t="s">
        <v>46</v>
      </c>
      <c r="Y5005" t="s">
        <v>16777</v>
      </c>
    </row>
    <row r="5006" spans="1:25">
      <c r="A5006" t="s">
        <v>16778</v>
      </c>
      <c r="B5006" t="s">
        <v>16779</v>
      </c>
      <c r="D5006" t="s">
        <v>40</v>
      </c>
      <c r="E5006" t="s">
        <v>41</v>
      </c>
      <c r="J5006" t="s">
        <v>76</v>
      </c>
      <c r="K5006" t="s">
        <v>77</v>
      </c>
      <c r="L5006">
        <v>9</v>
      </c>
      <c r="M5006" t="s">
        <v>16780</v>
      </c>
      <c r="N5006" t="s">
        <v>64</v>
      </c>
      <c r="O5006" t="s">
        <v>46</v>
      </c>
      <c r="P5006" t="s">
        <v>46</v>
      </c>
      <c r="Y5006" t="s">
        <v>16781</v>
      </c>
    </row>
    <row r="5007" spans="1:25">
      <c r="A5007" t="s">
        <v>16782</v>
      </c>
      <c r="B5007" t="s">
        <v>16783</v>
      </c>
      <c r="D5007" t="s">
        <v>40</v>
      </c>
      <c r="E5007" t="s">
        <v>41</v>
      </c>
      <c r="J5007" t="s">
        <v>182</v>
      </c>
      <c r="K5007" t="s">
        <v>183</v>
      </c>
      <c r="L5007">
        <v>9</v>
      </c>
      <c r="M5007" t="s">
        <v>16780</v>
      </c>
      <c r="N5007" t="s">
        <v>64</v>
      </c>
      <c r="O5007" t="s">
        <v>46</v>
      </c>
      <c r="P5007" t="s">
        <v>46</v>
      </c>
      <c r="Y5007" t="s">
        <v>16784</v>
      </c>
    </row>
    <row r="5008" spans="1:25">
      <c r="A5008" t="s">
        <v>16785</v>
      </c>
      <c r="B5008" t="s">
        <v>16786</v>
      </c>
      <c r="D5008" t="s">
        <v>40</v>
      </c>
      <c r="E5008" t="s">
        <v>41</v>
      </c>
      <c r="J5008" t="s">
        <v>68</v>
      </c>
      <c r="K5008" t="s">
        <v>69</v>
      </c>
      <c r="L5008">
        <v>9</v>
      </c>
      <c r="M5008" t="s">
        <v>16787</v>
      </c>
      <c r="N5008" t="s">
        <v>64</v>
      </c>
      <c r="O5008" t="s">
        <v>46</v>
      </c>
      <c r="P5008" t="s">
        <v>46</v>
      </c>
      <c r="Y5008" t="s">
        <v>16788</v>
      </c>
    </row>
    <row r="5009" spans="1:25">
      <c r="A5009" t="s">
        <v>16789</v>
      </c>
      <c r="B5009" t="s">
        <v>16790</v>
      </c>
      <c r="D5009" t="s">
        <v>40</v>
      </c>
      <c r="E5009" t="s">
        <v>41</v>
      </c>
      <c r="J5009" t="s">
        <v>1142</v>
      </c>
      <c r="K5009" t="s">
        <v>1143</v>
      </c>
      <c r="L5009">
        <v>9</v>
      </c>
      <c r="M5009" t="s">
        <v>16787</v>
      </c>
      <c r="N5009" t="s">
        <v>142</v>
      </c>
      <c r="O5009" t="s">
        <v>46</v>
      </c>
      <c r="P5009" t="s">
        <v>46</v>
      </c>
      <c r="Y5009" t="s">
        <v>16791</v>
      </c>
    </row>
    <row r="5010" spans="1:25">
      <c r="A5010" t="s">
        <v>16792</v>
      </c>
      <c r="B5010" t="s">
        <v>16793</v>
      </c>
      <c r="D5010" t="s">
        <v>40</v>
      </c>
      <c r="E5010" t="s">
        <v>41</v>
      </c>
      <c r="J5010" t="s">
        <v>264</v>
      </c>
      <c r="K5010" t="s">
        <v>265</v>
      </c>
      <c r="L5010">
        <v>9</v>
      </c>
      <c r="M5010" t="s">
        <v>16787</v>
      </c>
      <c r="N5010" t="s">
        <v>1478</v>
      </c>
      <c r="O5010" t="s">
        <v>46</v>
      </c>
      <c r="P5010" t="s">
        <v>46</v>
      </c>
      <c r="Y5010" t="s">
        <v>16794</v>
      </c>
    </row>
    <row r="5011" spans="1:25">
      <c r="A5011" t="s">
        <v>16795</v>
      </c>
      <c r="B5011" t="s">
        <v>16796</v>
      </c>
      <c r="D5011" t="s">
        <v>40</v>
      </c>
      <c r="E5011" t="s">
        <v>41</v>
      </c>
      <c r="J5011" t="s">
        <v>76</v>
      </c>
      <c r="K5011" t="s">
        <v>77</v>
      </c>
      <c r="L5011">
        <v>9</v>
      </c>
      <c r="M5011" t="s">
        <v>16787</v>
      </c>
      <c r="N5011" t="s">
        <v>64</v>
      </c>
      <c r="O5011" t="s">
        <v>46</v>
      </c>
      <c r="P5011" t="s">
        <v>46</v>
      </c>
      <c r="Y5011" t="s">
        <v>16797</v>
      </c>
    </row>
    <row r="5012" spans="1:25">
      <c r="A5012" t="s">
        <v>16798</v>
      </c>
      <c r="B5012" t="s">
        <v>16799</v>
      </c>
      <c r="D5012" t="s">
        <v>40</v>
      </c>
      <c r="E5012" t="s">
        <v>41</v>
      </c>
      <c r="J5012" t="s">
        <v>264</v>
      </c>
      <c r="K5012" t="s">
        <v>265</v>
      </c>
      <c r="L5012">
        <v>4</v>
      </c>
      <c r="M5012" t="s">
        <v>16800</v>
      </c>
      <c r="N5012" t="s">
        <v>950</v>
      </c>
      <c r="O5012" t="s">
        <v>46</v>
      </c>
      <c r="P5012" t="s">
        <v>46</v>
      </c>
      <c r="Y5012" t="s">
        <v>16801</v>
      </c>
    </row>
    <row r="5013" spans="1:25">
      <c r="A5013" t="s">
        <v>16802</v>
      </c>
      <c r="B5013" t="s">
        <v>16803</v>
      </c>
      <c r="D5013" t="s">
        <v>40</v>
      </c>
      <c r="E5013" t="s">
        <v>41</v>
      </c>
      <c r="J5013" t="s">
        <v>182</v>
      </c>
      <c r="K5013" t="s">
        <v>183</v>
      </c>
      <c r="L5013">
        <v>9</v>
      </c>
      <c r="M5013" t="s">
        <v>16804</v>
      </c>
      <c r="N5013" t="s">
        <v>64</v>
      </c>
      <c r="O5013" t="s">
        <v>46</v>
      </c>
      <c r="P5013" t="s">
        <v>46</v>
      </c>
      <c r="Y5013" t="s">
        <v>16805</v>
      </c>
    </row>
    <row r="5014" spans="1:25">
      <c r="A5014" t="s">
        <v>16806</v>
      </c>
      <c r="B5014" t="s">
        <v>16807</v>
      </c>
      <c r="D5014" t="s">
        <v>40</v>
      </c>
      <c r="E5014" t="s">
        <v>41</v>
      </c>
      <c r="J5014" t="s">
        <v>182</v>
      </c>
      <c r="K5014" t="s">
        <v>183</v>
      </c>
      <c r="L5014">
        <v>9</v>
      </c>
      <c r="M5014" t="s">
        <v>16804</v>
      </c>
      <c r="N5014" t="s">
        <v>64</v>
      </c>
      <c r="O5014" t="s">
        <v>46</v>
      </c>
      <c r="P5014" t="s">
        <v>46</v>
      </c>
      <c r="Y5014" t="s">
        <v>16808</v>
      </c>
    </row>
    <row r="5015" spans="1:25">
      <c r="A5015" t="s">
        <v>16809</v>
      </c>
      <c r="B5015" t="s">
        <v>16810</v>
      </c>
      <c r="D5015" t="s">
        <v>40</v>
      </c>
      <c r="E5015" t="s">
        <v>41</v>
      </c>
      <c r="J5015" t="s">
        <v>182</v>
      </c>
      <c r="K5015" t="s">
        <v>183</v>
      </c>
      <c r="L5015">
        <v>9</v>
      </c>
      <c r="M5015" t="s">
        <v>16811</v>
      </c>
      <c r="N5015" t="s">
        <v>64</v>
      </c>
      <c r="O5015" t="s">
        <v>46</v>
      </c>
      <c r="P5015" t="s">
        <v>46</v>
      </c>
      <c r="Y5015" t="s">
        <v>16812</v>
      </c>
    </row>
    <row r="5016" spans="1:25">
      <c r="A5016" t="s">
        <v>16813</v>
      </c>
      <c r="B5016" t="s">
        <v>16814</v>
      </c>
      <c r="D5016" t="s">
        <v>40</v>
      </c>
      <c r="E5016" t="s">
        <v>41</v>
      </c>
      <c r="J5016" t="s">
        <v>182</v>
      </c>
      <c r="K5016" t="s">
        <v>183</v>
      </c>
      <c r="L5016">
        <v>9</v>
      </c>
      <c r="M5016" t="s">
        <v>16811</v>
      </c>
      <c r="N5016" t="s">
        <v>64</v>
      </c>
      <c r="O5016" t="s">
        <v>46</v>
      </c>
      <c r="P5016" t="s">
        <v>46</v>
      </c>
      <c r="Y5016" t="s">
        <v>16815</v>
      </c>
    </row>
    <row r="5017" spans="1:25">
      <c r="A5017" t="s">
        <v>16816</v>
      </c>
      <c r="B5017" t="s">
        <v>16817</v>
      </c>
      <c r="D5017" t="s">
        <v>40</v>
      </c>
      <c r="E5017" t="s">
        <v>41</v>
      </c>
      <c r="J5017" t="s">
        <v>68</v>
      </c>
      <c r="K5017" t="s">
        <v>69</v>
      </c>
      <c r="L5017">
        <v>9</v>
      </c>
      <c r="M5017" t="s">
        <v>16811</v>
      </c>
      <c r="N5017" t="s">
        <v>64</v>
      </c>
      <c r="O5017" t="s">
        <v>46</v>
      </c>
      <c r="P5017" t="s">
        <v>46</v>
      </c>
      <c r="Y5017" t="s">
        <v>16818</v>
      </c>
    </row>
    <row r="5018" spans="1:25">
      <c r="A5018" t="s">
        <v>16819</v>
      </c>
      <c r="B5018" t="s">
        <v>16820</v>
      </c>
      <c r="D5018" t="s">
        <v>40</v>
      </c>
      <c r="E5018" t="s">
        <v>41</v>
      </c>
      <c r="J5018" t="s">
        <v>68</v>
      </c>
      <c r="K5018" t="s">
        <v>69</v>
      </c>
      <c r="L5018">
        <v>9</v>
      </c>
      <c r="M5018" t="s">
        <v>16811</v>
      </c>
      <c r="N5018" t="s">
        <v>64</v>
      </c>
      <c r="O5018" t="s">
        <v>46</v>
      </c>
      <c r="P5018" t="s">
        <v>46</v>
      </c>
      <c r="Y5018" t="s">
        <v>16821</v>
      </c>
    </row>
    <row r="5019" spans="1:25">
      <c r="A5019" t="s">
        <v>16822</v>
      </c>
      <c r="B5019" t="s">
        <v>16823</v>
      </c>
      <c r="D5019" t="s">
        <v>40</v>
      </c>
      <c r="E5019" t="s">
        <v>41</v>
      </c>
      <c r="J5019" t="s">
        <v>68</v>
      </c>
      <c r="K5019" t="s">
        <v>69</v>
      </c>
      <c r="L5019">
        <v>9</v>
      </c>
      <c r="M5019" t="s">
        <v>16811</v>
      </c>
      <c r="N5019" t="s">
        <v>64</v>
      </c>
      <c r="O5019" t="s">
        <v>46</v>
      </c>
      <c r="P5019" t="s">
        <v>46</v>
      </c>
      <c r="Y5019" t="s">
        <v>16824</v>
      </c>
    </row>
    <row r="5020" spans="1:25">
      <c r="A5020" t="s">
        <v>16825</v>
      </c>
      <c r="B5020" t="s">
        <v>16826</v>
      </c>
      <c r="D5020" t="s">
        <v>40</v>
      </c>
      <c r="E5020" t="s">
        <v>41</v>
      </c>
      <c r="J5020" t="s">
        <v>76</v>
      </c>
      <c r="K5020" t="s">
        <v>77</v>
      </c>
      <c r="L5020">
        <v>9</v>
      </c>
      <c r="M5020" t="s">
        <v>16827</v>
      </c>
      <c r="N5020" t="s">
        <v>64</v>
      </c>
      <c r="O5020" t="s">
        <v>46</v>
      </c>
      <c r="P5020" t="s">
        <v>46</v>
      </c>
      <c r="Y5020" t="s">
        <v>16828</v>
      </c>
    </row>
    <row r="5021" spans="1:25">
      <c r="A5021" t="s">
        <v>16829</v>
      </c>
      <c r="B5021" t="s">
        <v>16830</v>
      </c>
      <c r="D5021" t="s">
        <v>40</v>
      </c>
      <c r="E5021" t="s">
        <v>41</v>
      </c>
      <c r="J5021" t="s">
        <v>42</v>
      </c>
      <c r="K5021" t="s">
        <v>43</v>
      </c>
      <c r="L5021">
        <v>9</v>
      </c>
      <c r="M5021" t="s">
        <v>16827</v>
      </c>
      <c r="N5021" t="s">
        <v>291</v>
      </c>
      <c r="O5021" t="s">
        <v>46</v>
      </c>
      <c r="P5021" t="s">
        <v>46</v>
      </c>
      <c r="Y5021" t="s">
        <v>16831</v>
      </c>
    </row>
    <row r="5022" spans="1:25">
      <c r="A5022" t="s">
        <v>16832</v>
      </c>
      <c r="B5022" t="s">
        <v>16833</v>
      </c>
      <c r="D5022" t="s">
        <v>40</v>
      </c>
      <c r="E5022" t="s">
        <v>41</v>
      </c>
      <c r="J5022" t="s">
        <v>182</v>
      </c>
      <c r="K5022" t="s">
        <v>183</v>
      </c>
      <c r="L5022">
        <v>9</v>
      </c>
      <c r="M5022" t="s">
        <v>16827</v>
      </c>
      <c r="N5022" t="s">
        <v>64</v>
      </c>
      <c r="O5022" t="s">
        <v>46</v>
      </c>
      <c r="P5022" t="s">
        <v>46</v>
      </c>
      <c r="Y5022" t="s">
        <v>16834</v>
      </c>
    </row>
    <row r="5023" spans="1:25">
      <c r="A5023" t="s">
        <v>16835</v>
      </c>
      <c r="B5023" t="s">
        <v>16836</v>
      </c>
      <c r="D5023" t="s">
        <v>40</v>
      </c>
      <c r="E5023" t="s">
        <v>41</v>
      </c>
      <c r="J5023" t="s">
        <v>68</v>
      </c>
      <c r="K5023" t="s">
        <v>69</v>
      </c>
      <c r="L5023">
        <v>9</v>
      </c>
      <c r="M5023" t="s">
        <v>16837</v>
      </c>
      <c r="N5023" t="s">
        <v>64</v>
      </c>
      <c r="O5023" t="s">
        <v>46</v>
      </c>
      <c r="P5023" t="s">
        <v>46</v>
      </c>
      <c r="Y5023" t="s">
        <v>16838</v>
      </c>
    </row>
    <row r="5024" spans="1:25">
      <c r="A5024" t="s">
        <v>16839</v>
      </c>
      <c r="B5024" t="s">
        <v>16840</v>
      </c>
      <c r="D5024" t="s">
        <v>40</v>
      </c>
      <c r="E5024" t="s">
        <v>41</v>
      </c>
      <c r="J5024" t="s">
        <v>68</v>
      </c>
      <c r="K5024" t="s">
        <v>69</v>
      </c>
      <c r="L5024">
        <v>9</v>
      </c>
      <c r="M5024" t="s">
        <v>16837</v>
      </c>
      <c r="N5024" t="s">
        <v>64</v>
      </c>
      <c r="O5024" t="s">
        <v>46</v>
      </c>
      <c r="P5024" t="s">
        <v>46</v>
      </c>
      <c r="Y5024" t="s">
        <v>16841</v>
      </c>
    </row>
    <row r="5025" spans="1:25">
      <c r="A5025" t="s">
        <v>16842</v>
      </c>
      <c r="B5025" t="s">
        <v>16843</v>
      </c>
      <c r="D5025" t="s">
        <v>40</v>
      </c>
      <c r="E5025" t="s">
        <v>41</v>
      </c>
      <c r="J5025" t="s">
        <v>1997</v>
      </c>
      <c r="K5025" t="s">
        <v>1998</v>
      </c>
      <c r="L5025">
        <v>9</v>
      </c>
      <c r="M5025" t="s">
        <v>16837</v>
      </c>
      <c r="N5025" t="s">
        <v>173</v>
      </c>
      <c r="O5025" t="s">
        <v>46</v>
      </c>
      <c r="P5025" t="s">
        <v>46</v>
      </c>
      <c r="Y5025" t="s">
        <v>16844</v>
      </c>
    </row>
    <row r="5026" spans="1:25">
      <c r="A5026" t="s">
        <v>16845</v>
      </c>
      <c r="B5026" t="s">
        <v>16846</v>
      </c>
      <c r="D5026" t="s">
        <v>40</v>
      </c>
      <c r="E5026" t="s">
        <v>41</v>
      </c>
      <c r="J5026" t="s">
        <v>182</v>
      </c>
      <c r="K5026" t="s">
        <v>183</v>
      </c>
      <c r="L5026">
        <v>9</v>
      </c>
      <c r="M5026" t="s">
        <v>16847</v>
      </c>
      <c r="N5026" t="s">
        <v>64</v>
      </c>
      <c r="O5026" t="s">
        <v>46</v>
      </c>
      <c r="P5026" t="s">
        <v>46</v>
      </c>
      <c r="Y5026" t="s">
        <v>16848</v>
      </c>
    </row>
    <row r="5027" spans="1:25">
      <c r="A5027" t="s">
        <v>16849</v>
      </c>
      <c r="B5027" t="s">
        <v>16850</v>
      </c>
      <c r="D5027" t="s">
        <v>40</v>
      </c>
      <c r="E5027" t="s">
        <v>41</v>
      </c>
      <c r="J5027" t="s">
        <v>182</v>
      </c>
      <c r="K5027" t="s">
        <v>183</v>
      </c>
      <c r="L5027">
        <v>9</v>
      </c>
      <c r="M5027" t="s">
        <v>16847</v>
      </c>
      <c r="N5027" t="s">
        <v>64</v>
      </c>
      <c r="O5027" t="s">
        <v>46</v>
      </c>
      <c r="P5027" t="s">
        <v>46</v>
      </c>
      <c r="Y5027" t="s">
        <v>16851</v>
      </c>
    </row>
    <row r="5028" spans="1:25">
      <c r="A5028" t="s">
        <v>16852</v>
      </c>
      <c r="B5028" t="s">
        <v>16853</v>
      </c>
      <c r="D5028" t="s">
        <v>40</v>
      </c>
      <c r="E5028" t="s">
        <v>41</v>
      </c>
      <c r="J5028" t="s">
        <v>76</v>
      </c>
      <c r="K5028" t="s">
        <v>77</v>
      </c>
      <c r="L5028">
        <v>9</v>
      </c>
      <c r="M5028" t="s">
        <v>16847</v>
      </c>
      <c r="N5028" t="s">
        <v>64</v>
      </c>
      <c r="O5028" t="s">
        <v>46</v>
      </c>
      <c r="P5028" t="s">
        <v>46</v>
      </c>
      <c r="Y5028" t="s">
        <v>16854</v>
      </c>
    </row>
    <row r="5029" spans="1:25">
      <c r="A5029" t="s">
        <v>16855</v>
      </c>
      <c r="B5029" t="s">
        <v>16856</v>
      </c>
      <c r="D5029" t="s">
        <v>40</v>
      </c>
      <c r="E5029" t="s">
        <v>41</v>
      </c>
      <c r="J5029" t="s">
        <v>182</v>
      </c>
      <c r="K5029" t="s">
        <v>183</v>
      </c>
      <c r="L5029">
        <v>9</v>
      </c>
      <c r="M5029" t="s">
        <v>16847</v>
      </c>
      <c r="N5029" t="s">
        <v>64</v>
      </c>
      <c r="O5029" t="s">
        <v>46</v>
      </c>
      <c r="P5029" t="s">
        <v>46</v>
      </c>
      <c r="Y5029" t="s">
        <v>16857</v>
      </c>
    </row>
    <row r="5030" spans="1:25">
      <c r="A5030" t="s">
        <v>16858</v>
      </c>
      <c r="B5030" t="s">
        <v>16859</v>
      </c>
      <c r="D5030" t="s">
        <v>40</v>
      </c>
      <c r="E5030" t="s">
        <v>41</v>
      </c>
      <c r="J5030" t="s">
        <v>68</v>
      </c>
      <c r="K5030" t="s">
        <v>69</v>
      </c>
      <c r="L5030">
        <v>9</v>
      </c>
      <c r="M5030" t="s">
        <v>16860</v>
      </c>
      <c r="N5030" t="s">
        <v>64</v>
      </c>
      <c r="O5030" t="s">
        <v>46</v>
      </c>
      <c r="P5030" t="s">
        <v>46</v>
      </c>
      <c r="Y5030" t="s">
        <v>16861</v>
      </c>
    </row>
    <row r="5031" spans="1:25">
      <c r="A5031" t="s">
        <v>16862</v>
      </c>
      <c r="B5031" t="s">
        <v>16863</v>
      </c>
      <c r="D5031" t="s">
        <v>40</v>
      </c>
      <c r="E5031" t="s">
        <v>41</v>
      </c>
      <c r="J5031" t="s">
        <v>42</v>
      </c>
      <c r="K5031" t="s">
        <v>43</v>
      </c>
      <c r="L5031">
        <v>9</v>
      </c>
      <c r="M5031" t="s">
        <v>16860</v>
      </c>
      <c r="N5031" t="s">
        <v>1344</v>
      </c>
      <c r="O5031" t="s">
        <v>46</v>
      </c>
      <c r="P5031" t="s">
        <v>46</v>
      </c>
      <c r="Y5031" t="s">
        <v>16864</v>
      </c>
    </row>
    <row r="5032" spans="1:25">
      <c r="A5032" t="s">
        <v>16865</v>
      </c>
      <c r="B5032" t="s">
        <v>16866</v>
      </c>
      <c r="D5032" t="s">
        <v>40</v>
      </c>
      <c r="E5032" t="s">
        <v>41</v>
      </c>
      <c r="J5032" t="s">
        <v>182</v>
      </c>
      <c r="K5032" t="s">
        <v>183</v>
      </c>
      <c r="L5032">
        <v>9</v>
      </c>
      <c r="M5032" t="s">
        <v>16860</v>
      </c>
      <c r="N5032" t="s">
        <v>64</v>
      </c>
      <c r="O5032" t="s">
        <v>46</v>
      </c>
      <c r="P5032" t="s">
        <v>46</v>
      </c>
      <c r="Y5032" t="s">
        <v>16867</v>
      </c>
    </row>
    <row r="5033" spans="1:25">
      <c r="A5033" t="s">
        <v>16868</v>
      </c>
      <c r="B5033" t="s">
        <v>16869</v>
      </c>
      <c r="D5033" t="s">
        <v>40</v>
      </c>
      <c r="E5033" t="s">
        <v>41</v>
      </c>
      <c r="J5033" t="s">
        <v>76</v>
      </c>
      <c r="K5033" t="s">
        <v>77</v>
      </c>
      <c r="L5033">
        <v>9</v>
      </c>
      <c r="M5033" t="s">
        <v>16860</v>
      </c>
      <c r="N5033" t="s">
        <v>64</v>
      </c>
      <c r="O5033" t="s">
        <v>46</v>
      </c>
      <c r="P5033" t="s">
        <v>46</v>
      </c>
      <c r="Y5033" t="s">
        <v>16870</v>
      </c>
    </row>
    <row r="5034" spans="1:25">
      <c r="A5034" t="s">
        <v>16871</v>
      </c>
      <c r="B5034" t="s">
        <v>16872</v>
      </c>
      <c r="D5034" t="s">
        <v>40</v>
      </c>
      <c r="E5034" t="s">
        <v>41</v>
      </c>
      <c r="J5034" t="s">
        <v>76</v>
      </c>
      <c r="K5034" t="s">
        <v>77</v>
      </c>
      <c r="L5034">
        <v>9</v>
      </c>
      <c r="M5034" t="s">
        <v>16860</v>
      </c>
      <c r="N5034" t="s">
        <v>64</v>
      </c>
      <c r="O5034" t="s">
        <v>46</v>
      </c>
      <c r="P5034" t="s">
        <v>46</v>
      </c>
      <c r="Y5034" t="s">
        <v>16873</v>
      </c>
    </row>
    <row r="5035" spans="1:25">
      <c r="A5035" t="s">
        <v>16874</v>
      </c>
      <c r="B5035" t="s">
        <v>16875</v>
      </c>
      <c r="D5035" t="s">
        <v>40</v>
      </c>
      <c r="E5035" t="s">
        <v>41</v>
      </c>
      <c r="J5035" t="s">
        <v>182</v>
      </c>
      <c r="K5035" t="s">
        <v>183</v>
      </c>
      <c r="L5035">
        <v>9</v>
      </c>
      <c r="M5035" t="s">
        <v>16876</v>
      </c>
      <c r="N5035" t="s">
        <v>64</v>
      </c>
      <c r="O5035" t="s">
        <v>46</v>
      </c>
      <c r="P5035" t="s">
        <v>46</v>
      </c>
      <c r="Y5035" t="s">
        <v>16877</v>
      </c>
    </row>
    <row r="5036" spans="1:25">
      <c r="A5036" t="s">
        <v>16878</v>
      </c>
      <c r="B5036" t="s">
        <v>16879</v>
      </c>
      <c r="D5036" t="s">
        <v>40</v>
      </c>
      <c r="E5036" t="s">
        <v>41</v>
      </c>
      <c r="J5036" t="s">
        <v>76</v>
      </c>
      <c r="K5036" t="s">
        <v>77</v>
      </c>
      <c r="L5036">
        <v>9</v>
      </c>
      <c r="M5036" t="s">
        <v>16876</v>
      </c>
      <c r="N5036" t="s">
        <v>64</v>
      </c>
      <c r="O5036" t="s">
        <v>46</v>
      </c>
      <c r="P5036" t="s">
        <v>46</v>
      </c>
      <c r="Y5036" t="s">
        <v>16880</v>
      </c>
    </row>
    <row r="5037" spans="1:25">
      <c r="A5037" t="s">
        <v>16881</v>
      </c>
      <c r="B5037" t="s">
        <v>16882</v>
      </c>
      <c r="D5037" t="s">
        <v>40</v>
      </c>
      <c r="E5037" t="s">
        <v>41</v>
      </c>
      <c r="J5037" t="s">
        <v>42</v>
      </c>
      <c r="K5037" t="s">
        <v>43</v>
      </c>
      <c r="L5037">
        <v>9</v>
      </c>
      <c r="M5037" t="s">
        <v>16883</v>
      </c>
      <c r="N5037" t="s">
        <v>924</v>
      </c>
      <c r="O5037" t="s">
        <v>46</v>
      </c>
      <c r="P5037" t="s">
        <v>46</v>
      </c>
      <c r="Y5037" t="s">
        <v>16884</v>
      </c>
    </row>
    <row r="5038" spans="1:25">
      <c r="A5038" t="s">
        <v>16885</v>
      </c>
      <c r="B5038" t="s">
        <v>16886</v>
      </c>
      <c r="D5038" t="s">
        <v>40</v>
      </c>
      <c r="E5038" t="s">
        <v>41</v>
      </c>
      <c r="J5038" t="s">
        <v>76</v>
      </c>
      <c r="K5038" t="s">
        <v>77</v>
      </c>
      <c r="L5038">
        <v>9</v>
      </c>
      <c r="M5038" t="s">
        <v>16887</v>
      </c>
      <c r="N5038" t="s">
        <v>64</v>
      </c>
      <c r="O5038" t="s">
        <v>46</v>
      </c>
      <c r="P5038" t="s">
        <v>46</v>
      </c>
      <c r="Y5038" t="s">
        <v>16888</v>
      </c>
    </row>
    <row r="5039" spans="1:25">
      <c r="A5039" t="s">
        <v>16889</v>
      </c>
      <c r="B5039" t="s">
        <v>16890</v>
      </c>
      <c r="D5039" t="s">
        <v>40</v>
      </c>
      <c r="E5039" t="s">
        <v>41</v>
      </c>
      <c r="J5039" t="s">
        <v>68</v>
      </c>
      <c r="K5039" t="s">
        <v>69</v>
      </c>
      <c r="L5039">
        <v>9</v>
      </c>
      <c r="M5039" t="s">
        <v>16887</v>
      </c>
      <c r="N5039" t="s">
        <v>64</v>
      </c>
      <c r="O5039" t="s">
        <v>46</v>
      </c>
      <c r="P5039" t="s">
        <v>46</v>
      </c>
      <c r="Y5039" t="s">
        <v>16891</v>
      </c>
    </row>
    <row r="5040" spans="1:25">
      <c r="A5040" t="s">
        <v>16892</v>
      </c>
      <c r="B5040" t="s">
        <v>16893</v>
      </c>
      <c r="D5040" t="s">
        <v>40</v>
      </c>
      <c r="E5040" t="s">
        <v>41</v>
      </c>
      <c r="J5040" t="s">
        <v>76</v>
      </c>
      <c r="K5040" t="s">
        <v>77</v>
      </c>
      <c r="L5040">
        <v>9</v>
      </c>
      <c r="M5040" t="s">
        <v>16887</v>
      </c>
      <c r="N5040" t="s">
        <v>64</v>
      </c>
      <c r="O5040" t="s">
        <v>46</v>
      </c>
      <c r="P5040" t="s">
        <v>46</v>
      </c>
      <c r="Y5040" t="s">
        <v>16894</v>
      </c>
    </row>
    <row r="5041" spans="1:25">
      <c r="A5041" t="s">
        <v>16895</v>
      </c>
      <c r="B5041" t="s">
        <v>16896</v>
      </c>
      <c r="D5041" t="s">
        <v>40</v>
      </c>
      <c r="E5041" t="s">
        <v>41</v>
      </c>
      <c r="J5041" t="s">
        <v>182</v>
      </c>
      <c r="K5041" t="s">
        <v>183</v>
      </c>
      <c r="L5041">
        <v>9</v>
      </c>
      <c r="M5041" t="s">
        <v>16897</v>
      </c>
      <c r="N5041" t="s">
        <v>64</v>
      </c>
      <c r="O5041" t="s">
        <v>46</v>
      </c>
      <c r="P5041" t="s">
        <v>46</v>
      </c>
      <c r="Y5041" t="s">
        <v>16898</v>
      </c>
    </row>
    <row r="5042" spans="1:25">
      <c r="A5042" t="s">
        <v>16899</v>
      </c>
      <c r="B5042" t="s">
        <v>16900</v>
      </c>
      <c r="D5042" t="s">
        <v>40</v>
      </c>
      <c r="E5042" t="s">
        <v>41</v>
      </c>
      <c r="J5042" t="s">
        <v>76</v>
      </c>
      <c r="K5042" t="s">
        <v>77</v>
      </c>
      <c r="L5042">
        <v>9</v>
      </c>
      <c r="M5042" t="s">
        <v>16897</v>
      </c>
      <c r="N5042" t="s">
        <v>64</v>
      </c>
      <c r="O5042" t="s">
        <v>46</v>
      </c>
      <c r="P5042" t="s">
        <v>46</v>
      </c>
      <c r="Y5042" t="s">
        <v>16901</v>
      </c>
    </row>
    <row r="5043" spans="1:25">
      <c r="A5043" t="s">
        <v>16902</v>
      </c>
      <c r="B5043" t="s">
        <v>16903</v>
      </c>
      <c r="D5043" t="s">
        <v>40</v>
      </c>
      <c r="E5043" t="s">
        <v>41</v>
      </c>
      <c r="J5043" t="s">
        <v>76</v>
      </c>
      <c r="K5043" t="s">
        <v>77</v>
      </c>
      <c r="L5043">
        <v>9</v>
      </c>
      <c r="M5043" t="s">
        <v>16897</v>
      </c>
      <c r="N5043" t="s">
        <v>64</v>
      </c>
      <c r="O5043" t="s">
        <v>46</v>
      </c>
      <c r="P5043" t="s">
        <v>46</v>
      </c>
      <c r="Y5043" t="s">
        <v>16904</v>
      </c>
    </row>
    <row r="5044" spans="1:25">
      <c r="A5044" t="s">
        <v>16905</v>
      </c>
      <c r="B5044" t="s">
        <v>16906</v>
      </c>
      <c r="D5044" t="s">
        <v>40</v>
      </c>
      <c r="E5044" t="s">
        <v>41</v>
      </c>
      <c r="J5044" t="s">
        <v>42</v>
      </c>
      <c r="K5044" t="s">
        <v>43</v>
      </c>
      <c r="L5044">
        <v>9</v>
      </c>
      <c r="M5044" t="s">
        <v>16897</v>
      </c>
      <c r="N5044" t="s">
        <v>1334</v>
      </c>
      <c r="O5044" t="s">
        <v>46</v>
      </c>
      <c r="P5044" t="s">
        <v>46</v>
      </c>
      <c r="Y5044" t="s">
        <v>16907</v>
      </c>
    </row>
    <row r="5045" spans="1:25">
      <c r="A5045" t="s">
        <v>16908</v>
      </c>
      <c r="B5045" t="s">
        <v>16909</v>
      </c>
      <c r="D5045" t="s">
        <v>40</v>
      </c>
      <c r="E5045" t="s">
        <v>41</v>
      </c>
      <c r="J5045" t="s">
        <v>182</v>
      </c>
      <c r="K5045" t="s">
        <v>183</v>
      </c>
      <c r="L5045">
        <v>9</v>
      </c>
      <c r="M5045" t="s">
        <v>16897</v>
      </c>
      <c r="N5045" t="s">
        <v>64</v>
      </c>
      <c r="O5045" t="s">
        <v>46</v>
      </c>
      <c r="P5045" t="s">
        <v>46</v>
      </c>
      <c r="Y5045" t="s">
        <v>16910</v>
      </c>
    </row>
    <row r="5046" spans="1:25">
      <c r="A5046" t="s">
        <v>16911</v>
      </c>
      <c r="B5046" t="s">
        <v>16912</v>
      </c>
      <c r="D5046" t="s">
        <v>40</v>
      </c>
      <c r="E5046" t="s">
        <v>41</v>
      </c>
      <c r="J5046" t="s">
        <v>76</v>
      </c>
      <c r="K5046" t="s">
        <v>77</v>
      </c>
      <c r="L5046">
        <v>9</v>
      </c>
      <c r="M5046" t="s">
        <v>16897</v>
      </c>
      <c r="N5046" t="s">
        <v>64</v>
      </c>
      <c r="O5046" t="s">
        <v>46</v>
      </c>
      <c r="P5046" t="s">
        <v>46</v>
      </c>
      <c r="Y5046" t="s">
        <v>16913</v>
      </c>
    </row>
    <row r="5047" spans="1:25">
      <c r="A5047" t="s">
        <v>16914</v>
      </c>
      <c r="B5047" t="s">
        <v>16915</v>
      </c>
      <c r="D5047" t="s">
        <v>40</v>
      </c>
      <c r="E5047" t="s">
        <v>41</v>
      </c>
      <c r="J5047" t="s">
        <v>68</v>
      </c>
      <c r="K5047" t="s">
        <v>69</v>
      </c>
      <c r="L5047">
        <v>9</v>
      </c>
      <c r="M5047" t="s">
        <v>16897</v>
      </c>
      <c r="N5047" t="s">
        <v>64</v>
      </c>
      <c r="O5047" t="s">
        <v>46</v>
      </c>
      <c r="P5047" t="s">
        <v>46</v>
      </c>
      <c r="Y5047" t="s">
        <v>16916</v>
      </c>
    </row>
    <row r="5048" spans="1:25">
      <c r="A5048" t="s">
        <v>16917</v>
      </c>
      <c r="B5048" t="s">
        <v>16918</v>
      </c>
      <c r="D5048" t="s">
        <v>40</v>
      </c>
      <c r="E5048" t="s">
        <v>41</v>
      </c>
      <c r="J5048" t="s">
        <v>76</v>
      </c>
      <c r="K5048" t="s">
        <v>77</v>
      </c>
      <c r="L5048">
        <v>9</v>
      </c>
      <c r="M5048" t="s">
        <v>16897</v>
      </c>
      <c r="N5048" t="s">
        <v>64</v>
      </c>
      <c r="O5048" t="s">
        <v>46</v>
      </c>
      <c r="P5048" t="s">
        <v>46</v>
      </c>
      <c r="Y5048" t="s">
        <v>16919</v>
      </c>
    </row>
    <row r="5049" spans="1:25">
      <c r="A5049" t="s">
        <v>16920</v>
      </c>
      <c r="B5049" t="s">
        <v>16921</v>
      </c>
      <c r="D5049" t="s">
        <v>40</v>
      </c>
      <c r="E5049" t="s">
        <v>41</v>
      </c>
      <c r="J5049" t="s">
        <v>182</v>
      </c>
      <c r="K5049" t="s">
        <v>183</v>
      </c>
      <c r="L5049">
        <v>9</v>
      </c>
      <c r="M5049" t="s">
        <v>16897</v>
      </c>
      <c r="N5049" t="s">
        <v>64</v>
      </c>
      <c r="O5049" t="s">
        <v>46</v>
      </c>
      <c r="P5049" t="s">
        <v>46</v>
      </c>
      <c r="Y5049" t="s">
        <v>16922</v>
      </c>
    </row>
    <row r="5050" spans="1:25">
      <c r="A5050" t="s">
        <v>16923</v>
      </c>
      <c r="B5050" t="s">
        <v>16924</v>
      </c>
      <c r="D5050" t="s">
        <v>40</v>
      </c>
      <c r="E5050" t="s">
        <v>41</v>
      </c>
      <c r="J5050" t="s">
        <v>182</v>
      </c>
      <c r="K5050" t="s">
        <v>183</v>
      </c>
      <c r="L5050">
        <v>9</v>
      </c>
      <c r="M5050" t="s">
        <v>16897</v>
      </c>
      <c r="N5050" t="s">
        <v>64</v>
      </c>
      <c r="O5050" t="s">
        <v>46</v>
      </c>
      <c r="P5050" t="s">
        <v>46</v>
      </c>
      <c r="Y5050" t="s">
        <v>16925</v>
      </c>
    </row>
    <row r="5051" spans="1:25">
      <c r="A5051" t="s">
        <v>16926</v>
      </c>
      <c r="B5051" t="s">
        <v>16927</v>
      </c>
      <c r="D5051" t="s">
        <v>40</v>
      </c>
      <c r="E5051" t="s">
        <v>41</v>
      </c>
      <c r="J5051" t="s">
        <v>68</v>
      </c>
      <c r="K5051" t="s">
        <v>69</v>
      </c>
      <c r="L5051">
        <v>9</v>
      </c>
      <c r="M5051" t="s">
        <v>16928</v>
      </c>
      <c r="N5051" t="s">
        <v>64</v>
      </c>
      <c r="O5051" t="s">
        <v>46</v>
      </c>
      <c r="P5051" t="s">
        <v>46</v>
      </c>
      <c r="Y5051" t="s">
        <v>16929</v>
      </c>
    </row>
    <row r="5052" spans="1:25">
      <c r="A5052" t="s">
        <v>16930</v>
      </c>
      <c r="B5052" t="s">
        <v>16931</v>
      </c>
      <c r="D5052" t="s">
        <v>40</v>
      </c>
      <c r="E5052" t="s">
        <v>41</v>
      </c>
      <c r="J5052" t="s">
        <v>248</v>
      </c>
      <c r="K5052" t="s">
        <v>249</v>
      </c>
      <c r="L5052">
        <v>9</v>
      </c>
      <c r="M5052" t="s">
        <v>16928</v>
      </c>
      <c r="N5052" t="s">
        <v>210</v>
      </c>
      <c r="O5052" t="s">
        <v>46</v>
      </c>
      <c r="P5052" t="s">
        <v>46</v>
      </c>
      <c r="Y5052" t="s">
        <v>16932</v>
      </c>
    </row>
    <row r="5053" spans="1:25">
      <c r="A5053" t="s">
        <v>16933</v>
      </c>
      <c r="B5053" t="s">
        <v>16934</v>
      </c>
      <c r="D5053" t="s">
        <v>40</v>
      </c>
      <c r="E5053" t="s">
        <v>41</v>
      </c>
      <c r="J5053" t="s">
        <v>76</v>
      </c>
      <c r="K5053" t="s">
        <v>77</v>
      </c>
      <c r="L5053">
        <v>9</v>
      </c>
      <c r="M5053" t="s">
        <v>16928</v>
      </c>
      <c r="N5053" t="s">
        <v>64</v>
      </c>
      <c r="O5053" t="s">
        <v>46</v>
      </c>
      <c r="P5053" t="s">
        <v>46</v>
      </c>
      <c r="Y5053" t="s">
        <v>16935</v>
      </c>
    </row>
    <row r="5054" spans="1:25">
      <c r="A5054" t="s">
        <v>16936</v>
      </c>
      <c r="B5054" t="s">
        <v>16937</v>
      </c>
      <c r="D5054" t="s">
        <v>40</v>
      </c>
      <c r="E5054" t="s">
        <v>41</v>
      </c>
      <c r="J5054" t="s">
        <v>264</v>
      </c>
      <c r="K5054" t="s">
        <v>265</v>
      </c>
      <c r="L5054">
        <v>9</v>
      </c>
      <c r="M5054" t="s">
        <v>16928</v>
      </c>
      <c r="N5054" t="s">
        <v>1478</v>
      </c>
      <c r="O5054" t="s">
        <v>46</v>
      </c>
      <c r="P5054" t="s">
        <v>46</v>
      </c>
      <c r="Y5054" t="s">
        <v>16938</v>
      </c>
    </row>
    <row r="5055" spans="1:25">
      <c r="A5055" t="s">
        <v>16939</v>
      </c>
      <c r="B5055" t="s">
        <v>16940</v>
      </c>
      <c r="D5055" t="s">
        <v>40</v>
      </c>
      <c r="E5055" t="s">
        <v>41</v>
      </c>
      <c r="J5055" t="s">
        <v>76</v>
      </c>
      <c r="K5055" t="s">
        <v>77</v>
      </c>
      <c r="L5055">
        <v>9</v>
      </c>
      <c r="M5055" t="s">
        <v>16928</v>
      </c>
      <c r="N5055" t="s">
        <v>64</v>
      </c>
      <c r="O5055" t="s">
        <v>46</v>
      </c>
      <c r="P5055" t="s">
        <v>46</v>
      </c>
      <c r="Y5055" t="s">
        <v>16941</v>
      </c>
    </row>
    <row r="5056" spans="1:25">
      <c r="A5056" t="s">
        <v>16942</v>
      </c>
      <c r="B5056" t="s">
        <v>16943</v>
      </c>
      <c r="D5056" t="s">
        <v>40</v>
      </c>
      <c r="E5056" t="s">
        <v>41</v>
      </c>
      <c r="J5056" t="s">
        <v>182</v>
      </c>
      <c r="K5056" t="s">
        <v>183</v>
      </c>
      <c r="L5056">
        <v>9</v>
      </c>
      <c r="M5056" t="s">
        <v>16944</v>
      </c>
      <c r="N5056" t="s">
        <v>64</v>
      </c>
      <c r="O5056" t="s">
        <v>46</v>
      </c>
      <c r="P5056" t="s">
        <v>46</v>
      </c>
      <c r="Y5056" t="s">
        <v>16945</v>
      </c>
    </row>
    <row r="5057" spans="1:25">
      <c r="A5057" t="s">
        <v>16946</v>
      </c>
      <c r="B5057" t="s">
        <v>16947</v>
      </c>
      <c r="D5057" t="s">
        <v>40</v>
      </c>
      <c r="E5057" t="s">
        <v>41</v>
      </c>
      <c r="J5057" t="s">
        <v>182</v>
      </c>
      <c r="K5057" t="s">
        <v>183</v>
      </c>
      <c r="L5057">
        <v>9</v>
      </c>
      <c r="M5057" t="s">
        <v>16944</v>
      </c>
      <c r="N5057" t="s">
        <v>64</v>
      </c>
      <c r="O5057" t="s">
        <v>46</v>
      </c>
      <c r="P5057" t="s">
        <v>46</v>
      </c>
      <c r="Y5057" t="s">
        <v>16948</v>
      </c>
    </row>
    <row r="5058" spans="1:25">
      <c r="A5058" t="s">
        <v>16949</v>
      </c>
      <c r="B5058" t="s">
        <v>16950</v>
      </c>
      <c r="D5058" t="s">
        <v>40</v>
      </c>
      <c r="E5058" t="s">
        <v>41</v>
      </c>
      <c r="J5058" t="s">
        <v>182</v>
      </c>
      <c r="K5058" t="s">
        <v>183</v>
      </c>
      <c r="L5058">
        <v>9</v>
      </c>
      <c r="M5058" t="s">
        <v>16944</v>
      </c>
      <c r="N5058" t="s">
        <v>64</v>
      </c>
      <c r="O5058" t="s">
        <v>46</v>
      </c>
      <c r="P5058" t="s">
        <v>46</v>
      </c>
      <c r="Y5058" t="s">
        <v>16951</v>
      </c>
    </row>
    <row r="5059" spans="1:25">
      <c r="A5059" t="s">
        <v>16952</v>
      </c>
      <c r="B5059" t="s">
        <v>16953</v>
      </c>
      <c r="D5059" t="s">
        <v>40</v>
      </c>
      <c r="E5059" t="s">
        <v>41</v>
      </c>
      <c r="J5059" t="s">
        <v>182</v>
      </c>
      <c r="K5059" t="s">
        <v>183</v>
      </c>
      <c r="L5059">
        <v>9</v>
      </c>
      <c r="M5059" t="s">
        <v>16954</v>
      </c>
      <c r="N5059" t="s">
        <v>64</v>
      </c>
      <c r="O5059" t="s">
        <v>46</v>
      </c>
      <c r="P5059" t="s">
        <v>46</v>
      </c>
      <c r="Y5059" t="s">
        <v>16955</v>
      </c>
    </row>
    <row r="5060" spans="1:25">
      <c r="A5060" t="s">
        <v>16956</v>
      </c>
      <c r="B5060" t="s">
        <v>16957</v>
      </c>
      <c r="D5060" t="s">
        <v>40</v>
      </c>
      <c r="E5060" t="s">
        <v>41</v>
      </c>
      <c r="J5060" t="s">
        <v>76</v>
      </c>
      <c r="K5060" t="s">
        <v>77</v>
      </c>
      <c r="L5060">
        <v>9</v>
      </c>
      <c r="M5060" t="s">
        <v>16954</v>
      </c>
      <c r="N5060" t="s">
        <v>64</v>
      </c>
      <c r="O5060" t="s">
        <v>46</v>
      </c>
      <c r="P5060" t="s">
        <v>46</v>
      </c>
      <c r="Y5060" t="s">
        <v>16958</v>
      </c>
    </row>
    <row r="5061" spans="1:25">
      <c r="A5061" t="s">
        <v>16959</v>
      </c>
      <c r="B5061" t="s">
        <v>16960</v>
      </c>
      <c r="D5061" t="s">
        <v>40</v>
      </c>
      <c r="E5061" t="s">
        <v>41</v>
      </c>
      <c r="J5061" t="s">
        <v>182</v>
      </c>
      <c r="K5061" t="s">
        <v>183</v>
      </c>
      <c r="L5061">
        <v>9</v>
      </c>
      <c r="M5061" t="s">
        <v>16954</v>
      </c>
      <c r="N5061" t="s">
        <v>64</v>
      </c>
      <c r="O5061" t="s">
        <v>46</v>
      </c>
      <c r="P5061" t="s">
        <v>46</v>
      </c>
      <c r="Y5061" t="s">
        <v>16961</v>
      </c>
    </row>
    <row r="5062" spans="1:25">
      <c r="A5062" t="s">
        <v>16962</v>
      </c>
      <c r="B5062" t="s">
        <v>16963</v>
      </c>
      <c r="D5062" t="s">
        <v>40</v>
      </c>
      <c r="E5062" t="s">
        <v>41</v>
      </c>
      <c r="J5062" t="s">
        <v>182</v>
      </c>
      <c r="K5062" t="s">
        <v>183</v>
      </c>
      <c r="L5062">
        <v>9</v>
      </c>
      <c r="M5062" t="s">
        <v>16954</v>
      </c>
      <c r="N5062" t="s">
        <v>64</v>
      </c>
      <c r="O5062" t="s">
        <v>46</v>
      </c>
      <c r="P5062" t="s">
        <v>46</v>
      </c>
      <c r="Y5062" t="s">
        <v>16964</v>
      </c>
    </row>
    <row r="5063" spans="1:25">
      <c r="A5063" t="s">
        <v>16965</v>
      </c>
      <c r="B5063" t="s">
        <v>16966</v>
      </c>
      <c r="D5063" t="s">
        <v>40</v>
      </c>
      <c r="E5063" t="s">
        <v>41</v>
      </c>
      <c r="J5063" t="s">
        <v>182</v>
      </c>
      <c r="K5063" t="s">
        <v>183</v>
      </c>
      <c r="L5063">
        <v>9</v>
      </c>
      <c r="M5063" t="s">
        <v>16954</v>
      </c>
      <c r="N5063" t="s">
        <v>64</v>
      </c>
      <c r="O5063" t="s">
        <v>46</v>
      </c>
      <c r="P5063" t="s">
        <v>46</v>
      </c>
      <c r="Y5063" t="s">
        <v>16967</v>
      </c>
    </row>
    <row r="5064" spans="1:25">
      <c r="A5064" t="s">
        <v>16968</v>
      </c>
      <c r="B5064" t="s">
        <v>16969</v>
      </c>
      <c r="D5064" t="s">
        <v>40</v>
      </c>
      <c r="E5064" t="s">
        <v>41</v>
      </c>
      <c r="J5064" t="s">
        <v>76</v>
      </c>
      <c r="K5064" t="s">
        <v>77</v>
      </c>
      <c r="L5064">
        <v>9</v>
      </c>
      <c r="M5064" t="s">
        <v>16954</v>
      </c>
      <c r="N5064" t="s">
        <v>64</v>
      </c>
      <c r="O5064" t="s">
        <v>46</v>
      </c>
      <c r="P5064" t="s">
        <v>46</v>
      </c>
      <c r="Y5064" t="s">
        <v>16970</v>
      </c>
    </row>
    <row r="5065" spans="1:25">
      <c r="A5065" t="s">
        <v>16971</v>
      </c>
      <c r="B5065" t="s">
        <v>16972</v>
      </c>
      <c r="D5065" t="s">
        <v>40</v>
      </c>
      <c r="E5065" t="s">
        <v>41</v>
      </c>
      <c r="J5065" t="s">
        <v>76</v>
      </c>
      <c r="K5065" t="s">
        <v>77</v>
      </c>
      <c r="L5065">
        <v>9</v>
      </c>
      <c r="M5065" t="s">
        <v>16954</v>
      </c>
      <c r="N5065" t="s">
        <v>64</v>
      </c>
      <c r="O5065" t="s">
        <v>46</v>
      </c>
      <c r="P5065" t="s">
        <v>46</v>
      </c>
      <c r="Y5065" t="s">
        <v>16973</v>
      </c>
    </row>
    <row r="5066" spans="1:25">
      <c r="A5066" t="s">
        <v>16974</v>
      </c>
      <c r="B5066" t="s">
        <v>16975</v>
      </c>
      <c r="D5066" t="s">
        <v>40</v>
      </c>
      <c r="E5066" t="s">
        <v>41</v>
      </c>
      <c r="J5066" t="s">
        <v>76</v>
      </c>
      <c r="K5066" t="s">
        <v>77</v>
      </c>
      <c r="L5066">
        <v>9</v>
      </c>
      <c r="M5066" t="s">
        <v>16954</v>
      </c>
      <c r="N5066" t="s">
        <v>64</v>
      </c>
      <c r="O5066" t="s">
        <v>46</v>
      </c>
      <c r="P5066" t="s">
        <v>46</v>
      </c>
      <c r="Y5066" t="s">
        <v>16976</v>
      </c>
    </row>
    <row r="5067" spans="1:25">
      <c r="A5067" t="s">
        <v>16977</v>
      </c>
      <c r="B5067" t="s">
        <v>16978</v>
      </c>
      <c r="D5067" t="s">
        <v>40</v>
      </c>
      <c r="E5067" t="s">
        <v>41</v>
      </c>
      <c r="J5067" t="s">
        <v>182</v>
      </c>
      <c r="K5067" t="s">
        <v>183</v>
      </c>
      <c r="L5067">
        <v>9</v>
      </c>
      <c r="M5067" t="s">
        <v>16954</v>
      </c>
      <c r="N5067" t="s">
        <v>64</v>
      </c>
      <c r="O5067" t="s">
        <v>46</v>
      </c>
      <c r="P5067" t="s">
        <v>46</v>
      </c>
      <c r="Y5067" t="s">
        <v>16979</v>
      </c>
    </row>
    <row r="5068" spans="1:25">
      <c r="A5068" t="s">
        <v>16980</v>
      </c>
      <c r="B5068" t="s">
        <v>16981</v>
      </c>
      <c r="D5068" t="s">
        <v>40</v>
      </c>
      <c r="E5068" t="s">
        <v>41</v>
      </c>
      <c r="J5068" t="s">
        <v>182</v>
      </c>
      <c r="K5068" t="s">
        <v>183</v>
      </c>
      <c r="L5068">
        <v>9</v>
      </c>
      <c r="M5068" t="s">
        <v>16954</v>
      </c>
      <c r="N5068" t="s">
        <v>64</v>
      </c>
      <c r="O5068" t="s">
        <v>46</v>
      </c>
      <c r="P5068" t="s">
        <v>46</v>
      </c>
      <c r="Y5068" t="s">
        <v>16982</v>
      </c>
    </row>
    <row r="5069" spans="1:25">
      <c r="A5069" t="s">
        <v>16983</v>
      </c>
      <c r="B5069" t="s">
        <v>16984</v>
      </c>
      <c r="D5069" t="s">
        <v>40</v>
      </c>
      <c r="E5069" t="s">
        <v>41</v>
      </c>
      <c r="J5069" t="s">
        <v>182</v>
      </c>
      <c r="K5069" t="s">
        <v>183</v>
      </c>
      <c r="L5069">
        <v>9</v>
      </c>
      <c r="M5069" t="s">
        <v>16985</v>
      </c>
      <c r="N5069" t="s">
        <v>64</v>
      </c>
      <c r="O5069" t="s">
        <v>46</v>
      </c>
      <c r="P5069" t="s">
        <v>46</v>
      </c>
      <c r="Y5069" t="s">
        <v>16986</v>
      </c>
    </row>
    <row r="5070" spans="1:25">
      <c r="A5070" t="s">
        <v>16987</v>
      </c>
      <c r="B5070" t="s">
        <v>16988</v>
      </c>
      <c r="D5070" t="s">
        <v>40</v>
      </c>
      <c r="E5070" t="s">
        <v>41</v>
      </c>
      <c r="J5070" t="s">
        <v>1572</v>
      </c>
      <c r="K5070" t="s">
        <v>1573</v>
      </c>
      <c r="L5070">
        <v>9</v>
      </c>
      <c r="M5070" t="s">
        <v>16985</v>
      </c>
      <c r="N5070" t="s">
        <v>64</v>
      </c>
      <c r="O5070" t="s">
        <v>46</v>
      </c>
      <c r="P5070" t="s">
        <v>46</v>
      </c>
      <c r="Y5070" t="s">
        <v>16989</v>
      </c>
    </row>
    <row r="5071" spans="1:25">
      <c r="A5071" t="s">
        <v>16990</v>
      </c>
      <c r="B5071" t="s">
        <v>16991</v>
      </c>
      <c r="D5071" t="s">
        <v>40</v>
      </c>
      <c r="E5071" t="s">
        <v>41</v>
      </c>
      <c r="J5071" t="s">
        <v>182</v>
      </c>
      <c r="K5071" t="s">
        <v>183</v>
      </c>
      <c r="L5071">
        <v>9</v>
      </c>
      <c r="M5071" t="s">
        <v>16985</v>
      </c>
      <c r="N5071" t="s">
        <v>64</v>
      </c>
      <c r="O5071" t="s">
        <v>46</v>
      </c>
      <c r="P5071" t="s">
        <v>46</v>
      </c>
      <c r="Y5071" t="s">
        <v>16992</v>
      </c>
    </row>
    <row r="5072" spans="1:25">
      <c r="A5072" t="s">
        <v>16993</v>
      </c>
      <c r="B5072" t="s">
        <v>16994</v>
      </c>
      <c r="D5072" t="s">
        <v>40</v>
      </c>
      <c r="E5072" t="s">
        <v>41</v>
      </c>
      <c r="J5072" t="s">
        <v>68</v>
      </c>
      <c r="K5072" t="s">
        <v>69</v>
      </c>
      <c r="L5072">
        <v>9</v>
      </c>
      <c r="M5072" t="s">
        <v>16985</v>
      </c>
      <c r="N5072" t="s">
        <v>64</v>
      </c>
      <c r="O5072" t="s">
        <v>46</v>
      </c>
      <c r="P5072" t="s">
        <v>46</v>
      </c>
      <c r="Y5072" t="s">
        <v>16995</v>
      </c>
    </row>
    <row r="5073" spans="1:25">
      <c r="A5073" t="s">
        <v>16996</v>
      </c>
      <c r="B5073" t="s">
        <v>16997</v>
      </c>
      <c r="D5073" t="s">
        <v>40</v>
      </c>
      <c r="E5073" t="s">
        <v>41</v>
      </c>
      <c r="J5073" t="s">
        <v>182</v>
      </c>
      <c r="K5073" t="s">
        <v>183</v>
      </c>
      <c r="L5073">
        <v>9</v>
      </c>
      <c r="M5073" t="s">
        <v>16998</v>
      </c>
      <c r="N5073" t="s">
        <v>64</v>
      </c>
      <c r="O5073" t="s">
        <v>46</v>
      </c>
      <c r="P5073" t="s">
        <v>46</v>
      </c>
      <c r="Y5073" t="s">
        <v>16999</v>
      </c>
    </row>
    <row r="5074" spans="1:25">
      <c r="A5074" t="s">
        <v>17000</v>
      </c>
      <c r="B5074" t="s">
        <v>17001</v>
      </c>
      <c r="D5074" t="s">
        <v>40</v>
      </c>
      <c r="E5074" t="s">
        <v>41</v>
      </c>
      <c r="J5074" t="s">
        <v>182</v>
      </c>
      <c r="K5074" t="s">
        <v>183</v>
      </c>
      <c r="L5074">
        <v>9</v>
      </c>
      <c r="M5074" t="s">
        <v>16998</v>
      </c>
      <c r="N5074" t="s">
        <v>64</v>
      </c>
      <c r="O5074" t="s">
        <v>46</v>
      </c>
      <c r="P5074" t="s">
        <v>46</v>
      </c>
      <c r="Y5074" t="s">
        <v>17002</v>
      </c>
    </row>
    <row r="5075" spans="1:25">
      <c r="A5075" t="s">
        <v>17003</v>
      </c>
      <c r="B5075" t="s">
        <v>17004</v>
      </c>
      <c r="D5075" t="s">
        <v>40</v>
      </c>
      <c r="E5075" t="s">
        <v>41</v>
      </c>
      <c r="J5075" t="s">
        <v>182</v>
      </c>
      <c r="K5075" t="s">
        <v>183</v>
      </c>
      <c r="L5075">
        <v>9</v>
      </c>
      <c r="M5075" t="s">
        <v>16998</v>
      </c>
      <c r="N5075" t="s">
        <v>64</v>
      </c>
      <c r="O5075" t="s">
        <v>46</v>
      </c>
      <c r="P5075" t="s">
        <v>46</v>
      </c>
      <c r="Y5075" t="s">
        <v>17005</v>
      </c>
    </row>
    <row r="5076" spans="1:25">
      <c r="A5076" t="s">
        <v>17006</v>
      </c>
      <c r="B5076" t="s">
        <v>17007</v>
      </c>
      <c r="D5076" t="s">
        <v>40</v>
      </c>
      <c r="E5076" t="s">
        <v>41</v>
      </c>
      <c r="J5076" t="s">
        <v>182</v>
      </c>
      <c r="K5076" t="s">
        <v>183</v>
      </c>
      <c r="L5076">
        <v>9</v>
      </c>
      <c r="M5076" t="s">
        <v>17008</v>
      </c>
      <c r="N5076" t="s">
        <v>64</v>
      </c>
      <c r="O5076" t="s">
        <v>46</v>
      </c>
      <c r="P5076" t="s">
        <v>46</v>
      </c>
      <c r="Y5076" t="s">
        <v>17009</v>
      </c>
    </row>
    <row r="5077" spans="1:25">
      <c r="A5077" t="s">
        <v>17010</v>
      </c>
      <c r="B5077" t="s">
        <v>17011</v>
      </c>
      <c r="D5077" t="s">
        <v>40</v>
      </c>
      <c r="E5077" t="s">
        <v>41</v>
      </c>
      <c r="J5077" t="s">
        <v>76</v>
      </c>
      <c r="K5077" t="s">
        <v>77</v>
      </c>
      <c r="L5077">
        <v>9</v>
      </c>
      <c r="M5077" t="s">
        <v>17008</v>
      </c>
      <c r="N5077" t="s">
        <v>64</v>
      </c>
      <c r="O5077" t="s">
        <v>46</v>
      </c>
      <c r="P5077" t="s">
        <v>46</v>
      </c>
      <c r="Y5077" t="s">
        <v>17012</v>
      </c>
    </row>
    <row r="5078" spans="1:25">
      <c r="A5078" t="s">
        <v>17013</v>
      </c>
      <c r="B5078" t="s">
        <v>17014</v>
      </c>
      <c r="D5078" t="s">
        <v>40</v>
      </c>
      <c r="E5078" t="s">
        <v>41</v>
      </c>
      <c r="J5078" t="s">
        <v>76</v>
      </c>
      <c r="K5078" t="s">
        <v>77</v>
      </c>
      <c r="L5078">
        <v>9</v>
      </c>
      <c r="M5078" t="s">
        <v>17008</v>
      </c>
      <c r="N5078" t="s">
        <v>64</v>
      </c>
      <c r="O5078" t="s">
        <v>46</v>
      </c>
      <c r="P5078" t="s">
        <v>46</v>
      </c>
      <c r="Y5078" t="s">
        <v>17015</v>
      </c>
    </row>
    <row r="5079" spans="1:25">
      <c r="A5079" t="s">
        <v>17016</v>
      </c>
      <c r="B5079" t="s">
        <v>17017</v>
      </c>
      <c r="D5079" t="s">
        <v>40</v>
      </c>
      <c r="E5079" t="s">
        <v>41</v>
      </c>
      <c r="J5079" t="s">
        <v>76</v>
      </c>
      <c r="K5079" t="s">
        <v>77</v>
      </c>
      <c r="L5079">
        <v>9</v>
      </c>
      <c r="M5079" t="s">
        <v>17008</v>
      </c>
      <c r="N5079" t="s">
        <v>64</v>
      </c>
      <c r="O5079" t="s">
        <v>46</v>
      </c>
      <c r="P5079" t="s">
        <v>46</v>
      </c>
      <c r="Y5079" t="s">
        <v>17018</v>
      </c>
    </row>
    <row r="5080" spans="1:25">
      <c r="A5080" t="s">
        <v>17019</v>
      </c>
      <c r="B5080" t="s">
        <v>17020</v>
      </c>
      <c r="D5080" t="s">
        <v>40</v>
      </c>
      <c r="E5080" t="s">
        <v>41</v>
      </c>
      <c r="J5080" t="s">
        <v>76</v>
      </c>
      <c r="K5080" t="s">
        <v>77</v>
      </c>
      <c r="L5080">
        <v>9</v>
      </c>
      <c r="M5080" t="s">
        <v>17008</v>
      </c>
      <c r="N5080" t="s">
        <v>64</v>
      </c>
      <c r="O5080" t="s">
        <v>46</v>
      </c>
      <c r="P5080" t="s">
        <v>46</v>
      </c>
      <c r="Y5080" t="s">
        <v>17021</v>
      </c>
    </row>
    <row r="5081" spans="1:25">
      <c r="A5081" t="s">
        <v>17022</v>
      </c>
      <c r="B5081" t="s">
        <v>17023</v>
      </c>
      <c r="D5081" t="s">
        <v>40</v>
      </c>
      <c r="E5081" t="s">
        <v>41</v>
      </c>
      <c r="J5081" t="s">
        <v>182</v>
      </c>
      <c r="K5081" t="s">
        <v>183</v>
      </c>
      <c r="L5081">
        <v>9</v>
      </c>
      <c r="M5081" t="s">
        <v>17008</v>
      </c>
      <c r="N5081" t="s">
        <v>64</v>
      </c>
      <c r="O5081" t="s">
        <v>46</v>
      </c>
      <c r="P5081" t="s">
        <v>46</v>
      </c>
      <c r="Y5081" t="s">
        <v>17024</v>
      </c>
    </row>
    <row r="5082" spans="1:25">
      <c r="A5082" t="s">
        <v>17025</v>
      </c>
      <c r="B5082" t="s">
        <v>17026</v>
      </c>
      <c r="D5082" t="s">
        <v>40</v>
      </c>
      <c r="E5082" t="s">
        <v>41</v>
      </c>
      <c r="J5082" t="s">
        <v>248</v>
      </c>
      <c r="K5082" t="s">
        <v>249</v>
      </c>
      <c r="L5082">
        <v>9</v>
      </c>
      <c r="M5082" t="s">
        <v>17008</v>
      </c>
      <c r="N5082" t="s">
        <v>752</v>
      </c>
      <c r="O5082" t="s">
        <v>46</v>
      </c>
      <c r="P5082" t="s">
        <v>46</v>
      </c>
      <c r="Y5082" t="s">
        <v>17027</v>
      </c>
    </row>
    <row r="5083" spans="1:25">
      <c r="A5083" t="s">
        <v>17028</v>
      </c>
      <c r="B5083" t="s">
        <v>17029</v>
      </c>
      <c r="D5083" t="s">
        <v>40</v>
      </c>
      <c r="E5083" t="s">
        <v>41</v>
      </c>
      <c r="J5083" t="s">
        <v>76</v>
      </c>
      <c r="K5083" t="s">
        <v>77</v>
      </c>
      <c r="L5083">
        <v>9</v>
      </c>
      <c r="M5083" t="s">
        <v>17008</v>
      </c>
      <c r="N5083" t="s">
        <v>64</v>
      </c>
      <c r="O5083" t="s">
        <v>46</v>
      </c>
      <c r="P5083" t="s">
        <v>46</v>
      </c>
      <c r="Y5083" t="s">
        <v>17030</v>
      </c>
    </row>
    <row r="5084" spans="1:25">
      <c r="A5084" t="s">
        <v>17031</v>
      </c>
      <c r="B5084" t="s">
        <v>17032</v>
      </c>
      <c r="D5084" t="s">
        <v>40</v>
      </c>
      <c r="E5084" t="s">
        <v>41</v>
      </c>
      <c r="J5084" t="s">
        <v>139</v>
      </c>
      <c r="K5084" t="s">
        <v>140</v>
      </c>
      <c r="L5084">
        <v>3</v>
      </c>
      <c r="M5084" t="s">
        <v>17008</v>
      </c>
      <c r="N5084" t="s">
        <v>5995</v>
      </c>
      <c r="O5084" t="s">
        <v>46</v>
      </c>
      <c r="P5084" t="s">
        <v>46</v>
      </c>
      <c r="Y5084" t="s">
        <v>17033</v>
      </c>
    </row>
    <row r="5085" spans="1:25">
      <c r="A5085" t="s">
        <v>17034</v>
      </c>
      <c r="B5085" t="s">
        <v>17035</v>
      </c>
      <c r="D5085" t="s">
        <v>40</v>
      </c>
      <c r="E5085" t="s">
        <v>41</v>
      </c>
      <c r="J5085" t="s">
        <v>182</v>
      </c>
      <c r="K5085" t="s">
        <v>183</v>
      </c>
      <c r="L5085">
        <v>9</v>
      </c>
      <c r="M5085" t="s">
        <v>17036</v>
      </c>
      <c r="N5085" t="s">
        <v>64</v>
      </c>
      <c r="O5085" t="s">
        <v>46</v>
      </c>
      <c r="P5085" t="s">
        <v>46</v>
      </c>
      <c r="Y5085" t="s">
        <v>17037</v>
      </c>
    </row>
    <row r="5086" spans="1:25">
      <c r="A5086" t="s">
        <v>17038</v>
      </c>
      <c r="B5086" t="s">
        <v>17039</v>
      </c>
      <c r="D5086" t="s">
        <v>40</v>
      </c>
      <c r="E5086" t="s">
        <v>41</v>
      </c>
      <c r="J5086" t="s">
        <v>76</v>
      </c>
      <c r="K5086" t="s">
        <v>77</v>
      </c>
      <c r="L5086">
        <v>9</v>
      </c>
      <c r="M5086" t="s">
        <v>17036</v>
      </c>
      <c r="N5086" t="s">
        <v>64</v>
      </c>
      <c r="O5086" t="s">
        <v>46</v>
      </c>
      <c r="P5086" t="s">
        <v>46</v>
      </c>
      <c r="Y5086" t="s">
        <v>17040</v>
      </c>
    </row>
    <row r="5087" spans="1:25">
      <c r="A5087" t="s">
        <v>17041</v>
      </c>
      <c r="B5087" t="s">
        <v>17042</v>
      </c>
      <c r="D5087" t="s">
        <v>40</v>
      </c>
      <c r="E5087" t="s">
        <v>41</v>
      </c>
      <c r="J5087" t="s">
        <v>182</v>
      </c>
      <c r="K5087" t="s">
        <v>183</v>
      </c>
      <c r="L5087">
        <v>9</v>
      </c>
      <c r="M5087" t="s">
        <v>17036</v>
      </c>
      <c r="N5087" t="s">
        <v>64</v>
      </c>
      <c r="O5087" t="s">
        <v>46</v>
      </c>
      <c r="P5087" t="s">
        <v>46</v>
      </c>
      <c r="Y5087" t="s">
        <v>17043</v>
      </c>
    </row>
    <row r="5088" spans="1:25">
      <c r="A5088" t="s">
        <v>17044</v>
      </c>
      <c r="B5088" t="s">
        <v>17045</v>
      </c>
      <c r="D5088" t="s">
        <v>40</v>
      </c>
      <c r="E5088" t="s">
        <v>41</v>
      </c>
      <c r="J5088" t="s">
        <v>182</v>
      </c>
      <c r="K5088" t="s">
        <v>183</v>
      </c>
      <c r="L5088">
        <v>9</v>
      </c>
      <c r="M5088" t="s">
        <v>17036</v>
      </c>
      <c r="N5088" t="s">
        <v>64</v>
      </c>
      <c r="O5088" t="s">
        <v>46</v>
      </c>
      <c r="P5088" t="s">
        <v>46</v>
      </c>
      <c r="Y5088" t="s">
        <v>17046</v>
      </c>
    </row>
    <row r="5089" spans="1:25">
      <c r="A5089" t="s">
        <v>17047</v>
      </c>
      <c r="B5089" t="s">
        <v>17048</v>
      </c>
      <c r="D5089" t="s">
        <v>40</v>
      </c>
      <c r="E5089" t="s">
        <v>41</v>
      </c>
      <c r="J5089" t="s">
        <v>182</v>
      </c>
      <c r="K5089" t="s">
        <v>183</v>
      </c>
      <c r="L5089">
        <v>9</v>
      </c>
      <c r="M5089" t="s">
        <v>17049</v>
      </c>
      <c r="N5089" t="s">
        <v>64</v>
      </c>
      <c r="O5089" t="s">
        <v>46</v>
      </c>
      <c r="P5089" t="s">
        <v>46</v>
      </c>
      <c r="Y5089" t="s">
        <v>17050</v>
      </c>
    </row>
    <row r="5090" spans="1:25">
      <c r="A5090" t="s">
        <v>17051</v>
      </c>
      <c r="B5090" t="s">
        <v>17052</v>
      </c>
      <c r="D5090" t="s">
        <v>40</v>
      </c>
      <c r="E5090" t="s">
        <v>41</v>
      </c>
      <c r="J5090" t="s">
        <v>182</v>
      </c>
      <c r="K5090" t="s">
        <v>183</v>
      </c>
      <c r="L5090">
        <v>9</v>
      </c>
      <c r="M5090" t="s">
        <v>17053</v>
      </c>
      <c r="N5090" t="s">
        <v>64</v>
      </c>
      <c r="O5090" t="s">
        <v>46</v>
      </c>
      <c r="P5090" t="s">
        <v>46</v>
      </c>
      <c r="Y5090" t="s">
        <v>17054</v>
      </c>
    </row>
    <row r="5091" spans="1:25">
      <c r="A5091" t="s">
        <v>17055</v>
      </c>
      <c r="B5091" t="s">
        <v>17056</v>
      </c>
      <c r="D5091" t="s">
        <v>40</v>
      </c>
      <c r="E5091" t="s">
        <v>41</v>
      </c>
      <c r="J5091" t="s">
        <v>248</v>
      </c>
      <c r="K5091" t="s">
        <v>249</v>
      </c>
      <c r="L5091">
        <v>9</v>
      </c>
      <c r="M5091" t="s">
        <v>17053</v>
      </c>
      <c r="N5091" t="s">
        <v>1047</v>
      </c>
      <c r="O5091" t="s">
        <v>46</v>
      </c>
      <c r="P5091" t="s">
        <v>46</v>
      </c>
      <c r="Y5091" t="s">
        <v>17057</v>
      </c>
    </row>
    <row r="5092" spans="1:25">
      <c r="A5092" t="s">
        <v>17058</v>
      </c>
      <c r="B5092" t="s">
        <v>17059</v>
      </c>
      <c r="D5092" t="s">
        <v>40</v>
      </c>
      <c r="E5092" t="s">
        <v>41</v>
      </c>
      <c r="G5092" t="s">
        <v>17060</v>
      </c>
      <c r="J5092" t="s">
        <v>264</v>
      </c>
      <c r="K5092" t="s">
        <v>265</v>
      </c>
      <c r="L5092">
        <v>12</v>
      </c>
      <c r="M5092" t="s">
        <v>17061</v>
      </c>
      <c r="N5092" t="s">
        <v>1024</v>
      </c>
      <c r="O5092" t="s">
        <v>46</v>
      </c>
      <c r="P5092" t="s">
        <v>17062</v>
      </c>
      <c r="Y5092" t="s">
        <v>17063</v>
      </c>
    </row>
    <row r="5093" spans="1:25">
      <c r="A5093" t="s">
        <v>17064</v>
      </c>
      <c r="B5093" t="s">
        <v>17065</v>
      </c>
      <c r="D5093" t="s">
        <v>40</v>
      </c>
      <c r="E5093" t="s">
        <v>41</v>
      </c>
      <c r="J5093" t="s">
        <v>76</v>
      </c>
      <c r="K5093" t="s">
        <v>77</v>
      </c>
      <c r="L5093">
        <v>9</v>
      </c>
      <c r="M5093" t="s">
        <v>17066</v>
      </c>
      <c r="N5093" t="s">
        <v>64</v>
      </c>
      <c r="O5093" t="s">
        <v>46</v>
      </c>
      <c r="P5093" t="s">
        <v>46</v>
      </c>
      <c r="Y5093" t="s">
        <v>17067</v>
      </c>
    </row>
    <row r="5094" spans="1:25">
      <c r="A5094" t="s">
        <v>17068</v>
      </c>
      <c r="B5094" t="s">
        <v>17069</v>
      </c>
      <c r="D5094" t="s">
        <v>40</v>
      </c>
      <c r="E5094" t="s">
        <v>41</v>
      </c>
      <c r="J5094" t="s">
        <v>76</v>
      </c>
      <c r="K5094" t="s">
        <v>77</v>
      </c>
      <c r="L5094">
        <v>9</v>
      </c>
      <c r="M5094" t="s">
        <v>17066</v>
      </c>
      <c r="N5094" t="s">
        <v>64</v>
      </c>
      <c r="O5094" t="s">
        <v>46</v>
      </c>
      <c r="P5094" t="s">
        <v>46</v>
      </c>
      <c r="Y5094" t="s">
        <v>17070</v>
      </c>
    </row>
    <row r="5095" spans="1:25">
      <c r="A5095" t="s">
        <v>17071</v>
      </c>
      <c r="B5095" t="s">
        <v>17072</v>
      </c>
      <c r="D5095" t="s">
        <v>40</v>
      </c>
      <c r="E5095" t="s">
        <v>41</v>
      </c>
      <c r="J5095" t="s">
        <v>76</v>
      </c>
      <c r="K5095" t="s">
        <v>77</v>
      </c>
      <c r="L5095">
        <v>9</v>
      </c>
      <c r="M5095" t="s">
        <v>17066</v>
      </c>
      <c r="N5095" t="s">
        <v>64</v>
      </c>
      <c r="O5095" t="s">
        <v>46</v>
      </c>
      <c r="P5095" t="s">
        <v>46</v>
      </c>
      <c r="Y5095" t="s">
        <v>17073</v>
      </c>
    </row>
    <row r="5096" spans="1:25">
      <c r="A5096" t="s">
        <v>17074</v>
      </c>
      <c r="B5096" t="s">
        <v>17075</v>
      </c>
      <c r="D5096" t="s">
        <v>40</v>
      </c>
      <c r="E5096" t="s">
        <v>41</v>
      </c>
      <c r="J5096" t="s">
        <v>42</v>
      </c>
      <c r="K5096" t="s">
        <v>43</v>
      </c>
      <c r="L5096">
        <v>9</v>
      </c>
      <c r="M5096" t="s">
        <v>17066</v>
      </c>
      <c r="N5096" t="s">
        <v>2346</v>
      </c>
      <c r="O5096" t="s">
        <v>46</v>
      </c>
      <c r="P5096" t="s">
        <v>46</v>
      </c>
      <c r="Y5096" t="s">
        <v>17076</v>
      </c>
    </row>
    <row r="5097" spans="1:25">
      <c r="A5097" t="s">
        <v>17077</v>
      </c>
      <c r="B5097" t="s">
        <v>17078</v>
      </c>
      <c r="D5097" t="s">
        <v>40</v>
      </c>
      <c r="E5097" t="s">
        <v>41</v>
      </c>
      <c r="J5097" t="s">
        <v>76</v>
      </c>
      <c r="K5097" t="s">
        <v>77</v>
      </c>
      <c r="L5097">
        <v>9</v>
      </c>
      <c r="M5097" t="s">
        <v>17066</v>
      </c>
      <c r="N5097" t="s">
        <v>64</v>
      </c>
      <c r="O5097" t="s">
        <v>46</v>
      </c>
      <c r="P5097" t="s">
        <v>46</v>
      </c>
      <c r="Y5097" t="s">
        <v>17079</v>
      </c>
    </row>
    <row r="5098" spans="1:25">
      <c r="A5098" t="s">
        <v>17080</v>
      </c>
      <c r="B5098" t="s">
        <v>17081</v>
      </c>
      <c r="D5098" t="s">
        <v>40</v>
      </c>
      <c r="E5098" t="s">
        <v>41</v>
      </c>
      <c r="J5098" t="s">
        <v>182</v>
      </c>
      <c r="K5098" t="s">
        <v>183</v>
      </c>
      <c r="L5098">
        <v>9</v>
      </c>
      <c r="M5098" t="s">
        <v>17082</v>
      </c>
      <c r="N5098" t="s">
        <v>64</v>
      </c>
      <c r="O5098" t="s">
        <v>46</v>
      </c>
      <c r="P5098" t="s">
        <v>46</v>
      </c>
      <c r="Y5098" t="s">
        <v>17083</v>
      </c>
    </row>
    <row r="5099" spans="1:25">
      <c r="A5099" t="s">
        <v>17084</v>
      </c>
      <c r="B5099" t="s">
        <v>17085</v>
      </c>
      <c r="D5099" t="s">
        <v>40</v>
      </c>
      <c r="E5099" t="s">
        <v>41</v>
      </c>
      <c r="J5099" t="s">
        <v>76</v>
      </c>
      <c r="K5099" t="s">
        <v>77</v>
      </c>
      <c r="L5099">
        <v>9</v>
      </c>
      <c r="M5099" t="s">
        <v>17082</v>
      </c>
      <c r="N5099" t="s">
        <v>64</v>
      </c>
      <c r="O5099" t="s">
        <v>46</v>
      </c>
      <c r="P5099" t="s">
        <v>46</v>
      </c>
      <c r="Y5099" t="s">
        <v>17086</v>
      </c>
    </row>
    <row r="5100" spans="1:25">
      <c r="A5100" t="s">
        <v>17087</v>
      </c>
      <c r="B5100" t="s">
        <v>17088</v>
      </c>
      <c r="D5100" t="s">
        <v>40</v>
      </c>
      <c r="E5100" t="s">
        <v>41</v>
      </c>
      <c r="J5100" t="s">
        <v>68</v>
      </c>
      <c r="K5100" t="s">
        <v>69</v>
      </c>
      <c r="L5100">
        <v>9</v>
      </c>
      <c r="M5100" t="s">
        <v>17082</v>
      </c>
      <c r="N5100" t="s">
        <v>64</v>
      </c>
      <c r="O5100" t="s">
        <v>46</v>
      </c>
      <c r="P5100" t="s">
        <v>46</v>
      </c>
      <c r="Y5100" t="s">
        <v>17089</v>
      </c>
    </row>
    <row r="5101" spans="1:25">
      <c r="A5101" t="s">
        <v>17090</v>
      </c>
      <c r="B5101" t="s">
        <v>17091</v>
      </c>
      <c r="D5101" t="s">
        <v>40</v>
      </c>
      <c r="E5101" t="s">
        <v>41</v>
      </c>
      <c r="J5101" t="s">
        <v>182</v>
      </c>
      <c r="K5101" t="s">
        <v>183</v>
      </c>
      <c r="L5101">
        <v>9</v>
      </c>
      <c r="M5101" t="s">
        <v>17092</v>
      </c>
      <c r="N5101" t="s">
        <v>64</v>
      </c>
      <c r="O5101" t="s">
        <v>46</v>
      </c>
      <c r="P5101" t="s">
        <v>46</v>
      </c>
      <c r="Y5101" t="s">
        <v>17093</v>
      </c>
    </row>
    <row r="5102" spans="1:25">
      <c r="A5102" t="s">
        <v>17094</v>
      </c>
      <c r="B5102" t="s">
        <v>17095</v>
      </c>
      <c r="D5102" t="s">
        <v>40</v>
      </c>
      <c r="E5102" t="s">
        <v>41</v>
      </c>
      <c r="J5102" t="s">
        <v>76</v>
      </c>
      <c r="K5102" t="s">
        <v>77</v>
      </c>
      <c r="L5102">
        <v>9</v>
      </c>
      <c r="M5102" t="s">
        <v>17096</v>
      </c>
      <c r="N5102" t="s">
        <v>64</v>
      </c>
      <c r="O5102" t="s">
        <v>46</v>
      </c>
      <c r="P5102" t="s">
        <v>46</v>
      </c>
      <c r="Y5102" t="s">
        <v>17097</v>
      </c>
    </row>
    <row r="5103" spans="1:25">
      <c r="A5103" t="s">
        <v>17098</v>
      </c>
      <c r="B5103" t="s">
        <v>17099</v>
      </c>
      <c r="D5103" t="s">
        <v>40</v>
      </c>
      <c r="E5103" t="s">
        <v>41</v>
      </c>
      <c r="J5103" t="s">
        <v>182</v>
      </c>
      <c r="K5103" t="s">
        <v>183</v>
      </c>
      <c r="L5103">
        <v>9</v>
      </c>
      <c r="M5103" t="s">
        <v>17100</v>
      </c>
      <c r="N5103" t="s">
        <v>64</v>
      </c>
      <c r="O5103" t="s">
        <v>46</v>
      </c>
      <c r="P5103" t="s">
        <v>46</v>
      </c>
      <c r="Y5103" t="s">
        <v>17101</v>
      </c>
    </row>
    <row r="5104" spans="1:25">
      <c r="A5104" t="s">
        <v>17102</v>
      </c>
      <c r="B5104" t="s">
        <v>17103</v>
      </c>
      <c r="D5104" t="s">
        <v>40</v>
      </c>
      <c r="E5104" t="s">
        <v>41</v>
      </c>
      <c r="J5104" t="s">
        <v>76</v>
      </c>
      <c r="K5104" t="s">
        <v>77</v>
      </c>
      <c r="L5104">
        <v>9</v>
      </c>
      <c r="M5104" t="s">
        <v>17104</v>
      </c>
      <c r="N5104" t="s">
        <v>64</v>
      </c>
      <c r="O5104" t="s">
        <v>46</v>
      </c>
      <c r="P5104" t="s">
        <v>46</v>
      </c>
      <c r="Y5104" t="s">
        <v>17105</v>
      </c>
    </row>
    <row r="5105" spans="1:25">
      <c r="A5105" t="s">
        <v>17106</v>
      </c>
      <c r="B5105" t="s">
        <v>17107</v>
      </c>
      <c r="D5105" t="s">
        <v>40</v>
      </c>
      <c r="E5105" t="s">
        <v>41</v>
      </c>
      <c r="J5105" t="s">
        <v>76</v>
      </c>
      <c r="K5105" t="s">
        <v>77</v>
      </c>
      <c r="L5105">
        <v>9</v>
      </c>
      <c r="M5105" t="s">
        <v>17104</v>
      </c>
      <c r="N5105" t="s">
        <v>64</v>
      </c>
      <c r="O5105" t="s">
        <v>46</v>
      </c>
      <c r="P5105" t="s">
        <v>46</v>
      </c>
      <c r="Y5105" t="s">
        <v>17108</v>
      </c>
    </row>
    <row r="5106" spans="1:25">
      <c r="A5106" t="s">
        <v>17109</v>
      </c>
      <c r="B5106" t="s">
        <v>17110</v>
      </c>
      <c r="D5106" t="s">
        <v>40</v>
      </c>
      <c r="E5106" t="s">
        <v>41</v>
      </c>
      <c r="J5106" t="s">
        <v>182</v>
      </c>
      <c r="K5106" t="s">
        <v>183</v>
      </c>
      <c r="L5106">
        <v>9</v>
      </c>
      <c r="M5106" t="s">
        <v>17111</v>
      </c>
      <c r="N5106" t="s">
        <v>64</v>
      </c>
      <c r="O5106" t="s">
        <v>46</v>
      </c>
      <c r="P5106" t="s">
        <v>46</v>
      </c>
      <c r="Y5106" t="s">
        <v>17112</v>
      </c>
    </row>
    <row r="5107" spans="1:25">
      <c r="A5107" t="s">
        <v>17113</v>
      </c>
      <c r="B5107" t="s">
        <v>17114</v>
      </c>
      <c r="D5107" t="s">
        <v>40</v>
      </c>
      <c r="E5107" t="s">
        <v>41</v>
      </c>
      <c r="J5107" t="s">
        <v>76</v>
      </c>
      <c r="K5107" t="s">
        <v>77</v>
      </c>
      <c r="L5107">
        <v>9</v>
      </c>
      <c r="M5107" t="s">
        <v>17111</v>
      </c>
      <c r="N5107" t="s">
        <v>64</v>
      </c>
      <c r="O5107" t="s">
        <v>46</v>
      </c>
      <c r="P5107" t="s">
        <v>46</v>
      </c>
      <c r="Y5107" t="s">
        <v>17115</v>
      </c>
    </row>
    <row r="5108" spans="1:25">
      <c r="A5108" t="s">
        <v>17116</v>
      </c>
      <c r="B5108" t="s">
        <v>17117</v>
      </c>
      <c r="D5108" t="s">
        <v>40</v>
      </c>
      <c r="E5108" t="s">
        <v>41</v>
      </c>
      <c r="J5108" t="s">
        <v>76</v>
      </c>
      <c r="K5108" t="s">
        <v>77</v>
      </c>
      <c r="L5108">
        <v>9</v>
      </c>
      <c r="M5108" t="s">
        <v>17118</v>
      </c>
      <c r="N5108" t="s">
        <v>64</v>
      </c>
      <c r="O5108" t="s">
        <v>46</v>
      </c>
      <c r="P5108" t="s">
        <v>46</v>
      </c>
      <c r="Y5108" t="s">
        <v>17119</v>
      </c>
    </row>
    <row r="5109" spans="1:25">
      <c r="A5109" t="s">
        <v>17120</v>
      </c>
      <c r="B5109" t="s">
        <v>17121</v>
      </c>
      <c r="D5109" t="s">
        <v>40</v>
      </c>
      <c r="E5109" t="s">
        <v>41</v>
      </c>
      <c r="J5109" t="s">
        <v>182</v>
      </c>
      <c r="K5109" t="s">
        <v>183</v>
      </c>
      <c r="L5109">
        <v>9</v>
      </c>
      <c r="M5109" t="s">
        <v>17118</v>
      </c>
      <c r="N5109" t="s">
        <v>64</v>
      </c>
      <c r="O5109" t="s">
        <v>46</v>
      </c>
      <c r="P5109" t="s">
        <v>46</v>
      </c>
      <c r="Y5109" t="s">
        <v>17122</v>
      </c>
    </row>
    <row r="5110" spans="1:25">
      <c r="A5110" t="s">
        <v>17123</v>
      </c>
      <c r="B5110" t="s">
        <v>17124</v>
      </c>
      <c r="D5110" t="s">
        <v>40</v>
      </c>
      <c r="E5110" t="s">
        <v>41</v>
      </c>
      <c r="J5110" t="s">
        <v>182</v>
      </c>
      <c r="K5110" t="s">
        <v>183</v>
      </c>
      <c r="L5110">
        <v>9</v>
      </c>
      <c r="M5110" t="s">
        <v>17118</v>
      </c>
      <c r="N5110" t="s">
        <v>64</v>
      </c>
      <c r="O5110" t="s">
        <v>46</v>
      </c>
      <c r="P5110" t="s">
        <v>46</v>
      </c>
      <c r="Y5110" t="s">
        <v>17125</v>
      </c>
    </row>
    <row r="5111" spans="1:25">
      <c r="A5111" t="s">
        <v>17126</v>
      </c>
      <c r="B5111" t="s">
        <v>17127</v>
      </c>
      <c r="D5111" t="s">
        <v>40</v>
      </c>
      <c r="E5111" t="s">
        <v>41</v>
      </c>
      <c r="J5111" t="s">
        <v>182</v>
      </c>
      <c r="K5111" t="s">
        <v>183</v>
      </c>
      <c r="L5111">
        <v>9</v>
      </c>
      <c r="M5111" t="s">
        <v>17128</v>
      </c>
      <c r="N5111" t="s">
        <v>64</v>
      </c>
      <c r="O5111" t="s">
        <v>46</v>
      </c>
      <c r="P5111" t="s">
        <v>46</v>
      </c>
      <c r="Y5111" t="s">
        <v>17129</v>
      </c>
    </row>
    <row r="5112" spans="1:25">
      <c r="A5112" t="s">
        <v>17130</v>
      </c>
      <c r="B5112" t="s">
        <v>17131</v>
      </c>
      <c r="D5112" t="s">
        <v>40</v>
      </c>
      <c r="E5112" t="s">
        <v>41</v>
      </c>
      <c r="J5112" t="s">
        <v>182</v>
      </c>
      <c r="K5112" t="s">
        <v>183</v>
      </c>
      <c r="L5112">
        <v>9</v>
      </c>
      <c r="M5112" t="s">
        <v>17128</v>
      </c>
      <c r="N5112" t="s">
        <v>64</v>
      </c>
      <c r="O5112" t="s">
        <v>46</v>
      </c>
      <c r="P5112" t="s">
        <v>46</v>
      </c>
      <c r="Y5112" t="s">
        <v>17132</v>
      </c>
    </row>
    <row r="5113" spans="1:25">
      <c r="A5113" t="s">
        <v>17133</v>
      </c>
      <c r="B5113" t="s">
        <v>17134</v>
      </c>
      <c r="D5113" t="s">
        <v>40</v>
      </c>
      <c r="E5113" t="s">
        <v>41</v>
      </c>
      <c r="J5113" t="s">
        <v>42</v>
      </c>
      <c r="K5113" t="s">
        <v>43</v>
      </c>
      <c r="L5113">
        <v>9</v>
      </c>
      <c r="M5113" t="s">
        <v>17128</v>
      </c>
      <c r="N5113" t="s">
        <v>436</v>
      </c>
      <c r="O5113" t="s">
        <v>46</v>
      </c>
      <c r="P5113" t="s">
        <v>46</v>
      </c>
      <c r="Y5113" t="s">
        <v>17135</v>
      </c>
    </row>
    <row r="5114" spans="1:25">
      <c r="A5114" t="s">
        <v>17136</v>
      </c>
      <c r="B5114" t="s">
        <v>17137</v>
      </c>
      <c r="D5114" t="s">
        <v>40</v>
      </c>
      <c r="E5114" t="s">
        <v>41</v>
      </c>
      <c r="J5114" t="s">
        <v>182</v>
      </c>
      <c r="K5114" t="s">
        <v>183</v>
      </c>
      <c r="L5114">
        <v>9</v>
      </c>
      <c r="M5114" t="s">
        <v>17128</v>
      </c>
      <c r="N5114" t="s">
        <v>64</v>
      </c>
      <c r="O5114" t="s">
        <v>46</v>
      </c>
      <c r="P5114" t="s">
        <v>46</v>
      </c>
      <c r="Y5114" t="s">
        <v>17138</v>
      </c>
    </row>
    <row r="5115" spans="1:25">
      <c r="A5115" t="s">
        <v>17139</v>
      </c>
      <c r="B5115" t="s">
        <v>17140</v>
      </c>
      <c r="D5115" t="s">
        <v>40</v>
      </c>
      <c r="E5115" t="s">
        <v>41</v>
      </c>
      <c r="J5115" t="s">
        <v>182</v>
      </c>
      <c r="K5115" t="s">
        <v>183</v>
      </c>
      <c r="L5115">
        <v>9</v>
      </c>
      <c r="M5115" t="s">
        <v>17141</v>
      </c>
      <c r="N5115" t="s">
        <v>64</v>
      </c>
      <c r="O5115" t="s">
        <v>46</v>
      </c>
      <c r="P5115" t="s">
        <v>46</v>
      </c>
      <c r="Y5115" t="s">
        <v>17142</v>
      </c>
    </row>
    <row r="5116" spans="1:25">
      <c r="A5116" t="s">
        <v>17143</v>
      </c>
      <c r="B5116" t="s">
        <v>17144</v>
      </c>
      <c r="D5116" t="s">
        <v>40</v>
      </c>
      <c r="E5116" t="s">
        <v>41</v>
      </c>
      <c r="J5116" t="s">
        <v>182</v>
      </c>
      <c r="K5116" t="s">
        <v>183</v>
      </c>
      <c r="L5116">
        <v>9</v>
      </c>
      <c r="M5116" t="s">
        <v>17141</v>
      </c>
      <c r="N5116" t="s">
        <v>64</v>
      </c>
      <c r="O5116" t="s">
        <v>46</v>
      </c>
      <c r="P5116" t="s">
        <v>46</v>
      </c>
      <c r="Y5116" t="s">
        <v>17145</v>
      </c>
    </row>
    <row r="5117" spans="1:25">
      <c r="A5117" t="s">
        <v>17146</v>
      </c>
      <c r="B5117" t="s">
        <v>17147</v>
      </c>
      <c r="D5117" t="s">
        <v>40</v>
      </c>
      <c r="E5117" t="s">
        <v>41</v>
      </c>
      <c r="J5117" t="s">
        <v>76</v>
      </c>
      <c r="K5117" t="s">
        <v>77</v>
      </c>
      <c r="L5117">
        <v>9</v>
      </c>
      <c r="M5117" t="s">
        <v>17141</v>
      </c>
      <c r="N5117" t="s">
        <v>64</v>
      </c>
      <c r="O5117" t="s">
        <v>46</v>
      </c>
      <c r="P5117" t="s">
        <v>46</v>
      </c>
      <c r="Y5117" t="s">
        <v>17148</v>
      </c>
    </row>
    <row r="5118" spans="1:25">
      <c r="A5118" t="s">
        <v>17149</v>
      </c>
      <c r="B5118" t="s">
        <v>17150</v>
      </c>
      <c r="D5118" t="s">
        <v>40</v>
      </c>
      <c r="E5118" t="s">
        <v>41</v>
      </c>
      <c r="J5118" t="s">
        <v>182</v>
      </c>
      <c r="K5118" t="s">
        <v>183</v>
      </c>
      <c r="L5118">
        <v>9</v>
      </c>
      <c r="M5118" t="s">
        <v>17141</v>
      </c>
      <c r="N5118" t="s">
        <v>64</v>
      </c>
      <c r="O5118" t="s">
        <v>46</v>
      </c>
      <c r="P5118" t="s">
        <v>46</v>
      </c>
      <c r="Y5118" t="s">
        <v>17151</v>
      </c>
    </row>
    <row r="5119" spans="1:25">
      <c r="A5119" t="s">
        <v>17152</v>
      </c>
      <c r="B5119" t="s">
        <v>17153</v>
      </c>
      <c r="D5119" t="s">
        <v>40</v>
      </c>
      <c r="E5119" t="s">
        <v>41</v>
      </c>
      <c r="J5119" t="s">
        <v>42</v>
      </c>
      <c r="K5119" t="s">
        <v>43</v>
      </c>
      <c r="L5119">
        <v>9</v>
      </c>
      <c r="M5119" t="s">
        <v>17141</v>
      </c>
      <c r="N5119" t="s">
        <v>4037</v>
      </c>
      <c r="O5119" t="s">
        <v>46</v>
      </c>
      <c r="P5119" t="s">
        <v>46</v>
      </c>
      <c r="Y5119" t="s">
        <v>17154</v>
      </c>
    </row>
    <row r="5120" spans="1:25">
      <c r="A5120" t="s">
        <v>17155</v>
      </c>
      <c r="B5120" t="s">
        <v>17156</v>
      </c>
      <c r="D5120" t="s">
        <v>40</v>
      </c>
      <c r="E5120" t="s">
        <v>41</v>
      </c>
      <c r="J5120" t="s">
        <v>182</v>
      </c>
      <c r="K5120" t="s">
        <v>183</v>
      </c>
      <c r="L5120">
        <v>9</v>
      </c>
      <c r="M5120" t="s">
        <v>17157</v>
      </c>
      <c r="N5120" t="s">
        <v>64</v>
      </c>
      <c r="O5120" t="s">
        <v>46</v>
      </c>
      <c r="P5120" t="s">
        <v>46</v>
      </c>
      <c r="Y5120" t="s">
        <v>17158</v>
      </c>
    </row>
    <row r="5121" spans="1:25">
      <c r="A5121" t="s">
        <v>17159</v>
      </c>
      <c r="B5121" t="s">
        <v>17160</v>
      </c>
      <c r="D5121" t="s">
        <v>40</v>
      </c>
      <c r="E5121" t="s">
        <v>41</v>
      </c>
      <c r="J5121" t="s">
        <v>76</v>
      </c>
      <c r="K5121" t="s">
        <v>77</v>
      </c>
      <c r="L5121">
        <v>9</v>
      </c>
      <c r="M5121" t="s">
        <v>17161</v>
      </c>
      <c r="N5121" t="s">
        <v>64</v>
      </c>
      <c r="O5121" t="s">
        <v>46</v>
      </c>
      <c r="P5121" t="s">
        <v>46</v>
      </c>
      <c r="Y5121" t="s">
        <v>17162</v>
      </c>
    </row>
    <row r="5122" spans="1:25">
      <c r="A5122" t="s">
        <v>17163</v>
      </c>
      <c r="B5122" t="s">
        <v>17164</v>
      </c>
      <c r="D5122" t="s">
        <v>40</v>
      </c>
      <c r="E5122" t="s">
        <v>41</v>
      </c>
      <c r="J5122" t="s">
        <v>182</v>
      </c>
      <c r="K5122" t="s">
        <v>183</v>
      </c>
      <c r="L5122">
        <v>9</v>
      </c>
      <c r="M5122" t="s">
        <v>17165</v>
      </c>
      <c r="N5122" t="s">
        <v>64</v>
      </c>
      <c r="O5122" t="s">
        <v>46</v>
      </c>
      <c r="P5122" t="s">
        <v>46</v>
      </c>
      <c r="Y5122" t="s">
        <v>17166</v>
      </c>
    </row>
    <row r="5123" spans="1:25">
      <c r="A5123" t="s">
        <v>17167</v>
      </c>
      <c r="B5123" t="s">
        <v>17168</v>
      </c>
      <c r="D5123" t="s">
        <v>40</v>
      </c>
      <c r="E5123" t="s">
        <v>41</v>
      </c>
      <c r="J5123" t="s">
        <v>182</v>
      </c>
      <c r="K5123" t="s">
        <v>183</v>
      </c>
      <c r="L5123">
        <v>9</v>
      </c>
      <c r="M5123" t="s">
        <v>17165</v>
      </c>
      <c r="N5123" t="s">
        <v>64</v>
      </c>
      <c r="O5123" t="s">
        <v>46</v>
      </c>
      <c r="P5123" t="s">
        <v>46</v>
      </c>
      <c r="Y5123" t="s">
        <v>17169</v>
      </c>
    </row>
    <row r="5124" spans="1:25">
      <c r="A5124" t="s">
        <v>17170</v>
      </c>
      <c r="B5124" t="s">
        <v>17171</v>
      </c>
      <c r="D5124" t="s">
        <v>40</v>
      </c>
      <c r="E5124" t="s">
        <v>41</v>
      </c>
      <c r="J5124" t="s">
        <v>182</v>
      </c>
      <c r="K5124" t="s">
        <v>183</v>
      </c>
      <c r="L5124">
        <v>9</v>
      </c>
      <c r="M5124" t="s">
        <v>17172</v>
      </c>
      <c r="N5124" t="s">
        <v>64</v>
      </c>
      <c r="O5124" t="s">
        <v>46</v>
      </c>
      <c r="P5124" t="s">
        <v>46</v>
      </c>
      <c r="Y5124" t="s">
        <v>17173</v>
      </c>
    </row>
    <row r="5125" spans="1:25">
      <c r="A5125" t="s">
        <v>17174</v>
      </c>
      <c r="B5125" t="s">
        <v>17175</v>
      </c>
      <c r="D5125" t="s">
        <v>40</v>
      </c>
      <c r="E5125" t="s">
        <v>41</v>
      </c>
      <c r="J5125" t="s">
        <v>182</v>
      </c>
      <c r="K5125" t="s">
        <v>183</v>
      </c>
      <c r="L5125">
        <v>9</v>
      </c>
      <c r="M5125" t="s">
        <v>17176</v>
      </c>
      <c r="N5125" t="s">
        <v>64</v>
      </c>
      <c r="O5125" t="s">
        <v>46</v>
      </c>
      <c r="P5125" t="s">
        <v>46</v>
      </c>
      <c r="Y5125" t="s">
        <v>17177</v>
      </c>
    </row>
    <row r="5126" spans="1:25">
      <c r="A5126" t="s">
        <v>17178</v>
      </c>
      <c r="B5126" t="s">
        <v>17179</v>
      </c>
      <c r="D5126" t="s">
        <v>40</v>
      </c>
      <c r="E5126" t="s">
        <v>41</v>
      </c>
      <c r="J5126" t="s">
        <v>76</v>
      </c>
      <c r="K5126" t="s">
        <v>77</v>
      </c>
      <c r="L5126">
        <v>9</v>
      </c>
      <c r="M5126" t="s">
        <v>17176</v>
      </c>
      <c r="N5126" t="s">
        <v>64</v>
      </c>
      <c r="O5126" t="s">
        <v>46</v>
      </c>
      <c r="P5126" t="s">
        <v>46</v>
      </c>
      <c r="Y5126" t="s">
        <v>17180</v>
      </c>
    </row>
    <row r="5127" spans="1:25">
      <c r="A5127" t="s">
        <v>17181</v>
      </c>
      <c r="B5127" t="s">
        <v>17182</v>
      </c>
      <c r="D5127" t="s">
        <v>40</v>
      </c>
      <c r="E5127" t="s">
        <v>41</v>
      </c>
      <c r="J5127" t="s">
        <v>76</v>
      </c>
      <c r="K5127" t="s">
        <v>77</v>
      </c>
      <c r="L5127">
        <v>9</v>
      </c>
      <c r="M5127" t="s">
        <v>17176</v>
      </c>
      <c r="N5127" t="s">
        <v>64</v>
      </c>
      <c r="O5127" t="s">
        <v>46</v>
      </c>
      <c r="P5127" t="s">
        <v>46</v>
      </c>
      <c r="Y5127" t="s">
        <v>17183</v>
      </c>
    </row>
    <row r="5128" spans="1:25">
      <c r="A5128" t="s">
        <v>17184</v>
      </c>
      <c r="B5128" t="s">
        <v>17185</v>
      </c>
      <c r="D5128" t="s">
        <v>40</v>
      </c>
      <c r="E5128" t="s">
        <v>41</v>
      </c>
      <c r="J5128" t="s">
        <v>76</v>
      </c>
      <c r="K5128" t="s">
        <v>77</v>
      </c>
      <c r="L5128">
        <v>9</v>
      </c>
      <c r="M5128" t="s">
        <v>17176</v>
      </c>
      <c r="N5128" t="s">
        <v>64</v>
      </c>
      <c r="O5128" t="s">
        <v>46</v>
      </c>
      <c r="P5128" t="s">
        <v>46</v>
      </c>
      <c r="Y5128" t="s">
        <v>17186</v>
      </c>
    </row>
    <row r="5129" spans="1:25">
      <c r="A5129" t="s">
        <v>17187</v>
      </c>
      <c r="B5129" t="s">
        <v>17188</v>
      </c>
      <c r="D5129" t="s">
        <v>40</v>
      </c>
      <c r="E5129" t="s">
        <v>41</v>
      </c>
      <c r="J5129" t="s">
        <v>182</v>
      </c>
      <c r="K5129" t="s">
        <v>183</v>
      </c>
      <c r="L5129">
        <v>9</v>
      </c>
      <c r="M5129" t="s">
        <v>17176</v>
      </c>
      <c r="N5129" t="s">
        <v>64</v>
      </c>
      <c r="O5129" t="s">
        <v>46</v>
      </c>
      <c r="P5129" t="s">
        <v>46</v>
      </c>
      <c r="Y5129" t="s">
        <v>17189</v>
      </c>
    </row>
    <row r="5130" spans="1:25">
      <c r="A5130" t="s">
        <v>17190</v>
      </c>
      <c r="B5130" t="s">
        <v>17191</v>
      </c>
      <c r="D5130" t="s">
        <v>40</v>
      </c>
      <c r="E5130" t="s">
        <v>41</v>
      </c>
      <c r="J5130" t="s">
        <v>76</v>
      </c>
      <c r="K5130" t="s">
        <v>77</v>
      </c>
      <c r="L5130">
        <v>9</v>
      </c>
      <c r="M5130" t="s">
        <v>17176</v>
      </c>
      <c r="N5130" t="s">
        <v>64</v>
      </c>
      <c r="O5130" t="s">
        <v>46</v>
      </c>
      <c r="P5130" t="s">
        <v>46</v>
      </c>
      <c r="Y5130" t="s">
        <v>17192</v>
      </c>
    </row>
    <row r="5131" spans="1:25">
      <c r="A5131" t="s">
        <v>17193</v>
      </c>
      <c r="B5131" t="s">
        <v>17194</v>
      </c>
      <c r="D5131" t="s">
        <v>40</v>
      </c>
      <c r="E5131" t="s">
        <v>41</v>
      </c>
      <c r="J5131" t="s">
        <v>76</v>
      </c>
      <c r="K5131" t="s">
        <v>77</v>
      </c>
      <c r="L5131">
        <v>9</v>
      </c>
      <c r="M5131" t="s">
        <v>17195</v>
      </c>
      <c r="N5131" t="s">
        <v>64</v>
      </c>
      <c r="O5131" t="s">
        <v>46</v>
      </c>
      <c r="P5131" t="s">
        <v>46</v>
      </c>
      <c r="Y5131" t="s">
        <v>17196</v>
      </c>
    </row>
    <row r="5132" spans="1:25">
      <c r="A5132" t="s">
        <v>17197</v>
      </c>
      <c r="B5132" t="s">
        <v>17198</v>
      </c>
      <c r="D5132" t="s">
        <v>40</v>
      </c>
      <c r="E5132" t="s">
        <v>41</v>
      </c>
      <c r="J5132" t="s">
        <v>76</v>
      </c>
      <c r="K5132" t="s">
        <v>77</v>
      </c>
      <c r="L5132">
        <v>9</v>
      </c>
      <c r="M5132" t="s">
        <v>17195</v>
      </c>
      <c r="N5132" t="s">
        <v>64</v>
      </c>
      <c r="O5132" t="s">
        <v>46</v>
      </c>
      <c r="P5132" t="s">
        <v>46</v>
      </c>
      <c r="Y5132" t="s">
        <v>17199</v>
      </c>
    </row>
    <row r="5133" spans="1:25">
      <c r="A5133" t="s">
        <v>17200</v>
      </c>
      <c r="B5133" t="s">
        <v>17201</v>
      </c>
      <c r="D5133" t="s">
        <v>40</v>
      </c>
      <c r="E5133" t="s">
        <v>41</v>
      </c>
      <c r="J5133" t="s">
        <v>182</v>
      </c>
      <c r="K5133" t="s">
        <v>183</v>
      </c>
      <c r="L5133">
        <v>9</v>
      </c>
      <c r="M5133" t="s">
        <v>17195</v>
      </c>
      <c r="N5133" t="s">
        <v>64</v>
      </c>
      <c r="O5133" t="s">
        <v>46</v>
      </c>
      <c r="P5133" t="s">
        <v>46</v>
      </c>
      <c r="Y5133" t="s">
        <v>17202</v>
      </c>
    </row>
    <row r="5134" spans="1:25">
      <c r="A5134" t="s">
        <v>17203</v>
      </c>
      <c r="B5134" t="s">
        <v>17204</v>
      </c>
      <c r="D5134" t="s">
        <v>40</v>
      </c>
      <c r="E5134" t="s">
        <v>41</v>
      </c>
      <c r="J5134" t="s">
        <v>139</v>
      </c>
      <c r="K5134" t="s">
        <v>140</v>
      </c>
      <c r="L5134">
        <v>9</v>
      </c>
      <c r="M5134" t="s">
        <v>17195</v>
      </c>
      <c r="N5134" t="s">
        <v>165</v>
      </c>
      <c r="O5134" t="s">
        <v>46</v>
      </c>
      <c r="P5134" t="s">
        <v>46</v>
      </c>
      <c r="Y5134" t="s">
        <v>17205</v>
      </c>
    </row>
    <row r="5135" spans="1:25">
      <c r="A5135" t="s">
        <v>17206</v>
      </c>
      <c r="B5135" t="s">
        <v>17207</v>
      </c>
      <c r="D5135" t="s">
        <v>40</v>
      </c>
      <c r="E5135" t="s">
        <v>41</v>
      </c>
      <c r="J5135" t="s">
        <v>76</v>
      </c>
      <c r="K5135" t="s">
        <v>77</v>
      </c>
      <c r="L5135">
        <v>9</v>
      </c>
      <c r="M5135" t="s">
        <v>17195</v>
      </c>
      <c r="N5135" t="s">
        <v>64</v>
      </c>
      <c r="O5135" t="s">
        <v>46</v>
      </c>
      <c r="P5135" t="s">
        <v>46</v>
      </c>
      <c r="Y5135" t="s">
        <v>17208</v>
      </c>
    </row>
    <row r="5136" spans="1:25">
      <c r="A5136" t="s">
        <v>17209</v>
      </c>
      <c r="B5136" t="s">
        <v>17210</v>
      </c>
      <c r="D5136" t="s">
        <v>40</v>
      </c>
      <c r="E5136" t="s">
        <v>41</v>
      </c>
      <c r="J5136" t="s">
        <v>76</v>
      </c>
      <c r="K5136" t="s">
        <v>77</v>
      </c>
      <c r="L5136">
        <v>9</v>
      </c>
      <c r="M5136" t="s">
        <v>17211</v>
      </c>
      <c r="N5136" t="s">
        <v>64</v>
      </c>
      <c r="O5136" t="s">
        <v>46</v>
      </c>
      <c r="P5136" t="s">
        <v>46</v>
      </c>
      <c r="Y5136" t="s">
        <v>17212</v>
      </c>
    </row>
    <row r="5137" spans="1:25">
      <c r="A5137" t="s">
        <v>17213</v>
      </c>
      <c r="B5137" t="s">
        <v>17214</v>
      </c>
      <c r="D5137" t="s">
        <v>40</v>
      </c>
      <c r="E5137" t="s">
        <v>41</v>
      </c>
      <c r="J5137" t="s">
        <v>42</v>
      </c>
      <c r="K5137" t="s">
        <v>43</v>
      </c>
      <c r="L5137">
        <v>8</v>
      </c>
      <c r="M5137" t="s">
        <v>17215</v>
      </c>
      <c r="N5137" t="s">
        <v>1138</v>
      </c>
      <c r="O5137" t="s">
        <v>46</v>
      </c>
      <c r="P5137" t="s">
        <v>46</v>
      </c>
      <c r="Y5137" t="s">
        <v>17216</v>
      </c>
    </row>
    <row r="5138" spans="1:25">
      <c r="A5138" t="s">
        <v>17217</v>
      </c>
      <c r="B5138" t="s">
        <v>17218</v>
      </c>
      <c r="D5138" t="s">
        <v>40</v>
      </c>
      <c r="E5138" t="s">
        <v>41</v>
      </c>
      <c r="J5138" t="s">
        <v>264</v>
      </c>
      <c r="K5138" t="s">
        <v>265</v>
      </c>
      <c r="L5138">
        <v>7</v>
      </c>
      <c r="M5138" t="s">
        <v>17219</v>
      </c>
      <c r="N5138" t="s">
        <v>1258</v>
      </c>
      <c r="O5138" t="s">
        <v>46</v>
      </c>
      <c r="P5138" t="s">
        <v>46</v>
      </c>
      <c r="Y5138" t="s">
        <v>17220</v>
      </c>
    </row>
    <row r="5139" spans="1:25">
      <c r="A5139" t="s">
        <v>17221</v>
      </c>
      <c r="B5139" t="s">
        <v>17222</v>
      </c>
      <c r="D5139" t="s">
        <v>40</v>
      </c>
      <c r="E5139" t="s">
        <v>41</v>
      </c>
      <c r="J5139" t="s">
        <v>42</v>
      </c>
      <c r="K5139" t="s">
        <v>43</v>
      </c>
      <c r="L5139">
        <v>9</v>
      </c>
      <c r="M5139" t="s">
        <v>17223</v>
      </c>
      <c r="N5139" t="s">
        <v>173</v>
      </c>
      <c r="O5139" t="s">
        <v>46</v>
      </c>
      <c r="P5139" t="s">
        <v>46</v>
      </c>
      <c r="Y5139" t="s">
        <v>17224</v>
      </c>
    </row>
    <row r="5140" spans="1:25">
      <c r="A5140" t="s">
        <v>17225</v>
      </c>
      <c r="B5140" t="s">
        <v>17226</v>
      </c>
      <c r="D5140" t="s">
        <v>40</v>
      </c>
      <c r="E5140" t="s">
        <v>41</v>
      </c>
      <c r="J5140" t="s">
        <v>182</v>
      </c>
      <c r="K5140" t="s">
        <v>183</v>
      </c>
      <c r="L5140">
        <v>9</v>
      </c>
      <c r="M5140" t="s">
        <v>17227</v>
      </c>
      <c r="N5140" t="s">
        <v>64</v>
      </c>
      <c r="O5140" t="s">
        <v>46</v>
      </c>
      <c r="P5140" t="s">
        <v>46</v>
      </c>
      <c r="Y5140" t="s">
        <v>17228</v>
      </c>
    </row>
    <row r="5141" spans="1:25">
      <c r="A5141" t="s">
        <v>17229</v>
      </c>
      <c r="B5141" t="s">
        <v>17230</v>
      </c>
      <c r="D5141" t="s">
        <v>40</v>
      </c>
      <c r="E5141" t="s">
        <v>41</v>
      </c>
      <c r="J5141" t="s">
        <v>68</v>
      </c>
      <c r="K5141" t="s">
        <v>69</v>
      </c>
      <c r="L5141">
        <v>9</v>
      </c>
      <c r="M5141" t="s">
        <v>17227</v>
      </c>
      <c r="N5141" t="s">
        <v>64</v>
      </c>
      <c r="O5141" t="s">
        <v>46</v>
      </c>
      <c r="P5141" t="s">
        <v>46</v>
      </c>
      <c r="Y5141" t="s">
        <v>17231</v>
      </c>
    </row>
    <row r="5142" spans="1:25">
      <c r="A5142" t="s">
        <v>17232</v>
      </c>
      <c r="B5142" t="s">
        <v>17233</v>
      </c>
      <c r="D5142" t="s">
        <v>40</v>
      </c>
      <c r="E5142" t="s">
        <v>41</v>
      </c>
      <c r="J5142" t="s">
        <v>182</v>
      </c>
      <c r="K5142" t="s">
        <v>183</v>
      </c>
      <c r="L5142">
        <v>9</v>
      </c>
      <c r="M5142" t="s">
        <v>17234</v>
      </c>
      <c r="N5142" t="s">
        <v>64</v>
      </c>
      <c r="O5142" t="s">
        <v>46</v>
      </c>
      <c r="P5142" t="s">
        <v>46</v>
      </c>
      <c r="Y5142" t="s">
        <v>17235</v>
      </c>
    </row>
    <row r="5143" spans="1:25">
      <c r="A5143" t="s">
        <v>17236</v>
      </c>
      <c r="B5143" t="s">
        <v>17237</v>
      </c>
      <c r="D5143" t="s">
        <v>40</v>
      </c>
      <c r="E5143" t="s">
        <v>41</v>
      </c>
      <c r="J5143" t="s">
        <v>182</v>
      </c>
      <c r="K5143" t="s">
        <v>183</v>
      </c>
      <c r="L5143">
        <v>9</v>
      </c>
      <c r="M5143" t="s">
        <v>17234</v>
      </c>
      <c r="N5143" t="s">
        <v>64</v>
      </c>
      <c r="O5143" t="s">
        <v>46</v>
      </c>
      <c r="P5143" t="s">
        <v>46</v>
      </c>
      <c r="Y5143" t="s">
        <v>17238</v>
      </c>
    </row>
    <row r="5144" spans="1:25">
      <c r="A5144" t="s">
        <v>17239</v>
      </c>
      <c r="B5144" t="s">
        <v>17240</v>
      </c>
      <c r="D5144" t="s">
        <v>40</v>
      </c>
      <c r="E5144" t="s">
        <v>41</v>
      </c>
      <c r="J5144" t="s">
        <v>76</v>
      </c>
      <c r="K5144" t="s">
        <v>77</v>
      </c>
      <c r="L5144">
        <v>9</v>
      </c>
      <c r="M5144" t="s">
        <v>17234</v>
      </c>
      <c r="N5144" t="s">
        <v>64</v>
      </c>
      <c r="O5144" t="s">
        <v>46</v>
      </c>
      <c r="P5144" t="s">
        <v>46</v>
      </c>
      <c r="Y5144" t="s">
        <v>17241</v>
      </c>
    </row>
    <row r="5145" spans="1:25">
      <c r="A5145" t="s">
        <v>17242</v>
      </c>
      <c r="B5145" t="s">
        <v>17243</v>
      </c>
      <c r="D5145" t="s">
        <v>40</v>
      </c>
      <c r="E5145" t="s">
        <v>41</v>
      </c>
      <c r="J5145" t="s">
        <v>182</v>
      </c>
      <c r="K5145" t="s">
        <v>183</v>
      </c>
      <c r="L5145">
        <v>9</v>
      </c>
      <c r="M5145" t="s">
        <v>17234</v>
      </c>
      <c r="N5145" t="s">
        <v>64</v>
      </c>
      <c r="O5145" t="s">
        <v>46</v>
      </c>
      <c r="P5145" t="s">
        <v>46</v>
      </c>
      <c r="Y5145" t="s">
        <v>17244</v>
      </c>
    </row>
    <row r="5146" spans="1:25">
      <c r="A5146" t="s">
        <v>17245</v>
      </c>
      <c r="B5146" t="s">
        <v>17246</v>
      </c>
      <c r="D5146" t="s">
        <v>40</v>
      </c>
      <c r="E5146" t="s">
        <v>41</v>
      </c>
      <c r="J5146" t="s">
        <v>182</v>
      </c>
      <c r="K5146" t="s">
        <v>183</v>
      </c>
      <c r="L5146">
        <v>9</v>
      </c>
      <c r="M5146" t="s">
        <v>17234</v>
      </c>
      <c r="N5146" t="s">
        <v>64</v>
      </c>
      <c r="O5146" t="s">
        <v>46</v>
      </c>
      <c r="P5146" t="s">
        <v>46</v>
      </c>
      <c r="Y5146" t="s">
        <v>17247</v>
      </c>
    </row>
    <row r="5147" spans="1:25">
      <c r="A5147" t="s">
        <v>17248</v>
      </c>
      <c r="B5147" t="s">
        <v>17249</v>
      </c>
      <c r="D5147" t="s">
        <v>40</v>
      </c>
      <c r="E5147" t="s">
        <v>41</v>
      </c>
      <c r="J5147" t="s">
        <v>182</v>
      </c>
      <c r="K5147" t="s">
        <v>183</v>
      </c>
      <c r="L5147">
        <v>9</v>
      </c>
      <c r="M5147" t="s">
        <v>17250</v>
      </c>
      <c r="N5147" t="s">
        <v>64</v>
      </c>
      <c r="O5147" t="s">
        <v>46</v>
      </c>
      <c r="P5147" t="s">
        <v>46</v>
      </c>
      <c r="Y5147" t="s">
        <v>17251</v>
      </c>
    </row>
    <row r="5148" spans="1:25">
      <c r="A5148" t="s">
        <v>17252</v>
      </c>
      <c r="B5148" t="s">
        <v>17253</v>
      </c>
      <c r="D5148" t="s">
        <v>40</v>
      </c>
      <c r="E5148" t="s">
        <v>41</v>
      </c>
      <c r="J5148" t="s">
        <v>182</v>
      </c>
      <c r="K5148" t="s">
        <v>183</v>
      </c>
      <c r="L5148">
        <v>9</v>
      </c>
      <c r="M5148" t="s">
        <v>17250</v>
      </c>
      <c r="N5148" t="s">
        <v>64</v>
      </c>
      <c r="O5148" t="s">
        <v>46</v>
      </c>
      <c r="P5148" t="s">
        <v>46</v>
      </c>
      <c r="Y5148" t="s">
        <v>17254</v>
      </c>
    </row>
    <row r="5149" spans="1:25">
      <c r="A5149" t="s">
        <v>17255</v>
      </c>
      <c r="B5149" t="s">
        <v>17256</v>
      </c>
      <c r="D5149" t="s">
        <v>40</v>
      </c>
      <c r="E5149" t="s">
        <v>41</v>
      </c>
      <c r="J5149" t="s">
        <v>76</v>
      </c>
      <c r="K5149" t="s">
        <v>77</v>
      </c>
      <c r="L5149">
        <v>9</v>
      </c>
      <c r="M5149" t="s">
        <v>17250</v>
      </c>
      <c r="N5149" t="s">
        <v>64</v>
      </c>
      <c r="O5149" t="s">
        <v>46</v>
      </c>
      <c r="P5149" t="s">
        <v>46</v>
      </c>
      <c r="Y5149" t="s">
        <v>17257</v>
      </c>
    </row>
    <row r="5150" spans="1:25">
      <c r="A5150" t="s">
        <v>17258</v>
      </c>
      <c r="B5150" t="s">
        <v>17259</v>
      </c>
      <c r="D5150" t="s">
        <v>40</v>
      </c>
      <c r="E5150" t="s">
        <v>41</v>
      </c>
      <c r="J5150" t="s">
        <v>182</v>
      </c>
      <c r="K5150" t="s">
        <v>183</v>
      </c>
      <c r="L5150">
        <v>9</v>
      </c>
      <c r="M5150" t="s">
        <v>17250</v>
      </c>
      <c r="N5150" t="s">
        <v>64</v>
      </c>
      <c r="O5150" t="s">
        <v>46</v>
      </c>
      <c r="P5150" t="s">
        <v>46</v>
      </c>
      <c r="Y5150" t="s">
        <v>17260</v>
      </c>
    </row>
    <row r="5151" spans="1:25">
      <c r="A5151" t="s">
        <v>17261</v>
      </c>
      <c r="B5151" t="s">
        <v>17262</v>
      </c>
      <c r="D5151" t="s">
        <v>40</v>
      </c>
      <c r="E5151" t="s">
        <v>41</v>
      </c>
      <c r="J5151" t="s">
        <v>76</v>
      </c>
      <c r="K5151" t="s">
        <v>77</v>
      </c>
      <c r="L5151">
        <v>9</v>
      </c>
      <c r="M5151" t="s">
        <v>17250</v>
      </c>
      <c r="N5151" t="s">
        <v>64</v>
      </c>
      <c r="O5151" t="s">
        <v>46</v>
      </c>
      <c r="P5151" t="s">
        <v>46</v>
      </c>
      <c r="Y5151" t="s">
        <v>17263</v>
      </c>
    </row>
    <row r="5152" spans="1:25">
      <c r="A5152" t="s">
        <v>17264</v>
      </c>
      <c r="B5152" t="s">
        <v>17265</v>
      </c>
      <c r="D5152" t="s">
        <v>40</v>
      </c>
      <c r="E5152" t="s">
        <v>41</v>
      </c>
      <c r="J5152" t="s">
        <v>76</v>
      </c>
      <c r="K5152" t="s">
        <v>77</v>
      </c>
      <c r="L5152">
        <v>9</v>
      </c>
      <c r="M5152" t="s">
        <v>17250</v>
      </c>
      <c r="N5152" t="s">
        <v>64</v>
      </c>
      <c r="O5152" t="s">
        <v>46</v>
      </c>
      <c r="P5152" t="s">
        <v>46</v>
      </c>
      <c r="Y5152" t="s">
        <v>17266</v>
      </c>
    </row>
    <row r="5153" spans="1:25">
      <c r="A5153" t="s">
        <v>17267</v>
      </c>
      <c r="B5153" t="s">
        <v>17268</v>
      </c>
      <c r="D5153" t="s">
        <v>40</v>
      </c>
      <c r="E5153" t="s">
        <v>41</v>
      </c>
      <c r="J5153" t="s">
        <v>182</v>
      </c>
      <c r="K5153" t="s">
        <v>183</v>
      </c>
      <c r="L5153">
        <v>9</v>
      </c>
      <c r="M5153" t="s">
        <v>17269</v>
      </c>
      <c r="N5153" t="s">
        <v>64</v>
      </c>
      <c r="O5153" t="s">
        <v>46</v>
      </c>
      <c r="P5153" t="s">
        <v>46</v>
      </c>
      <c r="Y5153" t="s">
        <v>17270</v>
      </c>
    </row>
    <row r="5154" spans="1:25">
      <c r="A5154" t="s">
        <v>17271</v>
      </c>
      <c r="B5154" t="s">
        <v>17272</v>
      </c>
      <c r="D5154" t="s">
        <v>40</v>
      </c>
      <c r="E5154" t="s">
        <v>41</v>
      </c>
      <c r="J5154" t="s">
        <v>182</v>
      </c>
      <c r="K5154" t="s">
        <v>183</v>
      </c>
      <c r="L5154">
        <v>9</v>
      </c>
      <c r="M5154" t="s">
        <v>17273</v>
      </c>
      <c r="N5154" t="s">
        <v>64</v>
      </c>
      <c r="O5154" t="s">
        <v>46</v>
      </c>
      <c r="P5154" t="s">
        <v>46</v>
      </c>
      <c r="Y5154" t="s">
        <v>17274</v>
      </c>
    </row>
    <row r="5155" spans="1:25">
      <c r="A5155" t="s">
        <v>17275</v>
      </c>
      <c r="B5155" t="s">
        <v>17276</v>
      </c>
      <c r="D5155" t="s">
        <v>40</v>
      </c>
      <c r="E5155" t="s">
        <v>41</v>
      </c>
      <c r="J5155" t="s">
        <v>42</v>
      </c>
      <c r="K5155" t="s">
        <v>43</v>
      </c>
      <c r="L5155">
        <v>9</v>
      </c>
      <c r="M5155" t="s">
        <v>17273</v>
      </c>
      <c r="N5155" t="s">
        <v>178</v>
      </c>
      <c r="O5155" t="s">
        <v>46</v>
      </c>
      <c r="P5155" t="s">
        <v>46</v>
      </c>
      <c r="Y5155" t="s">
        <v>17277</v>
      </c>
    </row>
    <row r="5156" spans="1:25">
      <c r="A5156" t="s">
        <v>17278</v>
      </c>
      <c r="B5156" t="s">
        <v>17279</v>
      </c>
      <c r="D5156" t="s">
        <v>40</v>
      </c>
      <c r="E5156" t="s">
        <v>41</v>
      </c>
      <c r="J5156" t="s">
        <v>182</v>
      </c>
      <c r="K5156" t="s">
        <v>183</v>
      </c>
      <c r="L5156">
        <v>9</v>
      </c>
      <c r="M5156" t="s">
        <v>17280</v>
      </c>
      <c r="N5156" t="s">
        <v>64</v>
      </c>
      <c r="O5156" t="s">
        <v>46</v>
      </c>
      <c r="P5156" t="s">
        <v>46</v>
      </c>
      <c r="Y5156" t="s">
        <v>17281</v>
      </c>
    </row>
    <row r="5157" spans="1:25">
      <c r="A5157" t="s">
        <v>17282</v>
      </c>
      <c r="B5157" t="s">
        <v>17283</v>
      </c>
      <c r="D5157" t="s">
        <v>40</v>
      </c>
      <c r="E5157" t="s">
        <v>41</v>
      </c>
      <c r="J5157" t="s">
        <v>182</v>
      </c>
      <c r="K5157" t="s">
        <v>183</v>
      </c>
      <c r="L5157">
        <v>9</v>
      </c>
      <c r="M5157" t="s">
        <v>17280</v>
      </c>
      <c r="N5157" t="s">
        <v>64</v>
      </c>
      <c r="O5157" t="s">
        <v>46</v>
      </c>
      <c r="P5157" t="s">
        <v>46</v>
      </c>
      <c r="Y5157" t="s">
        <v>17284</v>
      </c>
    </row>
    <row r="5158" spans="1:25">
      <c r="A5158" t="s">
        <v>17285</v>
      </c>
      <c r="B5158" t="s">
        <v>17286</v>
      </c>
      <c r="D5158" t="s">
        <v>40</v>
      </c>
      <c r="E5158" t="s">
        <v>41</v>
      </c>
      <c r="J5158" t="s">
        <v>76</v>
      </c>
      <c r="K5158" t="s">
        <v>77</v>
      </c>
      <c r="L5158">
        <v>9</v>
      </c>
      <c r="M5158" t="s">
        <v>17280</v>
      </c>
      <c r="N5158" t="s">
        <v>64</v>
      </c>
      <c r="O5158" t="s">
        <v>46</v>
      </c>
      <c r="P5158" t="s">
        <v>46</v>
      </c>
      <c r="Y5158" t="s">
        <v>17287</v>
      </c>
    </row>
    <row r="5159" spans="1:25">
      <c r="A5159" t="s">
        <v>17288</v>
      </c>
      <c r="B5159" t="s">
        <v>17289</v>
      </c>
      <c r="D5159" t="s">
        <v>40</v>
      </c>
      <c r="E5159" t="s">
        <v>41</v>
      </c>
      <c r="J5159" t="s">
        <v>182</v>
      </c>
      <c r="K5159" t="s">
        <v>183</v>
      </c>
      <c r="L5159">
        <v>9</v>
      </c>
      <c r="M5159" t="s">
        <v>17280</v>
      </c>
      <c r="N5159" t="s">
        <v>64</v>
      </c>
      <c r="O5159" t="s">
        <v>46</v>
      </c>
      <c r="P5159" t="s">
        <v>46</v>
      </c>
      <c r="Y5159" t="s">
        <v>17290</v>
      </c>
    </row>
    <row r="5160" spans="1:25">
      <c r="A5160" t="s">
        <v>17291</v>
      </c>
      <c r="B5160" t="s">
        <v>17292</v>
      </c>
      <c r="D5160" t="s">
        <v>40</v>
      </c>
      <c r="E5160" t="s">
        <v>41</v>
      </c>
      <c r="J5160" t="s">
        <v>182</v>
      </c>
      <c r="K5160" t="s">
        <v>183</v>
      </c>
      <c r="L5160">
        <v>9</v>
      </c>
      <c r="M5160" t="s">
        <v>17280</v>
      </c>
      <c r="N5160" t="s">
        <v>64</v>
      </c>
      <c r="O5160" t="s">
        <v>46</v>
      </c>
      <c r="P5160" t="s">
        <v>46</v>
      </c>
      <c r="Y5160" t="s">
        <v>17293</v>
      </c>
    </row>
    <row r="5161" spans="1:25">
      <c r="A5161" t="s">
        <v>17294</v>
      </c>
      <c r="B5161" t="s">
        <v>17295</v>
      </c>
      <c r="D5161" t="s">
        <v>40</v>
      </c>
      <c r="E5161" t="s">
        <v>41</v>
      </c>
      <c r="J5161" t="s">
        <v>42</v>
      </c>
      <c r="K5161" t="s">
        <v>43</v>
      </c>
      <c r="L5161">
        <v>9</v>
      </c>
      <c r="M5161" t="s">
        <v>17296</v>
      </c>
      <c r="N5161" t="s">
        <v>1024</v>
      </c>
      <c r="O5161" t="s">
        <v>46</v>
      </c>
      <c r="P5161" t="s">
        <v>46</v>
      </c>
      <c r="Y5161" t="s">
        <v>17297</v>
      </c>
    </row>
    <row r="5162" spans="1:25">
      <c r="A5162" t="s">
        <v>17298</v>
      </c>
      <c r="B5162" t="s">
        <v>17299</v>
      </c>
      <c r="D5162" t="s">
        <v>40</v>
      </c>
      <c r="E5162" t="s">
        <v>41</v>
      </c>
      <c r="J5162" t="s">
        <v>264</v>
      </c>
      <c r="K5162" t="s">
        <v>265</v>
      </c>
      <c r="L5162">
        <v>9</v>
      </c>
      <c r="M5162" t="s">
        <v>17296</v>
      </c>
      <c r="N5162" t="s">
        <v>1478</v>
      </c>
      <c r="O5162" t="s">
        <v>46</v>
      </c>
      <c r="P5162" t="s">
        <v>46</v>
      </c>
      <c r="Y5162" t="s">
        <v>17300</v>
      </c>
    </row>
    <row r="5163" spans="1:25">
      <c r="A5163" t="s">
        <v>17301</v>
      </c>
      <c r="B5163" t="s">
        <v>17302</v>
      </c>
      <c r="D5163" t="s">
        <v>40</v>
      </c>
      <c r="E5163" t="s">
        <v>41</v>
      </c>
      <c r="J5163" t="s">
        <v>76</v>
      </c>
      <c r="K5163" t="s">
        <v>77</v>
      </c>
      <c r="L5163">
        <v>9</v>
      </c>
      <c r="M5163" t="s">
        <v>17303</v>
      </c>
      <c r="N5163" t="s">
        <v>64</v>
      </c>
      <c r="O5163" t="s">
        <v>46</v>
      </c>
      <c r="P5163" t="s">
        <v>46</v>
      </c>
      <c r="Y5163" t="s">
        <v>17304</v>
      </c>
    </row>
    <row r="5164" spans="1:25">
      <c r="A5164" t="s">
        <v>17305</v>
      </c>
      <c r="B5164" t="s">
        <v>17306</v>
      </c>
      <c r="D5164" t="s">
        <v>40</v>
      </c>
      <c r="E5164" t="s">
        <v>41</v>
      </c>
      <c r="J5164" t="s">
        <v>182</v>
      </c>
      <c r="K5164" t="s">
        <v>183</v>
      </c>
      <c r="L5164">
        <v>9</v>
      </c>
      <c r="M5164" t="s">
        <v>17303</v>
      </c>
      <c r="N5164" t="s">
        <v>64</v>
      </c>
      <c r="O5164" t="s">
        <v>46</v>
      </c>
      <c r="P5164" t="s">
        <v>46</v>
      </c>
      <c r="Y5164" t="s">
        <v>17307</v>
      </c>
    </row>
    <row r="5165" spans="1:25">
      <c r="A5165" t="s">
        <v>17308</v>
      </c>
      <c r="B5165" t="s">
        <v>17309</v>
      </c>
      <c r="D5165" t="s">
        <v>40</v>
      </c>
      <c r="E5165" t="s">
        <v>41</v>
      </c>
      <c r="J5165" t="s">
        <v>182</v>
      </c>
      <c r="K5165" t="s">
        <v>183</v>
      </c>
      <c r="L5165">
        <v>9</v>
      </c>
      <c r="M5165" t="s">
        <v>17310</v>
      </c>
      <c r="N5165" t="s">
        <v>64</v>
      </c>
      <c r="O5165" t="s">
        <v>46</v>
      </c>
      <c r="P5165" t="s">
        <v>46</v>
      </c>
      <c r="Y5165" t="s">
        <v>17311</v>
      </c>
    </row>
    <row r="5166" spans="1:25">
      <c r="A5166" t="s">
        <v>17312</v>
      </c>
      <c r="B5166" t="s">
        <v>17313</v>
      </c>
      <c r="D5166" t="s">
        <v>40</v>
      </c>
      <c r="E5166" t="s">
        <v>41</v>
      </c>
      <c r="J5166" t="s">
        <v>76</v>
      </c>
      <c r="K5166" t="s">
        <v>77</v>
      </c>
      <c r="L5166">
        <v>9</v>
      </c>
      <c r="M5166" t="s">
        <v>17310</v>
      </c>
      <c r="N5166" t="s">
        <v>64</v>
      </c>
      <c r="O5166" t="s">
        <v>46</v>
      </c>
      <c r="P5166" t="s">
        <v>46</v>
      </c>
      <c r="Y5166" t="s">
        <v>17314</v>
      </c>
    </row>
    <row r="5167" spans="1:25">
      <c r="A5167" t="s">
        <v>17315</v>
      </c>
      <c r="B5167" t="s">
        <v>17316</v>
      </c>
      <c r="D5167" t="s">
        <v>40</v>
      </c>
      <c r="E5167" t="s">
        <v>41</v>
      </c>
      <c r="J5167" t="s">
        <v>76</v>
      </c>
      <c r="K5167" t="s">
        <v>77</v>
      </c>
      <c r="L5167">
        <v>9</v>
      </c>
      <c r="M5167" t="s">
        <v>17310</v>
      </c>
      <c r="N5167" t="s">
        <v>64</v>
      </c>
      <c r="O5167" t="s">
        <v>46</v>
      </c>
      <c r="P5167" t="s">
        <v>46</v>
      </c>
      <c r="Y5167" t="s">
        <v>17317</v>
      </c>
    </row>
    <row r="5168" spans="1:25">
      <c r="A5168" t="s">
        <v>17318</v>
      </c>
      <c r="B5168" t="s">
        <v>17319</v>
      </c>
      <c r="D5168" t="s">
        <v>40</v>
      </c>
      <c r="E5168" t="s">
        <v>41</v>
      </c>
      <c r="J5168" t="s">
        <v>76</v>
      </c>
      <c r="K5168" t="s">
        <v>77</v>
      </c>
      <c r="L5168">
        <v>9</v>
      </c>
      <c r="M5168" t="s">
        <v>17310</v>
      </c>
      <c r="N5168" t="s">
        <v>64</v>
      </c>
      <c r="O5168" t="s">
        <v>46</v>
      </c>
      <c r="P5168" t="s">
        <v>46</v>
      </c>
      <c r="Y5168" t="s">
        <v>17320</v>
      </c>
    </row>
    <row r="5169" spans="1:25">
      <c r="A5169" t="s">
        <v>17321</v>
      </c>
      <c r="B5169" t="s">
        <v>17322</v>
      </c>
      <c r="D5169" t="s">
        <v>40</v>
      </c>
      <c r="E5169" t="s">
        <v>41</v>
      </c>
      <c r="J5169" t="s">
        <v>76</v>
      </c>
      <c r="K5169" t="s">
        <v>77</v>
      </c>
      <c r="L5169">
        <v>9</v>
      </c>
      <c r="M5169" t="s">
        <v>17310</v>
      </c>
      <c r="N5169" t="s">
        <v>64</v>
      </c>
      <c r="O5169" t="s">
        <v>46</v>
      </c>
      <c r="P5169" t="s">
        <v>46</v>
      </c>
      <c r="Y5169" t="s">
        <v>17323</v>
      </c>
    </row>
    <row r="5170" spans="1:25">
      <c r="A5170" t="s">
        <v>17324</v>
      </c>
      <c r="B5170" t="s">
        <v>17325</v>
      </c>
      <c r="D5170" t="s">
        <v>40</v>
      </c>
      <c r="E5170" t="s">
        <v>41</v>
      </c>
      <c r="J5170" t="s">
        <v>182</v>
      </c>
      <c r="K5170" t="s">
        <v>183</v>
      </c>
      <c r="L5170">
        <v>9</v>
      </c>
      <c r="M5170" t="s">
        <v>17326</v>
      </c>
      <c r="N5170" t="s">
        <v>64</v>
      </c>
      <c r="O5170" t="s">
        <v>46</v>
      </c>
      <c r="P5170" t="s">
        <v>46</v>
      </c>
      <c r="Y5170" t="s">
        <v>17327</v>
      </c>
    </row>
    <row r="5171" spans="1:25">
      <c r="A5171" t="s">
        <v>17328</v>
      </c>
      <c r="B5171" t="s">
        <v>17329</v>
      </c>
      <c r="D5171" t="s">
        <v>40</v>
      </c>
      <c r="E5171" t="s">
        <v>41</v>
      </c>
      <c r="J5171" t="s">
        <v>42</v>
      </c>
      <c r="K5171" t="s">
        <v>43</v>
      </c>
      <c r="L5171">
        <v>9</v>
      </c>
      <c r="M5171" t="s">
        <v>17326</v>
      </c>
      <c r="N5171" t="s">
        <v>296</v>
      </c>
      <c r="O5171" t="s">
        <v>46</v>
      </c>
      <c r="P5171" t="s">
        <v>46</v>
      </c>
      <c r="Y5171" t="s">
        <v>17330</v>
      </c>
    </row>
    <row r="5172" spans="1:25">
      <c r="A5172" t="s">
        <v>17331</v>
      </c>
      <c r="B5172" t="s">
        <v>17332</v>
      </c>
      <c r="D5172" t="s">
        <v>40</v>
      </c>
      <c r="E5172" t="s">
        <v>41</v>
      </c>
      <c r="J5172" t="s">
        <v>182</v>
      </c>
      <c r="K5172" t="s">
        <v>183</v>
      </c>
      <c r="L5172">
        <v>9</v>
      </c>
      <c r="M5172" t="s">
        <v>17333</v>
      </c>
      <c r="N5172" t="s">
        <v>64</v>
      </c>
      <c r="O5172" t="s">
        <v>46</v>
      </c>
      <c r="P5172" t="s">
        <v>46</v>
      </c>
      <c r="Y5172" t="s">
        <v>17334</v>
      </c>
    </row>
    <row r="5173" spans="1:25">
      <c r="A5173" t="s">
        <v>17335</v>
      </c>
      <c r="B5173" t="s">
        <v>17336</v>
      </c>
      <c r="D5173" t="s">
        <v>40</v>
      </c>
      <c r="E5173" t="s">
        <v>41</v>
      </c>
      <c r="J5173" t="s">
        <v>182</v>
      </c>
      <c r="K5173" t="s">
        <v>183</v>
      </c>
      <c r="L5173">
        <v>9</v>
      </c>
      <c r="M5173" t="s">
        <v>17337</v>
      </c>
      <c r="N5173" t="s">
        <v>64</v>
      </c>
      <c r="O5173" t="s">
        <v>46</v>
      </c>
      <c r="P5173" t="s">
        <v>46</v>
      </c>
      <c r="Y5173" t="s">
        <v>17338</v>
      </c>
    </row>
    <row r="5174" spans="1:25">
      <c r="A5174" t="s">
        <v>17339</v>
      </c>
      <c r="B5174" t="s">
        <v>17340</v>
      </c>
      <c r="D5174" t="s">
        <v>40</v>
      </c>
      <c r="E5174" t="s">
        <v>41</v>
      </c>
      <c r="J5174" t="s">
        <v>42</v>
      </c>
      <c r="K5174" t="s">
        <v>43</v>
      </c>
      <c r="L5174">
        <v>9</v>
      </c>
      <c r="M5174" t="s">
        <v>17341</v>
      </c>
      <c r="N5174" t="s">
        <v>210</v>
      </c>
      <c r="O5174" t="s">
        <v>46</v>
      </c>
      <c r="P5174" t="s">
        <v>46</v>
      </c>
      <c r="Y5174" t="s">
        <v>17342</v>
      </c>
    </row>
    <row r="5175" spans="1:25">
      <c r="A5175" t="s">
        <v>17343</v>
      </c>
      <c r="B5175" t="s">
        <v>17344</v>
      </c>
      <c r="D5175" t="s">
        <v>40</v>
      </c>
      <c r="E5175" t="s">
        <v>41</v>
      </c>
      <c r="J5175" t="s">
        <v>182</v>
      </c>
      <c r="K5175" t="s">
        <v>183</v>
      </c>
      <c r="L5175">
        <v>9</v>
      </c>
      <c r="M5175" t="s">
        <v>17341</v>
      </c>
      <c r="N5175" t="s">
        <v>64</v>
      </c>
      <c r="O5175" t="s">
        <v>46</v>
      </c>
      <c r="P5175" t="s">
        <v>46</v>
      </c>
      <c r="Y5175" t="s">
        <v>17345</v>
      </c>
    </row>
    <row r="5176" spans="1:25">
      <c r="A5176" t="s">
        <v>17346</v>
      </c>
      <c r="B5176" t="s">
        <v>17347</v>
      </c>
      <c r="D5176" t="s">
        <v>40</v>
      </c>
      <c r="E5176" t="s">
        <v>41</v>
      </c>
      <c r="J5176" t="s">
        <v>76</v>
      </c>
      <c r="K5176" t="s">
        <v>77</v>
      </c>
      <c r="L5176">
        <v>9</v>
      </c>
      <c r="M5176" t="s">
        <v>17348</v>
      </c>
      <c r="N5176" t="s">
        <v>64</v>
      </c>
      <c r="O5176" t="s">
        <v>46</v>
      </c>
      <c r="P5176" t="s">
        <v>46</v>
      </c>
      <c r="Y5176" t="s">
        <v>17349</v>
      </c>
    </row>
    <row r="5177" spans="1:25">
      <c r="A5177" t="s">
        <v>17350</v>
      </c>
      <c r="B5177" t="s">
        <v>17351</v>
      </c>
      <c r="D5177" t="s">
        <v>40</v>
      </c>
      <c r="E5177" t="s">
        <v>41</v>
      </c>
      <c r="J5177" t="s">
        <v>182</v>
      </c>
      <c r="K5177" t="s">
        <v>183</v>
      </c>
      <c r="L5177">
        <v>9</v>
      </c>
      <c r="M5177" t="s">
        <v>17348</v>
      </c>
      <c r="N5177" t="s">
        <v>64</v>
      </c>
      <c r="O5177" t="s">
        <v>46</v>
      </c>
      <c r="P5177" t="s">
        <v>46</v>
      </c>
      <c r="Y5177" t="s">
        <v>17352</v>
      </c>
    </row>
    <row r="5178" spans="1:25">
      <c r="A5178" t="s">
        <v>17353</v>
      </c>
      <c r="B5178" t="s">
        <v>17354</v>
      </c>
      <c r="D5178" t="s">
        <v>40</v>
      </c>
      <c r="E5178" t="s">
        <v>41</v>
      </c>
      <c r="J5178" t="s">
        <v>264</v>
      </c>
      <c r="K5178" t="s">
        <v>265</v>
      </c>
      <c r="L5178">
        <v>9</v>
      </c>
      <c r="M5178" t="s">
        <v>17348</v>
      </c>
      <c r="N5178" t="s">
        <v>1478</v>
      </c>
      <c r="O5178" t="s">
        <v>46</v>
      </c>
      <c r="P5178" t="s">
        <v>46</v>
      </c>
      <c r="Y5178" t="s">
        <v>17355</v>
      </c>
    </row>
    <row r="5179" spans="1:25">
      <c r="A5179" t="s">
        <v>17356</v>
      </c>
      <c r="B5179" t="s">
        <v>17357</v>
      </c>
      <c r="D5179" t="s">
        <v>40</v>
      </c>
      <c r="E5179" t="s">
        <v>41</v>
      </c>
      <c r="J5179" t="s">
        <v>76</v>
      </c>
      <c r="K5179" t="s">
        <v>77</v>
      </c>
      <c r="L5179">
        <v>9</v>
      </c>
      <c r="M5179" t="s">
        <v>17348</v>
      </c>
      <c r="N5179" t="s">
        <v>64</v>
      </c>
      <c r="O5179" t="s">
        <v>46</v>
      </c>
      <c r="P5179" t="s">
        <v>46</v>
      </c>
      <c r="Y5179" t="s">
        <v>17358</v>
      </c>
    </row>
    <row r="5180" spans="1:25">
      <c r="A5180" t="s">
        <v>17359</v>
      </c>
      <c r="B5180" t="s">
        <v>17360</v>
      </c>
      <c r="D5180" t="s">
        <v>40</v>
      </c>
      <c r="E5180" t="s">
        <v>41</v>
      </c>
      <c r="J5180" t="s">
        <v>76</v>
      </c>
      <c r="K5180" t="s">
        <v>77</v>
      </c>
      <c r="L5180">
        <v>9</v>
      </c>
      <c r="M5180" t="s">
        <v>17361</v>
      </c>
      <c r="N5180" t="s">
        <v>64</v>
      </c>
      <c r="O5180" t="s">
        <v>46</v>
      </c>
      <c r="P5180" t="s">
        <v>46</v>
      </c>
      <c r="Y5180" t="s">
        <v>17362</v>
      </c>
    </row>
    <row r="5181" spans="1:25">
      <c r="A5181" t="s">
        <v>17363</v>
      </c>
      <c r="B5181" t="s">
        <v>17364</v>
      </c>
      <c r="D5181" t="s">
        <v>40</v>
      </c>
      <c r="E5181" t="s">
        <v>41</v>
      </c>
      <c r="J5181" t="s">
        <v>42</v>
      </c>
      <c r="K5181" t="s">
        <v>43</v>
      </c>
      <c r="L5181">
        <v>9</v>
      </c>
      <c r="M5181" t="s">
        <v>17361</v>
      </c>
      <c r="N5181" t="s">
        <v>924</v>
      </c>
      <c r="O5181" t="s">
        <v>46</v>
      </c>
      <c r="P5181" t="s">
        <v>46</v>
      </c>
      <c r="Y5181" t="s">
        <v>17365</v>
      </c>
    </row>
    <row r="5182" spans="1:25">
      <c r="A5182" t="s">
        <v>17366</v>
      </c>
      <c r="B5182" t="s">
        <v>17367</v>
      </c>
      <c r="D5182" t="s">
        <v>40</v>
      </c>
      <c r="E5182" t="s">
        <v>41</v>
      </c>
      <c r="J5182" t="s">
        <v>76</v>
      </c>
      <c r="K5182" t="s">
        <v>77</v>
      </c>
      <c r="L5182">
        <v>9</v>
      </c>
      <c r="M5182" t="s">
        <v>17368</v>
      </c>
      <c r="N5182" t="s">
        <v>64</v>
      </c>
      <c r="O5182" t="s">
        <v>46</v>
      </c>
      <c r="P5182" t="s">
        <v>46</v>
      </c>
      <c r="Y5182" t="s">
        <v>17369</v>
      </c>
    </row>
    <row r="5183" spans="1:25">
      <c r="A5183" t="s">
        <v>17370</v>
      </c>
      <c r="B5183" t="s">
        <v>17371</v>
      </c>
      <c r="D5183" t="s">
        <v>40</v>
      </c>
      <c r="E5183" t="s">
        <v>41</v>
      </c>
      <c r="J5183" t="s">
        <v>182</v>
      </c>
      <c r="K5183" t="s">
        <v>183</v>
      </c>
      <c r="L5183">
        <v>9</v>
      </c>
      <c r="M5183" t="s">
        <v>17372</v>
      </c>
      <c r="N5183" t="s">
        <v>64</v>
      </c>
      <c r="O5183" t="s">
        <v>46</v>
      </c>
      <c r="P5183" t="s">
        <v>46</v>
      </c>
      <c r="Y5183" t="s">
        <v>17373</v>
      </c>
    </row>
    <row r="5184" spans="1:25">
      <c r="A5184" t="s">
        <v>17374</v>
      </c>
      <c r="B5184" t="s">
        <v>17375</v>
      </c>
      <c r="D5184" t="s">
        <v>40</v>
      </c>
      <c r="E5184" t="s">
        <v>41</v>
      </c>
      <c r="J5184" t="s">
        <v>42</v>
      </c>
      <c r="K5184" t="s">
        <v>43</v>
      </c>
      <c r="L5184">
        <v>9</v>
      </c>
      <c r="M5184" t="s">
        <v>17376</v>
      </c>
      <c r="N5184" t="s">
        <v>1344</v>
      </c>
      <c r="O5184" t="s">
        <v>46</v>
      </c>
      <c r="P5184" t="s">
        <v>46</v>
      </c>
      <c r="Y5184" t="s">
        <v>17377</v>
      </c>
    </row>
    <row r="5185" spans="1:25">
      <c r="A5185" t="s">
        <v>17378</v>
      </c>
      <c r="B5185" t="s">
        <v>17379</v>
      </c>
      <c r="D5185" t="s">
        <v>40</v>
      </c>
      <c r="E5185" t="s">
        <v>41</v>
      </c>
      <c r="J5185" t="s">
        <v>76</v>
      </c>
      <c r="K5185" t="s">
        <v>77</v>
      </c>
      <c r="L5185">
        <v>9</v>
      </c>
      <c r="M5185" t="s">
        <v>17376</v>
      </c>
      <c r="N5185" t="s">
        <v>64</v>
      </c>
      <c r="O5185" t="s">
        <v>46</v>
      </c>
      <c r="P5185" t="s">
        <v>46</v>
      </c>
      <c r="Y5185" t="s">
        <v>17380</v>
      </c>
    </row>
    <row r="5186" spans="1:25">
      <c r="A5186" t="s">
        <v>17381</v>
      </c>
      <c r="B5186" t="s">
        <v>17382</v>
      </c>
      <c r="D5186" t="s">
        <v>40</v>
      </c>
      <c r="E5186" t="s">
        <v>41</v>
      </c>
      <c r="J5186" t="s">
        <v>76</v>
      </c>
      <c r="K5186" t="s">
        <v>77</v>
      </c>
      <c r="L5186">
        <v>9</v>
      </c>
      <c r="M5186" t="s">
        <v>17376</v>
      </c>
      <c r="N5186" t="s">
        <v>64</v>
      </c>
      <c r="O5186" t="s">
        <v>46</v>
      </c>
      <c r="P5186" t="s">
        <v>46</v>
      </c>
      <c r="Y5186" t="s">
        <v>17383</v>
      </c>
    </row>
    <row r="5187" spans="1:25">
      <c r="A5187" t="s">
        <v>17384</v>
      </c>
      <c r="B5187" t="s">
        <v>17385</v>
      </c>
      <c r="D5187" t="s">
        <v>40</v>
      </c>
      <c r="E5187" t="s">
        <v>41</v>
      </c>
      <c r="J5187" t="s">
        <v>182</v>
      </c>
      <c r="K5187" t="s">
        <v>183</v>
      </c>
      <c r="L5187">
        <v>9</v>
      </c>
      <c r="M5187" t="s">
        <v>17386</v>
      </c>
      <c r="N5187" t="s">
        <v>64</v>
      </c>
      <c r="O5187" t="s">
        <v>46</v>
      </c>
      <c r="P5187" t="s">
        <v>46</v>
      </c>
      <c r="Y5187" t="s">
        <v>17387</v>
      </c>
    </row>
    <row r="5188" spans="1:25">
      <c r="A5188" t="s">
        <v>17388</v>
      </c>
      <c r="B5188" t="s">
        <v>17389</v>
      </c>
      <c r="D5188" t="s">
        <v>40</v>
      </c>
      <c r="E5188" t="s">
        <v>41</v>
      </c>
      <c r="J5188" t="s">
        <v>42</v>
      </c>
      <c r="K5188" t="s">
        <v>43</v>
      </c>
      <c r="L5188">
        <v>9</v>
      </c>
      <c r="M5188" t="s">
        <v>17386</v>
      </c>
      <c r="N5188" t="s">
        <v>58</v>
      </c>
      <c r="O5188" t="s">
        <v>46</v>
      </c>
      <c r="P5188" t="s">
        <v>46</v>
      </c>
      <c r="Y5188" t="s">
        <v>17390</v>
      </c>
    </row>
    <row r="5189" spans="1:25">
      <c r="A5189" t="s">
        <v>17391</v>
      </c>
      <c r="B5189" t="s">
        <v>17392</v>
      </c>
      <c r="D5189" t="s">
        <v>40</v>
      </c>
      <c r="E5189" t="s">
        <v>41</v>
      </c>
      <c r="J5189" t="s">
        <v>182</v>
      </c>
      <c r="K5189" t="s">
        <v>183</v>
      </c>
      <c r="L5189">
        <v>9</v>
      </c>
      <c r="M5189" t="s">
        <v>17386</v>
      </c>
      <c r="N5189" t="s">
        <v>64</v>
      </c>
      <c r="O5189" t="s">
        <v>46</v>
      </c>
      <c r="P5189" t="s">
        <v>46</v>
      </c>
      <c r="Y5189" t="s">
        <v>17393</v>
      </c>
    </row>
    <row r="5190" spans="1:25">
      <c r="A5190" t="s">
        <v>17394</v>
      </c>
      <c r="B5190" t="s">
        <v>17395</v>
      </c>
      <c r="D5190" t="s">
        <v>40</v>
      </c>
      <c r="E5190" t="s">
        <v>41</v>
      </c>
      <c r="J5190" t="s">
        <v>76</v>
      </c>
      <c r="K5190" t="s">
        <v>77</v>
      </c>
      <c r="L5190">
        <v>9</v>
      </c>
      <c r="M5190" t="s">
        <v>17386</v>
      </c>
      <c r="N5190" t="s">
        <v>64</v>
      </c>
      <c r="O5190" t="s">
        <v>46</v>
      </c>
      <c r="P5190" t="s">
        <v>46</v>
      </c>
      <c r="Y5190" t="s">
        <v>17396</v>
      </c>
    </row>
    <row r="5191" spans="1:25">
      <c r="A5191" t="s">
        <v>17397</v>
      </c>
      <c r="B5191" t="s">
        <v>17398</v>
      </c>
      <c r="D5191" t="s">
        <v>40</v>
      </c>
      <c r="E5191" t="s">
        <v>41</v>
      </c>
      <c r="J5191" t="s">
        <v>42</v>
      </c>
      <c r="K5191" t="s">
        <v>43</v>
      </c>
      <c r="L5191">
        <v>9</v>
      </c>
      <c r="M5191" t="s">
        <v>17386</v>
      </c>
      <c r="N5191" t="s">
        <v>440</v>
      </c>
      <c r="O5191" t="s">
        <v>46</v>
      </c>
      <c r="P5191" t="s">
        <v>46</v>
      </c>
      <c r="Y5191" t="s">
        <v>17399</v>
      </c>
    </row>
    <row r="5192" spans="1:25">
      <c r="A5192" t="s">
        <v>17400</v>
      </c>
      <c r="B5192" t="s">
        <v>17401</v>
      </c>
      <c r="D5192" t="s">
        <v>40</v>
      </c>
      <c r="E5192" t="s">
        <v>41</v>
      </c>
      <c r="J5192" t="s">
        <v>182</v>
      </c>
      <c r="K5192" t="s">
        <v>183</v>
      </c>
      <c r="L5192">
        <v>9</v>
      </c>
      <c r="M5192" t="s">
        <v>17402</v>
      </c>
      <c r="N5192" t="s">
        <v>64</v>
      </c>
      <c r="O5192" t="s">
        <v>46</v>
      </c>
      <c r="P5192" t="s">
        <v>46</v>
      </c>
      <c r="Y5192" t="s">
        <v>17403</v>
      </c>
    </row>
    <row r="5193" spans="1:25">
      <c r="A5193" t="s">
        <v>17404</v>
      </c>
      <c r="B5193" t="s">
        <v>17405</v>
      </c>
      <c r="D5193" t="s">
        <v>40</v>
      </c>
      <c r="E5193" t="s">
        <v>41</v>
      </c>
      <c r="J5193" t="s">
        <v>182</v>
      </c>
      <c r="K5193" t="s">
        <v>183</v>
      </c>
      <c r="L5193">
        <v>9</v>
      </c>
      <c r="M5193" t="s">
        <v>17406</v>
      </c>
      <c r="N5193" t="s">
        <v>64</v>
      </c>
      <c r="O5193" t="s">
        <v>46</v>
      </c>
      <c r="P5193" t="s">
        <v>46</v>
      </c>
      <c r="Y5193" t="s">
        <v>17407</v>
      </c>
    </row>
    <row r="5194" spans="1:25">
      <c r="A5194" t="s">
        <v>17408</v>
      </c>
      <c r="B5194" t="s">
        <v>17409</v>
      </c>
      <c r="D5194" t="s">
        <v>40</v>
      </c>
      <c r="E5194" t="s">
        <v>41</v>
      </c>
      <c r="J5194" t="s">
        <v>182</v>
      </c>
      <c r="K5194" t="s">
        <v>183</v>
      </c>
      <c r="L5194">
        <v>9</v>
      </c>
      <c r="M5194" t="s">
        <v>17406</v>
      </c>
      <c r="N5194" t="s">
        <v>64</v>
      </c>
      <c r="O5194" t="s">
        <v>46</v>
      </c>
      <c r="P5194" t="s">
        <v>46</v>
      </c>
      <c r="Y5194" t="s">
        <v>17410</v>
      </c>
    </row>
    <row r="5195" spans="1:25">
      <c r="A5195" t="s">
        <v>17411</v>
      </c>
      <c r="B5195" t="s">
        <v>17412</v>
      </c>
      <c r="D5195" t="s">
        <v>40</v>
      </c>
      <c r="E5195" t="s">
        <v>41</v>
      </c>
      <c r="J5195" t="s">
        <v>264</v>
      </c>
      <c r="K5195" t="s">
        <v>265</v>
      </c>
      <c r="L5195">
        <v>9</v>
      </c>
      <c r="M5195" t="s">
        <v>17406</v>
      </c>
      <c r="N5195" t="s">
        <v>266</v>
      </c>
      <c r="O5195" t="s">
        <v>46</v>
      </c>
      <c r="P5195" t="s">
        <v>46</v>
      </c>
      <c r="Y5195" t="s">
        <v>17413</v>
      </c>
    </row>
    <row r="5196" spans="1:25">
      <c r="A5196" t="s">
        <v>17414</v>
      </c>
      <c r="B5196" t="s">
        <v>17415</v>
      </c>
      <c r="D5196" t="s">
        <v>40</v>
      </c>
      <c r="E5196" t="s">
        <v>41</v>
      </c>
      <c r="J5196" t="s">
        <v>182</v>
      </c>
      <c r="K5196" t="s">
        <v>183</v>
      </c>
      <c r="L5196">
        <v>9</v>
      </c>
      <c r="M5196" t="s">
        <v>17406</v>
      </c>
      <c r="N5196" t="s">
        <v>64</v>
      </c>
      <c r="O5196" t="s">
        <v>46</v>
      </c>
      <c r="P5196" t="s">
        <v>46</v>
      </c>
      <c r="Y5196" t="s">
        <v>17416</v>
      </c>
    </row>
    <row r="5197" spans="1:25">
      <c r="A5197" t="s">
        <v>17417</v>
      </c>
      <c r="B5197" t="s">
        <v>17418</v>
      </c>
      <c r="D5197" t="s">
        <v>40</v>
      </c>
      <c r="E5197" t="s">
        <v>41</v>
      </c>
      <c r="J5197" t="s">
        <v>42</v>
      </c>
      <c r="K5197" t="s">
        <v>43</v>
      </c>
      <c r="L5197">
        <v>9</v>
      </c>
      <c r="M5197" t="s">
        <v>17419</v>
      </c>
      <c r="N5197" t="s">
        <v>1276</v>
      </c>
      <c r="O5197" t="s">
        <v>46</v>
      </c>
      <c r="P5197" t="s">
        <v>46</v>
      </c>
      <c r="Y5197" t="s">
        <v>17420</v>
      </c>
    </row>
    <row r="5198" spans="1:25">
      <c r="A5198" t="s">
        <v>17421</v>
      </c>
      <c r="B5198" t="s">
        <v>17422</v>
      </c>
      <c r="D5198" t="s">
        <v>40</v>
      </c>
      <c r="E5198" t="s">
        <v>41</v>
      </c>
      <c r="J5198" t="s">
        <v>76</v>
      </c>
      <c r="K5198" t="s">
        <v>77</v>
      </c>
      <c r="L5198">
        <v>9</v>
      </c>
      <c r="M5198" t="s">
        <v>17419</v>
      </c>
      <c r="N5198" t="s">
        <v>64</v>
      </c>
      <c r="O5198" t="s">
        <v>46</v>
      </c>
      <c r="P5198" t="s">
        <v>46</v>
      </c>
      <c r="Y5198" t="s">
        <v>17423</v>
      </c>
    </row>
    <row r="5199" spans="1:25">
      <c r="A5199" t="s">
        <v>17424</v>
      </c>
      <c r="B5199" t="s">
        <v>17425</v>
      </c>
      <c r="D5199" t="s">
        <v>40</v>
      </c>
      <c r="E5199" t="s">
        <v>41</v>
      </c>
      <c r="J5199" t="s">
        <v>182</v>
      </c>
      <c r="K5199" t="s">
        <v>183</v>
      </c>
      <c r="L5199">
        <v>9</v>
      </c>
      <c r="M5199" t="s">
        <v>17426</v>
      </c>
      <c r="N5199" t="s">
        <v>64</v>
      </c>
      <c r="O5199" t="s">
        <v>46</v>
      </c>
      <c r="P5199" t="s">
        <v>46</v>
      </c>
      <c r="Y5199" t="s">
        <v>17427</v>
      </c>
    </row>
    <row r="5200" spans="1:25">
      <c r="A5200" t="s">
        <v>17428</v>
      </c>
      <c r="B5200" t="s">
        <v>17429</v>
      </c>
      <c r="D5200" t="s">
        <v>40</v>
      </c>
      <c r="E5200" t="s">
        <v>41</v>
      </c>
      <c r="J5200" t="s">
        <v>182</v>
      </c>
      <c r="K5200" t="s">
        <v>183</v>
      </c>
      <c r="L5200">
        <v>9</v>
      </c>
      <c r="M5200" t="s">
        <v>17426</v>
      </c>
      <c r="N5200" t="s">
        <v>64</v>
      </c>
      <c r="O5200" t="s">
        <v>46</v>
      </c>
      <c r="P5200" t="s">
        <v>46</v>
      </c>
      <c r="Y5200" t="s">
        <v>17430</v>
      </c>
    </row>
    <row r="5201" spans="1:25">
      <c r="A5201" t="s">
        <v>17431</v>
      </c>
      <c r="B5201" t="s">
        <v>17432</v>
      </c>
      <c r="D5201" t="s">
        <v>40</v>
      </c>
      <c r="E5201" t="s">
        <v>41</v>
      </c>
      <c r="J5201" t="s">
        <v>76</v>
      </c>
      <c r="K5201" t="s">
        <v>77</v>
      </c>
      <c r="L5201">
        <v>9</v>
      </c>
      <c r="M5201" t="s">
        <v>17433</v>
      </c>
      <c r="N5201" t="s">
        <v>64</v>
      </c>
      <c r="O5201" t="s">
        <v>46</v>
      </c>
      <c r="P5201" t="s">
        <v>46</v>
      </c>
      <c r="Y5201" t="s">
        <v>17434</v>
      </c>
    </row>
    <row r="5202" spans="1:25">
      <c r="A5202" t="s">
        <v>17435</v>
      </c>
      <c r="B5202" t="s">
        <v>17436</v>
      </c>
      <c r="D5202" t="s">
        <v>40</v>
      </c>
      <c r="E5202" t="s">
        <v>41</v>
      </c>
      <c r="J5202" t="s">
        <v>182</v>
      </c>
      <c r="K5202" t="s">
        <v>183</v>
      </c>
      <c r="L5202">
        <v>9</v>
      </c>
      <c r="M5202" t="s">
        <v>17433</v>
      </c>
      <c r="N5202" t="s">
        <v>64</v>
      </c>
      <c r="O5202" t="s">
        <v>46</v>
      </c>
      <c r="P5202" t="s">
        <v>46</v>
      </c>
      <c r="Y5202" t="s">
        <v>17437</v>
      </c>
    </row>
    <row r="5203" spans="1:25">
      <c r="A5203" t="s">
        <v>17438</v>
      </c>
      <c r="B5203" t="s">
        <v>17439</v>
      </c>
      <c r="D5203" t="s">
        <v>40</v>
      </c>
      <c r="E5203" t="s">
        <v>41</v>
      </c>
      <c r="J5203" t="s">
        <v>76</v>
      </c>
      <c r="K5203" t="s">
        <v>77</v>
      </c>
      <c r="L5203">
        <v>9</v>
      </c>
      <c r="M5203" t="s">
        <v>17433</v>
      </c>
      <c r="N5203" t="s">
        <v>64</v>
      </c>
      <c r="O5203" t="s">
        <v>46</v>
      </c>
      <c r="P5203" t="s">
        <v>46</v>
      </c>
      <c r="Y5203" t="s">
        <v>17440</v>
      </c>
    </row>
    <row r="5204" spans="1:25">
      <c r="A5204" t="s">
        <v>17441</v>
      </c>
      <c r="B5204" t="s">
        <v>17442</v>
      </c>
      <c r="D5204" t="s">
        <v>40</v>
      </c>
      <c r="E5204" t="s">
        <v>41</v>
      </c>
      <c r="J5204" t="s">
        <v>76</v>
      </c>
      <c r="K5204" t="s">
        <v>77</v>
      </c>
      <c r="L5204">
        <v>9</v>
      </c>
      <c r="M5204" t="s">
        <v>17433</v>
      </c>
      <c r="N5204" t="s">
        <v>64</v>
      </c>
      <c r="O5204" t="s">
        <v>46</v>
      </c>
      <c r="P5204" t="s">
        <v>46</v>
      </c>
      <c r="Y5204" t="s">
        <v>17443</v>
      </c>
    </row>
    <row r="5205" spans="1:25">
      <c r="A5205" t="s">
        <v>17444</v>
      </c>
      <c r="B5205" t="s">
        <v>17445</v>
      </c>
      <c r="D5205" t="s">
        <v>40</v>
      </c>
      <c r="E5205" t="s">
        <v>41</v>
      </c>
      <c r="J5205" t="s">
        <v>182</v>
      </c>
      <c r="K5205" t="s">
        <v>183</v>
      </c>
      <c r="L5205">
        <v>9</v>
      </c>
      <c r="M5205" t="s">
        <v>17446</v>
      </c>
      <c r="N5205" t="s">
        <v>64</v>
      </c>
      <c r="O5205" t="s">
        <v>46</v>
      </c>
      <c r="P5205" t="s">
        <v>46</v>
      </c>
      <c r="Y5205" t="s">
        <v>17447</v>
      </c>
    </row>
    <row r="5206" spans="1:25">
      <c r="A5206" t="s">
        <v>17448</v>
      </c>
      <c r="B5206" t="s">
        <v>17449</v>
      </c>
      <c r="D5206" t="s">
        <v>40</v>
      </c>
      <c r="E5206" t="s">
        <v>41</v>
      </c>
      <c r="J5206" t="s">
        <v>76</v>
      </c>
      <c r="K5206" t="s">
        <v>77</v>
      </c>
      <c r="L5206">
        <v>9</v>
      </c>
      <c r="M5206" t="s">
        <v>17446</v>
      </c>
      <c r="N5206" t="s">
        <v>64</v>
      </c>
      <c r="O5206" t="s">
        <v>46</v>
      </c>
      <c r="P5206" t="s">
        <v>46</v>
      </c>
      <c r="Y5206" t="s">
        <v>17450</v>
      </c>
    </row>
    <row r="5207" spans="1:25">
      <c r="A5207" t="s">
        <v>17451</v>
      </c>
      <c r="B5207" t="s">
        <v>17452</v>
      </c>
      <c r="D5207" t="s">
        <v>40</v>
      </c>
      <c r="E5207" t="s">
        <v>41</v>
      </c>
      <c r="J5207" t="s">
        <v>182</v>
      </c>
      <c r="K5207" t="s">
        <v>183</v>
      </c>
      <c r="L5207">
        <v>9</v>
      </c>
      <c r="M5207" t="s">
        <v>17446</v>
      </c>
      <c r="N5207" t="s">
        <v>64</v>
      </c>
      <c r="O5207" t="s">
        <v>46</v>
      </c>
      <c r="P5207" t="s">
        <v>46</v>
      </c>
      <c r="Y5207" t="s">
        <v>17453</v>
      </c>
    </row>
    <row r="5208" spans="1:25">
      <c r="A5208" t="s">
        <v>17454</v>
      </c>
      <c r="B5208" t="s">
        <v>17455</v>
      </c>
      <c r="D5208" t="s">
        <v>40</v>
      </c>
      <c r="E5208" t="s">
        <v>41</v>
      </c>
      <c r="J5208" t="s">
        <v>182</v>
      </c>
      <c r="K5208" t="s">
        <v>183</v>
      </c>
      <c r="L5208">
        <v>9</v>
      </c>
      <c r="M5208" t="s">
        <v>17456</v>
      </c>
      <c r="N5208" t="s">
        <v>64</v>
      </c>
      <c r="O5208" t="s">
        <v>46</v>
      </c>
      <c r="P5208" t="s">
        <v>46</v>
      </c>
      <c r="Y5208" t="s">
        <v>17457</v>
      </c>
    </row>
    <row r="5209" spans="1:25">
      <c r="A5209" t="s">
        <v>17458</v>
      </c>
      <c r="B5209" t="s">
        <v>17459</v>
      </c>
      <c r="D5209" t="s">
        <v>40</v>
      </c>
      <c r="E5209" t="s">
        <v>41</v>
      </c>
      <c r="J5209" t="s">
        <v>76</v>
      </c>
      <c r="K5209" t="s">
        <v>77</v>
      </c>
      <c r="L5209">
        <v>9</v>
      </c>
      <c r="M5209" t="s">
        <v>17456</v>
      </c>
      <c r="N5209" t="s">
        <v>64</v>
      </c>
      <c r="O5209" t="s">
        <v>46</v>
      </c>
      <c r="P5209" t="s">
        <v>46</v>
      </c>
      <c r="Y5209" t="s">
        <v>17460</v>
      </c>
    </row>
    <row r="5210" spans="1:25">
      <c r="A5210" t="s">
        <v>17461</v>
      </c>
      <c r="B5210" t="s">
        <v>17462</v>
      </c>
      <c r="D5210" t="s">
        <v>40</v>
      </c>
      <c r="E5210" t="s">
        <v>41</v>
      </c>
      <c r="J5210" t="s">
        <v>182</v>
      </c>
      <c r="K5210" t="s">
        <v>183</v>
      </c>
      <c r="L5210">
        <v>9</v>
      </c>
      <c r="M5210" t="s">
        <v>17456</v>
      </c>
      <c r="N5210" t="s">
        <v>64</v>
      </c>
      <c r="O5210" t="s">
        <v>46</v>
      </c>
      <c r="P5210" t="s">
        <v>46</v>
      </c>
      <c r="Y5210" t="s">
        <v>17463</v>
      </c>
    </row>
    <row r="5211" spans="1:25">
      <c r="A5211" t="s">
        <v>17464</v>
      </c>
      <c r="B5211" t="s">
        <v>17465</v>
      </c>
      <c r="D5211" t="s">
        <v>40</v>
      </c>
      <c r="E5211" t="s">
        <v>41</v>
      </c>
      <c r="J5211" t="s">
        <v>182</v>
      </c>
      <c r="K5211" t="s">
        <v>183</v>
      </c>
      <c r="L5211">
        <v>9</v>
      </c>
      <c r="M5211" t="s">
        <v>17456</v>
      </c>
      <c r="N5211" t="s">
        <v>64</v>
      </c>
      <c r="O5211" t="s">
        <v>46</v>
      </c>
      <c r="P5211" t="s">
        <v>46</v>
      </c>
      <c r="Y5211" t="s">
        <v>17466</v>
      </c>
    </row>
    <row r="5212" spans="1:25">
      <c r="A5212" t="s">
        <v>17467</v>
      </c>
      <c r="B5212" t="s">
        <v>17468</v>
      </c>
      <c r="D5212" t="s">
        <v>40</v>
      </c>
      <c r="E5212" t="s">
        <v>41</v>
      </c>
      <c r="J5212" t="s">
        <v>68</v>
      </c>
      <c r="K5212" t="s">
        <v>69</v>
      </c>
      <c r="L5212">
        <v>9</v>
      </c>
      <c r="M5212" t="s">
        <v>17456</v>
      </c>
      <c r="N5212" t="s">
        <v>64</v>
      </c>
      <c r="O5212" t="s">
        <v>46</v>
      </c>
      <c r="P5212" t="s">
        <v>46</v>
      </c>
      <c r="Y5212" t="s">
        <v>17469</v>
      </c>
    </row>
    <row r="5213" spans="1:25">
      <c r="A5213" t="s">
        <v>17470</v>
      </c>
      <c r="B5213" t="s">
        <v>17471</v>
      </c>
      <c r="D5213" t="s">
        <v>40</v>
      </c>
      <c r="E5213" t="s">
        <v>41</v>
      </c>
      <c r="J5213" t="s">
        <v>139</v>
      </c>
      <c r="K5213" t="s">
        <v>140</v>
      </c>
      <c r="L5213">
        <v>9</v>
      </c>
      <c r="M5213" t="s">
        <v>17456</v>
      </c>
      <c r="N5213" t="s">
        <v>4037</v>
      </c>
      <c r="O5213" t="s">
        <v>46</v>
      </c>
      <c r="P5213" t="s">
        <v>46</v>
      </c>
      <c r="Y5213" t="s">
        <v>17472</v>
      </c>
    </row>
    <row r="5214" spans="1:25">
      <c r="A5214" t="s">
        <v>17473</v>
      </c>
      <c r="B5214" t="s">
        <v>17474</v>
      </c>
      <c r="D5214" t="s">
        <v>40</v>
      </c>
      <c r="E5214" t="s">
        <v>41</v>
      </c>
      <c r="J5214" t="s">
        <v>68</v>
      </c>
      <c r="K5214" t="s">
        <v>69</v>
      </c>
      <c r="L5214">
        <v>9</v>
      </c>
      <c r="M5214" t="s">
        <v>17475</v>
      </c>
      <c r="N5214" t="s">
        <v>64</v>
      </c>
      <c r="O5214" t="s">
        <v>46</v>
      </c>
      <c r="P5214" t="s">
        <v>46</v>
      </c>
      <c r="Y5214" t="s">
        <v>17476</v>
      </c>
    </row>
    <row r="5215" spans="1:25">
      <c r="A5215" t="s">
        <v>17477</v>
      </c>
      <c r="B5215" t="s">
        <v>17478</v>
      </c>
      <c r="D5215" t="s">
        <v>40</v>
      </c>
      <c r="E5215" t="s">
        <v>41</v>
      </c>
      <c r="J5215" t="s">
        <v>182</v>
      </c>
      <c r="K5215" t="s">
        <v>183</v>
      </c>
      <c r="L5215">
        <v>9</v>
      </c>
      <c r="M5215" t="s">
        <v>17475</v>
      </c>
      <c r="N5215" t="s">
        <v>64</v>
      </c>
      <c r="O5215" t="s">
        <v>46</v>
      </c>
      <c r="P5215" t="s">
        <v>46</v>
      </c>
      <c r="Y5215" t="s">
        <v>17479</v>
      </c>
    </row>
    <row r="5216" spans="1:25">
      <c r="A5216" t="s">
        <v>17480</v>
      </c>
      <c r="B5216" t="s">
        <v>17481</v>
      </c>
      <c r="D5216" t="s">
        <v>40</v>
      </c>
      <c r="E5216" t="s">
        <v>41</v>
      </c>
      <c r="J5216" t="s">
        <v>248</v>
      </c>
      <c r="K5216" t="s">
        <v>249</v>
      </c>
      <c r="L5216">
        <v>9</v>
      </c>
      <c r="M5216" t="s">
        <v>17475</v>
      </c>
      <c r="N5216" t="s">
        <v>142</v>
      </c>
      <c r="O5216" t="s">
        <v>46</v>
      </c>
      <c r="P5216" t="s">
        <v>46</v>
      </c>
      <c r="Y5216" t="s">
        <v>17482</v>
      </c>
    </row>
    <row r="5217" spans="1:25">
      <c r="A5217" t="s">
        <v>17483</v>
      </c>
      <c r="B5217" t="s">
        <v>17484</v>
      </c>
      <c r="D5217" t="s">
        <v>40</v>
      </c>
      <c r="E5217" t="s">
        <v>41</v>
      </c>
      <c r="J5217" t="s">
        <v>42</v>
      </c>
      <c r="K5217" t="s">
        <v>43</v>
      </c>
      <c r="L5217">
        <v>9</v>
      </c>
      <c r="M5217" t="s">
        <v>17475</v>
      </c>
      <c r="N5217" t="s">
        <v>296</v>
      </c>
      <c r="O5217" t="s">
        <v>46</v>
      </c>
      <c r="P5217" t="s">
        <v>46</v>
      </c>
      <c r="Y5217" t="s">
        <v>17485</v>
      </c>
    </row>
    <row r="5218" spans="1:25">
      <c r="A5218" t="s">
        <v>17486</v>
      </c>
      <c r="B5218" t="s">
        <v>17487</v>
      </c>
      <c r="D5218" t="s">
        <v>40</v>
      </c>
      <c r="E5218" t="s">
        <v>41</v>
      </c>
      <c r="J5218" t="s">
        <v>76</v>
      </c>
      <c r="K5218" t="s">
        <v>77</v>
      </c>
      <c r="L5218">
        <v>9</v>
      </c>
      <c r="M5218" t="s">
        <v>17475</v>
      </c>
      <c r="N5218" t="s">
        <v>64</v>
      </c>
      <c r="O5218" t="s">
        <v>46</v>
      </c>
      <c r="P5218" t="s">
        <v>46</v>
      </c>
      <c r="Y5218" t="s">
        <v>17488</v>
      </c>
    </row>
    <row r="5219" spans="1:25">
      <c r="A5219" t="s">
        <v>17489</v>
      </c>
      <c r="B5219" t="s">
        <v>17490</v>
      </c>
      <c r="D5219" t="s">
        <v>40</v>
      </c>
      <c r="E5219" t="s">
        <v>41</v>
      </c>
      <c r="J5219" t="s">
        <v>76</v>
      </c>
      <c r="K5219" t="s">
        <v>77</v>
      </c>
      <c r="L5219">
        <v>9</v>
      </c>
      <c r="M5219" t="s">
        <v>17491</v>
      </c>
      <c r="N5219" t="s">
        <v>64</v>
      </c>
      <c r="O5219" t="s">
        <v>46</v>
      </c>
      <c r="P5219" t="s">
        <v>46</v>
      </c>
      <c r="Y5219" t="s">
        <v>17492</v>
      </c>
    </row>
    <row r="5220" spans="1:25">
      <c r="A5220" t="s">
        <v>17493</v>
      </c>
      <c r="B5220" t="s">
        <v>17494</v>
      </c>
      <c r="D5220" t="s">
        <v>40</v>
      </c>
      <c r="E5220" t="s">
        <v>41</v>
      </c>
      <c r="J5220" t="s">
        <v>15966</v>
      </c>
      <c r="K5220" t="s">
        <v>15967</v>
      </c>
      <c r="L5220">
        <v>9</v>
      </c>
      <c r="M5220" t="s">
        <v>17495</v>
      </c>
      <c r="N5220" t="s">
        <v>1392</v>
      </c>
      <c r="O5220" t="s">
        <v>46</v>
      </c>
      <c r="P5220" t="s">
        <v>46</v>
      </c>
      <c r="Y5220" t="s">
        <v>17496</v>
      </c>
    </row>
    <row r="5221" spans="1:25">
      <c r="A5221" t="s">
        <v>17497</v>
      </c>
      <c r="B5221" t="s">
        <v>17498</v>
      </c>
      <c r="D5221" t="s">
        <v>40</v>
      </c>
      <c r="E5221" t="s">
        <v>41</v>
      </c>
      <c r="J5221" t="s">
        <v>182</v>
      </c>
      <c r="K5221" t="s">
        <v>183</v>
      </c>
      <c r="L5221">
        <v>8</v>
      </c>
      <c r="M5221" t="s">
        <v>17499</v>
      </c>
      <c r="N5221" t="s">
        <v>64</v>
      </c>
      <c r="O5221" t="s">
        <v>46</v>
      </c>
      <c r="P5221" t="s">
        <v>46</v>
      </c>
      <c r="Y5221" t="s">
        <v>17500</v>
      </c>
    </row>
    <row r="5222" spans="1:25">
      <c r="A5222" t="s">
        <v>17501</v>
      </c>
      <c r="B5222" t="s">
        <v>17502</v>
      </c>
      <c r="D5222" t="s">
        <v>40</v>
      </c>
      <c r="E5222" t="s">
        <v>41</v>
      </c>
      <c r="J5222" t="s">
        <v>68</v>
      </c>
      <c r="K5222" t="s">
        <v>69</v>
      </c>
      <c r="L5222">
        <v>5</v>
      </c>
      <c r="M5222" t="s">
        <v>17503</v>
      </c>
      <c r="N5222" t="s">
        <v>64</v>
      </c>
      <c r="O5222" t="s">
        <v>46</v>
      </c>
      <c r="P5222" t="s">
        <v>46</v>
      </c>
      <c r="Y5222" t="s">
        <v>17504</v>
      </c>
    </row>
    <row r="5223" spans="1:25">
      <c r="A5223" t="s">
        <v>17505</v>
      </c>
      <c r="B5223" t="s">
        <v>17506</v>
      </c>
      <c r="D5223" t="s">
        <v>40</v>
      </c>
      <c r="E5223" t="s">
        <v>41</v>
      </c>
      <c r="J5223" t="s">
        <v>50</v>
      </c>
      <c r="K5223" t="s">
        <v>51</v>
      </c>
      <c r="L5223">
        <v>6</v>
      </c>
      <c r="M5223" t="s">
        <v>17507</v>
      </c>
      <c r="N5223" t="s">
        <v>173</v>
      </c>
      <c r="O5223" t="s">
        <v>46</v>
      </c>
      <c r="P5223" t="s">
        <v>46</v>
      </c>
      <c r="Y5223" t="s">
        <v>17508</v>
      </c>
    </row>
    <row r="5224" spans="1:25">
      <c r="A5224" t="s">
        <v>17509</v>
      </c>
      <c r="B5224" t="s">
        <v>17510</v>
      </c>
      <c r="D5224" t="s">
        <v>40</v>
      </c>
      <c r="E5224" t="s">
        <v>41</v>
      </c>
      <c r="J5224" t="s">
        <v>76</v>
      </c>
      <c r="K5224" t="s">
        <v>77</v>
      </c>
      <c r="L5224">
        <v>10</v>
      </c>
      <c r="M5224" t="s">
        <v>17511</v>
      </c>
      <c r="N5224" t="s">
        <v>64</v>
      </c>
      <c r="O5224" t="s">
        <v>46</v>
      </c>
      <c r="P5224" t="s">
        <v>46</v>
      </c>
      <c r="Y5224" t="s">
        <v>17512</v>
      </c>
    </row>
    <row r="5225" spans="1:25">
      <c r="A5225" t="s">
        <v>17513</v>
      </c>
      <c r="B5225" t="s">
        <v>17514</v>
      </c>
      <c r="D5225" t="s">
        <v>40</v>
      </c>
      <c r="E5225" t="s">
        <v>41</v>
      </c>
      <c r="J5225" t="s">
        <v>68</v>
      </c>
      <c r="K5225" t="s">
        <v>69</v>
      </c>
      <c r="L5225">
        <v>10</v>
      </c>
      <c r="M5225" t="s">
        <v>17511</v>
      </c>
      <c r="N5225" t="s">
        <v>64</v>
      </c>
      <c r="O5225" t="s">
        <v>46</v>
      </c>
      <c r="P5225" t="s">
        <v>46</v>
      </c>
      <c r="Y5225" t="s">
        <v>17515</v>
      </c>
    </row>
    <row r="5226" spans="1:25">
      <c r="A5226" t="s">
        <v>17516</v>
      </c>
      <c r="B5226" t="s">
        <v>17517</v>
      </c>
      <c r="D5226" t="s">
        <v>40</v>
      </c>
      <c r="E5226" t="s">
        <v>41</v>
      </c>
      <c r="J5226" t="s">
        <v>68</v>
      </c>
      <c r="K5226" t="s">
        <v>69</v>
      </c>
      <c r="L5226">
        <v>9</v>
      </c>
      <c r="M5226" t="s">
        <v>17518</v>
      </c>
      <c r="N5226" t="s">
        <v>64</v>
      </c>
      <c r="O5226" t="s">
        <v>46</v>
      </c>
      <c r="P5226" t="s">
        <v>46</v>
      </c>
      <c r="Y5226" t="s">
        <v>17519</v>
      </c>
    </row>
    <row r="5227" spans="1:25">
      <c r="A5227" t="s">
        <v>17520</v>
      </c>
      <c r="B5227" t="s">
        <v>17521</v>
      </c>
      <c r="D5227" t="s">
        <v>40</v>
      </c>
      <c r="E5227" t="s">
        <v>41</v>
      </c>
      <c r="J5227" t="s">
        <v>76</v>
      </c>
      <c r="K5227" t="s">
        <v>77</v>
      </c>
      <c r="L5227">
        <v>9</v>
      </c>
      <c r="M5227" t="s">
        <v>17518</v>
      </c>
      <c r="N5227" t="s">
        <v>64</v>
      </c>
      <c r="O5227" t="s">
        <v>46</v>
      </c>
      <c r="P5227" t="s">
        <v>46</v>
      </c>
      <c r="Y5227" t="s">
        <v>17522</v>
      </c>
    </row>
    <row r="5228" spans="1:25">
      <c r="A5228" t="s">
        <v>17523</v>
      </c>
      <c r="B5228" t="s">
        <v>17524</v>
      </c>
      <c r="D5228" t="s">
        <v>40</v>
      </c>
      <c r="E5228" t="s">
        <v>41</v>
      </c>
      <c r="J5228" t="s">
        <v>182</v>
      </c>
      <c r="K5228" t="s">
        <v>183</v>
      </c>
      <c r="L5228">
        <v>9</v>
      </c>
      <c r="M5228" t="s">
        <v>17518</v>
      </c>
      <c r="N5228" t="s">
        <v>64</v>
      </c>
      <c r="O5228" t="s">
        <v>46</v>
      </c>
      <c r="P5228" t="s">
        <v>46</v>
      </c>
      <c r="Y5228" t="s">
        <v>17525</v>
      </c>
    </row>
    <row r="5229" spans="1:25">
      <c r="A5229" t="s">
        <v>17526</v>
      </c>
      <c r="B5229" t="s">
        <v>17527</v>
      </c>
      <c r="D5229" t="s">
        <v>40</v>
      </c>
      <c r="E5229" t="s">
        <v>41</v>
      </c>
      <c r="J5229" t="s">
        <v>76</v>
      </c>
      <c r="K5229" t="s">
        <v>77</v>
      </c>
      <c r="L5229">
        <v>9</v>
      </c>
      <c r="M5229" t="s">
        <v>17518</v>
      </c>
      <c r="N5229" t="s">
        <v>64</v>
      </c>
      <c r="O5229" t="s">
        <v>46</v>
      </c>
      <c r="P5229" t="s">
        <v>46</v>
      </c>
      <c r="Y5229" t="s">
        <v>17528</v>
      </c>
    </row>
    <row r="5230" spans="1:25">
      <c r="A5230" t="s">
        <v>17529</v>
      </c>
      <c r="B5230" t="s">
        <v>17530</v>
      </c>
      <c r="D5230" t="s">
        <v>40</v>
      </c>
      <c r="E5230" t="s">
        <v>41</v>
      </c>
      <c r="J5230" t="s">
        <v>182</v>
      </c>
      <c r="K5230" t="s">
        <v>183</v>
      </c>
      <c r="L5230">
        <v>9</v>
      </c>
      <c r="M5230" t="s">
        <v>17531</v>
      </c>
      <c r="N5230" t="s">
        <v>64</v>
      </c>
      <c r="O5230" t="s">
        <v>46</v>
      </c>
      <c r="P5230" t="s">
        <v>46</v>
      </c>
      <c r="Y5230" t="s">
        <v>17532</v>
      </c>
    </row>
    <row r="5231" spans="1:25">
      <c r="A5231" t="s">
        <v>17533</v>
      </c>
      <c r="B5231" t="s">
        <v>17534</v>
      </c>
      <c r="D5231" t="s">
        <v>40</v>
      </c>
      <c r="E5231" t="s">
        <v>41</v>
      </c>
      <c r="J5231" t="s">
        <v>76</v>
      </c>
      <c r="K5231" t="s">
        <v>77</v>
      </c>
      <c r="L5231">
        <v>9</v>
      </c>
      <c r="M5231" t="s">
        <v>17531</v>
      </c>
      <c r="N5231" t="s">
        <v>64</v>
      </c>
      <c r="O5231" t="s">
        <v>46</v>
      </c>
      <c r="P5231" t="s">
        <v>46</v>
      </c>
      <c r="Y5231" t="s">
        <v>17535</v>
      </c>
    </row>
    <row r="5232" spans="1:25">
      <c r="A5232" t="s">
        <v>17536</v>
      </c>
      <c r="B5232" t="s">
        <v>17537</v>
      </c>
      <c r="D5232" t="s">
        <v>40</v>
      </c>
      <c r="E5232" t="s">
        <v>41</v>
      </c>
      <c r="J5232" t="s">
        <v>182</v>
      </c>
      <c r="K5232" t="s">
        <v>183</v>
      </c>
      <c r="L5232">
        <v>9</v>
      </c>
      <c r="M5232" t="s">
        <v>17531</v>
      </c>
      <c r="N5232" t="s">
        <v>64</v>
      </c>
      <c r="O5232" t="s">
        <v>46</v>
      </c>
      <c r="P5232" t="s">
        <v>46</v>
      </c>
      <c r="Y5232" t="s">
        <v>17538</v>
      </c>
    </row>
    <row r="5233" spans="1:25">
      <c r="A5233" t="s">
        <v>17539</v>
      </c>
      <c r="B5233" t="s">
        <v>17540</v>
      </c>
      <c r="D5233" t="s">
        <v>40</v>
      </c>
      <c r="E5233" t="s">
        <v>41</v>
      </c>
      <c r="J5233" t="s">
        <v>182</v>
      </c>
      <c r="K5233" t="s">
        <v>183</v>
      </c>
      <c r="L5233">
        <v>9</v>
      </c>
      <c r="M5233" t="s">
        <v>17531</v>
      </c>
      <c r="N5233" t="s">
        <v>64</v>
      </c>
      <c r="O5233" t="s">
        <v>46</v>
      </c>
      <c r="P5233" t="s">
        <v>46</v>
      </c>
      <c r="Y5233" t="s">
        <v>17541</v>
      </c>
    </row>
    <row r="5234" spans="1:25">
      <c r="A5234" t="s">
        <v>17542</v>
      </c>
      <c r="B5234" t="s">
        <v>17543</v>
      </c>
      <c r="D5234" t="s">
        <v>40</v>
      </c>
      <c r="E5234" t="s">
        <v>41</v>
      </c>
      <c r="J5234" t="s">
        <v>76</v>
      </c>
      <c r="K5234" t="s">
        <v>77</v>
      </c>
      <c r="L5234">
        <v>8</v>
      </c>
      <c r="M5234" t="s">
        <v>17544</v>
      </c>
      <c r="N5234" t="s">
        <v>64</v>
      </c>
      <c r="O5234" t="s">
        <v>46</v>
      </c>
      <c r="P5234" t="s">
        <v>46</v>
      </c>
      <c r="Y5234" t="s">
        <v>17545</v>
      </c>
    </row>
    <row r="5235" spans="1:25">
      <c r="A5235" t="s">
        <v>17546</v>
      </c>
      <c r="B5235" t="s">
        <v>17547</v>
      </c>
      <c r="D5235" t="s">
        <v>40</v>
      </c>
      <c r="E5235" t="s">
        <v>41</v>
      </c>
      <c r="J5235" t="s">
        <v>182</v>
      </c>
      <c r="K5235" t="s">
        <v>183</v>
      </c>
      <c r="L5235">
        <v>8</v>
      </c>
      <c r="M5235" t="s">
        <v>17548</v>
      </c>
      <c r="N5235" t="s">
        <v>64</v>
      </c>
      <c r="O5235" t="s">
        <v>46</v>
      </c>
      <c r="P5235" t="s">
        <v>46</v>
      </c>
      <c r="Y5235" t="s">
        <v>17549</v>
      </c>
    </row>
    <row r="5236" spans="1:25">
      <c r="A5236" t="s">
        <v>17550</v>
      </c>
      <c r="B5236" t="s">
        <v>17551</v>
      </c>
      <c r="D5236" t="s">
        <v>40</v>
      </c>
      <c r="E5236" t="s">
        <v>41</v>
      </c>
      <c r="J5236" t="s">
        <v>76</v>
      </c>
      <c r="K5236" t="s">
        <v>77</v>
      </c>
      <c r="L5236">
        <v>8</v>
      </c>
      <c r="M5236" t="s">
        <v>17548</v>
      </c>
      <c r="N5236" t="s">
        <v>64</v>
      </c>
      <c r="O5236" t="s">
        <v>46</v>
      </c>
      <c r="P5236" t="s">
        <v>46</v>
      </c>
      <c r="Y5236" t="s">
        <v>17552</v>
      </c>
    </row>
    <row r="5237" spans="1:25">
      <c r="A5237" t="s">
        <v>17553</v>
      </c>
      <c r="B5237" t="s">
        <v>17554</v>
      </c>
      <c r="D5237" t="s">
        <v>40</v>
      </c>
      <c r="E5237" t="s">
        <v>41</v>
      </c>
      <c r="J5237" t="s">
        <v>76</v>
      </c>
      <c r="K5237" t="s">
        <v>77</v>
      </c>
      <c r="L5237">
        <v>8</v>
      </c>
      <c r="M5237" t="s">
        <v>17548</v>
      </c>
      <c r="N5237" t="s">
        <v>64</v>
      </c>
      <c r="O5237" t="s">
        <v>46</v>
      </c>
      <c r="P5237" t="s">
        <v>46</v>
      </c>
      <c r="Y5237" t="s">
        <v>17555</v>
      </c>
    </row>
    <row r="5238" spans="1:25">
      <c r="A5238" t="s">
        <v>17556</v>
      </c>
      <c r="B5238" t="s">
        <v>17557</v>
      </c>
      <c r="D5238" t="s">
        <v>40</v>
      </c>
      <c r="E5238" t="s">
        <v>41</v>
      </c>
      <c r="J5238" t="s">
        <v>42</v>
      </c>
      <c r="K5238" t="s">
        <v>43</v>
      </c>
      <c r="L5238">
        <v>8</v>
      </c>
      <c r="M5238" t="s">
        <v>17558</v>
      </c>
      <c r="N5238" t="s">
        <v>4037</v>
      </c>
      <c r="O5238" t="s">
        <v>46</v>
      </c>
      <c r="P5238" t="s">
        <v>46</v>
      </c>
      <c r="Y5238" t="s">
        <v>17559</v>
      </c>
    </row>
    <row r="5239" spans="1:25">
      <c r="A5239" t="s">
        <v>17560</v>
      </c>
      <c r="B5239" t="s">
        <v>17561</v>
      </c>
      <c r="D5239" t="s">
        <v>40</v>
      </c>
      <c r="E5239" t="s">
        <v>41</v>
      </c>
      <c r="J5239" t="s">
        <v>76</v>
      </c>
      <c r="K5239" t="s">
        <v>77</v>
      </c>
      <c r="L5239">
        <v>8</v>
      </c>
      <c r="M5239" t="s">
        <v>17558</v>
      </c>
      <c r="N5239" t="s">
        <v>64</v>
      </c>
      <c r="O5239" t="s">
        <v>46</v>
      </c>
      <c r="P5239" t="s">
        <v>46</v>
      </c>
      <c r="Y5239" t="s">
        <v>17562</v>
      </c>
    </row>
    <row r="5240" spans="1:25">
      <c r="A5240" t="s">
        <v>17563</v>
      </c>
      <c r="B5240" t="s">
        <v>17564</v>
      </c>
      <c r="D5240" t="s">
        <v>40</v>
      </c>
      <c r="E5240" t="s">
        <v>41</v>
      </c>
      <c r="J5240" t="s">
        <v>182</v>
      </c>
      <c r="K5240" t="s">
        <v>183</v>
      </c>
      <c r="L5240">
        <v>8</v>
      </c>
      <c r="M5240" t="s">
        <v>17558</v>
      </c>
      <c r="N5240" t="s">
        <v>64</v>
      </c>
      <c r="O5240" t="s">
        <v>46</v>
      </c>
      <c r="P5240" t="s">
        <v>46</v>
      </c>
      <c r="Y5240" t="s">
        <v>17565</v>
      </c>
    </row>
    <row r="5241" spans="1:25">
      <c r="A5241" t="s">
        <v>17566</v>
      </c>
      <c r="B5241" t="s">
        <v>17567</v>
      </c>
      <c r="D5241" t="s">
        <v>40</v>
      </c>
      <c r="E5241" t="s">
        <v>41</v>
      </c>
      <c r="J5241" t="s">
        <v>76</v>
      </c>
      <c r="K5241" t="s">
        <v>77</v>
      </c>
      <c r="L5241">
        <v>8</v>
      </c>
      <c r="M5241" t="s">
        <v>17558</v>
      </c>
      <c r="N5241" t="s">
        <v>64</v>
      </c>
      <c r="O5241" t="s">
        <v>46</v>
      </c>
      <c r="P5241" t="s">
        <v>46</v>
      </c>
      <c r="Y5241" t="s">
        <v>17568</v>
      </c>
    </row>
    <row r="5242" spans="1:25">
      <c r="A5242" t="s">
        <v>17569</v>
      </c>
      <c r="B5242" t="s">
        <v>17570</v>
      </c>
      <c r="D5242" t="s">
        <v>40</v>
      </c>
      <c r="E5242" t="s">
        <v>41</v>
      </c>
      <c r="J5242" t="s">
        <v>68</v>
      </c>
      <c r="K5242" t="s">
        <v>69</v>
      </c>
      <c r="L5242">
        <v>8</v>
      </c>
      <c r="M5242" t="s">
        <v>17571</v>
      </c>
      <c r="N5242" t="s">
        <v>64</v>
      </c>
      <c r="O5242" t="s">
        <v>46</v>
      </c>
      <c r="P5242" t="s">
        <v>46</v>
      </c>
      <c r="Y5242" t="s">
        <v>17572</v>
      </c>
    </row>
    <row r="5243" spans="1:25">
      <c r="A5243" t="s">
        <v>17573</v>
      </c>
      <c r="B5243" t="s">
        <v>17574</v>
      </c>
      <c r="D5243" t="s">
        <v>40</v>
      </c>
      <c r="E5243" t="s">
        <v>41</v>
      </c>
      <c r="J5243" t="s">
        <v>182</v>
      </c>
      <c r="K5243" t="s">
        <v>183</v>
      </c>
      <c r="L5243">
        <v>8</v>
      </c>
      <c r="M5243" t="s">
        <v>17575</v>
      </c>
      <c r="N5243" t="s">
        <v>64</v>
      </c>
      <c r="O5243" t="s">
        <v>46</v>
      </c>
      <c r="P5243" t="s">
        <v>46</v>
      </c>
      <c r="Y5243" t="s">
        <v>17576</v>
      </c>
    </row>
    <row r="5244" spans="1:25">
      <c r="A5244" t="s">
        <v>17577</v>
      </c>
      <c r="B5244" t="s">
        <v>17578</v>
      </c>
      <c r="D5244" t="s">
        <v>40</v>
      </c>
      <c r="E5244" t="s">
        <v>41</v>
      </c>
      <c r="J5244" t="s">
        <v>42</v>
      </c>
      <c r="K5244" t="s">
        <v>43</v>
      </c>
      <c r="L5244">
        <v>8</v>
      </c>
      <c r="M5244" t="s">
        <v>17575</v>
      </c>
      <c r="N5244" t="s">
        <v>440</v>
      </c>
      <c r="O5244" t="s">
        <v>46</v>
      </c>
      <c r="P5244" t="s">
        <v>46</v>
      </c>
      <c r="Y5244" t="s">
        <v>17579</v>
      </c>
    </row>
    <row r="5245" spans="1:25">
      <c r="A5245" t="s">
        <v>17580</v>
      </c>
      <c r="B5245" t="s">
        <v>17581</v>
      </c>
      <c r="D5245" t="s">
        <v>40</v>
      </c>
      <c r="E5245" t="s">
        <v>41</v>
      </c>
      <c r="J5245" t="s">
        <v>182</v>
      </c>
      <c r="K5245" t="s">
        <v>183</v>
      </c>
      <c r="L5245">
        <v>8</v>
      </c>
      <c r="M5245" t="s">
        <v>17575</v>
      </c>
      <c r="N5245" t="s">
        <v>64</v>
      </c>
      <c r="O5245" t="s">
        <v>46</v>
      </c>
      <c r="P5245" t="s">
        <v>46</v>
      </c>
      <c r="Y5245" t="s">
        <v>17582</v>
      </c>
    </row>
    <row r="5246" spans="1:25">
      <c r="A5246" t="s">
        <v>17583</v>
      </c>
      <c r="B5246" t="s">
        <v>17584</v>
      </c>
      <c r="D5246" t="s">
        <v>40</v>
      </c>
      <c r="E5246" t="s">
        <v>41</v>
      </c>
      <c r="G5246" t="s">
        <v>17585</v>
      </c>
      <c r="J5246" t="s">
        <v>182</v>
      </c>
      <c r="K5246" t="s">
        <v>183</v>
      </c>
      <c r="L5246">
        <v>8</v>
      </c>
      <c r="M5246" t="s">
        <v>17575</v>
      </c>
      <c r="N5246" t="s">
        <v>64</v>
      </c>
      <c r="O5246" t="s">
        <v>46</v>
      </c>
      <c r="P5246" t="s">
        <v>17586</v>
      </c>
      <c r="Y5246" t="s">
        <v>17587</v>
      </c>
    </row>
    <row r="5247" spans="1:25">
      <c r="A5247" t="s">
        <v>17588</v>
      </c>
      <c r="B5247" t="s">
        <v>17589</v>
      </c>
      <c r="D5247" t="s">
        <v>40</v>
      </c>
      <c r="E5247" t="s">
        <v>41</v>
      </c>
      <c r="J5247" t="s">
        <v>76</v>
      </c>
      <c r="K5247" t="s">
        <v>77</v>
      </c>
      <c r="L5247">
        <v>8</v>
      </c>
      <c r="M5247" t="s">
        <v>17575</v>
      </c>
      <c r="N5247" t="s">
        <v>64</v>
      </c>
      <c r="O5247" t="s">
        <v>46</v>
      </c>
      <c r="P5247" t="s">
        <v>46</v>
      </c>
      <c r="Y5247" t="s">
        <v>17590</v>
      </c>
    </row>
    <row r="5248" spans="1:25">
      <c r="A5248" t="s">
        <v>17591</v>
      </c>
      <c r="B5248" t="s">
        <v>17592</v>
      </c>
      <c r="D5248" t="s">
        <v>40</v>
      </c>
      <c r="E5248" t="s">
        <v>41</v>
      </c>
      <c r="J5248" t="s">
        <v>182</v>
      </c>
      <c r="K5248" t="s">
        <v>183</v>
      </c>
      <c r="L5248">
        <v>8</v>
      </c>
      <c r="M5248" t="s">
        <v>17575</v>
      </c>
      <c r="N5248" t="s">
        <v>64</v>
      </c>
      <c r="O5248" t="s">
        <v>46</v>
      </c>
      <c r="P5248" t="s">
        <v>46</v>
      </c>
      <c r="Y5248" t="s">
        <v>17593</v>
      </c>
    </row>
    <row r="5249" spans="1:25">
      <c r="A5249" t="s">
        <v>17594</v>
      </c>
      <c r="B5249" t="s">
        <v>17595</v>
      </c>
      <c r="D5249" t="s">
        <v>40</v>
      </c>
      <c r="E5249" t="s">
        <v>41</v>
      </c>
      <c r="J5249" t="s">
        <v>288</v>
      </c>
      <c r="K5249" t="s">
        <v>289</v>
      </c>
      <c r="L5249">
        <v>8</v>
      </c>
      <c r="M5249" t="s">
        <v>17575</v>
      </c>
      <c r="N5249" t="s">
        <v>291</v>
      </c>
      <c r="O5249" t="s">
        <v>46</v>
      </c>
      <c r="P5249" t="s">
        <v>46</v>
      </c>
      <c r="Y5249" t="s">
        <v>17596</v>
      </c>
    </row>
    <row r="5250" spans="1:25">
      <c r="A5250" t="s">
        <v>17597</v>
      </c>
      <c r="B5250" t="s">
        <v>17598</v>
      </c>
      <c r="D5250" t="s">
        <v>40</v>
      </c>
      <c r="E5250" t="s">
        <v>41</v>
      </c>
      <c r="J5250" t="s">
        <v>76</v>
      </c>
      <c r="K5250" t="s">
        <v>77</v>
      </c>
      <c r="L5250">
        <v>8</v>
      </c>
      <c r="M5250" t="s">
        <v>17575</v>
      </c>
      <c r="N5250" t="s">
        <v>64</v>
      </c>
      <c r="O5250" t="s">
        <v>46</v>
      </c>
      <c r="P5250" t="s">
        <v>46</v>
      </c>
      <c r="Y5250" t="s">
        <v>17599</v>
      </c>
    </row>
    <row r="5251" spans="1:25">
      <c r="A5251" t="s">
        <v>17600</v>
      </c>
      <c r="B5251" t="s">
        <v>17601</v>
      </c>
      <c r="D5251" t="s">
        <v>40</v>
      </c>
      <c r="E5251" t="s">
        <v>41</v>
      </c>
      <c r="J5251" t="s">
        <v>76</v>
      </c>
      <c r="K5251" t="s">
        <v>77</v>
      </c>
      <c r="L5251">
        <v>8</v>
      </c>
      <c r="M5251" t="s">
        <v>17602</v>
      </c>
      <c r="N5251" t="s">
        <v>64</v>
      </c>
      <c r="O5251" t="s">
        <v>46</v>
      </c>
      <c r="P5251" t="s">
        <v>46</v>
      </c>
      <c r="Y5251" t="s">
        <v>17603</v>
      </c>
    </row>
    <row r="5252" spans="1:25">
      <c r="A5252" t="s">
        <v>17604</v>
      </c>
      <c r="B5252" t="s">
        <v>17605</v>
      </c>
      <c r="D5252" t="s">
        <v>40</v>
      </c>
      <c r="E5252" t="s">
        <v>41</v>
      </c>
      <c r="J5252" t="s">
        <v>182</v>
      </c>
      <c r="K5252" t="s">
        <v>183</v>
      </c>
      <c r="L5252">
        <v>8</v>
      </c>
      <c r="M5252" t="s">
        <v>17602</v>
      </c>
      <c r="N5252" t="s">
        <v>64</v>
      </c>
      <c r="O5252" t="s">
        <v>46</v>
      </c>
      <c r="P5252" t="s">
        <v>46</v>
      </c>
      <c r="Y5252" t="s">
        <v>17606</v>
      </c>
    </row>
    <row r="5253" spans="1:25">
      <c r="A5253" t="s">
        <v>17607</v>
      </c>
      <c r="B5253" t="s">
        <v>17608</v>
      </c>
      <c r="D5253" t="s">
        <v>40</v>
      </c>
      <c r="E5253" t="s">
        <v>41</v>
      </c>
      <c r="J5253" t="s">
        <v>248</v>
      </c>
      <c r="K5253" t="s">
        <v>249</v>
      </c>
      <c r="L5253">
        <v>8</v>
      </c>
      <c r="M5253" t="s">
        <v>17602</v>
      </c>
      <c r="N5253" t="s">
        <v>2154</v>
      </c>
      <c r="O5253" t="s">
        <v>46</v>
      </c>
      <c r="P5253" t="s">
        <v>46</v>
      </c>
      <c r="Y5253" t="s">
        <v>17609</v>
      </c>
    </row>
    <row r="5254" spans="1:25">
      <c r="A5254" t="s">
        <v>17610</v>
      </c>
      <c r="B5254" t="s">
        <v>17611</v>
      </c>
      <c r="D5254" t="s">
        <v>40</v>
      </c>
      <c r="E5254" t="s">
        <v>41</v>
      </c>
      <c r="J5254" t="s">
        <v>264</v>
      </c>
      <c r="K5254" t="s">
        <v>265</v>
      </c>
      <c r="L5254">
        <v>11</v>
      </c>
      <c r="M5254" t="s">
        <v>17612</v>
      </c>
      <c r="N5254" t="s">
        <v>1189</v>
      </c>
      <c r="O5254" t="s">
        <v>46</v>
      </c>
      <c r="P5254" t="s">
        <v>46</v>
      </c>
      <c r="Y5254" t="s">
        <v>17613</v>
      </c>
    </row>
    <row r="5255" spans="1:25">
      <c r="A5255" t="s">
        <v>17614</v>
      </c>
      <c r="B5255" t="s">
        <v>17615</v>
      </c>
      <c r="D5255" t="s">
        <v>40</v>
      </c>
      <c r="E5255" t="s">
        <v>41</v>
      </c>
      <c r="J5255" t="s">
        <v>264</v>
      </c>
      <c r="K5255" t="s">
        <v>265</v>
      </c>
      <c r="L5255">
        <v>12</v>
      </c>
      <c r="M5255" t="s">
        <v>17616</v>
      </c>
      <c r="N5255" t="s">
        <v>142</v>
      </c>
      <c r="O5255" t="s">
        <v>46</v>
      </c>
      <c r="P5255" t="s">
        <v>46</v>
      </c>
      <c r="Y5255" t="s">
        <v>17617</v>
      </c>
    </row>
    <row r="5256" spans="1:25">
      <c r="A5256" t="s">
        <v>17618</v>
      </c>
      <c r="B5256" t="s">
        <v>17619</v>
      </c>
      <c r="D5256" t="s">
        <v>40</v>
      </c>
      <c r="E5256" t="s">
        <v>41</v>
      </c>
      <c r="J5256" t="s">
        <v>264</v>
      </c>
      <c r="K5256" t="s">
        <v>265</v>
      </c>
      <c r="L5256">
        <v>10</v>
      </c>
      <c r="M5256" t="s">
        <v>17620</v>
      </c>
      <c r="N5256" t="s">
        <v>1397</v>
      </c>
      <c r="O5256" t="s">
        <v>46</v>
      </c>
      <c r="P5256" t="s">
        <v>46</v>
      </c>
      <c r="Y5256" t="s">
        <v>17621</v>
      </c>
    </row>
    <row r="5257" spans="1:25">
      <c r="A5257" t="s">
        <v>17622</v>
      </c>
      <c r="B5257" t="s">
        <v>17623</v>
      </c>
      <c r="D5257" t="s">
        <v>40</v>
      </c>
      <c r="E5257" t="s">
        <v>41</v>
      </c>
      <c r="J5257" t="s">
        <v>68</v>
      </c>
      <c r="K5257" t="s">
        <v>69</v>
      </c>
      <c r="L5257">
        <v>9</v>
      </c>
      <c r="M5257" t="s">
        <v>17624</v>
      </c>
      <c r="N5257" t="s">
        <v>64</v>
      </c>
      <c r="O5257" t="s">
        <v>46</v>
      </c>
      <c r="P5257" t="s">
        <v>46</v>
      </c>
      <c r="Y5257" t="s">
        <v>17625</v>
      </c>
    </row>
    <row r="5258" spans="1:25">
      <c r="A5258" t="s">
        <v>17626</v>
      </c>
      <c r="B5258" t="s">
        <v>17627</v>
      </c>
      <c r="D5258" t="s">
        <v>40</v>
      </c>
      <c r="E5258" t="s">
        <v>41</v>
      </c>
      <c r="J5258" t="s">
        <v>182</v>
      </c>
      <c r="K5258" t="s">
        <v>183</v>
      </c>
      <c r="L5258">
        <v>7</v>
      </c>
      <c r="M5258" t="s">
        <v>17628</v>
      </c>
      <c r="N5258" t="s">
        <v>64</v>
      </c>
      <c r="O5258" t="s">
        <v>46</v>
      </c>
      <c r="P5258" t="s">
        <v>46</v>
      </c>
      <c r="Y5258" t="s">
        <v>17629</v>
      </c>
    </row>
    <row r="5259" spans="1:25">
      <c r="A5259" t="s">
        <v>17630</v>
      </c>
      <c r="B5259" t="s">
        <v>17631</v>
      </c>
      <c r="D5259" t="s">
        <v>40</v>
      </c>
      <c r="E5259" t="s">
        <v>41</v>
      </c>
      <c r="J5259" t="s">
        <v>42</v>
      </c>
      <c r="K5259" t="s">
        <v>43</v>
      </c>
      <c r="L5259">
        <v>8</v>
      </c>
      <c r="M5259" t="s">
        <v>17628</v>
      </c>
      <c r="N5259" t="s">
        <v>296</v>
      </c>
      <c r="O5259" t="s">
        <v>46</v>
      </c>
      <c r="P5259" t="s">
        <v>46</v>
      </c>
      <c r="Y5259" t="s">
        <v>17632</v>
      </c>
    </row>
    <row r="5260" spans="1:25">
      <c r="A5260" t="s">
        <v>17633</v>
      </c>
      <c r="B5260" t="s">
        <v>17634</v>
      </c>
      <c r="D5260" t="s">
        <v>40</v>
      </c>
      <c r="E5260" t="s">
        <v>41</v>
      </c>
      <c r="J5260" t="s">
        <v>42</v>
      </c>
      <c r="K5260" t="s">
        <v>43</v>
      </c>
      <c r="L5260">
        <v>6</v>
      </c>
      <c r="M5260" t="s">
        <v>17635</v>
      </c>
      <c r="N5260" t="s">
        <v>950</v>
      </c>
      <c r="O5260" t="s">
        <v>46</v>
      </c>
      <c r="P5260" t="s">
        <v>46</v>
      </c>
      <c r="Y5260" t="s">
        <v>17636</v>
      </c>
    </row>
    <row r="5261" spans="1:25">
      <c r="A5261" t="s">
        <v>17637</v>
      </c>
      <c r="B5261" t="s">
        <v>17638</v>
      </c>
      <c r="D5261" t="s">
        <v>40</v>
      </c>
      <c r="E5261" t="s">
        <v>41</v>
      </c>
      <c r="J5261" t="s">
        <v>76</v>
      </c>
      <c r="K5261" t="s">
        <v>77</v>
      </c>
      <c r="L5261">
        <v>5</v>
      </c>
      <c r="M5261" t="s">
        <v>17639</v>
      </c>
      <c r="N5261" t="s">
        <v>64</v>
      </c>
      <c r="O5261" t="s">
        <v>46</v>
      </c>
      <c r="P5261" t="s">
        <v>46</v>
      </c>
      <c r="Y5261" t="s">
        <v>17640</v>
      </c>
    </row>
    <row r="5262" spans="1:25">
      <c r="A5262" t="s">
        <v>17641</v>
      </c>
      <c r="B5262" t="s">
        <v>17642</v>
      </c>
      <c r="D5262" t="s">
        <v>40</v>
      </c>
      <c r="E5262" t="s">
        <v>41</v>
      </c>
      <c r="J5262" t="s">
        <v>182</v>
      </c>
      <c r="K5262" t="s">
        <v>183</v>
      </c>
      <c r="L5262">
        <v>10</v>
      </c>
      <c r="M5262" t="s">
        <v>17643</v>
      </c>
      <c r="N5262" t="s">
        <v>64</v>
      </c>
      <c r="O5262" t="s">
        <v>46</v>
      </c>
      <c r="P5262" t="s">
        <v>46</v>
      </c>
      <c r="Y5262" t="s">
        <v>17644</v>
      </c>
    </row>
    <row r="5263" spans="1:25">
      <c r="A5263" t="s">
        <v>17645</v>
      </c>
      <c r="B5263" t="s">
        <v>17646</v>
      </c>
      <c r="D5263" t="s">
        <v>40</v>
      </c>
      <c r="E5263" t="s">
        <v>41</v>
      </c>
      <c r="J5263" t="s">
        <v>182</v>
      </c>
      <c r="K5263" t="s">
        <v>183</v>
      </c>
      <c r="L5263">
        <v>6</v>
      </c>
      <c r="M5263" t="s">
        <v>17647</v>
      </c>
      <c r="N5263" t="s">
        <v>64</v>
      </c>
      <c r="O5263" t="s">
        <v>46</v>
      </c>
      <c r="P5263" t="s">
        <v>46</v>
      </c>
      <c r="Y5263" t="s">
        <v>17648</v>
      </c>
    </row>
    <row r="5264" spans="1:25">
      <c r="A5264" t="s">
        <v>17649</v>
      </c>
      <c r="B5264" t="s">
        <v>17650</v>
      </c>
      <c r="D5264" t="s">
        <v>40</v>
      </c>
      <c r="E5264" t="s">
        <v>41</v>
      </c>
      <c r="J5264" t="s">
        <v>248</v>
      </c>
      <c r="K5264" t="s">
        <v>249</v>
      </c>
      <c r="L5264">
        <v>6</v>
      </c>
      <c r="M5264" t="s">
        <v>17647</v>
      </c>
      <c r="N5264" t="s">
        <v>350</v>
      </c>
      <c r="O5264" t="s">
        <v>46</v>
      </c>
      <c r="P5264" t="s">
        <v>46</v>
      </c>
      <c r="Y5264" t="s">
        <v>17651</v>
      </c>
    </row>
    <row r="5265" spans="1:25">
      <c r="A5265" t="s">
        <v>17652</v>
      </c>
      <c r="B5265" t="s">
        <v>17653</v>
      </c>
      <c r="D5265" t="s">
        <v>40</v>
      </c>
      <c r="E5265" t="s">
        <v>41</v>
      </c>
      <c r="J5265" t="s">
        <v>42</v>
      </c>
      <c r="K5265" t="s">
        <v>43</v>
      </c>
      <c r="L5265">
        <v>6</v>
      </c>
      <c r="M5265" t="s">
        <v>17647</v>
      </c>
      <c r="N5265" t="s">
        <v>617</v>
      </c>
      <c r="O5265" t="s">
        <v>46</v>
      </c>
      <c r="P5265" t="s">
        <v>46</v>
      </c>
      <c r="Y5265" t="s">
        <v>17654</v>
      </c>
    </row>
    <row r="5266" spans="1:25">
      <c r="A5266" t="s">
        <v>17655</v>
      </c>
      <c r="B5266" t="s">
        <v>17656</v>
      </c>
      <c r="D5266" t="s">
        <v>40</v>
      </c>
      <c r="E5266" t="s">
        <v>41</v>
      </c>
      <c r="J5266" t="s">
        <v>42</v>
      </c>
      <c r="K5266" t="s">
        <v>43</v>
      </c>
      <c r="L5266">
        <v>8</v>
      </c>
      <c r="M5266" t="s">
        <v>17657</v>
      </c>
      <c r="N5266" t="s">
        <v>4037</v>
      </c>
      <c r="O5266" t="s">
        <v>46</v>
      </c>
      <c r="P5266" t="s">
        <v>46</v>
      </c>
      <c r="Y5266" t="s">
        <v>17658</v>
      </c>
    </row>
    <row r="5267" spans="1:25">
      <c r="A5267" t="s">
        <v>17659</v>
      </c>
      <c r="B5267" t="s">
        <v>17660</v>
      </c>
      <c r="D5267" t="s">
        <v>40</v>
      </c>
      <c r="E5267" t="s">
        <v>41</v>
      </c>
      <c r="J5267" t="s">
        <v>182</v>
      </c>
      <c r="K5267" t="s">
        <v>183</v>
      </c>
      <c r="L5267">
        <v>13</v>
      </c>
      <c r="M5267" t="s">
        <v>17661</v>
      </c>
      <c r="N5267" t="s">
        <v>64</v>
      </c>
      <c r="O5267" t="s">
        <v>46</v>
      </c>
      <c r="P5267" t="s">
        <v>46</v>
      </c>
      <c r="Y5267" t="s">
        <v>17662</v>
      </c>
    </row>
    <row r="5268" spans="1:25">
      <c r="A5268" t="s">
        <v>17663</v>
      </c>
      <c r="B5268" t="s">
        <v>17664</v>
      </c>
      <c r="D5268" t="s">
        <v>40</v>
      </c>
      <c r="E5268" t="s">
        <v>41</v>
      </c>
      <c r="J5268" t="s">
        <v>76</v>
      </c>
      <c r="K5268" t="s">
        <v>77</v>
      </c>
      <c r="L5268">
        <v>14</v>
      </c>
      <c r="M5268" t="s">
        <v>17661</v>
      </c>
      <c r="N5268" t="s">
        <v>64</v>
      </c>
      <c r="O5268" t="s">
        <v>46</v>
      </c>
      <c r="P5268" t="s">
        <v>46</v>
      </c>
      <c r="Y5268" t="s">
        <v>17665</v>
      </c>
    </row>
    <row r="5269" spans="1:25">
      <c r="A5269" t="s">
        <v>17666</v>
      </c>
      <c r="B5269" t="s">
        <v>17667</v>
      </c>
      <c r="D5269" t="s">
        <v>40</v>
      </c>
      <c r="E5269" t="s">
        <v>41</v>
      </c>
      <c r="J5269" t="s">
        <v>182</v>
      </c>
      <c r="K5269" t="s">
        <v>183</v>
      </c>
      <c r="L5269">
        <v>13</v>
      </c>
      <c r="M5269" t="s">
        <v>17661</v>
      </c>
      <c r="N5269" t="s">
        <v>64</v>
      </c>
      <c r="O5269" t="s">
        <v>46</v>
      </c>
      <c r="P5269" t="s">
        <v>46</v>
      </c>
      <c r="Y5269" t="s">
        <v>17668</v>
      </c>
    </row>
    <row r="5270" spans="1:25">
      <c r="A5270" t="s">
        <v>17669</v>
      </c>
      <c r="B5270" t="s">
        <v>17670</v>
      </c>
      <c r="D5270" t="s">
        <v>40</v>
      </c>
      <c r="E5270" t="s">
        <v>41</v>
      </c>
      <c r="J5270" t="s">
        <v>68</v>
      </c>
      <c r="K5270" t="s">
        <v>69</v>
      </c>
      <c r="L5270">
        <v>13</v>
      </c>
      <c r="M5270" t="s">
        <v>17661</v>
      </c>
      <c r="N5270" t="s">
        <v>64</v>
      </c>
      <c r="O5270" t="s">
        <v>46</v>
      </c>
      <c r="P5270" t="s">
        <v>46</v>
      </c>
      <c r="Y5270" t="s">
        <v>17671</v>
      </c>
    </row>
    <row r="5271" spans="1:25">
      <c r="A5271" t="s">
        <v>17672</v>
      </c>
      <c r="B5271" t="s">
        <v>17673</v>
      </c>
      <c r="D5271" t="s">
        <v>40</v>
      </c>
      <c r="E5271" t="s">
        <v>41</v>
      </c>
      <c r="J5271" t="s">
        <v>68</v>
      </c>
      <c r="K5271" t="s">
        <v>69</v>
      </c>
      <c r="L5271">
        <v>13</v>
      </c>
      <c r="M5271" t="s">
        <v>17661</v>
      </c>
      <c r="N5271" t="s">
        <v>64</v>
      </c>
      <c r="O5271" t="s">
        <v>46</v>
      </c>
      <c r="P5271" t="s">
        <v>46</v>
      </c>
      <c r="Y5271" t="s">
        <v>17674</v>
      </c>
    </row>
    <row r="5272" spans="1:25">
      <c r="A5272" t="s">
        <v>17675</v>
      </c>
      <c r="B5272" t="s">
        <v>17676</v>
      </c>
      <c r="D5272" t="s">
        <v>40</v>
      </c>
      <c r="E5272" t="s">
        <v>41</v>
      </c>
      <c r="J5272" t="s">
        <v>248</v>
      </c>
      <c r="K5272" t="s">
        <v>249</v>
      </c>
      <c r="L5272">
        <v>13</v>
      </c>
      <c r="M5272" t="s">
        <v>17677</v>
      </c>
      <c r="N5272" t="s">
        <v>1446</v>
      </c>
      <c r="O5272" t="s">
        <v>46</v>
      </c>
      <c r="P5272" t="s">
        <v>46</v>
      </c>
      <c r="Y5272" t="s">
        <v>17678</v>
      </c>
    </row>
    <row r="5273" spans="1:25">
      <c r="A5273" t="s">
        <v>17679</v>
      </c>
      <c r="B5273" t="s">
        <v>17680</v>
      </c>
      <c r="D5273" t="s">
        <v>40</v>
      </c>
      <c r="E5273" t="s">
        <v>41</v>
      </c>
      <c r="J5273" t="s">
        <v>68</v>
      </c>
      <c r="K5273" t="s">
        <v>69</v>
      </c>
      <c r="L5273">
        <v>13</v>
      </c>
      <c r="M5273" t="s">
        <v>17677</v>
      </c>
      <c r="N5273" t="s">
        <v>64</v>
      </c>
      <c r="O5273" t="s">
        <v>46</v>
      </c>
      <c r="P5273" t="s">
        <v>46</v>
      </c>
      <c r="Y5273" t="s">
        <v>17681</v>
      </c>
    </row>
    <row r="5274" spans="1:25">
      <c r="A5274" t="s">
        <v>17682</v>
      </c>
      <c r="B5274" t="s">
        <v>17683</v>
      </c>
      <c r="D5274" t="s">
        <v>40</v>
      </c>
      <c r="E5274" t="s">
        <v>41</v>
      </c>
      <c r="J5274" t="s">
        <v>68</v>
      </c>
      <c r="K5274" t="s">
        <v>69</v>
      </c>
      <c r="L5274">
        <v>13</v>
      </c>
      <c r="M5274" t="s">
        <v>17677</v>
      </c>
      <c r="N5274" t="s">
        <v>64</v>
      </c>
      <c r="O5274" t="s">
        <v>46</v>
      </c>
      <c r="P5274" t="s">
        <v>46</v>
      </c>
      <c r="Y5274" t="s">
        <v>17684</v>
      </c>
    </row>
    <row r="5275" spans="1:25">
      <c r="A5275" t="s">
        <v>17685</v>
      </c>
      <c r="B5275" t="s">
        <v>17686</v>
      </c>
      <c r="D5275" t="s">
        <v>40</v>
      </c>
      <c r="E5275" t="s">
        <v>41</v>
      </c>
      <c r="J5275" t="s">
        <v>68</v>
      </c>
      <c r="K5275" t="s">
        <v>69</v>
      </c>
      <c r="L5275">
        <v>13</v>
      </c>
      <c r="M5275" t="s">
        <v>17677</v>
      </c>
      <c r="N5275" t="s">
        <v>64</v>
      </c>
      <c r="O5275" t="s">
        <v>46</v>
      </c>
      <c r="P5275" t="s">
        <v>46</v>
      </c>
      <c r="Y5275" t="s">
        <v>17687</v>
      </c>
    </row>
    <row r="5276" spans="1:25">
      <c r="A5276" t="s">
        <v>17688</v>
      </c>
      <c r="B5276" t="s">
        <v>17689</v>
      </c>
      <c r="D5276" t="s">
        <v>40</v>
      </c>
      <c r="E5276" t="s">
        <v>41</v>
      </c>
      <c r="J5276" t="s">
        <v>68</v>
      </c>
      <c r="K5276" t="s">
        <v>69</v>
      </c>
      <c r="L5276">
        <v>13</v>
      </c>
      <c r="M5276" t="s">
        <v>17690</v>
      </c>
      <c r="N5276" t="s">
        <v>64</v>
      </c>
      <c r="O5276" t="s">
        <v>46</v>
      </c>
      <c r="P5276" t="s">
        <v>46</v>
      </c>
      <c r="Y5276" t="s">
        <v>17691</v>
      </c>
    </row>
    <row r="5277" spans="1:25">
      <c r="A5277" t="s">
        <v>17692</v>
      </c>
      <c r="B5277" t="s">
        <v>17693</v>
      </c>
      <c r="D5277" t="s">
        <v>40</v>
      </c>
      <c r="E5277" t="s">
        <v>41</v>
      </c>
      <c r="J5277" t="s">
        <v>68</v>
      </c>
      <c r="K5277" t="s">
        <v>69</v>
      </c>
      <c r="L5277">
        <v>12</v>
      </c>
      <c r="M5277" t="s">
        <v>17694</v>
      </c>
      <c r="N5277" t="s">
        <v>64</v>
      </c>
      <c r="O5277" t="s">
        <v>46</v>
      </c>
      <c r="P5277" t="s">
        <v>46</v>
      </c>
      <c r="Y5277" t="s">
        <v>17695</v>
      </c>
    </row>
    <row r="5278" spans="1:25">
      <c r="A5278" t="s">
        <v>17696</v>
      </c>
      <c r="B5278" t="s">
        <v>17697</v>
      </c>
      <c r="D5278" t="s">
        <v>40</v>
      </c>
      <c r="E5278" t="s">
        <v>41</v>
      </c>
      <c r="J5278" t="s">
        <v>182</v>
      </c>
      <c r="K5278" t="s">
        <v>183</v>
      </c>
      <c r="L5278">
        <v>5</v>
      </c>
      <c r="M5278" t="s">
        <v>17698</v>
      </c>
      <c r="N5278" t="s">
        <v>64</v>
      </c>
      <c r="O5278" t="s">
        <v>46</v>
      </c>
      <c r="P5278" t="s">
        <v>46</v>
      </c>
      <c r="Y5278" t="s">
        <v>17699</v>
      </c>
    </row>
    <row r="5279" spans="1:25">
      <c r="A5279" t="s">
        <v>17700</v>
      </c>
      <c r="B5279" t="s">
        <v>17701</v>
      </c>
      <c r="D5279" t="s">
        <v>40</v>
      </c>
      <c r="E5279" t="s">
        <v>41</v>
      </c>
      <c r="J5279" t="s">
        <v>264</v>
      </c>
      <c r="K5279" t="s">
        <v>265</v>
      </c>
      <c r="L5279">
        <v>10</v>
      </c>
      <c r="M5279" t="s">
        <v>17702</v>
      </c>
      <c r="N5279" t="s">
        <v>1478</v>
      </c>
      <c r="O5279" t="s">
        <v>46</v>
      </c>
      <c r="P5279" t="s">
        <v>46</v>
      </c>
      <c r="Y5279" t="s">
        <v>17703</v>
      </c>
    </row>
    <row r="5280" spans="1:25">
      <c r="A5280" t="s">
        <v>17704</v>
      </c>
      <c r="B5280" t="s">
        <v>17705</v>
      </c>
      <c r="D5280" t="s">
        <v>40</v>
      </c>
      <c r="E5280" t="s">
        <v>41</v>
      </c>
      <c r="J5280" t="s">
        <v>68</v>
      </c>
      <c r="K5280" t="s">
        <v>69</v>
      </c>
      <c r="L5280">
        <v>12</v>
      </c>
      <c r="M5280" t="s">
        <v>17706</v>
      </c>
      <c r="N5280" t="s">
        <v>64</v>
      </c>
      <c r="O5280" t="s">
        <v>46</v>
      </c>
      <c r="P5280" t="s">
        <v>46</v>
      </c>
      <c r="Y5280" t="s">
        <v>17707</v>
      </c>
    </row>
    <row r="5281" spans="1:25">
      <c r="A5281" t="s">
        <v>17708</v>
      </c>
      <c r="B5281" t="s">
        <v>17709</v>
      </c>
      <c r="D5281" t="s">
        <v>40</v>
      </c>
      <c r="E5281" t="s">
        <v>41</v>
      </c>
      <c r="J5281" t="s">
        <v>68</v>
      </c>
      <c r="K5281" t="s">
        <v>69</v>
      </c>
      <c r="L5281">
        <v>12</v>
      </c>
      <c r="M5281" t="s">
        <v>17706</v>
      </c>
      <c r="N5281" t="s">
        <v>64</v>
      </c>
      <c r="O5281" t="s">
        <v>46</v>
      </c>
      <c r="P5281" t="s">
        <v>46</v>
      </c>
      <c r="Y5281" t="s">
        <v>17710</v>
      </c>
    </row>
    <row r="5282" spans="1:25">
      <c r="A5282" t="s">
        <v>17711</v>
      </c>
      <c r="B5282" t="s">
        <v>17712</v>
      </c>
      <c r="D5282" t="s">
        <v>40</v>
      </c>
      <c r="E5282" t="s">
        <v>41</v>
      </c>
      <c r="J5282" t="s">
        <v>68</v>
      </c>
      <c r="K5282" t="s">
        <v>69</v>
      </c>
      <c r="L5282">
        <v>12</v>
      </c>
      <c r="M5282" t="s">
        <v>17706</v>
      </c>
      <c r="N5282" t="s">
        <v>64</v>
      </c>
      <c r="O5282" t="s">
        <v>46</v>
      </c>
      <c r="P5282" t="s">
        <v>46</v>
      </c>
      <c r="Y5282" t="s">
        <v>17713</v>
      </c>
    </row>
    <row r="5283" spans="1:25">
      <c r="A5283" t="s">
        <v>17714</v>
      </c>
      <c r="B5283" t="s">
        <v>17715</v>
      </c>
      <c r="D5283" t="s">
        <v>40</v>
      </c>
      <c r="E5283" t="s">
        <v>41</v>
      </c>
      <c r="J5283" t="s">
        <v>911</v>
      </c>
      <c r="K5283" t="s">
        <v>912</v>
      </c>
      <c r="L5283">
        <v>12</v>
      </c>
      <c r="M5283" t="s">
        <v>17706</v>
      </c>
      <c r="N5283" t="s">
        <v>752</v>
      </c>
      <c r="O5283" t="s">
        <v>46</v>
      </c>
      <c r="P5283" t="s">
        <v>46</v>
      </c>
      <c r="Y5283" t="s">
        <v>17716</v>
      </c>
    </row>
    <row r="5284" spans="1:25">
      <c r="A5284" t="s">
        <v>17717</v>
      </c>
      <c r="B5284" t="s">
        <v>17718</v>
      </c>
      <c r="D5284" t="s">
        <v>40</v>
      </c>
      <c r="E5284" t="s">
        <v>41</v>
      </c>
      <c r="J5284" t="s">
        <v>68</v>
      </c>
      <c r="K5284" t="s">
        <v>69</v>
      </c>
      <c r="L5284">
        <v>12</v>
      </c>
      <c r="M5284" t="s">
        <v>17706</v>
      </c>
      <c r="N5284" t="s">
        <v>64</v>
      </c>
      <c r="O5284" t="s">
        <v>46</v>
      </c>
      <c r="P5284" t="s">
        <v>46</v>
      </c>
      <c r="Y5284" t="s">
        <v>17719</v>
      </c>
    </row>
    <row r="5285" spans="1:25">
      <c r="A5285" t="s">
        <v>17720</v>
      </c>
      <c r="B5285" t="s">
        <v>17721</v>
      </c>
      <c r="D5285" t="s">
        <v>40</v>
      </c>
      <c r="E5285" t="s">
        <v>41</v>
      </c>
      <c r="J5285" t="s">
        <v>182</v>
      </c>
      <c r="K5285" t="s">
        <v>183</v>
      </c>
      <c r="L5285">
        <v>13</v>
      </c>
      <c r="M5285" t="s">
        <v>17706</v>
      </c>
      <c r="N5285" t="s">
        <v>64</v>
      </c>
      <c r="O5285" t="s">
        <v>46</v>
      </c>
      <c r="P5285" t="s">
        <v>46</v>
      </c>
      <c r="Y5285" t="s">
        <v>17722</v>
      </c>
    </row>
    <row r="5286" spans="1:25">
      <c r="A5286" t="s">
        <v>17723</v>
      </c>
      <c r="B5286" t="s">
        <v>17724</v>
      </c>
      <c r="D5286" t="s">
        <v>40</v>
      </c>
      <c r="E5286" t="s">
        <v>41</v>
      </c>
      <c r="J5286" t="s">
        <v>68</v>
      </c>
      <c r="K5286" t="s">
        <v>69</v>
      </c>
      <c r="L5286">
        <v>12</v>
      </c>
      <c r="M5286" t="s">
        <v>17725</v>
      </c>
      <c r="N5286" t="s">
        <v>64</v>
      </c>
      <c r="O5286" t="s">
        <v>46</v>
      </c>
      <c r="P5286" t="s">
        <v>46</v>
      </c>
      <c r="Y5286" t="s">
        <v>17726</v>
      </c>
    </row>
    <row r="5287" spans="1:25">
      <c r="A5287" t="s">
        <v>17727</v>
      </c>
      <c r="B5287" t="s">
        <v>17728</v>
      </c>
      <c r="D5287" t="s">
        <v>40</v>
      </c>
      <c r="E5287" t="s">
        <v>41</v>
      </c>
      <c r="J5287" t="s">
        <v>182</v>
      </c>
      <c r="K5287" t="s">
        <v>183</v>
      </c>
      <c r="L5287">
        <v>12</v>
      </c>
      <c r="M5287" t="s">
        <v>17725</v>
      </c>
      <c r="N5287" t="s">
        <v>64</v>
      </c>
      <c r="O5287" t="s">
        <v>46</v>
      </c>
      <c r="P5287" t="s">
        <v>46</v>
      </c>
      <c r="Y5287" t="s">
        <v>17729</v>
      </c>
    </row>
    <row r="5288" spans="1:25">
      <c r="A5288" t="s">
        <v>17730</v>
      </c>
      <c r="B5288" t="s">
        <v>17731</v>
      </c>
      <c r="D5288" t="s">
        <v>40</v>
      </c>
      <c r="E5288" t="s">
        <v>41</v>
      </c>
      <c r="J5288" t="s">
        <v>182</v>
      </c>
      <c r="K5288" t="s">
        <v>183</v>
      </c>
      <c r="L5288">
        <v>12</v>
      </c>
      <c r="M5288" t="s">
        <v>17725</v>
      </c>
      <c r="N5288" t="s">
        <v>64</v>
      </c>
      <c r="O5288" t="s">
        <v>46</v>
      </c>
      <c r="P5288" t="s">
        <v>46</v>
      </c>
      <c r="Y5288" t="s">
        <v>17732</v>
      </c>
    </row>
    <row r="5289" spans="1:25">
      <c r="A5289" t="s">
        <v>17733</v>
      </c>
      <c r="B5289" t="s">
        <v>17734</v>
      </c>
      <c r="D5289" t="s">
        <v>40</v>
      </c>
      <c r="E5289" t="s">
        <v>41</v>
      </c>
      <c r="J5289" t="s">
        <v>68</v>
      </c>
      <c r="K5289" t="s">
        <v>69</v>
      </c>
      <c r="L5289">
        <v>12</v>
      </c>
      <c r="M5289" t="s">
        <v>17725</v>
      </c>
      <c r="N5289" t="s">
        <v>64</v>
      </c>
      <c r="O5289" t="s">
        <v>46</v>
      </c>
      <c r="P5289" t="s">
        <v>46</v>
      </c>
      <c r="Y5289" t="s">
        <v>17735</v>
      </c>
    </row>
    <row r="5290" spans="1:25">
      <c r="A5290" t="s">
        <v>17736</v>
      </c>
      <c r="B5290" t="s">
        <v>17737</v>
      </c>
      <c r="D5290" t="s">
        <v>40</v>
      </c>
      <c r="E5290" t="s">
        <v>41</v>
      </c>
      <c r="J5290" t="s">
        <v>68</v>
      </c>
      <c r="K5290" t="s">
        <v>69</v>
      </c>
      <c r="L5290">
        <v>12</v>
      </c>
      <c r="M5290" t="s">
        <v>17725</v>
      </c>
      <c r="N5290" t="s">
        <v>64</v>
      </c>
      <c r="O5290" t="s">
        <v>46</v>
      </c>
      <c r="P5290" t="s">
        <v>46</v>
      </c>
      <c r="Y5290" t="s">
        <v>17738</v>
      </c>
    </row>
    <row r="5291" spans="1:25">
      <c r="A5291" t="s">
        <v>17739</v>
      </c>
      <c r="B5291" t="s">
        <v>17740</v>
      </c>
      <c r="D5291" t="s">
        <v>40</v>
      </c>
      <c r="E5291" t="s">
        <v>41</v>
      </c>
      <c r="J5291" t="s">
        <v>264</v>
      </c>
      <c r="K5291" t="s">
        <v>265</v>
      </c>
      <c r="L5291">
        <v>11</v>
      </c>
      <c r="M5291" t="s">
        <v>17741</v>
      </c>
      <c r="N5291" t="s">
        <v>5995</v>
      </c>
      <c r="O5291" t="s">
        <v>46</v>
      </c>
      <c r="P5291" t="s">
        <v>46</v>
      </c>
      <c r="Y5291" t="s">
        <v>17742</v>
      </c>
    </row>
    <row r="5292" spans="1:25">
      <c r="A5292" t="s">
        <v>17743</v>
      </c>
      <c r="B5292" t="s">
        <v>17744</v>
      </c>
      <c r="D5292" t="s">
        <v>40</v>
      </c>
      <c r="E5292" t="s">
        <v>41</v>
      </c>
      <c r="J5292" t="s">
        <v>264</v>
      </c>
      <c r="K5292" t="s">
        <v>265</v>
      </c>
      <c r="L5292">
        <v>4</v>
      </c>
      <c r="M5292" t="s">
        <v>17745</v>
      </c>
      <c r="N5292" t="s">
        <v>5995</v>
      </c>
      <c r="O5292" t="s">
        <v>46</v>
      </c>
      <c r="P5292" t="s">
        <v>46</v>
      </c>
      <c r="Y5292" t="s">
        <v>17746</v>
      </c>
    </row>
    <row r="5293" spans="1:25">
      <c r="A5293" t="s">
        <v>17747</v>
      </c>
      <c r="B5293" t="s">
        <v>17748</v>
      </c>
      <c r="D5293" t="s">
        <v>40</v>
      </c>
      <c r="E5293" t="s">
        <v>41</v>
      </c>
      <c r="J5293" t="s">
        <v>68</v>
      </c>
      <c r="K5293" t="s">
        <v>69</v>
      </c>
      <c r="L5293">
        <v>12</v>
      </c>
      <c r="M5293" t="s">
        <v>17749</v>
      </c>
      <c r="N5293" t="s">
        <v>64</v>
      </c>
      <c r="O5293" t="s">
        <v>46</v>
      </c>
      <c r="P5293" t="s">
        <v>46</v>
      </c>
      <c r="Y5293" t="s">
        <v>17750</v>
      </c>
    </row>
    <row r="5294" spans="1:25">
      <c r="A5294" t="s">
        <v>17751</v>
      </c>
      <c r="B5294" t="s">
        <v>17752</v>
      </c>
      <c r="D5294" t="s">
        <v>40</v>
      </c>
      <c r="E5294" t="s">
        <v>41</v>
      </c>
      <c r="J5294" t="s">
        <v>68</v>
      </c>
      <c r="K5294" t="s">
        <v>69</v>
      </c>
      <c r="L5294">
        <v>12</v>
      </c>
      <c r="M5294" t="s">
        <v>17749</v>
      </c>
      <c r="N5294" t="s">
        <v>64</v>
      </c>
      <c r="O5294" t="s">
        <v>46</v>
      </c>
      <c r="P5294" t="s">
        <v>46</v>
      </c>
      <c r="Y5294" t="s">
        <v>17753</v>
      </c>
    </row>
    <row r="5295" spans="1:25">
      <c r="A5295" t="s">
        <v>17754</v>
      </c>
      <c r="B5295" t="s">
        <v>17755</v>
      </c>
      <c r="D5295" t="s">
        <v>40</v>
      </c>
      <c r="E5295" t="s">
        <v>41</v>
      </c>
      <c r="J5295" t="s">
        <v>68</v>
      </c>
      <c r="K5295" t="s">
        <v>69</v>
      </c>
      <c r="L5295">
        <v>12</v>
      </c>
      <c r="M5295" t="s">
        <v>17749</v>
      </c>
      <c r="N5295" t="s">
        <v>64</v>
      </c>
      <c r="O5295" t="s">
        <v>46</v>
      </c>
      <c r="P5295" t="s">
        <v>46</v>
      </c>
      <c r="Y5295" t="s">
        <v>17756</v>
      </c>
    </row>
    <row r="5296" spans="1:25">
      <c r="A5296" t="s">
        <v>17757</v>
      </c>
      <c r="B5296" t="s">
        <v>17758</v>
      </c>
      <c r="D5296" t="s">
        <v>40</v>
      </c>
      <c r="E5296" t="s">
        <v>41</v>
      </c>
      <c r="J5296" t="s">
        <v>182</v>
      </c>
      <c r="K5296" t="s">
        <v>183</v>
      </c>
      <c r="L5296">
        <v>12</v>
      </c>
      <c r="M5296" t="s">
        <v>17749</v>
      </c>
      <c r="N5296" t="s">
        <v>64</v>
      </c>
      <c r="O5296" t="s">
        <v>46</v>
      </c>
      <c r="P5296" t="s">
        <v>46</v>
      </c>
      <c r="Y5296" t="s">
        <v>17759</v>
      </c>
    </row>
    <row r="5297" spans="1:25">
      <c r="A5297" t="s">
        <v>17760</v>
      </c>
      <c r="B5297" t="s">
        <v>17761</v>
      </c>
      <c r="D5297" t="s">
        <v>40</v>
      </c>
      <c r="E5297" t="s">
        <v>41</v>
      </c>
      <c r="J5297" t="s">
        <v>68</v>
      </c>
      <c r="K5297" t="s">
        <v>69</v>
      </c>
      <c r="L5297">
        <v>12</v>
      </c>
      <c r="M5297" t="s">
        <v>17762</v>
      </c>
      <c r="N5297" t="s">
        <v>64</v>
      </c>
      <c r="O5297" t="s">
        <v>46</v>
      </c>
      <c r="P5297" t="s">
        <v>46</v>
      </c>
      <c r="Y5297" t="s">
        <v>17763</v>
      </c>
    </row>
    <row r="5298" spans="1:25">
      <c r="A5298" t="s">
        <v>17764</v>
      </c>
      <c r="B5298" t="s">
        <v>17765</v>
      </c>
      <c r="D5298" t="s">
        <v>40</v>
      </c>
      <c r="E5298" t="s">
        <v>41</v>
      </c>
      <c r="J5298" t="s">
        <v>68</v>
      </c>
      <c r="K5298" t="s">
        <v>69</v>
      </c>
      <c r="L5298">
        <v>12</v>
      </c>
      <c r="M5298" t="s">
        <v>17762</v>
      </c>
      <c r="N5298" t="s">
        <v>64</v>
      </c>
      <c r="O5298" t="s">
        <v>46</v>
      </c>
      <c r="P5298" t="s">
        <v>46</v>
      </c>
      <c r="Y5298" t="s">
        <v>17766</v>
      </c>
    </row>
    <row r="5299" spans="1:25">
      <c r="A5299" t="s">
        <v>17767</v>
      </c>
      <c r="B5299" t="s">
        <v>17768</v>
      </c>
      <c r="D5299" t="s">
        <v>40</v>
      </c>
      <c r="E5299" t="s">
        <v>41</v>
      </c>
      <c r="J5299" t="s">
        <v>68</v>
      </c>
      <c r="K5299" t="s">
        <v>69</v>
      </c>
      <c r="L5299">
        <v>12</v>
      </c>
      <c r="M5299" t="s">
        <v>17762</v>
      </c>
      <c r="N5299" t="s">
        <v>64</v>
      </c>
      <c r="O5299" t="s">
        <v>46</v>
      </c>
      <c r="P5299" t="s">
        <v>46</v>
      </c>
      <c r="Y5299" t="s">
        <v>17769</v>
      </c>
    </row>
    <row r="5300" spans="1:25">
      <c r="A5300" t="s">
        <v>17770</v>
      </c>
      <c r="B5300" t="s">
        <v>17771</v>
      </c>
      <c r="D5300" t="s">
        <v>40</v>
      </c>
      <c r="E5300" t="s">
        <v>41</v>
      </c>
      <c r="J5300" t="s">
        <v>68</v>
      </c>
      <c r="K5300" t="s">
        <v>69</v>
      </c>
      <c r="L5300">
        <v>12</v>
      </c>
      <c r="M5300" t="s">
        <v>17762</v>
      </c>
      <c r="N5300" t="s">
        <v>64</v>
      </c>
      <c r="O5300" t="s">
        <v>46</v>
      </c>
      <c r="P5300" t="s">
        <v>46</v>
      </c>
      <c r="Y5300" t="s">
        <v>17772</v>
      </c>
    </row>
    <row r="5301" spans="1:25">
      <c r="A5301" t="s">
        <v>17773</v>
      </c>
      <c r="B5301" t="s">
        <v>17774</v>
      </c>
      <c r="D5301" t="s">
        <v>40</v>
      </c>
      <c r="E5301" t="s">
        <v>41</v>
      </c>
      <c r="J5301" t="s">
        <v>68</v>
      </c>
      <c r="K5301" t="s">
        <v>69</v>
      </c>
      <c r="L5301">
        <v>12</v>
      </c>
      <c r="M5301" t="s">
        <v>17762</v>
      </c>
      <c r="N5301" t="s">
        <v>64</v>
      </c>
      <c r="O5301" t="s">
        <v>46</v>
      </c>
      <c r="P5301" t="s">
        <v>46</v>
      </c>
      <c r="Y5301" t="s">
        <v>17775</v>
      </c>
    </row>
    <row r="5302" spans="1:25">
      <c r="A5302" t="s">
        <v>17776</v>
      </c>
      <c r="B5302" t="s">
        <v>17777</v>
      </c>
      <c r="D5302" t="s">
        <v>40</v>
      </c>
      <c r="E5302" t="s">
        <v>41</v>
      </c>
      <c r="J5302" t="s">
        <v>68</v>
      </c>
      <c r="K5302" t="s">
        <v>69</v>
      </c>
      <c r="L5302">
        <v>12</v>
      </c>
      <c r="M5302" t="s">
        <v>17762</v>
      </c>
      <c r="N5302" t="s">
        <v>64</v>
      </c>
      <c r="O5302" t="s">
        <v>46</v>
      </c>
      <c r="P5302" t="s">
        <v>46</v>
      </c>
      <c r="Y5302" t="s">
        <v>17778</v>
      </c>
    </row>
    <row r="5303" spans="1:25">
      <c r="A5303" t="s">
        <v>17779</v>
      </c>
      <c r="B5303" t="s">
        <v>17780</v>
      </c>
      <c r="D5303" t="s">
        <v>40</v>
      </c>
      <c r="E5303" t="s">
        <v>41</v>
      </c>
      <c r="J5303" t="s">
        <v>68</v>
      </c>
      <c r="K5303" t="s">
        <v>69</v>
      </c>
      <c r="L5303">
        <v>12</v>
      </c>
      <c r="M5303" t="s">
        <v>17762</v>
      </c>
      <c r="N5303" t="s">
        <v>64</v>
      </c>
      <c r="O5303" t="s">
        <v>46</v>
      </c>
      <c r="P5303" t="s">
        <v>46</v>
      </c>
      <c r="Y5303" t="s">
        <v>17781</v>
      </c>
    </row>
    <row r="5304" spans="1:25">
      <c r="A5304" t="s">
        <v>17782</v>
      </c>
      <c r="B5304" t="s">
        <v>17783</v>
      </c>
      <c r="D5304" t="s">
        <v>40</v>
      </c>
      <c r="E5304" t="s">
        <v>41</v>
      </c>
      <c r="J5304" t="s">
        <v>182</v>
      </c>
      <c r="K5304" t="s">
        <v>183</v>
      </c>
      <c r="L5304">
        <v>12</v>
      </c>
      <c r="M5304" t="s">
        <v>17784</v>
      </c>
      <c r="N5304" t="s">
        <v>64</v>
      </c>
      <c r="O5304" t="s">
        <v>46</v>
      </c>
      <c r="P5304" t="s">
        <v>46</v>
      </c>
      <c r="Y5304" t="s">
        <v>17785</v>
      </c>
    </row>
    <row r="5305" spans="1:25">
      <c r="A5305" t="s">
        <v>17786</v>
      </c>
      <c r="B5305" t="s">
        <v>17787</v>
      </c>
      <c r="D5305" t="s">
        <v>40</v>
      </c>
      <c r="E5305" t="s">
        <v>41</v>
      </c>
      <c r="J5305" t="s">
        <v>42</v>
      </c>
      <c r="K5305" t="s">
        <v>43</v>
      </c>
      <c r="L5305">
        <v>12</v>
      </c>
      <c r="M5305" t="s">
        <v>17784</v>
      </c>
      <c r="N5305" t="s">
        <v>142</v>
      </c>
      <c r="O5305" t="s">
        <v>46</v>
      </c>
      <c r="P5305" t="s">
        <v>46</v>
      </c>
      <c r="Y5305" t="s">
        <v>17788</v>
      </c>
    </row>
    <row r="5306" spans="1:25">
      <c r="A5306" t="s">
        <v>17789</v>
      </c>
      <c r="B5306" t="s">
        <v>17790</v>
      </c>
      <c r="D5306" t="s">
        <v>40</v>
      </c>
      <c r="E5306" t="s">
        <v>41</v>
      </c>
      <c r="J5306" t="s">
        <v>68</v>
      </c>
      <c r="K5306" t="s">
        <v>69</v>
      </c>
      <c r="L5306">
        <v>11</v>
      </c>
      <c r="M5306" t="s">
        <v>17791</v>
      </c>
      <c r="N5306" t="s">
        <v>64</v>
      </c>
      <c r="O5306" t="s">
        <v>46</v>
      </c>
      <c r="P5306" t="s">
        <v>46</v>
      </c>
      <c r="Y5306" t="s">
        <v>17792</v>
      </c>
    </row>
    <row r="5307" spans="1:25">
      <c r="A5307" t="s">
        <v>17793</v>
      </c>
      <c r="B5307" t="s">
        <v>17794</v>
      </c>
      <c r="D5307" t="s">
        <v>40</v>
      </c>
      <c r="E5307" t="s">
        <v>41</v>
      </c>
      <c r="J5307" t="s">
        <v>182</v>
      </c>
      <c r="K5307" t="s">
        <v>183</v>
      </c>
      <c r="L5307">
        <v>11</v>
      </c>
      <c r="M5307" t="s">
        <v>17791</v>
      </c>
      <c r="N5307" t="s">
        <v>64</v>
      </c>
      <c r="O5307" t="s">
        <v>46</v>
      </c>
      <c r="P5307" t="s">
        <v>46</v>
      </c>
      <c r="Y5307" t="s">
        <v>17795</v>
      </c>
    </row>
    <row r="5308" spans="1:25">
      <c r="A5308" t="s">
        <v>17796</v>
      </c>
      <c r="B5308" t="s">
        <v>17797</v>
      </c>
      <c r="D5308" t="s">
        <v>40</v>
      </c>
      <c r="E5308" t="s">
        <v>41</v>
      </c>
      <c r="J5308" t="s">
        <v>42</v>
      </c>
      <c r="K5308" t="s">
        <v>43</v>
      </c>
      <c r="L5308">
        <v>10</v>
      </c>
      <c r="M5308" t="s">
        <v>17791</v>
      </c>
      <c r="N5308" t="s">
        <v>266</v>
      </c>
      <c r="O5308" t="s">
        <v>46</v>
      </c>
      <c r="P5308" t="s">
        <v>46</v>
      </c>
      <c r="Y5308" t="s">
        <v>17798</v>
      </c>
    </row>
    <row r="5309" spans="1:25">
      <c r="A5309" t="s">
        <v>17799</v>
      </c>
      <c r="B5309" t="s">
        <v>17800</v>
      </c>
      <c r="D5309" t="s">
        <v>40</v>
      </c>
      <c r="E5309" t="s">
        <v>41</v>
      </c>
      <c r="J5309" t="s">
        <v>68</v>
      </c>
      <c r="K5309" t="s">
        <v>69</v>
      </c>
      <c r="L5309">
        <v>11</v>
      </c>
      <c r="M5309" t="s">
        <v>17791</v>
      </c>
      <c r="N5309" t="s">
        <v>64</v>
      </c>
      <c r="O5309" t="s">
        <v>46</v>
      </c>
      <c r="P5309" t="s">
        <v>46</v>
      </c>
      <c r="Y5309" t="s">
        <v>17801</v>
      </c>
    </row>
    <row r="5310" spans="1:25">
      <c r="A5310" t="s">
        <v>17802</v>
      </c>
      <c r="B5310" t="s">
        <v>17803</v>
      </c>
      <c r="D5310" t="s">
        <v>40</v>
      </c>
      <c r="E5310" t="s">
        <v>41</v>
      </c>
      <c r="J5310" t="s">
        <v>76</v>
      </c>
      <c r="K5310" t="s">
        <v>77</v>
      </c>
      <c r="L5310">
        <v>11</v>
      </c>
      <c r="M5310" t="s">
        <v>17804</v>
      </c>
      <c r="N5310" t="s">
        <v>64</v>
      </c>
      <c r="O5310" t="s">
        <v>46</v>
      </c>
      <c r="P5310" t="s">
        <v>46</v>
      </c>
      <c r="Y5310" t="s">
        <v>17805</v>
      </c>
    </row>
    <row r="5311" spans="1:25">
      <c r="A5311" t="s">
        <v>17806</v>
      </c>
      <c r="B5311" t="s">
        <v>17807</v>
      </c>
      <c r="D5311" t="s">
        <v>40</v>
      </c>
      <c r="E5311" t="s">
        <v>41</v>
      </c>
      <c r="J5311" t="s">
        <v>68</v>
      </c>
      <c r="K5311" t="s">
        <v>69</v>
      </c>
      <c r="L5311">
        <v>11</v>
      </c>
      <c r="M5311" t="s">
        <v>17804</v>
      </c>
      <c r="N5311" t="s">
        <v>64</v>
      </c>
      <c r="O5311" t="s">
        <v>46</v>
      </c>
      <c r="P5311" t="s">
        <v>46</v>
      </c>
      <c r="Y5311" t="s">
        <v>17808</v>
      </c>
    </row>
    <row r="5312" spans="1:25">
      <c r="A5312" t="s">
        <v>17809</v>
      </c>
      <c r="B5312" t="s">
        <v>17810</v>
      </c>
      <c r="D5312" t="s">
        <v>40</v>
      </c>
      <c r="E5312" t="s">
        <v>41</v>
      </c>
      <c r="J5312" t="s">
        <v>68</v>
      </c>
      <c r="K5312" t="s">
        <v>69</v>
      </c>
      <c r="L5312">
        <v>11</v>
      </c>
      <c r="M5312" t="s">
        <v>17811</v>
      </c>
      <c r="N5312" t="s">
        <v>64</v>
      </c>
      <c r="O5312" t="s">
        <v>46</v>
      </c>
      <c r="P5312" t="s">
        <v>46</v>
      </c>
      <c r="Y5312" t="s">
        <v>17812</v>
      </c>
    </row>
    <row r="5313" spans="1:25">
      <c r="A5313" t="s">
        <v>17813</v>
      </c>
      <c r="B5313" t="s">
        <v>17814</v>
      </c>
      <c r="D5313" t="s">
        <v>40</v>
      </c>
      <c r="E5313" t="s">
        <v>41</v>
      </c>
      <c r="J5313" t="s">
        <v>68</v>
      </c>
      <c r="K5313" t="s">
        <v>69</v>
      </c>
      <c r="L5313">
        <v>11</v>
      </c>
      <c r="M5313" t="s">
        <v>17811</v>
      </c>
      <c r="N5313" t="s">
        <v>64</v>
      </c>
      <c r="O5313" t="s">
        <v>46</v>
      </c>
      <c r="P5313" t="s">
        <v>46</v>
      </c>
      <c r="Y5313" t="s">
        <v>17815</v>
      </c>
    </row>
    <row r="5314" spans="1:25">
      <c r="A5314" t="s">
        <v>17816</v>
      </c>
      <c r="B5314" t="s">
        <v>17817</v>
      </c>
      <c r="D5314" t="s">
        <v>40</v>
      </c>
      <c r="E5314" t="s">
        <v>41</v>
      </c>
      <c r="J5314" t="s">
        <v>42</v>
      </c>
      <c r="K5314" t="s">
        <v>43</v>
      </c>
      <c r="L5314">
        <v>11</v>
      </c>
      <c r="M5314" t="s">
        <v>17811</v>
      </c>
      <c r="N5314" t="s">
        <v>1047</v>
      </c>
      <c r="O5314" t="s">
        <v>46</v>
      </c>
      <c r="P5314" t="s">
        <v>46</v>
      </c>
      <c r="Y5314" t="s">
        <v>17818</v>
      </c>
    </row>
    <row r="5315" spans="1:25">
      <c r="A5315" t="s">
        <v>17819</v>
      </c>
      <c r="B5315" t="s">
        <v>17820</v>
      </c>
      <c r="D5315" t="s">
        <v>40</v>
      </c>
      <c r="E5315" t="s">
        <v>41</v>
      </c>
      <c r="J5315" t="s">
        <v>68</v>
      </c>
      <c r="K5315" t="s">
        <v>69</v>
      </c>
      <c r="L5315">
        <v>11</v>
      </c>
      <c r="M5315" t="s">
        <v>17811</v>
      </c>
      <c r="N5315" t="s">
        <v>64</v>
      </c>
      <c r="O5315" t="s">
        <v>46</v>
      </c>
      <c r="P5315" t="s">
        <v>46</v>
      </c>
      <c r="Y5315" t="s">
        <v>17821</v>
      </c>
    </row>
    <row r="5316" spans="1:25">
      <c r="A5316" t="s">
        <v>17822</v>
      </c>
      <c r="B5316" t="s">
        <v>17823</v>
      </c>
      <c r="D5316" t="s">
        <v>40</v>
      </c>
      <c r="E5316" t="s">
        <v>41</v>
      </c>
      <c r="J5316" t="s">
        <v>68</v>
      </c>
      <c r="K5316" t="s">
        <v>69</v>
      </c>
      <c r="L5316">
        <v>11</v>
      </c>
      <c r="M5316" t="s">
        <v>17811</v>
      </c>
      <c r="N5316" t="s">
        <v>64</v>
      </c>
      <c r="O5316" t="s">
        <v>46</v>
      </c>
      <c r="P5316" t="s">
        <v>46</v>
      </c>
      <c r="Y5316" t="s">
        <v>17824</v>
      </c>
    </row>
    <row r="5317" spans="1:25">
      <c r="A5317" t="s">
        <v>17825</v>
      </c>
      <c r="B5317" t="s">
        <v>17826</v>
      </c>
      <c r="D5317" t="s">
        <v>40</v>
      </c>
      <c r="E5317" t="s">
        <v>41</v>
      </c>
      <c r="J5317" t="s">
        <v>42</v>
      </c>
      <c r="K5317" t="s">
        <v>43</v>
      </c>
      <c r="L5317">
        <v>11</v>
      </c>
      <c r="M5317" t="s">
        <v>17827</v>
      </c>
      <c r="N5317" t="s">
        <v>1344</v>
      </c>
      <c r="O5317" t="s">
        <v>46</v>
      </c>
      <c r="P5317" t="s">
        <v>46</v>
      </c>
      <c r="Y5317" t="s">
        <v>17828</v>
      </c>
    </row>
    <row r="5318" spans="1:25">
      <c r="A5318" t="s">
        <v>17829</v>
      </c>
      <c r="B5318" t="s">
        <v>17830</v>
      </c>
      <c r="D5318" t="s">
        <v>40</v>
      </c>
      <c r="E5318" t="s">
        <v>41</v>
      </c>
      <c r="J5318" t="s">
        <v>68</v>
      </c>
      <c r="K5318" t="s">
        <v>69</v>
      </c>
      <c r="L5318">
        <v>11</v>
      </c>
      <c r="M5318" t="s">
        <v>17827</v>
      </c>
      <c r="N5318" t="s">
        <v>64</v>
      </c>
      <c r="O5318" t="s">
        <v>46</v>
      </c>
      <c r="P5318" t="s">
        <v>46</v>
      </c>
      <c r="Y5318" t="s">
        <v>17831</v>
      </c>
    </row>
    <row r="5319" spans="1:25">
      <c r="A5319" t="s">
        <v>17832</v>
      </c>
      <c r="B5319" t="s">
        <v>17833</v>
      </c>
      <c r="D5319" t="s">
        <v>40</v>
      </c>
      <c r="E5319" t="s">
        <v>41</v>
      </c>
      <c r="J5319" t="s">
        <v>182</v>
      </c>
      <c r="K5319" t="s">
        <v>183</v>
      </c>
      <c r="L5319">
        <v>11</v>
      </c>
      <c r="M5319" t="s">
        <v>17827</v>
      </c>
      <c r="N5319" t="s">
        <v>64</v>
      </c>
      <c r="O5319" t="s">
        <v>46</v>
      </c>
      <c r="P5319" t="s">
        <v>46</v>
      </c>
      <c r="Y5319" t="s">
        <v>17834</v>
      </c>
    </row>
    <row r="5320" spans="1:25">
      <c r="A5320" t="s">
        <v>17835</v>
      </c>
      <c r="B5320" t="s">
        <v>17836</v>
      </c>
      <c r="D5320" t="s">
        <v>40</v>
      </c>
      <c r="E5320" t="s">
        <v>41</v>
      </c>
      <c r="J5320" t="s">
        <v>68</v>
      </c>
      <c r="K5320" t="s">
        <v>69</v>
      </c>
      <c r="L5320">
        <v>11</v>
      </c>
      <c r="M5320" t="s">
        <v>17827</v>
      </c>
      <c r="N5320" t="s">
        <v>64</v>
      </c>
      <c r="O5320" t="s">
        <v>46</v>
      </c>
      <c r="P5320" t="s">
        <v>46</v>
      </c>
      <c r="Y5320" t="s">
        <v>17837</v>
      </c>
    </row>
    <row r="5321" spans="1:25">
      <c r="A5321" t="s">
        <v>17838</v>
      </c>
      <c r="B5321" t="s">
        <v>17839</v>
      </c>
      <c r="D5321" t="s">
        <v>40</v>
      </c>
      <c r="E5321" t="s">
        <v>41</v>
      </c>
      <c r="J5321" t="s">
        <v>264</v>
      </c>
      <c r="K5321" t="s">
        <v>265</v>
      </c>
      <c r="L5321">
        <v>11</v>
      </c>
      <c r="M5321" t="s">
        <v>17827</v>
      </c>
      <c r="N5321" t="s">
        <v>210</v>
      </c>
      <c r="O5321" t="s">
        <v>46</v>
      </c>
      <c r="P5321" t="s">
        <v>46</v>
      </c>
      <c r="Y5321" t="s">
        <v>17840</v>
      </c>
    </row>
    <row r="5322" spans="1:25">
      <c r="A5322" t="s">
        <v>17841</v>
      </c>
      <c r="B5322" t="s">
        <v>17842</v>
      </c>
      <c r="D5322" t="s">
        <v>40</v>
      </c>
      <c r="E5322" t="s">
        <v>41</v>
      </c>
      <c r="J5322" t="s">
        <v>68</v>
      </c>
      <c r="K5322" t="s">
        <v>69</v>
      </c>
      <c r="L5322">
        <v>11</v>
      </c>
      <c r="M5322" t="s">
        <v>17827</v>
      </c>
      <c r="N5322" t="s">
        <v>64</v>
      </c>
      <c r="O5322" t="s">
        <v>46</v>
      </c>
      <c r="P5322" t="s">
        <v>46</v>
      </c>
      <c r="Y5322" t="s">
        <v>17843</v>
      </c>
    </row>
    <row r="5323" spans="1:25">
      <c r="A5323" t="s">
        <v>17844</v>
      </c>
      <c r="B5323" t="s">
        <v>17845</v>
      </c>
      <c r="D5323" t="s">
        <v>40</v>
      </c>
      <c r="E5323" t="s">
        <v>41</v>
      </c>
      <c r="J5323" t="s">
        <v>68</v>
      </c>
      <c r="K5323" t="s">
        <v>69</v>
      </c>
      <c r="L5323">
        <v>11</v>
      </c>
      <c r="M5323" t="s">
        <v>17827</v>
      </c>
      <c r="N5323" t="s">
        <v>64</v>
      </c>
      <c r="O5323" t="s">
        <v>46</v>
      </c>
      <c r="P5323" t="s">
        <v>46</v>
      </c>
      <c r="Y5323" t="s">
        <v>17846</v>
      </c>
    </row>
    <row r="5324" spans="1:25">
      <c r="A5324" t="s">
        <v>17847</v>
      </c>
      <c r="B5324" t="s">
        <v>17848</v>
      </c>
      <c r="D5324" t="s">
        <v>40</v>
      </c>
      <c r="E5324" t="s">
        <v>41</v>
      </c>
      <c r="J5324" t="s">
        <v>76</v>
      </c>
      <c r="K5324" t="s">
        <v>77</v>
      </c>
      <c r="L5324">
        <v>11</v>
      </c>
      <c r="M5324" t="s">
        <v>17827</v>
      </c>
      <c r="N5324" t="s">
        <v>64</v>
      </c>
      <c r="O5324" t="s">
        <v>46</v>
      </c>
      <c r="P5324" t="s">
        <v>46</v>
      </c>
      <c r="Y5324" t="s">
        <v>17849</v>
      </c>
    </row>
    <row r="5325" spans="1:25">
      <c r="A5325" t="s">
        <v>17850</v>
      </c>
      <c r="B5325" t="s">
        <v>17851</v>
      </c>
      <c r="D5325" t="s">
        <v>40</v>
      </c>
      <c r="E5325" t="s">
        <v>41</v>
      </c>
      <c r="J5325" t="s">
        <v>76</v>
      </c>
      <c r="K5325" t="s">
        <v>77</v>
      </c>
      <c r="L5325">
        <v>11</v>
      </c>
      <c r="M5325" t="s">
        <v>17827</v>
      </c>
      <c r="N5325" t="s">
        <v>64</v>
      </c>
      <c r="O5325" t="s">
        <v>46</v>
      </c>
      <c r="P5325" t="s">
        <v>46</v>
      </c>
      <c r="Y5325" t="s">
        <v>17852</v>
      </c>
    </row>
    <row r="5326" spans="1:25">
      <c r="A5326" t="s">
        <v>17853</v>
      </c>
      <c r="B5326" t="s">
        <v>17854</v>
      </c>
      <c r="D5326" t="s">
        <v>40</v>
      </c>
      <c r="E5326" t="s">
        <v>41</v>
      </c>
      <c r="J5326" t="s">
        <v>68</v>
      </c>
      <c r="K5326" t="s">
        <v>69</v>
      </c>
      <c r="L5326">
        <v>11</v>
      </c>
      <c r="M5326" t="s">
        <v>17827</v>
      </c>
      <c r="N5326" t="s">
        <v>64</v>
      </c>
      <c r="O5326" t="s">
        <v>46</v>
      </c>
      <c r="P5326" t="s">
        <v>46</v>
      </c>
      <c r="Y5326" t="s">
        <v>17855</v>
      </c>
    </row>
    <row r="5327" spans="1:25">
      <c r="A5327" t="s">
        <v>17856</v>
      </c>
      <c r="B5327" t="s">
        <v>17857</v>
      </c>
      <c r="D5327" t="s">
        <v>40</v>
      </c>
      <c r="E5327" t="s">
        <v>41</v>
      </c>
      <c r="J5327" t="s">
        <v>42</v>
      </c>
      <c r="K5327" t="s">
        <v>43</v>
      </c>
      <c r="L5327">
        <v>11</v>
      </c>
      <c r="M5327" t="s">
        <v>17858</v>
      </c>
      <c r="N5327" t="s">
        <v>1446</v>
      </c>
      <c r="O5327" t="s">
        <v>46</v>
      </c>
      <c r="P5327" t="s">
        <v>46</v>
      </c>
      <c r="Y5327" t="s">
        <v>17859</v>
      </c>
    </row>
    <row r="5328" spans="1:25">
      <c r="A5328" t="s">
        <v>17860</v>
      </c>
      <c r="B5328" t="s">
        <v>17861</v>
      </c>
      <c r="D5328" t="s">
        <v>40</v>
      </c>
      <c r="E5328" t="s">
        <v>41</v>
      </c>
      <c r="J5328" t="s">
        <v>182</v>
      </c>
      <c r="K5328" t="s">
        <v>183</v>
      </c>
      <c r="L5328">
        <v>11</v>
      </c>
      <c r="M5328" t="s">
        <v>17858</v>
      </c>
      <c r="N5328" t="s">
        <v>64</v>
      </c>
      <c r="O5328" t="s">
        <v>46</v>
      </c>
      <c r="P5328" t="s">
        <v>46</v>
      </c>
      <c r="Y5328" t="s">
        <v>17862</v>
      </c>
    </row>
    <row r="5329" spans="1:25">
      <c r="A5329" t="s">
        <v>17863</v>
      </c>
      <c r="B5329" t="s">
        <v>17864</v>
      </c>
      <c r="D5329" t="s">
        <v>40</v>
      </c>
      <c r="E5329" t="s">
        <v>41</v>
      </c>
      <c r="J5329" t="s">
        <v>68</v>
      </c>
      <c r="K5329" t="s">
        <v>69</v>
      </c>
      <c r="L5329">
        <v>11</v>
      </c>
      <c r="M5329" t="s">
        <v>17858</v>
      </c>
      <c r="N5329" t="s">
        <v>64</v>
      </c>
      <c r="O5329" t="s">
        <v>46</v>
      </c>
      <c r="P5329" t="s">
        <v>46</v>
      </c>
      <c r="Y5329" t="s">
        <v>17865</v>
      </c>
    </row>
    <row r="5330" spans="1:25">
      <c r="A5330" t="s">
        <v>17866</v>
      </c>
      <c r="B5330" t="s">
        <v>17867</v>
      </c>
      <c r="D5330" t="s">
        <v>40</v>
      </c>
      <c r="E5330" t="s">
        <v>41</v>
      </c>
      <c r="J5330" t="s">
        <v>68</v>
      </c>
      <c r="K5330" t="s">
        <v>69</v>
      </c>
      <c r="L5330">
        <v>11</v>
      </c>
      <c r="M5330" t="s">
        <v>17858</v>
      </c>
      <c r="N5330" t="s">
        <v>64</v>
      </c>
      <c r="O5330" t="s">
        <v>46</v>
      </c>
      <c r="P5330" t="s">
        <v>46</v>
      </c>
      <c r="Y5330" t="s">
        <v>17868</v>
      </c>
    </row>
    <row r="5331" spans="1:25">
      <c r="A5331" t="s">
        <v>17869</v>
      </c>
      <c r="B5331" t="s">
        <v>17870</v>
      </c>
      <c r="D5331" t="s">
        <v>40</v>
      </c>
      <c r="E5331" t="s">
        <v>41</v>
      </c>
      <c r="J5331" t="s">
        <v>645</v>
      </c>
      <c r="K5331" t="s">
        <v>646</v>
      </c>
      <c r="L5331">
        <v>11</v>
      </c>
      <c r="M5331" t="s">
        <v>17858</v>
      </c>
      <c r="N5331" t="s">
        <v>64</v>
      </c>
      <c r="O5331" t="s">
        <v>46</v>
      </c>
      <c r="P5331" t="s">
        <v>46</v>
      </c>
      <c r="Y5331" t="s">
        <v>17871</v>
      </c>
    </row>
    <row r="5332" spans="1:25">
      <c r="A5332" t="s">
        <v>17872</v>
      </c>
      <c r="B5332" t="s">
        <v>17873</v>
      </c>
      <c r="D5332" t="s">
        <v>40</v>
      </c>
      <c r="E5332" t="s">
        <v>41</v>
      </c>
      <c r="J5332" t="s">
        <v>68</v>
      </c>
      <c r="K5332" t="s">
        <v>69</v>
      </c>
      <c r="L5332">
        <v>11</v>
      </c>
      <c r="M5332" t="s">
        <v>17858</v>
      </c>
      <c r="N5332" t="s">
        <v>64</v>
      </c>
      <c r="O5332" t="s">
        <v>46</v>
      </c>
      <c r="P5332" t="s">
        <v>46</v>
      </c>
      <c r="Y5332" t="s">
        <v>17874</v>
      </c>
    </row>
    <row r="5333" spans="1:25">
      <c r="A5333" t="s">
        <v>17875</v>
      </c>
      <c r="B5333" t="s">
        <v>17876</v>
      </c>
      <c r="D5333" t="s">
        <v>40</v>
      </c>
      <c r="E5333" t="s">
        <v>41</v>
      </c>
      <c r="J5333" t="s">
        <v>68</v>
      </c>
      <c r="K5333" t="s">
        <v>69</v>
      </c>
      <c r="L5333">
        <v>11</v>
      </c>
      <c r="M5333" t="s">
        <v>17858</v>
      </c>
      <c r="N5333" t="s">
        <v>64</v>
      </c>
      <c r="O5333" t="s">
        <v>46</v>
      </c>
      <c r="P5333" t="s">
        <v>46</v>
      </c>
      <c r="Y5333" t="s">
        <v>17877</v>
      </c>
    </row>
    <row r="5334" spans="1:25">
      <c r="A5334" t="s">
        <v>17878</v>
      </c>
      <c r="B5334" t="s">
        <v>17879</v>
      </c>
      <c r="D5334" t="s">
        <v>40</v>
      </c>
      <c r="E5334" t="s">
        <v>41</v>
      </c>
      <c r="J5334" t="s">
        <v>68</v>
      </c>
      <c r="K5334" t="s">
        <v>69</v>
      </c>
      <c r="L5334">
        <v>11</v>
      </c>
      <c r="M5334" t="s">
        <v>17858</v>
      </c>
      <c r="N5334" t="s">
        <v>64</v>
      </c>
      <c r="O5334" t="s">
        <v>46</v>
      </c>
      <c r="P5334" t="s">
        <v>46</v>
      </c>
      <c r="Y5334" t="s">
        <v>17880</v>
      </c>
    </row>
    <row r="5335" spans="1:25">
      <c r="A5335" t="s">
        <v>17881</v>
      </c>
      <c r="B5335" t="s">
        <v>17882</v>
      </c>
      <c r="D5335" t="s">
        <v>40</v>
      </c>
      <c r="E5335" t="s">
        <v>41</v>
      </c>
      <c r="J5335" t="s">
        <v>68</v>
      </c>
      <c r="K5335" t="s">
        <v>69</v>
      </c>
      <c r="L5335">
        <v>11</v>
      </c>
      <c r="M5335" t="s">
        <v>17883</v>
      </c>
      <c r="N5335" t="s">
        <v>64</v>
      </c>
      <c r="O5335" t="s">
        <v>46</v>
      </c>
      <c r="P5335" t="s">
        <v>46</v>
      </c>
      <c r="Y5335" t="s">
        <v>17884</v>
      </c>
    </row>
    <row r="5336" spans="1:25">
      <c r="A5336" t="s">
        <v>17885</v>
      </c>
      <c r="B5336" t="s">
        <v>17886</v>
      </c>
      <c r="D5336" t="s">
        <v>40</v>
      </c>
      <c r="E5336" t="s">
        <v>41</v>
      </c>
      <c r="J5336" t="s">
        <v>76</v>
      </c>
      <c r="K5336" t="s">
        <v>77</v>
      </c>
      <c r="L5336">
        <v>11</v>
      </c>
      <c r="M5336" t="s">
        <v>17883</v>
      </c>
      <c r="N5336" t="s">
        <v>64</v>
      </c>
      <c r="O5336" t="s">
        <v>46</v>
      </c>
      <c r="P5336" t="s">
        <v>46</v>
      </c>
      <c r="Y5336" t="s">
        <v>17887</v>
      </c>
    </row>
    <row r="5337" spans="1:25">
      <c r="A5337" t="s">
        <v>17888</v>
      </c>
      <c r="B5337" t="s">
        <v>17889</v>
      </c>
      <c r="D5337" t="s">
        <v>40</v>
      </c>
      <c r="E5337" t="s">
        <v>41</v>
      </c>
      <c r="J5337" t="s">
        <v>182</v>
      </c>
      <c r="K5337" t="s">
        <v>183</v>
      </c>
      <c r="L5337">
        <v>11</v>
      </c>
      <c r="M5337" t="s">
        <v>17890</v>
      </c>
      <c r="N5337" t="s">
        <v>64</v>
      </c>
      <c r="O5337" t="s">
        <v>46</v>
      </c>
      <c r="P5337" t="s">
        <v>46</v>
      </c>
      <c r="Y5337" t="s">
        <v>17891</v>
      </c>
    </row>
    <row r="5338" spans="1:25">
      <c r="A5338" t="s">
        <v>17892</v>
      </c>
      <c r="B5338" t="s">
        <v>17893</v>
      </c>
      <c r="D5338" t="s">
        <v>40</v>
      </c>
      <c r="E5338" t="s">
        <v>41</v>
      </c>
      <c r="J5338" t="s">
        <v>68</v>
      </c>
      <c r="K5338" t="s">
        <v>69</v>
      </c>
      <c r="L5338">
        <v>11</v>
      </c>
      <c r="M5338" t="s">
        <v>17890</v>
      </c>
      <c r="N5338" t="s">
        <v>64</v>
      </c>
      <c r="O5338" t="s">
        <v>46</v>
      </c>
      <c r="P5338" t="s">
        <v>46</v>
      </c>
      <c r="Y5338" t="s">
        <v>17894</v>
      </c>
    </row>
    <row r="5339" spans="1:25">
      <c r="A5339" t="s">
        <v>17895</v>
      </c>
      <c r="B5339" t="s">
        <v>17896</v>
      </c>
      <c r="D5339" t="s">
        <v>40</v>
      </c>
      <c r="E5339" t="s">
        <v>41</v>
      </c>
      <c r="J5339" t="s">
        <v>68</v>
      </c>
      <c r="K5339" t="s">
        <v>69</v>
      </c>
      <c r="L5339">
        <v>11</v>
      </c>
      <c r="M5339" t="s">
        <v>17890</v>
      </c>
      <c r="N5339" t="s">
        <v>64</v>
      </c>
      <c r="O5339" t="s">
        <v>46</v>
      </c>
      <c r="P5339" t="s">
        <v>46</v>
      </c>
      <c r="Y5339" t="s">
        <v>17897</v>
      </c>
    </row>
    <row r="5340" spans="1:25">
      <c r="A5340" t="s">
        <v>17898</v>
      </c>
      <c r="B5340" t="s">
        <v>17899</v>
      </c>
      <c r="D5340" t="s">
        <v>40</v>
      </c>
      <c r="E5340" t="s">
        <v>41</v>
      </c>
      <c r="J5340" t="s">
        <v>68</v>
      </c>
      <c r="K5340" t="s">
        <v>69</v>
      </c>
      <c r="L5340">
        <v>11</v>
      </c>
      <c r="M5340" t="s">
        <v>17890</v>
      </c>
      <c r="N5340" t="s">
        <v>64</v>
      </c>
      <c r="O5340" t="s">
        <v>46</v>
      </c>
      <c r="P5340" t="s">
        <v>46</v>
      </c>
      <c r="Y5340" t="s">
        <v>17900</v>
      </c>
    </row>
    <row r="5341" spans="1:25">
      <c r="A5341" t="s">
        <v>17901</v>
      </c>
      <c r="B5341" t="s">
        <v>17902</v>
      </c>
      <c r="D5341" t="s">
        <v>40</v>
      </c>
      <c r="E5341" t="s">
        <v>41</v>
      </c>
      <c r="J5341" t="s">
        <v>68</v>
      </c>
      <c r="K5341" t="s">
        <v>69</v>
      </c>
      <c r="L5341">
        <v>11</v>
      </c>
      <c r="M5341" t="s">
        <v>17903</v>
      </c>
      <c r="N5341" t="s">
        <v>64</v>
      </c>
      <c r="O5341" t="s">
        <v>46</v>
      </c>
      <c r="P5341" t="s">
        <v>46</v>
      </c>
      <c r="Y5341" t="s">
        <v>17904</v>
      </c>
    </row>
    <row r="5342" spans="1:25">
      <c r="A5342" t="s">
        <v>17905</v>
      </c>
      <c r="B5342" t="s">
        <v>17906</v>
      </c>
      <c r="D5342" t="s">
        <v>40</v>
      </c>
      <c r="E5342" t="s">
        <v>41</v>
      </c>
      <c r="J5342" t="s">
        <v>68</v>
      </c>
      <c r="K5342" t="s">
        <v>69</v>
      </c>
      <c r="L5342">
        <v>11</v>
      </c>
      <c r="M5342" t="s">
        <v>17903</v>
      </c>
      <c r="N5342" t="s">
        <v>64</v>
      </c>
      <c r="O5342" t="s">
        <v>46</v>
      </c>
      <c r="P5342" t="s">
        <v>46</v>
      </c>
      <c r="Y5342" t="s">
        <v>17907</v>
      </c>
    </row>
    <row r="5343" spans="1:25">
      <c r="A5343" t="s">
        <v>17908</v>
      </c>
      <c r="B5343" t="s">
        <v>17909</v>
      </c>
      <c r="D5343" t="s">
        <v>40</v>
      </c>
      <c r="E5343" t="s">
        <v>41</v>
      </c>
      <c r="J5343" t="s">
        <v>68</v>
      </c>
      <c r="K5343" t="s">
        <v>69</v>
      </c>
      <c r="L5343">
        <v>11</v>
      </c>
      <c r="M5343" t="s">
        <v>17903</v>
      </c>
      <c r="N5343" t="s">
        <v>64</v>
      </c>
      <c r="O5343" t="s">
        <v>46</v>
      </c>
      <c r="P5343" t="s">
        <v>46</v>
      </c>
      <c r="Y5343" t="s">
        <v>17910</v>
      </c>
    </row>
    <row r="5344" spans="1:25">
      <c r="A5344" t="s">
        <v>17911</v>
      </c>
      <c r="B5344" t="s">
        <v>17912</v>
      </c>
      <c r="D5344" t="s">
        <v>40</v>
      </c>
      <c r="E5344" t="s">
        <v>41</v>
      </c>
      <c r="J5344" t="s">
        <v>68</v>
      </c>
      <c r="K5344" t="s">
        <v>69</v>
      </c>
      <c r="L5344">
        <v>11</v>
      </c>
      <c r="M5344" t="s">
        <v>17903</v>
      </c>
      <c r="N5344" t="s">
        <v>64</v>
      </c>
      <c r="O5344" t="s">
        <v>46</v>
      </c>
      <c r="P5344" t="s">
        <v>46</v>
      </c>
      <c r="Y5344" t="s">
        <v>17913</v>
      </c>
    </row>
    <row r="5345" spans="1:25">
      <c r="A5345" t="s">
        <v>17914</v>
      </c>
      <c r="B5345" t="s">
        <v>17915</v>
      </c>
      <c r="D5345" t="s">
        <v>40</v>
      </c>
      <c r="E5345" t="s">
        <v>41</v>
      </c>
      <c r="J5345" t="s">
        <v>76</v>
      </c>
      <c r="K5345" t="s">
        <v>77</v>
      </c>
      <c r="L5345">
        <v>11</v>
      </c>
      <c r="M5345" t="s">
        <v>17903</v>
      </c>
      <c r="N5345" t="s">
        <v>64</v>
      </c>
      <c r="O5345" t="s">
        <v>46</v>
      </c>
      <c r="P5345" t="s">
        <v>46</v>
      </c>
      <c r="Y5345" t="s">
        <v>17916</v>
      </c>
    </row>
    <row r="5346" spans="1:25">
      <c r="A5346" t="s">
        <v>17917</v>
      </c>
      <c r="B5346" t="s">
        <v>17918</v>
      </c>
      <c r="D5346" t="s">
        <v>40</v>
      </c>
      <c r="E5346" t="s">
        <v>41</v>
      </c>
      <c r="J5346" t="s">
        <v>68</v>
      </c>
      <c r="K5346" t="s">
        <v>69</v>
      </c>
      <c r="L5346">
        <v>11</v>
      </c>
      <c r="M5346" t="s">
        <v>17919</v>
      </c>
      <c r="N5346" t="s">
        <v>64</v>
      </c>
      <c r="O5346" t="s">
        <v>46</v>
      </c>
      <c r="P5346" t="s">
        <v>46</v>
      </c>
      <c r="Y5346" t="s">
        <v>17920</v>
      </c>
    </row>
    <row r="5347" spans="1:25">
      <c r="A5347" t="s">
        <v>17921</v>
      </c>
      <c r="B5347" t="s">
        <v>17922</v>
      </c>
      <c r="D5347" t="s">
        <v>40</v>
      </c>
      <c r="E5347" t="s">
        <v>41</v>
      </c>
      <c r="J5347" t="s">
        <v>68</v>
      </c>
      <c r="K5347" t="s">
        <v>69</v>
      </c>
      <c r="L5347">
        <v>11</v>
      </c>
      <c r="M5347" t="s">
        <v>17919</v>
      </c>
      <c r="N5347" t="s">
        <v>64</v>
      </c>
      <c r="O5347" t="s">
        <v>46</v>
      </c>
      <c r="P5347" t="s">
        <v>46</v>
      </c>
      <c r="Y5347" t="s">
        <v>17923</v>
      </c>
    </row>
    <row r="5348" spans="1:25">
      <c r="A5348" t="s">
        <v>17924</v>
      </c>
      <c r="B5348" t="s">
        <v>17925</v>
      </c>
      <c r="D5348" t="s">
        <v>40</v>
      </c>
      <c r="E5348" t="s">
        <v>41</v>
      </c>
      <c r="J5348" t="s">
        <v>76</v>
      </c>
      <c r="K5348" t="s">
        <v>77</v>
      </c>
      <c r="L5348">
        <v>11</v>
      </c>
      <c r="M5348" t="s">
        <v>17919</v>
      </c>
      <c r="N5348" t="s">
        <v>64</v>
      </c>
      <c r="O5348" t="s">
        <v>46</v>
      </c>
      <c r="P5348" t="s">
        <v>46</v>
      </c>
      <c r="Y5348" t="s">
        <v>17926</v>
      </c>
    </row>
    <row r="5349" spans="1:25">
      <c r="A5349" t="s">
        <v>17927</v>
      </c>
      <c r="B5349" t="s">
        <v>17928</v>
      </c>
      <c r="D5349" t="s">
        <v>40</v>
      </c>
      <c r="E5349" t="s">
        <v>41</v>
      </c>
      <c r="J5349" t="s">
        <v>68</v>
      </c>
      <c r="K5349" t="s">
        <v>69</v>
      </c>
      <c r="L5349">
        <v>11</v>
      </c>
      <c r="M5349" t="s">
        <v>17919</v>
      </c>
      <c r="N5349" t="s">
        <v>64</v>
      </c>
      <c r="O5349" t="s">
        <v>46</v>
      </c>
      <c r="P5349" t="s">
        <v>46</v>
      </c>
      <c r="Y5349" t="s">
        <v>17929</v>
      </c>
    </row>
    <row r="5350" spans="1:25">
      <c r="A5350" t="s">
        <v>17930</v>
      </c>
      <c r="B5350" t="s">
        <v>17931</v>
      </c>
      <c r="D5350" t="s">
        <v>40</v>
      </c>
      <c r="E5350" t="s">
        <v>41</v>
      </c>
      <c r="J5350" t="s">
        <v>68</v>
      </c>
      <c r="K5350" t="s">
        <v>69</v>
      </c>
      <c r="L5350">
        <v>11</v>
      </c>
      <c r="M5350" t="s">
        <v>17919</v>
      </c>
      <c r="N5350" t="s">
        <v>64</v>
      </c>
      <c r="O5350" t="s">
        <v>46</v>
      </c>
      <c r="P5350" t="s">
        <v>46</v>
      </c>
      <c r="Y5350" t="s">
        <v>17932</v>
      </c>
    </row>
    <row r="5351" spans="1:25">
      <c r="A5351" t="s">
        <v>17933</v>
      </c>
      <c r="B5351" t="s">
        <v>17934</v>
      </c>
      <c r="D5351" t="s">
        <v>40</v>
      </c>
      <c r="E5351" t="s">
        <v>41</v>
      </c>
      <c r="J5351" t="s">
        <v>68</v>
      </c>
      <c r="K5351" t="s">
        <v>69</v>
      </c>
      <c r="L5351">
        <v>11</v>
      </c>
      <c r="M5351" t="s">
        <v>17935</v>
      </c>
      <c r="N5351" t="s">
        <v>64</v>
      </c>
      <c r="O5351" t="s">
        <v>46</v>
      </c>
      <c r="P5351" t="s">
        <v>46</v>
      </c>
      <c r="Y5351" t="s">
        <v>17936</v>
      </c>
    </row>
    <row r="5352" spans="1:25">
      <c r="A5352" t="s">
        <v>17937</v>
      </c>
      <c r="B5352" t="s">
        <v>17938</v>
      </c>
      <c r="D5352" t="s">
        <v>40</v>
      </c>
      <c r="E5352" t="s">
        <v>41</v>
      </c>
      <c r="J5352" t="s">
        <v>68</v>
      </c>
      <c r="K5352" t="s">
        <v>69</v>
      </c>
      <c r="L5352">
        <v>11</v>
      </c>
      <c r="M5352" t="s">
        <v>17935</v>
      </c>
      <c r="N5352" t="s">
        <v>64</v>
      </c>
      <c r="O5352" t="s">
        <v>46</v>
      </c>
      <c r="P5352" t="s">
        <v>46</v>
      </c>
      <c r="Y5352" t="s">
        <v>17939</v>
      </c>
    </row>
    <row r="5353" spans="1:25">
      <c r="A5353" t="s">
        <v>17940</v>
      </c>
      <c r="B5353" t="s">
        <v>17941</v>
      </c>
      <c r="D5353" t="s">
        <v>40</v>
      </c>
      <c r="E5353" t="s">
        <v>41</v>
      </c>
      <c r="J5353" t="s">
        <v>68</v>
      </c>
      <c r="K5353" t="s">
        <v>69</v>
      </c>
      <c r="L5353">
        <v>11</v>
      </c>
      <c r="M5353" t="s">
        <v>17942</v>
      </c>
      <c r="N5353" t="s">
        <v>64</v>
      </c>
      <c r="O5353" t="s">
        <v>46</v>
      </c>
      <c r="P5353" t="s">
        <v>46</v>
      </c>
      <c r="Y5353" t="s">
        <v>17943</v>
      </c>
    </row>
    <row r="5354" spans="1:25">
      <c r="A5354" t="s">
        <v>17944</v>
      </c>
      <c r="B5354" t="s">
        <v>17945</v>
      </c>
      <c r="D5354" t="s">
        <v>40</v>
      </c>
      <c r="E5354" t="s">
        <v>41</v>
      </c>
      <c r="J5354" t="s">
        <v>68</v>
      </c>
      <c r="K5354" t="s">
        <v>69</v>
      </c>
      <c r="L5354">
        <v>11</v>
      </c>
      <c r="M5354" t="s">
        <v>17942</v>
      </c>
      <c r="N5354" t="s">
        <v>64</v>
      </c>
      <c r="O5354" t="s">
        <v>46</v>
      </c>
      <c r="P5354" t="s">
        <v>46</v>
      </c>
      <c r="Y5354" t="s">
        <v>17946</v>
      </c>
    </row>
    <row r="5355" spans="1:25">
      <c r="A5355" t="s">
        <v>17947</v>
      </c>
      <c r="B5355" t="s">
        <v>17948</v>
      </c>
      <c r="D5355" t="s">
        <v>40</v>
      </c>
      <c r="E5355" t="s">
        <v>41</v>
      </c>
      <c r="J5355" t="s">
        <v>182</v>
      </c>
      <c r="K5355" t="s">
        <v>183</v>
      </c>
      <c r="L5355">
        <v>11</v>
      </c>
      <c r="M5355" t="s">
        <v>17942</v>
      </c>
      <c r="N5355" t="s">
        <v>64</v>
      </c>
      <c r="O5355" t="s">
        <v>46</v>
      </c>
      <c r="P5355" t="s">
        <v>46</v>
      </c>
      <c r="Y5355" t="s">
        <v>17949</v>
      </c>
    </row>
    <row r="5356" spans="1:25">
      <c r="A5356" t="s">
        <v>17950</v>
      </c>
      <c r="B5356" t="s">
        <v>17951</v>
      </c>
      <c r="D5356" t="s">
        <v>40</v>
      </c>
      <c r="E5356" t="s">
        <v>41</v>
      </c>
      <c r="J5356" t="s">
        <v>42</v>
      </c>
      <c r="K5356" t="s">
        <v>43</v>
      </c>
      <c r="L5356">
        <v>11</v>
      </c>
      <c r="M5356" t="s">
        <v>17942</v>
      </c>
      <c r="N5356" t="s">
        <v>58</v>
      </c>
      <c r="O5356" t="s">
        <v>46</v>
      </c>
      <c r="P5356" t="s">
        <v>46</v>
      </c>
      <c r="Y5356" t="s">
        <v>17952</v>
      </c>
    </row>
    <row r="5357" spans="1:25">
      <c r="A5357" t="s">
        <v>17953</v>
      </c>
      <c r="B5357" t="s">
        <v>17954</v>
      </c>
      <c r="D5357" t="s">
        <v>40</v>
      </c>
      <c r="E5357" t="s">
        <v>41</v>
      </c>
      <c r="J5357" t="s">
        <v>182</v>
      </c>
      <c r="K5357" t="s">
        <v>183</v>
      </c>
      <c r="L5357">
        <v>11</v>
      </c>
      <c r="M5357" t="s">
        <v>17942</v>
      </c>
      <c r="N5357" t="s">
        <v>64</v>
      </c>
      <c r="O5357" t="s">
        <v>46</v>
      </c>
      <c r="P5357" t="s">
        <v>46</v>
      </c>
      <c r="Y5357" t="s">
        <v>17955</v>
      </c>
    </row>
    <row r="5358" spans="1:25">
      <c r="A5358" t="s">
        <v>17956</v>
      </c>
      <c r="B5358" t="s">
        <v>17957</v>
      </c>
      <c r="D5358" t="s">
        <v>40</v>
      </c>
      <c r="E5358" t="s">
        <v>41</v>
      </c>
      <c r="J5358" t="s">
        <v>68</v>
      </c>
      <c r="K5358" t="s">
        <v>69</v>
      </c>
      <c r="L5358">
        <v>11</v>
      </c>
      <c r="M5358" t="s">
        <v>17958</v>
      </c>
      <c r="N5358" t="s">
        <v>64</v>
      </c>
      <c r="O5358" t="s">
        <v>46</v>
      </c>
      <c r="P5358" t="s">
        <v>46</v>
      </c>
      <c r="Y5358" t="s">
        <v>17959</v>
      </c>
    </row>
    <row r="5359" spans="1:25">
      <c r="A5359" t="s">
        <v>17960</v>
      </c>
      <c r="B5359" t="s">
        <v>17961</v>
      </c>
      <c r="D5359" t="s">
        <v>40</v>
      </c>
      <c r="E5359" t="s">
        <v>41</v>
      </c>
      <c r="J5359" t="s">
        <v>68</v>
      </c>
      <c r="K5359" t="s">
        <v>69</v>
      </c>
      <c r="L5359">
        <v>11</v>
      </c>
      <c r="M5359" t="s">
        <v>17958</v>
      </c>
      <c r="N5359" t="s">
        <v>64</v>
      </c>
      <c r="O5359" t="s">
        <v>46</v>
      </c>
      <c r="P5359" t="s">
        <v>46</v>
      </c>
      <c r="Y5359" t="s">
        <v>17962</v>
      </c>
    </row>
    <row r="5360" spans="1:25">
      <c r="A5360" t="s">
        <v>17963</v>
      </c>
      <c r="B5360" t="s">
        <v>17964</v>
      </c>
      <c r="D5360" t="s">
        <v>40</v>
      </c>
      <c r="E5360" t="s">
        <v>41</v>
      </c>
      <c r="J5360" t="s">
        <v>68</v>
      </c>
      <c r="K5360" t="s">
        <v>69</v>
      </c>
      <c r="L5360">
        <v>11</v>
      </c>
      <c r="M5360" t="s">
        <v>17958</v>
      </c>
      <c r="N5360" t="s">
        <v>64</v>
      </c>
      <c r="O5360" t="s">
        <v>46</v>
      </c>
      <c r="P5360" t="s">
        <v>46</v>
      </c>
      <c r="Y5360" t="s">
        <v>17965</v>
      </c>
    </row>
    <row r="5361" spans="1:25">
      <c r="A5361" t="s">
        <v>17966</v>
      </c>
      <c r="B5361" t="s">
        <v>17967</v>
      </c>
      <c r="D5361" t="s">
        <v>40</v>
      </c>
      <c r="E5361" t="s">
        <v>41</v>
      </c>
      <c r="J5361" t="s">
        <v>68</v>
      </c>
      <c r="K5361" t="s">
        <v>69</v>
      </c>
      <c r="L5361">
        <v>11</v>
      </c>
      <c r="M5361" t="s">
        <v>17958</v>
      </c>
      <c r="N5361" t="s">
        <v>64</v>
      </c>
      <c r="O5361" t="s">
        <v>46</v>
      </c>
      <c r="P5361" t="s">
        <v>46</v>
      </c>
      <c r="Y5361" t="s">
        <v>17968</v>
      </c>
    </row>
    <row r="5362" spans="1:25">
      <c r="A5362" t="s">
        <v>17969</v>
      </c>
      <c r="B5362" t="s">
        <v>17970</v>
      </c>
      <c r="D5362" t="s">
        <v>40</v>
      </c>
      <c r="E5362" t="s">
        <v>41</v>
      </c>
      <c r="J5362" t="s">
        <v>68</v>
      </c>
      <c r="K5362" t="s">
        <v>69</v>
      </c>
      <c r="L5362">
        <v>11</v>
      </c>
      <c r="M5362" t="s">
        <v>17958</v>
      </c>
      <c r="N5362" t="s">
        <v>64</v>
      </c>
      <c r="O5362" t="s">
        <v>46</v>
      </c>
      <c r="P5362" t="s">
        <v>46</v>
      </c>
      <c r="Y5362" t="s">
        <v>17971</v>
      </c>
    </row>
    <row r="5363" spans="1:25">
      <c r="A5363" t="s">
        <v>17972</v>
      </c>
      <c r="B5363" t="s">
        <v>17973</v>
      </c>
      <c r="D5363" t="s">
        <v>40</v>
      </c>
      <c r="E5363" t="s">
        <v>41</v>
      </c>
      <c r="J5363" t="s">
        <v>76</v>
      </c>
      <c r="K5363" t="s">
        <v>77</v>
      </c>
      <c r="L5363">
        <v>11</v>
      </c>
      <c r="M5363" t="s">
        <v>17958</v>
      </c>
      <c r="N5363" t="s">
        <v>64</v>
      </c>
      <c r="O5363" t="s">
        <v>46</v>
      </c>
      <c r="P5363" t="s">
        <v>46</v>
      </c>
      <c r="Y5363" t="s">
        <v>17974</v>
      </c>
    </row>
    <row r="5364" spans="1:25">
      <c r="A5364" t="s">
        <v>17975</v>
      </c>
      <c r="B5364" t="s">
        <v>17976</v>
      </c>
      <c r="D5364" t="s">
        <v>40</v>
      </c>
      <c r="E5364" t="s">
        <v>41</v>
      </c>
      <c r="J5364" t="s">
        <v>68</v>
      </c>
      <c r="K5364" t="s">
        <v>69</v>
      </c>
      <c r="L5364">
        <v>11</v>
      </c>
      <c r="M5364" t="s">
        <v>17977</v>
      </c>
      <c r="N5364" t="s">
        <v>64</v>
      </c>
      <c r="O5364" t="s">
        <v>46</v>
      </c>
      <c r="P5364" t="s">
        <v>46</v>
      </c>
      <c r="Y5364" t="s">
        <v>17978</v>
      </c>
    </row>
    <row r="5365" spans="1:25">
      <c r="A5365" t="s">
        <v>17979</v>
      </c>
      <c r="B5365" t="s">
        <v>17980</v>
      </c>
      <c r="D5365" t="s">
        <v>40</v>
      </c>
      <c r="E5365" t="s">
        <v>41</v>
      </c>
      <c r="J5365" t="s">
        <v>182</v>
      </c>
      <c r="K5365" t="s">
        <v>183</v>
      </c>
      <c r="L5365">
        <v>11</v>
      </c>
      <c r="M5365" t="s">
        <v>17977</v>
      </c>
      <c r="N5365" t="s">
        <v>64</v>
      </c>
      <c r="O5365" t="s">
        <v>46</v>
      </c>
      <c r="P5365" t="s">
        <v>46</v>
      </c>
      <c r="Y5365" t="s">
        <v>17981</v>
      </c>
    </row>
    <row r="5366" spans="1:25">
      <c r="A5366" t="s">
        <v>17982</v>
      </c>
      <c r="B5366" t="s">
        <v>17983</v>
      </c>
      <c r="D5366" t="s">
        <v>40</v>
      </c>
      <c r="E5366" t="s">
        <v>41</v>
      </c>
      <c r="J5366" t="s">
        <v>68</v>
      </c>
      <c r="K5366" t="s">
        <v>69</v>
      </c>
      <c r="L5366">
        <v>11</v>
      </c>
      <c r="M5366" t="s">
        <v>17984</v>
      </c>
      <c r="N5366" t="s">
        <v>64</v>
      </c>
      <c r="O5366" t="s">
        <v>46</v>
      </c>
      <c r="P5366" t="s">
        <v>46</v>
      </c>
      <c r="Y5366" t="s">
        <v>17985</v>
      </c>
    </row>
    <row r="5367" spans="1:25">
      <c r="A5367" t="s">
        <v>17986</v>
      </c>
      <c r="B5367" t="s">
        <v>17987</v>
      </c>
      <c r="D5367" t="s">
        <v>40</v>
      </c>
      <c r="E5367" t="s">
        <v>41</v>
      </c>
      <c r="J5367" t="s">
        <v>68</v>
      </c>
      <c r="K5367" t="s">
        <v>69</v>
      </c>
      <c r="L5367">
        <v>11</v>
      </c>
      <c r="M5367" t="s">
        <v>17984</v>
      </c>
      <c r="N5367" t="s">
        <v>64</v>
      </c>
      <c r="O5367" t="s">
        <v>46</v>
      </c>
      <c r="P5367" t="s">
        <v>46</v>
      </c>
      <c r="Y5367" t="s">
        <v>17988</v>
      </c>
    </row>
    <row r="5368" spans="1:25">
      <c r="A5368" t="s">
        <v>17989</v>
      </c>
      <c r="B5368" t="s">
        <v>17990</v>
      </c>
      <c r="D5368" t="s">
        <v>40</v>
      </c>
      <c r="E5368" t="s">
        <v>41</v>
      </c>
      <c r="J5368" t="s">
        <v>68</v>
      </c>
      <c r="K5368" t="s">
        <v>69</v>
      </c>
      <c r="L5368">
        <v>11</v>
      </c>
      <c r="M5368" t="s">
        <v>17984</v>
      </c>
      <c r="N5368" t="s">
        <v>64</v>
      </c>
      <c r="O5368" t="s">
        <v>46</v>
      </c>
      <c r="P5368" t="s">
        <v>46</v>
      </c>
      <c r="Y5368" t="s">
        <v>17991</v>
      </c>
    </row>
    <row r="5369" spans="1:25">
      <c r="A5369" t="s">
        <v>17992</v>
      </c>
      <c r="B5369" t="s">
        <v>17993</v>
      </c>
      <c r="D5369" t="s">
        <v>40</v>
      </c>
      <c r="E5369" t="s">
        <v>41</v>
      </c>
      <c r="J5369" t="s">
        <v>68</v>
      </c>
      <c r="K5369" t="s">
        <v>69</v>
      </c>
      <c r="L5369">
        <v>11</v>
      </c>
      <c r="M5369" t="s">
        <v>17984</v>
      </c>
      <c r="N5369" t="s">
        <v>64</v>
      </c>
      <c r="O5369" t="s">
        <v>46</v>
      </c>
      <c r="P5369" t="s">
        <v>46</v>
      </c>
      <c r="Y5369" t="s">
        <v>17994</v>
      </c>
    </row>
    <row r="5370" spans="1:25">
      <c r="A5370" t="s">
        <v>17995</v>
      </c>
      <c r="B5370" t="s">
        <v>17996</v>
      </c>
      <c r="D5370" t="s">
        <v>40</v>
      </c>
      <c r="E5370" t="s">
        <v>41</v>
      </c>
      <c r="J5370" t="s">
        <v>68</v>
      </c>
      <c r="K5370" t="s">
        <v>69</v>
      </c>
      <c r="L5370">
        <v>11</v>
      </c>
      <c r="M5370" t="s">
        <v>17984</v>
      </c>
      <c r="N5370" t="s">
        <v>64</v>
      </c>
      <c r="O5370" t="s">
        <v>46</v>
      </c>
      <c r="P5370" t="s">
        <v>46</v>
      </c>
      <c r="Y5370" t="s">
        <v>17997</v>
      </c>
    </row>
    <row r="5371" spans="1:25">
      <c r="A5371" t="s">
        <v>17998</v>
      </c>
      <c r="B5371" t="s">
        <v>17999</v>
      </c>
      <c r="D5371" t="s">
        <v>40</v>
      </c>
      <c r="E5371" t="s">
        <v>41</v>
      </c>
      <c r="J5371" t="s">
        <v>68</v>
      </c>
      <c r="K5371" t="s">
        <v>69</v>
      </c>
      <c r="L5371">
        <v>11</v>
      </c>
      <c r="M5371" t="s">
        <v>18000</v>
      </c>
      <c r="N5371" t="s">
        <v>64</v>
      </c>
      <c r="O5371" t="s">
        <v>46</v>
      </c>
      <c r="P5371" t="s">
        <v>46</v>
      </c>
      <c r="Y5371" t="s">
        <v>18001</v>
      </c>
    </row>
    <row r="5372" spans="1:25">
      <c r="A5372" t="s">
        <v>18002</v>
      </c>
      <c r="B5372" t="s">
        <v>18003</v>
      </c>
      <c r="D5372" t="s">
        <v>40</v>
      </c>
      <c r="E5372" t="s">
        <v>41</v>
      </c>
      <c r="J5372" t="s">
        <v>76</v>
      </c>
      <c r="K5372" t="s">
        <v>77</v>
      </c>
      <c r="L5372">
        <v>11</v>
      </c>
      <c r="M5372" t="s">
        <v>18000</v>
      </c>
      <c r="N5372" t="s">
        <v>64</v>
      </c>
      <c r="O5372" t="s">
        <v>46</v>
      </c>
      <c r="P5372" t="s">
        <v>46</v>
      </c>
      <c r="Y5372" t="s">
        <v>18004</v>
      </c>
    </row>
    <row r="5373" spans="1:25">
      <c r="A5373" t="s">
        <v>18005</v>
      </c>
      <c r="B5373" t="s">
        <v>18006</v>
      </c>
      <c r="D5373" t="s">
        <v>40</v>
      </c>
      <c r="E5373" t="s">
        <v>41</v>
      </c>
      <c r="J5373" t="s">
        <v>182</v>
      </c>
      <c r="K5373" t="s">
        <v>183</v>
      </c>
      <c r="L5373">
        <v>11</v>
      </c>
      <c r="M5373" t="s">
        <v>18000</v>
      </c>
      <c r="N5373" t="s">
        <v>64</v>
      </c>
      <c r="O5373" t="s">
        <v>46</v>
      </c>
      <c r="P5373" t="s">
        <v>46</v>
      </c>
      <c r="Y5373" t="s">
        <v>18007</v>
      </c>
    </row>
    <row r="5374" spans="1:25">
      <c r="A5374" t="s">
        <v>18008</v>
      </c>
      <c r="B5374" t="s">
        <v>18009</v>
      </c>
      <c r="D5374" t="s">
        <v>40</v>
      </c>
      <c r="E5374" t="s">
        <v>41</v>
      </c>
      <c r="J5374" t="s">
        <v>68</v>
      </c>
      <c r="K5374" t="s">
        <v>69</v>
      </c>
      <c r="L5374">
        <v>11</v>
      </c>
      <c r="M5374" t="s">
        <v>18000</v>
      </c>
      <c r="N5374" t="s">
        <v>64</v>
      </c>
      <c r="O5374" t="s">
        <v>46</v>
      </c>
      <c r="P5374" t="s">
        <v>46</v>
      </c>
      <c r="Y5374" t="s">
        <v>18010</v>
      </c>
    </row>
    <row r="5375" spans="1:25">
      <c r="A5375" t="s">
        <v>18011</v>
      </c>
      <c r="B5375" t="s">
        <v>18012</v>
      </c>
      <c r="D5375" t="s">
        <v>40</v>
      </c>
      <c r="E5375" t="s">
        <v>41</v>
      </c>
      <c r="J5375" t="s">
        <v>68</v>
      </c>
      <c r="K5375" t="s">
        <v>69</v>
      </c>
      <c r="L5375">
        <v>11</v>
      </c>
      <c r="M5375" t="s">
        <v>18000</v>
      </c>
      <c r="N5375" t="s">
        <v>64</v>
      </c>
      <c r="O5375" t="s">
        <v>46</v>
      </c>
      <c r="P5375" t="s">
        <v>46</v>
      </c>
      <c r="Y5375" t="s">
        <v>18013</v>
      </c>
    </row>
    <row r="5376" spans="1:25">
      <c r="A5376" t="s">
        <v>18014</v>
      </c>
      <c r="B5376" t="s">
        <v>18015</v>
      </c>
      <c r="D5376" t="s">
        <v>40</v>
      </c>
      <c r="E5376" t="s">
        <v>41</v>
      </c>
      <c r="J5376" t="s">
        <v>68</v>
      </c>
      <c r="K5376" t="s">
        <v>69</v>
      </c>
      <c r="L5376">
        <v>11</v>
      </c>
      <c r="M5376" t="s">
        <v>18000</v>
      </c>
      <c r="N5376" t="s">
        <v>64</v>
      </c>
      <c r="O5376" t="s">
        <v>46</v>
      </c>
      <c r="P5376" t="s">
        <v>46</v>
      </c>
      <c r="Y5376" t="s">
        <v>18016</v>
      </c>
    </row>
    <row r="5377" spans="1:25">
      <c r="A5377" t="s">
        <v>18017</v>
      </c>
      <c r="B5377" t="s">
        <v>18018</v>
      </c>
      <c r="D5377" t="s">
        <v>40</v>
      </c>
      <c r="E5377" t="s">
        <v>41</v>
      </c>
      <c r="J5377" t="s">
        <v>68</v>
      </c>
      <c r="K5377" t="s">
        <v>69</v>
      </c>
      <c r="L5377">
        <v>11</v>
      </c>
      <c r="M5377" t="s">
        <v>18000</v>
      </c>
      <c r="N5377" t="s">
        <v>64</v>
      </c>
      <c r="O5377" t="s">
        <v>46</v>
      </c>
      <c r="P5377" t="s">
        <v>46</v>
      </c>
      <c r="Y5377" t="s">
        <v>18019</v>
      </c>
    </row>
    <row r="5378" spans="1:25">
      <c r="A5378" t="s">
        <v>18020</v>
      </c>
      <c r="B5378" t="s">
        <v>18021</v>
      </c>
      <c r="D5378" t="s">
        <v>40</v>
      </c>
      <c r="E5378" t="s">
        <v>41</v>
      </c>
      <c r="J5378" t="s">
        <v>645</v>
      </c>
      <c r="K5378" t="s">
        <v>646</v>
      </c>
      <c r="L5378">
        <v>11</v>
      </c>
      <c r="M5378" t="s">
        <v>18000</v>
      </c>
      <c r="N5378" t="s">
        <v>64</v>
      </c>
      <c r="O5378" t="s">
        <v>46</v>
      </c>
      <c r="P5378" t="s">
        <v>46</v>
      </c>
      <c r="Y5378" t="s">
        <v>18022</v>
      </c>
    </row>
    <row r="5379" spans="1:25">
      <c r="A5379" t="s">
        <v>18023</v>
      </c>
      <c r="B5379" t="s">
        <v>18024</v>
      </c>
      <c r="D5379" t="s">
        <v>40</v>
      </c>
      <c r="E5379" t="s">
        <v>41</v>
      </c>
      <c r="J5379" t="s">
        <v>68</v>
      </c>
      <c r="K5379" t="s">
        <v>69</v>
      </c>
      <c r="L5379">
        <v>11</v>
      </c>
      <c r="M5379" t="s">
        <v>18000</v>
      </c>
      <c r="N5379" t="s">
        <v>64</v>
      </c>
      <c r="O5379" t="s">
        <v>46</v>
      </c>
      <c r="P5379" t="s">
        <v>46</v>
      </c>
      <c r="Y5379" t="s">
        <v>18025</v>
      </c>
    </row>
    <row r="5380" spans="1:25">
      <c r="A5380" t="s">
        <v>18026</v>
      </c>
      <c r="B5380" t="s">
        <v>18027</v>
      </c>
      <c r="D5380" t="s">
        <v>40</v>
      </c>
      <c r="E5380" t="s">
        <v>41</v>
      </c>
      <c r="J5380" t="s">
        <v>68</v>
      </c>
      <c r="K5380" t="s">
        <v>69</v>
      </c>
      <c r="L5380">
        <v>11</v>
      </c>
      <c r="M5380" t="s">
        <v>18000</v>
      </c>
      <c r="N5380" t="s">
        <v>64</v>
      </c>
      <c r="O5380" t="s">
        <v>46</v>
      </c>
      <c r="P5380" t="s">
        <v>46</v>
      </c>
      <c r="Y5380" t="s">
        <v>18028</v>
      </c>
    </row>
    <row r="5381" spans="1:25">
      <c r="A5381" t="s">
        <v>18029</v>
      </c>
      <c r="B5381" t="s">
        <v>18030</v>
      </c>
      <c r="D5381" t="s">
        <v>40</v>
      </c>
      <c r="E5381" t="s">
        <v>41</v>
      </c>
      <c r="J5381" t="s">
        <v>68</v>
      </c>
      <c r="K5381" t="s">
        <v>69</v>
      </c>
      <c r="L5381">
        <v>11</v>
      </c>
      <c r="M5381" t="s">
        <v>18031</v>
      </c>
      <c r="N5381" t="s">
        <v>64</v>
      </c>
      <c r="O5381" t="s">
        <v>46</v>
      </c>
      <c r="P5381" t="s">
        <v>46</v>
      </c>
      <c r="Y5381" t="s">
        <v>18032</v>
      </c>
    </row>
    <row r="5382" spans="1:25">
      <c r="A5382" t="s">
        <v>18033</v>
      </c>
      <c r="B5382" t="s">
        <v>18034</v>
      </c>
      <c r="D5382" t="s">
        <v>40</v>
      </c>
      <c r="E5382" t="s">
        <v>41</v>
      </c>
      <c r="J5382" t="s">
        <v>182</v>
      </c>
      <c r="K5382" t="s">
        <v>183</v>
      </c>
      <c r="L5382">
        <v>11</v>
      </c>
      <c r="M5382" t="s">
        <v>18031</v>
      </c>
      <c r="N5382" t="s">
        <v>64</v>
      </c>
      <c r="O5382" t="s">
        <v>46</v>
      </c>
      <c r="P5382" t="s">
        <v>46</v>
      </c>
      <c r="Y5382" t="s">
        <v>18035</v>
      </c>
    </row>
    <row r="5383" spans="1:25">
      <c r="A5383" t="s">
        <v>18036</v>
      </c>
      <c r="B5383" t="s">
        <v>18037</v>
      </c>
      <c r="D5383" t="s">
        <v>40</v>
      </c>
      <c r="E5383" t="s">
        <v>41</v>
      </c>
      <c r="J5383" t="s">
        <v>68</v>
      </c>
      <c r="K5383" t="s">
        <v>69</v>
      </c>
      <c r="L5383">
        <v>11</v>
      </c>
      <c r="M5383" t="s">
        <v>18031</v>
      </c>
      <c r="N5383" t="s">
        <v>64</v>
      </c>
      <c r="O5383" t="s">
        <v>46</v>
      </c>
      <c r="P5383" t="s">
        <v>46</v>
      </c>
      <c r="Y5383" t="s">
        <v>18038</v>
      </c>
    </row>
    <row r="5384" spans="1:25">
      <c r="A5384" t="s">
        <v>18039</v>
      </c>
      <c r="B5384" t="s">
        <v>18040</v>
      </c>
      <c r="D5384" t="s">
        <v>40</v>
      </c>
      <c r="E5384" t="s">
        <v>41</v>
      </c>
      <c r="J5384" t="s">
        <v>182</v>
      </c>
      <c r="K5384" t="s">
        <v>183</v>
      </c>
      <c r="L5384">
        <v>11</v>
      </c>
      <c r="M5384" t="s">
        <v>18031</v>
      </c>
      <c r="N5384" t="s">
        <v>64</v>
      </c>
      <c r="O5384" t="s">
        <v>46</v>
      </c>
      <c r="P5384" t="s">
        <v>46</v>
      </c>
      <c r="Y5384" t="s">
        <v>18041</v>
      </c>
    </row>
    <row r="5385" spans="1:25">
      <c r="A5385" t="s">
        <v>18042</v>
      </c>
      <c r="B5385" t="s">
        <v>18043</v>
      </c>
      <c r="D5385" t="s">
        <v>40</v>
      </c>
      <c r="E5385" t="s">
        <v>41</v>
      </c>
      <c r="J5385" t="s">
        <v>68</v>
      </c>
      <c r="K5385" t="s">
        <v>69</v>
      </c>
      <c r="L5385">
        <v>11</v>
      </c>
      <c r="M5385" t="s">
        <v>18031</v>
      </c>
      <c r="N5385" t="s">
        <v>64</v>
      </c>
      <c r="O5385" t="s">
        <v>46</v>
      </c>
      <c r="P5385" t="s">
        <v>46</v>
      </c>
      <c r="Y5385" t="s">
        <v>18044</v>
      </c>
    </row>
    <row r="5386" spans="1:25">
      <c r="A5386" t="s">
        <v>18045</v>
      </c>
      <c r="B5386" t="s">
        <v>18046</v>
      </c>
      <c r="D5386" t="s">
        <v>40</v>
      </c>
      <c r="E5386" t="s">
        <v>41</v>
      </c>
      <c r="J5386" t="s">
        <v>68</v>
      </c>
      <c r="K5386" t="s">
        <v>69</v>
      </c>
      <c r="L5386">
        <v>11</v>
      </c>
      <c r="M5386" t="s">
        <v>18047</v>
      </c>
      <c r="N5386" t="s">
        <v>64</v>
      </c>
      <c r="O5386" t="s">
        <v>46</v>
      </c>
      <c r="P5386" t="s">
        <v>46</v>
      </c>
      <c r="Y5386" t="s">
        <v>18048</v>
      </c>
    </row>
    <row r="5387" spans="1:25">
      <c r="A5387" t="s">
        <v>18049</v>
      </c>
      <c r="B5387" t="s">
        <v>18050</v>
      </c>
      <c r="D5387" t="s">
        <v>40</v>
      </c>
      <c r="E5387" t="s">
        <v>41</v>
      </c>
      <c r="J5387" t="s">
        <v>68</v>
      </c>
      <c r="K5387" t="s">
        <v>69</v>
      </c>
      <c r="L5387">
        <v>11</v>
      </c>
      <c r="M5387" t="s">
        <v>18047</v>
      </c>
      <c r="N5387" t="s">
        <v>64</v>
      </c>
      <c r="O5387" t="s">
        <v>46</v>
      </c>
      <c r="P5387" t="s">
        <v>46</v>
      </c>
      <c r="Y5387" t="s">
        <v>18051</v>
      </c>
    </row>
    <row r="5388" spans="1:25">
      <c r="A5388" t="s">
        <v>18052</v>
      </c>
      <c r="B5388" t="s">
        <v>18053</v>
      </c>
      <c r="D5388" t="s">
        <v>40</v>
      </c>
      <c r="E5388" t="s">
        <v>41</v>
      </c>
      <c r="J5388" t="s">
        <v>68</v>
      </c>
      <c r="K5388" t="s">
        <v>69</v>
      </c>
      <c r="L5388">
        <v>11</v>
      </c>
      <c r="M5388" t="s">
        <v>18047</v>
      </c>
      <c r="N5388" t="s">
        <v>64</v>
      </c>
      <c r="O5388" t="s">
        <v>46</v>
      </c>
      <c r="P5388" t="s">
        <v>46</v>
      </c>
      <c r="Y5388" t="s">
        <v>18054</v>
      </c>
    </row>
    <row r="5389" spans="1:25">
      <c r="A5389" t="s">
        <v>18055</v>
      </c>
      <c r="B5389" t="s">
        <v>18056</v>
      </c>
      <c r="D5389" t="s">
        <v>40</v>
      </c>
      <c r="E5389" t="s">
        <v>41</v>
      </c>
      <c r="J5389" t="s">
        <v>68</v>
      </c>
      <c r="K5389" t="s">
        <v>69</v>
      </c>
      <c r="L5389">
        <v>11</v>
      </c>
      <c r="M5389" t="s">
        <v>18057</v>
      </c>
      <c r="N5389" t="s">
        <v>64</v>
      </c>
      <c r="O5389" t="s">
        <v>46</v>
      </c>
      <c r="P5389" t="s">
        <v>46</v>
      </c>
      <c r="Y5389" t="s">
        <v>18058</v>
      </c>
    </row>
    <row r="5390" spans="1:25">
      <c r="A5390" t="s">
        <v>18059</v>
      </c>
      <c r="B5390" t="s">
        <v>18060</v>
      </c>
      <c r="D5390" t="s">
        <v>40</v>
      </c>
      <c r="E5390" t="s">
        <v>41</v>
      </c>
      <c r="J5390" t="s">
        <v>68</v>
      </c>
      <c r="K5390" t="s">
        <v>69</v>
      </c>
      <c r="L5390">
        <v>11</v>
      </c>
      <c r="M5390" t="s">
        <v>18057</v>
      </c>
      <c r="N5390" t="s">
        <v>64</v>
      </c>
      <c r="O5390" t="s">
        <v>46</v>
      </c>
      <c r="P5390" t="s">
        <v>46</v>
      </c>
      <c r="Y5390" t="s">
        <v>18061</v>
      </c>
    </row>
    <row r="5391" spans="1:25">
      <c r="A5391" t="s">
        <v>18062</v>
      </c>
      <c r="B5391" t="s">
        <v>18063</v>
      </c>
      <c r="D5391" t="s">
        <v>40</v>
      </c>
      <c r="E5391" t="s">
        <v>41</v>
      </c>
      <c r="J5391" t="s">
        <v>182</v>
      </c>
      <c r="K5391" t="s">
        <v>183</v>
      </c>
      <c r="L5391">
        <v>11</v>
      </c>
      <c r="M5391" t="s">
        <v>18057</v>
      </c>
      <c r="N5391" t="s">
        <v>64</v>
      </c>
      <c r="O5391" t="s">
        <v>46</v>
      </c>
      <c r="P5391" t="s">
        <v>46</v>
      </c>
      <c r="Y5391" t="s">
        <v>18064</v>
      </c>
    </row>
    <row r="5392" spans="1:25">
      <c r="A5392" t="s">
        <v>18065</v>
      </c>
      <c r="B5392" t="s">
        <v>18066</v>
      </c>
      <c r="D5392" t="s">
        <v>40</v>
      </c>
      <c r="E5392" t="s">
        <v>41</v>
      </c>
      <c r="J5392" t="s">
        <v>68</v>
      </c>
      <c r="K5392" t="s">
        <v>69</v>
      </c>
      <c r="L5392">
        <v>11</v>
      </c>
      <c r="M5392" t="s">
        <v>18057</v>
      </c>
      <c r="N5392" t="s">
        <v>64</v>
      </c>
      <c r="O5392" t="s">
        <v>46</v>
      </c>
      <c r="P5392" t="s">
        <v>46</v>
      </c>
      <c r="Y5392" t="s">
        <v>18067</v>
      </c>
    </row>
    <row r="5393" spans="1:25">
      <c r="A5393" t="s">
        <v>18068</v>
      </c>
      <c r="B5393" t="s">
        <v>18069</v>
      </c>
      <c r="D5393" t="s">
        <v>40</v>
      </c>
      <c r="E5393" t="s">
        <v>41</v>
      </c>
      <c r="J5393" t="s">
        <v>68</v>
      </c>
      <c r="K5393" t="s">
        <v>69</v>
      </c>
      <c r="L5393">
        <v>11</v>
      </c>
      <c r="M5393" t="s">
        <v>18070</v>
      </c>
      <c r="N5393" t="s">
        <v>64</v>
      </c>
      <c r="O5393" t="s">
        <v>46</v>
      </c>
      <c r="P5393" t="s">
        <v>46</v>
      </c>
      <c r="Y5393" t="s">
        <v>18071</v>
      </c>
    </row>
    <row r="5394" spans="1:25">
      <c r="A5394" t="s">
        <v>18072</v>
      </c>
      <c r="B5394" t="s">
        <v>18073</v>
      </c>
      <c r="D5394" t="s">
        <v>40</v>
      </c>
      <c r="E5394" t="s">
        <v>41</v>
      </c>
      <c r="J5394" t="s">
        <v>68</v>
      </c>
      <c r="K5394" t="s">
        <v>69</v>
      </c>
      <c r="L5394">
        <v>11</v>
      </c>
      <c r="M5394" t="s">
        <v>18070</v>
      </c>
      <c r="N5394" t="s">
        <v>64</v>
      </c>
      <c r="O5394" t="s">
        <v>46</v>
      </c>
      <c r="P5394" t="s">
        <v>46</v>
      </c>
      <c r="Y5394" t="s">
        <v>18074</v>
      </c>
    </row>
    <row r="5395" spans="1:25">
      <c r="A5395" t="s">
        <v>18075</v>
      </c>
      <c r="B5395" t="s">
        <v>18076</v>
      </c>
      <c r="D5395" t="s">
        <v>40</v>
      </c>
      <c r="E5395" t="s">
        <v>41</v>
      </c>
      <c r="J5395" t="s">
        <v>68</v>
      </c>
      <c r="K5395" t="s">
        <v>69</v>
      </c>
      <c r="L5395">
        <v>11</v>
      </c>
      <c r="M5395" t="s">
        <v>18070</v>
      </c>
      <c r="N5395" t="s">
        <v>64</v>
      </c>
      <c r="O5395" t="s">
        <v>46</v>
      </c>
      <c r="P5395" t="s">
        <v>46</v>
      </c>
      <c r="Y5395" t="s">
        <v>18077</v>
      </c>
    </row>
    <row r="5396" spans="1:25">
      <c r="A5396" t="s">
        <v>18078</v>
      </c>
      <c r="B5396" t="s">
        <v>18079</v>
      </c>
      <c r="D5396" t="s">
        <v>40</v>
      </c>
      <c r="E5396" t="s">
        <v>41</v>
      </c>
      <c r="J5396" t="s">
        <v>68</v>
      </c>
      <c r="K5396" t="s">
        <v>69</v>
      </c>
      <c r="L5396">
        <v>11</v>
      </c>
      <c r="M5396" t="s">
        <v>18070</v>
      </c>
      <c r="N5396" t="s">
        <v>64</v>
      </c>
      <c r="O5396" t="s">
        <v>46</v>
      </c>
      <c r="P5396" t="s">
        <v>46</v>
      </c>
      <c r="Y5396" t="s">
        <v>18080</v>
      </c>
    </row>
    <row r="5397" spans="1:25">
      <c r="A5397" t="s">
        <v>18081</v>
      </c>
      <c r="B5397" t="s">
        <v>18082</v>
      </c>
      <c r="D5397" t="s">
        <v>40</v>
      </c>
      <c r="E5397" t="s">
        <v>41</v>
      </c>
      <c r="J5397" t="s">
        <v>42</v>
      </c>
      <c r="K5397" t="s">
        <v>43</v>
      </c>
      <c r="L5397">
        <v>11</v>
      </c>
      <c r="M5397" t="s">
        <v>18070</v>
      </c>
      <c r="N5397" t="s">
        <v>315</v>
      </c>
      <c r="O5397" t="s">
        <v>46</v>
      </c>
      <c r="P5397" t="s">
        <v>46</v>
      </c>
      <c r="Y5397" t="s">
        <v>18083</v>
      </c>
    </row>
    <row r="5398" spans="1:25">
      <c r="A5398" t="s">
        <v>18084</v>
      </c>
      <c r="B5398" t="s">
        <v>18085</v>
      </c>
      <c r="D5398" t="s">
        <v>40</v>
      </c>
      <c r="E5398" t="s">
        <v>41</v>
      </c>
      <c r="J5398" t="s">
        <v>68</v>
      </c>
      <c r="K5398" t="s">
        <v>69</v>
      </c>
      <c r="L5398">
        <v>11</v>
      </c>
      <c r="M5398" t="s">
        <v>18070</v>
      </c>
      <c r="N5398" t="s">
        <v>64</v>
      </c>
      <c r="O5398" t="s">
        <v>46</v>
      </c>
      <c r="P5398" t="s">
        <v>46</v>
      </c>
      <c r="Y5398" t="s">
        <v>18086</v>
      </c>
    </row>
    <row r="5399" spans="1:25">
      <c r="A5399" t="s">
        <v>18087</v>
      </c>
      <c r="B5399" t="s">
        <v>18088</v>
      </c>
      <c r="D5399" t="s">
        <v>40</v>
      </c>
      <c r="E5399" t="s">
        <v>41</v>
      </c>
      <c r="J5399" t="s">
        <v>68</v>
      </c>
      <c r="K5399" t="s">
        <v>69</v>
      </c>
      <c r="L5399">
        <v>11</v>
      </c>
      <c r="M5399" t="s">
        <v>18089</v>
      </c>
      <c r="N5399" t="s">
        <v>64</v>
      </c>
      <c r="O5399" t="s">
        <v>46</v>
      </c>
      <c r="P5399" t="s">
        <v>46</v>
      </c>
      <c r="Y5399" t="s">
        <v>18090</v>
      </c>
    </row>
    <row r="5400" spans="1:25">
      <c r="A5400" t="s">
        <v>18091</v>
      </c>
      <c r="B5400" t="s">
        <v>18092</v>
      </c>
      <c r="D5400" t="s">
        <v>40</v>
      </c>
      <c r="E5400" t="s">
        <v>41</v>
      </c>
      <c r="J5400" t="s">
        <v>182</v>
      </c>
      <c r="K5400" t="s">
        <v>183</v>
      </c>
      <c r="L5400">
        <v>11</v>
      </c>
      <c r="M5400" t="s">
        <v>18089</v>
      </c>
      <c r="N5400" t="s">
        <v>64</v>
      </c>
      <c r="O5400" t="s">
        <v>46</v>
      </c>
      <c r="P5400" t="s">
        <v>46</v>
      </c>
      <c r="Y5400" t="s">
        <v>18093</v>
      </c>
    </row>
    <row r="5401" spans="1:25">
      <c r="A5401" t="s">
        <v>18094</v>
      </c>
      <c r="B5401" t="s">
        <v>18095</v>
      </c>
      <c r="D5401" t="s">
        <v>40</v>
      </c>
      <c r="E5401" t="s">
        <v>41</v>
      </c>
      <c r="J5401" t="s">
        <v>645</v>
      </c>
      <c r="K5401" t="s">
        <v>646</v>
      </c>
      <c r="L5401">
        <v>11</v>
      </c>
      <c r="M5401" t="s">
        <v>18089</v>
      </c>
      <c r="N5401" t="s">
        <v>64</v>
      </c>
      <c r="O5401" t="s">
        <v>46</v>
      </c>
      <c r="P5401" t="s">
        <v>46</v>
      </c>
      <c r="Y5401" t="s">
        <v>18096</v>
      </c>
    </row>
    <row r="5402" spans="1:25">
      <c r="A5402" t="s">
        <v>18097</v>
      </c>
      <c r="B5402" t="s">
        <v>18098</v>
      </c>
      <c r="D5402" t="s">
        <v>40</v>
      </c>
      <c r="E5402" t="s">
        <v>41</v>
      </c>
      <c r="J5402" t="s">
        <v>68</v>
      </c>
      <c r="K5402" t="s">
        <v>69</v>
      </c>
      <c r="L5402">
        <v>11</v>
      </c>
      <c r="M5402" t="s">
        <v>18089</v>
      </c>
      <c r="N5402" t="s">
        <v>64</v>
      </c>
      <c r="O5402" t="s">
        <v>46</v>
      </c>
      <c r="P5402" t="s">
        <v>46</v>
      </c>
      <c r="Y5402" t="s">
        <v>18099</v>
      </c>
    </row>
    <row r="5403" spans="1:25">
      <c r="A5403" t="s">
        <v>18100</v>
      </c>
      <c r="B5403" t="s">
        <v>18101</v>
      </c>
      <c r="D5403" t="s">
        <v>40</v>
      </c>
      <c r="E5403" t="s">
        <v>41</v>
      </c>
      <c r="J5403" t="s">
        <v>68</v>
      </c>
      <c r="K5403" t="s">
        <v>69</v>
      </c>
      <c r="L5403">
        <v>11</v>
      </c>
      <c r="M5403" t="s">
        <v>18089</v>
      </c>
      <c r="N5403" t="s">
        <v>64</v>
      </c>
      <c r="O5403" t="s">
        <v>46</v>
      </c>
      <c r="P5403" t="s">
        <v>46</v>
      </c>
      <c r="Y5403" t="s">
        <v>18102</v>
      </c>
    </row>
    <row r="5404" spans="1:25">
      <c r="A5404" t="s">
        <v>18103</v>
      </c>
      <c r="B5404" t="s">
        <v>18104</v>
      </c>
      <c r="D5404" t="s">
        <v>40</v>
      </c>
      <c r="E5404" t="s">
        <v>41</v>
      </c>
      <c r="J5404" t="s">
        <v>182</v>
      </c>
      <c r="K5404" t="s">
        <v>183</v>
      </c>
      <c r="L5404">
        <v>11</v>
      </c>
      <c r="M5404" t="s">
        <v>18089</v>
      </c>
      <c r="N5404" t="s">
        <v>64</v>
      </c>
      <c r="O5404" t="s">
        <v>46</v>
      </c>
      <c r="P5404" t="s">
        <v>46</v>
      </c>
      <c r="Y5404" t="s">
        <v>18105</v>
      </c>
    </row>
    <row r="5405" spans="1:25">
      <c r="A5405" t="s">
        <v>18106</v>
      </c>
      <c r="B5405" t="s">
        <v>18107</v>
      </c>
      <c r="D5405" t="s">
        <v>40</v>
      </c>
      <c r="E5405" t="s">
        <v>41</v>
      </c>
      <c r="J5405" t="s">
        <v>68</v>
      </c>
      <c r="K5405" t="s">
        <v>69</v>
      </c>
      <c r="L5405">
        <v>11</v>
      </c>
      <c r="M5405" t="s">
        <v>18089</v>
      </c>
      <c r="N5405" t="s">
        <v>64</v>
      </c>
      <c r="O5405" t="s">
        <v>46</v>
      </c>
      <c r="P5405" t="s">
        <v>46</v>
      </c>
      <c r="Y5405" t="s">
        <v>18108</v>
      </c>
    </row>
    <row r="5406" spans="1:25">
      <c r="A5406" t="s">
        <v>18109</v>
      </c>
      <c r="B5406" t="s">
        <v>18110</v>
      </c>
      <c r="D5406" t="s">
        <v>40</v>
      </c>
      <c r="E5406" t="s">
        <v>41</v>
      </c>
      <c r="J5406" t="s">
        <v>68</v>
      </c>
      <c r="K5406" t="s">
        <v>69</v>
      </c>
      <c r="L5406">
        <v>11</v>
      </c>
      <c r="M5406" t="s">
        <v>18089</v>
      </c>
      <c r="N5406" t="s">
        <v>64</v>
      </c>
      <c r="O5406" t="s">
        <v>46</v>
      </c>
      <c r="P5406" t="s">
        <v>46</v>
      </c>
      <c r="Y5406" t="s">
        <v>18111</v>
      </c>
    </row>
    <row r="5407" spans="1:25">
      <c r="A5407" t="s">
        <v>18112</v>
      </c>
      <c r="B5407" t="s">
        <v>18113</v>
      </c>
      <c r="D5407" t="s">
        <v>40</v>
      </c>
      <c r="E5407" t="s">
        <v>41</v>
      </c>
      <c r="J5407" t="s">
        <v>68</v>
      </c>
      <c r="K5407" t="s">
        <v>69</v>
      </c>
      <c r="L5407">
        <v>11</v>
      </c>
      <c r="M5407" t="s">
        <v>18089</v>
      </c>
      <c r="N5407" t="s">
        <v>64</v>
      </c>
      <c r="O5407" t="s">
        <v>46</v>
      </c>
      <c r="P5407" t="s">
        <v>46</v>
      </c>
      <c r="Y5407" t="s">
        <v>18114</v>
      </c>
    </row>
    <row r="5408" spans="1:25">
      <c r="A5408" t="s">
        <v>18115</v>
      </c>
      <c r="B5408" t="s">
        <v>18116</v>
      </c>
      <c r="D5408" t="s">
        <v>40</v>
      </c>
      <c r="E5408" t="s">
        <v>41</v>
      </c>
      <c r="J5408" t="s">
        <v>182</v>
      </c>
      <c r="K5408" t="s">
        <v>183</v>
      </c>
      <c r="L5408">
        <v>11</v>
      </c>
      <c r="M5408" t="s">
        <v>18089</v>
      </c>
      <c r="N5408" t="s">
        <v>64</v>
      </c>
      <c r="O5408" t="s">
        <v>46</v>
      </c>
      <c r="P5408" t="s">
        <v>46</v>
      </c>
      <c r="Y5408" t="s">
        <v>18117</v>
      </c>
    </row>
    <row r="5409" spans="1:25">
      <c r="A5409" t="s">
        <v>18118</v>
      </c>
      <c r="B5409" t="s">
        <v>18119</v>
      </c>
      <c r="D5409" t="s">
        <v>40</v>
      </c>
      <c r="E5409" t="s">
        <v>41</v>
      </c>
      <c r="J5409" t="s">
        <v>68</v>
      </c>
      <c r="K5409" t="s">
        <v>69</v>
      </c>
      <c r="L5409">
        <v>11</v>
      </c>
      <c r="M5409" t="s">
        <v>18089</v>
      </c>
      <c r="N5409" t="s">
        <v>64</v>
      </c>
      <c r="O5409" t="s">
        <v>46</v>
      </c>
      <c r="P5409" t="s">
        <v>46</v>
      </c>
      <c r="Y5409" t="s">
        <v>18120</v>
      </c>
    </row>
    <row r="5410" spans="1:25">
      <c r="A5410" t="s">
        <v>18121</v>
      </c>
      <c r="B5410" t="s">
        <v>18122</v>
      </c>
      <c r="D5410" t="s">
        <v>40</v>
      </c>
      <c r="E5410" t="s">
        <v>41</v>
      </c>
      <c r="J5410" t="s">
        <v>68</v>
      </c>
      <c r="K5410" t="s">
        <v>69</v>
      </c>
      <c r="L5410">
        <v>11</v>
      </c>
      <c r="M5410" t="s">
        <v>18089</v>
      </c>
      <c r="N5410" t="s">
        <v>64</v>
      </c>
      <c r="O5410" t="s">
        <v>46</v>
      </c>
      <c r="P5410" t="s">
        <v>46</v>
      </c>
      <c r="Y5410" t="s">
        <v>18123</v>
      </c>
    </row>
    <row r="5411" spans="1:25">
      <c r="A5411" t="s">
        <v>18124</v>
      </c>
      <c r="B5411" t="s">
        <v>18125</v>
      </c>
      <c r="D5411" t="s">
        <v>40</v>
      </c>
      <c r="E5411" t="s">
        <v>41</v>
      </c>
      <c r="J5411" t="s">
        <v>68</v>
      </c>
      <c r="K5411" t="s">
        <v>69</v>
      </c>
      <c r="L5411">
        <v>11</v>
      </c>
      <c r="M5411" t="s">
        <v>18126</v>
      </c>
      <c r="N5411" t="s">
        <v>64</v>
      </c>
      <c r="O5411" t="s">
        <v>46</v>
      </c>
      <c r="P5411" t="s">
        <v>46</v>
      </c>
      <c r="Y5411" t="s">
        <v>18127</v>
      </c>
    </row>
    <row r="5412" spans="1:25">
      <c r="A5412" t="s">
        <v>18128</v>
      </c>
      <c r="B5412" t="s">
        <v>18129</v>
      </c>
      <c r="D5412" t="s">
        <v>40</v>
      </c>
      <c r="E5412" t="s">
        <v>41</v>
      </c>
      <c r="J5412" t="s">
        <v>68</v>
      </c>
      <c r="K5412" t="s">
        <v>69</v>
      </c>
      <c r="L5412">
        <v>11</v>
      </c>
      <c r="M5412" t="s">
        <v>18126</v>
      </c>
      <c r="N5412" t="s">
        <v>64</v>
      </c>
      <c r="O5412" t="s">
        <v>46</v>
      </c>
      <c r="P5412" t="s">
        <v>46</v>
      </c>
      <c r="Y5412" t="s">
        <v>18130</v>
      </c>
    </row>
    <row r="5413" spans="1:25">
      <c r="A5413" t="s">
        <v>18131</v>
      </c>
      <c r="B5413" t="s">
        <v>18132</v>
      </c>
      <c r="D5413" t="s">
        <v>40</v>
      </c>
      <c r="E5413" t="s">
        <v>41</v>
      </c>
      <c r="J5413" t="s">
        <v>68</v>
      </c>
      <c r="K5413" t="s">
        <v>69</v>
      </c>
      <c r="L5413">
        <v>11</v>
      </c>
      <c r="M5413" t="s">
        <v>18126</v>
      </c>
      <c r="N5413" t="s">
        <v>64</v>
      </c>
      <c r="O5413" t="s">
        <v>46</v>
      </c>
      <c r="P5413" t="s">
        <v>46</v>
      </c>
      <c r="Y5413" t="s">
        <v>18133</v>
      </c>
    </row>
    <row r="5414" spans="1:25">
      <c r="A5414" t="s">
        <v>18134</v>
      </c>
      <c r="B5414" t="s">
        <v>18135</v>
      </c>
      <c r="D5414" t="s">
        <v>40</v>
      </c>
      <c r="E5414" t="s">
        <v>41</v>
      </c>
      <c r="J5414" t="s">
        <v>68</v>
      </c>
      <c r="K5414" t="s">
        <v>69</v>
      </c>
      <c r="L5414">
        <v>11</v>
      </c>
      <c r="M5414" t="s">
        <v>18126</v>
      </c>
      <c r="N5414" t="s">
        <v>64</v>
      </c>
      <c r="O5414" t="s">
        <v>46</v>
      </c>
      <c r="P5414" t="s">
        <v>46</v>
      </c>
      <c r="Y5414" t="s">
        <v>18136</v>
      </c>
    </row>
    <row r="5415" spans="1:25">
      <c r="A5415" t="s">
        <v>18137</v>
      </c>
      <c r="B5415" t="s">
        <v>18138</v>
      </c>
      <c r="D5415" t="s">
        <v>40</v>
      </c>
      <c r="E5415" t="s">
        <v>41</v>
      </c>
      <c r="J5415" t="s">
        <v>68</v>
      </c>
      <c r="K5415" t="s">
        <v>69</v>
      </c>
      <c r="L5415">
        <v>11</v>
      </c>
      <c r="M5415" t="s">
        <v>18126</v>
      </c>
      <c r="N5415" t="s">
        <v>64</v>
      </c>
      <c r="O5415" t="s">
        <v>46</v>
      </c>
      <c r="P5415" t="s">
        <v>46</v>
      </c>
      <c r="Y5415" t="s">
        <v>18139</v>
      </c>
    </row>
    <row r="5416" spans="1:25">
      <c r="A5416" t="s">
        <v>18140</v>
      </c>
      <c r="B5416" t="s">
        <v>18141</v>
      </c>
      <c r="D5416" t="s">
        <v>40</v>
      </c>
      <c r="E5416" t="s">
        <v>41</v>
      </c>
      <c r="J5416" t="s">
        <v>68</v>
      </c>
      <c r="K5416" t="s">
        <v>69</v>
      </c>
      <c r="L5416">
        <v>11</v>
      </c>
      <c r="M5416" t="s">
        <v>18126</v>
      </c>
      <c r="N5416" t="s">
        <v>64</v>
      </c>
      <c r="O5416" t="s">
        <v>46</v>
      </c>
      <c r="P5416" t="s">
        <v>46</v>
      </c>
      <c r="Y5416" t="s">
        <v>18142</v>
      </c>
    </row>
    <row r="5417" spans="1:25">
      <c r="A5417" t="s">
        <v>18143</v>
      </c>
      <c r="B5417" t="s">
        <v>18144</v>
      </c>
      <c r="D5417" t="s">
        <v>40</v>
      </c>
      <c r="E5417" t="s">
        <v>41</v>
      </c>
      <c r="J5417" t="s">
        <v>68</v>
      </c>
      <c r="K5417" t="s">
        <v>69</v>
      </c>
      <c r="L5417">
        <v>11</v>
      </c>
      <c r="M5417" t="s">
        <v>18126</v>
      </c>
      <c r="N5417" t="s">
        <v>64</v>
      </c>
      <c r="O5417" t="s">
        <v>46</v>
      </c>
      <c r="P5417" t="s">
        <v>46</v>
      </c>
      <c r="Y5417" t="s">
        <v>18145</v>
      </c>
    </row>
    <row r="5418" spans="1:25">
      <c r="A5418" t="s">
        <v>18146</v>
      </c>
      <c r="B5418" t="s">
        <v>18147</v>
      </c>
      <c r="D5418" t="s">
        <v>40</v>
      </c>
      <c r="E5418" t="s">
        <v>41</v>
      </c>
      <c r="J5418" t="s">
        <v>68</v>
      </c>
      <c r="K5418" t="s">
        <v>69</v>
      </c>
      <c r="L5418">
        <v>11</v>
      </c>
      <c r="M5418" t="s">
        <v>18148</v>
      </c>
      <c r="N5418" t="s">
        <v>64</v>
      </c>
      <c r="O5418" t="s">
        <v>46</v>
      </c>
      <c r="P5418" t="s">
        <v>46</v>
      </c>
      <c r="Y5418" t="s">
        <v>18149</v>
      </c>
    </row>
    <row r="5419" spans="1:25">
      <c r="A5419" t="s">
        <v>18150</v>
      </c>
      <c r="B5419" t="s">
        <v>18151</v>
      </c>
      <c r="D5419" t="s">
        <v>40</v>
      </c>
      <c r="E5419" t="s">
        <v>41</v>
      </c>
      <c r="J5419" t="s">
        <v>68</v>
      </c>
      <c r="K5419" t="s">
        <v>69</v>
      </c>
      <c r="L5419">
        <v>11</v>
      </c>
      <c r="M5419" t="s">
        <v>18148</v>
      </c>
      <c r="N5419" t="s">
        <v>64</v>
      </c>
      <c r="O5419" t="s">
        <v>46</v>
      </c>
      <c r="P5419" t="s">
        <v>46</v>
      </c>
      <c r="Y5419" t="s">
        <v>18152</v>
      </c>
    </row>
    <row r="5420" spans="1:25">
      <c r="A5420" t="s">
        <v>18153</v>
      </c>
      <c r="B5420" t="s">
        <v>18154</v>
      </c>
      <c r="D5420" t="s">
        <v>40</v>
      </c>
      <c r="E5420" t="s">
        <v>41</v>
      </c>
      <c r="J5420" t="s">
        <v>68</v>
      </c>
      <c r="K5420" t="s">
        <v>69</v>
      </c>
      <c r="L5420">
        <v>11</v>
      </c>
      <c r="M5420" t="s">
        <v>18148</v>
      </c>
      <c r="N5420" t="s">
        <v>64</v>
      </c>
      <c r="O5420" t="s">
        <v>46</v>
      </c>
      <c r="P5420" t="s">
        <v>46</v>
      </c>
      <c r="Y5420" t="s">
        <v>18155</v>
      </c>
    </row>
    <row r="5421" spans="1:25">
      <c r="A5421" t="s">
        <v>18156</v>
      </c>
      <c r="B5421" t="s">
        <v>18157</v>
      </c>
      <c r="D5421" t="s">
        <v>40</v>
      </c>
      <c r="E5421" t="s">
        <v>41</v>
      </c>
      <c r="J5421" t="s">
        <v>68</v>
      </c>
      <c r="K5421" t="s">
        <v>69</v>
      </c>
      <c r="L5421">
        <v>11</v>
      </c>
      <c r="M5421" t="s">
        <v>18158</v>
      </c>
      <c r="N5421" t="s">
        <v>64</v>
      </c>
      <c r="O5421" t="s">
        <v>46</v>
      </c>
      <c r="P5421" t="s">
        <v>46</v>
      </c>
      <c r="Y5421" t="s">
        <v>18159</v>
      </c>
    </row>
    <row r="5422" spans="1:25">
      <c r="A5422" t="s">
        <v>18160</v>
      </c>
      <c r="B5422" t="s">
        <v>18161</v>
      </c>
      <c r="D5422" t="s">
        <v>40</v>
      </c>
      <c r="E5422" t="s">
        <v>41</v>
      </c>
      <c r="J5422" t="s">
        <v>68</v>
      </c>
      <c r="K5422" t="s">
        <v>69</v>
      </c>
      <c r="L5422">
        <v>11</v>
      </c>
      <c r="M5422" t="s">
        <v>18158</v>
      </c>
      <c r="N5422" t="s">
        <v>64</v>
      </c>
      <c r="O5422" t="s">
        <v>46</v>
      </c>
      <c r="P5422" t="s">
        <v>46</v>
      </c>
      <c r="Y5422" t="s">
        <v>18162</v>
      </c>
    </row>
    <row r="5423" spans="1:25">
      <c r="A5423" t="s">
        <v>18163</v>
      </c>
      <c r="B5423" t="s">
        <v>18164</v>
      </c>
      <c r="D5423" t="s">
        <v>40</v>
      </c>
      <c r="E5423" t="s">
        <v>41</v>
      </c>
      <c r="J5423" t="s">
        <v>68</v>
      </c>
      <c r="K5423" t="s">
        <v>69</v>
      </c>
      <c r="L5423">
        <v>11</v>
      </c>
      <c r="M5423" t="s">
        <v>18158</v>
      </c>
      <c r="N5423" t="s">
        <v>64</v>
      </c>
      <c r="O5423" t="s">
        <v>46</v>
      </c>
      <c r="P5423" t="s">
        <v>46</v>
      </c>
      <c r="Y5423" t="s">
        <v>18165</v>
      </c>
    </row>
    <row r="5424" spans="1:25">
      <c r="A5424" t="s">
        <v>18166</v>
      </c>
      <c r="B5424" t="s">
        <v>18167</v>
      </c>
      <c r="D5424" t="s">
        <v>40</v>
      </c>
      <c r="E5424" t="s">
        <v>41</v>
      </c>
      <c r="J5424" t="s">
        <v>68</v>
      </c>
      <c r="K5424" t="s">
        <v>69</v>
      </c>
      <c r="L5424">
        <v>11</v>
      </c>
      <c r="M5424" t="s">
        <v>18168</v>
      </c>
      <c r="N5424" t="s">
        <v>64</v>
      </c>
      <c r="O5424" t="s">
        <v>46</v>
      </c>
      <c r="P5424" t="s">
        <v>46</v>
      </c>
      <c r="Y5424" t="s">
        <v>18169</v>
      </c>
    </row>
    <row r="5425" spans="1:25">
      <c r="A5425" t="s">
        <v>18170</v>
      </c>
      <c r="B5425" t="s">
        <v>18171</v>
      </c>
      <c r="D5425" t="s">
        <v>40</v>
      </c>
      <c r="E5425" t="s">
        <v>41</v>
      </c>
      <c r="J5425" t="s">
        <v>182</v>
      </c>
      <c r="K5425" t="s">
        <v>183</v>
      </c>
      <c r="L5425">
        <v>11</v>
      </c>
      <c r="M5425" t="s">
        <v>18168</v>
      </c>
      <c r="N5425" t="s">
        <v>64</v>
      </c>
      <c r="O5425" t="s">
        <v>46</v>
      </c>
      <c r="P5425" t="s">
        <v>46</v>
      </c>
      <c r="Y5425" t="s">
        <v>18172</v>
      </c>
    </row>
    <row r="5426" spans="1:25">
      <c r="A5426" t="s">
        <v>18173</v>
      </c>
      <c r="B5426" t="s">
        <v>18174</v>
      </c>
      <c r="D5426" t="s">
        <v>40</v>
      </c>
      <c r="E5426" t="s">
        <v>41</v>
      </c>
      <c r="J5426" t="s">
        <v>182</v>
      </c>
      <c r="K5426" t="s">
        <v>183</v>
      </c>
      <c r="L5426">
        <v>11</v>
      </c>
      <c r="M5426" t="s">
        <v>18168</v>
      </c>
      <c r="N5426" t="s">
        <v>64</v>
      </c>
      <c r="O5426" t="s">
        <v>46</v>
      </c>
      <c r="P5426" t="s">
        <v>46</v>
      </c>
      <c r="Y5426" t="s">
        <v>18175</v>
      </c>
    </row>
    <row r="5427" spans="1:25">
      <c r="A5427" t="s">
        <v>18176</v>
      </c>
      <c r="B5427" t="s">
        <v>18177</v>
      </c>
      <c r="D5427" t="s">
        <v>40</v>
      </c>
      <c r="E5427" t="s">
        <v>41</v>
      </c>
      <c r="J5427" t="s">
        <v>68</v>
      </c>
      <c r="K5427" t="s">
        <v>69</v>
      </c>
      <c r="L5427">
        <v>11</v>
      </c>
      <c r="M5427" t="s">
        <v>18168</v>
      </c>
      <c r="N5427" t="s">
        <v>64</v>
      </c>
      <c r="O5427" t="s">
        <v>46</v>
      </c>
      <c r="P5427" t="s">
        <v>46</v>
      </c>
      <c r="Y5427" t="s">
        <v>18178</v>
      </c>
    </row>
    <row r="5428" spans="1:25">
      <c r="A5428" t="s">
        <v>18179</v>
      </c>
      <c r="B5428" t="s">
        <v>18180</v>
      </c>
      <c r="D5428" t="s">
        <v>40</v>
      </c>
      <c r="E5428" t="s">
        <v>41</v>
      </c>
      <c r="J5428" t="s">
        <v>645</v>
      </c>
      <c r="K5428" t="s">
        <v>646</v>
      </c>
      <c r="L5428">
        <v>11</v>
      </c>
      <c r="M5428" t="s">
        <v>18181</v>
      </c>
      <c r="N5428" t="s">
        <v>64</v>
      </c>
      <c r="O5428" t="s">
        <v>46</v>
      </c>
      <c r="P5428" t="s">
        <v>46</v>
      </c>
      <c r="Y5428" t="s">
        <v>18182</v>
      </c>
    </row>
    <row r="5429" spans="1:25">
      <c r="A5429" t="s">
        <v>18183</v>
      </c>
      <c r="B5429" t="s">
        <v>18184</v>
      </c>
      <c r="D5429" t="s">
        <v>40</v>
      </c>
      <c r="E5429" t="s">
        <v>41</v>
      </c>
      <c r="J5429" t="s">
        <v>182</v>
      </c>
      <c r="K5429" t="s">
        <v>183</v>
      </c>
      <c r="L5429">
        <v>11</v>
      </c>
      <c r="M5429" t="s">
        <v>18181</v>
      </c>
      <c r="N5429" t="s">
        <v>64</v>
      </c>
      <c r="O5429" t="s">
        <v>46</v>
      </c>
      <c r="P5429" t="s">
        <v>46</v>
      </c>
      <c r="Y5429" t="s">
        <v>18185</v>
      </c>
    </row>
    <row r="5430" spans="1:25">
      <c r="A5430" t="s">
        <v>18186</v>
      </c>
      <c r="B5430" t="s">
        <v>18187</v>
      </c>
      <c r="D5430" t="s">
        <v>40</v>
      </c>
      <c r="E5430" t="s">
        <v>41</v>
      </c>
      <c r="J5430" t="s">
        <v>182</v>
      </c>
      <c r="K5430" t="s">
        <v>183</v>
      </c>
      <c r="L5430">
        <v>11</v>
      </c>
      <c r="M5430" t="s">
        <v>18181</v>
      </c>
      <c r="N5430" t="s">
        <v>64</v>
      </c>
      <c r="O5430" t="s">
        <v>46</v>
      </c>
      <c r="P5430" t="s">
        <v>46</v>
      </c>
      <c r="Y5430" t="s">
        <v>18188</v>
      </c>
    </row>
    <row r="5431" spans="1:25">
      <c r="A5431" t="s">
        <v>18189</v>
      </c>
      <c r="B5431" t="s">
        <v>18190</v>
      </c>
      <c r="D5431" t="s">
        <v>40</v>
      </c>
      <c r="E5431" t="s">
        <v>41</v>
      </c>
      <c r="J5431" t="s">
        <v>68</v>
      </c>
      <c r="K5431" t="s">
        <v>69</v>
      </c>
      <c r="L5431">
        <v>11</v>
      </c>
      <c r="M5431" t="s">
        <v>18181</v>
      </c>
      <c r="N5431" t="s">
        <v>64</v>
      </c>
      <c r="O5431" t="s">
        <v>46</v>
      </c>
      <c r="P5431" t="s">
        <v>46</v>
      </c>
      <c r="Y5431" t="s">
        <v>18191</v>
      </c>
    </row>
    <row r="5432" spans="1:25">
      <c r="A5432" t="s">
        <v>18192</v>
      </c>
      <c r="B5432" t="s">
        <v>18193</v>
      </c>
      <c r="D5432" t="s">
        <v>40</v>
      </c>
      <c r="E5432" t="s">
        <v>41</v>
      </c>
      <c r="J5432" t="s">
        <v>182</v>
      </c>
      <c r="K5432" t="s">
        <v>183</v>
      </c>
      <c r="L5432">
        <v>11</v>
      </c>
      <c r="M5432" t="s">
        <v>18194</v>
      </c>
      <c r="N5432" t="s">
        <v>64</v>
      </c>
      <c r="O5432" t="s">
        <v>46</v>
      </c>
      <c r="P5432" t="s">
        <v>46</v>
      </c>
      <c r="Y5432" t="s">
        <v>18195</v>
      </c>
    </row>
    <row r="5433" spans="1:25">
      <c r="A5433" t="s">
        <v>18196</v>
      </c>
      <c r="B5433" t="s">
        <v>18197</v>
      </c>
      <c r="D5433" t="s">
        <v>40</v>
      </c>
      <c r="E5433" t="s">
        <v>41</v>
      </c>
      <c r="J5433" t="s">
        <v>68</v>
      </c>
      <c r="K5433" t="s">
        <v>69</v>
      </c>
      <c r="L5433">
        <v>11</v>
      </c>
      <c r="M5433" t="s">
        <v>18194</v>
      </c>
      <c r="N5433" t="s">
        <v>64</v>
      </c>
      <c r="O5433" t="s">
        <v>46</v>
      </c>
      <c r="P5433" t="s">
        <v>46</v>
      </c>
      <c r="Y5433" t="s">
        <v>18198</v>
      </c>
    </row>
    <row r="5434" spans="1:25">
      <c r="A5434" t="s">
        <v>18199</v>
      </c>
      <c r="B5434" t="s">
        <v>18200</v>
      </c>
      <c r="D5434" t="s">
        <v>40</v>
      </c>
      <c r="E5434" t="s">
        <v>41</v>
      </c>
      <c r="J5434" t="s">
        <v>68</v>
      </c>
      <c r="K5434" t="s">
        <v>69</v>
      </c>
      <c r="L5434">
        <v>11</v>
      </c>
      <c r="M5434" t="s">
        <v>18201</v>
      </c>
      <c r="N5434" t="s">
        <v>64</v>
      </c>
      <c r="O5434" t="s">
        <v>46</v>
      </c>
      <c r="P5434" t="s">
        <v>46</v>
      </c>
      <c r="Y5434" t="s">
        <v>18202</v>
      </c>
    </row>
    <row r="5435" spans="1:25">
      <c r="A5435" t="s">
        <v>18203</v>
      </c>
      <c r="B5435" t="s">
        <v>18204</v>
      </c>
      <c r="D5435" t="s">
        <v>40</v>
      </c>
      <c r="E5435" t="s">
        <v>41</v>
      </c>
      <c r="J5435" t="s">
        <v>182</v>
      </c>
      <c r="K5435" t="s">
        <v>183</v>
      </c>
      <c r="L5435">
        <v>11</v>
      </c>
      <c r="M5435" t="s">
        <v>18201</v>
      </c>
      <c r="N5435" t="s">
        <v>64</v>
      </c>
      <c r="O5435" t="s">
        <v>46</v>
      </c>
      <c r="P5435" t="s">
        <v>46</v>
      </c>
      <c r="Y5435" t="s">
        <v>18205</v>
      </c>
    </row>
    <row r="5436" spans="1:25">
      <c r="A5436" t="s">
        <v>18206</v>
      </c>
      <c r="B5436" t="s">
        <v>18207</v>
      </c>
      <c r="D5436" t="s">
        <v>40</v>
      </c>
      <c r="E5436" t="s">
        <v>41</v>
      </c>
      <c r="J5436" t="s">
        <v>68</v>
      </c>
      <c r="K5436" t="s">
        <v>69</v>
      </c>
      <c r="L5436">
        <v>11</v>
      </c>
      <c r="M5436" t="s">
        <v>18201</v>
      </c>
      <c r="N5436" t="s">
        <v>64</v>
      </c>
      <c r="O5436" t="s">
        <v>46</v>
      </c>
      <c r="P5436" t="s">
        <v>46</v>
      </c>
      <c r="Y5436" t="s">
        <v>18208</v>
      </c>
    </row>
    <row r="5437" spans="1:25">
      <c r="A5437" t="s">
        <v>18209</v>
      </c>
      <c r="B5437" t="s">
        <v>18210</v>
      </c>
      <c r="D5437" t="s">
        <v>40</v>
      </c>
      <c r="E5437" t="s">
        <v>41</v>
      </c>
      <c r="J5437" t="s">
        <v>68</v>
      </c>
      <c r="K5437" t="s">
        <v>69</v>
      </c>
      <c r="L5437">
        <v>11</v>
      </c>
      <c r="M5437" t="s">
        <v>18201</v>
      </c>
      <c r="N5437" t="s">
        <v>64</v>
      </c>
      <c r="O5437" t="s">
        <v>46</v>
      </c>
      <c r="P5437" t="s">
        <v>46</v>
      </c>
      <c r="Y5437" t="s">
        <v>18211</v>
      </c>
    </row>
    <row r="5438" spans="1:25">
      <c r="A5438" t="s">
        <v>18212</v>
      </c>
      <c r="B5438" t="s">
        <v>18213</v>
      </c>
      <c r="D5438" t="s">
        <v>40</v>
      </c>
      <c r="E5438" t="s">
        <v>41</v>
      </c>
      <c r="J5438" t="s">
        <v>68</v>
      </c>
      <c r="K5438" t="s">
        <v>69</v>
      </c>
      <c r="L5438">
        <v>11</v>
      </c>
      <c r="M5438" t="s">
        <v>18214</v>
      </c>
      <c r="N5438" t="s">
        <v>64</v>
      </c>
      <c r="O5438" t="s">
        <v>46</v>
      </c>
      <c r="P5438" t="s">
        <v>46</v>
      </c>
      <c r="Y5438" t="s">
        <v>18215</v>
      </c>
    </row>
    <row r="5439" spans="1:25">
      <c r="A5439" t="s">
        <v>18216</v>
      </c>
      <c r="B5439" t="s">
        <v>18217</v>
      </c>
      <c r="D5439" t="s">
        <v>40</v>
      </c>
      <c r="E5439" t="s">
        <v>41</v>
      </c>
      <c r="J5439" t="s">
        <v>68</v>
      </c>
      <c r="K5439" t="s">
        <v>69</v>
      </c>
      <c r="L5439">
        <v>11</v>
      </c>
      <c r="M5439" t="s">
        <v>18214</v>
      </c>
      <c r="N5439" t="s">
        <v>64</v>
      </c>
      <c r="O5439" t="s">
        <v>46</v>
      </c>
      <c r="P5439" t="s">
        <v>46</v>
      </c>
      <c r="Y5439" t="s">
        <v>18218</v>
      </c>
    </row>
    <row r="5440" spans="1:25">
      <c r="A5440" t="s">
        <v>18219</v>
      </c>
      <c r="B5440" t="s">
        <v>18220</v>
      </c>
      <c r="D5440" t="s">
        <v>40</v>
      </c>
      <c r="E5440" t="s">
        <v>41</v>
      </c>
      <c r="J5440" t="s">
        <v>68</v>
      </c>
      <c r="K5440" t="s">
        <v>69</v>
      </c>
      <c r="L5440">
        <v>11</v>
      </c>
      <c r="M5440" t="s">
        <v>18214</v>
      </c>
      <c r="N5440" t="s">
        <v>64</v>
      </c>
      <c r="O5440" t="s">
        <v>46</v>
      </c>
      <c r="P5440" t="s">
        <v>46</v>
      </c>
      <c r="Y5440" t="s">
        <v>18221</v>
      </c>
    </row>
    <row r="5441" spans="1:25">
      <c r="A5441" t="s">
        <v>18222</v>
      </c>
      <c r="B5441" t="s">
        <v>18223</v>
      </c>
      <c r="D5441" t="s">
        <v>40</v>
      </c>
      <c r="E5441" t="s">
        <v>41</v>
      </c>
      <c r="J5441" t="s">
        <v>68</v>
      </c>
      <c r="K5441" t="s">
        <v>69</v>
      </c>
      <c r="L5441">
        <v>11</v>
      </c>
      <c r="M5441" t="s">
        <v>18214</v>
      </c>
      <c r="N5441" t="s">
        <v>64</v>
      </c>
      <c r="O5441" t="s">
        <v>46</v>
      </c>
      <c r="P5441" t="s">
        <v>46</v>
      </c>
      <c r="Y5441" t="s">
        <v>18224</v>
      </c>
    </row>
    <row r="5442" spans="1:25">
      <c r="A5442" t="s">
        <v>18225</v>
      </c>
      <c r="B5442" t="s">
        <v>18226</v>
      </c>
      <c r="D5442" t="s">
        <v>40</v>
      </c>
      <c r="E5442" t="s">
        <v>41</v>
      </c>
      <c r="J5442" t="s">
        <v>68</v>
      </c>
      <c r="K5442" t="s">
        <v>69</v>
      </c>
      <c r="L5442">
        <v>11</v>
      </c>
      <c r="M5442" t="s">
        <v>18214</v>
      </c>
      <c r="N5442" t="s">
        <v>64</v>
      </c>
      <c r="O5442" t="s">
        <v>46</v>
      </c>
      <c r="P5442" t="s">
        <v>46</v>
      </c>
      <c r="Y5442" t="s">
        <v>18227</v>
      </c>
    </row>
    <row r="5443" spans="1:25">
      <c r="A5443" t="s">
        <v>18228</v>
      </c>
      <c r="B5443" t="s">
        <v>18229</v>
      </c>
      <c r="D5443" t="s">
        <v>40</v>
      </c>
      <c r="E5443" t="s">
        <v>41</v>
      </c>
      <c r="J5443" t="s">
        <v>68</v>
      </c>
      <c r="K5443" t="s">
        <v>69</v>
      </c>
      <c r="L5443">
        <v>11</v>
      </c>
      <c r="M5443" t="s">
        <v>18214</v>
      </c>
      <c r="N5443" t="s">
        <v>64</v>
      </c>
      <c r="O5443" t="s">
        <v>46</v>
      </c>
      <c r="P5443" t="s">
        <v>46</v>
      </c>
      <c r="Y5443" t="s">
        <v>18230</v>
      </c>
    </row>
    <row r="5444" spans="1:25">
      <c r="A5444" t="s">
        <v>18231</v>
      </c>
      <c r="B5444" t="s">
        <v>18232</v>
      </c>
      <c r="D5444" t="s">
        <v>40</v>
      </c>
      <c r="E5444" t="s">
        <v>41</v>
      </c>
      <c r="J5444" t="s">
        <v>68</v>
      </c>
      <c r="K5444" t="s">
        <v>69</v>
      </c>
      <c r="L5444">
        <v>11</v>
      </c>
      <c r="M5444" t="s">
        <v>18214</v>
      </c>
      <c r="N5444" t="s">
        <v>64</v>
      </c>
      <c r="O5444" t="s">
        <v>46</v>
      </c>
      <c r="P5444" t="s">
        <v>46</v>
      </c>
      <c r="Y5444" t="s">
        <v>18233</v>
      </c>
    </row>
    <row r="5445" spans="1:25">
      <c r="A5445" t="s">
        <v>18234</v>
      </c>
      <c r="B5445" t="s">
        <v>18235</v>
      </c>
      <c r="D5445" t="s">
        <v>40</v>
      </c>
      <c r="E5445" t="s">
        <v>41</v>
      </c>
      <c r="J5445" t="s">
        <v>68</v>
      </c>
      <c r="K5445" t="s">
        <v>69</v>
      </c>
      <c r="L5445">
        <v>11</v>
      </c>
      <c r="M5445" t="s">
        <v>18214</v>
      </c>
      <c r="N5445" t="s">
        <v>64</v>
      </c>
      <c r="O5445" t="s">
        <v>46</v>
      </c>
      <c r="P5445" t="s">
        <v>46</v>
      </c>
      <c r="Y5445" t="s">
        <v>18236</v>
      </c>
    </row>
    <row r="5446" spans="1:25">
      <c r="A5446" t="s">
        <v>18237</v>
      </c>
      <c r="B5446" t="s">
        <v>18238</v>
      </c>
      <c r="D5446" t="s">
        <v>40</v>
      </c>
      <c r="E5446" t="s">
        <v>41</v>
      </c>
      <c r="J5446" t="s">
        <v>68</v>
      </c>
      <c r="K5446" t="s">
        <v>69</v>
      </c>
      <c r="L5446">
        <v>11</v>
      </c>
      <c r="M5446" t="s">
        <v>18214</v>
      </c>
      <c r="N5446" t="s">
        <v>64</v>
      </c>
      <c r="O5446" t="s">
        <v>46</v>
      </c>
      <c r="P5446" t="s">
        <v>46</v>
      </c>
      <c r="Y5446" t="s">
        <v>18239</v>
      </c>
    </row>
    <row r="5447" spans="1:25">
      <c r="A5447" t="s">
        <v>18240</v>
      </c>
      <c r="B5447" t="s">
        <v>18241</v>
      </c>
      <c r="D5447" t="s">
        <v>40</v>
      </c>
      <c r="E5447" t="s">
        <v>41</v>
      </c>
      <c r="J5447" t="s">
        <v>68</v>
      </c>
      <c r="K5447" t="s">
        <v>69</v>
      </c>
      <c r="L5447">
        <v>11</v>
      </c>
      <c r="M5447" t="s">
        <v>18242</v>
      </c>
      <c r="N5447" t="s">
        <v>64</v>
      </c>
      <c r="O5447" t="s">
        <v>46</v>
      </c>
      <c r="P5447" t="s">
        <v>46</v>
      </c>
      <c r="Y5447" t="s">
        <v>18243</v>
      </c>
    </row>
    <row r="5448" spans="1:25">
      <c r="A5448" t="s">
        <v>18244</v>
      </c>
      <c r="B5448" t="s">
        <v>18245</v>
      </c>
      <c r="D5448" t="s">
        <v>40</v>
      </c>
      <c r="E5448" t="s">
        <v>41</v>
      </c>
      <c r="J5448" t="s">
        <v>182</v>
      </c>
      <c r="K5448" t="s">
        <v>183</v>
      </c>
      <c r="L5448">
        <v>11</v>
      </c>
      <c r="M5448" t="s">
        <v>18242</v>
      </c>
      <c r="N5448" t="s">
        <v>64</v>
      </c>
      <c r="O5448" t="s">
        <v>46</v>
      </c>
      <c r="P5448" t="s">
        <v>46</v>
      </c>
      <c r="Y5448" t="s">
        <v>18246</v>
      </c>
    </row>
    <row r="5449" spans="1:25">
      <c r="A5449" t="s">
        <v>18247</v>
      </c>
      <c r="B5449" t="s">
        <v>18248</v>
      </c>
      <c r="D5449" t="s">
        <v>40</v>
      </c>
      <c r="E5449" t="s">
        <v>41</v>
      </c>
      <c r="J5449" t="s">
        <v>76</v>
      </c>
      <c r="K5449" t="s">
        <v>77</v>
      </c>
      <c r="L5449">
        <v>11</v>
      </c>
      <c r="M5449" t="s">
        <v>18242</v>
      </c>
      <c r="N5449" t="s">
        <v>64</v>
      </c>
      <c r="O5449" t="s">
        <v>46</v>
      </c>
      <c r="P5449" t="s">
        <v>46</v>
      </c>
      <c r="Y5449" t="s">
        <v>18249</v>
      </c>
    </row>
    <row r="5450" spans="1:25">
      <c r="A5450" t="s">
        <v>18250</v>
      </c>
      <c r="B5450" t="s">
        <v>18251</v>
      </c>
      <c r="D5450" t="s">
        <v>40</v>
      </c>
      <c r="E5450" t="s">
        <v>41</v>
      </c>
      <c r="J5450" t="s">
        <v>68</v>
      </c>
      <c r="K5450" t="s">
        <v>69</v>
      </c>
      <c r="L5450">
        <v>11</v>
      </c>
      <c r="M5450" t="s">
        <v>18242</v>
      </c>
      <c r="N5450" t="s">
        <v>64</v>
      </c>
      <c r="O5450" t="s">
        <v>46</v>
      </c>
      <c r="P5450" t="s">
        <v>46</v>
      </c>
      <c r="Y5450" t="s">
        <v>18252</v>
      </c>
    </row>
    <row r="5451" spans="1:25">
      <c r="A5451" t="s">
        <v>18253</v>
      </c>
      <c r="B5451" t="s">
        <v>18254</v>
      </c>
      <c r="D5451" t="s">
        <v>40</v>
      </c>
      <c r="E5451" t="s">
        <v>41</v>
      </c>
      <c r="J5451" t="s">
        <v>182</v>
      </c>
      <c r="K5451" t="s">
        <v>183</v>
      </c>
      <c r="L5451">
        <v>11</v>
      </c>
      <c r="M5451" t="s">
        <v>18242</v>
      </c>
      <c r="N5451" t="s">
        <v>64</v>
      </c>
      <c r="O5451" t="s">
        <v>46</v>
      </c>
      <c r="P5451" t="s">
        <v>46</v>
      </c>
      <c r="Y5451" t="s">
        <v>18255</v>
      </c>
    </row>
    <row r="5452" spans="1:25">
      <c r="A5452" t="s">
        <v>18256</v>
      </c>
      <c r="B5452" t="s">
        <v>18257</v>
      </c>
      <c r="D5452" t="s">
        <v>40</v>
      </c>
      <c r="E5452" t="s">
        <v>41</v>
      </c>
      <c r="J5452" t="s">
        <v>68</v>
      </c>
      <c r="K5452" t="s">
        <v>69</v>
      </c>
      <c r="L5452">
        <v>11</v>
      </c>
      <c r="M5452" t="s">
        <v>18242</v>
      </c>
      <c r="N5452" t="s">
        <v>64</v>
      </c>
      <c r="O5452" t="s">
        <v>46</v>
      </c>
      <c r="P5452" t="s">
        <v>46</v>
      </c>
      <c r="Y5452" t="s">
        <v>18258</v>
      </c>
    </row>
    <row r="5453" spans="1:25">
      <c r="A5453" t="s">
        <v>18259</v>
      </c>
      <c r="B5453" t="s">
        <v>18260</v>
      </c>
      <c r="D5453" t="s">
        <v>40</v>
      </c>
      <c r="E5453" t="s">
        <v>41</v>
      </c>
      <c r="J5453" t="s">
        <v>182</v>
      </c>
      <c r="K5453" t="s">
        <v>183</v>
      </c>
      <c r="L5453">
        <v>11</v>
      </c>
      <c r="M5453" t="s">
        <v>18242</v>
      </c>
      <c r="N5453" t="s">
        <v>64</v>
      </c>
      <c r="O5453" t="s">
        <v>46</v>
      </c>
      <c r="P5453" t="s">
        <v>46</v>
      </c>
      <c r="Y5453" t="s">
        <v>18261</v>
      </c>
    </row>
    <row r="5454" spans="1:25">
      <c r="A5454" t="s">
        <v>18262</v>
      </c>
      <c r="B5454" t="s">
        <v>18263</v>
      </c>
      <c r="D5454" t="s">
        <v>40</v>
      </c>
      <c r="E5454" t="s">
        <v>41</v>
      </c>
      <c r="J5454" t="s">
        <v>68</v>
      </c>
      <c r="K5454" t="s">
        <v>69</v>
      </c>
      <c r="L5454">
        <v>11</v>
      </c>
      <c r="M5454" t="s">
        <v>18242</v>
      </c>
      <c r="N5454" t="s">
        <v>64</v>
      </c>
      <c r="O5454" t="s">
        <v>46</v>
      </c>
      <c r="P5454" t="s">
        <v>46</v>
      </c>
      <c r="Y5454" t="s">
        <v>18264</v>
      </c>
    </row>
    <row r="5455" spans="1:25">
      <c r="A5455" t="s">
        <v>18265</v>
      </c>
      <c r="B5455" t="s">
        <v>18266</v>
      </c>
      <c r="D5455" t="s">
        <v>40</v>
      </c>
      <c r="E5455" t="s">
        <v>41</v>
      </c>
      <c r="J5455" t="s">
        <v>68</v>
      </c>
      <c r="K5455" t="s">
        <v>69</v>
      </c>
      <c r="L5455">
        <v>11</v>
      </c>
      <c r="M5455" t="s">
        <v>18267</v>
      </c>
      <c r="N5455" t="s">
        <v>64</v>
      </c>
      <c r="O5455" t="s">
        <v>46</v>
      </c>
      <c r="P5455" t="s">
        <v>46</v>
      </c>
      <c r="Y5455" t="s">
        <v>18268</v>
      </c>
    </row>
    <row r="5456" spans="1:25">
      <c r="A5456" t="s">
        <v>18269</v>
      </c>
      <c r="B5456" t="s">
        <v>18270</v>
      </c>
      <c r="D5456" t="s">
        <v>40</v>
      </c>
      <c r="E5456" t="s">
        <v>41</v>
      </c>
      <c r="J5456" t="s">
        <v>68</v>
      </c>
      <c r="K5456" t="s">
        <v>69</v>
      </c>
      <c r="L5456">
        <v>11</v>
      </c>
      <c r="M5456" t="s">
        <v>18267</v>
      </c>
      <c r="N5456" t="s">
        <v>64</v>
      </c>
      <c r="O5456" t="s">
        <v>46</v>
      </c>
      <c r="P5456" t="s">
        <v>46</v>
      </c>
      <c r="Y5456" t="s">
        <v>18271</v>
      </c>
    </row>
    <row r="5457" spans="1:25">
      <c r="A5457" t="s">
        <v>18272</v>
      </c>
      <c r="B5457" t="s">
        <v>18273</v>
      </c>
      <c r="D5457" t="s">
        <v>40</v>
      </c>
      <c r="E5457" t="s">
        <v>41</v>
      </c>
      <c r="J5457" t="s">
        <v>68</v>
      </c>
      <c r="K5457" t="s">
        <v>69</v>
      </c>
      <c r="L5457">
        <v>11</v>
      </c>
      <c r="M5457" t="s">
        <v>18267</v>
      </c>
      <c r="N5457" t="s">
        <v>64</v>
      </c>
      <c r="O5457" t="s">
        <v>46</v>
      </c>
      <c r="P5457" t="s">
        <v>46</v>
      </c>
      <c r="Y5457" t="s">
        <v>18274</v>
      </c>
    </row>
    <row r="5458" spans="1:25">
      <c r="A5458" t="s">
        <v>18275</v>
      </c>
      <c r="B5458" t="s">
        <v>18276</v>
      </c>
      <c r="D5458" t="s">
        <v>40</v>
      </c>
      <c r="E5458" t="s">
        <v>41</v>
      </c>
      <c r="J5458" t="s">
        <v>68</v>
      </c>
      <c r="K5458" t="s">
        <v>69</v>
      </c>
      <c r="L5458">
        <v>11</v>
      </c>
      <c r="M5458" t="s">
        <v>18267</v>
      </c>
      <c r="N5458" t="s">
        <v>64</v>
      </c>
      <c r="O5458" t="s">
        <v>46</v>
      </c>
      <c r="P5458" t="s">
        <v>46</v>
      </c>
      <c r="Y5458" t="s">
        <v>18277</v>
      </c>
    </row>
    <row r="5459" spans="1:25">
      <c r="A5459" t="s">
        <v>18278</v>
      </c>
      <c r="B5459" t="s">
        <v>18279</v>
      </c>
      <c r="D5459" t="s">
        <v>40</v>
      </c>
      <c r="E5459" t="s">
        <v>41</v>
      </c>
      <c r="J5459" t="s">
        <v>68</v>
      </c>
      <c r="K5459" t="s">
        <v>69</v>
      </c>
      <c r="L5459">
        <v>11</v>
      </c>
      <c r="M5459" t="s">
        <v>18267</v>
      </c>
      <c r="N5459" t="s">
        <v>64</v>
      </c>
      <c r="O5459" t="s">
        <v>46</v>
      </c>
      <c r="P5459" t="s">
        <v>46</v>
      </c>
      <c r="Y5459" t="s">
        <v>18280</v>
      </c>
    </row>
    <row r="5460" spans="1:25">
      <c r="A5460" t="s">
        <v>18281</v>
      </c>
      <c r="B5460" t="s">
        <v>18282</v>
      </c>
      <c r="D5460" t="s">
        <v>40</v>
      </c>
      <c r="E5460" t="s">
        <v>41</v>
      </c>
      <c r="J5460" t="s">
        <v>68</v>
      </c>
      <c r="K5460" t="s">
        <v>69</v>
      </c>
      <c r="L5460">
        <v>11</v>
      </c>
      <c r="M5460" t="s">
        <v>18267</v>
      </c>
      <c r="N5460" t="s">
        <v>64</v>
      </c>
      <c r="O5460" t="s">
        <v>46</v>
      </c>
      <c r="P5460" t="s">
        <v>46</v>
      </c>
      <c r="Y5460" t="s">
        <v>18283</v>
      </c>
    </row>
    <row r="5461" spans="1:25">
      <c r="A5461" t="s">
        <v>18284</v>
      </c>
      <c r="B5461" t="s">
        <v>18285</v>
      </c>
      <c r="D5461" t="s">
        <v>40</v>
      </c>
      <c r="E5461" t="s">
        <v>41</v>
      </c>
      <c r="J5461" t="s">
        <v>182</v>
      </c>
      <c r="K5461" t="s">
        <v>183</v>
      </c>
      <c r="L5461">
        <v>11</v>
      </c>
      <c r="M5461" t="s">
        <v>18267</v>
      </c>
      <c r="N5461" t="s">
        <v>64</v>
      </c>
      <c r="O5461" t="s">
        <v>46</v>
      </c>
      <c r="P5461" t="s">
        <v>46</v>
      </c>
      <c r="Y5461" t="s">
        <v>18286</v>
      </c>
    </row>
    <row r="5462" spans="1:25">
      <c r="A5462" t="s">
        <v>18287</v>
      </c>
      <c r="B5462" t="s">
        <v>18288</v>
      </c>
      <c r="D5462" t="s">
        <v>40</v>
      </c>
      <c r="E5462" t="s">
        <v>41</v>
      </c>
      <c r="J5462" t="s">
        <v>68</v>
      </c>
      <c r="K5462" t="s">
        <v>69</v>
      </c>
      <c r="L5462">
        <v>11</v>
      </c>
      <c r="M5462" t="s">
        <v>18267</v>
      </c>
      <c r="N5462" t="s">
        <v>64</v>
      </c>
      <c r="O5462" t="s">
        <v>46</v>
      </c>
      <c r="P5462" t="s">
        <v>46</v>
      </c>
      <c r="Y5462" t="s">
        <v>18289</v>
      </c>
    </row>
    <row r="5463" spans="1:25">
      <c r="A5463" t="s">
        <v>18290</v>
      </c>
      <c r="B5463" t="s">
        <v>18291</v>
      </c>
      <c r="D5463" t="s">
        <v>40</v>
      </c>
      <c r="E5463" t="s">
        <v>41</v>
      </c>
      <c r="J5463" t="s">
        <v>182</v>
      </c>
      <c r="K5463" t="s">
        <v>183</v>
      </c>
      <c r="L5463">
        <v>11</v>
      </c>
      <c r="M5463" t="s">
        <v>18267</v>
      </c>
      <c r="N5463" t="s">
        <v>64</v>
      </c>
      <c r="O5463" t="s">
        <v>46</v>
      </c>
      <c r="P5463" t="s">
        <v>46</v>
      </c>
      <c r="Y5463" t="s">
        <v>18292</v>
      </c>
    </row>
    <row r="5464" spans="1:25">
      <c r="A5464" t="s">
        <v>18293</v>
      </c>
      <c r="B5464" t="s">
        <v>18294</v>
      </c>
      <c r="D5464" t="s">
        <v>40</v>
      </c>
      <c r="E5464" t="s">
        <v>41</v>
      </c>
      <c r="J5464" t="s">
        <v>68</v>
      </c>
      <c r="K5464" t="s">
        <v>69</v>
      </c>
      <c r="L5464">
        <v>11</v>
      </c>
      <c r="M5464" t="s">
        <v>18295</v>
      </c>
      <c r="N5464" t="s">
        <v>64</v>
      </c>
      <c r="O5464" t="s">
        <v>46</v>
      </c>
      <c r="P5464" t="s">
        <v>46</v>
      </c>
      <c r="Y5464" t="s">
        <v>18296</v>
      </c>
    </row>
    <row r="5465" spans="1:25">
      <c r="A5465" t="s">
        <v>18297</v>
      </c>
      <c r="B5465" t="s">
        <v>18298</v>
      </c>
      <c r="D5465" t="s">
        <v>40</v>
      </c>
      <c r="E5465" t="s">
        <v>41</v>
      </c>
      <c r="J5465" t="s">
        <v>68</v>
      </c>
      <c r="K5465" t="s">
        <v>69</v>
      </c>
      <c r="L5465">
        <v>11</v>
      </c>
      <c r="M5465" t="s">
        <v>18295</v>
      </c>
      <c r="N5465" t="s">
        <v>64</v>
      </c>
      <c r="O5465" t="s">
        <v>46</v>
      </c>
      <c r="P5465" t="s">
        <v>46</v>
      </c>
      <c r="Y5465" t="s">
        <v>18299</v>
      </c>
    </row>
    <row r="5466" spans="1:25">
      <c r="A5466" t="s">
        <v>18300</v>
      </c>
      <c r="B5466" t="s">
        <v>18301</v>
      </c>
      <c r="D5466" t="s">
        <v>40</v>
      </c>
      <c r="E5466" t="s">
        <v>41</v>
      </c>
      <c r="J5466" t="s">
        <v>68</v>
      </c>
      <c r="K5466" t="s">
        <v>69</v>
      </c>
      <c r="L5466">
        <v>11</v>
      </c>
      <c r="M5466" t="s">
        <v>18295</v>
      </c>
      <c r="N5466" t="s">
        <v>64</v>
      </c>
      <c r="O5466" t="s">
        <v>46</v>
      </c>
      <c r="P5466" t="s">
        <v>46</v>
      </c>
      <c r="Y5466" t="s">
        <v>18302</v>
      </c>
    </row>
    <row r="5467" spans="1:25">
      <c r="A5467" t="s">
        <v>18303</v>
      </c>
      <c r="B5467" t="s">
        <v>18304</v>
      </c>
      <c r="D5467" t="s">
        <v>40</v>
      </c>
      <c r="E5467" t="s">
        <v>41</v>
      </c>
      <c r="J5467" t="s">
        <v>42</v>
      </c>
      <c r="K5467" t="s">
        <v>43</v>
      </c>
      <c r="L5467">
        <v>11</v>
      </c>
      <c r="M5467" t="s">
        <v>18305</v>
      </c>
      <c r="N5467" t="s">
        <v>4037</v>
      </c>
      <c r="O5467" t="s">
        <v>46</v>
      </c>
      <c r="P5467" t="s">
        <v>46</v>
      </c>
      <c r="Y5467" t="s">
        <v>18306</v>
      </c>
    </row>
    <row r="5468" spans="1:25">
      <c r="A5468" t="s">
        <v>18307</v>
      </c>
      <c r="B5468" t="s">
        <v>18308</v>
      </c>
      <c r="D5468" t="s">
        <v>40</v>
      </c>
      <c r="E5468" t="s">
        <v>41</v>
      </c>
      <c r="J5468" t="s">
        <v>68</v>
      </c>
      <c r="K5468" t="s">
        <v>69</v>
      </c>
      <c r="L5468">
        <v>11</v>
      </c>
      <c r="M5468" t="s">
        <v>18305</v>
      </c>
      <c r="N5468" t="s">
        <v>64</v>
      </c>
      <c r="O5468" t="s">
        <v>46</v>
      </c>
      <c r="P5468" t="s">
        <v>46</v>
      </c>
      <c r="Y5468" t="s">
        <v>18309</v>
      </c>
    </row>
    <row r="5469" spans="1:25">
      <c r="A5469" t="s">
        <v>18310</v>
      </c>
      <c r="B5469" t="s">
        <v>18311</v>
      </c>
      <c r="D5469" t="s">
        <v>40</v>
      </c>
      <c r="E5469" t="s">
        <v>41</v>
      </c>
      <c r="J5469" t="s">
        <v>68</v>
      </c>
      <c r="K5469" t="s">
        <v>69</v>
      </c>
      <c r="L5469">
        <v>11</v>
      </c>
      <c r="M5469" t="s">
        <v>18305</v>
      </c>
      <c r="N5469" t="s">
        <v>64</v>
      </c>
      <c r="O5469" t="s">
        <v>46</v>
      </c>
      <c r="P5469" t="s">
        <v>46</v>
      </c>
      <c r="Y5469" t="s">
        <v>18312</v>
      </c>
    </row>
    <row r="5470" spans="1:25">
      <c r="A5470" t="s">
        <v>18313</v>
      </c>
      <c r="B5470" t="s">
        <v>18314</v>
      </c>
      <c r="D5470" t="s">
        <v>40</v>
      </c>
      <c r="E5470" t="s">
        <v>41</v>
      </c>
      <c r="J5470" t="s">
        <v>68</v>
      </c>
      <c r="K5470" t="s">
        <v>69</v>
      </c>
      <c r="L5470">
        <v>11</v>
      </c>
      <c r="M5470" t="s">
        <v>18305</v>
      </c>
      <c r="N5470" t="s">
        <v>64</v>
      </c>
      <c r="O5470" t="s">
        <v>46</v>
      </c>
      <c r="P5470" t="s">
        <v>46</v>
      </c>
      <c r="Y5470" t="s">
        <v>18315</v>
      </c>
    </row>
    <row r="5471" spans="1:25">
      <c r="A5471" t="s">
        <v>18316</v>
      </c>
      <c r="B5471" t="s">
        <v>18317</v>
      </c>
      <c r="D5471" t="s">
        <v>40</v>
      </c>
      <c r="E5471" t="s">
        <v>41</v>
      </c>
      <c r="J5471" t="s">
        <v>68</v>
      </c>
      <c r="K5471" t="s">
        <v>69</v>
      </c>
      <c r="L5471">
        <v>11</v>
      </c>
      <c r="M5471" t="s">
        <v>18305</v>
      </c>
      <c r="N5471" t="s">
        <v>64</v>
      </c>
      <c r="O5471" t="s">
        <v>46</v>
      </c>
      <c r="P5471" t="s">
        <v>46</v>
      </c>
      <c r="Y5471" t="s">
        <v>18318</v>
      </c>
    </row>
    <row r="5472" spans="1:25">
      <c r="A5472" t="s">
        <v>18319</v>
      </c>
      <c r="B5472" t="s">
        <v>18320</v>
      </c>
      <c r="D5472" t="s">
        <v>40</v>
      </c>
      <c r="E5472" t="s">
        <v>41</v>
      </c>
      <c r="J5472" t="s">
        <v>68</v>
      </c>
      <c r="K5472" t="s">
        <v>69</v>
      </c>
      <c r="L5472">
        <v>11</v>
      </c>
      <c r="M5472" t="s">
        <v>18305</v>
      </c>
      <c r="N5472" t="s">
        <v>64</v>
      </c>
      <c r="O5472" t="s">
        <v>46</v>
      </c>
      <c r="P5472" t="s">
        <v>46</v>
      </c>
      <c r="Y5472" t="s">
        <v>18321</v>
      </c>
    </row>
    <row r="5473" spans="1:25">
      <c r="A5473" t="s">
        <v>18322</v>
      </c>
      <c r="B5473" t="s">
        <v>18323</v>
      </c>
      <c r="D5473" t="s">
        <v>40</v>
      </c>
      <c r="E5473" t="s">
        <v>41</v>
      </c>
      <c r="J5473" t="s">
        <v>68</v>
      </c>
      <c r="K5473" t="s">
        <v>69</v>
      </c>
      <c r="L5473">
        <v>11</v>
      </c>
      <c r="M5473" t="s">
        <v>18305</v>
      </c>
      <c r="N5473" t="s">
        <v>64</v>
      </c>
      <c r="O5473" t="s">
        <v>46</v>
      </c>
      <c r="P5473" t="s">
        <v>46</v>
      </c>
      <c r="Y5473" t="s">
        <v>18324</v>
      </c>
    </row>
    <row r="5474" spans="1:25">
      <c r="A5474" t="s">
        <v>18325</v>
      </c>
      <c r="B5474" t="s">
        <v>18326</v>
      </c>
      <c r="D5474" t="s">
        <v>40</v>
      </c>
      <c r="E5474" t="s">
        <v>41</v>
      </c>
      <c r="J5474" t="s">
        <v>68</v>
      </c>
      <c r="K5474" t="s">
        <v>69</v>
      </c>
      <c r="L5474">
        <v>11</v>
      </c>
      <c r="M5474" t="s">
        <v>18305</v>
      </c>
      <c r="N5474" t="s">
        <v>64</v>
      </c>
      <c r="O5474" t="s">
        <v>46</v>
      </c>
      <c r="P5474" t="s">
        <v>46</v>
      </c>
      <c r="Y5474" t="s">
        <v>18327</v>
      </c>
    </row>
    <row r="5475" spans="1:25">
      <c r="A5475" t="s">
        <v>18328</v>
      </c>
      <c r="B5475" t="s">
        <v>18329</v>
      </c>
      <c r="D5475" t="s">
        <v>40</v>
      </c>
      <c r="E5475" t="s">
        <v>41</v>
      </c>
      <c r="J5475" t="s">
        <v>76</v>
      </c>
      <c r="K5475" t="s">
        <v>77</v>
      </c>
      <c r="L5475">
        <v>11</v>
      </c>
      <c r="M5475" t="s">
        <v>18330</v>
      </c>
      <c r="N5475" t="s">
        <v>64</v>
      </c>
      <c r="O5475" t="s">
        <v>46</v>
      </c>
      <c r="P5475" t="s">
        <v>46</v>
      </c>
      <c r="Y5475" t="s">
        <v>18331</v>
      </c>
    </row>
    <row r="5476" spans="1:25">
      <c r="A5476" t="s">
        <v>18332</v>
      </c>
      <c r="B5476" t="s">
        <v>18333</v>
      </c>
      <c r="D5476" t="s">
        <v>40</v>
      </c>
      <c r="E5476" t="s">
        <v>41</v>
      </c>
      <c r="J5476" t="s">
        <v>1114</v>
      </c>
      <c r="K5476" t="s">
        <v>1115</v>
      </c>
      <c r="L5476">
        <v>11</v>
      </c>
      <c r="M5476" t="s">
        <v>18330</v>
      </c>
      <c r="N5476" t="s">
        <v>509</v>
      </c>
      <c r="O5476" t="s">
        <v>46</v>
      </c>
      <c r="P5476" t="s">
        <v>46</v>
      </c>
      <c r="Y5476" t="s">
        <v>18334</v>
      </c>
    </row>
    <row r="5477" spans="1:25">
      <c r="A5477" t="s">
        <v>18335</v>
      </c>
      <c r="B5477" t="s">
        <v>18336</v>
      </c>
      <c r="D5477" t="s">
        <v>40</v>
      </c>
      <c r="E5477" t="s">
        <v>41</v>
      </c>
      <c r="J5477" t="s">
        <v>645</v>
      </c>
      <c r="K5477" t="s">
        <v>646</v>
      </c>
      <c r="L5477">
        <v>11</v>
      </c>
      <c r="M5477" t="s">
        <v>18330</v>
      </c>
      <c r="N5477" t="s">
        <v>64</v>
      </c>
      <c r="O5477" t="s">
        <v>46</v>
      </c>
      <c r="P5477" t="s">
        <v>46</v>
      </c>
      <c r="Y5477" t="s">
        <v>18337</v>
      </c>
    </row>
    <row r="5478" spans="1:25">
      <c r="A5478" t="s">
        <v>18338</v>
      </c>
      <c r="B5478" t="s">
        <v>18339</v>
      </c>
      <c r="D5478" t="s">
        <v>40</v>
      </c>
      <c r="E5478" t="s">
        <v>41</v>
      </c>
      <c r="J5478" t="s">
        <v>68</v>
      </c>
      <c r="K5478" t="s">
        <v>69</v>
      </c>
      <c r="L5478">
        <v>11</v>
      </c>
      <c r="M5478" t="s">
        <v>18330</v>
      </c>
      <c r="N5478" t="s">
        <v>64</v>
      </c>
      <c r="O5478" t="s">
        <v>46</v>
      </c>
      <c r="P5478" t="s">
        <v>46</v>
      </c>
      <c r="Y5478" t="s">
        <v>18340</v>
      </c>
    </row>
    <row r="5479" spans="1:25">
      <c r="A5479" t="s">
        <v>18341</v>
      </c>
      <c r="B5479" t="s">
        <v>18342</v>
      </c>
      <c r="D5479" t="s">
        <v>40</v>
      </c>
      <c r="E5479" t="s">
        <v>41</v>
      </c>
      <c r="J5479" t="s">
        <v>68</v>
      </c>
      <c r="K5479" t="s">
        <v>69</v>
      </c>
      <c r="L5479">
        <v>11</v>
      </c>
      <c r="M5479" t="s">
        <v>18330</v>
      </c>
      <c r="N5479" t="s">
        <v>64</v>
      </c>
      <c r="O5479" t="s">
        <v>46</v>
      </c>
      <c r="P5479" t="s">
        <v>46</v>
      </c>
      <c r="Y5479" t="s">
        <v>18343</v>
      </c>
    </row>
    <row r="5480" spans="1:25">
      <c r="A5480" t="s">
        <v>18344</v>
      </c>
      <c r="B5480" t="s">
        <v>18345</v>
      </c>
      <c r="D5480" t="s">
        <v>40</v>
      </c>
      <c r="E5480" t="s">
        <v>41</v>
      </c>
      <c r="J5480" t="s">
        <v>76</v>
      </c>
      <c r="K5480" t="s">
        <v>77</v>
      </c>
      <c r="L5480">
        <v>11</v>
      </c>
      <c r="M5480" t="s">
        <v>18330</v>
      </c>
      <c r="N5480" t="s">
        <v>64</v>
      </c>
      <c r="O5480" t="s">
        <v>46</v>
      </c>
      <c r="P5480" t="s">
        <v>46</v>
      </c>
      <c r="Y5480" t="s">
        <v>18346</v>
      </c>
    </row>
    <row r="5481" spans="1:25">
      <c r="A5481" t="s">
        <v>18347</v>
      </c>
      <c r="B5481" t="s">
        <v>18348</v>
      </c>
      <c r="D5481" t="s">
        <v>40</v>
      </c>
      <c r="E5481" t="s">
        <v>41</v>
      </c>
      <c r="J5481" t="s">
        <v>68</v>
      </c>
      <c r="K5481" t="s">
        <v>69</v>
      </c>
      <c r="L5481">
        <v>11</v>
      </c>
      <c r="M5481" t="s">
        <v>18330</v>
      </c>
      <c r="N5481" t="s">
        <v>64</v>
      </c>
      <c r="O5481" t="s">
        <v>46</v>
      </c>
      <c r="P5481" t="s">
        <v>46</v>
      </c>
      <c r="Y5481" t="s">
        <v>18349</v>
      </c>
    </row>
    <row r="5482" spans="1:25">
      <c r="A5482" t="s">
        <v>18350</v>
      </c>
      <c r="B5482" t="s">
        <v>18351</v>
      </c>
      <c r="D5482" t="s">
        <v>40</v>
      </c>
      <c r="E5482" t="s">
        <v>41</v>
      </c>
      <c r="J5482" t="s">
        <v>68</v>
      </c>
      <c r="K5482" t="s">
        <v>69</v>
      </c>
      <c r="L5482">
        <v>11</v>
      </c>
      <c r="M5482" t="s">
        <v>18330</v>
      </c>
      <c r="N5482" t="s">
        <v>64</v>
      </c>
      <c r="O5482" t="s">
        <v>46</v>
      </c>
      <c r="P5482" t="s">
        <v>46</v>
      </c>
      <c r="Y5482" t="s">
        <v>18352</v>
      </c>
    </row>
    <row r="5483" spans="1:25">
      <c r="A5483" t="s">
        <v>18353</v>
      </c>
      <c r="B5483" t="s">
        <v>18354</v>
      </c>
      <c r="D5483" t="s">
        <v>40</v>
      </c>
      <c r="E5483" t="s">
        <v>41</v>
      </c>
      <c r="J5483" t="s">
        <v>76</v>
      </c>
      <c r="K5483" t="s">
        <v>77</v>
      </c>
      <c r="L5483">
        <v>11</v>
      </c>
      <c r="M5483" t="s">
        <v>18330</v>
      </c>
      <c r="N5483" t="s">
        <v>64</v>
      </c>
      <c r="O5483" t="s">
        <v>46</v>
      </c>
      <c r="P5483" t="s">
        <v>46</v>
      </c>
      <c r="Y5483" t="s">
        <v>18355</v>
      </c>
    </row>
    <row r="5484" spans="1:25">
      <c r="A5484" t="s">
        <v>18356</v>
      </c>
      <c r="B5484" t="s">
        <v>18357</v>
      </c>
      <c r="D5484" t="s">
        <v>40</v>
      </c>
      <c r="E5484" t="s">
        <v>41</v>
      </c>
      <c r="J5484" t="s">
        <v>68</v>
      </c>
      <c r="K5484" t="s">
        <v>69</v>
      </c>
      <c r="L5484">
        <v>11</v>
      </c>
      <c r="M5484" t="s">
        <v>18330</v>
      </c>
      <c r="N5484" t="s">
        <v>64</v>
      </c>
      <c r="O5484" t="s">
        <v>46</v>
      </c>
      <c r="P5484" t="s">
        <v>46</v>
      </c>
      <c r="Y5484" t="s">
        <v>18358</v>
      </c>
    </row>
    <row r="5485" spans="1:25">
      <c r="A5485" t="s">
        <v>18359</v>
      </c>
      <c r="B5485" t="s">
        <v>18360</v>
      </c>
      <c r="D5485" t="s">
        <v>40</v>
      </c>
      <c r="E5485" t="s">
        <v>41</v>
      </c>
      <c r="J5485" t="s">
        <v>68</v>
      </c>
      <c r="K5485" t="s">
        <v>69</v>
      </c>
      <c r="L5485">
        <v>11</v>
      </c>
      <c r="M5485" t="s">
        <v>18361</v>
      </c>
      <c r="N5485" t="s">
        <v>64</v>
      </c>
      <c r="O5485" t="s">
        <v>46</v>
      </c>
      <c r="P5485" t="s">
        <v>46</v>
      </c>
      <c r="Y5485" t="s">
        <v>18362</v>
      </c>
    </row>
    <row r="5486" spans="1:25">
      <c r="A5486" t="s">
        <v>18363</v>
      </c>
      <c r="B5486" t="s">
        <v>18364</v>
      </c>
      <c r="D5486" t="s">
        <v>40</v>
      </c>
      <c r="E5486" t="s">
        <v>41</v>
      </c>
      <c r="J5486" t="s">
        <v>68</v>
      </c>
      <c r="K5486" t="s">
        <v>69</v>
      </c>
      <c r="L5486">
        <v>11</v>
      </c>
      <c r="M5486" t="s">
        <v>18361</v>
      </c>
      <c r="N5486" t="s">
        <v>64</v>
      </c>
      <c r="O5486" t="s">
        <v>46</v>
      </c>
      <c r="P5486" t="s">
        <v>46</v>
      </c>
      <c r="Y5486" t="s">
        <v>18365</v>
      </c>
    </row>
    <row r="5487" spans="1:25">
      <c r="A5487" t="s">
        <v>18366</v>
      </c>
      <c r="B5487" t="s">
        <v>18367</v>
      </c>
      <c r="D5487" t="s">
        <v>40</v>
      </c>
      <c r="E5487" t="s">
        <v>41</v>
      </c>
      <c r="J5487" t="s">
        <v>68</v>
      </c>
      <c r="K5487" t="s">
        <v>69</v>
      </c>
      <c r="L5487">
        <v>11</v>
      </c>
      <c r="M5487" t="s">
        <v>18361</v>
      </c>
      <c r="N5487" t="s">
        <v>64</v>
      </c>
      <c r="O5487" t="s">
        <v>46</v>
      </c>
      <c r="P5487" t="s">
        <v>46</v>
      </c>
      <c r="Y5487" t="s">
        <v>18368</v>
      </c>
    </row>
    <row r="5488" spans="1:25">
      <c r="A5488" t="s">
        <v>18369</v>
      </c>
      <c r="B5488" t="s">
        <v>18370</v>
      </c>
      <c r="D5488" t="s">
        <v>40</v>
      </c>
      <c r="E5488" t="s">
        <v>41</v>
      </c>
      <c r="J5488" t="s">
        <v>68</v>
      </c>
      <c r="K5488" t="s">
        <v>69</v>
      </c>
      <c r="L5488">
        <v>11</v>
      </c>
      <c r="M5488" t="s">
        <v>18371</v>
      </c>
      <c r="N5488" t="s">
        <v>64</v>
      </c>
      <c r="O5488" t="s">
        <v>46</v>
      </c>
      <c r="P5488" t="s">
        <v>46</v>
      </c>
      <c r="Y5488" t="s">
        <v>18372</v>
      </c>
    </row>
    <row r="5489" spans="1:25">
      <c r="A5489" t="s">
        <v>18373</v>
      </c>
      <c r="B5489" t="s">
        <v>18374</v>
      </c>
      <c r="D5489" t="s">
        <v>40</v>
      </c>
      <c r="E5489" t="s">
        <v>41</v>
      </c>
      <c r="J5489" t="s">
        <v>68</v>
      </c>
      <c r="K5489" t="s">
        <v>69</v>
      </c>
      <c r="L5489">
        <v>11</v>
      </c>
      <c r="M5489" t="s">
        <v>18375</v>
      </c>
      <c r="N5489" t="s">
        <v>64</v>
      </c>
      <c r="O5489" t="s">
        <v>46</v>
      </c>
      <c r="P5489" t="s">
        <v>46</v>
      </c>
      <c r="Y5489" t="s">
        <v>18376</v>
      </c>
    </row>
    <row r="5490" spans="1:25">
      <c r="A5490" t="s">
        <v>18377</v>
      </c>
      <c r="B5490" t="s">
        <v>18378</v>
      </c>
      <c r="D5490" t="s">
        <v>40</v>
      </c>
      <c r="E5490" t="s">
        <v>41</v>
      </c>
      <c r="J5490" t="s">
        <v>68</v>
      </c>
      <c r="K5490" t="s">
        <v>69</v>
      </c>
      <c r="L5490">
        <v>11</v>
      </c>
      <c r="M5490" t="s">
        <v>18375</v>
      </c>
      <c r="N5490" t="s">
        <v>64</v>
      </c>
      <c r="O5490" t="s">
        <v>46</v>
      </c>
      <c r="P5490" t="s">
        <v>46</v>
      </c>
      <c r="Y5490" t="s">
        <v>18379</v>
      </c>
    </row>
    <row r="5491" spans="1:25">
      <c r="A5491" t="s">
        <v>18380</v>
      </c>
      <c r="B5491" t="s">
        <v>18381</v>
      </c>
      <c r="D5491" t="s">
        <v>40</v>
      </c>
      <c r="E5491" t="s">
        <v>41</v>
      </c>
      <c r="J5491" t="s">
        <v>68</v>
      </c>
      <c r="K5491" t="s">
        <v>69</v>
      </c>
      <c r="L5491">
        <v>11</v>
      </c>
      <c r="M5491" t="s">
        <v>18382</v>
      </c>
      <c r="N5491" t="s">
        <v>64</v>
      </c>
      <c r="O5491" t="s">
        <v>46</v>
      </c>
      <c r="P5491" t="s">
        <v>46</v>
      </c>
      <c r="Y5491" t="s">
        <v>18383</v>
      </c>
    </row>
    <row r="5492" spans="1:25">
      <c r="A5492" t="s">
        <v>18384</v>
      </c>
      <c r="B5492" t="s">
        <v>18385</v>
      </c>
      <c r="D5492" t="s">
        <v>40</v>
      </c>
      <c r="E5492" t="s">
        <v>41</v>
      </c>
      <c r="J5492" t="s">
        <v>68</v>
      </c>
      <c r="K5492" t="s">
        <v>69</v>
      </c>
      <c r="L5492">
        <v>11</v>
      </c>
      <c r="M5492" t="s">
        <v>18382</v>
      </c>
      <c r="N5492" t="s">
        <v>64</v>
      </c>
      <c r="O5492" t="s">
        <v>46</v>
      </c>
      <c r="P5492" t="s">
        <v>46</v>
      </c>
      <c r="Y5492" t="s">
        <v>18386</v>
      </c>
    </row>
    <row r="5493" spans="1:25">
      <c r="A5493" t="s">
        <v>18387</v>
      </c>
      <c r="B5493" t="s">
        <v>18388</v>
      </c>
      <c r="D5493" t="s">
        <v>40</v>
      </c>
      <c r="E5493" t="s">
        <v>41</v>
      </c>
      <c r="J5493" t="s">
        <v>68</v>
      </c>
      <c r="K5493" t="s">
        <v>69</v>
      </c>
      <c r="L5493">
        <v>11</v>
      </c>
      <c r="M5493" t="s">
        <v>18389</v>
      </c>
      <c r="N5493" t="s">
        <v>64</v>
      </c>
      <c r="O5493" t="s">
        <v>46</v>
      </c>
      <c r="P5493" t="s">
        <v>46</v>
      </c>
      <c r="Y5493" t="s">
        <v>18390</v>
      </c>
    </row>
    <row r="5494" spans="1:25">
      <c r="A5494" t="s">
        <v>18391</v>
      </c>
      <c r="B5494" t="s">
        <v>18392</v>
      </c>
      <c r="D5494" t="s">
        <v>40</v>
      </c>
      <c r="E5494" t="s">
        <v>41</v>
      </c>
      <c r="J5494" t="s">
        <v>68</v>
      </c>
      <c r="K5494" t="s">
        <v>69</v>
      </c>
      <c r="L5494">
        <v>11</v>
      </c>
      <c r="M5494" t="s">
        <v>18389</v>
      </c>
      <c r="N5494" t="s">
        <v>64</v>
      </c>
      <c r="O5494" t="s">
        <v>46</v>
      </c>
      <c r="P5494" t="s">
        <v>46</v>
      </c>
      <c r="Y5494" t="s">
        <v>18393</v>
      </c>
    </row>
    <row r="5495" spans="1:25">
      <c r="A5495" t="s">
        <v>18394</v>
      </c>
      <c r="B5495" t="s">
        <v>18395</v>
      </c>
      <c r="D5495" t="s">
        <v>40</v>
      </c>
      <c r="E5495" t="s">
        <v>41</v>
      </c>
      <c r="J5495" t="s">
        <v>68</v>
      </c>
      <c r="K5495" t="s">
        <v>69</v>
      </c>
      <c r="L5495">
        <v>11</v>
      </c>
      <c r="M5495" t="s">
        <v>18389</v>
      </c>
      <c r="N5495" t="s">
        <v>64</v>
      </c>
      <c r="O5495" t="s">
        <v>46</v>
      </c>
      <c r="P5495" t="s">
        <v>46</v>
      </c>
      <c r="Y5495" t="s">
        <v>18396</v>
      </c>
    </row>
    <row r="5496" spans="1:25">
      <c r="A5496" t="s">
        <v>18397</v>
      </c>
      <c r="B5496" t="s">
        <v>18398</v>
      </c>
      <c r="D5496" t="s">
        <v>40</v>
      </c>
      <c r="E5496" t="s">
        <v>41</v>
      </c>
      <c r="J5496" t="s">
        <v>68</v>
      </c>
      <c r="K5496" t="s">
        <v>69</v>
      </c>
      <c r="L5496">
        <v>11</v>
      </c>
      <c r="M5496" t="s">
        <v>18399</v>
      </c>
      <c r="N5496" t="s">
        <v>64</v>
      </c>
      <c r="O5496" t="s">
        <v>46</v>
      </c>
      <c r="P5496" t="s">
        <v>46</v>
      </c>
      <c r="Y5496" t="s">
        <v>18400</v>
      </c>
    </row>
    <row r="5497" spans="1:25">
      <c r="A5497" t="s">
        <v>18401</v>
      </c>
      <c r="B5497" t="s">
        <v>18402</v>
      </c>
      <c r="D5497" t="s">
        <v>40</v>
      </c>
      <c r="E5497" t="s">
        <v>41</v>
      </c>
      <c r="J5497" t="s">
        <v>182</v>
      </c>
      <c r="K5497" t="s">
        <v>183</v>
      </c>
      <c r="L5497">
        <v>11</v>
      </c>
      <c r="M5497" t="s">
        <v>18399</v>
      </c>
      <c r="N5497" t="s">
        <v>64</v>
      </c>
      <c r="O5497" t="s">
        <v>46</v>
      </c>
      <c r="P5497" t="s">
        <v>46</v>
      </c>
      <c r="Y5497" t="s">
        <v>18403</v>
      </c>
    </row>
    <row r="5498" spans="1:25">
      <c r="A5498" t="s">
        <v>18404</v>
      </c>
      <c r="B5498" t="s">
        <v>18405</v>
      </c>
      <c r="D5498" t="s">
        <v>40</v>
      </c>
      <c r="E5498" t="s">
        <v>41</v>
      </c>
      <c r="J5498" t="s">
        <v>182</v>
      </c>
      <c r="K5498" t="s">
        <v>183</v>
      </c>
      <c r="L5498">
        <v>11</v>
      </c>
      <c r="M5498" t="s">
        <v>18399</v>
      </c>
      <c r="N5498" t="s">
        <v>64</v>
      </c>
      <c r="O5498" t="s">
        <v>46</v>
      </c>
      <c r="P5498" t="s">
        <v>46</v>
      </c>
      <c r="Y5498" t="s">
        <v>18406</v>
      </c>
    </row>
    <row r="5499" spans="1:25">
      <c r="A5499" t="s">
        <v>18407</v>
      </c>
      <c r="B5499" t="s">
        <v>18408</v>
      </c>
      <c r="D5499" t="s">
        <v>40</v>
      </c>
      <c r="E5499" t="s">
        <v>41</v>
      </c>
      <c r="J5499" t="s">
        <v>68</v>
      </c>
      <c r="K5499" t="s">
        <v>69</v>
      </c>
      <c r="L5499">
        <v>11</v>
      </c>
      <c r="M5499" t="s">
        <v>18409</v>
      </c>
      <c r="N5499" t="s">
        <v>64</v>
      </c>
      <c r="O5499" t="s">
        <v>46</v>
      </c>
      <c r="P5499" t="s">
        <v>46</v>
      </c>
      <c r="Y5499" t="s">
        <v>18410</v>
      </c>
    </row>
    <row r="5500" spans="1:25">
      <c r="A5500" t="s">
        <v>18411</v>
      </c>
      <c r="B5500" t="s">
        <v>18412</v>
      </c>
      <c r="D5500" t="s">
        <v>40</v>
      </c>
      <c r="E5500" t="s">
        <v>41</v>
      </c>
      <c r="J5500" t="s">
        <v>68</v>
      </c>
      <c r="K5500" t="s">
        <v>69</v>
      </c>
      <c r="L5500">
        <v>11</v>
      </c>
      <c r="M5500" t="s">
        <v>18409</v>
      </c>
      <c r="N5500" t="s">
        <v>64</v>
      </c>
      <c r="O5500" t="s">
        <v>46</v>
      </c>
      <c r="P5500" t="s">
        <v>46</v>
      </c>
      <c r="Y5500" t="s">
        <v>18413</v>
      </c>
    </row>
    <row r="5501" spans="1:25">
      <c r="A5501" t="s">
        <v>18414</v>
      </c>
      <c r="B5501" t="s">
        <v>18415</v>
      </c>
      <c r="D5501" t="s">
        <v>40</v>
      </c>
      <c r="E5501" t="s">
        <v>41</v>
      </c>
      <c r="J5501" t="s">
        <v>68</v>
      </c>
      <c r="K5501" t="s">
        <v>69</v>
      </c>
      <c r="L5501">
        <v>11</v>
      </c>
      <c r="M5501" t="s">
        <v>18409</v>
      </c>
      <c r="N5501" t="s">
        <v>64</v>
      </c>
      <c r="O5501" t="s">
        <v>46</v>
      </c>
      <c r="P5501" t="s">
        <v>46</v>
      </c>
      <c r="Y5501" t="s">
        <v>18416</v>
      </c>
    </row>
    <row r="5502" spans="1:25">
      <c r="A5502" t="s">
        <v>18417</v>
      </c>
      <c r="B5502" t="s">
        <v>18418</v>
      </c>
      <c r="D5502" t="s">
        <v>40</v>
      </c>
      <c r="E5502" t="s">
        <v>41</v>
      </c>
      <c r="J5502" t="s">
        <v>68</v>
      </c>
      <c r="K5502" t="s">
        <v>69</v>
      </c>
      <c r="L5502">
        <v>11</v>
      </c>
      <c r="M5502" t="s">
        <v>18419</v>
      </c>
      <c r="N5502" t="s">
        <v>64</v>
      </c>
      <c r="O5502" t="s">
        <v>46</v>
      </c>
      <c r="P5502" t="s">
        <v>46</v>
      </c>
      <c r="Y5502" t="s">
        <v>18420</v>
      </c>
    </row>
    <row r="5503" spans="1:25">
      <c r="A5503" t="s">
        <v>18421</v>
      </c>
      <c r="B5503" t="s">
        <v>18422</v>
      </c>
      <c r="D5503" t="s">
        <v>40</v>
      </c>
      <c r="E5503" t="s">
        <v>41</v>
      </c>
      <c r="J5503" t="s">
        <v>68</v>
      </c>
      <c r="K5503" t="s">
        <v>69</v>
      </c>
      <c r="L5503">
        <v>11</v>
      </c>
      <c r="M5503" t="s">
        <v>18419</v>
      </c>
      <c r="N5503" t="s">
        <v>64</v>
      </c>
      <c r="O5503" t="s">
        <v>46</v>
      </c>
      <c r="P5503" t="s">
        <v>46</v>
      </c>
      <c r="Y5503" t="s">
        <v>18423</v>
      </c>
    </row>
    <row r="5504" spans="1:25">
      <c r="A5504" t="s">
        <v>18424</v>
      </c>
      <c r="B5504" t="s">
        <v>18425</v>
      </c>
      <c r="D5504" t="s">
        <v>40</v>
      </c>
      <c r="E5504" t="s">
        <v>41</v>
      </c>
      <c r="J5504" t="s">
        <v>68</v>
      </c>
      <c r="K5504" t="s">
        <v>69</v>
      </c>
      <c r="L5504">
        <v>11</v>
      </c>
      <c r="M5504" t="s">
        <v>18426</v>
      </c>
      <c r="N5504" t="s">
        <v>64</v>
      </c>
      <c r="O5504" t="s">
        <v>46</v>
      </c>
      <c r="P5504" t="s">
        <v>46</v>
      </c>
      <c r="Y5504" t="s">
        <v>18427</v>
      </c>
    </row>
    <row r="5505" spans="1:25">
      <c r="A5505" t="s">
        <v>18428</v>
      </c>
      <c r="B5505" t="s">
        <v>18429</v>
      </c>
      <c r="D5505" t="s">
        <v>40</v>
      </c>
      <c r="E5505" t="s">
        <v>41</v>
      </c>
      <c r="J5505" t="s">
        <v>68</v>
      </c>
      <c r="K5505" t="s">
        <v>69</v>
      </c>
      <c r="L5505">
        <v>11</v>
      </c>
      <c r="M5505" t="s">
        <v>18426</v>
      </c>
      <c r="N5505" t="s">
        <v>64</v>
      </c>
      <c r="O5505" t="s">
        <v>46</v>
      </c>
      <c r="P5505" t="s">
        <v>46</v>
      </c>
      <c r="Y5505" t="s">
        <v>18430</v>
      </c>
    </row>
    <row r="5506" spans="1:25">
      <c r="A5506" t="s">
        <v>18431</v>
      </c>
      <c r="B5506" t="s">
        <v>18432</v>
      </c>
      <c r="D5506" t="s">
        <v>40</v>
      </c>
      <c r="E5506" t="s">
        <v>41</v>
      </c>
      <c r="J5506" t="s">
        <v>68</v>
      </c>
      <c r="K5506" t="s">
        <v>69</v>
      </c>
      <c r="L5506">
        <v>11</v>
      </c>
      <c r="M5506" t="s">
        <v>18426</v>
      </c>
      <c r="N5506" t="s">
        <v>64</v>
      </c>
      <c r="O5506" t="s">
        <v>46</v>
      </c>
      <c r="P5506" t="s">
        <v>46</v>
      </c>
      <c r="Y5506" t="s">
        <v>18433</v>
      </c>
    </row>
    <row r="5507" spans="1:25">
      <c r="A5507" t="s">
        <v>18434</v>
      </c>
      <c r="B5507" t="s">
        <v>18435</v>
      </c>
      <c r="D5507" t="s">
        <v>40</v>
      </c>
      <c r="E5507" t="s">
        <v>41</v>
      </c>
      <c r="J5507" t="s">
        <v>76</v>
      </c>
      <c r="K5507" t="s">
        <v>77</v>
      </c>
      <c r="L5507">
        <v>11</v>
      </c>
      <c r="M5507" t="s">
        <v>18436</v>
      </c>
      <c r="N5507" t="s">
        <v>64</v>
      </c>
      <c r="O5507" t="s">
        <v>46</v>
      </c>
      <c r="P5507" t="s">
        <v>46</v>
      </c>
      <c r="Y5507" t="s">
        <v>18437</v>
      </c>
    </row>
    <row r="5508" spans="1:25">
      <c r="A5508" t="s">
        <v>18438</v>
      </c>
      <c r="B5508" t="s">
        <v>18439</v>
      </c>
      <c r="D5508" t="s">
        <v>40</v>
      </c>
      <c r="E5508" t="s">
        <v>41</v>
      </c>
      <c r="J5508" t="s">
        <v>645</v>
      </c>
      <c r="K5508" t="s">
        <v>646</v>
      </c>
      <c r="L5508">
        <v>11</v>
      </c>
      <c r="M5508" t="s">
        <v>18436</v>
      </c>
      <c r="N5508" t="s">
        <v>64</v>
      </c>
      <c r="O5508" t="s">
        <v>46</v>
      </c>
      <c r="P5508" t="s">
        <v>46</v>
      </c>
      <c r="Y5508" t="s">
        <v>18440</v>
      </c>
    </row>
    <row r="5509" spans="1:25">
      <c r="A5509" t="s">
        <v>18441</v>
      </c>
      <c r="B5509" t="s">
        <v>18442</v>
      </c>
      <c r="D5509" t="s">
        <v>40</v>
      </c>
      <c r="E5509" t="s">
        <v>41</v>
      </c>
      <c r="J5509" t="s">
        <v>68</v>
      </c>
      <c r="K5509" t="s">
        <v>69</v>
      </c>
      <c r="L5509">
        <v>11</v>
      </c>
      <c r="M5509" t="s">
        <v>18436</v>
      </c>
      <c r="N5509" t="s">
        <v>64</v>
      </c>
      <c r="O5509" t="s">
        <v>46</v>
      </c>
      <c r="P5509" t="s">
        <v>46</v>
      </c>
      <c r="Y5509" t="s">
        <v>18443</v>
      </c>
    </row>
    <row r="5510" spans="1:25">
      <c r="A5510" t="s">
        <v>18444</v>
      </c>
      <c r="B5510" t="s">
        <v>18445</v>
      </c>
      <c r="D5510" t="s">
        <v>40</v>
      </c>
      <c r="E5510" t="s">
        <v>41</v>
      </c>
      <c r="J5510" t="s">
        <v>68</v>
      </c>
      <c r="K5510" t="s">
        <v>69</v>
      </c>
      <c r="L5510">
        <v>11</v>
      </c>
      <c r="M5510" t="s">
        <v>18446</v>
      </c>
      <c r="N5510" t="s">
        <v>64</v>
      </c>
      <c r="O5510" t="s">
        <v>46</v>
      </c>
      <c r="P5510" t="s">
        <v>46</v>
      </c>
      <c r="Y5510" t="s">
        <v>18447</v>
      </c>
    </row>
    <row r="5511" spans="1:25">
      <c r="A5511" t="s">
        <v>18448</v>
      </c>
      <c r="B5511" t="s">
        <v>18449</v>
      </c>
      <c r="D5511" t="s">
        <v>40</v>
      </c>
      <c r="E5511" t="s">
        <v>41</v>
      </c>
      <c r="J5511" t="s">
        <v>182</v>
      </c>
      <c r="K5511" t="s">
        <v>183</v>
      </c>
      <c r="L5511">
        <v>11</v>
      </c>
      <c r="M5511" t="s">
        <v>18446</v>
      </c>
      <c r="N5511" t="s">
        <v>64</v>
      </c>
      <c r="O5511" t="s">
        <v>46</v>
      </c>
      <c r="P5511" t="s">
        <v>46</v>
      </c>
      <c r="Y5511" t="s">
        <v>18450</v>
      </c>
    </row>
    <row r="5512" spans="1:25">
      <c r="A5512" t="s">
        <v>18451</v>
      </c>
      <c r="B5512" t="s">
        <v>18452</v>
      </c>
      <c r="D5512" t="s">
        <v>40</v>
      </c>
      <c r="E5512" t="s">
        <v>41</v>
      </c>
      <c r="J5512" t="s">
        <v>182</v>
      </c>
      <c r="K5512" t="s">
        <v>183</v>
      </c>
      <c r="L5512">
        <v>11</v>
      </c>
      <c r="M5512" t="s">
        <v>18453</v>
      </c>
      <c r="N5512" t="s">
        <v>64</v>
      </c>
      <c r="O5512" t="s">
        <v>46</v>
      </c>
      <c r="P5512" t="s">
        <v>46</v>
      </c>
      <c r="Y5512" t="s">
        <v>18454</v>
      </c>
    </row>
    <row r="5513" spans="1:25">
      <c r="A5513" t="s">
        <v>18455</v>
      </c>
      <c r="B5513" t="s">
        <v>18456</v>
      </c>
      <c r="D5513" t="s">
        <v>40</v>
      </c>
      <c r="E5513" t="s">
        <v>41</v>
      </c>
      <c r="J5513" t="s">
        <v>68</v>
      </c>
      <c r="K5513" t="s">
        <v>69</v>
      </c>
      <c r="L5513">
        <v>11</v>
      </c>
      <c r="M5513" t="s">
        <v>18453</v>
      </c>
      <c r="N5513" t="s">
        <v>64</v>
      </c>
      <c r="O5513" t="s">
        <v>46</v>
      </c>
      <c r="P5513" t="s">
        <v>46</v>
      </c>
      <c r="Y5513" t="s">
        <v>18457</v>
      </c>
    </row>
    <row r="5514" spans="1:25">
      <c r="A5514" t="s">
        <v>18458</v>
      </c>
      <c r="B5514" t="s">
        <v>18459</v>
      </c>
      <c r="D5514" t="s">
        <v>40</v>
      </c>
      <c r="E5514" t="s">
        <v>41</v>
      </c>
      <c r="J5514" t="s">
        <v>182</v>
      </c>
      <c r="K5514" t="s">
        <v>183</v>
      </c>
      <c r="L5514">
        <v>12</v>
      </c>
      <c r="M5514" t="s">
        <v>18460</v>
      </c>
      <c r="N5514" t="s">
        <v>64</v>
      </c>
      <c r="O5514" t="s">
        <v>46</v>
      </c>
      <c r="P5514" t="s">
        <v>46</v>
      </c>
      <c r="Y5514" t="s">
        <v>18461</v>
      </c>
    </row>
    <row r="5515" spans="1:25">
      <c r="A5515" t="s">
        <v>18462</v>
      </c>
      <c r="B5515" t="s">
        <v>18463</v>
      </c>
      <c r="D5515" t="s">
        <v>40</v>
      </c>
      <c r="E5515" t="s">
        <v>41</v>
      </c>
      <c r="J5515" t="s">
        <v>182</v>
      </c>
      <c r="K5515" t="s">
        <v>183</v>
      </c>
      <c r="L5515">
        <v>11</v>
      </c>
      <c r="M5515" t="s">
        <v>18460</v>
      </c>
      <c r="N5515" t="s">
        <v>64</v>
      </c>
      <c r="O5515" t="s">
        <v>46</v>
      </c>
      <c r="P5515" t="s">
        <v>46</v>
      </c>
      <c r="Y5515" t="s">
        <v>18464</v>
      </c>
    </row>
    <row r="5516" spans="1:25">
      <c r="A5516" t="s">
        <v>18465</v>
      </c>
      <c r="B5516" t="s">
        <v>18466</v>
      </c>
      <c r="D5516" t="s">
        <v>40</v>
      </c>
      <c r="E5516" t="s">
        <v>41</v>
      </c>
      <c r="J5516" t="s">
        <v>68</v>
      </c>
      <c r="K5516" t="s">
        <v>69</v>
      </c>
      <c r="L5516">
        <v>11</v>
      </c>
      <c r="M5516" t="s">
        <v>18460</v>
      </c>
      <c r="N5516" t="s">
        <v>64</v>
      </c>
      <c r="O5516" t="s">
        <v>46</v>
      </c>
      <c r="P5516" t="s">
        <v>46</v>
      </c>
      <c r="Y5516" t="s">
        <v>18467</v>
      </c>
    </row>
    <row r="5517" spans="1:25">
      <c r="A5517" t="s">
        <v>18468</v>
      </c>
      <c r="B5517" t="s">
        <v>18469</v>
      </c>
      <c r="D5517" t="s">
        <v>40</v>
      </c>
      <c r="E5517" t="s">
        <v>41</v>
      </c>
      <c r="J5517" t="s">
        <v>645</v>
      </c>
      <c r="K5517" t="s">
        <v>646</v>
      </c>
      <c r="L5517">
        <v>11</v>
      </c>
      <c r="M5517" t="s">
        <v>18470</v>
      </c>
      <c r="N5517" t="s">
        <v>64</v>
      </c>
      <c r="O5517" t="s">
        <v>46</v>
      </c>
      <c r="P5517" t="s">
        <v>46</v>
      </c>
      <c r="Y5517" t="s">
        <v>18471</v>
      </c>
    </row>
    <row r="5518" spans="1:25">
      <c r="A5518" t="s">
        <v>18472</v>
      </c>
      <c r="B5518" t="s">
        <v>18473</v>
      </c>
      <c r="D5518" t="s">
        <v>40</v>
      </c>
      <c r="E5518" t="s">
        <v>41</v>
      </c>
      <c r="J5518" t="s">
        <v>68</v>
      </c>
      <c r="K5518" t="s">
        <v>69</v>
      </c>
      <c r="L5518">
        <v>11</v>
      </c>
      <c r="M5518" t="s">
        <v>18470</v>
      </c>
      <c r="N5518" t="s">
        <v>64</v>
      </c>
      <c r="O5518" t="s">
        <v>46</v>
      </c>
      <c r="P5518" t="s">
        <v>46</v>
      </c>
      <c r="Y5518" t="s">
        <v>18474</v>
      </c>
    </row>
    <row r="5519" spans="1:25">
      <c r="A5519" t="s">
        <v>18475</v>
      </c>
      <c r="B5519" t="s">
        <v>18476</v>
      </c>
      <c r="D5519" t="s">
        <v>40</v>
      </c>
      <c r="E5519" t="s">
        <v>41</v>
      </c>
      <c r="J5519" t="s">
        <v>182</v>
      </c>
      <c r="K5519" t="s">
        <v>183</v>
      </c>
      <c r="L5519">
        <v>11</v>
      </c>
      <c r="M5519" t="s">
        <v>18477</v>
      </c>
      <c r="N5519" t="s">
        <v>64</v>
      </c>
      <c r="O5519" t="s">
        <v>46</v>
      </c>
      <c r="P5519" t="s">
        <v>46</v>
      </c>
      <c r="Y5519" t="s">
        <v>18478</v>
      </c>
    </row>
    <row r="5520" spans="1:25">
      <c r="A5520" t="s">
        <v>18479</v>
      </c>
      <c r="B5520" t="s">
        <v>18480</v>
      </c>
      <c r="D5520" t="s">
        <v>40</v>
      </c>
      <c r="E5520" t="s">
        <v>41</v>
      </c>
      <c r="J5520" t="s">
        <v>68</v>
      </c>
      <c r="K5520" t="s">
        <v>69</v>
      </c>
      <c r="L5520">
        <v>11</v>
      </c>
      <c r="M5520" t="s">
        <v>18477</v>
      </c>
      <c r="N5520" t="s">
        <v>64</v>
      </c>
      <c r="O5520" t="s">
        <v>46</v>
      </c>
      <c r="P5520" t="s">
        <v>46</v>
      </c>
      <c r="Y5520" t="s">
        <v>18481</v>
      </c>
    </row>
    <row r="5521" spans="1:25">
      <c r="A5521" t="s">
        <v>18482</v>
      </c>
      <c r="B5521" t="s">
        <v>18483</v>
      </c>
      <c r="D5521" t="s">
        <v>40</v>
      </c>
      <c r="E5521" t="s">
        <v>41</v>
      </c>
      <c r="J5521" t="s">
        <v>68</v>
      </c>
      <c r="K5521" t="s">
        <v>69</v>
      </c>
      <c r="L5521">
        <v>11</v>
      </c>
      <c r="M5521" t="s">
        <v>18484</v>
      </c>
      <c r="N5521" t="s">
        <v>64</v>
      </c>
      <c r="O5521" t="s">
        <v>46</v>
      </c>
      <c r="P5521" t="s">
        <v>46</v>
      </c>
      <c r="Y5521" t="s">
        <v>18485</v>
      </c>
    </row>
    <row r="5522" spans="1:25">
      <c r="A5522" t="s">
        <v>18486</v>
      </c>
      <c r="B5522" t="s">
        <v>18487</v>
      </c>
      <c r="D5522" t="s">
        <v>40</v>
      </c>
      <c r="E5522" t="s">
        <v>41</v>
      </c>
      <c r="J5522" t="s">
        <v>68</v>
      </c>
      <c r="K5522" t="s">
        <v>69</v>
      </c>
      <c r="L5522">
        <v>11</v>
      </c>
      <c r="M5522" t="s">
        <v>18484</v>
      </c>
      <c r="N5522" t="s">
        <v>64</v>
      </c>
      <c r="O5522" t="s">
        <v>46</v>
      </c>
      <c r="P5522" t="s">
        <v>46</v>
      </c>
      <c r="Y5522" t="s">
        <v>18488</v>
      </c>
    </row>
    <row r="5523" spans="1:25">
      <c r="A5523" t="s">
        <v>18489</v>
      </c>
      <c r="B5523" t="s">
        <v>18490</v>
      </c>
      <c r="D5523" t="s">
        <v>40</v>
      </c>
      <c r="E5523" t="s">
        <v>41</v>
      </c>
      <c r="J5523" t="s">
        <v>182</v>
      </c>
      <c r="K5523" t="s">
        <v>183</v>
      </c>
      <c r="L5523">
        <v>11</v>
      </c>
      <c r="M5523" t="s">
        <v>18484</v>
      </c>
      <c r="N5523" t="s">
        <v>64</v>
      </c>
      <c r="O5523" t="s">
        <v>46</v>
      </c>
      <c r="P5523" t="s">
        <v>46</v>
      </c>
      <c r="Y5523" t="s">
        <v>18491</v>
      </c>
    </row>
    <row r="5524" spans="1:25">
      <c r="A5524" t="s">
        <v>18492</v>
      </c>
      <c r="B5524" t="s">
        <v>18493</v>
      </c>
      <c r="D5524" t="s">
        <v>40</v>
      </c>
      <c r="E5524" t="s">
        <v>41</v>
      </c>
      <c r="J5524" t="s">
        <v>645</v>
      </c>
      <c r="K5524" t="s">
        <v>646</v>
      </c>
      <c r="L5524">
        <v>11</v>
      </c>
      <c r="M5524" t="s">
        <v>18484</v>
      </c>
      <c r="N5524" t="s">
        <v>64</v>
      </c>
      <c r="O5524" t="s">
        <v>46</v>
      </c>
      <c r="P5524" t="s">
        <v>46</v>
      </c>
      <c r="Y5524" t="s">
        <v>18494</v>
      </c>
    </row>
    <row r="5525" spans="1:25">
      <c r="A5525" t="s">
        <v>18495</v>
      </c>
      <c r="B5525" t="s">
        <v>18496</v>
      </c>
      <c r="D5525" t="s">
        <v>40</v>
      </c>
      <c r="E5525" t="s">
        <v>41</v>
      </c>
      <c r="J5525" t="s">
        <v>68</v>
      </c>
      <c r="K5525" t="s">
        <v>69</v>
      </c>
      <c r="L5525">
        <v>11</v>
      </c>
      <c r="M5525" t="s">
        <v>18484</v>
      </c>
      <c r="N5525" t="s">
        <v>64</v>
      </c>
      <c r="O5525" t="s">
        <v>46</v>
      </c>
      <c r="P5525" t="s">
        <v>46</v>
      </c>
      <c r="Y5525" t="s">
        <v>18497</v>
      </c>
    </row>
    <row r="5526" spans="1:25">
      <c r="A5526" t="s">
        <v>18498</v>
      </c>
      <c r="B5526" t="s">
        <v>18499</v>
      </c>
      <c r="D5526" t="s">
        <v>40</v>
      </c>
      <c r="E5526" t="s">
        <v>41</v>
      </c>
      <c r="J5526" t="s">
        <v>182</v>
      </c>
      <c r="K5526" t="s">
        <v>183</v>
      </c>
      <c r="L5526">
        <v>11</v>
      </c>
      <c r="M5526" t="s">
        <v>18484</v>
      </c>
      <c r="N5526" t="s">
        <v>64</v>
      </c>
      <c r="O5526" t="s">
        <v>46</v>
      </c>
      <c r="P5526" t="s">
        <v>46</v>
      </c>
      <c r="Y5526" t="s">
        <v>18500</v>
      </c>
    </row>
    <row r="5527" spans="1:25">
      <c r="A5527" t="s">
        <v>18501</v>
      </c>
      <c r="B5527" t="s">
        <v>18502</v>
      </c>
      <c r="D5527" t="s">
        <v>40</v>
      </c>
      <c r="E5527" t="s">
        <v>41</v>
      </c>
      <c r="J5527" t="s">
        <v>182</v>
      </c>
      <c r="K5527" t="s">
        <v>183</v>
      </c>
      <c r="L5527">
        <v>11</v>
      </c>
      <c r="M5527" t="s">
        <v>18503</v>
      </c>
      <c r="N5527" t="s">
        <v>64</v>
      </c>
      <c r="O5527" t="s">
        <v>46</v>
      </c>
      <c r="P5527" t="s">
        <v>46</v>
      </c>
      <c r="Y5527" t="s">
        <v>18504</v>
      </c>
    </row>
    <row r="5528" spans="1:25">
      <c r="A5528" t="s">
        <v>18505</v>
      </c>
      <c r="B5528" t="s">
        <v>18506</v>
      </c>
      <c r="D5528" t="s">
        <v>40</v>
      </c>
      <c r="E5528" t="s">
        <v>41</v>
      </c>
      <c r="J5528" t="s">
        <v>76</v>
      </c>
      <c r="K5528" t="s">
        <v>77</v>
      </c>
      <c r="L5528">
        <v>11</v>
      </c>
      <c r="M5528" t="s">
        <v>18503</v>
      </c>
      <c r="N5528" t="s">
        <v>64</v>
      </c>
      <c r="O5528" t="s">
        <v>46</v>
      </c>
      <c r="P5528" t="s">
        <v>46</v>
      </c>
      <c r="Y5528" t="s">
        <v>18507</v>
      </c>
    </row>
    <row r="5529" spans="1:25">
      <c r="A5529" t="s">
        <v>18508</v>
      </c>
      <c r="B5529" t="s">
        <v>18509</v>
      </c>
      <c r="D5529" t="s">
        <v>40</v>
      </c>
      <c r="E5529" t="s">
        <v>41</v>
      </c>
      <c r="J5529" t="s">
        <v>68</v>
      </c>
      <c r="K5529" t="s">
        <v>69</v>
      </c>
      <c r="L5529">
        <v>11</v>
      </c>
      <c r="M5529" t="s">
        <v>18503</v>
      </c>
      <c r="N5529" t="s">
        <v>64</v>
      </c>
      <c r="O5529" t="s">
        <v>46</v>
      </c>
      <c r="P5529" t="s">
        <v>46</v>
      </c>
      <c r="Y5529" t="s">
        <v>18510</v>
      </c>
    </row>
    <row r="5530" spans="1:25">
      <c r="A5530" t="s">
        <v>18511</v>
      </c>
      <c r="B5530" t="s">
        <v>18512</v>
      </c>
      <c r="D5530" t="s">
        <v>40</v>
      </c>
      <c r="E5530" t="s">
        <v>41</v>
      </c>
      <c r="J5530" t="s">
        <v>645</v>
      </c>
      <c r="K5530" t="s">
        <v>646</v>
      </c>
      <c r="L5530">
        <v>11</v>
      </c>
      <c r="M5530" t="s">
        <v>18503</v>
      </c>
      <c r="N5530" t="s">
        <v>64</v>
      </c>
      <c r="O5530" t="s">
        <v>46</v>
      </c>
      <c r="P5530" t="s">
        <v>46</v>
      </c>
      <c r="Y5530" t="s">
        <v>18513</v>
      </c>
    </row>
    <row r="5531" spans="1:25">
      <c r="A5531" t="s">
        <v>18514</v>
      </c>
      <c r="B5531" t="s">
        <v>18515</v>
      </c>
      <c r="D5531" t="s">
        <v>40</v>
      </c>
      <c r="E5531" t="s">
        <v>41</v>
      </c>
      <c r="J5531" t="s">
        <v>68</v>
      </c>
      <c r="K5531" t="s">
        <v>69</v>
      </c>
      <c r="L5531">
        <v>11</v>
      </c>
      <c r="M5531" t="s">
        <v>18503</v>
      </c>
      <c r="N5531" t="s">
        <v>64</v>
      </c>
      <c r="O5531" t="s">
        <v>46</v>
      </c>
      <c r="P5531" t="s">
        <v>46</v>
      </c>
      <c r="Y5531" t="s">
        <v>18516</v>
      </c>
    </row>
    <row r="5532" spans="1:25">
      <c r="A5532" t="s">
        <v>18517</v>
      </c>
      <c r="B5532" t="s">
        <v>18518</v>
      </c>
      <c r="D5532" t="s">
        <v>40</v>
      </c>
      <c r="E5532" t="s">
        <v>41</v>
      </c>
      <c r="J5532" t="s">
        <v>182</v>
      </c>
      <c r="K5532" t="s">
        <v>183</v>
      </c>
      <c r="L5532">
        <v>11</v>
      </c>
      <c r="M5532" t="s">
        <v>18503</v>
      </c>
      <c r="N5532" t="s">
        <v>64</v>
      </c>
      <c r="O5532" t="s">
        <v>46</v>
      </c>
      <c r="P5532" t="s">
        <v>46</v>
      </c>
      <c r="Y5532" t="s">
        <v>18519</v>
      </c>
    </row>
    <row r="5533" spans="1:25">
      <c r="A5533" t="s">
        <v>18520</v>
      </c>
      <c r="B5533" t="s">
        <v>18521</v>
      </c>
      <c r="D5533" t="s">
        <v>40</v>
      </c>
      <c r="E5533" t="s">
        <v>41</v>
      </c>
      <c r="J5533" t="s">
        <v>68</v>
      </c>
      <c r="K5533" t="s">
        <v>69</v>
      </c>
      <c r="L5533">
        <v>11</v>
      </c>
      <c r="M5533" t="s">
        <v>18503</v>
      </c>
      <c r="N5533" t="s">
        <v>64</v>
      </c>
      <c r="O5533" t="s">
        <v>46</v>
      </c>
      <c r="P5533" t="s">
        <v>46</v>
      </c>
      <c r="Y5533" t="s">
        <v>18522</v>
      </c>
    </row>
    <row r="5534" spans="1:25">
      <c r="A5534" t="s">
        <v>18523</v>
      </c>
      <c r="B5534" t="s">
        <v>18524</v>
      </c>
      <c r="D5534" t="s">
        <v>40</v>
      </c>
      <c r="E5534" t="s">
        <v>41</v>
      </c>
      <c r="J5534" t="s">
        <v>182</v>
      </c>
      <c r="K5534" t="s">
        <v>183</v>
      </c>
      <c r="L5534">
        <v>11</v>
      </c>
      <c r="M5534" t="s">
        <v>18503</v>
      </c>
      <c r="N5534" t="s">
        <v>64</v>
      </c>
      <c r="O5534" t="s">
        <v>46</v>
      </c>
      <c r="P5534" t="s">
        <v>46</v>
      </c>
      <c r="Y5534" t="s">
        <v>18525</v>
      </c>
    </row>
    <row r="5535" spans="1:25">
      <c r="A5535" t="s">
        <v>18526</v>
      </c>
      <c r="B5535" t="s">
        <v>18527</v>
      </c>
      <c r="D5535" t="s">
        <v>40</v>
      </c>
      <c r="E5535" t="s">
        <v>41</v>
      </c>
      <c r="J5535" t="s">
        <v>68</v>
      </c>
      <c r="K5535" t="s">
        <v>69</v>
      </c>
      <c r="L5535">
        <v>11</v>
      </c>
      <c r="M5535" t="s">
        <v>18503</v>
      </c>
      <c r="N5535" t="s">
        <v>64</v>
      </c>
      <c r="O5535" t="s">
        <v>46</v>
      </c>
      <c r="P5535" t="s">
        <v>46</v>
      </c>
      <c r="Y5535" t="s">
        <v>18528</v>
      </c>
    </row>
    <row r="5536" spans="1:25">
      <c r="A5536" t="s">
        <v>18529</v>
      </c>
      <c r="B5536" t="s">
        <v>18530</v>
      </c>
      <c r="D5536" t="s">
        <v>40</v>
      </c>
      <c r="E5536" t="s">
        <v>41</v>
      </c>
      <c r="J5536" t="s">
        <v>68</v>
      </c>
      <c r="K5536" t="s">
        <v>69</v>
      </c>
      <c r="L5536">
        <v>11</v>
      </c>
      <c r="M5536" t="s">
        <v>18531</v>
      </c>
      <c r="N5536" t="s">
        <v>64</v>
      </c>
      <c r="O5536" t="s">
        <v>46</v>
      </c>
      <c r="P5536" t="s">
        <v>46</v>
      </c>
      <c r="Y5536" t="s">
        <v>18532</v>
      </c>
    </row>
    <row r="5537" spans="1:25">
      <c r="A5537" t="s">
        <v>18533</v>
      </c>
      <c r="B5537" t="s">
        <v>18534</v>
      </c>
      <c r="D5537" t="s">
        <v>40</v>
      </c>
      <c r="E5537" t="s">
        <v>41</v>
      </c>
      <c r="J5537" t="s">
        <v>645</v>
      </c>
      <c r="K5537" t="s">
        <v>646</v>
      </c>
      <c r="L5537">
        <v>11</v>
      </c>
      <c r="M5537" t="s">
        <v>18531</v>
      </c>
      <c r="N5537" t="s">
        <v>64</v>
      </c>
      <c r="O5537" t="s">
        <v>46</v>
      </c>
      <c r="P5537" t="s">
        <v>46</v>
      </c>
      <c r="Y5537" t="s">
        <v>18535</v>
      </c>
    </row>
    <row r="5538" spans="1:25">
      <c r="A5538" t="s">
        <v>18536</v>
      </c>
      <c r="B5538" t="s">
        <v>18537</v>
      </c>
      <c r="D5538" t="s">
        <v>40</v>
      </c>
      <c r="E5538" t="s">
        <v>41</v>
      </c>
      <c r="J5538" t="s">
        <v>68</v>
      </c>
      <c r="K5538" t="s">
        <v>69</v>
      </c>
      <c r="L5538">
        <v>11</v>
      </c>
      <c r="M5538" t="s">
        <v>18531</v>
      </c>
      <c r="N5538" t="s">
        <v>64</v>
      </c>
      <c r="O5538" t="s">
        <v>46</v>
      </c>
      <c r="P5538" t="s">
        <v>46</v>
      </c>
      <c r="Y5538" t="s">
        <v>18538</v>
      </c>
    </row>
    <row r="5539" spans="1:25">
      <c r="A5539" t="s">
        <v>18539</v>
      </c>
      <c r="B5539" t="s">
        <v>18540</v>
      </c>
      <c r="D5539" t="s">
        <v>40</v>
      </c>
      <c r="E5539" t="s">
        <v>41</v>
      </c>
      <c r="J5539" t="s">
        <v>42</v>
      </c>
      <c r="K5539" t="s">
        <v>43</v>
      </c>
      <c r="L5539">
        <v>11</v>
      </c>
      <c r="M5539" t="s">
        <v>18531</v>
      </c>
      <c r="N5539" t="s">
        <v>218</v>
      </c>
      <c r="O5539" t="s">
        <v>46</v>
      </c>
      <c r="P5539" t="s">
        <v>46</v>
      </c>
      <c r="Y5539" t="s">
        <v>18541</v>
      </c>
    </row>
    <row r="5540" spans="1:25">
      <c r="A5540" t="s">
        <v>18542</v>
      </c>
      <c r="B5540" t="s">
        <v>18543</v>
      </c>
      <c r="D5540" t="s">
        <v>40</v>
      </c>
      <c r="E5540" t="s">
        <v>41</v>
      </c>
      <c r="J5540" t="s">
        <v>68</v>
      </c>
      <c r="K5540" t="s">
        <v>69</v>
      </c>
      <c r="L5540">
        <v>11</v>
      </c>
      <c r="M5540" t="s">
        <v>18531</v>
      </c>
      <c r="N5540" t="s">
        <v>64</v>
      </c>
      <c r="O5540" t="s">
        <v>46</v>
      </c>
      <c r="P5540" t="s">
        <v>46</v>
      </c>
      <c r="Y5540" t="s">
        <v>18544</v>
      </c>
    </row>
    <row r="5541" spans="1:25">
      <c r="A5541" t="s">
        <v>18545</v>
      </c>
      <c r="B5541" t="s">
        <v>18546</v>
      </c>
      <c r="D5541" t="s">
        <v>40</v>
      </c>
      <c r="E5541" t="s">
        <v>41</v>
      </c>
      <c r="J5541" t="s">
        <v>182</v>
      </c>
      <c r="K5541" t="s">
        <v>183</v>
      </c>
      <c r="L5541">
        <v>11</v>
      </c>
      <c r="M5541" t="s">
        <v>18531</v>
      </c>
      <c r="N5541" t="s">
        <v>64</v>
      </c>
      <c r="O5541" t="s">
        <v>46</v>
      </c>
      <c r="P5541" t="s">
        <v>46</v>
      </c>
      <c r="Y5541" t="s">
        <v>18547</v>
      </c>
    </row>
    <row r="5542" spans="1:25">
      <c r="A5542" t="s">
        <v>18548</v>
      </c>
      <c r="B5542" t="s">
        <v>18549</v>
      </c>
      <c r="D5542" t="s">
        <v>40</v>
      </c>
      <c r="E5542" t="s">
        <v>41</v>
      </c>
      <c r="J5542" t="s">
        <v>68</v>
      </c>
      <c r="K5542" t="s">
        <v>69</v>
      </c>
      <c r="L5542">
        <v>11</v>
      </c>
      <c r="M5542" t="s">
        <v>18531</v>
      </c>
      <c r="N5542" t="s">
        <v>64</v>
      </c>
      <c r="O5542" t="s">
        <v>46</v>
      </c>
      <c r="P5542" t="s">
        <v>46</v>
      </c>
      <c r="Y5542" t="s">
        <v>18550</v>
      </c>
    </row>
    <row r="5543" spans="1:25">
      <c r="A5543" t="s">
        <v>18551</v>
      </c>
      <c r="B5543" t="s">
        <v>18552</v>
      </c>
      <c r="D5543" t="s">
        <v>40</v>
      </c>
      <c r="E5543" t="s">
        <v>41</v>
      </c>
      <c r="J5543" t="s">
        <v>68</v>
      </c>
      <c r="K5543" t="s">
        <v>69</v>
      </c>
      <c r="L5543">
        <v>11</v>
      </c>
      <c r="M5543" t="s">
        <v>18553</v>
      </c>
      <c r="N5543" t="s">
        <v>64</v>
      </c>
      <c r="O5543" t="s">
        <v>46</v>
      </c>
      <c r="P5543" t="s">
        <v>46</v>
      </c>
      <c r="Y5543" t="s">
        <v>18554</v>
      </c>
    </row>
    <row r="5544" spans="1:25">
      <c r="A5544" t="s">
        <v>18555</v>
      </c>
      <c r="B5544" t="s">
        <v>18556</v>
      </c>
      <c r="D5544" t="s">
        <v>40</v>
      </c>
      <c r="E5544" t="s">
        <v>41</v>
      </c>
      <c r="J5544" t="s">
        <v>68</v>
      </c>
      <c r="K5544" t="s">
        <v>69</v>
      </c>
      <c r="L5544">
        <v>11</v>
      </c>
      <c r="M5544" t="s">
        <v>18553</v>
      </c>
      <c r="N5544" t="s">
        <v>64</v>
      </c>
      <c r="O5544" t="s">
        <v>46</v>
      </c>
      <c r="P5544" t="s">
        <v>46</v>
      </c>
      <c r="Y5544" t="s">
        <v>18557</v>
      </c>
    </row>
    <row r="5545" spans="1:25">
      <c r="A5545" t="s">
        <v>18558</v>
      </c>
      <c r="B5545" t="s">
        <v>18559</v>
      </c>
      <c r="D5545" t="s">
        <v>40</v>
      </c>
      <c r="E5545" t="s">
        <v>41</v>
      </c>
      <c r="J5545" t="s">
        <v>182</v>
      </c>
      <c r="K5545" t="s">
        <v>183</v>
      </c>
      <c r="L5545">
        <v>11</v>
      </c>
      <c r="M5545" t="s">
        <v>18553</v>
      </c>
      <c r="N5545" t="s">
        <v>64</v>
      </c>
      <c r="O5545" t="s">
        <v>46</v>
      </c>
      <c r="P5545" t="s">
        <v>46</v>
      </c>
      <c r="Y5545" t="s">
        <v>18560</v>
      </c>
    </row>
    <row r="5546" spans="1:25">
      <c r="A5546" t="s">
        <v>18561</v>
      </c>
      <c r="B5546" t="s">
        <v>18562</v>
      </c>
      <c r="D5546" t="s">
        <v>40</v>
      </c>
      <c r="E5546" t="s">
        <v>41</v>
      </c>
      <c r="J5546" t="s">
        <v>68</v>
      </c>
      <c r="K5546" t="s">
        <v>69</v>
      </c>
      <c r="L5546">
        <v>11</v>
      </c>
      <c r="M5546" t="s">
        <v>18553</v>
      </c>
      <c r="N5546" t="s">
        <v>64</v>
      </c>
      <c r="O5546" t="s">
        <v>46</v>
      </c>
      <c r="P5546" t="s">
        <v>46</v>
      </c>
      <c r="Y5546" t="s">
        <v>18563</v>
      </c>
    </row>
    <row r="5547" spans="1:25">
      <c r="A5547" t="s">
        <v>18564</v>
      </c>
      <c r="B5547" t="s">
        <v>18565</v>
      </c>
      <c r="D5547" t="s">
        <v>40</v>
      </c>
      <c r="E5547" t="s">
        <v>41</v>
      </c>
      <c r="J5547" t="s">
        <v>42</v>
      </c>
      <c r="K5547" t="s">
        <v>43</v>
      </c>
      <c r="L5547">
        <v>11</v>
      </c>
      <c r="M5547" t="s">
        <v>18553</v>
      </c>
      <c r="N5547" t="s">
        <v>373</v>
      </c>
      <c r="O5547" t="s">
        <v>46</v>
      </c>
      <c r="P5547" t="s">
        <v>46</v>
      </c>
      <c r="Y5547" t="s">
        <v>18566</v>
      </c>
    </row>
    <row r="5548" spans="1:25">
      <c r="A5548" t="s">
        <v>18567</v>
      </c>
      <c r="B5548" t="s">
        <v>18568</v>
      </c>
      <c r="D5548" t="s">
        <v>40</v>
      </c>
      <c r="E5548" t="s">
        <v>41</v>
      </c>
      <c r="J5548" t="s">
        <v>68</v>
      </c>
      <c r="K5548" t="s">
        <v>69</v>
      </c>
      <c r="L5548">
        <v>11</v>
      </c>
      <c r="M5548" t="s">
        <v>18569</v>
      </c>
      <c r="N5548" t="s">
        <v>64</v>
      </c>
      <c r="O5548" t="s">
        <v>46</v>
      </c>
      <c r="P5548" t="s">
        <v>46</v>
      </c>
      <c r="Y5548" t="s">
        <v>18570</v>
      </c>
    </row>
    <row r="5549" spans="1:25">
      <c r="A5549" t="s">
        <v>18571</v>
      </c>
      <c r="B5549" t="s">
        <v>18572</v>
      </c>
      <c r="D5549" t="s">
        <v>40</v>
      </c>
      <c r="E5549" t="s">
        <v>41</v>
      </c>
      <c r="J5549" t="s">
        <v>68</v>
      </c>
      <c r="K5549" t="s">
        <v>69</v>
      </c>
      <c r="L5549">
        <v>11</v>
      </c>
      <c r="M5549" t="s">
        <v>18573</v>
      </c>
      <c r="N5549" t="s">
        <v>64</v>
      </c>
      <c r="O5549" t="s">
        <v>46</v>
      </c>
      <c r="P5549" t="s">
        <v>46</v>
      </c>
      <c r="Y5549" t="s">
        <v>18574</v>
      </c>
    </row>
    <row r="5550" spans="1:25">
      <c r="A5550" t="s">
        <v>18575</v>
      </c>
      <c r="B5550" t="s">
        <v>18576</v>
      </c>
      <c r="D5550" t="s">
        <v>40</v>
      </c>
      <c r="E5550" t="s">
        <v>41</v>
      </c>
      <c r="J5550" t="s">
        <v>68</v>
      </c>
      <c r="K5550" t="s">
        <v>69</v>
      </c>
      <c r="L5550">
        <v>11</v>
      </c>
      <c r="M5550" t="s">
        <v>18573</v>
      </c>
      <c r="N5550" t="s">
        <v>64</v>
      </c>
      <c r="O5550" t="s">
        <v>46</v>
      </c>
      <c r="P5550" t="s">
        <v>46</v>
      </c>
      <c r="Y5550" t="s">
        <v>18577</v>
      </c>
    </row>
    <row r="5551" spans="1:25">
      <c r="A5551" t="s">
        <v>18578</v>
      </c>
      <c r="B5551" t="s">
        <v>18579</v>
      </c>
      <c r="D5551" t="s">
        <v>40</v>
      </c>
      <c r="E5551" t="s">
        <v>41</v>
      </c>
      <c r="J5551" t="s">
        <v>68</v>
      </c>
      <c r="K5551" t="s">
        <v>69</v>
      </c>
      <c r="L5551">
        <v>11</v>
      </c>
      <c r="M5551" t="s">
        <v>18573</v>
      </c>
      <c r="N5551" t="s">
        <v>64</v>
      </c>
      <c r="O5551" t="s">
        <v>46</v>
      </c>
      <c r="P5551" t="s">
        <v>46</v>
      </c>
      <c r="Y5551" t="s">
        <v>18580</v>
      </c>
    </row>
    <row r="5552" spans="1:25">
      <c r="A5552" t="s">
        <v>18581</v>
      </c>
      <c r="B5552" t="s">
        <v>18582</v>
      </c>
      <c r="D5552" t="s">
        <v>40</v>
      </c>
      <c r="E5552" t="s">
        <v>41</v>
      </c>
      <c r="J5552" t="s">
        <v>68</v>
      </c>
      <c r="K5552" t="s">
        <v>69</v>
      </c>
      <c r="L5552">
        <v>11</v>
      </c>
      <c r="M5552" t="s">
        <v>18583</v>
      </c>
      <c r="N5552" t="s">
        <v>64</v>
      </c>
      <c r="O5552" t="s">
        <v>46</v>
      </c>
      <c r="P5552" t="s">
        <v>46</v>
      </c>
      <c r="Y5552" t="s">
        <v>18584</v>
      </c>
    </row>
    <row r="5553" spans="1:25">
      <c r="A5553" t="s">
        <v>18585</v>
      </c>
      <c r="B5553" t="s">
        <v>18586</v>
      </c>
      <c r="D5553" t="s">
        <v>40</v>
      </c>
      <c r="E5553" t="s">
        <v>41</v>
      </c>
      <c r="J5553" t="s">
        <v>68</v>
      </c>
      <c r="K5553" t="s">
        <v>69</v>
      </c>
      <c r="L5553">
        <v>11</v>
      </c>
      <c r="M5553" t="s">
        <v>18583</v>
      </c>
      <c r="N5553" t="s">
        <v>64</v>
      </c>
      <c r="O5553" t="s">
        <v>46</v>
      </c>
      <c r="P5553" t="s">
        <v>46</v>
      </c>
      <c r="Y5553" t="s">
        <v>18587</v>
      </c>
    </row>
    <row r="5554" spans="1:25">
      <c r="A5554" t="s">
        <v>18588</v>
      </c>
      <c r="B5554" t="s">
        <v>18589</v>
      </c>
      <c r="D5554" t="s">
        <v>40</v>
      </c>
      <c r="E5554" t="s">
        <v>41</v>
      </c>
      <c r="J5554" t="s">
        <v>68</v>
      </c>
      <c r="K5554" t="s">
        <v>69</v>
      </c>
      <c r="L5554">
        <v>11</v>
      </c>
      <c r="M5554" t="s">
        <v>18583</v>
      </c>
      <c r="N5554" t="s">
        <v>64</v>
      </c>
      <c r="O5554" t="s">
        <v>46</v>
      </c>
      <c r="P5554" t="s">
        <v>46</v>
      </c>
      <c r="Y5554" t="s">
        <v>18590</v>
      </c>
    </row>
    <row r="5555" spans="1:25">
      <c r="A5555" t="s">
        <v>18591</v>
      </c>
      <c r="B5555" t="s">
        <v>18592</v>
      </c>
      <c r="D5555" t="s">
        <v>40</v>
      </c>
      <c r="E5555" t="s">
        <v>41</v>
      </c>
      <c r="J5555" t="s">
        <v>68</v>
      </c>
      <c r="K5555" t="s">
        <v>69</v>
      </c>
      <c r="L5555">
        <v>11</v>
      </c>
      <c r="M5555" t="s">
        <v>18583</v>
      </c>
      <c r="N5555" t="s">
        <v>64</v>
      </c>
      <c r="O5555" t="s">
        <v>46</v>
      </c>
      <c r="P5555" t="s">
        <v>46</v>
      </c>
      <c r="Y5555" t="s">
        <v>18593</v>
      </c>
    </row>
    <row r="5556" spans="1:25">
      <c r="A5556" t="s">
        <v>18594</v>
      </c>
      <c r="B5556" t="s">
        <v>18595</v>
      </c>
      <c r="D5556" t="s">
        <v>40</v>
      </c>
      <c r="E5556" t="s">
        <v>41</v>
      </c>
      <c r="J5556" t="s">
        <v>42</v>
      </c>
      <c r="K5556" t="s">
        <v>43</v>
      </c>
      <c r="L5556">
        <v>11</v>
      </c>
      <c r="M5556" t="s">
        <v>18583</v>
      </c>
      <c r="N5556" t="s">
        <v>1478</v>
      </c>
      <c r="O5556" t="s">
        <v>46</v>
      </c>
      <c r="P5556" t="s">
        <v>46</v>
      </c>
      <c r="Y5556" t="s">
        <v>18596</v>
      </c>
    </row>
    <row r="5557" spans="1:25">
      <c r="A5557" t="s">
        <v>18597</v>
      </c>
      <c r="B5557" t="s">
        <v>18598</v>
      </c>
      <c r="D5557" t="s">
        <v>40</v>
      </c>
      <c r="E5557" t="s">
        <v>41</v>
      </c>
      <c r="J5557" t="s">
        <v>68</v>
      </c>
      <c r="K5557" t="s">
        <v>69</v>
      </c>
      <c r="L5557">
        <v>11</v>
      </c>
      <c r="M5557" t="s">
        <v>18599</v>
      </c>
      <c r="N5557" t="s">
        <v>64</v>
      </c>
      <c r="O5557" t="s">
        <v>46</v>
      </c>
      <c r="P5557" t="s">
        <v>46</v>
      </c>
      <c r="Y5557" t="s">
        <v>18600</v>
      </c>
    </row>
    <row r="5558" spans="1:25">
      <c r="A5558" t="s">
        <v>18601</v>
      </c>
      <c r="B5558" t="s">
        <v>18602</v>
      </c>
      <c r="D5558" t="s">
        <v>40</v>
      </c>
      <c r="E5558" t="s">
        <v>41</v>
      </c>
      <c r="J5558" t="s">
        <v>182</v>
      </c>
      <c r="K5558" t="s">
        <v>183</v>
      </c>
      <c r="L5558">
        <v>11</v>
      </c>
      <c r="M5558" t="s">
        <v>18599</v>
      </c>
      <c r="N5558" t="s">
        <v>64</v>
      </c>
      <c r="O5558" t="s">
        <v>46</v>
      </c>
      <c r="P5558" t="s">
        <v>46</v>
      </c>
      <c r="Y5558" t="s">
        <v>18603</v>
      </c>
    </row>
    <row r="5559" spans="1:25">
      <c r="A5559" t="s">
        <v>18604</v>
      </c>
      <c r="B5559" t="s">
        <v>18605</v>
      </c>
      <c r="D5559" t="s">
        <v>40</v>
      </c>
      <c r="E5559" t="s">
        <v>41</v>
      </c>
      <c r="J5559" t="s">
        <v>68</v>
      </c>
      <c r="K5559" t="s">
        <v>69</v>
      </c>
      <c r="L5559">
        <v>11</v>
      </c>
      <c r="M5559" t="s">
        <v>18606</v>
      </c>
      <c r="N5559" t="s">
        <v>64</v>
      </c>
      <c r="O5559" t="s">
        <v>46</v>
      </c>
      <c r="P5559" t="s">
        <v>46</v>
      </c>
      <c r="Y5559" t="s">
        <v>18607</v>
      </c>
    </row>
    <row r="5560" spans="1:25">
      <c r="A5560" t="s">
        <v>18608</v>
      </c>
      <c r="B5560" t="s">
        <v>18609</v>
      </c>
      <c r="D5560" t="s">
        <v>40</v>
      </c>
      <c r="E5560" t="s">
        <v>41</v>
      </c>
      <c r="J5560" t="s">
        <v>68</v>
      </c>
      <c r="K5560" t="s">
        <v>69</v>
      </c>
      <c r="L5560">
        <v>11</v>
      </c>
      <c r="M5560" t="s">
        <v>18606</v>
      </c>
      <c r="N5560" t="s">
        <v>64</v>
      </c>
      <c r="O5560" t="s">
        <v>46</v>
      </c>
      <c r="P5560" t="s">
        <v>46</v>
      </c>
      <c r="Y5560" t="s">
        <v>18610</v>
      </c>
    </row>
    <row r="5561" spans="1:25">
      <c r="A5561" t="s">
        <v>18611</v>
      </c>
      <c r="B5561" t="s">
        <v>18612</v>
      </c>
      <c r="D5561" t="s">
        <v>40</v>
      </c>
      <c r="E5561" t="s">
        <v>41</v>
      </c>
      <c r="J5561" t="s">
        <v>68</v>
      </c>
      <c r="K5561" t="s">
        <v>69</v>
      </c>
      <c r="L5561">
        <v>11</v>
      </c>
      <c r="M5561" t="s">
        <v>18606</v>
      </c>
      <c r="N5561" t="s">
        <v>64</v>
      </c>
      <c r="O5561" t="s">
        <v>46</v>
      </c>
      <c r="P5561" t="s">
        <v>46</v>
      </c>
      <c r="Y5561" t="s">
        <v>18613</v>
      </c>
    </row>
    <row r="5562" spans="1:25">
      <c r="A5562" t="s">
        <v>18614</v>
      </c>
      <c r="B5562" t="s">
        <v>18615</v>
      </c>
      <c r="D5562" t="s">
        <v>40</v>
      </c>
      <c r="E5562" t="s">
        <v>41</v>
      </c>
      <c r="J5562" t="s">
        <v>182</v>
      </c>
      <c r="K5562" t="s">
        <v>183</v>
      </c>
      <c r="L5562">
        <v>11</v>
      </c>
      <c r="M5562" t="s">
        <v>18606</v>
      </c>
      <c r="N5562" t="s">
        <v>64</v>
      </c>
      <c r="O5562" t="s">
        <v>46</v>
      </c>
      <c r="P5562" t="s">
        <v>46</v>
      </c>
      <c r="Y5562" t="s">
        <v>18616</v>
      </c>
    </row>
    <row r="5563" spans="1:25">
      <c r="A5563" t="s">
        <v>18617</v>
      </c>
      <c r="B5563" t="s">
        <v>18618</v>
      </c>
      <c r="D5563" t="s">
        <v>40</v>
      </c>
      <c r="E5563" t="s">
        <v>41</v>
      </c>
      <c r="J5563" t="s">
        <v>68</v>
      </c>
      <c r="K5563" t="s">
        <v>69</v>
      </c>
      <c r="L5563">
        <v>11</v>
      </c>
      <c r="M5563" t="s">
        <v>18619</v>
      </c>
      <c r="N5563" t="s">
        <v>64</v>
      </c>
      <c r="O5563" t="s">
        <v>46</v>
      </c>
      <c r="P5563" t="s">
        <v>46</v>
      </c>
      <c r="Y5563" t="s">
        <v>18620</v>
      </c>
    </row>
    <row r="5564" spans="1:25">
      <c r="A5564" t="s">
        <v>18621</v>
      </c>
      <c r="B5564" t="s">
        <v>18622</v>
      </c>
      <c r="D5564" t="s">
        <v>40</v>
      </c>
      <c r="E5564" t="s">
        <v>41</v>
      </c>
      <c r="J5564" t="s">
        <v>182</v>
      </c>
      <c r="K5564" t="s">
        <v>183</v>
      </c>
      <c r="L5564">
        <v>11</v>
      </c>
      <c r="M5564" t="s">
        <v>18619</v>
      </c>
      <c r="N5564" t="s">
        <v>64</v>
      </c>
      <c r="O5564" t="s">
        <v>46</v>
      </c>
      <c r="P5564" t="s">
        <v>46</v>
      </c>
      <c r="Y5564" t="s">
        <v>18623</v>
      </c>
    </row>
    <row r="5565" spans="1:25">
      <c r="A5565" t="s">
        <v>18624</v>
      </c>
      <c r="B5565" t="s">
        <v>18625</v>
      </c>
      <c r="D5565" t="s">
        <v>40</v>
      </c>
      <c r="E5565" t="s">
        <v>41</v>
      </c>
      <c r="J5565" t="s">
        <v>76</v>
      </c>
      <c r="K5565" t="s">
        <v>77</v>
      </c>
      <c r="L5565">
        <v>11</v>
      </c>
      <c r="M5565" t="s">
        <v>18619</v>
      </c>
      <c r="N5565" t="s">
        <v>64</v>
      </c>
      <c r="O5565" t="s">
        <v>46</v>
      </c>
      <c r="P5565" t="s">
        <v>46</v>
      </c>
      <c r="Y5565" t="s">
        <v>18626</v>
      </c>
    </row>
    <row r="5566" spans="1:25">
      <c r="A5566" t="s">
        <v>18627</v>
      </c>
      <c r="B5566" t="s">
        <v>18628</v>
      </c>
      <c r="D5566" t="s">
        <v>40</v>
      </c>
      <c r="E5566" t="s">
        <v>41</v>
      </c>
      <c r="J5566" t="s">
        <v>68</v>
      </c>
      <c r="K5566" t="s">
        <v>69</v>
      </c>
      <c r="L5566">
        <v>11</v>
      </c>
      <c r="M5566" t="s">
        <v>18619</v>
      </c>
      <c r="N5566" t="s">
        <v>64</v>
      </c>
      <c r="O5566" t="s">
        <v>46</v>
      </c>
      <c r="P5566" t="s">
        <v>46</v>
      </c>
      <c r="Y5566" t="s">
        <v>18629</v>
      </c>
    </row>
    <row r="5567" spans="1:25">
      <c r="A5567" t="s">
        <v>18630</v>
      </c>
      <c r="B5567" t="s">
        <v>18631</v>
      </c>
      <c r="D5567" t="s">
        <v>40</v>
      </c>
      <c r="E5567" t="s">
        <v>41</v>
      </c>
      <c r="J5567" t="s">
        <v>68</v>
      </c>
      <c r="K5567" t="s">
        <v>69</v>
      </c>
      <c r="L5567">
        <v>11</v>
      </c>
      <c r="M5567" t="s">
        <v>18619</v>
      </c>
      <c r="N5567" t="s">
        <v>64</v>
      </c>
      <c r="O5567" t="s">
        <v>46</v>
      </c>
      <c r="P5567" t="s">
        <v>46</v>
      </c>
      <c r="Y5567" t="s">
        <v>18632</v>
      </c>
    </row>
    <row r="5568" spans="1:25">
      <c r="A5568" t="s">
        <v>18633</v>
      </c>
      <c r="B5568" t="s">
        <v>18634</v>
      </c>
      <c r="D5568" t="s">
        <v>40</v>
      </c>
      <c r="E5568" t="s">
        <v>41</v>
      </c>
      <c r="J5568" t="s">
        <v>182</v>
      </c>
      <c r="K5568" t="s">
        <v>183</v>
      </c>
      <c r="L5568">
        <v>12</v>
      </c>
      <c r="M5568" t="s">
        <v>18619</v>
      </c>
      <c r="N5568" t="s">
        <v>64</v>
      </c>
      <c r="O5568" t="s">
        <v>46</v>
      </c>
      <c r="P5568" t="s">
        <v>46</v>
      </c>
      <c r="Y5568" t="s">
        <v>18635</v>
      </c>
    </row>
    <row r="5569" spans="1:25">
      <c r="A5569" t="s">
        <v>18636</v>
      </c>
      <c r="B5569" t="s">
        <v>18637</v>
      </c>
      <c r="D5569" t="s">
        <v>40</v>
      </c>
      <c r="E5569" t="s">
        <v>41</v>
      </c>
      <c r="J5569" t="s">
        <v>6255</v>
      </c>
      <c r="K5569" t="s">
        <v>6256</v>
      </c>
      <c r="L5569">
        <v>11</v>
      </c>
      <c r="M5569" t="s">
        <v>18638</v>
      </c>
      <c r="N5569" t="s">
        <v>315</v>
      </c>
      <c r="O5569" t="s">
        <v>46</v>
      </c>
      <c r="P5569" t="s">
        <v>46</v>
      </c>
      <c r="Y5569" t="s">
        <v>18639</v>
      </c>
    </row>
    <row r="5570" spans="1:25">
      <c r="A5570" t="s">
        <v>18640</v>
      </c>
      <c r="B5570" t="s">
        <v>18641</v>
      </c>
      <c r="D5570" t="s">
        <v>40</v>
      </c>
      <c r="E5570" t="s">
        <v>41</v>
      </c>
      <c r="J5570" t="s">
        <v>68</v>
      </c>
      <c r="K5570" t="s">
        <v>69</v>
      </c>
      <c r="L5570">
        <v>11</v>
      </c>
      <c r="M5570" t="s">
        <v>18638</v>
      </c>
      <c r="N5570" t="s">
        <v>64</v>
      </c>
      <c r="O5570" t="s">
        <v>46</v>
      </c>
      <c r="P5570" t="s">
        <v>46</v>
      </c>
      <c r="Y5570" t="s">
        <v>18642</v>
      </c>
    </row>
    <row r="5571" spans="1:25">
      <c r="A5571" t="s">
        <v>18643</v>
      </c>
      <c r="B5571" t="s">
        <v>18644</v>
      </c>
      <c r="D5571" t="s">
        <v>40</v>
      </c>
      <c r="E5571" t="s">
        <v>41</v>
      </c>
      <c r="J5571" t="s">
        <v>68</v>
      </c>
      <c r="K5571" t="s">
        <v>69</v>
      </c>
      <c r="L5571">
        <v>11</v>
      </c>
      <c r="M5571" t="s">
        <v>18645</v>
      </c>
      <c r="N5571" t="s">
        <v>64</v>
      </c>
      <c r="O5571" t="s">
        <v>46</v>
      </c>
      <c r="P5571" t="s">
        <v>46</v>
      </c>
      <c r="Y5571" t="s">
        <v>18646</v>
      </c>
    </row>
    <row r="5572" spans="1:25">
      <c r="A5572" t="s">
        <v>18647</v>
      </c>
      <c r="B5572" t="s">
        <v>18648</v>
      </c>
      <c r="D5572" t="s">
        <v>40</v>
      </c>
      <c r="E5572" t="s">
        <v>41</v>
      </c>
      <c r="J5572" t="s">
        <v>68</v>
      </c>
      <c r="K5572" t="s">
        <v>69</v>
      </c>
      <c r="L5572">
        <v>11</v>
      </c>
      <c r="M5572" t="s">
        <v>18645</v>
      </c>
      <c r="N5572" t="s">
        <v>64</v>
      </c>
      <c r="O5572" t="s">
        <v>46</v>
      </c>
      <c r="P5572" t="s">
        <v>46</v>
      </c>
      <c r="Y5572" t="s">
        <v>18649</v>
      </c>
    </row>
    <row r="5573" spans="1:25">
      <c r="A5573" t="s">
        <v>18650</v>
      </c>
      <c r="B5573" t="s">
        <v>18651</v>
      </c>
      <c r="D5573" t="s">
        <v>40</v>
      </c>
      <c r="E5573" t="s">
        <v>41</v>
      </c>
      <c r="J5573" t="s">
        <v>68</v>
      </c>
      <c r="K5573" t="s">
        <v>69</v>
      </c>
      <c r="L5573">
        <v>11</v>
      </c>
      <c r="M5573" t="s">
        <v>18645</v>
      </c>
      <c r="N5573" t="s">
        <v>64</v>
      </c>
      <c r="O5573" t="s">
        <v>46</v>
      </c>
      <c r="P5573" t="s">
        <v>46</v>
      </c>
      <c r="Y5573" t="s">
        <v>18652</v>
      </c>
    </row>
    <row r="5574" spans="1:25">
      <c r="A5574" t="s">
        <v>18653</v>
      </c>
      <c r="B5574" t="s">
        <v>18654</v>
      </c>
      <c r="D5574" t="s">
        <v>40</v>
      </c>
      <c r="E5574" t="s">
        <v>41</v>
      </c>
      <c r="J5574" t="s">
        <v>182</v>
      </c>
      <c r="K5574" t="s">
        <v>183</v>
      </c>
      <c r="L5574">
        <v>11</v>
      </c>
      <c r="M5574" t="s">
        <v>18655</v>
      </c>
      <c r="N5574" t="s">
        <v>64</v>
      </c>
      <c r="O5574" t="s">
        <v>46</v>
      </c>
      <c r="P5574" t="s">
        <v>46</v>
      </c>
      <c r="Y5574" t="s">
        <v>18656</v>
      </c>
    </row>
    <row r="5575" spans="1:25">
      <c r="A5575" t="s">
        <v>18657</v>
      </c>
      <c r="B5575" t="s">
        <v>18658</v>
      </c>
      <c r="D5575" t="s">
        <v>40</v>
      </c>
      <c r="E5575" t="s">
        <v>41</v>
      </c>
      <c r="J5575" t="s">
        <v>68</v>
      </c>
      <c r="K5575" t="s">
        <v>69</v>
      </c>
      <c r="L5575">
        <v>11</v>
      </c>
      <c r="M5575" t="s">
        <v>18655</v>
      </c>
      <c r="N5575" t="s">
        <v>64</v>
      </c>
      <c r="O5575" t="s">
        <v>46</v>
      </c>
      <c r="P5575" t="s">
        <v>46</v>
      </c>
      <c r="Y5575" t="s">
        <v>18659</v>
      </c>
    </row>
    <row r="5576" spans="1:25">
      <c r="A5576" t="s">
        <v>18660</v>
      </c>
      <c r="B5576" t="s">
        <v>18661</v>
      </c>
      <c r="D5576" t="s">
        <v>40</v>
      </c>
      <c r="E5576" t="s">
        <v>41</v>
      </c>
      <c r="J5576" t="s">
        <v>68</v>
      </c>
      <c r="K5576" t="s">
        <v>69</v>
      </c>
      <c r="L5576">
        <v>11</v>
      </c>
      <c r="M5576" t="s">
        <v>18655</v>
      </c>
      <c r="N5576" t="s">
        <v>64</v>
      </c>
      <c r="O5576" t="s">
        <v>46</v>
      </c>
      <c r="P5576" t="s">
        <v>46</v>
      </c>
      <c r="Y5576" t="s">
        <v>18662</v>
      </c>
    </row>
    <row r="5577" spans="1:25">
      <c r="A5577" t="s">
        <v>18663</v>
      </c>
      <c r="B5577" t="s">
        <v>18664</v>
      </c>
      <c r="D5577" t="s">
        <v>40</v>
      </c>
      <c r="E5577" t="s">
        <v>41</v>
      </c>
      <c r="J5577" t="s">
        <v>76</v>
      </c>
      <c r="K5577" t="s">
        <v>77</v>
      </c>
      <c r="L5577">
        <v>11</v>
      </c>
      <c r="M5577" t="s">
        <v>18655</v>
      </c>
      <c r="N5577" t="s">
        <v>64</v>
      </c>
      <c r="O5577" t="s">
        <v>46</v>
      </c>
      <c r="P5577" t="s">
        <v>46</v>
      </c>
      <c r="Y5577" t="s">
        <v>18665</v>
      </c>
    </row>
    <row r="5578" spans="1:25">
      <c r="A5578" t="s">
        <v>18666</v>
      </c>
      <c r="B5578" t="s">
        <v>18667</v>
      </c>
      <c r="D5578" t="s">
        <v>40</v>
      </c>
      <c r="E5578" t="s">
        <v>41</v>
      </c>
      <c r="J5578" t="s">
        <v>68</v>
      </c>
      <c r="K5578" t="s">
        <v>69</v>
      </c>
      <c r="L5578">
        <v>11</v>
      </c>
      <c r="M5578" t="s">
        <v>18668</v>
      </c>
      <c r="N5578" t="s">
        <v>64</v>
      </c>
      <c r="O5578" t="s">
        <v>46</v>
      </c>
      <c r="P5578" t="s">
        <v>46</v>
      </c>
      <c r="Y5578" t="s">
        <v>18669</v>
      </c>
    </row>
    <row r="5579" spans="1:25">
      <c r="A5579" t="s">
        <v>18670</v>
      </c>
      <c r="B5579" t="s">
        <v>18671</v>
      </c>
      <c r="D5579" t="s">
        <v>40</v>
      </c>
      <c r="E5579" t="s">
        <v>41</v>
      </c>
      <c r="J5579" t="s">
        <v>68</v>
      </c>
      <c r="K5579" t="s">
        <v>69</v>
      </c>
      <c r="L5579">
        <v>11</v>
      </c>
      <c r="M5579" t="s">
        <v>18672</v>
      </c>
      <c r="N5579" t="s">
        <v>64</v>
      </c>
      <c r="O5579" t="s">
        <v>46</v>
      </c>
      <c r="P5579" t="s">
        <v>46</v>
      </c>
      <c r="Y5579" t="s">
        <v>18673</v>
      </c>
    </row>
    <row r="5580" spans="1:25">
      <c r="A5580" t="s">
        <v>18674</v>
      </c>
      <c r="B5580" t="s">
        <v>18675</v>
      </c>
      <c r="D5580" t="s">
        <v>40</v>
      </c>
      <c r="E5580" t="s">
        <v>41</v>
      </c>
      <c r="J5580" t="s">
        <v>68</v>
      </c>
      <c r="K5580" t="s">
        <v>69</v>
      </c>
      <c r="L5580">
        <v>11</v>
      </c>
      <c r="M5580" t="s">
        <v>18672</v>
      </c>
      <c r="N5580" t="s">
        <v>64</v>
      </c>
      <c r="O5580" t="s">
        <v>46</v>
      </c>
      <c r="P5580" t="s">
        <v>46</v>
      </c>
      <c r="Y5580" t="s">
        <v>18676</v>
      </c>
    </row>
    <row r="5581" spans="1:25">
      <c r="A5581" t="s">
        <v>18677</v>
      </c>
      <c r="B5581" t="s">
        <v>18678</v>
      </c>
      <c r="D5581" t="s">
        <v>40</v>
      </c>
      <c r="E5581" t="s">
        <v>41</v>
      </c>
      <c r="J5581" t="s">
        <v>68</v>
      </c>
      <c r="K5581" t="s">
        <v>69</v>
      </c>
      <c r="L5581">
        <v>11</v>
      </c>
      <c r="M5581" t="s">
        <v>18679</v>
      </c>
      <c r="N5581" t="s">
        <v>64</v>
      </c>
      <c r="O5581" t="s">
        <v>46</v>
      </c>
      <c r="P5581" t="s">
        <v>46</v>
      </c>
      <c r="Y5581" t="s">
        <v>18680</v>
      </c>
    </row>
    <row r="5582" spans="1:25">
      <c r="A5582" t="s">
        <v>18681</v>
      </c>
      <c r="B5582" t="s">
        <v>18682</v>
      </c>
      <c r="D5582" t="s">
        <v>40</v>
      </c>
      <c r="E5582" t="s">
        <v>41</v>
      </c>
      <c r="J5582" t="s">
        <v>68</v>
      </c>
      <c r="K5582" t="s">
        <v>69</v>
      </c>
      <c r="L5582">
        <v>11</v>
      </c>
      <c r="M5582" t="s">
        <v>18679</v>
      </c>
      <c r="N5582" t="s">
        <v>64</v>
      </c>
      <c r="O5582" t="s">
        <v>46</v>
      </c>
      <c r="P5582" t="s">
        <v>46</v>
      </c>
      <c r="Y5582" t="s">
        <v>18683</v>
      </c>
    </row>
    <row r="5583" spans="1:25">
      <c r="A5583" t="s">
        <v>18684</v>
      </c>
      <c r="B5583" t="s">
        <v>18685</v>
      </c>
      <c r="D5583" t="s">
        <v>40</v>
      </c>
      <c r="E5583" t="s">
        <v>41</v>
      </c>
      <c r="J5583" t="s">
        <v>68</v>
      </c>
      <c r="K5583" t="s">
        <v>69</v>
      </c>
      <c r="L5583">
        <v>11</v>
      </c>
      <c r="M5583" t="s">
        <v>18679</v>
      </c>
      <c r="N5583" t="s">
        <v>64</v>
      </c>
      <c r="O5583" t="s">
        <v>46</v>
      </c>
      <c r="P5583" t="s">
        <v>46</v>
      </c>
      <c r="Y5583" t="s">
        <v>18686</v>
      </c>
    </row>
    <row r="5584" spans="1:25">
      <c r="A5584" t="s">
        <v>18687</v>
      </c>
      <c r="B5584" t="s">
        <v>18688</v>
      </c>
      <c r="D5584" t="s">
        <v>40</v>
      </c>
      <c r="E5584" t="s">
        <v>41</v>
      </c>
      <c r="J5584" t="s">
        <v>68</v>
      </c>
      <c r="K5584" t="s">
        <v>69</v>
      </c>
      <c r="L5584">
        <v>11</v>
      </c>
      <c r="M5584" t="s">
        <v>18679</v>
      </c>
      <c r="N5584" t="s">
        <v>64</v>
      </c>
      <c r="O5584" t="s">
        <v>46</v>
      </c>
      <c r="P5584" t="s">
        <v>46</v>
      </c>
      <c r="Y5584" t="s">
        <v>18689</v>
      </c>
    </row>
    <row r="5585" spans="1:25">
      <c r="A5585" t="s">
        <v>18690</v>
      </c>
      <c r="B5585" t="s">
        <v>18691</v>
      </c>
      <c r="D5585" t="s">
        <v>40</v>
      </c>
      <c r="E5585" t="s">
        <v>41</v>
      </c>
      <c r="J5585" t="s">
        <v>68</v>
      </c>
      <c r="K5585" t="s">
        <v>69</v>
      </c>
      <c r="L5585">
        <v>11</v>
      </c>
      <c r="M5585" t="s">
        <v>18679</v>
      </c>
      <c r="N5585" t="s">
        <v>64</v>
      </c>
      <c r="O5585" t="s">
        <v>46</v>
      </c>
      <c r="P5585" t="s">
        <v>46</v>
      </c>
      <c r="Y5585" t="s">
        <v>18692</v>
      </c>
    </row>
    <row r="5586" spans="1:25">
      <c r="A5586" t="s">
        <v>18693</v>
      </c>
      <c r="B5586" t="s">
        <v>18694</v>
      </c>
      <c r="D5586" t="s">
        <v>40</v>
      </c>
      <c r="E5586" t="s">
        <v>41</v>
      </c>
      <c r="J5586" t="s">
        <v>68</v>
      </c>
      <c r="K5586" t="s">
        <v>69</v>
      </c>
      <c r="L5586">
        <v>11</v>
      </c>
      <c r="M5586" t="s">
        <v>18679</v>
      </c>
      <c r="N5586" t="s">
        <v>64</v>
      </c>
      <c r="O5586" t="s">
        <v>46</v>
      </c>
      <c r="P5586" t="s">
        <v>46</v>
      </c>
      <c r="Y5586" t="s">
        <v>18695</v>
      </c>
    </row>
    <row r="5587" spans="1:25">
      <c r="A5587" t="s">
        <v>18696</v>
      </c>
      <c r="B5587" t="s">
        <v>18697</v>
      </c>
      <c r="D5587" t="s">
        <v>40</v>
      </c>
      <c r="E5587" t="s">
        <v>41</v>
      </c>
      <c r="J5587" t="s">
        <v>50</v>
      </c>
      <c r="K5587" t="s">
        <v>51</v>
      </c>
      <c r="L5587">
        <v>11</v>
      </c>
      <c r="M5587" t="s">
        <v>18679</v>
      </c>
      <c r="N5587" t="s">
        <v>1258</v>
      </c>
      <c r="O5587" t="s">
        <v>46</v>
      </c>
      <c r="P5587" t="s">
        <v>46</v>
      </c>
      <c r="Y5587" t="s">
        <v>18698</v>
      </c>
    </row>
    <row r="5588" spans="1:25">
      <c r="A5588" t="s">
        <v>18699</v>
      </c>
      <c r="B5588" t="s">
        <v>18700</v>
      </c>
      <c r="D5588" t="s">
        <v>40</v>
      </c>
      <c r="E5588" t="s">
        <v>41</v>
      </c>
      <c r="J5588" t="s">
        <v>68</v>
      </c>
      <c r="K5588" t="s">
        <v>69</v>
      </c>
      <c r="L5588">
        <v>11</v>
      </c>
      <c r="M5588" t="s">
        <v>18679</v>
      </c>
      <c r="N5588" t="s">
        <v>64</v>
      </c>
      <c r="O5588" t="s">
        <v>46</v>
      </c>
      <c r="P5588" t="s">
        <v>46</v>
      </c>
      <c r="Y5588" t="s">
        <v>18701</v>
      </c>
    </row>
    <row r="5589" spans="1:25">
      <c r="A5589" t="s">
        <v>18702</v>
      </c>
      <c r="B5589" t="s">
        <v>18703</v>
      </c>
      <c r="D5589" t="s">
        <v>40</v>
      </c>
      <c r="E5589" t="s">
        <v>41</v>
      </c>
      <c r="J5589" t="s">
        <v>76</v>
      </c>
      <c r="K5589" t="s">
        <v>77</v>
      </c>
      <c r="L5589">
        <v>11</v>
      </c>
      <c r="M5589" t="s">
        <v>18704</v>
      </c>
      <c r="N5589" t="s">
        <v>64</v>
      </c>
      <c r="O5589" t="s">
        <v>46</v>
      </c>
      <c r="P5589" t="s">
        <v>46</v>
      </c>
      <c r="Y5589" t="s">
        <v>18705</v>
      </c>
    </row>
    <row r="5590" spans="1:25">
      <c r="A5590" t="s">
        <v>18706</v>
      </c>
      <c r="B5590" t="s">
        <v>18707</v>
      </c>
      <c r="D5590" t="s">
        <v>40</v>
      </c>
      <c r="E5590" t="s">
        <v>41</v>
      </c>
      <c r="J5590" t="s">
        <v>68</v>
      </c>
      <c r="K5590" t="s">
        <v>69</v>
      </c>
      <c r="L5590">
        <v>11</v>
      </c>
      <c r="M5590" t="s">
        <v>18704</v>
      </c>
      <c r="N5590" t="s">
        <v>64</v>
      </c>
      <c r="O5590" t="s">
        <v>46</v>
      </c>
      <c r="P5590" t="s">
        <v>46</v>
      </c>
      <c r="Y5590" t="s">
        <v>18708</v>
      </c>
    </row>
    <row r="5591" spans="1:25">
      <c r="A5591" t="s">
        <v>18709</v>
      </c>
      <c r="B5591" t="s">
        <v>18710</v>
      </c>
      <c r="D5591" t="s">
        <v>40</v>
      </c>
      <c r="E5591" t="s">
        <v>41</v>
      </c>
      <c r="J5591" t="s">
        <v>139</v>
      </c>
      <c r="K5591" t="s">
        <v>140</v>
      </c>
      <c r="L5591">
        <v>11</v>
      </c>
      <c r="M5591" t="s">
        <v>18704</v>
      </c>
      <c r="N5591" t="s">
        <v>756</v>
      </c>
      <c r="O5591" t="s">
        <v>46</v>
      </c>
      <c r="P5591" t="s">
        <v>46</v>
      </c>
      <c r="Y5591" t="s">
        <v>18711</v>
      </c>
    </row>
    <row r="5592" spans="1:25">
      <c r="A5592" t="s">
        <v>18712</v>
      </c>
      <c r="B5592" t="s">
        <v>18713</v>
      </c>
      <c r="D5592" t="s">
        <v>40</v>
      </c>
      <c r="E5592" t="s">
        <v>41</v>
      </c>
      <c r="J5592" t="s">
        <v>68</v>
      </c>
      <c r="K5592" t="s">
        <v>69</v>
      </c>
      <c r="L5592">
        <v>11</v>
      </c>
      <c r="M5592" t="s">
        <v>18704</v>
      </c>
      <c r="N5592" t="s">
        <v>64</v>
      </c>
      <c r="O5592" t="s">
        <v>46</v>
      </c>
      <c r="P5592" t="s">
        <v>46</v>
      </c>
      <c r="Y5592" t="s">
        <v>18714</v>
      </c>
    </row>
    <row r="5593" spans="1:25">
      <c r="A5593" t="s">
        <v>18715</v>
      </c>
      <c r="B5593" t="s">
        <v>18716</v>
      </c>
      <c r="D5593" t="s">
        <v>40</v>
      </c>
      <c r="E5593" t="s">
        <v>41</v>
      </c>
      <c r="J5593" t="s">
        <v>182</v>
      </c>
      <c r="K5593" t="s">
        <v>183</v>
      </c>
      <c r="L5593">
        <v>11</v>
      </c>
      <c r="M5593" t="s">
        <v>18704</v>
      </c>
      <c r="N5593" t="s">
        <v>64</v>
      </c>
      <c r="O5593" t="s">
        <v>46</v>
      </c>
      <c r="P5593" t="s">
        <v>46</v>
      </c>
      <c r="Y5593" t="s">
        <v>18717</v>
      </c>
    </row>
    <row r="5594" spans="1:25">
      <c r="A5594" t="s">
        <v>18718</v>
      </c>
      <c r="B5594" t="s">
        <v>18719</v>
      </c>
      <c r="D5594" t="s">
        <v>40</v>
      </c>
      <c r="E5594" t="s">
        <v>41</v>
      </c>
      <c r="J5594" t="s">
        <v>68</v>
      </c>
      <c r="K5594" t="s">
        <v>69</v>
      </c>
      <c r="L5594">
        <v>11</v>
      </c>
      <c r="M5594" t="s">
        <v>18720</v>
      </c>
      <c r="N5594" t="s">
        <v>64</v>
      </c>
      <c r="O5594" t="s">
        <v>46</v>
      </c>
      <c r="P5594" t="s">
        <v>46</v>
      </c>
      <c r="Y5594" t="s">
        <v>18721</v>
      </c>
    </row>
    <row r="5595" spans="1:25">
      <c r="A5595" t="s">
        <v>18722</v>
      </c>
      <c r="B5595" t="s">
        <v>18723</v>
      </c>
      <c r="D5595" t="s">
        <v>40</v>
      </c>
      <c r="E5595" t="s">
        <v>41</v>
      </c>
      <c r="J5595" t="s">
        <v>68</v>
      </c>
      <c r="K5595" t="s">
        <v>69</v>
      </c>
      <c r="L5595">
        <v>11</v>
      </c>
      <c r="M5595" t="s">
        <v>18720</v>
      </c>
      <c r="N5595" t="s">
        <v>64</v>
      </c>
      <c r="O5595" t="s">
        <v>46</v>
      </c>
      <c r="P5595" t="s">
        <v>46</v>
      </c>
      <c r="Y5595" t="s">
        <v>18724</v>
      </c>
    </row>
    <row r="5596" spans="1:25">
      <c r="A5596" t="s">
        <v>18725</v>
      </c>
      <c r="B5596" t="s">
        <v>18726</v>
      </c>
      <c r="D5596" t="s">
        <v>40</v>
      </c>
      <c r="E5596" t="s">
        <v>41</v>
      </c>
      <c r="J5596" t="s">
        <v>68</v>
      </c>
      <c r="K5596" t="s">
        <v>69</v>
      </c>
      <c r="L5596">
        <v>11</v>
      </c>
      <c r="M5596" t="s">
        <v>18720</v>
      </c>
      <c r="N5596" t="s">
        <v>64</v>
      </c>
      <c r="O5596" t="s">
        <v>46</v>
      </c>
      <c r="P5596" t="s">
        <v>46</v>
      </c>
      <c r="Y5596" t="s">
        <v>18727</v>
      </c>
    </row>
    <row r="5597" spans="1:25">
      <c r="A5597" t="s">
        <v>18728</v>
      </c>
      <c r="B5597" t="s">
        <v>18729</v>
      </c>
      <c r="D5597" t="s">
        <v>40</v>
      </c>
      <c r="E5597" t="s">
        <v>41</v>
      </c>
      <c r="J5597" t="s">
        <v>68</v>
      </c>
      <c r="K5597" t="s">
        <v>69</v>
      </c>
      <c r="L5597">
        <v>11</v>
      </c>
      <c r="M5597" t="s">
        <v>18720</v>
      </c>
      <c r="N5597" t="s">
        <v>64</v>
      </c>
      <c r="O5597" t="s">
        <v>46</v>
      </c>
      <c r="P5597" t="s">
        <v>46</v>
      </c>
      <c r="Y5597" t="s">
        <v>18730</v>
      </c>
    </row>
    <row r="5598" spans="1:25">
      <c r="A5598" t="s">
        <v>18731</v>
      </c>
      <c r="B5598" t="s">
        <v>18732</v>
      </c>
      <c r="D5598" t="s">
        <v>40</v>
      </c>
      <c r="E5598" t="s">
        <v>41</v>
      </c>
      <c r="J5598" t="s">
        <v>264</v>
      </c>
      <c r="K5598" t="s">
        <v>265</v>
      </c>
      <c r="L5598">
        <v>11</v>
      </c>
      <c r="M5598" t="s">
        <v>18733</v>
      </c>
      <c r="N5598" t="s">
        <v>1369</v>
      </c>
      <c r="O5598" t="s">
        <v>46</v>
      </c>
      <c r="P5598" t="s">
        <v>46</v>
      </c>
      <c r="Y5598" t="s">
        <v>18734</v>
      </c>
    </row>
    <row r="5599" spans="1:25">
      <c r="A5599" t="s">
        <v>18735</v>
      </c>
      <c r="B5599" t="s">
        <v>18736</v>
      </c>
      <c r="D5599" t="s">
        <v>40</v>
      </c>
      <c r="E5599" t="s">
        <v>41</v>
      </c>
      <c r="J5599" t="s">
        <v>182</v>
      </c>
      <c r="K5599" t="s">
        <v>183</v>
      </c>
      <c r="L5599">
        <v>11</v>
      </c>
      <c r="M5599" t="s">
        <v>18733</v>
      </c>
      <c r="N5599" t="s">
        <v>64</v>
      </c>
      <c r="O5599" t="s">
        <v>46</v>
      </c>
      <c r="P5599" t="s">
        <v>46</v>
      </c>
      <c r="Y5599" t="s">
        <v>18737</v>
      </c>
    </row>
    <row r="5600" spans="1:25">
      <c r="A5600" t="s">
        <v>18738</v>
      </c>
      <c r="B5600" t="s">
        <v>18739</v>
      </c>
      <c r="D5600" t="s">
        <v>40</v>
      </c>
      <c r="E5600" t="s">
        <v>41</v>
      </c>
      <c r="J5600" t="s">
        <v>645</v>
      </c>
      <c r="K5600" t="s">
        <v>646</v>
      </c>
      <c r="L5600">
        <v>11</v>
      </c>
      <c r="M5600" t="s">
        <v>18733</v>
      </c>
      <c r="N5600" t="s">
        <v>64</v>
      </c>
      <c r="O5600" t="s">
        <v>46</v>
      </c>
      <c r="P5600" t="s">
        <v>46</v>
      </c>
      <c r="Y5600" t="s">
        <v>18740</v>
      </c>
    </row>
    <row r="5601" spans="1:25">
      <c r="A5601" t="s">
        <v>18741</v>
      </c>
      <c r="B5601" t="s">
        <v>18742</v>
      </c>
      <c r="D5601" t="s">
        <v>40</v>
      </c>
      <c r="E5601" t="s">
        <v>41</v>
      </c>
      <c r="J5601" t="s">
        <v>42</v>
      </c>
      <c r="K5601" t="s">
        <v>43</v>
      </c>
      <c r="L5601">
        <v>11</v>
      </c>
      <c r="M5601" t="s">
        <v>18743</v>
      </c>
      <c r="N5601" t="s">
        <v>53</v>
      </c>
      <c r="O5601" t="s">
        <v>46</v>
      </c>
      <c r="P5601" t="s">
        <v>46</v>
      </c>
      <c r="Y5601" t="s">
        <v>18744</v>
      </c>
    </row>
    <row r="5602" spans="1:25">
      <c r="A5602" t="s">
        <v>18745</v>
      </c>
      <c r="B5602" t="s">
        <v>18746</v>
      </c>
      <c r="D5602" t="s">
        <v>40</v>
      </c>
      <c r="E5602" t="s">
        <v>41</v>
      </c>
      <c r="J5602" t="s">
        <v>68</v>
      </c>
      <c r="K5602" t="s">
        <v>69</v>
      </c>
      <c r="L5602">
        <v>11</v>
      </c>
      <c r="M5602" t="s">
        <v>18747</v>
      </c>
      <c r="N5602" t="s">
        <v>64</v>
      </c>
      <c r="O5602" t="s">
        <v>46</v>
      </c>
      <c r="P5602" t="s">
        <v>46</v>
      </c>
      <c r="Y5602" t="s">
        <v>18748</v>
      </c>
    </row>
    <row r="5603" spans="1:25">
      <c r="A5603" t="s">
        <v>18749</v>
      </c>
      <c r="B5603" t="s">
        <v>18750</v>
      </c>
      <c r="D5603" t="s">
        <v>40</v>
      </c>
      <c r="E5603" t="s">
        <v>41</v>
      </c>
      <c r="J5603" t="s">
        <v>68</v>
      </c>
      <c r="K5603" t="s">
        <v>69</v>
      </c>
      <c r="L5603">
        <v>11</v>
      </c>
      <c r="M5603" t="s">
        <v>18747</v>
      </c>
      <c r="N5603" t="s">
        <v>64</v>
      </c>
      <c r="O5603" t="s">
        <v>46</v>
      </c>
      <c r="P5603" t="s">
        <v>46</v>
      </c>
      <c r="Y5603" t="s">
        <v>18751</v>
      </c>
    </row>
    <row r="5604" spans="1:25">
      <c r="A5604" t="s">
        <v>18752</v>
      </c>
      <c r="B5604" t="s">
        <v>18753</v>
      </c>
      <c r="D5604" t="s">
        <v>40</v>
      </c>
      <c r="E5604" t="s">
        <v>41</v>
      </c>
      <c r="J5604" t="s">
        <v>182</v>
      </c>
      <c r="K5604" t="s">
        <v>183</v>
      </c>
      <c r="L5604">
        <v>11</v>
      </c>
      <c r="M5604" t="s">
        <v>18747</v>
      </c>
      <c r="N5604" t="s">
        <v>64</v>
      </c>
      <c r="O5604" t="s">
        <v>46</v>
      </c>
      <c r="P5604" t="s">
        <v>46</v>
      </c>
      <c r="Y5604" t="s">
        <v>18754</v>
      </c>
    </row>
    <row r="5605" spans="1:25">
      <c r="A5605" t="s">
        <v>18755</v>
      </c>
      <c r="B5605" t="s">
        <v>18756</v>
      </c>
      <c r="D5605" t="s">
        <v>40</v>
      </c>
      <c r="E5605" t="s">
        <v>41</v>
      </c>
      <c r="J5605" t="s">
        <v>182</v>
      </c>
      <c r="K5605" t="s">
        <v>183</v>
      </c>
      <c r="L5605">
        <v>11</v>
      </c>
      <c r="M5605" t="s">
        <v>18747</v>
      </c>
      <c r="N5605" t="s">
        <v>64</v>
      </c>
      <c r="O5605" t="s">
        <v>46</v>
      </c>
      <c r="P5605" t="s">
        <v>46</v>
      </c>
      <c r="Y5605" t="s">
        <v>18757</v>
      </c>
    </row>
    <row r="5606" spans="1:25">
      <c r="A5606" t="s">
        <v>18758</v>
      </c>
      <c r="B5606" t="s">
        <v>18759</v>
      </c>
      <c r="D5606" t="s">
        <v>40</v>
      </c>
      <c r="E5606" t="s">
        <v>41</v>
      </c>
      <c r="J5606" t="s">
        <v>68</v>
      </c>
      <c r="K5606" t="s">
        <v>69</v>
      </c>
      <c r="L5606">
        <v>11</v>
      </c>
      <c r="M5606" t="s">
        <v>18747</v>
      </c>
      <c r="N5606" t="s">
        <v>64</v>
      </c>
      <c r="O5606" t="s">
        <v>46</v>
      </c>
      <c r="P5606" t="s">
        <v>46</v>
      </c>
      <c r="Y5606" t="s">
        <v>18760</v>
      </c>
    </row>
    <row r="5607" spans="1:25">
      <c r="A5607" t="s">
        <v>18761</v>
      </c>
      <c r="B5607" t="s">
        <v>18762</v>
      </c>
      <c r="D5607" t="s">
        <v>40</v>
      </c>
      <c r="E5607" t="s">
        <v>41</v>
      </c>
      <c r="J5607" t="s">
        <v>68</v>
      </c>
      <c r="K5607" t="s">
        <v>69</v>
      </c>
      <c r="L5607">
        <v>11</v>
      </c>
      <c r="M5607" t="s">
        <v>18747</v>
      </c>
      <c r="N5607" t="s">
        <v>64</v>
      </c>
      <c r="O5607" t="s">
        <v>46</v>
      </c>
      <c r="P5607" t="s">
        <v>46</v>
      </c>
      <c r="Y5607" t="s">
        <v>18763</v>
      </c>
    </row>
    <row r="5608" spans="1:25">
      <c r="A5608" t="s">
        <v>18764</v>
      </c>
      <c r="B5608" t="s">
        <v>18765</v>
      </c>
      <c r="D5608" t="s">
        <v>40</v>
      </c>
      <c r="E5608" t="s">
        <v>41</v>
      </c>
      <c r="J5608" t="s">
        <v>68</v>
      </c>
      <c r="K5608" t="s">
        <v>69</v>
      </c>
      <c r="L5608">
        <v>11</v>
      </c>
      <c r="M5608" t="s">
        <v>18747</v>
      </c>
      <c r="N5608" t="s">
        <v>64</v>
      </c>
      <c r="O5608" t="s">
        <v>46</v>
      </c>
      <c r="P5608" t="s">
        <v>46</v>
      </c>
      <c r="Y5608" t="s">
        <v>18766</v>
      </c>
    </row>
    <row r="5609" spans="1:25">
      <c r="A5609" t="s">
        <v>18767</v>
      </c>
      <c r="B5609" t="s">
        <v>18768</v>
      </c>
      <c r="D5609" t="s">
        <v>40</v>
      </c>
      <c r="E5609" t="s">
        <v>41</v>
      </c>
      <c r="J5609" t="s">
        <v>68</v>
      </c>
      <c r="K5609" t="s">
        <v>69</v>
      </c>
      <c r="L5609">
        <v>11</v>
      </c>
      <c r="M5609" t="s">
        <v>18747</v>
      </c>
      <c r="N5609" t="s">
        <v>64</v>
      </c>
      <c r="O5609" t="s">
        <v>46</v>
      </c>
      <c r="P5609" t="s">
        <v>46</v>
      </c>
      <c r="Y5609" t="s">
        <v>18769</v>
      </c>
    </row>
    <row r="5610" spans="1:25">
      <c r="A5610" t="s">
        <v>18770</v>
      </c>
      <c r="B5610" t="s">
        <v>18771</v>
      </c>
      <c r="D5610" t="s">
        <v>40</v>
      </c>
      <c r="E5610" t="s">
        <v>41</v>
      </c>
      <c r="J5610" t="s">
        <v>68</v>
      </c>
      <c r="K5610" t="s">
        <v>69</v>
      </c>
      <c r="L5610">
        <v>11</v>
      </c>
      <c r="M5610" t="s">
        <v>18772</v>
      </c>
      <c r="N5610" t="s">
        <v>64</v>
      </c>
      <c r="O5610" t="s">
        <v>46</v>
      </c>
      <c r="P5610" t="s">
        <v>46</v>
      </c>
      <c r="Y5610" t="s">
        <v>18773</v>
      </c>
    </row>
    <row r="5611" spans="1:25">
      <c r="A5611" t="s">
        <v>18774</v>
      </c>
      <c r="B5611" t="s">
        <v>18775</v>
      </c>
      <c r="D5611" t="s">
        <v>40</v>
      </c>
      <c r="E5611" t="s">
        <v>41</v>
      </c>
      <c r="J5611" t="s">
        <v>76</v>
      </c>
      <c r="K5611" t="s">
        <v>77</v>
      </c>
      <c r="L5611">
        <v>11</v>
      </c>
      <c r="M5611" t="s">
        <v>18772</v>
      </c>
      <c r="N5611" t="s">
        <v>64</v>
      </c>
      <c r="O5611" t="s">
        <v>46</v>
      </c>
      <c r="P5611" t="s">
        <v>46</v>
      </c>
      <c r="Y5611" t="s">
        <v>18776</v>
      </c>
    </row>
    <row r="5612" spans="1:25">
      <c r="A5612" t="s">
        <v>18777</v>
      </c>
      <c r="B5612" t="s">
        <v>18778</v>
      </c>
      <c r="D5612" t="s">
        <v>40</v>
      </c>
      <c r="E5612" t="s">
        <v>41</v>
      </c>
      <c r="J5612" t="s">
        <v>68</v>
      </c>
      <c r="K5612" t="s">
        <v>69</v>
      </c>
      <c r="L5612">
        <v>11</v>
      </c>
      <c r="M5612" t="s">
        <v>18772</v>
      </c>
      <c r="N5612" t="s">
        <v>64</v>
      </c>
      <c r="O5612" t="s">
        <v>46</v>
      </c>
      <c r="P5612" t="s">
        <v>46</v>
      </c>
      <c r="Y5612" t="s">
        <v>18779</v>
      </c>
    </row>
    <row r="5613" spans="1:25">
      <c r="A5613" t="s">
        <v>18780</v>
      </c>
      <c r="B5613" t="s">
        <v>18781</v>
      </c>
      <c r="D5613" t="s">
        <v>40</v>
      </c>
      <c r="E5613" t="s">
        <v>41</v>
      </c>
      <c r="J5613" t="s">
        <v>68</v>
      </c>
      <c r="K5613" t="s">
        <v>69</v>
      </c>
      <c r="L5613">
        <v>11</v>
      </c>
      <c r="M5613" t="s">
        <v>18772</v>
      </c>
      <c r="N5613" t="s">
        <v>64</v>
      </c>
      <c r="O5613" t="s">
        <v>46</v>
      </c>
      <c r="P5613" t="s">
        <v>46</v>
      </c>
      <c r="Y5613" t="s">
        <v>18782</v>
      </c>
    </row>
    <row r="5614" spans="1:25">
      <c r="A5614" t="s">
        <v>18783</v>
      </c>
      <c r="B5614" t="s">
        <v>18784</v>
      </c>
      <c r="D5614" t="s">
        <v>40</v>
      </c>
      <c r="E5614" t="s">
        <v>41</v>
      </c>
      <c r="J5614" t="s">
        <v>42</v>
      </c>
      <c r="K5614" t="s">
        <v>43</v>
      </c>
      <c r="L5614">
        <v>11</v>
      </c>
      <c r="M5614" t="s">
        <v>18772</v>
      </c>
      <c r="N5614" t="s">
        <v>1478</v>
      </c>
      <c r="O5614" t="s">
        <v>46</v>
      </c>
      <c r="P5614" t="s">
        <v>46</v>
      </c>
      <c r="Y5614" t="s">
        <v>18785</v>
      </c>
    </row>
    <row r="5615" spans="1:25">
      <c r="A5615" t="s">
        <v>18786</v>
      </c>
      <c r="B5615" t="s">
        <v>18787</v>
      </c>
      <c r="D5615" t="s">
        <v>40</v>
      </c>
      <c r="E5615" t="s">
        <v>41</v>
      </c>
      <c r="J5615" t="s">
        <v>68</v>
      </c>
      <c r="K5615" t="s">
        <v>69</v>
      </c>
      <c r="L5615">
        <v>11</v>
      </c>
      <c r="M5615" t="s">
        <v>18788</v>
      </c>
      <c r="N5615" t="s">
        <v>64</v>
      </c>
      <c r="O5615" t="s">
        <v>46</v>
      </c>
      <c r="P5615" t="s">
        <v>46</v>
      </c>
      <c r="Y5615" t="s">
        <v>18789</v>
      </c>
    </row>
    <row r="5616" spans="1:25">
      <c r="A5616" t="s">
        <v>18790</v>
      </c>
      <c r="B5616" t="s">
        <v>18791</v>
      </c>
      <c r="D5616" t="s">
        <v>40</v>
      </c>
      <c r="E5616" t="s">
        <v>41</v>
      </c>
      <c r="J5616" t="s">
        <v>68</v>
      </c>
      <c r="K5616" t="s">
        <v>69</v>
      </c>
      <c r="L5616">
        <v>11</v>
      </c>
      <c r="M5616" t="s">
        <v>18788</v>
      </c>
      <c r="N5616" t="s">
        <v>64</v>
      </c>
      <c r="O5616" t="s">
        <v>46</v>
      </c>
      <c r="P5616" t="s">
        <v>46</v>
      </c>
      <c r="Y5616" t="s">
        <v>18792</v>
      </c>
    </row>
    <row r="5617" spans="1:25">
      <c r="A5617" t="s">
        <v>18793</v>
      </c>
      <c r="B5617" t="s">
        <v>18794</v>
      </c>
      <c r="D5617" t="s">
        <v>40</v>
      </c>
      <c r="E5617" t="s">
        <v>41</v>
      </c>
      <c r="J5617" t="s">
        <v>76</v>
      </c>
      <c r="K5617" t="s">
        <v>77</v>
      </c>
      <c r="L5617">
        <v>11</v>
      </c>
      <c r="M5617" t="s">
        <v>18788</v>
      </c>
      <c r="N5617" t="s">
        <v>64</v>
      </c>
      <c r="O5617" t="s">
        <v>46</v>
      </c>
      <c r="P5617" t="s">
        <v>46</v>
      </c>
      <c r="Y5617" t="s">
        <v>18795</v>
      </c>
    </row>
    <row r="5618" spans="1:25">
      <c r="A5618" t="s">
        <v>18796</v>
      </c>
      <c r="B5618" t="s">
        <v>18797</v>
      </c>
      <c r="D5618" t="s">
        <v>40</v>
      </c>
      <c r="E5618" t="s">
        <v>41</v>
      </c>
      <c r="J5618" t="s">
        <v>68</v>
      </c>
      <c r="K5618" t="s">
        <v>69</v>
      </c>
      <c r="L5618">
        <v>11</v>
      </c>
      <c r="M5618" t="s">
        <v>18798</v>
      </c>
      <c r="N5618" t="s">
        <v>64</v>
      </c>
      <c r="O5618" t="s">
        <v>46</v>
      </c>
      <c r="P5618" t="s">
        <v>46</v>
      </c>
      <c r="Y5618" t="s">
        <v>18799</v>
      </c>
    </row>
    <row r="5619" spans="1:25">
      <c r="A5619" t="s">
        <v>18800</v>
      </c>
      <c r="B5619" t="s">
        <v>18801</v>
      </c>
      <c r="D5619" t="s">
        <v>40</v>
      </c>
      <c r="E5619" t="s">
        <v>41</v>
      </c>
      <c r="J5619" t="s">
        <v>76</v>
      </c>
      <c r="K5619" t="s">
        <v>77</v>
      </c>
      <c r="L5619">
        <v>11</v>
      </c>
      <c r="M5619" t="s">
        <v>18802</v>
      </c>
      <c r="N5619" t="s">
        <v>64</v>
      </c>
      <c r="O5619" t="s">
        <v>46</v>
      </c>
      <c r="P5619" t="s">
        <v>46</v>
      </c>
      <c r="Y5619" t="s">
        <v>18803</v>
      </c>
    </row>
    <row r="5620" spans="1:25">
      <c r="A5620" t="s">
        <v>18804</v>
      </c>
      <c r="B5620" t="s">
        <v>18805</v>
      </c>
      <c r="D5620" t="s">
        <v>40</v>
      </c>
      <c r="E5620" t="s">
        <v>41</v>
      </c>
      <c r="J5620" t="s">
        <v>68</v>
      </c>
      <c r="K5620" t="s">
        <v>69</v>
      </c>
      <c r="L5620">
        <v>11</v>
      </c>
      <c r="M5620" t="s">
        <v>18806</v>
      </c>
      <c r="N5620" t="s">
        <v>64</v>
      </c>
      <c r="O5620" t="s">
        <v>46</v>
      </c>
      <c r="P5620" t="s">
        <v>46</v>
      </c>
      <c r="Y5620" t="s">
        <v>18807</v>
      </c>
    </row>
    <row r="5621" spans="1:25">
      <c r="A5621" t="s">
        <v>18808</v>
      </c>
      <c r="B5621" t="s">
        <v>18809</v>
      </c>
      <c r="D5621" t="s">
        <v>40</v>
      </c>
      <c r="E5621" t="s">
        <v>41</v>
      </c>
      <c r="J5621" t="s">
        <v>68</v>
      </c>
      <c r="K5621" t="s">
        <v>69</v>
      </c>
      <c r="L5621">
        <v>11</v>
      </c>
      <c r="M5621" t="s">
        <v>18806</v>
      </c>
      <c r="N5621" t="s">
        <v>64</v>
      </c>
      <c r="O5621" t="s">
        <v>46</v>
      </c>
      <c r="P5621" t="s">
        <v>46</v>
      </c>
      <c r="Y5621" t="s">
        <v>18810</v>
      </c>
    </row>
    <row r="5622" spans="1:25">
      <c r="A5622" t="s">
        <v>18811</v>
      </c>
      <c r="B5622" t="s">
        <v>18812</v>
      </c>
      <c r="D5622" t="s">
        <v>40</v>
      </c>
      <c r="E5622" t="s">
        <v>41</v>
      </c>
      <c r="J5622" t="s">
        <v>182</v>
      </c>
      <c r="K5622" t="s">
        <v>183</v>
      </c>
      <c r="L5622">
        <v>11</v>
      </c>
      <c r="M5622" t="s">
        <v>18806</v>
      </c>
      <c r="N5622" t="s">
        <v>64</v>
      </c>
      <c r="O5622" t="s">
        <v>46</v>
      </c>
      <c r="P5622" t="s">
        <v>46</v>
      </c>
      <c r="Y5622" t="s">
        <v>18813</v>
      </c>
    </row>
    <row r="5623" spans="1:25">
      <c r="A5623" t="s">
        <v>18814</v>
      </c>
      <c r="B5623" t="s">
        <v>18815</v>
      </c>
      <c r="D5623" t="s">
        <v>40</v>
      </c>
      <c r="E5623" t="s">
        <v>41</v>
      </c>
      <c r="J5623" t="s">
        <v>68</v>
      </c>
      <c r="K5623" t="s">
        <v>69</v>
      </c>
      <c r="L5623">
        <v>11</v>
      </c>
      <c r="M5623" t="s">
        <v>18806</v>
      </c>
      <c r="N5623" t="s">
        <v>64</v>
      </c>
      <c r="O5623" t="s">
        <v>46</v>
      </c>
      <c r="P5623" t="s">
        <v>46</v>
      </c>
      <c r="Y5623" t="s">
        <v>18816</v>
      </c>
    </row>
    <row r="5624" spans="1:25">
      <c r="A5624" t="s">
        <v>18817</v>
      </c>
      <c r="B5624" t="s">
        <v>18818</v>
      </c>
      <c r="D5624" t="s">
        <v>40</v>
      </c>
      <c r="E5624" t="s">
        <v>41</v>
      </c>
      <c r="J5624" t="s">
        <v>182</v>
      </c>
      <c r="K5624" t="s">
        <v>183</v>
      </c>
      <c r="L5624">
        <v>11</v>
      </c>
      <c r="M5624" t="s">
        <v>18806</v>
      </c>
      <c r="N5624" t="s">
        <v>64</v>
      </c>
      <c r="O5624" t="s">
        <v>46</v>
      </c>
      <c r="P5624" t="s">
        <v>46</v>
      </c>
      <c r="Y5624" t="s">
        <v>18819</v>
      </c>
    </row>
    <row r="5625" spans="1:25">
      <c r="A5625" t="s">
        <v>18820</v>
      </c>
      <c r="B5625" t="s">
        <v>18821</v>
      </c>
      <c r="D5625" t="s">
        <v>40</v>
      </c>
      <c r="E5625" t="s">
        <v>41</v>
      </c>
      <c r="J5625" t="s">
        <v>68</v>
      </c>
      <c r="K5625" t="s">
        <v>69</v>
      </c>
      <c r="L5625">
        <v>11</v>
      </c>
      <c r="M5625" t="s">
        <v>18822</v>
      </c>
      <c r="N5625" t="s">
        <v>64</v>
      </c>
      <c r="O5625" t="s">
        <v>46</v>
      </c>
      <c r="P5625" t="s">
        <v>46</v>
      </c>
      <c r="Y5625" t="s">
        <v>18823</v>
      </c>
    </row>
    <row r="5626" spans="1:25">
      <c r="A5626" t="s">
        <v>18824</v>
      </c>
      <c r="B5626" t="s">
        <v>18825</v>
      </c>
      <c r="D5626" t="s">
        <v>40</v>
      </c>
      <c r="E5626" t="s">
        <v>41</v>
      </c>
      <c r="J5626" t="s">
        <v>68</v>
      </c>
      <c r="K5626" t="s">
        <v>69</v>
      </c>
      <c r="L5626">
        <v>11</v>
      </c>
      <c r="M5626" t="s">
        <v>18822</v>
      </c>
      <c r="N5626" t="s">
        <v>64</v>
      </c>
      <c r="O5626" t="s">
        <v>46</v>
      </c>
      <c r="P5626" t="s">
        <v>46</v>
      </c>
      <c r="Y5626" t="s">
        <v>18826</v>
      </c>
    </row>
    <row r="5627" spans="1:25">
      <c r="A5627" t="s">
        <v>18827</v>
      </c>
      <c r="B5627" t="s">
        <v>18828</v>
      </c>
      <c r="D5627" t="s">
        <v>40</v>
      </c>
      <c r="E5627" t="s">
        <v>41</v>
      </c>
      <c r="J5627" t="s">
        <v>182</v>
      </c>
      <c r="K5627" t="s">
        <v>183</v>
      </c>
      <c r="L5627">
        <v>11</v>
      </c>
      <c r="M5627" t="s">
        <v>18822</v>
      </c>
      <c r="N5627" t="s">
        <v>64</v>
      </c>
      <c r="O5627" t="s">
        <v>46</v>
      </c>
      <c r="P5627" t="s">
        <v>46</v>
      </c>
      <c r="Y5627" t="s">
        <v>18829</v>
      </c>
    </row>
    <row r="5628" spans="1:25">
      <c r="A5628" t="s">
        <v>18830</v>
      </c>
      <c r="B5628" t="s">
        <v>18831</v>
      </c>
      <c r="D5628" t="s">
        <v>40</v>
      </c>
      <c r="E5628" t="s">
        <v>41</v>
      </c>
      <c r="J5628" t="s">
        <v>182</v>
      </c>
      <c r="K5628" t="s">
        <v>183</v>
      </c>
      <c r="L5628">
        <v>11</v>
      </c>
      <c r="M5628" t="s">
        <v>18822</v>
      </c>
      <c r="N5628" t="s">
        <v>64</v>
      </c>
      <c r="O5628" t="s">
        <v>46</v>
      </c>
      <c r="P5628" t="s">
        <v>46</v>
      </c>
      <c r="Y5628" t="s">
        <v>18832</v>
      </c>
    </row>
    <row r="5629" spans="1:25">
      <c r="A5629" t="s">
        <v>18833</v>
      </c>
      <c r="B5629" t="s">
        <v>18834</v>
      </c>
      <c r="D5629" t="s">
        <v>40</v>
      </c>
      <c r="E5629" t="s">
        <v>41</v>
      </c>
      <c r="J5629" t="s">
        <v>182</v>
      </c>
      <c r="K5629" t="s">
        <v>183</v>
      </c>
      <c r="L5629">
        <v>11</v>
      </c>
      <c r="M5629" t="s">
        <v>18822</v>
      </c>
      <c r="N5629" t="s">
        <v>64</v>
      </c>
      <c r="O5629" t="s">
        <v>46</v>
      </c>
      <c r="P5629" t="s">
        <v>46</v>
      </c>
      <c r="Y5629" t="s">
        <v>18835</v>
      </c>
    </row>
    <row r="5630" spans="1:25">
      <c r="A5630" t="s">
        <v>18836</v>
      </c>
      <c r="B5630" t="s">
        <v>18837</v>
      </c>
      <c r="D5630" t="s">
        <v>40</v>
      </c>
      <c r="E5630" t="s">
        <v>41</v>
      </c>
      <c r="J5630" t="s">
        <v>68</v>
      </c>
      <c r="K5630" t="s">
        <v>69</v>
      </c>
      <c r="L5630">
        <v>11</v>
      </c>
      <c r="M5630" t="s">
        <v>18822</v>
      </c>
      <c r="N5630" t="s">
        <v>64</v>
      </c>
      <c r="O5630" t="s">
        <v>46</v>
      </c>
      <c r="P5630" t="s">
        <v>46</v>
      </c>
      <c r="Y5630" t="s">
        <v>18838</v>
      </c>
    </row>
    <row r="5631" spans="1:25">
      <c r="A5631" t="s">
        <v>18839</v>
      </c>
      <c r="B5631" t="s">
        <v>18840</v>
      </c>
      <c r="D5631" t="s">
        <v>40</v>
      </c>
      <c r="E5631" t="s">
        <v>41</v>
      </c>
      <c r="J5631" t="s">
        <v>182</v>
      </c>
      <c r="K5631" t="s">
        <v>183</v>
      </c>
      <c r="L5631">
        <v>11</v>
      </c>
      <c r="M5631" t="s">
        <v>18841</v>
      </c>
      <c r="N5631" t="s">
        <v>64</v>
      </c>
      <c r="O5631" t="s">
        <v>46</v>
      </c>
      <c r="P5631" t="s">
        <v>46</v>
      </c>
      <c r="Y5631" t="s">
        <v>18842</v>
      </c>
    </row>
    <row r="5632" spans="1:25">
      <c r="A5632" t="s">
        <v>18843</v>
      </c>
      <c r="B5632" t="s">
        <v>18844</v>
      </c>
      <c r="D5632" t="s">
        <v>40</v>
      </c>
      <c r="E5632" t="s">
        <v>41</v>
      </c>
      <c r="J5632" t="s">
        <v>182</v>
      </c>
      <c r="K5632" t="s">
        <v>183</v>
      </c>
      <c r="L5632">
        <v>11</v>
      </c>
      <c r="M5632" t="s">
        <v>18841</v>
      </c>
      <c r="N5632" t="s">
        <v>64</v>
      </c>
      <c r="O5632" t="s">
        <v>46</v>
      </c>
      <c r="P5632" t="s">
        <v>46</v>
      </c>
      <c r="Y5632" t="s">
        <v>18845</v>
      </c>
    </row>
    <row r="5633" spans="1:25">
      <c r="A5633" t="s">
        <v>18846</v>
      </c>
      <c r="B5633" t="s">
        <v>18847</v>
      </c>
      <c r="D5633" t="s">
        <v>40</v>
      </c>
      <c r="E5633" t="s">
        <v>41</v>
      </c>
      <c r="J5633" t="s">
        <v>68</v>
      </c>
      <c r="K5633" t="s">
        <v>69</v>
      </c>
      <c r="L5633">
        <v>11</v>
      </c>
      <c r="M5633" t="s">
        <v>18841</v>
      </c>
      <c r="N5633" t="s">
        <v>64</v>
      </c>
      <c r="O5633" t="s">
        <v>46</v>
      </c>
      <c r="P5633" t="s">
        <v>46</v>
      </c>
      <c r="Y5633" t="s">
        <v>18848</v>
      </c>
    </row>
    <row r="5634" spans="1:25">
      <c r="A5634" t="s">
        <v>18849</v>
      </c>
      <c r="B5634" t="s">
        <v>18850</v>
      </c>
      <c r="D5634" t="s">
        <v>40</v>
      </c>
      <c r="E5634" t="s">
        <v>41</v>
      </c>
      <c r="J5634" t="s">
        <v>68</v>
      </c>
      <c r="K5634" t="s">
        <v>69</v>
      </c>
      <c r="L5634">
        <v>11</v>
      </c>
      <c r="M5634" t="s">
        <v>18841</v>
      </c>
      <c r="N5634" t="s">
        <v>64</v>
      </c>
      <c r="O5634" t="s">
        <v>46</v>
      </c>
      <c r="P5634" t="s">
        <v>46</v>
      </c>
      <c r="Y5634" t="s">
        <v>18851</v>
      </c>
    </row>
    <row r="5635" spans="1:25">
      <c r="A5635" t="s">
        <v>18852</v>
      </c>
      <c r="B5635" t="s">
        <v>18853</v>
      </c>
      <c r="D5635" t="s">
        <v>40</v>
      </c>
      <c r="E5635" t="s">
        <v>41</v>
      </c>
      <c r="J5635" t="s">
        <v>68</v>
      </c>
      <c r="K5635" t="s">
        <v>69</v>
      </c>
      <c r="L5635">
        <v>11</v>
      </c>
      <c r="M5635" t="s">
        <v>18841</v>
      </c>
      <c r="N5635" t="s">
        <v>64</v>
      </c>
      <c r="O5635" t="s">
        <v>46</v>
      </c>
      <c r="P5635" t="s">
        <v>46</v>
      </c>
      <c r="Y5635" t="s">
        <v>18854</v>
      </c>
    </row>
    <row r="5636" spans="1:25">
      <c r="A5636" t="s">
        <v>18855</v>
      </c>
      <c r="B5636" t="s">
        <v>18856</v>
      </c>
      <c r="D5636" t="s">
        <v>40</v>
      </c>
      <c r="E5636" t="s">
        <v>41</v>
      </c>
      <c r="J5636" t="s">
        <v>264</v>
      </c>
      <c r="K5636" t="s">
        <v>265</v>
      </c>
      <c r="L5636">
        <v>10</v>
      </c>
      <c r="M5636" t="s">
        <v>18841</v>
      </c>
      <c r="N5636" t="s">
        <v>1189</v>
      </c>
      <c r="O5636" t="s">
        <v>46</v>
      </c>
      <c r="P5636" t="s">
        <v>46</v>
      </c>
      <c r="Y5636" t="s">
        <v>18857</v>
      </c>
    </row>
    <row r="5637" spans="1:25">
      <c r="A5637" t="s">
        <v>18858</v>
      </c>
      <c r="B5637" t="s">
        <v>18859</v>
      </c>
      <c r="D5637" t="s">
        <v>40</v>
      </c>
      <c r="E5637" t="s">
        <v>41</v>
      </c>
      <c r="J5637" t="s">
        <v>68</v>
      </c>
      <c r="K5637" t="s">
        <v>69</v>
      </c>
      <c r="L5637">
        <v>11</v>
      </c>
      <c r="M5637" t="s">
        <v>18860</v>
      </c>
      <c r="N5637" t="s">
        <v>64</v>
      </c>
      <c r="O5637" t="s">
        <v>46</v>
      </c>
      <c r="P5637" t="s">
        <v>46</v>
      </c>
      <c r="Y5637" t="s">
        <v>18861</v>
      </c>
    </row>
    <row r="5638" spans="1:25">
      <c r="A5638" t="s">
        <v>18862</v>
      </c>
      <c r="B5638" t="s">
        <v>18863</v>
      </c>
      <c r="D5638" t="s">
        <v>40</v>
      </c>
      <c r="E5638" t="s">
        <v>41</v>
      </c>
      <c r="J5638" t="s">
        <v>68</v>
      </c>
      <c r="K5638" t="s">
        <v>69</v>
      </c>
      <c r="L5638">
        <v>11</v>
      </c>
      <c r="M5638" t="s">
        <v>18864</v>
      </c>
      <c r="N5638" t="s">
        <v>64</v>
      </c>
      <c r="O5638" t="s">
        <v>46</v>
      </c>
      <c r="P5638" t="s">
        <v>46</v>
      </c>
      <c r="Y5638" t="s">
        <v>18865</v>
      </c>
    </row>
    <row r="5639" spans="1:25">
      <c r="A5639" t="s">
        <v>18866</v>
      </c>
      <c r="B5639" t="s">
        <v>18867</v>
      </c>
      <c r="D5639" t="s">
        <v>40</v>
      </c>
      <c r="E5639" t="s">
        <v>41</v>
      </c>
      <c r="J5639" t="s">
        <v>50</v>
      </c>
      <c r="K5639" t="s">
        <v>51</v>
      </c>
      <c r="L5639">
        <v>11</v>
      </c>
      <c r="M5639" t="s">
        <v>18864</v>
      </c>
      <c r="N5639" t="s">
        <v>310</v>
      </c>
      <c r="O5639" t="s">
        <v>46</v>
      </c>
      <c r="P5639" t="s">
        <v>46</v>
      </c>
      <c r="Y5639" t="s">
        <v>18868</v>
      </c>
    </row>
    <row r="5640" spans="1:25">
      <c r="A5640" t="s">
        <v>18869</v>
      </c>
      <c r="B5640" t="s">
        <v>18870</v>
      </c>
      <c r="D5640" t="s">
        <v>40</v>
      </c>
      <c r="E5640" t="s">
        <v>41</v>
      </c>
      <c r="J5640" t="s">
        <v>42</v>
      </c>
      <c r="K5640" t="s">
        <v>43</v>
      </c>
      <c r="L5640">
        <v>11</v>
      </c>
      <c r="M5640" t="s">
        <v>18864</v>
      </c>
      <c r="N5640" t="s">
        <v>756</v>
      </c>
      <c r="O5640" t="s">
        <v>46</v>
      </c>
      <c r="P5640" t="s">
        <v>46</v>
      </c>
      <c r="Y5640" t="s">
        <v>18871</v>
      </c>
    </row>
    <row r="5641" spans="1:25">
      <c r="A5641" t="s">
        <v>18872</v>
      </c>
      <c r="B5641" t="s">
        <v>18873</v>
      </c>
      <c r="D5641" t="s">
        <v>40</v>
      </c>
      <c r="E5641" t="s">
        <v>41</v>
      </c>
      <c r="J5641" t="s">
        <v>182</v>
      </c>
      <c r="K5641" t="s">
        <v>183</v>
      </c>
      <c r="L5641">
        <v>11</v>
      </c>
      <c r="M5641" t="s">
        <v>18874</v>
      </c>
      <c r="N5641" t="s">
        <v>64</v>
      </c>
      <c r="O5641" t="s">
        <v>46</v>
      </c>
      <c r="P5641" t="s">
        <v>46</v>
      </c>
      <c r="Y5641" t="s">
        <v>18875</v>
      </c>
    </row>
    <row r="5642" spans="1:25">
      <c r="A5642" t="s">
        <v>18876</v>
      </c>
      <c r="B5642" t="s">
        <v>18877</v>
      </c>
      <c r="D5642" t="s">
        <v>40</v>
      </c>
      <c r="E5642" t="s">
        <v>41</v>
      </c>
      <c r="J5642" t="s">
        <v>68</v>
      </c>
      <c r="K5642" t="s">
        <v>69</v>
      </c>
      <c r="L5642">
        <v>11</v>
      </c>
      <c r="M5642" t="s">
        <v>18874</v>
      </c>
      <c r="N5642" t="s">
        <v>64</v>
      </c>
      <c r="O5642" t="s">
        <v>46</v>
      </c>
      <c r="P5642" t="s">
        <v>46</v>
      </c>
      <c r="Y5642" t="s">
        <v>18878</v>
      </c>
    </row>
    <row r="5643" spans="1:25">
      <c r="A5643" t="s">
        <v>18879</v>
      </c>
      <c r="B5643" t="s">
        <v>18880</v>
      </c>
      <c r="D5643" t="s">
        <v>40</v>
      </c>
      <c r="E5643" t="s">
        <v>41</v>
      </c>
      <c r="J5643" t="s">
        <v>68</v>
      </c>
      <c r="K5643" t="s">
        <v>69</v>
      </c>
      <c r="L5643">
        <v>11</v>
      </c>
      <c r="M5643" t="s">
        <v>18874</v>
      </c>
      <c r="N5643" t="s">
        <v>64</v>
      </c>
      <c r="O5643" t="s">
        <v>46</v>
      </c>
      <c r="P5643" t="s">
        <v>46</v>
      </c>
      <c r="Y5643" t="s">
        <v>18881</v>
      </c>
    </row>
    <row r="5644" spans="1:25">
      <c r="A5644" t="s">
        <v>18882</v>
      </c>
      <c r="B5644" t="s">
        <v>18883</v>
      </c>
      <c r="D5644" t="s">
        <v>40</v>
      </c>
      <c r="E5644" t="s">
        <v>41</v>
      </c>
      <c r="J5644" t="s">
        <v>68</v>
      </c>
      <c r="K5644" t="s">
        <v>69</v>
      </c>
      <c r="L5644">
        <v>11</v>
      </c>
      <c r="M5644" t="s">
        <v>18884</v>
      </c>
      <c r="N5644" t="s">
        <v>64</v>
      </c>
      <c r="O5644" t="s">
        <v>46</v>
      </c>
      <c r="P5644" t="s">
        <v>46</v>
      </c>
      <c r="Y5644" t="s">
        <v>18885</v>
      </c>
    </row>
    <row r="5645" spans="1:25">
      <c r="A5645" t="s">
        <v>18886</v>
      </c>
      <c r="B5645" t="s">
        <v>18887</v>
      </c>
      <c r="D5645" t="s">
        <v>40</v>
      </c>
      <c r="E5645" t="s">
        <v>41</v>
      </c>
      <c r="J5645" t="s">
        <v>68</v>
      </c>
      <c r="K5645" t="s">
        <v>69</v>
      </c>
      <c r="L5645">
        <v>11</v>
      </c>
      <c r="M5645" t="s">
        <v>18888</v>
      </c>
      <c r="N5645" t="s">
        <v>64</v>
      </c>
      <c r="O5645" t="s">
        <v>46</v>
      </c>
      <c r="P5645" t="s">
        <v>46</v>
      </c>
      <c r="Y5645" t="s">
        <v>18889</v>
      </c>
    </row>
    <row r="5646" spans="1:25">
      <c r="A5646" t="s">
        <v>18890</v>
      </c>
      <c r="B5646" t="s">
        <v>18891</v>
      </c>
      <c r="D5646" t="s">
        <v>40</v>
      </c>
      <c r="E5646" t="s">
        <v>41</v>
      </c>
      <c r="J5646" t="s">
        <v>264</v>
      </c>
      <c r="K5646" t="s">
        <v>265</v>
      </c>
      <c r="L5646">
        <v>10</v>
      </c>
      <c r="M5646" t="s">
        <v>18892</v>
      </c>
      <c r="N5646" t="s">
        <v>436</v>
      </c>
      <c r="O5646" t="s">
        <v>46</v>
      </c>
      <c r="P5646" t="s">
        <v>46</v>
      </c>
      <c r="Y5646" t="s">
        <v>18893</v>
      </c>
    </row>
    <row r="5647" spans="1:25">
      <c r="A5647" t="s">
        <v>18894</v>
      </c>
      <c r="B5647" t="s">
        <v>18895</v>
      </c>
      <c r="D5647" t="s">
        <v>40</v>
      </c>
      <c r="E5647" t="s">
        <v>41</v>
      </c>
      <c r="J5647" t="s">
        <v>139</v>
      </c>
      <c r="K5647" t="s">
        <v>140</v>
      </c>
      <c r="L5647">
        <v>3</v>
      </c>
      <c r="M5647" t="s">
        <v>18896</v>
      </c>
      <c r="N5647" t="s">
        <v>5995</v>
      </c>
      <c r="O5647" t="s">
        <v>46</v>
      </c>
      <c r="P5647" t="s">
        <v>46</v>
      </c>
      <c r="Y5647" t="s">
        <v>18897</v>
      </c>
    </row>
    <row r="5648" spans="1:25">
      <c r="A5648" t="s">
        <v>18898</v>
      </c>
      <c r="B5648" t="s">
        <v>18899</v>
      </c>
      <c r="D5648" t="s">
        <v>40</v>
      </c>
      <c r="E5648" t="s">
        <v>41</v>
      </c>
      <c r="J5648" t="s">
        <v>182</v>
      </c>
      <c r="K5648" t="s">
        <v>183</v>
      </c>
      <c r="L5648">
        <v>12</v>
      </c>
      <c r="M5648" t="s">
        <v>18900</v>
      </c>
      <c r="N5648" t="s">
        <v>64</v>
      </c>
      <c r="O5648" t="s">
        <v>46</v>
      </c>
      <c r="P5648" t="s">
        <v>46</v>
      </c>
      <c r="Y5648" t="s">
        <v>18901</v>
      </c>
    </row>
    <row r="5649" spans="1:25">
      <c r="A5649" t="s">
        <v>18902</v>
      </c>
      <c r="B5649" t="s">
        <v>18903</v>
      </c>
      <c r="D5649" t="s">
        <v>40</v>
      </c>
      <c r="E5649" t="s">
        <v>41</v>
      </c>
      <c r="J5649" t="s">
        <v>68</v>
      </c>
      <c r="K5649" t="s">
        <v>69</v>
      </c>
      <c r="L5649">
        <v>11</v>
      </c>
      <c r="M5649" t="s">
        <v>18900</v>
      </c>
      <c r="N5649" t="s">
        <v>64</v>
      </c>
      <c r="O5649" t="s">
        <v>46</v>
      </c>
      <c r="P5649" t="s">
        <v>46</v>
      </c>
      <c r="Y5649" t="s">
        <v>18904</v>
      </c>
    </row>
    <row r="5650" spans="1:25">
      <c r="A5650" t="s">
        <v>18905</v>
      </c>
      <c r="B5650" t="s">
        <v>18906</v>
      </c>
      <c r="D5650" t="s">
        <v>40</v>
      </c>
      <c r="E5650" t="s">
        <v>41</v>
      </c>
      <c r="J5650" t="s">
        <v>68</v>
      </c>
      <c r="K5650" t="s">
        <v>69</v>
      </c>
      <c r="L5650">
        <v>11</v>
      </c>
      <c r="M5650" t="s">
        <v>18907</v>
      </c>
      <c r="N5650" t="s">
        <v>64</v>
      </c>
      <c r="O5650" t="s">
        <v>46</v>
      </c>
      <c r="P5650" t="s">
        <v>46</v>
      </c>
      <c r="Y5650" t="s">
        <v>18908</v>
      </c>
    </row>
    <row r="5651" spans="1:25">
      <c r="A5651" t="s">
        <v>18909</v>
      </c>
      <c r="B5651" t="s">
        <v>18910</v>
      </c>
      <c r="D5651" t="s">
        <v>40</v>
      </c>
      <c r="E5651" t="s">
        <v>41</v>
      </c>
      <c r="J5651" t="s">
        <v>68</v>
      </c>
      <c r="K5651" t="s">
        <v>69</v>
      </c>
      <c r="L5651">
        <v>11</v>
      </c>
      <c r="M5651" t="s">
        <v>18907</v>
      </c>
      <c r="N5651" t="s">
        <v>64</v>
      </c>
      <c r="O5651" t="s">
        <v>46</v>
      </c>
      <c r="P5651" t="s">
        <v>46</v>
      </c>
      <c r="Y5651" t="s">
        <v>18911</v>
      </c>
    </row>
    <row r="5652" spans="1:25">
      <c r="A5652" t="s">
        <v>18912</v>
      </c>
      <c r="B5652" t="s">
        <v>18913</v>
      </c>
      <c r="D5652" t="s">
        <v>40</v>
      </c>
      <c r="E5652" t="s">
        <v>41</v>
      </c>
      <c r="J5652" t="s">
        <v>182</v>
      </c>
      <c r="K5652" t="s">
        <v>183</v>
      </c>
      <c r="L5652">
        <v>11</v>
      </c>
      <c r="M5652" t="s">
        <v>18914</v>
      </c>
      <c r="N5652" t="s">
        <v>64</v>
      </c>
      <c r="O5652" t="s">
        <v>46</v>
      </c>
      <c r="P5652" t="s">
        <v>46</v>
      </c>
      <c r="Y5652" t="s">
        <v>18915</v>
      </c>
    </row>
    <row r="5653" spans="1:25">
      <c r="A5653" t="s">
        <v>18916</v>
      </c>
      <c r="B5653" t="s">
        <v>18917</v>
      </c>
      <c r="D5653" t="s">
        <v>40</v>
      </c>
      <c r="E5653" t="s">
        <v>41</v>
      </c>
      <c r="J5653" t="s">
        <v>42</v>
      </c>
      <c r="K5653" t="s">
        <v>43</v>
      </c>
      <c r="L5653">
        <v>11</v>
      </c>
      <c r="M5653" t="s">
        <v>18914</v>
      </c>
      <c r="N5653" t="s">
        <v>178</v>
      </c>
      <c r="O5653" t="s">
        <v>46</v>
      </c>
      <c r="P5653" t="s">
        <v>46</v>
      </c>
      <c r="Y5653" t="s">
        <v>18918</v>
      </c>
    </row>
    <row r="5654" spans="1:25">
      <c r="A5654" t="s">
        <v>18919</v>
      </c>
      <c r="B5654" t="s">
        <v>18920</v>
      </c>
      <c r="D5654" t="s">
        <v>40</v>
      </c>
      <c r="E5654" t="s">
        <v>41</v>
      </c>
      <c r="J5654" t="s">
        <v>68</v>
      </c>
      <c r="K5654" t="s">
        <v>69</v>
      </c>
      <c r="L5654">
        <v>11</v>
      </c>
      <c r="M5654" t="s">
        <v>18914</v>
      </c>
      <c r="N5654" t="s">
        <v>64</v>
      </c>
      <c r="O5654" t="s">
        <v>46</v>
      </c>
      <c r="P5654" t="s">
        <v>46</v>
      </c>
      <c r="Y5654" t="s">
        <v>18921</v>
      </c>
    </row>
    <row r="5655" spans="1:25">
      <c r="A5655" t="s">
        <v>18922</v>
      </c>
      <c r="B5655" t="s">
        <v>18923</v>
      </c>
      <c r="D5655" t="s">
        <v>40</v>
      </c>
      <c r="E5655" t="s">
        <v>41</v>
      </c>
      <c r="J5655" t="s">
        <v>68</v>
      </c>
      <c r="K5655" t="s">
        <v>69</v>
      </c>
      <c r="L5655">
        <v>11</v>
      </c>
      <c r="M5655" t="s">
        <v>18914</v>
      </c>
      <c r="N5655" t="s">
        <v>64</v>
      </c>
      <c r="O5655" t="s">
        <v>46</v>
      </c>
      <c r="P5655" t="s">
        <v>46</v>
      </c>
      <c r="Y5655" t="s">
        <v>18924</v>
      </c>
    </row>
    <row r="5656" spans="1:25">
      <c r="A5656" t="s">
        <v>18925</v>
      </c>
      <c r="B5656" t="s">
        <v>18926</v>
      </c>
      <c r="D5656" t="s">
        <v>40</v>
      </c>
      <c r="E5656" t="s">
        <v>41</v>
      </c>
      <c r="J5656" t="s">
        <v>68</v>
      </c>
      <c r="K5656" t="s">
        <v>69</v>
      </c>
      <c r="L5656">
        <v>11</v>
      </c>
      <c r="M5656" t="s">
        <v>18914</v>
      </c>
      <c r="N5656" t="s">
        <v>64</v>
      </c>
      <c r="O5656" t="s">
        <v>46</v>
      </c>
      <c r="P5656" t="s">
        <v>46</v>
      </c>
      <c r="Y5656" t="s">
        <v>18927</v>
      </c>
    </row>
    <row r="5657" spans="1:25">
      <c r="A5657" t="s">
        <v>18928</v>
      </c>
      <c r="B5657" t="s">
        <v>18929</v>
      </c>
      <c r="D5657" t="s">
        <v>40</v>
      </c>
      <c r="E5657" t="s">
        <v>41</v>
      </c>
      <c r="J5657" t="s">
        <v>68</v>
      </c>
      <c r="K5657" t="s">
        <v>69</v>
      </c>
      <c r="L5657">
        <v>11</v>
      </c>
      <c r="M5657" t="s">
        <v>18914</v>
      </c>
      <c r="N5657" t="s">
        <v>64</v>
      </c>
      <c r="O5657" t="s">
        <v>46</v>
      </c>
      <c r="P5657" t="s">
        <v>46</v>
      </c>
      <c r="Y5657" t="s">
        <v>18930</v>
      </c>
    </row>
    <row r="5658" spans="1:25">
      <c r="A5658" t="s">
        <v>18931</v>
      </c>
      <c r="B5658" t="s">
        <v>18932</v>
      </c>
      <c r="D5658" t="s">
        <v>40</v>
      </c>
      <c r="E5658" t="s">
        <v>41</v>
      </c>
      <c r="J5658" t="s">
        <v>182</v>
      </c>
      <c r="K5658" t="s">
        <v>183</v>
      </c>
      <c r="L5658">
        <v>11</v>
      </c>
      <c r="M5658" t="s">
        <v>18933</v>
      </c>
      <c r="N5658" t="s">
        <v>64</v>
      </c>
      <c r="O5658" t="s">
        <v>46</v>
      </c>
      <c r="P5658" t="s">
        <v>46</v>
      </c>
      <c r="Y5658" t="s">
        <v>18934</v>
      </c>
    </row>
    <row r="5659" spans="1:25">
      <c r="A5659" t="s">
        <v>18935</v>
      </c>
      <c r="B5659" t="s">
        <v>18936</v>
      </c>
      <c r="D5659" t="s">
        <v>40</v>
      </c>
      <c r="E5659" t="s">
        <v>41</v>
      </c>
      <c r="J5659" t="s">
        <v>68</v>
      </c>
      <c r="K5659" t="s">
        <v>69</v>
      </c>
      <c r="L5659">
        <v>11</v>
      </c>
      <c r="M5659" t="s">
        <v>18933</v>
      </c>
      <c r="N5659" t="s">
        <v>64</v>
      </c>
      <c r="O5659" t="s">
        <v>46</v>
      </c>
      <c r="P5659" t="s">
        <v>46</v>
      </c>
      <c r="Y5659" t="s">
        <v>18937</v>
      </c>
    </row>
    <row r="5660" spans="1:25">
      <c r="A5660" t="s">
        <v>18938</v>
      </c>
      <c r="B5660" t="s">
        <v>18939</v>
      </c>
      <c r="D5660" t="s">
        <v>40</v>
      </c>
      <c r="E5660" t="s">
        <v>41</v>
      </c>
      <c r="J5660" t="s">
        <v>182</v>
      </c>
      <c r="K5660" t="s">
        <v>183</v>
      </c>
      <c r="L5660">
        <v>11</v>
      </c>
      <c r="M5660" t="s">
        <v>18940</v>
      </c>
      <c r="N5660" t="s">
        <v>64</v>
      </c>
      <c r="O5660" t="s">
        <v>46</v>
      </c>
      <c r="P5660" t="s">
        <v>46</v>
      </c>
      <c r="Y5660" t="s">
        <v>18941</v>
      </c>
    </row>
    <row r="5661" spans="1:25">
      <c r="A5661" t="s">
        <v>18942</v>
      </c>
      <c r="B5661" t="s">
        <v>18943</v>
      </c>
      <c r="D5661" t="s">
        <v>40</v>
      </c>
      <c r="E5661" t="s">
        <v>41</v>
      </c>
      <c r="J5661" t="s">
        <v>68</v>
      </c>
      <c r="K5661" t="s">
        <v>69</v>
      </c>
      <c r="L5661">
        <v>11</v>
      </c>
      <c r="M5661" t="s">
        <v>18940</v>
      </c>
      <c r="N5661" t="s">
        <v>64</v>
      </c>
      <c r="O5661" t="s">
        <v>46</v>
      </c>
      <c r="P5661" t="s">
        <v>46</v>
      </c>
      <c r="Y5661" t="s">
        <v>18944</v>
      </c>
    </row>
    <row r="5662" spans="1:25">
      <c r="A5662" t="s">
        <v>18945</v>
      </c>
      <c r="B5662" t="s">
        <v>18946</v>
      </c>
      <c r="D5662" t="s">
        <v>40</v>
      </c>
      <c r="E5662" t="s">
        <v>41</v>
      </c>
      <c r="J5662" t="s">
        <v>68</v>
      </c>
      <c r="K5662" t="s">
        <v>69</v>
      </c>
      <c r="L5662">
        <v>11</v>
      </c>
      <c r="M5662" t="s">
        <v>18940</v>
      </c>
      <c r="N5662" t="s">
        <v>64</v>
      </c>
      <c r="O5662" t="s">
        <v>46</v>
      </c>
      <c r="P5662" t="s">
        <v>46</v>
      </c>
      <c r="Y5662" t="s">
        <v>18947</v>
      </c>
    </row>
    <row r="5663" spans="1:25">
      <c r="A5663" t="s">
        <v>18948</v>
      </c>
      <c r="B5663" t="s">
        <v>18949</v>
      </c>
      <c r="D5663" t="s">
        <v>40</v>
      </c>
      <c r="E5663" t="s">
        <v>41</v>
      </c>
      <c r="J5663" t="s">
        <v>68</v>
      </c>
      <c r="K5663" t="s">
        <v>69</v>
      </c>
      <c r="L5663">
        <v>11</v>
      </c>
      <c r="M5663" t="s">
        <v>18940</v>
      </c>
      <c r="N5663" t="s">
        <v>64</v>
      </c>
      <c r="O5663" t="s">
        <v>46</v>
      </c>
      <c r="P5663" t="s">
        <v>46</v>
      </c>
      <c r="Y5663" t="s">
        <v>18950</v>
      </c>
    </row>
    <row r="5664" spans="1:25">
      <c r="A5664" t="s">
        <v>18951</v>
      </c>
      <c r="B5664" t="s">
        <v>18952</v>
      </c>
      <c r="D5664" t="s">
        <v>40</v>
      </c>
      <c r="E5664" t="s">
        <v>41</v>
      </c>
      <c r="J5664" t="s">
        <v>68</v>
      </c>
      <c r="K5664" t="s">
        <v>69</v>
      </c>
      <c r="L5664">
        <v>11</v>
      </c>
      <c r="M5664" t="s">
        <v>18953</v>
      </c>
      <c r="N5664" t="s">
        <v>64</v>
      </c>
      <c r="O5664" t="s">
        <v>46</v>
      </c>
      <c r="P5664" t="s">
        <v>46</v>
      </c>
      <c r="Y5664" t="s">
        <v>18954</v>
      </c>
    </row>
    <row r="5665" spans="1:25">
      <c r="A5665" t="s">
        <v>18955</v>
      </c>
      <c r="B5665" t="s">
        <v>18956</v>
      </c>
      <c r="D5665" t="s">
        <v>40</v>
      </c>
      <c r="E5665" t="s">
        <v>41</v>
      </c>
      <c r="J5665" t="s">
        <v>68</v>
      </c>
      <c r="K5665" t="s">
        <v>69</v>
      </c>
      <c r="L5665">
        <v>11</v>
      </c>
      <c r="M5665" t="s">
        <v>18953</v>
      </c>
      <c r="N5665" t="s">
        <v>64</v>
      </c>
      <c r="O5665" t="s">
        <v>46</v>
      </c>
      <c r="P5665" t="s">
        <v>46</v>
      </c>
      <c r="Y5665" t="s">
        <v>18957</v>
      </c>
    </row>
    <row r="5666" spans="1:25">
      <c r="A5666" t="s">
        <v>18958</v>
      </c>
      <c r="B5666" t="s">
        <v>18959</v>
      </c>
      <c r="D5666" t="s">
        <v>40</v>
      </c>
      <c r="E5666" t="s">
        <v>41</v>
      </c>
      <c r="J5666" t="s">
        <v>182</v>
      </c>
      <c r="K5666" t="s">
        <v>183</v>
      </c>
      <c r="L5666">
        <v>11</v>
      </c>
      <c r="M5666" t="s">
        <v>18953</v>
      </c>
      <c r="N5666" t="s">
        <v>64</v>
      </c>
      <c r="O5666" t="s">
        <v>46</v>
      </c>
      <c r="P5666" t="s">
        <v>46</v>
      </c>
      <c r="Y5666" t="s">
        <v>18960</v>
      </c>
    </row>
    <row r="5667" spans="1:25">
      <c r="A5667" t="s">
        <v>18961</v>
      </c>
      <c r="B5667" t="s">
        <v>18962</v>
      </c>
      <c r="D5667" t="s">
        <v>40</v>
      </c>
      <c r="E5667" t="s">
        <v>41</v>
      </c>
      <c r="J5667" t="s">
        <v>76</v>
      </c>
      <c r="K5667" t="s">
        <v>77</v>
      </c>
      <c r="L5667">
        <v>11</v>
      </c>
      <c r="M5667" t="s">
        <v>18953</v>
      </c>
      <c r="N5667" t="s">
        <v>64</v>
      </c>
      <c r="O5667" t="s">
        <v>46</v>
      </c>
      <c r="P5667" t="s">
        <v>46</v>
      </c>
      <c r="Y5667" t="s">
        <v>18963</v>
      </c>
    </row>
    <row r="5668" spans="1:25">
      <c r="A5668" t="s">
        <v>18964</v>
      </c>
      <c r="B5668" t="s">
        <v>18965</v>
      </c>
      <c r="D5668" t="s">
        <v>40</v>
      </c>
      <c r="E5668" t="s">
        <v>41</v>
      </c>
      <c r="J5668" t="s">
        <v>68</v>
      </c>
      <c r="K5668" t="s">
        <v>69</v>
      </c>
      <c r="L5668">
        <v>11</v>
      </c>
      <c r="M5668" t="s">
        <v>18953</v>
      </c>
      <c r="N5668" t="s">
        <v>64</v>
      </c>
      <c r="O5668" t="s">
        <v>46</v>
      </c>
      <c r="P5668" t="s">
        <v>46</v>
      </c>
      <c r="Y5668" t="s">
        <v>18966</v>
      </c>
    </row>
    <row r="5669" spans="1:25">
      <c r="A5669" t="s">
        <v>18967</v>
      </c>
      <c r="B5669" t="s">
        <v>18968</v>
      </c>
      <c r="D5669" t="s">
        <v>40</v>
      </c>
      <c r="E5669" t="s">
        <v>41</v>
      </c>
      <c r="J5669" t="s">
        <v>42</v>
      </c>
      <c r="K5669" t="s">
        <v>43</v>
      </c>
      <c r="L5669">
        <v>11</v>
      </c>
      <c r="M5669" t="s">
        <v>18953</v>
      </c>
      <c r="N5669" t="s">
        <v>218</v>
      </c>
      <c r="O5669" t="s">
        <v>46</v>
      </c>
      <c r="P5669" t="s">
        <v>46</v>
      </c>
      <c r="Y5669" t="s">
        <v>18969</v>
      </c>
    </row>
    <row r="5670" spans="1:25">
      <c r="A5670" t="s">
        <v>18970</v>
      </c>
      <c r="B5670" t="s">
        <v>18971</v>
      </c>
      <c r="D5670" t="s">
        <v>40</v>
      </c>
      <c r="E5670" t="s">
        <v>41</v>
      </c>
      <c r="J5670" t="s">
        <v>68</v>
      </c>
      <c r="K5670" t="s">
        <v>69</v>
      </c>
      <c r="L5670">
        <v>11</v>
      </c>
      <c r="M5670" t="s">
        <v>18953</v>
      </c>
      <c r="N5670" t="s">
        <v>64</v>
      </c>
      <c r="O5670" t="s">
        <v>46</v>
      </c>
      <c r="P5670" t="s">
        <v>46</v>
      </c>
      <c r="Y5670" t="s">
        <v>18972</v>
      </c>
    </row>
    <row r="5671" spans="1:25">
      <c r="A5671" t="s">
        <v>18973</v>
      </c>
      <c r="B5671" t="s">
        <v>18974</v>
      </c>
      <c r="D5671" t="s">
        <v>40</v>
      </c>
      <c r="E5671" t="s">
        <v>41</v>
      </c>
      <c r="J5671" t="s">
        <v>68</v>
      </c>
      <c r="K5671" t="s">
        <v>69</v>
      </c>
      <c r="L5671">
        <v>11</v>
      </c>
      <c r="M5671" t="s">
        <v>18953</v>
      </c>
      <c r="N5671" t="s">
        <v>64</v>
      </c>
      <c r="O5671" t="s">
        <v>46</v>
      </c>
      <c r="P5671" t="s">
        <v>46</v>
      </c>
      <c r="Y5671" t="s">
        <v>18975</v>
      </c>
    </row>
    <row r="5672" spans="1:25">
      <c r="A5672" t="s">
        <v>18976</v>
      </c>
      <c r="B5672" t="s">
        <v>18977</v>
      </c>
      <c r="D5672" t="s">
        <v>40</v>
      </c>
      <c r="E5672" t="s">
        <v>41</v>
      </c>
      <c r="J5672" t="s">
        <v>182</v>
      </c>
      <c r="K5672" t="s">
        <v>183</v>
      </c>
      <c r="L5672">
        <v>11</v>
      </c>
      <c r="M5672" t="s">
        <v>18978</v>
      </c>
      <c r="N5672" t="s">
        <v>64</v>
      </c>
      <c r="O5672" t="s">
        <v>46</v>
      </c>
      <c r="P5672" t="s">
        <v>46</v>
      </c>
      <c r="Y5672" t="s">
        <v>18979</v>
      </c>
    </row>
    <row r="5673" spans="1:25">
      <c r="A5673" t="s">
        <v>18980</v>
      </c>
      <c r="B5673" t="s">
        <v>18981</v>
      </c>
      <c r="D5673" t="s">
        <v>40</v>
      </c>
      <c r="E5673" t="s">
        <v>41</v>
      </c>
      <c r="J5673" t="s">
        <v>68</v>
      </c>
      <c r="K5673" t="s">
        <v>69</v>
      </c>
      <c r="L5673">
        <v>11</v>
      </c>
      <c r="M5673" t="s">
        <v>18978</v>
      </c>
      <c r="N5673" t="s">
        <v>64</v>
      </c>
      <c r="O5673" t="s">
        <v>46</v>
      </c>
      <c r="P5673" t="s">
        <v>46</v>
      </c>
      <c r="Y5673" t="s">
        <v>18982</v>
      </c>
    </row>
    <row r="5674" spans="1:25">
      <c r="A5674" t="s">
        <v>18983</v>
      </c>
      <c r="B5674" t="s">
        <v>18984</v>
      </c>
      <c r="D5674" t="s">
        <v>40</v>
      </c>
      <c r="E5674" t="s">
        <v>41</v>
      </c>
      <c r="J5674" t="s">
        <v>68</v>
      </c>
      <c r="K5674" t="s">
        <v>69</v>
      </c>
      <c r="L5674">
        <v>11</v>
      </c>
      <c r="M5674" t="s">
        <v>18978</v>
      </c>
      <c r="N5674" t="s">
        <v>64</v>
      </c>
      <c r="O5674" t="s">
        <v>46</v>
      </c>
      <c r="P5674" t="s">
        <v>46</v>
      </c>
      <c r="Y5674" t="s">
        <v>18985</v>
      </c>
    </row>
    <row r="5675" spans="1:25">
      <c r="A5675" t="s">
        <v>18986</v>
      </c>
      <c r="B5675" t="s">
        <v>18987</v>
      </c>
      <c r="D5675" t="s">
        <v>40</v>
      </c>
      <c r="E5675" t="s">
        <v>41</v>
      </c>
      <c r="J5675" t="s">
        <v>68</v>
      </c>
      <c r="K5675" t="s">
        <v>69</v>
      </c>
      <c r="L5675">
        <v>11</v>
      </c>
      <c r="M5675" t="s">
        <v>18988</v>
      </c>
      <c r="N5675" t="s">
        <v>64</v>
      </c>
      <c r="O5675" t="s">
        <v>46</v>
      </c>
      <c r="P5675" t="s">
        <v>46</v>
      </c>
      <c r="Y5675" t="s">
        <v>18989</v>
      </c>
    </row>
    <row r="5676" spans="1:25">
      <c r="A5676" t="s">
        <v>18990</v>
      </c>
      <c r="B5676" t="s">
        <v>18991</v>
      </c>
      <c r="D5676" t="s">
        <v>40</v>
      </c>
      <c r="E5676" t="s">
        <v>41</v>
      </c>
      <c r="J5676" t="s">
        <v>68</v>
      </c>
      <c r="K5676" t="s">
        <v>69</v>
      </c>
      <c r="L5676">
        <v>11</v>
      </c>
      <c r="M5676" t="s">
        <v>18992</v>
      </c>
      <c r="N5676" t="s">
        <v>64</v>
      </c>
      <c r="O5676" t="s">
        <v>46</v>
      </c>
      <c r="P5676" t="s">
        <v>46</v>
      </c>
      <c r="Y5676" t="s">
        <v>18993</v>
      </c>
    </row>
    <row r="5677" spans="1:25">
      <c r="A5677" t="s">
        <v>18994</v>
      </c>
      <c r="B5677" t="s">
        <v>18995</v>
      </c>
      <c r="D5677" t="s">
        <v>40</v>
      </c>
      <c r="E5677" t="s">
        <v>41</v>
      </c>
      <c r="J5677" t="s">
        <v>182</v>
      </c>
      <c r="K5677" t="s">
        <v>183</v>
      </c>
      <c r="L5677">
        <v>11</v>
      </c>
      <c r="M5677" t="s">
        <v>18992</v>
      </c>
      <c r="N5677" t="s">
        <v>64</v>
      </c>
      <c r="O5677" t="s">
        <v>46</v>
      </c>
      <c r="P5677" t="s">
        <v>46</v>
      </c>
      <c r="Y5677" t="s">
        <v>18996</v>
      </c>
    </row>
    <row r="5678" spans="1:25">
      <c r="A5678" t="s">
        <v>18997</v>
      </c>
      <c r="B5678" t="s">
        <v>18998</v>
      </c>
      <c r="D5678" t="s">
        <v>40</v>
      </c>
      <c r="E5678" t="s">
        <v>41</v>
      </c>
      <c r="J5678" t="s">
        <v>68</v>
      </c>
      <c r="K5678" t="s">
        <v>69</v>
      </c>
      <c r="L5678">
        <v>11</v>
      </c>
      <c r="M5678" t="s">
        <v>18992</v>
      </c>
      <c r="N5678" t="s">
        <v>64</v>
      </c>
      <c r="O5678" t="s">
        <v>46</v>
      </c>
      <c r="P5678" t="s">
        <v>46</v>
      </c>
      <c r="Y5678" t="s">
        <v>18999</v>
      </c>
    </row>
    <row r="5679" spans="1:25">
      <c r="A5679" t="s">
        <v>19000</v>
      </c>
      <c r="B5679" t="s">
        <v>19001</v>
      </c>
      <c r="D5679" t="s">
        <v>40</v>
      </c>
      <c r="E5679" t="s">
        <v>41</v>
      </c>
      <c r="J5679" t="s">
        <v>68</v>
      </c>
      <c r="K5679" t="s">
        <v>69</v>
      </c>
      <c r="L5679">
        <v>11</v>
      </c>
      <c r="M5679" t="s">
        <v>18992</v>
      </c>
      <c r="N5679" t="s">
        <v>64</v>
      </c>
      <c r="O5679" t="s">
        <v>46</v>
      </c>
      <c r="P5679" t="s">
        <v>46</v>
      </c>
      <c r="Y5679" t="s">
        <v>19002</v>
      </c>
    </row>
    <row r="5680" spans="1:25">
      <c r="A5680" t="s">
        <v>19003</v>
      </c>
      <c r="B5680" t="s">
        <v>19004</v>
      </c>
      <c r="D5680" t="s">
        <v>40</v>
      </c>
      <c r="E5680" t="s">
        <v>41</v>
      </c>
      <c r="J5680" t="s">
        <v>68</v>
      </c>
      <c r="K5680" t="s">
        <v>69</v>
      </c>
      <c r="L5680">
        <v>11</v>
      </c>
      <c r="M5680" t="s">
        <v>19005</v>
      </c>
      <c r="N5680" t="s">
        <v>64</v>
      </c>
      <c r="O5680" t="s">
        <v>46</v>
      </c>
      <c r="P5680" t="s">
        <v>46</v>
      </c>
      <c r="Y5680" t="s">
        <v>19006</v>
      </c>
    </row>
    <row r="5681" spans="1:25">
      <c r="A5681" t="s">
        <v>19007</v>
      </c>
      <c r="B5681" t="s">
        <v>19008</v>
      </c>
      <c r="D5681" t="s">
        <v>40</v>
      </c>
      <c r="E5681" t="s">
        <v>41</v>
      </c>
      <c r="J5681" t="s">
        <v>68</v>
      </c>
      <c r="K5681" t="s">
        <v>69</v>
      </c>
      <c r="L5681">
        <v>11</v>
      </c>
      <c r="M5681" t="s">
        <v>19005</v>
      </c>
      <c r="N5681" t="s">
        <v>64</v>
      </c>
      <c r="O5681" t="s">
        <v>46</v>
      </c>
      <c r="P5681" t="s">
        <v>46</v>
      </c>
      <c r="Y5681" t="s">
        <v>19009</v>
      </c>
    </row>
    <row r="5682" spans="1:25">
      <c r="A5682" t="s">
        <v>19010</v>
      </c>
      <c r="B5682" t="s">
        <v>19011</v>
      </c>
      <c r="D5682" t="s">
        <v>40</v>
      </c>
      <c r="E5682" t="s">
        <v>41</v>
      </c>
      <c r="J5682" t="s">
        <v>68</v>
      </c>
      <c r="K5682" t="s">
        <v>69</v>
      </c>
      <c r="L5682">
        <v>11</v>
      </c>
      <c r="M5682" t="s">
        <v>19005</v>
      </c>
      <c r="N5682" t="s">
        <v>64</v>
      </c>
      <c r="O5682" t="s">
        <v>46</v>
      </c>
      <c r="P5682" t="s">
        <v>46</v>
      </c>
      <c r="Y5682" t="s">
        <v>19012</v>
      </c>
    </row>
    <row r="5683" spans="1:25">
      <c r="A5683" t="s">
        <v>19013</v>
      </c>
      <c r="B5683" t="s">
        <v>19014</v>
      </c>
      <c r="D5683" t="s">
        <v>40</v>
      </c>
      <c r="E5683" t="s">
        <v>41</v>
      </c>
      <c r="J5683" t="s">
        <v>76</v>
      </c>
      <c r="K5683" t="s">
        <v>77</v>
      </c>
      <c r="L5683">
        <v>11</v>
      </c>
      <c r="M5683" t="s">
        <v>19005</v>
      </c>
      <c r="N5683" t="s">
        <v>64</v>
      </c>
      <c r="O5683" t="s">
        <v>46</v>
      </c>
      <c r="P5683" t="s">
        <v>46</v>
      </c>
      <c r="Y5683" t="s">
        <v>19015</v>
      </c>
    </row>
    <row r="5684" spans="1:25">
      <c r="A5684" t="s">
        <v>19016</v>
      </c>
      <c r="B5684" t="s">
        <v>19017</v>
      </c>
      <c r="D5684" t="s">
        <v>40</v>
      </c>
      <c r="E5684" t="s">
        <v>41</v>
      </c>
      <c r="J5684" t="s">
        <v>68</v>
      </c>
      <c r="K5684" t="s">
        <v>69</v>
      </c>
      <c r="L5684">
        <v>11</v>
      </c>
      <c r="M5684" t="s">
        <v>19005</v>
      </c>
      <c r="N5684" t="s">
        <v>64</v>
      </c>
      <c r="O5684" t="s">
        <v>46</v>
      </c>
      <c r="P5684" t="s">
        <v>46</v>
      </c>
      <c r="Y5684" t="s">
        <v>19018</v>
      </c>
    </row>
    <row r="5685" spans="1:25">
      <c r="A5685" t="s">
        <v>19019</v>
      </c>
      <c r="B5685" t="s">
        <v>19020</v>
      </c>
      <c r="D5685" t="s">
        <v>40</v>
      </c>
      <c r="E5685" t="s">
        <v>41</v>
      </c>
      <c r="J5685" t="s">
        <v>645</v>
      </c>
      <c r="K5685" t="s">
        <v>646</v>
      </c>
      <c r="L5685">
        <v>11</v>
      </c>
      <c r="M5685" t="s">
        <v>19021</v>
      </c>
      <c r="N5685" t="s">
        <v>64</v>
      </c>
      <c r="O5685" t="s">
        <v>46</v>
      </c>
      <c r="P5685" t="s">
        <v>46</v>
      </c>
      <c r="Y5685" t="s">
        <v>19022</v>
      </c>
    </row>
    <row r="5686" spans="1:25">
      <c r="A5686" t="s">
        <v>19023</v>
      </c>
      <c r="B5686" t="s">
        <v>19024</v>
      </c>
      <c r="D5686" t="s">
        <v>40</v>
      </c>
      <c r="E5686" t="s">
        <v>41</v>
      </c>
      <c r="J5686" t="s">
        <v>68</v>
      </c>
      <c r="K5686" t="s">
        <v>69</v>
      </c>
      <c r="L5686">
        <v>11</v>
      </c>
      <c r="M5686" t="s">
        <v>19021</v>
      </c>
      <c r="N5686" t="s">
        <v>64</v>
      </c>
      <c r="O5686" t="s">
        <v>46</v>
      </c>
      <c r="P5686" t="s">
        <v>46</v>
      </c>
      <c r="Y5686" t="s">
        <v>19025</v>
      </c>
    </row>
    <row r="5687" spans="1:25">
      <c r="A5687" t="s">
        <v>19026</v>
      </c>
      <c r="B5687" t="s">
        <v>19027</v>
      </c>
      <c r="D5687" t="s">
        <v>40</v>
      </c>
      <c r="E5687" t="s">
        <v>41</v>
      </c>
      <c r="J5687" t="s">
        <v>68</v>
      </c>
      <c r="K5687" t="s">
        <v>69</v>
      </c>
      <c r="L5687">
        <v>11</v>
      </c>
      <c r="M5687" t="s">
        <v>19028</v>
      </c>
      <c r="N5687" t="s">
        <v>64</v>
      </c>
      <c r="O5687" t="s">
        <v>46</v>
      </c>
      <c r="P5687" t="s">
        <v>46</v>
      </c>
      <c r="Y5687" t="s">
        <v>19029</v>
      </c>
    </row>
    <row r="5688" spans="1:25">
      <c r="A5688" t="s">
        <v>19030</v>
      </c>
      <c r="B5688" t="s">
        <v>19031</v>
      </c>
      <c r="D5688" t="s">
        <v>40</v>
      </c>
      <c r="E5688" t="s">
        <v>41</v>
      </c>
      <c r="J5688" t="s">
        <v>68</v>
      </c>
      <c r="K5688" t="s">
        <v>69</v>
      </c>
      <c r="L5688">
        <v>11</v>
      </c>
      <c r="M5688" t="s">
        <v>19028</v>
      </c>
      <c r="N5688" t="s">
        <v>64</v>
      </c>
      <c r="O5688" t="s">
        <v>46</v>
      </c>
      <c r="P5688" t="s">
        <v>46</v>
      </c>
      <c r="Y5688" t="s">
        <v>19032</v>
      </c>
    </row>
    <row r="5689" spans="1:25">
      <c r="A5689" t="s">
        <v>19033</v>
      </c>
      <c r="B5689" t="s">
        <v>19034</v>
      </c>
      <c r="D5689" t="s">
        <v>40</v>
      </c>
      <c r="E5689" t="s">
        <v>41</v>
      </c>
      <c r="J5689" t="s">
        <v>68</v>
      </c>
      <c r="K5689" t="s">
        <v>69</v>
      </c>
      <c r="L5689">
        <v>11</v>
      </c>
      <c r="M5689" t="s">
        <v>19035</v>
      </c>
      <c r="N5689" t="s">
        <v>64</v>
      </c>
      <c r="O5689" t="s">
        <v>46</v>
      </c>
      <c r="P5689" t="s">
        <v>46</v>
      </c>
      <c r="Y5689" t="s">
        <v>19036</v>
      </c>
    </row>
    <row r="5690" spans="1:25">
      <c r="A5690" t="s">
        <v>19037</v>
      </c>
      <c r="B5690" t="s">
        <v>19038</v>
      </c>
      <c r="D5690" t="s">
        <v>40</v>
      </c>
      <c r="E5690" t="s">
        <v>41</v>
      </c>
      <c r="J5690" t="s">
        <v>182</v>
      </c>
      <c r="K5690" t="s">
        <v>183</v>
      </c>
      <c r="L5690">
        <v>11</v>
      </c>
      <c r="M5690" t="s">
        <v>19035</v>
      </c>
      <c r="N5690" t="s">
        <v>64</v>
      </c>
      <c r="O5690" t="s">
        <v>46</v>
      </c>
      <c r="P5690" t="s">
        <v>46</v>
      </c>
      <c r="Y5690" t="s">
        <v>19039</v>
      </c>
    </row>
    <row r="5691" spans="1:25">
      <c r="A5691" t="s">
        <v>19040</v>
      </c>
      <c r="B5691" t="s">
        <v>19041</v>
      </c>
      <c r="D5691" t="s">
        <v>40</v>
      </c>
      <c r="E5691" t="s">
        <v>41</v>
      </c>
      <c r="J5691" t="s">
        <v>68</v>
      </c>
      <c r="K5691" t="s">
        <v>69</v>
      </c>
      <c r="L5691">
        <v>11</v>
      </c>
      <c r="M5691" t="s">
        <v>19035</v>
      </c>
      <c r="N5691" t="s">
        <v>64</v>
      </c>
      <c r="O5691" t="s">
        <v>46</v>
      </c>
      <c r="P5691" t="s">
        <v>46</v>
      </c>
      <c r="Y5691" t="s">
        <v>19042</v>
      </c>
    </row>
    <row r="5692" spans="1:25">
      <c r="A5692" t="s">
        <v>19043</v>
      </c>
      <c r="B5692" t="s">
        <v>19044</v>
      </c>
      <c r="D5692" t="s">
        <v>40</v>
      </c>
      <c r="E5692" t="s">
        <v>41</v>
      </c>
      <c r="J5692" t="s">
        <v>68</v>
      </c>
      <c r="K5692" t="s">
        <v>69</v>
      </c>
      <c r="L5692">
        <v>11</v>
      </c>
      <c r="M5692" t="s">
        <v>19035</v>
      </c>
      <c r="N5692" t="s">
        <v>64</v>
      </c>
      <c r="O5692" t="s">
        <v>46</v>
      </c>
      <c r="P5692" t="s">
        <v>46</v>
      </c>
      <c r="Y5692" t="s">
        <v>19045</v>
      </c>
    </row>
    <row r="5693" spans="1:25">
      <c r="A5693" t="s">
        <v>19046</v>
      </c>
      <c r="B5693" t="s">
        <v>19047</v>
      </c>
      <c r="D5693" t="s">
        <v>40</v>
      </c>
      <c r="E5693" t="s">
        <v>41</v>
      </c>
      <c r="J5693" t="s">
        <v>68</v>
      </c>
      <c r="K5693" t="s">
        <v>69</v>
      </c>
      <c r="L5693">
        <v>11</v>
      </c>
      <c r="M5693" t="s">
        <v>19035</v>
      </c>
      <c r="N5693" t="s">
        <v>64</v>
      </c>
      <c r="O5693" t="s">
        <v>46</v>
      </c>
      <c r="P5693" t="s">
        <v>46</v>
      </c>
      <c r="Y5693" t="s">
        <v>19048</v>
      </c>
    </row>
    <row r="5694" spans="1:25">
      <c r="A5694" t="s">
        <v>19049</v>
      </c>
      <c r="B5694" t="s">
        <v>19050</v>
      </c>
      <c r="D5694" t="s">
        <v>40</v>
      </c>
      <c r="E5694" t="s">
        <v>41</v>
      </c>
      <c r="J5694" t="s">
        <v>68</v>
      </c>
      <c r="K5694" t="s">
        <v>69</v>
      </c>
      <c r="L5694">
        <v>11</v>
      </c>
      <c r="M5694" t="s">
        <v>19035</v>
      </c>
      <c r="N5694" t="s">
        <v>64</v>
      </c>
      <c r="O5694" t="s">
        <v>46</v>
      </c>
      <c r="P5694" t="s">
        <v>46</v>
      </c>
      <c r="Y5694" t="s">
        <v>19051</v>
      </c>
    </row>
    <row r="5695" spans="1:25">
      <c r="A5695" t="s">
        <v>19052</v>
      </c>
      <c r="B5695" t="s">
        <v>19053</v>
      </c>
      <c r="D5695" t="s">
        <v>40</v>
      </c>
      <c r="E5695" t="s">
        <v>41</v>
      </c>
      <c r="J5695" t="s">
        <v>68</v>
      </c>
      <c r="K5695" t="s">
        <v>69</v>
      </c>
      <c r="L5695">
        <v>11</v>
      </c>
      <c r="M5695" t="s">
        <v>19054</v>
      </c>
      <c r="N5695" t="s">
        <v>64</v>
      </c>
      <c r="O5695" t="s">
        <v>46</v>
      </c>
      <c r="P5695" t="s">
        <v>46</v>
      </c>
      <c r="Y5695" t="s">
        <v>19055</v>
      </c>
    </row>
    <row r="5696" spans="1:25">
      <c r="A5696" t="s">
        <v>19056</v>
      </c>
      <c r="B5696" t="s">
        <v>19057</v>
      </c>
      <c r="D5696" t="s">
        <v>40</v>
      </c>
      <c r="E5696" t="s">
        <v>41</v>
      </c>
      <c r="J5696" t="s">
        <v>182</v>
      </c>
      <c r="K5696" t="s">
        <v>183</v>
      </c>
      <c r="L5696">
        <v>11</v>
      </c>
      <c r="M5696" t="s">
        <v>19054</v>
      </c>
      <c r="N5696" t="s">
        <v>64</v>
      </c>
      <c r="O5696" t="s">
        <v>46</v>
      </c>
      <c r="P5696" t="s">
        <v>46</v>
      </c>
      <c r="Y5696" t="s">
        <v>19058</v>
      </c>
    </row>
    <row r="5697" spans="1:25">
      <c r="A5697" t="s">
        <v>19059</v>
      </c>
      <c r="B5697" t="s">
        <v>19060</v>
      </c>
      <c r="D5697" t="s">
        <v>40</v>
      </c>
      <c r="E5697" t="s">
        <v>41</v>
      </c>
      <c r="J5697" t="s">
        <v>68</v>
      </c>
      <c r="K5697" t="s">
        <v>69</v>
      </c>
      <c r="L5697">
        <v>11</v>
      </c>
      <c r="M5697" t="s">
        <v>19054</v>
      </c>
      <c r="N5697" t="s">
        <v>64</v>
      </c>
      <c r="O5697" t="s">
        <v>46</v>
      </c>
      <c r="P5697" t="s">
        <v>46</v>
      </c>
      <c r="Y5697" t="s">
        <v>19061</v>
      </c>
    </row>
    <row r="5698" spans="1:25">
      <c r="A5698" t="s">
        <v>19062</v>
      </c>
      <c r="B5698" t="s">
        <v>19063</v>
      </c>
      <c r="D5698" t="s">
        <v>40</v>
      </c>
      <c r="E5698" t="s">
        <v>41</v>
      </c>
      <c r="J5698" t="s">
        <v>68</v>
      </c>
      <c r="K5698" t="s">
        <v>69</v>
      </c>
      <c r="L5698">
        <v>11</v>
      </c>
      <c r="M5698" t="s">
        <v>19054</v>
      </c>
      <c r="N5698" t="s">
        <v>64</v>
      </c>
      <c r="O5698" t="s">
        <v>46</v>
      </c>
      <c r="P5698" t="s">
        <v>46</v>
      </c>
      <c r="Y5698" t="s">
        <v>19064</v>
      </c>
    </row>
    <row r="5699" spans="1:25">
      <c r="A5699" t="s">
        <v>19065</v>
      </c>
      <c r="B5699" t="s">
        <v>19066</v>
      </c>
      <c r="D5699" t="s">
        <v>40</v>
      </c>
      <c r="E5699" t="s">
        <v>41</v>
      </c>
      <c r="J5699" t="s">
        <v>42</v>
      </c>
      <c r="K5699" t="s">
        <v>43</v>
      </c>
      <c r="L5699">
        <v>11</v>
      </c>
      <c r="M5699" t="s">
        <v>19054</v>
      </c>
      <c r="N5699" t="s">
        <v>1344</v>
      </c>
      <c r="O5699" t="s">
        <v>46</v>
      </c>
      <c r="P5699" t="s">
        <v>46</v>
      </c>
      <c r="Y5699" t="s">
        <v>19067</v>
      </c>
    </row>
    <row r="5700" spans="1:25">
      <c r="A5700" t="s">
        <v>19068</v>
      </c>
      <c r="B5700" t="s">
        <v>19069</v>
      </c>
      <c r="D5700" t="s">
        <v>40</v>
      </c>
      <c r="E5700" t="s">
        <v>41</v>
      </c>
      <c r="J5700" t="s">
        <v>68</v>
      </c>
      <c r="K5700" t="s">
        <v>69</v>
      </c>
      <c r="L5700">
        <v>11</v>
      </c>
      <c r="M5700" t="s">
        <v>19054</v>
      </c>
      <c r="N5700" t="s">
        <v>64</v>
      </c>
      <c r="O5700" t="s">
        <v>46</v>
      </c>
      <c r="P5700" t="s">
        <v>46</v>
      </c>
      <c r="Y5700" t="s">
        <v>19070</v>
      </c>
    </row>
    <row r="5701" spans="1:25">
      <c r="A5701" t="s">
        <v>19071</v>
      </c>
      <c r="B5701" t="s">
        <v>19072</v>
      </c>
      <c r="D5701" t="s">
        <v>40</v>
      </c>
      <c r="E5701" t="s">
        <v>41</v>
      </c>
      <c r="J5701" t="s">
        <v>68</v>
      </c>
      <c r="K5701" t="s">
        <v>69</v>
      </c>
      <c r="L5701">
        <v>11</v>
      </c>
      <c r="M5701" t="s">
        <v>19054</v>
      </c>
      <c r="N5701" t="s">
        <v>64</v>
      </c>
      <c r="O5701" t="s">
        <v>46</v>
      </c>
      <c r="P5701" t="s">
        <v>46</v>
      </c>
      <c r="Y5701" t="s">
        <v>19073</v>
      </c>
    </row>
    <row r="5702" spans="1:25">
      <c r="A5702" t="s">
        <v>19074</v>
      </c>
      <c r="B5702" t="s">
        <v>19075</v>
      </c>
      <c r="D5702" t="s">
        <v>40</v>
      </c>
      <c r="E5702" t="s">
        <v>41</v>
      </c>
      <c r="J5702" t="s">
        <v>182</v>
      </c>
      <c r="K5702" t="s">
        <v>183</v>
      </c>
      <c r="L5702">
        <v>11</v>
      </c>
      <c r="M5702" t="s">
        <v>19076</v>
      </c>
      <c r="N5702" t="s">
        <v>64</v>
      </c>
      <c r="O5702" t="s">
        <v>46</v>
      </c>
      <c r="P5702" t="s">
        <v>46</v>
      </c>
      <c r="Y5702" t="s">
        <v>19077</v>
      </c>
    </row>
    <row r="5703" spans="1:25">
      <c r="A5703" t="s">
        <v>19078</v>
      </c>
      <c r="B5703" t="s">
        <v>19079</v>
      </c>
      <c r="D5703" t="s">
        <v>40</v>
      </c>
      <c r="E5703" t="s">
        <v>41</v>
      </c>
      <c r="J5703" t="s">
        <v>68</v>
      </c>
      <c r="K5703" t="s">
        <v>69</v>
      </c>
      <c r="L5703">
        <v>11</v>
      </c>
      <c r="M5703" t="s">
        <v>19076</v>
      </c>
      <c r="N5703" t="s">
        <v>64</v>
      </c>
      <c r="O5703" t="s">
        <v>46</v>
      </c>
      <c r="P5703" t="s">
        <v>46</v>
      </c>
      <c r="Y5703" t="s">
        <v>19080</v>
      </c>
    </row>
    <row r="5704" spans="1:25">
      <c r="A5704" t="s">
        <v>19081</v>
      </c>
      <c r="B5704" t="s">
        <v>19082</v>
      </c>
      <c r="D5704" t="s">
        <v>40</v>
      </c>
      <c r="E5704" t="s">
        <v>41</v>
      </c>
      <c r="J5704" t="s">
        <v>68</v>
      </c>
      <c r="K5704" t="s">
        <v>69</v>
      </c>
      <c r="L5704">
        <v>11</v>
      </c>
      <c r="M5704" t="s">
        <v>19076</v>
      </c>
      <c r="N5704" t="s">
        <v>64</v>
      </c>
      <c r="O5704" t="s">
        <v>46</v>
      </c>
      <c r="P5704" t="s">
        <v>46</v>
      </c>
      <c r="Y5704" t="s">
        <v>19083</v>
      </c>
    </row>
    <row r="5705" spans="1:25">
      <c r="A5705" t="s">
        <v>19084</v>
      </c>
      <c r="B5705" t="s">
        <v>19085</v>
      </c>
      <c r="D5705" t="s">
        <v>40</v>
      </c>
      <c r="E5705" t="s">
        <v>41</v>
      </c>
      <c r="J5705" t="s">
        <v>182</v>
      </c>
      <c r="K5705" t="s">
        <v>183</v>
      </c>
      <c r="L5705">
        <v>11</v>
      </c>
      <c r="M5705" t="s">
        <v>19086</v>
      </c>
      <c r="N5705" t="s">
        <v>64</v>
      </c>
      <c r="O5705" t="s">
        <v>46</v>
      </c>
      <c r="P5705" t="s">
        <v>46</v>
      </c>
      <c r="Y5705" t="s">
        <v>19087</v>
      </c>
    </row>
    <row r="5706" spans="1:25">
      <c r="A5706" t="s">
        <v>19088</v>
      </c>
      <c r="B5706" t="s">
        <v>19089</v>
      </c>
      <c r="D5706" t="s">
        <v>40</v>
      </c>
      <c r="E5706" t="s">
        <v>41</v>
      </c>
      <c r="J5706" t="s">
        <v>42</v>
      </c>
      <c r="K5706" t="s">
        <v>43</v>
      </c>
      <c r="L5706">
        <v>11</v>
      </c>
      <c r="M5706" t="s">
        <v>19086</v>
      </c>
      <c r="N5706" t="s">
        <v>1380</v>
      </c>
      <c r="O5706" t="s">
        <v>46</v>
      </c>
      <c r="P5706" t="s">
        <v>46</v>
      </c>
      <c r="Y5706" t="s">
        <v>19090</v>
      </c>
    </row>
    <row r="5707" spans="1:25">
      <c r="A5707" t="s">
        <v>19091</v>
      </c>
      <c r="B5707" t="s">
        <v>19092</v>
      </c>
      <c r="D5707" t="s">
        <v>40</v>
      </c>
      <c r="E5707" t="s">
        <v>41</v>
      </c>
      <c r="J5707" t="s">
        <v>68</v>
      </c>
      <c r="K5707" t="s">
        <v>69</v>
      </c>
      <c r="L5707">
        <v>11</v>
      </c>
      <c r="M5707" t="s">
        <v>19086</v>
      </c>
      <c r="N5707" t="s">
        <v>64</v>
      </c>
      <c r="O5707" t="s">
        <v>46</v>
      </c>
      <c r="P5707" t="s">
        <v>46</v>
      </c>
      <c r="Y5707" t="s">
        <v>19093</v>
      </c>
    </row>
    <row r="5708" spans="1:25">
      <c r="A5708" t="s">
        <v>19094</v>
      </c>
      <c r="B5708" t="s">
        <v>19095</v>
      </c>
      <c r="D5708" t="s">
        <v>40</v>
      </c>
      <c r="E5708" t="s">
        <v>41</v>
      </c>
      <c r="J5708" t="s">
        <v>68</v>
      </c>
      <c r="K5708" t="s">
        <v>69</v>
      </c>
      <c r="L5708">
        <v>11</v>
      </c>
      <c r="M5708" t="s">
        <v>19096</v>
      </c>
      <c r="N5708" t="s">
        <v>64</v>
      </c>
      <c r="O5708" t="s">
        <v>46</v>
      </c>
      <c r="P5708" t="s">
        <v>46</v>
      </c>
      <c r="Y5708" t="s">
        <v>19097</v>
      </c>
    </row>
    <row r="5709" spans="1:25">
      <c r="A5709" t="s">
        <v>19098</v>
      </c>
      <c r="B5709" t="s">
        <v>19099</v>
      </c>
      <c r="D5709" t="s">
        <v>40</v>
      </c>
      <c r="E5709" t="s">
        <v>41</v>
      </c>
      <c r="J5709" t="s">
        <v>68</v>
      </c>
      <c r="K5709" t="s">
        <v>69</v>
      </c>
      <c r="L5709">
        <v>11</v>
      </c>
      <c r="M5709" t="s">
        <v>19100</v>
      </c>
      <c r="N5709" t="s">
        <v>64</v>
      </c>
      <c r="O5709" t="s">
        <v>46</v>
      </c>
      <c r="P5709" t="s">
        <v>46</v>
      </c>
      <c r="Y5709" t="s">
        <v>19101</v>
      </c>
    </row>
    <row r="5710" spans="1:25">
      <c r="A5710" t="s">
        <v>19102</v>
      </c>
      <c r="B5710" t="s">
        <v>19103</v>
      </c>
      <c r="D5710" t="s">
        <v>40</v>
      </c>
      <c r="E5710" t="s">
        <v>41</v>
      </c>
      <c r="J5710" t="s">
        <v>68</v>
      </c>
      <c r="K5710" t="s">
        <v>69</v>
      </c>
      <c r="L5710">
        <v>11</v>
      </c>
      <c r="M5710" t="s">
        <v>19100</v>
      </c>
      <c r="N5710" t="s">
        <v>64</v>
      </c>
      <c r="O5710" t="s">
        <v>46</v>
      </c>
      <c r="P5710" t="s">
        <v>46</v>
      </c>
      <c r="Y5710" t="s">
        <v>19104</v>
      </c>
    </row>
    <row r="5711" spans="1:25">
      <c r="A5711" t="s">
        <v>19105</v>
      </c>
      <c r="B5711" t="s">
        <v>19106</v>
      </c>
      <c r="D5711" t="s">
        <v>40</v>
      </c>
      <c r="E5711" t="s">
        <v>41</v>
      </c>
      <c r="J5711" t="s">
        <v>68</v>
      </c>
      <c r="K5711" t="s">
        <v>69</v>
      </c>
      <c r="L5711">
        <v>11</v>
      </c>
      <c r="M5711" t="s">
        <v>19107</v>
      </c>
      <c r="N5711" t="s">
        <v>64</v>
      </c>
      <c r="O5711" t="s">
        <v>46</v>
      </c>
      <c r="P5711" t="s">
        <v>46</v>
      </c>
      <c r="Y5711" t="s">
        <v>19108</v>
      </c>
    </row>
    <row r="5712" spans="1:25">
      <c r="A5712" t="s">
        <v>19109</v>
      </c>
      <c r="B5712" t="s">
        <v>19110</v>
      </c>
      <c r="D5712" t="s">
        <v>40</v>
      </c>
      <c r="E5712" t="s">
        <v>41</v>
      </c>
      <c r="J5712" t="s">
        <v>68</v>
      </c>
      <c r="K5712" t="s">
        <v>69</v>
      </c>
      <c r="L5712">
        <v>11</v>
      </c>
      <c r="M5712" t="s">
        <v>19107</v>
      </c>
      <c r="N5712" t="s">
        <v>64</v>
      </c>
      <c r="O5712" t="s">
        <v>46</v>
      </c>
      <c r="P5712" t="s">
        <v>46</v>
      </c>
      <c r="Y5712" t="s">
        <v>19111</v>
      </c>
    </row>
    <row r="5713" spans="1:25">
      <c r="A5713" t="s">
        <v>19112</v>
      </c>
      <c r="B5713" t="s">
        <v>19113</v>
      </c>
      <c r="D5713" t="s">
        <v>40</v>
      </c>
      <c r="E5713" t="s">
        <v>41</v>
      </c>
      <c r="J5713" t="s">
        <v>264</v>
      </c>
      <c r="K5713" t="s">
        <v>265</v>
      </c>
      <c r="L5713">
        <v>7</v>
      </c>
      <c r="M5713" t="s">
        <v>19114</v>
      </c>
      <c r="N5713" t="s">
        <v>178</v>
      </c>
      <c r="O5713" t="s">
        <v>46</v>
      </c>
      <c r="P5713" t="s">
        <v>46</v>
      </c>
      <c r="Y5713" t="s">
        <v>19115</v>
      </c>
    </row>
    <row r="5714" spans="1:25">
      <c r="A5714" t="s">
        <v>19116</v>
      </c>
      <c r="B5714" t="s">
        <v>19117</v>
      </c>
      <c r="D5714" t="s">
        <v>40</v>
      </c>
      <c r="E5714" t="s">
        <v>41</v>
      </c>
      <c r="J5714" t="s">
        <v>68</v>
      </c>
      <c r="K5714" t="s">
        <v>69</v>
      </c>
      <c r="L5714">
        <v>11</v>
      </c>
      <c r="M5714" t="s">
        <v>19114</v>
      </c>
      <c r="N5714" t="s">
        <v>64</v>
      </c>
      <c r="O5714" t="s">
        <v>46</v>
      </c>
      <c r="P5714" t="s">
        <v>46</v>
      </c>
      <c r="Y5714" t="s">
        <v>19118</v>
      </c>
    </row>
    <row r="5715" spans="1:25">
      <c r="A5715" t="s">
        <v>19119</v>
      </c>
      <c r="B5715" t="s">
        <v>19120</v>
      </c>
      <c r="D5715" t="s">
        <v>40</v>
      </c>
      <c r="E5715" t="s">
        <v>41</v>
      </c>
      <c r="J5715" t="s">
        <v>68</v>
      </c>
      <c r="K5715" t="s">
        <v>69</v>
      </c>
      <c r="L5715">
        <v>11</v>
      </c>
      <c r="M5715" t="s">
        <v>19114</v>
      </c>
      <c r="N5715" t="s">
        <v>64</v>
      </c>
      <c r="O5715" t="s">
        <v>46</v>
      </c>
      <c r="P5715" t="s">
        <v>46</v>
      </c>
      <c r="Y5715" t="s">
        <v>19121</v>
      </c>
    </row>
    <row r="5716" spans="1:25">
      <c r="A5716" t="s">
        <v>19122</v>
      </c>
      <c r="B5716" t="s">
        <v>19123</v>
      </c>
      <c r="D5716" t="s">
        <v>40</v>
      </c>
      <c r="E5716" t="s">
        <v>41</v>
      </c>
      <c r="J5716" t="s">
        <v>182</v>
      </c>
      <c r="K5716" t="s">
        <v>183</v>
      </c>
      <c r="L5716">
        <v>11</v>
      </c>
      <c r="M5716" t="s">
        <v>19114</v>
      </c>
      <c r="N5716" t="s">
        <v>64</v>
      </c>
      <c r="O5716" t="s">
        <v>46</v>
      </c>
      <c r="P5716" t="s">
        <v>46</v>
      </c>
      <c r="Y5716" t="s">
        <v>19124</v>
      </c>
    </row>
    <row r="5717" spans="1:25">
      <c r="A5717" t="s">
        <v>19125</v>
      </c>
      <c r="B5717" t="s">
        <v>19126</v>
      </c>
      <c r="D5717" t="s">
        <v>40</v>
      </c>
      <c r="E5717" t="s">
        <v>41</v>
      </c>
      <c r="J5717" t="s">
        <v>264</v>
      </c>
      <c r="K5717" t="s">
        <v>265</v>
      </c>
      <c r="L5717">
        <v>11</v>
      </c>
      <c r="M5717" t="s">
        <v>19114</v>
      </c>
      <c r="N5717" t="s">
        <v>1478</v>
      </c>
      <c r="O5717" t="s">
        <v>46</v>
      </c>
      <c r="P5717" t="s">
        <v>46</v>
      </c>
      <c r="Y5717" t="s">
        <v>19127</v>
      </c>
    </row>
    <row r="5718" spans="1:25">
      <c r="A5718" t="s">
        <v>19128</v>
      </c>
      <c r="B5718" t="s">
        <v>19129</v>
      </c>
      <c r="D5718" t="s">
        <v>40</v>
      </c>
      <c r="E5718" t="s">
        <v>41</v>
      </c>
      <c r="J5718" t="s">
        <v>68</v>
      </c>
      <c r="K5718" t="s">
        <v>69</v>
      </c>
      <c r="L5718">
        <v>11</v>
      </c>
      <c r="M5718" t="s">
        <v>19114</v>
      </c>
      <c r="N5718" t="s">
        <v>64</v>
      </c>
      <c r="O5718" t="s">
        <v>46</v>
      </c>
      <c r="P5718" t="s">
        <v>46</v>
      </c>
      <c r="Y5718" t="s">
        <v>19130</v>
      </c>
    </row>
    <row r="5719" spans="1:25">
      <c r="A5719" t="s">
        <v>19131</v>
      </c>
      <c r="B5719" t="s">
        <v>19132</v>
      </c>
      <c r="D5719" t="s">
        <v>40</v>
      </c>
      <c r="E5719" t="s">
        <v>41</v>
      </c>
      <c r="J5719" t="s">
        <v>68</v>
      </c>
      <c r="K5719" t="s">
        <v>69</v>
      </c>
      <c r="L5719">
        <v>11</v>
      </c>
      <c r="M5719" t="s">
        <v>19114</v>
      </c>
      <c r="N5719" t="s">
        <v>64</v>
      </c>
      <c r="O5719" t="s">
        <v>46</v>
      </c>
      <c r="P5719" t="s">
        <v>46</v>
      </c>
      <c r="Y5719" t="s">
        <v>19133</v>
      </c>
    </row>
    <row r="5720" spans="1:25">
      <c r="A5720" t="s">
        <v>19134</v>
      </c>
      <c r="B5720" t="s">
        <v>19135</v>
      </c>
      <c r="D5720" t="s">
        <v>40</v>
      </c>
      <c r="E5720" t="s">
        <v>41</v>
      </c>
      <c r="J5720" t="s">
        <v>68</v>
      </c>
      <c r="K5720" t="s">
        <v>69</v>
      </c>
      <c r="L5720">
        <v>11</v>
      </c>
      <c r="M5720" t="s">
        <v>19114</v>
      </c>
      <c r="N5720" t="s">
        <v>64</v>
      </c>
      <c r="O5720" t="s">
        <v>46</v>
      </c>
      <c r="P5720" t="s">
        <v>46</v>
      </c>
      <c r="Y5720" t="s">
        <v>19136</v>
      </c>
    </row>
    <row r="5721" spans="1:25">
      <c r="A5721" t="s">
        <v>19137</v>
      </c>
      <c r="B5721" t="s">
        <v>19138</v>
      </c>
      <c r="D5721" t="s">
        <v>40</v>
      </c>
      <c r="E5721" t="s">
        <v>41</v>
      </c>
      <c r="J5721" t="s">
        <v>68</v>
      </c>
      <c r="K5721" t="s">
        <v>69</v>
      </c>
      <c r="L5721">
        <v>11</v>
      </c>
      <c r="M5721" t="s">
        <v>19114</v>
      </c>
      <c r="N5721" t="s">
        <v>64</v>
      </c>
      <c r="O5721" t="s">
        <v>46</v>
      </c>
      <c r="P5721" t="s">
        <v>46</v>
      </c>
      <c r="Y5721" t="s">
        <v>19139</v>
      </c>
    </row>
    <row r="5722" spans="1:25">
      <c r="A5722" t="s">
        <v>19140</v>
      </c>
      <c r="B5722" t="s">
        <v>19141</v>
      </c>
      <c r="D5722" t="s">
        <v>40</v>
      </c>
      <c r="E5722" t="s">
        <v>41</v>
      </c>
      <c r="J5722" t="s">
        <v>68</v>
      </c>
      <c r="K5722" t="s">
        <v>69</v>
      </c>
      <c r="L5722">
        <v>11</v>
      </c>
      <c r="M5722" t="s">
        <v>19142</v>
      </c>
      <c r="N5722" t="s">
        <v>64</v>
      </c>
      <c r="O5722" t="s">
        <v>46</v>
      </c>
      <c r="P5722" t="s">
        <v>46</v>
      </c>
      <c r="Y5722" t="s">
        <v>19143</v>
      </c>
    </row>
    <row r="5723" spans="1:25">
      <c r="A5723" t="s">
        <v>19144</v>
      </c>
      <c r="B5723" t="s">
        <v>19145</v>
      </c>
      <c r="D5723" t="s">
        <v>40</v>
      </c>
      <c r="E5723" t="s">
        <v>41</v>
      </c>
      <c r="J5723" t="s">
        <v>182</v>
      </c>
      <c r="K5723" t="s">
        <v>183</v>
      </c>
      <c r="L5723">
        <v>11</v>
      </c>
      <c r="M5723" t="s">
        <v>19142</v>
      </c>
      <c r="N5723" t="s">
        <v>64</v>
      </c>
      <c r="O5723" t="s">
        <v>46</v>
      </c>
      <c r="P5723" t="s">
        <v>46</v>
      </c>
      <c r="Y5723" t="s">
        <v>19146</v>
      </c>
    </row>
    <row r="5724" spans="1:25">
      <c r="A5724" t="s">
        <v>19147</v>
      </c>
      <c r="B5724" t="s">
        <v>19148</v>
      </c>
      <c r="D5724" t="s">
        <v>40</v>
      </c>
      <c r="E5724" t="s">
        <v>41</v>
      </c>
      <c r="J5724" t="s">
        <v>68</v>
      </c>
      <c r="K5724" t="s">
        <v>69</v>
      </c>
      <c r="L5724">
        <v>11</v>
      </c>
      <c r="M5724" t="s">
        <v>19142</v>
      </c>
      <c r="N5724" t="s">
        <v>64</v>
      </c>
      <c r="O5724" t="s">
        <v>46</v>
      </c>
      <c r="P5724" t="s">
        <v>46</v>
      </c>
      <c r="Y5724" t="s">
        <v>19149</v>
      </c>
    </row>
    <row r="5725" spans="1:25">
      <c r="A5725" t="s">
        <v>19150</v>
      </c>
      <c r="B5725" t="s">
        <v>19151</v>
      </c>
      <c r="D5725" t="s">
        <v>40</v>
      </c>
      <c r="E5725" t="s">
        <v>41</v>
      </c>
      <c r="J5725" t="s">
        <v>68</v>
      </c>
      <c r="K5725" t="s">
        <v>69</v>
      </c>
      <c r="L5725">
        <v>11</v>
      </c>
      <c r="M5725" t="s">
        <v>19152</v>
      </c>
      <c r="N5725" t="s">
        <v>64</v>
      </c>
      <c r="O5725" t="s">
        <v>46</v>
      </c>
      <c r="P5725" t="s">
        <v>46</v>
      </c>
      <c r="Y5725" t="s">
        <v>19153</v>
      </c>
    </row>
    <row r="5726" spans="1:25">
      <c r="A5726" t="s">
        <v>19154</v>
      </c>
      <c r="B5726" t="s">
        <v>19155</v>
      </c>
      <c r="D5726" t="s">
        <v>40</v>
      </c>
      <c r="E5726" t="s">
        <v>41</v>
      </c>
      <c r="J5726" t="s">
        <v>68</v>
      </c>
      <c r="K5726" t="s">
        <v>69</v>
      </c>
      <c r="L5726">
        <v>11</v>
      </c>
      <c r="M5726" t="s">
        <v>19156</v>
      </c>
      <c r="N5726" t="s">
        <v>64</v>
      </c>
      <c r="O5726" t="s">
        <v>46</v>
      </c>
      <c r="P5726" t="s">
        <v>46</v>
      </c>
      <c r="Y5726" t="s">
        <v>19157</v>
      </c>
    </row>
    <row r="5727" spans="1:25">
      <c r="A5727" t="s">
        <v>19158</v>
      </c>
      <c r="B5727" t="s">
        <v>19159</v>
      </c>
      <c r="D5727" t="s">
        <v>40</v>
      </c>
      <c r="E5727" t="s">
        <v>41</v>
      </c>
      <c r="J5727" t="s">
        <v>68</v>
      </c>
      <c r="K5727" t="s">
        <v>69</v>
      </c>
      <c r="L5727">
        <v>11</v>
      </c>
      <c r="M5727" t="s">
        <v>19160</v>
      </c>
      <c r="N5727" t="s">
        <v>64</v>
      </c>
      <c r="O5727" t="s">
        <v>46</v>
      </c>
      <c r="P5727" t="s">
        <v>46</v>
      </c>
      <c r="Y5727" t="s">
        <v>19161</v>
      </c>
    </row>
    <row r="5728" spans="1:25">
      <c r="A5728" t="s">
        <v>19162</v>
      </c>
      <c r="B5728" t="s">
        <v>19163</v>
      </c>
      <c r="D5728" t="s">
        <v>40</v>
      </c>
      <c r="E5728" t="s">
        <v>41</v>
      </c>
      <c r="J5728" t="s">
        <v>182</v>
      </c>
      <c r="K5728" t="s">
        <v>183</v>
      </c>
      <c r="L5728">
        <v>11</v>
      </c>
      <c r="M5728" t="s">
        <v>19160</v>
      </c>
      <c r="N5728" t="s">
        <v>64</v>
      </c>
      <c r="O5728" t="s">
        <v>46</v>
      </c>
      <c r="P5728" t="s">
        <v>46</v>
      </c>
      <c r="Y5728" t="s">
        <v>19164</v>
      </c>
    </row>
    <row r="5729" spans="1:25">
      <c r="A5729" t="s">
        <v>19165</v>
      </c>
      <c r="B5729" t="s">
        <v>19166</v>
      </c>
      <c r="D5729" t="s">
        <v>40</v>
      </c>
      <c r="E5729" t="s">
        <v>41</v>
      </c>
      <c r="J5729" t="s">
        <v>68</v>
      </c>
      <c r="K5729" t="s">
        <v>69</v>
      </c>
      <c r="L5729">
        <v>11</v>
      </c>
      <c r="M5729" t="s">
        <v>19160</v>
      </c>
      <c r="N5729" t="s">
        <v>64</v>
      </c>
      <c r="O5729" t="s">
        <v>46</v>
      </c>
      <c r="P5729" t="s">
        <v>46</v>
      </c>
      <c r="Y5729" t="s">
        <v>19167</v>
      </c>
    </row>
    <row r="5730" spans="1:25">
      <c r="A5730" t="s">
        <v>19168</v>
      </c>
      <c r="B5730" t="s">
        <v>19169</v>
      </c>
      <c r="D5730" t="s">
        <v>40</v>
      </c>
      <c r="E5730" t="s">
        <v>41</v>
      </c>
      <c r="J5730" t="s">
        <v>68</v>
      </c>
      <c r="K5730" t="s">
        <v>69</v>
      </c>
      <c r="L5730">
        <v>11</v>
      </c>
      <c r="M5730" t="s">
        <v>19160</v>
      </c>
      <c r="N5730" t="s">
        <v>64</v>
      </c>
      <c r="O5730" t="s">
        <v>46</v>
      </c>
      <c r="P5730" t="s">
        <v>46</v>
      </c>
      <c r="Y5730" t="s">
        <v>19170</v>
      </c>
    </row>
    <row r="5731" spans="1:25">
      <c r="A5731" t="s">
        <v>19171</v>
      </c>
      <c r="B5731" t="s">
        <v>19172</v>
      </c>
      <c r="D5731" t="s">
        <v>40</v>
      </c>
      <c r="E5731" t="s">
        <v>41</v>
      </c>
      <c r="J5731" t="s">
        <v>68</v>
      </c>
      <c r="K5731" t="s">
        <v>69</v>
      </c>
      <c r="L5731">
        <v>11</v>
      </c>
      <c r="M5731" t="s">
        <v>19160</v>
      </c>
      <c r="N5731" t="s">
        <v>64</v>
      </c>
      <c r="O5731" t="s">
        <v>46</v>
      </c>
      <c r="P5731" t="s">
        <v>46</v>
      </c>
      <c r="Y5731" t="s">
        <v>19173</v>
      </c>
    </row>
    <row r="5732" spans="1:25">
      <c r="A5732" t="s">
        <v>19174</v>
      </c>
      <c r="B5732" t="s">
        <v>19175</v>
      </c>
      <c r="D5732" t="s">
        <v>40</v>
      </c>
      <c r="E5732" t="s">
        <v>41</v>
      </c>
      <c r="J5732" t="s">
        <v>182</v>
      </c>
      <c r="K5732" t="s">
        <v>183</v>
      </c>
      <c r="L5732">
        <v>11</v>
      </c>
      <c r="M5732" t="s">
        <v>19160</v>
      </c>
      <c r="N5732" t="s">
        <v>64</v>
      </c>
      <c r="O5732" t="s">
        <v>46</v>
      </c>
      <c r="P5732" t="s">
        <v>46</v>
      </c>
      <c r="Y5732" t="s">
        <v>19176</v>
      </c>
    </row>
    <row r="5733" spans="1:25">
      <c r="A5733" t="s">
        <v>19177</v>
      </c>
      <c r="B5733" t="s">
        <v>19178</v>
      </c>
      <c r="D5733" t="s">
        <v>40</v>
      </c>
      <c r="E5733" t="s">
        <v>41</v>
      </c>
      <c r="J5733" t="s">
        <v>182</v>
      </c>
      <c r="K5733" t="s">
        <v>183</v>
      </c>
      <c r="L5733">
        <v>11</v>
      </c>
      <c r="M5733" t="s">
        <v>19160</v>
      </c>
      <c r="N5733" t="s">
        <v>64</v>
      </c>
      <c r="O5733" t="s">
        <v>46</v>
      </c>
      <c r="P5733" t="s">
        <v>46</v>
      </c>
      <c r="Y5733" t="s">
        <v>19179</v>
      </c>
    </row>
    <row r="5734" spans="1:25">
      <c r="A5734" t="s">
        <v>19180</v>
      </c>
      <c r="B5734" t="s">
        <v>19181</v>
      </c>
      <c r="D5734" t="s">
        <v>40</v>
      </c>
      <c r="E5734" t="s">
        <v>41</v>
      </c>
      <c r="J5734" t="s">
        <v>182</v>
      </c>
      <c r="K5734" t="s">
        <v>183</v>
      </c>
      <c r="L5734">
        <v>11</v>
      </c>
      <c r="M5734" t="s">
        <v>19182</v>
      </c>
      <c r="N5734" t="s">
        <v>64</v>
      </c>
      <c r="O5734" t="s">
        <v>46</v>
      </c>
      <c r="P5734" t="s">
        <v>46</v>
      </c>
      <c r="Y5734" t="s">
        <v>19183</v>
      </c>
    </row>
    <row r="5735" spans="1:25">
      <c r="A5735" t="s">
        <v>19184</v>
      </c>
      <c r="B5735" t="s">
        <v>19185</v>
      </c>
      <c r="D5735" t="s">
        <v>40</v>
      </c>
      <c r="E5735" t="s">
        <v>41</v>
      </c>
      <c r="J5735" t="s">
        <v>68</v>
      </c>
      <c r="K5735" t="s">
        <v>69</v>
      </c>
      <c r="L5735">
        <v>11</v>
      </c>
      <c r="M5735" t="s">
        <v>19182</v>
      </c>
      <c r="N5735" t="s">
        <v>64</v>
      </c>
      <c r="O5735" t="s">
        <v>46</v>
      </c>
      <c r="P5735" t="s">
        <v>46</v>
      </c>
      <c r="Y5735" t="s">
        <v>19186</v>
      </c>
    </row>
    <row r="5736" spans="1:25">
      <c r="A5736" t="s">
        <v>19187</v>
      </c>
      <c r="B5736" t="s">
        <v>19188</v>
      </c>
      <c r="D5736" t="s">
        <v>40</v>
      </c>
      <c r="E5736" t="s">
        <v>41</v>
      </c>
      <c r="J5736" t="s">
        <v>68</v>
      </c>
      <c r="K5736" t="s">
        <v>69</v>
      </c>
      <c r="L5736">
        <v>11</v>
      </c>
      <c r="M5736" t="s">
        <v>19182</v>
      </c>
      <c r="N5736" t="s">
        <v>64</v>
      </c>
      <c r="O5736" t="s">
        <v>46</v>
      </c>
      <c r="P5736" t="s">
        <v>46</v>
      </c>
      <c r="Y5736" t="s">
        <v>19189</v>
      </c>
    </row>
    <row r="5737" spans="1:25">
      <c r="A5737" t="s">
        <v>19190</v>
      </c>
      <c r="B5737" t="s">
        <v>19191</v>
      </c>
      <c r="D5737" t="s">
        <v>40</v>
      </c>
      <c r="E5737" t="s">
        <v>41</v>
      </c>
      <c r="J5737" t="s">
        <v>182</v>
      </c>
      <c r="K5737" t="s">
        <v>183</v>
      </c>
      <c r="L5737">
        <v>11</v>
      </c>
      <c r="M5737" t="s">
        <v>19182</v>
      </c>
      <c r="N5737" t="s">
        <v>64</v>
      </c>
      <c r="O5737" t="s">
        <v>46</v>
      </c>
      <c r="P5737" t="s">
        <v>46</v>
      </c>
      <c r="Y5737" t="s">
        <v>19192</v>
      </c>
    </row>
    <row r="5738" spans="1:25">
      <c r="A5738" t="s">
        <v>19193</v>
      </c>
      <c r="B5738" t="s">
        <v>19194</v>
      </c>
      <c r="D5738" t="s">
        <v>40</v>
      </c>
      <c r="E5738" t="s">
        <v>41</v>
      </c>
      <c r="J5738" t="s">
        <v>182</v>
      </c>
      <c r="K5738" t="s">
        <v>183</v>
      </c>
      <c r="L5738">
        <v>11</v>
      </c>
      <c r="M5738" t="s">
        <v>19182</v>
      </c>
      <c r="N5738" t="s">
        <v>64</v>
      </c>
      <c r="O5738" t="s">
        <v>46</v>
      </c>
      <c r="P5738" t="s">
        <v>46</v>
      </c>
      <c r="Y5738" t="s">
        <v>19195</v>
      </c>
    </row>
    <row r="5739" spans="1:25">
      <c r="A5739" t="s">
        <v>19196</v>
      </c>
      <c r="B5739" t="s">
        <v>19197</v>
      </c>
      <c r="D5739" t="s">
        <v>40</v>
      </c>
      <c r="E5739" t="s">
        <v>41</v>
      </c>
      <c r="J5739" t="s">
        <v>76</v>
      </c>
      <c r="K5739" t="s">
        <v>77</v>
      </c>
      <c r="L5739">
        <v>11</v>
      </c>
      <c r="M5739" t="s">
        <v>19182</v>
      </c>
      <c r="N5739" t="s">
        <v>64</v>
      </c>
      <c r="O5739" t="s">
        <v>46</v>
      </c>
      <c r="P5739" t="s">
        <v>46</v>
      </c>
      <c r="Y5739" t="s">
        <v>19198</v>
      </c>
    </row>
    <row r="5740" spans="1:25">
      <c r="A5740" t="s">
        <v>19199</v>
      </c>
      <c r="B5740" t="s">
        <v>19200</v>
      </c>
      <c r="D5740" t="s">
        <v>40</v>
      </c>
      <c r="E5740" t="s">
        <v>41</v>
      </c>
      <c r="J5740" t="s">
        <v>182</v>
      </c>
      <c r="K5740" t="s">
        <v>183</v>
      </c>
      <c r="L5740">
        <v>11</v>
      </c>
      <c r="M5740" t="s">
        <v>19182</v>
      </c>
      <c r="N5740" t="s">
        <v>64</v>
      </c>
      <c r="O5740" t="s">
        <v>46</v>
      </c>
      <c r="P5740" t="s">
        <v>46</v>
      </c>
      <c r="Y5740" t="s">
        <v>19201</v>
      </c>
    </row>
    <row r="5741" spans="1:25">
      <c r="A5741" t="s">
        <v>19202</v>
      </c>
      <c r="B5741" t="s">
        <v>19203</v>
      </c>
      <c r="D5741" t="s">
        <v>40</v>
      </c>
      <c r="E5741" t="s">
        <v>41</v>
      </c>
      <c r="J5741" t="s">
        <v>182</v>
      </c>
      <c r="K5741" t="s">
        <v>183</v>
      </c>
      <c r="L5741">
        <v>11</v>
      </c>
      <c r="M5741" t="s">
        <v>19182</v>
      </c>
      <c r="N5741" t="s">
        <v>64</v>
      </c>
      <c r="O5741" t="s">
        <v>46</v>
      </c>
      <c r="P5741" t="s">
        <v>46</v>
      </c>
      <c r="Y5741" t="s">
        <v>19204</v>
      </c>
    </row>
    <row r="5742" spans="1:25">
      <c r="A5742" t="s">
        <v>19205</v>
      </c>
      <c r="B5742" t="s">
        <v>19206</v>
      </c>
      <c r="D5742" t="s">
        <v>40</v>
      </c>
      <c r="E5742" t="s">
        <v>41</v>
      </c>
      <c r="J5742" t="s">
        <v>68</v>
      </c>
      <c r="K5742" t="s">
        <v>69</v>
      </c>
      <c r="L5742">
        <v>11</v>
      </c>
      <c r="M5742" t="s">
        <v>19207</v>
      </c>
      <c r="N5742" t="s">
        <v>64</v>
      </c>
      <c r="O5742" t="s">
        <v>46</v>
      </c>
      <c r="P5742" t="s">
        <v>46</v>
      </c>
      <c r="Y5742" t="s">
        <v>19208</v>
      </c>
    </row>
    <row r="5743" spans="1:25">
      <c r="A5743" t="s">
        <v>19209</v>
      </c>
      <c r="B5743" t="s">
        <v>19210</v>
      </c>
      <c r="D5743" t="s">
        <v>40</v>
      </c>
      <c r="E5743" t="s">
        <v>41</v>
      </c>
      <c r="J5743" t="s">
        <v>68</v>
      </c>
      <c r="K5743" t="s">
        <v>69</v>
      </c>
      <c r="L5743">
        <v>11</v>
      </c>
      <c r="M5743" t="s">
        <v>19207</v>
      </c>
      <c r="N5743" t="s">
        <v>64</v>
      </c>
      <c r="O5743" t="s">
        <v>46</v>
      </c>
      <c r="P5743" t="s">
        <v>46</v>
      </c>
      <c r="Y5743" t="s">
        <v>19211</v>
      </c>
    </row>
    <row r="5744" spans="1:25">
      <c r="A5744" t="s">
        <v>19212</v>
      </c>
      <c r="B5744" t="s">
        <v>19213</v>
      </c>
      <c r="D5744" t="s">
        <v>40</v>
      </c>
      <c r="E5744" t="s">
        <v>41</v>
      </c>
      <c r="J5744" t="s">
        <v>68</v>
      </c>
      <c r="K5744" t="s">
        <v>69</v>
      </c>
      <c r="L5744">
        <v>11</v>
      </c>
      <c r="M5744" t="s">
        <v>19207</v>
      </c>
      <c r="N5744" t="s">
        <v>64</v>
      </c>
      <c r="O5744" t="s">
        <v>46</v>
      </c>
      <c r="P5744" t="s">
        <v>46</v>
      </c>
      <c r="Y5744" t="s">
        <v>19214</v>
      </c>
    </row>
    <row r="5745" spans="1:25">
      <c r="A5745" t="s">
        <v>19215</v>
      </c>
      <c r="B5745" t="s">
        <v>19216</v>
      </c>
      <c r="D5745" t="s">
        <v>40</v>
      </c>
      <c r="E5745" t="s">
        <v>41</v>
      </c>
      <c r="J5745" t="s">
        <v>645</v>
      </c>
      <c r="K5745" t="s">
        <v>646</v>
      </c>
      <c r="L5745">
        <v>11</v>
      </c>
      <c r="M5745" t="s">
        <v>19217</v>
      </c>
      <c r="N5745" t="s">
        <v>64</v>
      </c>
      <c r="O5745" t="s">
        <v>46</v>
      </c>
      <c r="P5745" t="s">
        <v>46</v>
      </c>
      <c r="Y5745" t="s">
        <v>19218</v>
      </c>
    </row>
    <row r="5746" spans="1:25">
      <c r="A5746" t="s">
        <v>19219</v>
      </c>
      <c r="B5746" t="s">
        <v>19220</v>
      </c>
      <c r="D5746" t="s">
        <v>40</v>
      </c>
      <c r="E5746" t="s">
        <v>41</v>
      </c>
      <c r="J5746" t="s">
        <v>182</v>
      </c>
      <c r="K5746" t="s">
        <v>183</v>
      </c>
      <c r="L5746">
        <v>11</v>
      </c>
      <c r="M5746" t="s">
        <v>19217</v>
      </c>
      <c r="N5746" t="s">
        <v>64</v>
      </c>
      <c r="O5746" t="s">
        <v>46</v>
      </c>
      <c r="P5746" t="s">
        <v>46</v>
      </c>
      <c r="Y5746" t="s">
        <v>19221</v>
      </c>
    </row>
    <row r="5747" spans="1:25">
      <c r="A5747" t="s">
        <v>19222</v>
      </c>
      <c r="B5747" t="s">
        <v>19223</v>
      </c>
      <c r="D5747" t="s">
        <v>40</v>
      </c>
      <c r="E5747" t="s">
        <v>41</v>
      </c>
      <c r="J5747" t="s">
        <v>68</v>
      </c>
      <c r="K5747" t="s">
        <v>69</v>
      </c>
      <c r="L5747">
        <v>11</v>
      </c>
      <c r="M5747" t="s">
        <v>19224</v>
      </c>
      <c r="N5747" t="s">
        <v>64</v>
      </c>
      <c r="O5747" t="s">
        <v>46</v>
      </c>
      <c r="P5747" t="s">
        <v>46</v>
      </c>
      <c r="Y5747" t="s">
        <v>19225</v>
      </c>
    </row>
    <row r="5748" spans="1:25">
      <c r="A5748" t="s">
        <v>19226</v>
      </c>
      <c r="B5748" t="s">
        <v>19227</v>
      </c>
      <c r="D5748" t="s">
        <v>40</v>
      </c>
      <c r="E5748" t="s">
        <v>41</v>
      </c>
      <c r="J5748" t="s">
        <v>68</v>
      </c>
      <c r="K5748" t="s">
        <v>69</v>
      </c>
      <c r="L5748">
        <v>11</v>
      </c>
      <c r="M5748" t="s">
        <v>19228</v>
      </c>
      <c r="N5748" t="s">
        <v>64</v>
      </c>
      <c r="O5748" t="s">
        <v>46</v>
      </c>
      <c r="P5748" t="s">
        <v>46</v>
      </c>
      <c r="Y5748" t="s">
        <v>19229</v>
      </c>
    </row>
    <row r="5749" spans="1:25">
      <c r="A5749" t="s">
        <v>19230</v>
      </c>
      <c r="B5749" t="s">
        <v>19231</v>
      </c>
      <c r="D5749" t="s">
        <v>40</v>
      </c>
      <c r="E5749" t="s">
        <v>41</v>
      </c>
      <c r="J5749" t="s">
        <v>264</v>
      </c>
      <c r="K5749" t="s">
        <v>265</v>
      </c>
      <c r="L5749">
        <v>11</v>
      </c>
      <c r="M5749" t="s">
        <v>19228</v>
      </c>
      <c r="N5749" t="s">
        <v>509</v>
      </c>
      <c r="O5749" t="s">
        <v>46</v>
      </c>
      <c r="P5749" t="s">
        <v>46</v>
      </c>
      <c r="Y5749" t="s">
        <v>19232</v>
      </c>
    </row>
    <row r="5750" spans="1:25">
      <c r="A5750" t="s">
        <v>19233</v>
      </c>
      <c r="B5750" t="s">
        <v>19234</v>
      </c>
      <c r="D5750" t="s">
        <v>40</v>
      </c>
      <c r="E5750" t="s">
        <v>41</v>
      </c>
      <c r="J5750" t="s">
        <v>68</v>
      </c>
      <c r="K5750" t="s">
        <v>69</v>
      </c>
      <c r="L5750">
        <v>11</v>
      </c>
      <c r="M5750" t="s">
        <v>19228</v>
      </c>
      <c r="N5750" t="s">
        <v>64</v>
      </c>
      <c r="O5750" t="s">
        <v>46</v>
      </c>
      <c r="P5750" t="s">
        <v>46</v>
      </c>
      <c r="Y5750" t="s">
        <v>19235</v>
      </c>
    </row>
    <row r="5751" spans="1:25">
      <c r="A5751" t="s">
        <v>19236</v>
      </c>
      <c r="B5751" t="s">
        <v>19237</v>
      </c>
      <c r="D5751" t="s">
        <v>40</v>
      </c>
      <c r="E5751" t="s">
        <v>41</v>
      </c>
      <c r="J5751" t="s">
        <v>68</v>
      </c>
      <c r="K5751" t="s">
        <v>69</v>
      </c>
      <c r="L5751">
        <v>11</v>
      </c>
      <c r="M5751" t="s">
        <v>19228</v>
      </c>
      <c r="N5751" t="s">
        <v>64</v>
      </c>
      <c r="O5751" t="s">
        <v>46</v>
      </c>
      <c r="P5751" t="s">
        <v>46</v>
      </c>
      <c r="Y5751" t="s">
        <v>19238</v>
      </c>
    </row>
    <row r="5752" spans="1:25">
      <c r="A5752" t="s">
        <v>19239</v>
      </c>
      <c r="B5752" t="s">
        <v>19240</v>
      </c>
      <c r="D5752" t="s">
        <v>40</v>
      </c>
      <c r="E5752" t="s">
        <v>41</v>
      </c>
      <c r="J5752" t="s">
        <v>68</v>
      </c>
      <c r="K5752" t="s">
        <v>69</v>
      </c>
      <c r="L5752">
        <v>11</v>
      </c>
      <c r="M5752" t="s">
        <v>19228</v>
      </c>
      <c r="N5752" t="s">
        <v>64</v>
      </c>
      <c r="O5752" t="s">
        <v>46</v>
      </c>
      <c r="P5752" t="s">
        <v>46</v>
      </c>
      <c r="Y5752" t="s">
        <v>19241</v>
      </c>
    </row>
    <row r="5753" spans="1:25">
      <c r="A5753" t="s">
        <v>19242</v>
      </c>
      <c r="B5753" t="s">
        <v>19243</v>
      </c>
      <c r="D5753" t="s">
        <v>40</v>
      </c>
      <c r="E5753" t="s">
        <v>41</v>
      </c>
      <c r="J5753" t="s">
        <v>139</v>
      </c>
      <c r="K5753" t="s">
        <v>140</v>
      </c>
      <c r="L5753">
        <v>11</v>
      </c>
      <c r="M5753" t="s">
        <v>19244</v>
      </c>
      <c r="N5753" t="s">
        <v>1397</v>
      </c>
      <c r="O5753" t="s">
        <v>46</v>
      </c>
      <c r="P5753" t="s">
        <v>46</v>
      </c>
      <c r="Y5753" t="s">
        <v>19245</v>
      </c>
    </row>
    <row r="5754" spans="1:25">
      <c r="A5754" t="s">
        <v>19246</v>
      </c>
      <c r="B5754" t="s">
        <v>19247</v>
      </c>
      <c r="D5754" t="s">
        <v>40</v>
      </c>
      <c r="E5754" t="s">
        <v>41</v>
      </c>
      <c r="J5754" t="s">
        <v>68</v>
      </c>
      <c r="K5754" t="s">
        <v>69</v>
      </c>
      <c r="L5754">
        <v>11</v>
      </c>
      <c r="M5754" t="s">
        <v>19248</v>
      </c>
      <c r="N5754" t="s">
        <v>64</v>
      </c>
      <c r="O5754" t="s">
        <v>46</v>
      </c>
      <c r="P5754" t="s">
        <v>46</v>
      </c>
      <c r="Y5754" t="s">
        <v>19249</v>
      </c>
    </row>
    <row r="5755" spans="1:25">
      <c r="A5755" t="s">
        <v>19250</v>
      </c>
      <c r="B5755" t="s">
        <v>19251</v>
      </c>
      <c r="D5755" t="s">
        <v>40</v>
      </c>
      <c r="E5755" t="s">
        <v>41</v>
      </c>
      <c r="J5755" t="s">
        <v>76</v>
      </c>
      <c r="K5755" t="s">
        <v>77</v>
      </c>
      <c r="L5755">
        <v>11</v>
      </c>
      <c r="M5755" t="s">
        <v>19248</v>
      </c>
      <c r="N5755" t="s">
        <v>64</v>
      </c>
      <c r="O5755" t="s">
        <v>46</v>
      </c>
      <c r="P5755" t="s">
        <v>46</v>
      </c>
      <c r="Y5755" t="s">
        <v>19252</v>
      </c>
    </row>
    <row r="5756" spans="1:25">
      <c r="A5756" t="s">
        <v>19253</v>
      </c>
      <c r="B5756" t="s">
        <v>19254</v>
      </c>
      <c r="D5756" t="s">
        <v>40</v>
      </c>
      <c r="E5756" t="s">
        <v>41</v>
      </c>
      <c r="J5756" t="s">
        <v>42</v>
      </c>
      <c r="K5756" t="s">
        <v>43</v>
      </c>
      <c r="L5756">
        <v>10</v>
      </c>
      <c r="M5756" t="s">
        <v>19248</v>
      </c>
      <c r="N5756" t="s">
        <v>53</v>
      </c>
      <c r="O5756" t="s">
        <v>46</v>
      </c>
      <c r="P5756" t="s">
        <v>46</v>
      </c>
      <c r="Y5756" t="s">
        <v>19255</v>
      </c>
    </row>
    <row r="5757" spans="1:25">
      <c r="A5757" t="s">
        <v>19256</v>
      </c>
      <c r="B5757" t="s">
        <v>19257</v>
      </c>
      <c r="D5757" t="s">
        <v>40</v>
      </c>
      <c r="E5757" t="s">
        <v>41</v>
      </c>
      <c r="J5757" t="s">
        <v>68</v>
      </c>
      <c r="K5757" t="s">
        <v>69</v>
      </c>
      <c r="L5757">
        <v>5</v>
      </c>
      <c r="M5757" t="s">
        <v>19248</v>
      </c>
      <c r="N5757" t="s">
        <v>64</v>
      </c>
      <c r="O5757" t="s">
        <v>46</v>
      </c>
      <c r="P5757" t="s">
        <v>46</v>
      </c>
      <c r="Y5757" t="s">
        <v>19258</v>
      </c>
    </row>
    <row r="5758" spans="1:25">
      <c r="A5758" t="s">
        <v>19259</v>
      </c>
      <c r="B5758" t="s">
        <v>19260</v>
      </c>
      <c r="D5758" t="s">
        <v>40</v>
      </c>
      <c r="E5758" t="s">
        <v>41</v>
      </c>
      <c r="J5758" t="s">
        <v>182</v>
      </c>
      <c r="K5758" t="s">
        <v>183</v>
      </c>
      <c r="L5758">
        <v>12</v>
      </c>
      <c r="M5758" t="s">
        <v>19261</v>
      </c>
      <c r="N5758" t="s">
        <v>64</v>
      </c>
      <c r="O5758" t="s">
        <v>46</v>
      </c>
      <c r="P5758" t="s">
        <v>46</v>
      </c>
      <c r="Y5758" t="s">
        <v>19262</v>
      </c>
    </row>
    <row r="5759" spans="1:25">
      <c r="A5759" t="s">
        <v>19263</v>
      </c>
      <c r="B5759" t="s">
        <v>19264</v>
      </c>
      <c r="D5759" t="s">
        <v>40</v>
      </c>
      <c r="E5759" t="s">
        <v>41</v>
      </c>
      <c r="J5759" t="s">
        <v>68</v>
      </c>
      <c r="K5759" t="s">
        <v>69</v>
      </c>
      <c r="L5759">
        <v>11</v>
      </c>
      <c r="M5759" t="s">
        <v>19265</v>
      </c>
      <c r="N5759" t="s">
        <v>64</v>
      </c>
      <c r="O5759" t="s">
        <v>46</v>
      </c>
      <c r="P5759" t="s">
        <v>46</v>
      </c>
      <c r="Y5759" t="s">
        <v>19266</v>
      </c>
    </row>
    <row r="5760" spans="1:25">
      <c r="A5760" t="s">
        <v>19267</v>
      </c>
      <c r="B5760" t="s">
        <v>19268</v>
      </c>
      <c r="D5760" t="s">
        <v>40</v>
      </c>
      <c r="E5760" t="s">
        <v>41</v>
      </c>
      <c r="J5760" t="s">
        <v>182</v>
      </c>
      <c r="K5760" t="s">
        <v>183</v>
      </c>
      <c r="L5760">
        <v>11</v>
      </c>
      <c r="M5760" t="s">
        <v>19265</v>
      </c>
      <c r="N5760" t="s">
        <v>64</v>
      </c>
      <c r="O5760" t="s">
        <v>46</v>
      </c>
      <c r="P5760" t="s">
        <v>46</v>
      </c>
      <c r="Y5760" t="s">
        <v>19269</v>
      </c>
    </row>
    <row r="5761" spans="1:25">
      <c r="A5761" t="s">
        <v>19270</v>
      </c>
      <c r="B5761" t="s">
        <v>19271</v>
      </c>
      <c r="D5761" t="s">
        <v>40</v>
      </c>
      <c r="E5761" t="s">
        <v>41</v>
      </c>
      <c r="J5761" t="s">
        <v>68</v>
      </c>
      <c r="K5761" t="s">
        <v>69</v>
      </c>
      <c r="L5761">
        <v>11</v>
      </c>
      <c r="M5761" t="s">
        <v>19265</v>
      </c>
      <c r="N5761" t="s">
        <v>64</v>
      </c>
      <c r="O5761" t="s">
        <v>46</v>
      </c>
      <c r="P5761" t="s">
        <v>46</v>
      </c>
      <c r="Y5761" t="s">
        <v>19272</v>
      </c>
    </row>
    <row r="5762" spans="1:25">
      <c r="A5762" t="s">
        <v>19273</v>
      </c>
      <c r="B5762" t="s">
        <v>19274</v>
      </c>
      <c r="D5762" t="s">
        <v>40</v>
      </c>
      <c r="E5762" t="s">
        <v>41</v>
      </c>
      <c r="J5762" t="s">
        <v>68</v>
      </c>
      <c r="K5762" t="s">
        <v>69</v>
      </c>
      <c r="L5762">
        <v>11</v>
      </c>
      <c r="M5762" t="s">
        <v>19265</v>
      </c>
      <c r="N5762" t="s">
        <v>64</v>
      </c>
      <c r="O5762" t="s">
        <v>46</v>
      </c>
      <c r="P5762" t="s">
        <v>46</v>
      </c>
      <c r="Y5762" t="s">
        <v>19275</v>
      </c>
    </row>
    <row r="5763" spans="1:25">
      <c r="A5763" t="s">
        <v>19276</v>
      </c>
      <c r="B5763" t="s">
        <v>19277</v>
      </c>
      <c r="D5763" t="s">
        <v>40</v>
      </c>
      <c r="E5763" t="s">
        <v>41</v>
      </c>
      <c r="J5763" t="s">
        <v>68</v>
      </c>
      <c r="K5763" t="s">
        <v>69</v>
      </c>
      <c r="L5763">
        <v>11</v>
      </c>
      <c r="M5763" t="s">
        <v>19265</v>
      </c>
      <c r="N5763" t="s">
        <v>64</v>
      </c>
      <c r="O5763" t="s">
        <v>46</v>
      </c>
      <c r="P5763" t="s">
        <v>46</v>
      </c>
      <c r="Y5763" t="s">
        <v>19278</v>
      </c>
    </row>
    <row r="5764" spans="1:25">
      <c r="A5764" t="s">
        <v>19279</v>
      </c>
      <c r="B5764" t="s">
        <v>19280</v>
      </c>
      <c r="D5764" t="s">
        <v>40</v>
      </c>
      <c r="E5764" t="s">
        <v>41</v>
      </c>
      <c r="J5764" t="s">
        <v>68</v>
      </c>
      <c r="K5764" t="s">
        <v>69</v>
      </c>
      <c r="L5764">
        <v>11</v>
      </c>
      <c r="M5764" t="s">
        <v>19281</v>
      </c>
      <c r="N5764" t="s">
        <v>64</v>
      </c>
      <c r="O5764" t="s">
        <v>46</v>
      </c>
      <c r="P5764" t="s">
        <v>46</v>
      </c>
      <c r="Y5764" t="s">
        <v>19282</v>
      </c>
    </row>
    <row r="5765" spans="1:25">
      <c r="A5765" t="s">
        <v>19283</v>
      </c>
      <c r="B5765" t="s">
        <v>19284</v>
      </c>
      <c r="D5765" t="s">
        <v>40</v>
      </c>
      <c r="E5765" t="s">
        <v>41</v>
      </c>
      <c r="J5765" t="s">
        <v>68</v>
      </c>
      <c r="K5765" t="s">
        <v>69</v>
      </c>
      <c r="L5765">
        <v>11</v>
      </c>
      <c r="M5765" t="s">
        <v>19281</v>
      </c>
      <c r="N5765" t="s">
        <v>64</v>
      </c>
      <c r="O5765" t="s">
        <v>46</v>
      </c>
      <c r="P5765" t="s">
        <v>46</v>
      </c>
      <c r="Y5765" t="s">
        <v>19285</v>
      </c>
    </row>
    <row r="5766" spans="1:25">
      <c r="A5766" t="s">
        <v>19286</v>
      </c>
      <c r="B5766" t="s">
        <v>19287</v>
      </c>
      <c r="D5766" t="s">
        <v>40</v>
      </c>
      <c r="E5766" t="s">
        <v>41</v>
      </c>
      <c r="J5766" t="s">
        <v>68</v>
      </c>
      <c r="K5766" t="s">
        <v>69</v>
      </c>
      <c r="L5766">
        <v>11</v>
      </c>
      <c r="M5766" t="s">
        <v>19281</v>
      </c>
      <c r="N5766" t="s">
        <v>64</v>
      </c>
      <c r="O5766" t="s">
        <v>46</v>
      </c>
      <c r="P5766" t="s">
        <v>46</v>
      </c>
      <c r="Y5766" t="s">
        <v>19288</v>
      </c>
    </row>
    <row r="5767" spans="1:25">
      <c r="A5767" t="s">
        <v>19289</v>
      </c>
      <c r="B5767" t="s">
        <v>19290</v>
      </c>
      <c r="D5767" t="s">
        <v>40</v>
      </c>
      <c r="E5767" t="s">
        <v>41</v>
      </c>
      <c r="J5767" t="s">
        <v>182</v>
      </c>
      <c r="K5767" t="s">
        <v>183</v>
      </c>
      <c r="L5767">
        <v>11</v>
      </c>
      <c r="M5767" t="s">
        <v>19281</v>
      </c>
      <c r="N5767" t="s">
        <v>64</v>
      </c>
      <c r="O5767" t="s">
        <v>46</v>
      </c>
      <c r="P5767" t="s">
        <v>46</v>
      </c>
      <c r="Y5767" t="s">
        <v>19291</v>
      </c>
    </row>
    <row r="5768" spans="1:25">
      <c r="A5768" t="s">
        <v>19292</v>
      </c>
      <c r="B5768" t="s">
        <v>19293</v>
      </c>
      <c r="D5768" t="s">
        <v>40</v>
      </c>
      <c r="E5768" t="s">
        <v>41</v>
      </c>
      <c r="J5768" t="s">
        <v>76</v>
      </c>
      <c r="K5768" t="s">
        <v>77</v>
      </c>
      <c r="L5768">
        <v>11</v>
      </c>
      <c r="M5768" t="s">
        <v>19281</v>
      </c>
      <c r="N5768" t="s">
        <v>64</v>
      </c>
      <c r="O5768" t="s">
        <v>46</v>
      </c>
      <c r="P5768" t="s">
        <v>46</v>
      </c>
      <c r="Y5768" t="s">
        <v>19294</v>
      </c>
    </row>
    <row r="5769" spans="1:25">
      <c r="A5769" t="s">
        <v>19295</v>
      </c>
      <c r="B5769" t="s">
        <v>19296</v>
      </c>
      <c r="D5769" t="s">
        <v>40</v>
      </c>
      <c r="E5769" t="s">
        <v>41</v>
      </c>
      <c r="J5769" t="s">
        <v>68</v>
      </c>
      <c r="K5769" t="s">
        <v>69</v>
      </c>
      <c r="L5769">
        <v>11</v>
      </c>
      <c r="M5769" t="s">
        <v>19281</v>
      </c>
      <c r="N5769" t="s">
        <v>64</v>
      </c>
      <c r="O5769" t="s">
        <v>46</v>
      </c>
      <c r="P5769" t="s">
        <v>46</v>
      </c>
      <c r="Y5769" t="s">
        <v>19297</v>
      </c>
    </row>
    <row r="5770" spans="1:25">
      <c r="A5770" t="s">
        <v>19298</v>
      </c>
      <c r="B5770" t="s">
        <v>19299</v>
      </c>
      <c r="D5770" t="s">
        <v>40</v>
      </c>
      <c r="E5770" t="s">
        <v>41</v>
      </c>
      <c r="J5770" t="s">
        <v>68</v>
      </c>
      <c r="K5770" t="s">
        <v>69</v>
      </c>
      <c r="L5770">
        <v>11</v>
      </c>
      <c r="M5770" t="s">
        <v>19300</v>
      </c>
      <c r="N5770" t="s">
        <v>64</v>
      </c>
      <c r="O5770" t="s">
        <v>46</v>
      </c>
      <c r="P5770" t="s">
        <v>46</v>
      </c>
      <c r="Y5770" t="s">
        <v>19301</v>
      </c>
    </row>
    <row r="5771" spans="1:25">
      <c r="A5771" t="s">
        <v>19302</v>
      </c>
      <c r="B5771" t="s">
        <v>19303</v>
      </c>
      <c r="D5771" t="s">
        <v>40</v>
      </c>
      <c r="E5771" t="s">
        <v>41</v>
      </c>
      <c r="J5771" t="s">
        <v>68</v>
      </c>
      <c r="K5771" t="s">
        <v>69</v>
      </c>
      <c r="L5771">
        <v>11</v>
      </c>
      <c r="M5771" t="s">
        <v>19300</v>
      </c>
      <c r="N5771" t="s">
        <v>64</v>
      </c>
      <c r="O5771" t="s">
        <v>46</v>
      </c>
      <c r="P5771" t="s">
        <v>46</v>
      </c>
      <c r="Y5771" t="s">
        <v>19304</v>
      </c>
    </row>
    <row r="5772" spans="1:25">
      <c r="A5772" t="s">
        <v>19305</v>
      </c>
      <c r="B5772" t="s">
        <v>19306</v>
      </c>
      <c r="D5772" t="s">
        <v>40</v>
      </c>
      <c r="E5772" t="s">
        <v>41</v>
      </c>
      <c r="J5772" t="s">
        <v>68</v>
      </c>
      <c r="K5772" t="s">
        <v>69</v>
      </c>
      <c r="L5772">
        <v>11</v>
      </c>
      <c r="M5772" t="s">
        <v>19300</v>
      </c>
      <c r="N5772" t="s">
        <v>64</v>
      </c>
      <c r="O5772" t="s">
        <v>46</v>
      </c>
      <c r="P5772" t="s">
        <v>46</v>
      </c>
      <c r="Y5772" t="s">
        <v>19307</v>
      </c>
    </row>
    <row r="5773" spans="1:25">
      <c r="A5773" t="s">
        <v>19308</v>
      </c>
      <c r="B5773" t="s">
        <v>19309</v>
      </c>
      <c r="D5773" t="s">
        <v>40</v>
      </c>
      <c r="E5773" t="s">
        <v>41</v>
      </c>
      <c r="J5773" t="s">
        <v>68</v>
      </c>
      <c r="K5773" t="s">
        <v>69</v>
      </c>
      <c r="L5773">
        <v>11</v>
      </c>
      <c r="M5773" t="s">
        <v>19300</v>
      </c>
      <c r="N5773" t="s">
        <v>64</v>
      </c>
      <c r="O5773" t="s">
        <v>46</v>
      </c>
      <c r="P5773" t="s">
        <v>46</v>
      </c>
      <c r="Y5773" t="s">
        <v>19310</v>
      </c>
    </row>
    <row r="5774" spans="1:25">
      <c r="A5774" t="s">
        <v>19311</v>
      </c>
      <c r="B5774" t="s">
        <v>19312</v>
      </c>
      <c r="D5774" t="s">
        <v>40</v>
      </c>
      <c r="E5774" t="s">
        <v>41</v>
      </c>
      <c r="J5774" t="s">
        <v>645</v>
      </c>
      <c r="K5774" t="s">
        <v>646</v>
      </c>
      <c r="L5774">
        <v>11</v>
      </c>
      <c r="M5774" t="s">
        <v>19300</v>
      </c>
      <c r="N5774" t="s">
        <v>64</v>
      </c>
      <c r="O5774" t="s">
        <v>46</v>
      </c>
      <c r="P5774" t="s">
        <v>46</v>
      </c>
      <c r="Y5774" t="s">
        <v>19313</v>
      </c>
    </row>
    <row r="5775" spans="1:25">
      <c r="A5775" t="s">
        <v>19314</v>
      </c>
      <c r="B5775" t="s">
        <v>19315</v>
      </c>
      <c r="D5775" t="s">
        <v>40</v>
      </c>
      <c r="E5775" t="s">
        <v>41</v>
      </c>
      <c r="J5775" t="s">
        <v>68</v>
      </c>
      <c r="K5775" t="s">
        <v>69</v>
      </c>
      <c r="L5775">
        <v>11</v>
      </c>
      <c r="M5775" t="s">
        <v>19300</v>
      </c>
      <c r="N5775" t="s">
        <v>64</v>
      </c>
      <c r="O5775" t="s">
        <v>46</v>
      </c>
      <c r="P5775" t="s">
        <v>46</v>
      </c>
      <c r="Y5775" t="s">
        <v>19316</v>
      </c>
    </row>
    <row r="5776" spans="1:25">
      <c r="A5776" t="s">
        <v>19317</v>
      </c>
      <c r="B5776" t="s">
        <v>19318</v>
      </c>
      <c r="D5776" t="s">
        <v>40</v>
      </c>
      <c r="E5776" t="s">
        <v>41</v>
      </c>
      <c r="J5776" t="s">
        <v>68</v>
      </c>
      <c r="K5776" t="s">
        <v>69</v>
      </c>
      <c r="L5776">
        <v>11</v>
      </c>
      <c r="M5776" t="s">
        <v>19300</v>
      </c>
      <c r="N5776" t="s">
        <v>64</v>
      </c>
      <c r="O5776" t="s">
        <v>46</v>
      </c>
      <c r="P5776" t="s">
        <v>46</v>
      </c>
      <c r="Y5776" t="s">
        <v>19319</v>
      </c>
    </row>
    <row r="5777" spans="1:25">
      <c r="A5777" t="s">
        <v>19320</v>
      </c>
      <c r="B5777" t="s">
        <v>19321</v>
      </c>
      <c r="D5777" t="s">
        <v>40</v>
      </c>
      <c r="E5777" t="s">
        <v>41</v>
      </c>
      <c r="J5777" t="s">
        <v>68</v>
      </c>
      <c r="K5777" t="s">
        <v>69</v>
      </c>
      <c r="L5777">
        <v>11</v>
      </c>
      <c r="M5777" t="s">
        <v>19300</v>
      </c>
      <c r="N5777" t="s">
        <v>64</v>
      </c>
      <c r="O5777" t="s">
        <v>46</v>
      </c>
      <c r="P5777" t="s">
        <v>46</v>
      </c>
      <c r="Y5777" t="s">
        <v>19322</v>
      </c>
    </row>
    <row r="5778" spans="1:25">
      <c r="A5778" t="s">
        <v>19323</v>
      </c>
      <c r="B5778" t="s">
        <v>19324</v>
      </c>
      <c r="D5778" t="s">
        <v>40</v>
      </c>
      <c r="E5778" t="s">
        <v>41</v>
      </c>
      <c r="J5778" t="s">
        <v>68</v>
      </c>
      <c r="K5778" t="s">
        <v>69</v>
      </c>
      <c r="L5778">
        <v>11</v>
      </c>
      <c r="M5778" t="s">
        <v>19300</v>
      </c>
      <c r="N5778" t="s">
        <v>64</v>
      </c>
      <c r="O5778" t="s">
        <v>46</v>
      </c>
      <c r="P5778" t="s">
        <v>46</v>
      </c>
      <c r="Y5778" t="s">
        <v>19325</v>
      </c>
    </row>
    <row r="5779" spans="1:25">
      <c r="A5779" t="s">
        <v>19326</v>
      </c>
      <c r="B5779" t="s">
        <v>19327</v>
      </c>
      <c r="D5779" t="s">
        <v>40</v>
      </c>
      <c r="E5779" t="s">
        <v>41</v>
      </c>
      <c r="J5779" t="s">
        <v>68</v>
      </c>
      <c r="K5779" t="s">
        <v>69</v>
      </c>
      <c r="L5779">
        <v>11</v>
      </c>
      <c r="M5779" t="s">
        <v>19328</v>
      </c>
      <c r="N5779" t="s">
        <v>64</v>
      </c>
      <c r="O5779" t="s">
        <v>46</v>
      </c>
      <c r="P5779" t="s">
        <v>46</v>
      </c>
      <c r="Y5779" t="s">
        <v>19329</v>
      </c>
    </row>
    <row r="5780" spans="1:25">
      <c r="A5780" t="s">
        <v>19330</v>
      </c>
      <c r="B5780" t="s">
        <v>19331</v>
      </c>
      <c r="D5780" t="s">
        <v>40</v>
      </c>
      <c r="E5780" t="s">
        <v>41</v>
      </c>
      <c r="J5780" t="s">
        <v>182</v>
      </c>
      <c r="K5780" t="s">
        <v>183</v>
      </c>
      <c r="L5780">
        <v>11</v>
      </c>
      <c r="M5780" t="s">
        <v>19328</v>
      </c>
      <c r="N5780" t="s">
        <v>64</v>
      </c>
      <c r="O5780" t="s">
        <v>46</v>
      </c>
      <c r="P5780" t="s">
        <v>46</v>
      </c>
      <c r="Y5780" t="s">
        <v>19332</v>
      </c>
    </row>
    <row r="5781" spans="1:25">
      <c r="A5781" t="s">
        <v>19333</v>
      </c>
      <c r="B5781" t="s">
        <v>19334</v>
      </c>
      <c r="D5781" t="s">
        <v>40</v>
      </c>
      <c r="E5781" t="s">
        <v>41</v>
      </c>
      <c r="J5781" t="s">
        <v>68</v>
      </c>
      <c r="K5781" t="s">
        <v>69</v>
      </c>
      <c r="L5781">
        <v>11</v>
      </c>
      <c r="M5781" t="s">
        <v>19328</v>
      </c>
      <c r="N5781" t="s">
        <v>64</v>
      </c>
      <c r="O5781" t="s">
        <v>46</v>
      </c>
      <c r="P5781" t="s">
        <v>46</v>
      </c>
      <c r="Y5781" t="s">
        <v>19335</v>
      </c>
    </row>
    <row r="5782" spans="1:25">
      <c r="A5782" t="s">
        <v>19336</v>
      </c>
      <c r="B5782" t="s">
        <v>19337</v>
      </c>
      <c r="D5782" t="s">
        <v>40</v>
      </c>
      <c r="E5782" t="s">
        <v>41</v>
      </c>
      <c r="J5782" t="s">
        <v>68</v>
      </c>
      <c r="K5782" t="s">
        <v>69</v>
      </c>
      <c r="L5782">
        <v>11</v>
      </c>
      <c r="M5782" t="s">
        <v>19328</v>
      </c>
      <c r="N5782" t="s">
        <v>64</v>
      </c>
      <c r="O5782" t="s">
        <v>46</v>
      </c>
      <c r="P5782" t="s">
        <v>46</v>
      </c>
      <c r="Y5782" t="s">
        <v>19338</v>
      </c>
    </row>
    <row r="5783" spans="1:25">
      <c r="A5783" t="s">
        <v>19339</v>
      </c>
      <c r="B5783" t="s">
        <v>19340</v>
      </c>
      <c r="D5783" t="s">
        <v>40</v>
      </c>
      <c r="E5783" t="s">
        <v>41</v>
      </c>
      <c r="J5783" t="s">
        <v>182</v>
      </c>
      <c r="K5783" t="s">
        <v>183</v>
      </c>
      <c r="L5783">
        <v>11</v>
      </c>
      <c r="M5783" t="s">
        <v>19328</v>
      </c>
      <c r="N5783" t="s">
        <v>64</v>
      </c>
      <c r="O5783" t="s">
        <v>46</v>
      </c>
      <c r="P5783" t="s">
        <v>46</v>
      </c>
      <c r="Y5783" t="s">
        <v>19341</v>
      </c>
    </row>
    <row r="5784" spans="1:25">
      <c r="A5784" t="s">
        <v>19342</v>
      </c>
      <c r="B5784" t="s">
        <v>19343</v>
      </c>
      <c r="D5784" t="s">
        <v>40</v>
      </c>
      <c r="E5784" t="s">
        <v>41</v>
      </c>
      <c r="J5784" t="s">
        <v>68</v>
      </c>
      <c r="K5784" t="s">
        <v>69</v>
      </c>
      <c r="L5784">
        <v>11</v>
      </c>
      <c r="M5784" t="s">
        <v>19328</v>
      </c>
      <c r="N5784" t="s">
        <v>64</v>
      </c>
      <c r="O5784" t="s">
        <v>46</v>
      </c>
      <c r="P5784" t="s">
        <v>46</v>
      </c>
      <c r="Y5784" t="s">
        <v>19344</v>
      </c>
    </row>
    <row r="5785" spans="1:25">
      <c r="A5785" t="s">
        <v>19345</v>
      </c>
      <c r="B5785" t="s">
        <v>19346</v>
      </c>
      <c r="D5785" t="s">
        <v>40</v>
      </c>
      <c r="E5785" t="s">
        <v>41</v>
      </c>
      <c r="J5785" t="s">
        <v>42</v>
      </c>
      <c r="K5785" t="s">
        <v>43</v>
      </c>
      <c r="L5785">
        <v>11</v>
      </c>
      <c r="M5785" t="s">
        <v>19347</v>
      </c>
      <c r="N5785" t="s">
        <v>1380</v>
      </c>
      <c r="O5785" t="s">
        <v>46</v>
      </c>
      <c r="P5785" t="s">
        <v>46</v>
      </c>
      <c r="Y5785" t="s">
        <v>19348</v>
      </c>
    </row>
    <row r="5786" spans="1:25">
      <c r="A5786" t="s">
        <v>19349</v>
      </c>
      <c r="B5786" t="s">
        <v>19350</v>
      </c>
      <c r="D5786" t="s">
        <v>40</v>
      </c>
      <c r="E5786" t="s">
        <v>41</v>
      </c>
      <c r="J5786" t="s">
        <v>68</v>
      </c>
      <c r="K5786" t="s">
        <v>69</v>
      </c>
      <c r="L5786">
        <v>11</v>
      </c>
      <c r="M5786" t="s">
        <v>19347</v>
      </c>
      <c r="N5786" t="s">
        <v>64</v>
      </c>
      <c r="O5786" t="s">
        <v>46</v>
      </c>
      <c r="P5786" t="s">
        <v>46</v>
      </c>
      <c r="Y5786" t="s">
        <v>19351</v>
      </c>
    </row>
    <row r="5787" spans="1:25">
      <c r="A5787" t="s">
        <v>19352</v>
      </c>
      <c r="B5787" t="s">
        <v>19353</v>
      </c>
      <c r="D5787" t="s">
        <v>40</v>
      </c>
      <c r="E5787" t="s">
        <v>41</v>
      </c>
      <c r="J5787" t="s">
        <v>68</v>
      </c>
      <c r="K5787" t="s">
        <v>69</v>
      </c>
      <c r="L5787">
        <v>11</v>
      </c>
      <c r="M5787" t="s">
        <v>19347</v>
      </c>
      <c r="N5787" t="s">
        <v>64</v>
      </c>
      <c r="O5787" t="s">
        <v>46</v>
      </c>
      <c r="P5787" t="s">
        <v>46</v>
      </c>
      <c r="Y5787" t="s">
        <v>19354</v>
      </c>
    </row>
    <row r="5788" spans="1:25">
      <c r="A5788" t="s">
        <v>19355</v>
      </c>
      <c r="B5788" t="s">
        <v>19356</v>
      </c>
      <c r="D5788" t="s">
        <v>40</v>
      </c>
      <c r="E5788" t="s">
        <v>41</v>
      </c>
      <c r="J5788" t="s">
        <v>68</v>
      </c>
      <c r="K5788" t="s">
        <v>69</v>
      </c>
      <c r="L5788">
        <v>11</v>
      </c>
      <c r="M5788" t="s">
        <v>19347</v>
      </c>
      <c r="N5788" t="s">
        <v>64</v>
      </c>
      <c r="O5788" t="s">
        <v>46</v>
      </c>
      <c r="P5788" t="s">
        <v>46</v>
      </c>
      <c r="Y5788" t="s">
        <v>19357</v>
      </c>
    </row>
    <row r="5789" spans="1:25">
      <c r="A5789" t="s">
        <v>19358</v>
      </c>
      <c r="B5789" t="s">
        <v>19359</v>
      </c>
      <c r="D5789" t="s">
        <v>40</v>
      </c>
      <c r="E5789" t="s">
        <v>41</v>
      </c>
      <c r="J5789" t="s">
        <v>68</v>
      </c>
      <c r="K5789" t="s">
        <v>69</v>
      </c>
      <c r="L5789">
        <v>11</v>
      </c>
      <c r="M5789" t="s">
        <v>19347</v>
      </c>
      <c r="N5789" t="s">
        <v>64</v>
      </c>
      <c r="O5789" t="s">
        <v>46</v>
      </c>
      <c r="P5789" t="s">
        <v>46</v>
      </c>
      <c r="Y5789" t="s">
        <v>19360</v>
      </c>
    </row>
    <row r="5790" spans="1:25">
      <c r="A5790" t="s">
        <v>19361</v>
      </c>
      <c r="B5790" t="s">
        <v>19362</v>
      </c>
      <c r="D5790" t="s">
        <v>40</v>
      </c>
      <c r="E5790" t="s">
        <v>41</v>
      </c>
      <c r="J5790" t="s">
        <v>76</v>
      </c>
      <c r="K5790" t="s">
        <v>77</v>
      </c>
      <c r="L5790">
        <v>10</v>
      </c>
      <c r="M5790" t="s">
        <v>19363</v>
      </c>
      <c r="N5790" t="s">
        <v>64</v>
      </c>
      <c r="O5790" t="s">
        <v>46</v>
      </c>
      <c r="P5790" t="s">
        <v>46</v>
      </c>
      <c r="Y5790" t="s">
        <v>19364</v>
      </c>
    </row>
    <row r="5791" spans="1:25">
      <c r="A5791" t="s">
        <v>19365</v>
      </c>
      <c r="B5791" t="s">
        <v>19366</v>
      </c>
      <c r="D5791" t="s">
        <v>40</v>
      </c>
      <c r="E5791" t="s">
        <v>41</v>
      </c>
      <c r="J5791" t="s">
        <v>182</v>
      </c>
      <c r="K5791" t="s">
        <v>183</v>
      </c>
      <c r="L5791">
        <v>10</v>
      </c>
      <c r="M5791" t="s">
        <v>19363</v>
      </c>
      <c r="N5791" t="s">
        <v>64</v>
      </c>
      <c r="O5791" t="s">
        <v>46</v>
      </c>
      <c r="P5791" t="s">
        <v>46</v>
      </c>
      <c r="Y5791" t="s">
        <v>19367</v>
      </c>
    </row>
    <row r="5792" spans="1:25">
      <c r="A5792" t="s">
        <v>19368</v>
      </c>
      <c r="B5792" t="s">
        <v>19369</v>
      </c>
      <c r="D5792" t="s">
        <v>40</v>
      </c>
      <c r="E5792" t="s">
        <v>41</v>
      </c>
      <c r="J5792" t="s">
        <v>68</v>
      </c>
      <c r="K5792" t="s">
        <v>69</v>
      </c>
      <c r="L5792">
        <v>10</v>
      </c>
      <c r="M5792" t="s">
        <v>19363</v>
      </c>
      <c r="N5792" t="s">
        <v>64</v>
      </c>
      <c r="O5792" t="s">
        <v>46</v>
      </c>
      <c r="P5792" t="s">
        <v>46</v>
      </c>
      <c r="Y5792" t="s">
        <v>19370</v>
      </c>
    </row>
    <row r="5793" spans="1:25">
      <c r="A5793" t="s">
        <v>19371</v>
      </c>
      <c r="B5793" t="s">
        <v>19372</v>
      </c>
      <c r="D5793" t="s">
        <v>40</v>
      </c>
      <c r="E5793" t="s">
        <v>41</v>
      </c>
      <c r="J5793" t="s">
        <v>182</v>
      </c>
      <c r="K5793" t="s">
        <v>183</v>
      </c>
      <c r="L5793">
        <v>10</v>
      </c>
      <c r="M5793" t="s">
        <v>19363</v>
      </c>
      <c r="N5793" t="s">
        <v>64</v>
      </c>
      <c r="O5793" t="s">
        <v>46</v>
      </c>
      <c r="P5793" t="s">
        <v>46</v>
      </c>
      <c r="Y5793" t="s">
        <v>19373</v>
      </c>
    </row>
    <row r="5794" spans="1:25">
      <c r="A5794" t="s">
        <v>19374</v>
      </c>
      <c r="B5794" t="s">
        <v>19375</v>
      </c>
      <c r="D5794" t="s">
        <v>40</v>
      </c>
      <c r="E5794" t="s">
        <v>41</v>
      </c>
      <c r="J5794" t="s">
        <v>68</v>
      </c>
      <c r="K5794" t="s">
        <v>69</v>
      </c>
      <c r="L5794">
        <v>10</v>
      </c>
      <c r="M5794" t="s">
        <v>19363</v>
      </c>
      <c r="N5794" t="s">
        <v>64</v>
      </c>
      <c r="O5794" t="s">
        <v>46</v>
      </c>
      <c r="P5794" t="s">
        <v>46</v>
      </c>
      <c r="Y5794" t="s">
        <v>19376</v>
      </c>
    </row>
    <row r="5795" spans="1:25">
      <c r="A5795" t="s">
        <v>19377</v>
      </c>
      <c r="B5795" t="s">
        <v>19378</v>
      </c>
      <c r="D5795" t="s">
        <v>40</v>
      </c>
      <c r="E5795" t="s">
        <v>41</v>
      </c>
      <c r="J5795" t="s">
        <v>42</v>
      </c>
      <c r="K5795" t="s">
        <v>43</v>
      </c>
      <c r="L5795">
        <v>10</v>
      </c>
      <c r="M5795" t="s">
        <v>19363</v>
      </c>
      <c r="N5795" t="s">
        <v>509</v>
      </c>
      <c r="O5795" t="s">
        <v>46</v>
      </c>
      <c r="P5795" t="s">
        <v>46</v>
      </c>
      <c r="Y5795" t="s">
        <v>19379</v>
      </c>
    </row>
    <row r="5796" spans="1:25">
      <c r="A5796" t="s">
        <v>19380</v>
      </c>
      <c r="B5796" t="s">
        <v>19381</v>
      </c>
      <c r="D5796" t="s">
        <v>40</v>
      </c>
      <c r="E5796" t="s">
        <v>41</v>
      </c>
      <c r="J5796" t="s">
        <v>68</v>
      </c>
      <c r="K5796" t="s">
        <v>69</v>
      </c>
      <c r="L5796">
        <v>10</v>
      </c>
      <c r="M5796" t="s">
        <v>19363</v>
      </c>
      <c r="N5796" t="s">
        <v>64</v>
      </c>
      <c r="O5796" t="s">
        <v>46</v>
      </c>
      <c r="P5796" t="s">
        <v>46</v>
      </c>
      <c r="Y5796" t="s">
        <v>19382</v>
      </c>
    </row>
    <row r="5797" spans="1:25">
      <c r="A5797" t="s">
        <v>19383</v>
      </c>
      <c r="B5797" t="s">
        <v>19384</v>
      </c>
      <c r="D5797" t="s">
        <v>40</v>
      </c>
      <c r="E5797" t="s">
        <v>41</v>
      </c>
      <c r="J5797" t="s">
        <v>68</v>
      </c>
      <c r="K5797" t="s">
        <v>69</v>
      </c>
      <c r="L5797">
        <v>10</v>
      </c>
      <c r="M5797" t="s">
        <v>19363</v>
      </c>
      <c r="N5797" t="s">
        <v>64</v>
      </c>
      <c r="O5797" t="s">
        <v>46</v>
      </c>
      <c r="P5797" t="s">
        <v>46</v>
      </c>
      <c r="Y5797" t="s">
        <v>19385</v>
      </c>
    </row>
    <row r="5798" spans="1:25">
      <c r="A5798" t="s">
        <v>19386</v>
      </c>
      <c r="B5798" t="s">
        <v>19387</v>
      </c>
      <c r="D5798" t="s">
        <v>40</v>
      </c>
      <c r="E5798" t="s">
        <v>41</v>
      </c>
      <c r="J5798" t="s">
        <v>76</v>
      </c>
      <c r="K5798" t="s">
        <v>77</v>
      </c>
      <c r="L5798">
        <v>10</v>
      </c>
      <c r="M5798" t="s">
        <v>19388</v>
      </c>
      <c r="N5798" t="s">
        <v>64</v>
      </c>
      <c r="O5798" t="s">
        <v>46</v>
      </c>
      <c r="P5798" t="s">
        <v>46</v>
      </c>
      <c r="Y5798" t="s">
        <v>19389</v>
      </c>
    </row>
    <row r="5799" spans="1:25">
      <c r="A5799" t="s">
        <v>19390</v>
      </c>
      <c r="B5799" t="s">
        <v>19391</v>
      </c>
      <c r="D5799" t="s">
        <v>40</v>
      </c>
      <c r="E5799" t="s">
        <v>41</v>
      </c>
      <c r="J5799" t="s">
        <v>182</v>
      </c>
      <c r="K5799" t="s">
        <v>183</v>
      </c>
      <c r="L5799">
        <v>10</v>
      </c>
      <c r="M5799" t="s">
        <v>19388</v>
      </c>
      <c r="N5799" t="s">
        <v>64</v>
      </c>
      <c r="O5799" t="s">
        <v>46</v>
      </c>
      <c r="P5799" t="s">
        <v>46</v>
      </c>
      <c r="Y5799" t="s">
        <v>19392</v>
      </c>
    </row>
    <row r="5800" spans="1:25">
      <c r="A5800" t="s">
        <v>19393</v>
      </c>
      <c r="B5800" t="s">
        <v>19394</v>
      </c>
      <c r="D5800" t="s">
        <v>40</v>
      </c>
      <c r="E5800" t="s">
        <v>41</v>
      </c>
      <c r="J5800" t="s">
        <v>68</v>
      </c>
      <c r="K5800" t="s">
        <v>69</v>
      </c>
      <c r="L5800">
        <v>10</v>
      </c>
      <c r="M5800" t="s">
        <v>19388</v>
      </c>
      <c r="N5800" t="s">
        <v>64</v>
      </c>
      <c r="O5800" t="s">
        <v>46</v>
      </c>
      <c r="P5800" t="s">
        <v>46</v>
      </c>
      <c r="Y5800" t="s">
        <v>19395</v>
      </c>
    </row>
    <row r="5801" spans="1:25">
      <c r="A5801" t="s">
        <v>19396</v>
      </c>
      <c r="B5801" t="s">
        <v>19397</v>
      </c>
      <c r="D5801" t="s">
        <v>40</v>
      </c>
      <c r="E5801" t="s">
        <v>41</v>
      </c>
      <c r="J5801" t="s">
        <v>182</v>
      </c>
      <c r="K5801" t="s">
        <v>183</v>
      </c>
      <c r="L5801">
        <v>10</v>
      </c>
      <c r="M5801" t="s">
        <v>19388</v>
      </c>
      <c r="N5801" t="s">
        <v>64</v>
      </c>
      <c r="O5801" t="s">
        <v>46</v>
      </c>
      <c r="P5801" t="s">
        <v>46</v>
      </c>
      <c r="Y5801" t="s">
        <v>19398</v>
      </c>
    </row>
    <row r="5802" spans="1:25">
      <c r="A5802" t="s">
        <v>19399</v>
      </c>
      <c r="B5802" t="s">
        <v>19400</v>
      </c>
      <c r="D5802" t="s">
        <v>40</v>
      </c>
      <c r="E5802" t="s">
        <v>41</v>
      </c>
      <c r="J5802" t="s">
        <v>68</v>
      </c>
      <c r="K5802" t="s">
        <v>69</v>
      </c>
      <c r="L5802">
        <v>10</v>
      </c>
      <c r="M5802" t="s">
        <v>19388</v>
      </c>
      <c r="N5802" t="s">
        <v>64</v>
      </c>
      <c r="O5802" t="s">
        <v>46</v>
      </c>
      <c r="P5802" t="s">
        <v>46</v>
      </c>
      <c r="Y5802" t="s">
        <v>19401</v>
      </c>
    </row>
    <row r="5803" spans="1:25">
      <c r="A5803" t="s">
        <v>19402</v>
      </c>
      <c r="B5803" t="s">
        <v>19403</v>
      </c>
      <c r="D5803" t="s">
        <v>40</v>
      </c>
      <c r="E5803" t="s">
        <v>41</v>
      </c>
      <c r="J5803" t="s">
        <v>68</v>
      </c>
      <c r="K5803" t="s">
        <v>69</v>
      </c>
      <c r="L5803">
        <v>10</v>
      </c>
      <c r="M5803" t="s">
        <v>19404</v>
      </c>
      <c r="N5803" t="s">
        <v>64</v>
      </c>
      <c r="O5803" t="s">
        <v>46</v>
      </c>
      <c r="P5803" t="s">
        <v>46</v>
      </c>
      <c r="Y5803" t="s">
        <v>19405</v>
      </c>
    </row>
    <row r="5804" spans="1:25">
      <c r="A5804" t="s">
        <v>19406</v>
      </c>
      <c r="B5804" t="s">
        <v>19407</v>
      </c>
      <c r="D5804" t="s">
        <v>40</v>
      </c>
      <c r="E5804" t="s">
        <v>41</v>
      </c>
      <c r="J5804" t="s">
        <v>68</v>
      </c>
      <c r="K5804" t="s">
        <v>69</v>
      </c>
      <c r="L5804">
        <v>10</v>
      </c>
      <c r="M5804" t="s">
        <v>19404</v>
      </c>
      <c r="N5804" t="s">
        <v>64</v>
      </c>
      <c r="O5804" t="s">
        <v>46</v>
      </c>
      <c r="P5804" t="s">
        <v>46</v>
      </c>
      <c r="Y5804" t="s">
        <v>19408</v>
      </c>
    </row>
    <row r="5805" spans="1:25">
      <c r="A5805" t="s">
        <v>19409</v>
      </c>
      <c r="B5805" t="s">
        <v>19410</v>
      </c>
      <c r="D5805" t="s">
        <v>40</v>
      </c>
      <c r="E5805" t="s">
        <v>41</v>
      </c>
      <c r="J5805" t="s">
        <v>264</v>
      </c>
      <c r="K5805" t="s">
        <v>265</v>
      </c>
      <c r="L5805">
        <v>10</v>
      </c>
      <c r="M5805" t="s">
        <v>19404</v>
      </c>
      <c r="N5805" t="s">
        <v>58</v>
      </c>
      <c r="O5805" t="s">
        <v>46</v>
      </c>
      <c r="P5805" t="s">
        <v>46</v>
      </c>
      <c r="Y5805" t="s">
        <v>19411</v>
      </c>
    </row>
    <row r="5806" spans="1:25">
      <c r="A5806" t="s">
        <v>19412</v>
      </c>
      <c r="B5806" t="s">
        <v>19413</v>
      </c>
      <c r="D5806" t="s">
        <v>40</v>
      </c>
      <c r="E5806" t="s">
        <v>41</v>
      </c>
      <c r="J5806" t="s">
        <v>68</v>
      </c>
      <c r="K5806" t="s">
        <v>69</v>
      </c>
      <c r="L5806">
        <v>11</v>
      </c>
      <c r="M5806" t="s">
        <v>19414</v>
      </c>
      <c r="N5806" t="s">
        <v>64</v>
      </c>
      <c r="O5806" t="s">
        <v>46</v>
      </c>
      <c r="P5806" t="s">
        <v>46</v>
      </c>
      <c r="Y5806" t="s">
        <v>19415</v>
      </c>
    </row>
    <row r="5807" spans="1:25">
      <c r="A5807" t="s">
        <v>19416</v>
      </c>
      <c r="B5807" t="s">
        <v>19417</v>
      </c>
      <c r="D5807" t="s">
        <v>40</v>
      </c>
      <c r="E5807" t="s">
        <v>41</v>
      </c>
      <c r="J5807" t="s">
        <v>68</v>
      </c>
      <c r="K5807" t="s">
        <v>69</v>
      </c>
      <c r="L5807">
        <v>11</v>
      </c>
      <c r="M5807" t="s">
        <v>19414</v>
      </c>
      <c r="N5807" t="s">
        <v>64</v>
      </c>
      <c r="O5807" t="s">
        <v>46</v>
      </c>
      <c r="P5807" t="s">
        <v>46</v>
      </c>
      <c r="Y5807" t="s">
        <v>19418</v>
      </c>
    </row>
    <row r="5808" spans="1:25">
      <c r="A5808" t="s">
        <v>19419</v>
      </c>
      <c r="B5808" t="s">
        <v>19420</v>
      </c>
      <c r="D5808" t="s">
        <v>40</v>
      </c>
      <c r="E5808" t="s">
        <v>41</v>
      </c>
      <c r="J5808" t="s">
        <v>68</v>
      </c>
      <c r="K5808" t="s">
        <v>69</v>
      </c>
      <c r="L5808">
        <v>11</v>
      </c>
      <c r="M5808" t="s">
        <v>19414</v>
      </c>
      <c r="N5808" t="s">
        <v>64</v>
      </c>
      <c r="O5808" t="s">
        <v>46</v>
      </c>
      <c r="P5808" t="s">
        <v>46</v>
      </c>
      <c r="Y5808" t="s">
        <v>19421</v>
      </c>
    </row>
    <row r="5809" spans="1:25">
      <c r="A5809" t="s">
        <v>19422</v>
      </c>
      <c r="B5809" t="s">
        <v>19423</v>
      </c>
      <c r="D5809" t="s">
        <v>40</v>
      </c>
      <c r="E5809" t="s">
        <v>41</v>
      </c>
      <c r="J5809" t="s">
        <v>68</v>
      </c>
      <c r="K5809" t="s">
        <v>69</v>
      </c>
      <c r="L5809">
        <v>11</v>
      </c>
      <c r="M5809" t="s">
        <v>19414</v>
      </c>
      <c r="N5809" t="s">
        <v>64</v>
      </c>
      <c r="O5809" t="s">
        <v>46</v>
      </c>
      <c r="P5809" t="s">
        <v>46</v>
      </c>
      <c r="Y5809" t="s">
        <v>19424</v>
      </c>
    </row>
    <row r="5810" spans="1:25">
      <c r="A5810" t="s">
        <v>19425</v>
      </c>
      <c r="B5810" t="s">
        <v>19426</v>
      </c>
      <c r="D5810" t="s">
        <v>40</v>
      </c>
      <c r="E5810" t="s">
        <v>41</v>
      </c>
      <c r="J5810" t="s">
        <v>1142</v>
      </c>
      <c r="K5810" t="s">
        <v>1143</v>
      </c>
      <c r="L5810">
        <v>11</v>
      </c>
      <c r="M5810" t="s">
        <v>19414</v>
      </c>
      <c r="N5810" t="s">
        <v>741</v>
      </c>
      <c r="O5810" t="s">
        <v>46</v>
      </c>
      <c r="P5810" t="s">
        <v>46</v>
      </c>
      <c r="Y5810" t="s">
        <v>19427</v>
      </c>
    </row>
    <row r="5811" spans="1:25">
      <c r="A5811" t="s">
        <v>19428</v>
      </c>
      <c r="B5811" t="s">
        <v>19429</v>
      </c>
      <c r="D5811" t="s">
        <v>40</v>
      </c>
      <c r="E5811" t="s">
        <v>41</v>
      </c>
      <c r="J5811" t="s">
        <v>68</v>
      </c>
      <c r="K5811" t="s">
        <v>69</v>
      </c>
      <c r="L5811">
        <v>11</v>
      </c>
      <c r="M5811" t="s">
        <v>19414</v>
      </c>
      <c r="N5811" t="s">
        <v>64</v>
      </c>
      <c r="O5811" t="s">
        <v>46</v>
      </c>
      <c r="P5811" t="s">
        <v>46</v>
      </c>
      <c r="Y5811" t="s">
        <v>19430</v>
      </c>
    </row>
    <row r="5812" spans="1:25">
      <c r="A5812" t="s">
        <v>19431</v>
      </c>
      <c r="B5812" t="s">
        <v>19432</v>
      </c>
      <c r="D5812" t="s">
        <v>40</v>
      </c>
      <c r="E5812" t="s">
        <v>41</v>
      </c>
      <c r="J5812" t="s">
        <v>68</v>
      </c>
      <c r="K5812" t="s">
        <v>69</v>
      </c>
      <c r="L5812">
        <v>11</v>
      </c>
      <c r="M5812" t="s">
        <v>19414</v>
      </c>
      <c r="N5812" t="s">
        <v>64</v>
      </c>
      <c r="O5812" t="s">
        <v>46</v>
      </c>
      <c r="P5812" t="s">
        <v>46</v>
      </c>
      <c r="Y5812" t="s">
        <v>19433</v>
      </c>
    </row>
    <row r="5813" spans="1:25">
      <c r="A5813" t="s">
        <v>19434</v>
      </c>
      <c r="B5813" t="s">
        <v>19435</v>
      </c>
      <c r="D5813" t="s">
        <v>40</v>
      </c>
      <c r="E5813" t="s">
        <v>41</v>
      </c>
      <c r="J5813" t="s">
        <v>68</v>
      </c>
      <c r="K5813" t="s">
        <v>69</v>
      </c>
      <c r="L5813">
        <v>11</v>
      </c>
      <c r="M5813" t="s">
        <v>19414</v>
      </c>
      <c r="N5813" t="s">
        <v>64</v>
      </c>
      <c r="O5813" t="s">
        <v>46</v>
      </c>
      <c r="P5813" t="s">
        <v>46</v>
      </c>
      <c r="Y5813" t="s">
        <v>19436</v>
      </c>
    </row>
    <row r="5814" spans="1:25">
      <c r="A5814" t="s">
        <v>19437</v>
      </c>
      <c r="B5814" t="s">
        <v>19438</v>
      </c>
      <c r="D5814" t="s">
        <v>40</v>
      </c>
      <c r="E5814" t="s">
        <v>41</v>
      </c>
      <c r="J5814" t="s">
        <v>182</v>
      </c>
      <c r="K5814" t="s">
        <v>183</v>
      </c>
      <c r="L5814">
        <v>11</v>
      </c>
      <c r="M5814" t="s">
        <v>19439</v>
      </c>
      <c r="N5814" t="s">
        <v>64</v>
      </c>
      <c r="O5814" t="s">
        <v>46</v>
      </c>
      <c r="P5814" t="s">
        <v>46</v>
      </c>
      <c r="Y5814" t="s">
        <v>19440</v>
      </c>
    </row>
    <row r="5815" spans="1:25">
      <c r="A5815" t="s">
        <v>19441</v>
      </c>
      <c r="B5815" t="s">
        <v>19442</v>
      </c>
      <c r="D5815" t="s">
        <v>40</v>
      </c>
      <c r="E5815" t="s">
        <v>41</v>
      </c>
      <c r="J5815" t="s">
        <v>68</v>
      </c>
      <c r="K5815" t="s">
        <v>69</v>
      </c>
      <c r="L5815">
        <v>11</v>
      </c>
      <c r="M5815" t="s">
        <v>19439</v>
      </c>
      <c r="N5815" t="s">
        <v>64</v>
      </c>
      <c r="O5815" t="s">
        <v>46</v>
      </c>
      <c r="P5815" t="s">
        <v>46</v>
      </c>
      <c r="Y5815" t="s">
        <v>19443</v>
      </c>
    </row>
    <row r="5816" spans="1:25">
      <c r="A5816" t="s">
        <v>19444</v>
      </c>
      <c r="B5816" t="s">
        <v>19445</v>
      </c>
      <c r="D5816" t="s">
        <v>40</v>
      </c>
      <c r="E5816" t="s">
        <v>41</v>
      </c>
      <c r="J5816" t="s">
        <v>68</v>
      </c>
      <c r="K5816" t="s">
        <v>69</v>
      </c>
      <c r="L5816">
        <v>11</v>
      </c>
      <c r="M5816" t="s">
        <v>19439</v>
      </c>
      <c r="N5816" t="s">
        <v>64</v>
      </c>
      <c r="O5816" t="s">
        <v>46</v>
      </c>
      <c r="P5816" t="s">
        <v>46</v>
      </c>
      <c r="Y5816" t="s">
        <v>19446</v>
      </c>
    </row>
    <row r="5817" spans="1:25">
      <c r="A5817" t="s">
        <v>19447</v>
      </c>
      <c r="B5817" t="s">
        <v>19448</v>
      </c>
      <c r="D5817" t="s">
        <v>40</v>
      </c>
      <c r="E5817" t="s">
        <v>41</v>
      </c>
      <c r="J5817" t="s">
        <v>182</v>
      </c>
      <c r="K5817" t="s">
        <v>183</v>
      </c>
      <c r="L5817">
        <v>11</v>
      </c>
      <c r="M5817" t="s">
        <v>19439</v>
      </c>
      <c r="N5817" t="s">
        <v>64</v>
      </c>
      <c r="O5817" t="s">
        <v>46</v>
      </c>
      <c r="P5817" t="s">
        <v>46</v>
      </c>
      <c r="Y5817" t="s">
        <v>19449</v>
      </c>
    </row>
    <row r="5818" spans="1:25">
      <c r="A5818" t="s">
        <v>19450</v>
      </c>
      <c r="B5818" t="s">
        <v>19451</v>
      </c>
      <c r="D5818" t="s">
        <v>40</v>
      </c>
      <c r="E5818" t="s">
        <v>41</v>
      </c>
      <c r="J5818" t="s">
        <v>42</v>
      </c>
      <c r="K5818" t="s">
        <v>43</v>
      </c>
      <c r="L5818">
        <v>11</v>
      </c>
      <c r="M5818" t="s">
        <v>19452</v>
      </c>
      <c r="N5818" t="s">
        <v>2346</v>
      </c>
      <c r="O5818" t="s">
        <v>46</v>
      </c>
      <c r="P5818" t="s">
        <v>46</v>
      </c>
      <c r="Y5818" t="s">
        <v>19453</v>
      </c>
    </row>
    <row r="5819" spans="1:25">
      <c r="A5819" t="s">
        <v>19454</v>
      </c>
      <c r="B5819" t="s">
        <v>19455</v>
      </c>
      <c r="D5819" t="s">
        <v>40</v>
      </c>
      <c r="E5819" t="s">
        <v>41</v>
      </c>
      <c r="J5819" t="s">
        <v>645</v>
      </c>
      <c r="K5819" t="s">
        <v>646</v>
      </c>
      <c r="L5819">
        <v>11</v>
      </c>
      <c r="M5819" t="s">
        <v>19452</v>
      </c>
      <c r="N5819" t="s">
        <v>64</v>
      </c>
      <c r="O5819" t="s">
        <v>46</v>
      </c>
      <c r="P5819" t="s">
        <v>46</v>
      </c>
      <c r="Y5819" t="s">
        <v>19456</v>
      </c>
    </row>
    <row r="5820" spans="1:25">
      <c r="A5820" t="s">
        <v>19457</v>
      </c>
      <c r="B5820" t="s">
        <v>19458</v>
      </c>
      <c r="D5820" t="s">
        <v>40</v>
      </c>
      <c r="E5820" t="s">
        <v>41</v>
      </c>
      <c r="J5820" t="s">
        <v>76</v>
      </c>
      <c r="K5820" t="s">
        <v>77</v>
      </c>
      <c r="L5820">
        <v>11</v>
      </c>
      <c r="M5820" t="s">
        <v>19452</v>
      </c>
      <c r="N5820" t="s">
        <v>64</v>
      </c>
      <c r="O5820" t="s">
        <v>46</v>
      </c>
      <c r="P5820" t="s">
        <v>46</v>
      </c>
      <c r="Y5820" t="s">
        <v>19459</v>
      </c>
    </row>
    <row r="5821" spans="1:25">
      <c r="A5821" t="s">
        <v>19460</v>
      </c>
      <c r="B5821" t="s">
        <v>19461</v>
      </c>
      <c r="D5821" t="s">
        <v>40</v>
      </c>
      <c r="E5821" t="s">
        <v>41</v>
      </c>
      <c r="J5821" t="s">
        <v>182</v>
      </c>
      <c r="K5821" t="s">
        <v>183</v>
      </c>
      <c r="L5821">
        <v>11</v>
      </c>
      <c r="M5821" t="s">
        <v>19452</v>
      </c>
      <c r="N5821" t="s">
        <v>64</v>
      </c>
      <c r="O5821" t="s">
        <v>46</v>
      </c>
      <c r="P5821" t="s">
        <v>46</v>
      </c>
      <c r="Y5821" t="s">
        <v>19462</v>
      </c>
    </row>
    <row r="5822" spans="1:25">
      <c r="A5822" t="s">
        <v>19463</v>
      </c>
      <c r="B5822" t="s">
        <v>19464</v>
      </c>
      <c r="D5822" t="s">
        <v>40</v>
      </c>
      <c r="E5822" t="s">
        <v>41</v>
      </c>
      <c r="J5822" t="s">
        <v>68</v>
      </c>
      <c r="K5822" t="s">
        <v>69</v>
      </c>
      <c r="L5822">
        <v>11</v>
      </c>
      <c r="M5822" t="s">
        <v>19465</v>
      </c>
      <c r="N5822" t="s">
        <v>64</v>
      </c>
      <c r="O5822" t="s">
        <v>46</v>
      </c>
      <c r="P5822" t="s">
        <v>46</v>
      </c>
      <c r="Y5822" t="s">
        <v>19466</v>
      </c>
    </row>
    <row r="5823" spans="1:25">
      <c r="A5823" t="s">
        <v>19467</v>
      </c>
      <c r="B5823" t="s">
        <v>19468</v>
      </c>
      <c r="D5823" t="s">
        <v>40</v>
      </c>
      <c r="E5823" t="s">
        <v>41</v>
      </c>
      <c r="J5823" t="s">
        <v>182</v>
      </c>
      <c r="K5823" t="s">
        <v>183</v>
      </c>
      <c r="L5823">
        <v>11</v>
      </c>
      <c r="M5823" t="s">
        <v>19465</v>
      </c>
      <c r="N5823" t="s">
        <v>64</v>
      </c>
      <c r="O5823" t="s">
        <v>46</v>
      </c>
      <c r="P5823" t="s">
        <v>46</v>
      </c>
      <c r="Y5823" t="s">
        <v>19469</v>
      </c>
    </row>
    <row r="5824" spans="1:25">
      <c r="A5824" t="s">
        <v>19470</v>
      </c>
      <c r="B5824" t="s">
        <v>19471</v>
      </c>
      <c r="D5824" t="s">
        <v>40</v>
      </c>
      <c r="E5824" t="s">
        <v>41</v>
      </c>
      <c r="J5824" t="s">
        <v>68</v>
      </c>
      <c r="K5824" t="s">
        <v>69</v>
      </c>
      <c r="L5824">
        <v>11</v>
      </c>
      <c r="M5824" t="s">
        <v>19465</v>
      </c>
      <c r="N5824" t="s">
        <v>64</v>
      </c>
      <c r="O5824" t="s">
        <v>46</v>
      </c>
      <c r="P5824" t="s">
        <v>46</v>
      </c>
      <c r="Y5824" t="s">
        <v>19472</v>
      </c>
    </row>
    <row r="5825" spans="1:25">
      <c r="A5825" t="s">
        <v>19473</v>
      </c>
      <c r="B5825" t="s">
        <v>19474</v>
      </c>
      <c r="D5825" t="s">
        <v>40</v>
      </c>
      <c r="E5825" t="s">
        <v>41</v>
      </c>
      <c r="J5825" t="s">
        <v>182</v>
      </c>
      <c r="K5825" t="s">
        <v>183</v>
      </c>
      <c r="L5825">
        <v>11</v>
      </c>
      <c r="M5825" t="s">
        <v>19475</v>
      </c>
      <c r="N5825" t="s">
        <v>64</v>
      </c>
      <c r="O5825" t="s">
        <v>46</v>
      </c>
      <c r="P5825" t="s">
        <v>46</v>
      </c>
      <c r="Y5825" t="s">
        <v>19476</v>
      </c>
    </row>
    <row r="5826" spans="1:25">
      <c r="A5826" t="s">
        <v>19477</v>
      </c>
      <c r="B5826" t="s">
        <v>19478</v>
      </c>
      <c r="D5826" t="s">
        <v>40</v>
      </c>
      <c r="E5826" t="s">
        <v>41</v>
      </c>
      <c r="J5826" t="s">
        <v>264</v>
      </c>
      <c r="K5826" t="s">
        <v>265</v>
      </c>
      <c r="L5826">
        <v>11</v>
      </c>
      <c r="M5826" t="s">
        <v>19475</v>
      </c>
      <c r="N5826" t="s">
        <v>310</v>
      </c>
      <c r="O5826" t="s">
        <v>46</v>
      </c>
      <c r="P5826" t="s">
        <v>46</v>
      </c>
      <c r="Y5826" t="s">
        <v>19479</v>
      </c>
    </row>
    <row r="5827" spans="1:25">
      <c r="A5827" t="s">
        <v>19480</v>
      </c>
      <c r="B5827" t="s">
        <v>19481</v>
      </c>
      <c r="D5827" t="s">
        <v>40</v>
      </c>
      <c r="E5827" t="s">
        <v>41</v>
      </c>
      <c r="J5827" t="s">
        <v>68</v>
      </c>
      <c r="K5827" t="s">
        <v>69</v>
      </c>
      <c r="L5827">
        <v>11</v>
      </c>
      <c r="M5827" t="s">
        <v>19475</v>
      </c>
      <c r="N5827" t="s">
        <v>64</v>
      </c>
      <c r="O5827" t="s">
        <v>46</v>
      </c>
      <c r="P5827" t="s">
        <v>46</v>
      </c>
      <c r="Y5827" t="s">
        <v>19482</v>
      </c>
    </row>
    <row r="5828" spans="1:25">
      <c r="A5828" t="s">
        <v>19483</v>
      </c>
      <c r="B5828" t="s">
        <v>19484</v>
      </c>
      <c r="D5828" t="s">
        <v>40</v>
      </c>
      <c r="E5828" t="s">
        <v>41</v>
      </c>
      <c r="J5828" t="s">
        <v>68</v>
      </c>
      <c r="K5828" t="s">
        <v>69</v>
      </c>
      <c r="L5828">
        <v>11</v>
      </c>
      <c r="M5828" t="s">
        <v>19475</v>
      </c>
      <c r="N5828" t="s">
        <v>64</v>
      </c>
      <c r="O5828" t="s">
        <v>46</v>
      </c>
      <c r="P5828" t="s">
        <v>46</v>
      </c>
      <c r="Y5828" t="s">
        <v>19485</v>
      </c>
    </row>
    <row r="5829" spans="1:25">
      <c r="A5829" t="s">
        <v>19486</v>
      </c>
      <c r="B5829" t="s">
        <v>19487</v>
      </c>
      <c r="D5829" t="s">
        <v>40</v>
      </c>
      <c r="E5829" t="s">
        <v>41</v>
      </c>
      <c r="J5829" t="s">
        <v>68</v>
      </c>
      <c r="K5829" t="s">
        <v>69</v>
      </c>
      <c r="L5829">
        <v>11</v>
      </c>
      <c r="M5829" t="s">
        <v>19475</v>
      </c>
      <c r="N5829" t="s">
        <v>64</v>
      </c>
      <c r="O5829" t="s">
        <v>46</v>
      </c>
      <c r="P5829" t="s">
        <v>46</v>
      </c>
      <c r="Y5829" t="s">
        <v>19488</v>
      </c>
    </row>
    <row r="5830" spans="1:25">
      <c r="A5830" t="s">
        <v>19489</v>
      </c>
      <c r="B5830" t="s">
        <v>19490</v>
      </c>
      <c r="D5830" t="s">
        <v>40</v>
      </c>
      <c r="E5830" t="s">
        <v>41</v>
      </c>
      <c r="J5830" t="s">
        <v>76</v>
      </c>
      <c r="K5830" t="s">
        <v>77</v>
      </c>
      <c r="L5830">
        <v>11</v>
      </c>
      <c r="M5830" t="s">
        <v>19491</v>
      </c>
      <c r="N5830" t="s">
        <v>64</v>
      </c>
      <c r="O5830" t="s">
        <v>46</v>
      </c>
      <c r="P5830" t="s">
        <v>46</v>
      </c>
      <c r="Y5830" t="s">
        <v>19492</v>
      </c>
    </row>
    <row r="5831" spans="1:25">
      <c r="A5831" t="s">
        <v>19493</v>
      </c>
      <c r="B5831" t="s">
        <v>19494</v>
      </c>
      <c r="D5831" t="s">
        <v>40</v>
      </c>
      <c r="E5831" t="s">
        <v>41</v>
      </c>
      <c r="J5831" t="s">
        <v>68</v>
      </c>
      <c r="K5831" t="s">
        <v>69</v>
      </c>
      <c r="L5831">
        <v>11</v>
      </c>
      <c r="M5831" t="s">
        <v>19491</v>
      </c>
      <c r="N5831" t="s">
        <v>64</v>
      </c>
      <c r="O5831" t="s">
        <v>46</v>
      </c>
      <c r="P5831" t="s">
        <v>46</v>
      </c>
      <c r="Y5831" t="s">
        <v>19495</v>
      </c>
    </row>
    <row r="5832" spans="1:25">
      <c r="A5832" t="s">
        <v>19496</v>
      </c>
      <c r="B5832" t="s">
        <v>19497</v>
      </c>
      <c r="D5832" t="s">
        <v>40</v>
      </c>
      <c r="E5832" t="s">
        <v>41</v>
      </c>
      <c r="J5832" t="s">
        <v>76</v>
      </c>
      <c r="K5832" t="s">
        <v>77</v>
      </c>
      <c r="L5832">
        <v>10</v>
      </c>
      <c r="M5832" t="s">
        <v>19491</v>
      </c>
      <c r="N5832" t="s">
        <v>64</v>
      </c>
      <c r="O5832" t="s">
        <v>46</v>
      </c>
      <c r="P5832" t="s">
        <v>46</v>
      </c>
      <c r="Y5832" t="s">
        <v>19498</v>
      </c>
    </row>
    <row r="5833" spans="1:25">
      <c r="A5833" t="s">
        <v>19499</v>
      </c>
      <c r="B5833" t="s">
        <v>19500</v>
      </c>
      <c r="D5833" t="s">
        <v>40</v>
      </c>
      <c r="E5833" t="s">
        <v>41</v>
      </c>
      <c r="J5833" t="s">
        <v>68</v>
      </c>
      <c r="K5833" t="s">
        <v>69</v>
      </c>
      <c r="L5833">
        <v>10</v>
      </c>
      <c r="M5833" t="s">
        <v>19501</v>
      </c>
      <c r="N5833" t="s">
        <v>64</v>
      </c>
      <c r="O5833" t="s">
        <v>46</v>
      </c>
      <c r="P5833" t="s">
        <v>46</v>
      </c>
      <c r="Y5833" t="s">
        <v>19502</v>
      </c>
    </row>
    <row r="5834" spans="1:25">
      <c r="A5834" t="s">
        <v>19503</v>
      </c>
      <c r="B5834" t="s">
        <v>19504</v>
      </c>
      <c r="D5834" t="s">
        <v>40</v>
      </c>
      <c r="E5834" t="s">
        <v>41</v>
      </c>
      <c r="J5834" t="s">
        <v>182</v>
      </c>
      <c r="K5834" t="s">
        <v>183</v>
      </c>
      <c r="L5834">
        <v>10</v>
      </c>
      <c r="M5834" t="s">
        <v>19505</v>
      </c>
      <c r="N5834" t="s">
        <v>64</v>
      </c>
      <c r="O5834" t="s">
        <v>46</v>
      </c>
      <c r="P5834" t="s">
        <v>46</v>
      </c>
      <c r="Y5834" t="s">
        <v>19506</v>
      </c>
    </row>
    <row r="5835" spans="1:25">
      <c r="A5835" t="s">
        <v>19507</v>
      </c>
      <c r="B5835" t="s">
        <v>19508</v>
      </c>
      <c r="D5835" t="s">
        <v>40</v>
      </c>
      <c r="E5835" t="s">
        <v>41</v>
      </c>
      <c r="J5835" t="s">
        <v>68</v>
      </c>
      <c r="K5835" t="s">
        <v>69</v>
      </c>
      <c r="L5835">
        <v>10</v>
      </c>
      <c r="M5835" t="s">
        <v>19505</v>
      </c>
      <c r="N5835" t="s">
        <v>64</v>
      </c>
      <c r="O5835" t="s">
        <v>46</v>
      </c>
      <c r="P5835" t="s">
        <v>46</v>
      </c>
      <c r="Y5835" t="s">
        <v>19509</v>
      </c>
    </row>
    <row r="5836" spans="1:25">
      <c r="A5836" t="s">
        <v>19510</v>
      </c>
      <c r="B5836" t="s">
        <v>19511</v>
      </c>
      <c r="D5836" t="s">
        <v>40</v>
      </c>
      <c r="E5836" t="s">
        <v>41</v>
      </c>
      <c r="J5836" t="s">
        <v>182</v>
      </c>
      <c r="K5836" t="s">
        <v>183</v>
      </c>
      <c r="L5836">
        <v>10</v>
      </c>
      <c r="M5836" t="s">
        <v>19505</v>
      </c>
      <c r="N5836" t="s">
        <v>64</v>
      </c>
      <c r="O5836" t="s">
        <v>46</v>
      </c>
      <c r="P5836" t="s">
        <v>46</v>
      </c>
      <c r="Y5836" t="s">
        <v>19512</v>
      </c>
    </row>
    <row r="5837" spans="1:25">
      <c r="A5837" t="s">
        <v>19513</v>
      </c>
      <c r="B5837" t="s">
        <v>19514</v>
      </c>
      <c r="D5837" t="s">
        <v>40</v>
      </c>
      <c r="E5837" t="s">
        <v>41</v>
      </c>
      <c r="J5837" t="s">
        <v>68</v>
      </c>
      <c r="K5837" t="s">
        <v>69</v>
      </c>
      <c r="L5837">
        <v>10</v>
      </c>
      <c r="M5837" t="s">
        <v>19505</v>
      </c>
      <c r="N5837" t="s">
        <v>64</v>
      </c>
      <c r="O5837" t="s">
        <v>46</v>
      </c>
      <c r="P5837" t="s">
        <v>46</v>
      </c>
      <c r="Y5837" t="s">
        <v>19515</v>
      </c>
    </row>
    <row r="5838" spans="1:25">
      <c r="A5838" t="s">
        <v>19516</v>
      </c>
      <c r="B5838" t="s">
        <v>19517</v>
      </c>
      <c r="D5838" t="s">
        <v>40</v>
      </c>
      <c r="E5838" t="s">
        <v>41</v>
      </c>
      <c r="J5838" t="s">
        <v>42</v>
      </c>
      <c r="K5838" t="s">
        <v>43</v>
      </c>
      <c r="L5838">
        <v>10</v>
      </c>
      <c r="M5838" t="s">
        <v>19505</v>
      </c>
      <c r="N5838" t="s">
        <v>1276</v>
      </c>
      <c r="O5838" t="s">
        <v>46</v>
      </c>
      <c r="P5838" t="s">
        <v>46</v>
      </c>
      <c r="Y5838" t="s">
        <v>19518</v>
      </c>
    </row>
    <row r="5839" spans="1:25">
      <c r="A5839" t="s">
        <v>19519</v>
      </c>
      <c r="B5839" t="s">
        <v>19520</v>
      </c>
      <c r="D5839" t="s">
        <v>40</v>
      </c>
      <c r="E5839" t="s">
        <v>41</v>
      </c>
      <c r="J5839" t="s">
        <v>182</v>
      </c>
      <c r="K5839" t="s">
        <v>183</v>
      </c>
      <c r="L5839">
        <v>10</v>
      </c>
      <c r="M5839" t="s">
        <v>19521</v>
      </c>
      <c r="N5839" t="s">
        <v>64</v>
      </c>
      <c r="O5839" t="s">
        <v>46</v>
      </c>
      <c r="P5839" t="s">
        <v>46</v>
      </c>
      <c r="Y5839" t="s">
        <v>19522</v>
      </c>
    </row>
    <row r="5840" spans="1:25">
      <c r="A5840" t="s">
        <v>19523</v>
      </c>
      <c r="B5840" t="s">
        <v>19524</v>
      </c>
      <c r="D5840" t="s">
        <v>40</v>
      </c>
      <c r="E5840" t="s">
        <v>41</v>
      </c>
      <c r="J5840" t="s">
        <v>68</v>
      </c>
      <c r="K5840" t="s">
        <v>69</v>
      </c>
      <c r="L5840">
        <v>10</v>
      </c>
      <c r="M5840" t="s">
        <v>19521</v>
      </c>
      <c r="N5840" t="s">
        <v>64</v>
      </c>
      <c r="O5840" t="s">
        <v>46</v>
      </c>
      <c r="P5840" t="s">
        <v>46</v>
      </c>
      <c r="Y5840" t="s">
        <v>19525</v>
      </c>
    </row>
    <row r="5841" spans="1:25">
      <c r="A5841" t="s">
        <v>19526</v>
      </c>
      <c r="B5841" t="s">
        <v>19527</v>
      </c>
      <c r="D5841" t="s">
        <v>40</v>
      </c>
      <c r="E5841" t="s">
        <v>41</v>
      </c>
      <c r="J5841" t="s">
        <v>68</v>
      </c>
      <c r="K5841" t="s">
        <v>69</v>
      </c>
      <c r="L5841">
        <v>10</v>
      </c>
      <c r="M5841" t="s">
        <v>19521</v>
      </c>
      <c r="N5841" t="s">
        <v>64</v>
      </c>
      <c r="O5841" t="s">
        <v>46</v>
      </c>
      <c r="P5841" t="s">
        <v>46</v>
      </c>
      <c r="Y5841" t="s">
        <v>19528</v>
      </c>
    </row>
    <row r="5842" spans="1:25">
      <c r="A5842" t="s">
        <v>19529</v>
      </c>
      <c r="B5842" t="s">
        <v>19530</v>
      </c>
      <c r="D5842" t="s">
        <v>40</v>
      </c>
      <c r="E5842" t="s">
        <v>41</v>
      </c>
      <c r="J5842" t="s">
        <v>68</v>
      </c>
      <c r="K5842" t="s">
        <v>69</v>
      </c>
      <c r="L5842">
        <v>10</v>
      </c>
      <c r="M5842" t="s">
        <v>19521</v>
      </c>
      <c r="N5842" t="s">
        <v>64</v>
      </c>
      <c r="O5842" t="s">
        <v>46</v>
      </c>
      <c r="P5842" t="s">
        <v>46</v>
      </c>
      <c r="Y5842" t="s">
        <v>19531</v>
      </c>
    </row>
    <row r="5843" spans="1:25">
      <c r="A5843" t="s">
        <v>19532</v>
      </c>
      <c r="B5843" t="s">
        <v>19533</v>
      </c>
      <c r="D5843" t="s">
        <v>40</v>
      </c>
      <c r="E5843" t="s">
        <v>41</v>
      </c>
      <c r="J5843" t="s">
        <v>76</v>
      </c>
      <c r="K5843" t="s">
        <v>77</v>
      </c>
      <c r="L5843">
        <v>10</v>
      </c>
      <c r="M5843" t="s">
        <v>19521</v>
      </c>
      <c r="N5843" t="s">
        <v>64</v>
      </c>
      <c r="O5843" t="s">
        <v>46</v>
      </c>
      <c r="P5843" t="s">
        <v>46</v>
      </c>
      <c r="Y5843" t="s">
        <v>19534</v>
      </c>
    </row>
    <row r="5844" spans="1:25">
      <c r="A5844" t="s">
        <v>19535</v>
      </c>
      <c r="B5844" t="s">
        <v>19536</v>
      </c>
      <c r="D5844" t="s">
        <v>40</v>
      </c>
      <c r="E5844" t="s">
        <v>41</v>
      </c>
      <c r="J5844" t="s">
        <v>68</v>
      </c>
      <c r="K5844" t="s">
        <v>69</v>
      </c>
      <c r="L5844">
        <v>11</v>
      </c>
      <c r="M5844" t="s">
        <v>19537</v>
      </c>
      <c r="N5844" t="s">
        <v>64</v>
      </c>
      <c r="O5844" t="s">
        <v>46</v>
      </c>
      <c r="P5844" t="s">
        <v>46</v>
      </c>
      <c r="Y5844" t="s">
        <v>19538</v>
      </c>
    </row>
    <row r="5845" spans="1:25">
      <c r="A5845" t="s">
        <v>19539</v>
      </c>
      <c r="B5845" t="s">
        <v>19540</v>
      </c>
      <c r="D5845" t="s">
        <v>40</v>
      </c>
      <c r="E5845" t="s">
        <v>41</v>
      </c>
      <c r="J5845" t="s">
        <v>76</v>
      </c>
      <c r="K5845" t="s">
        <v>77</v>
      </c>
      <c r="L5845">
        <v>11</v>
      </c>
      <c r="M5845" t="s">
        <v>19541</v>
      </c>
      <c r="N5845" t="s">
        <v>64</v>
      </c>
      <c r="O5845" t="s">
        <v>46</v>
      </c>
      <c r="P5845" t="s">
        <v>46</v>
      </c>
      <c r="Y5845" t="s">
        <v>19542</v>
      </c>
    </row>
    <row r="5846" spans="1:25">
      <c r="A5846" t="s">
        <v>19543</v>
      </c>
      <c r="B5846" t="s">
        <v>19544</v>
      </c>
      <c r="D5846" t="s">
        <v>40</v>
      </c>
      <c r="E5846" t="s">
        <v>41</v>
      </c>
      <c r="J5846" t="s">
        <v>68</v>
      </c>
      <c r="K5846" t="s">
        <v>69</v>
      </c>
      <c r="L5846">
        <v>11</v>
      </c>
      <c r="M5846" t="s">
        <v>19541</v>
      </c>
      <c r="N5846" t="s">
        <v>64</v>
      </c>
      <c r="O5846" t="s">
        <v>46</v>
      </c>
      <c r="P5846" t="s">
        <v>46</v>
      </c>
      <c r="Y5846" t="s">
        <v>19545</v>
      </c>
    </row>
    <row r="5847" spans="1:25">
      <c r="A5847" t="s">
        <v>19546</v>
      </c>
      <c r="B5847" t="s">
        <v>19547</v>
      </c>
      <c r="D5847" t="s">
        <v>40</v>
      </c>
      <c r="E5847" t="s">
        <v>41</v>
      </c>
      <c r="J5847" t="s">
        <v>182</v>
      </c>
      <c r="K5847" t="s">
        <v>183</v>
      </c>
      <c r="L5847">
        <v>11</v>
      </c>
      <c r="M5847" t="s">
        <v>19541</v>
      </c>
      <c r="N5847" t="s">
        <v>64</v>
      </c>
      <c r="O5847" t="s">
        <v>46</v>
      </c>
      <c r="P5847" t="s">
        <v>46</v>
      </c>
      <c r="Y5847" t="s">
        <v>19548</v>
      </c>
    </row>
    <row r="5848" spans="1:25">
      <c r="A5848" t="s">
        <v>19549</v>
      </c>
      <c r="B5848" t="s">
        <v>19550</v>
      </c>
      <c r="D5848" t="s">
        <v>40</v>
      </c>
      <c r="E5848" t="s">
        <v>41</v>
      </c>
      <c r="J5848" t="s">
        <v>68</v>
      </c>
      <c r="K5848" t="s">
        <v>69</v>
      </c>
      <c r="L5848">
        <v>11</v>
      </c>
      <c r="M5848" t="s">
        <v>19541</v>
      </c>
      <c r="N5848" t="s">
        <v>64</v>
      </c>
      <c r="O5848" t="s">
        <v>46</v>
      </c>
      <c r="P5848" t="s">
        <v>46</v>
      </c>
      <c r="Y5848" t="s">
        <v>19551</v>
      </c>
    </row>
    <row r="5849" spans="1:25">
      <c r="A5849" t="s">
        <v>19552</v>
      </c>
      <c r="B5849" t="s">
        <v>19553</v>
      </c>
      <c r="D5849" t="s">
        <v>40</v>
      </c>
      <c r="E5849" t="s">
        <v>41</v>
      </c>
      <c r="J5849" t="s">
        <v>264</v>
      </c>
      <c r="K5849" t="s">
        <v>265</v>
      </c>
      <c r="L5849">
        <v>11</v>
      </c>
      <c r="M5849" t="s">
        <v>19541</v>
      </c>
      <c r="N5849" t="s">
        <v>741</v>
      </c>
      <c r="O5849" t="s">
        <v>46</v>
      </c>
      <c r="P5849" t="s">
        <v>46</v>
      </c>
      <c r="Y5849" t="s">
        <v>19554</v>
      </c>
    </row>
    <row r="5850" spans="1:25">
      <c r="A5850" t="s">
        <v>19555</v>
      </c>
      <c r="B5850" t="s">
        <v>19556</v>
      </c>
      <c r="D5850" t="s">
        <v>40</v>
      </c>
      <c r="E5850" t="s">
        <v>41</v>
      </c>
      <c r="J5850" t="s">
        <v>182</v>
      </c>
      <c r="K5850" t="s">
        <v>183</v>
      </c>
      <c r="L5850">
        <v>11</v>
      </c>
      <c r="M5850" t="s">
        <v>19557</v>
      </c>
      <c r="N5850" t="s">
        <v>64</v>
      </c>
      <c r="O5850" t="s">
        <v>46</v>
      </c>
      <c r="P5850" t="s">
        <v>46</v>
      </c>
      <c r="Y5850" t="s">
        <v>19558</v>
      </c>
    </row>
    <row r="5851" spans="1:25">
      <c r="A5851" t="s">
        <v>19559</v>
      </c>
      <c r="B5851" t="s">
        <v>19560</v>
      </c>
      <c r="D5851" t="s">
        <v>40</v>
      </c>
      <c r="E5851" t="s">
        <v>41</v>
      </c>
      <c r="J5851" t="s">
        <v>68</v>
      </c>
      <c r="K5851" t="s">
        <v>69</v>
      </c>
      <c r="L5851">
        <v>11</v>
      </c>
      <c r="M5851" t="s">
        <v>19557</v>
      </c>
      <c r="N5851" t="s">
        <v>64</v>
      </c>
      <c r="O5851" t="s">
        <v>46</v>
      </c>
      <c r="P5851" t="s">
        <v>46</v>
      </c>
      <c r="Y5851" t="s">
        <v>19561</v>
      </c>
    </row>
    <row r="5852" spans="1:25">
      <c r="A5852" t="s">
        <v>19562</v>
      </c>
      <c r="B5852" t="s">
        <v>19563</v>
      </c>
      <c r="D5852" t="s">
        <v>40</v>
      </c>
      <c r="E5852" t="s">
        <v>41</v>
      </c>
      <c r="J5852" t="s">
        <v>68</v>
      </c>
      <c r="K5852" t="s">
        <v>69</v>
      </c>
      <c r="L5852">
        <v>11</v>
      </c>
      <c r="M5852" t="s">
        <v>19564</v>
      </c>
      <c r="N5852" t="s">
        <v>64</v>
      </c>
      <c r="O5852" t="s">
        <v>46</v>
      </c>
      <c r="P5852" t="s">
        <v>46</v>
      </c>
      <c r="Y5852" t="s">
        <v>19565</v>
      </c>
    </row>
    <row r="5853" spans="1:25">
      <c r="A5853" t="s">
        <v>19566</v>
      </c>
      <c r="B5853" t="s">
        <v>19567</v>
      </c>
      <c r="D5853" t="s">
        <v>40</v>
      </c>
      <c r="E5853" t="s">
        <v>41</v>
      </c>
      <c r="J5853" t="s">
        <v>68</v>
      </c>
      <c r="K5853" t="s">
        <v>69</v>
      </c>
      <c r="L5853">
        <v>11</v>
      </c>
      <c r="M5853" t="s">
        <v>19564</v>
      </c>
      <c r="N5853" t="s">
        <v>64</v>
      </c>
      <c r="O5853" t="s">
        <v>46</v>
      </c>
      <c r="P5853" t="s">
        <v>46</v>
      </c>
      <c r="Y5853" t="s">
        <v>19568</v>
      </c>
    </row>
    <row r="5854" spans="1:25">
      <c r="A5854" t="s">
        <v>19569</v>
      </c>
      <c r="B5854" t="s">
        <v>19570</v>
      </c>
      <c r="D5854" t="s">
        <v>40</v>
      </c>
      <c r="E5854" t="s">
        <v>41</v>
      </c>
      <c r="J5854" t="s">
        <v>182</v>
      </c>
      <c r="K5854" t="s">
        <v>183</v>
      </c>
      <c r="L5854">
        <v>11</v>
      </c>
      <c r="M5854" t="s">
        <v>19564</v>
      </c>
      <c r="N5854" t="s">
        <v>64</v>
      </c>
      <c r="O5854" t="s">
        <v>46</v>
      </c>
      <c r="P5854" t="s">
        <v>46</v>
      </c>
      <c r="Y5854" t="s">
        <v>19571</v>
      </c>
    </row>
    <row r="5855" spans="1:25">
      <c r="A5855" t="s">
        <v>19572</v>
      </c>
      <c r="B5855" t="s">
        <v>19573</v>
      </c>
      <c r="D5855" t="s">
        <v>40</v>
      </c>
      <c r="E5855" t="s">
        <v>41</v>
      </c>
      <c r="J5855" t="s">
        <v>645</v>
      </c>
      <c r="K5855" t="s">
        <v>646</v>
      </c>
      <c r="L5855">
        <v>11</v>
      </c>
      <c r="M5855" t="s">
        <v>19564</v>
      </c>
      <c r="N5855" t="s">
        <v>64</v>
      </c>
      <c r="O5855" t="s">
        <v>46</v>
      </c>
      <c r="P5855" t="s">
        <v>46</v>
      </c>
      <c r="Y5855" t="s">
        <v>19574</v>
      </c>
    </row>
    <row r="5856" spans="1:25">
      <c r="A5856" t="s">
        <v>19575</v>
      </c>
      <c r="B5856" t="s">
        <v>19576</v>
      </c>
      <c r="D5856" t="s">
        <v>40</v>
      </c>
      <c r="E5856" t="s">
        <v>41</v>
      </c>
      <c r="J5856" t="s">
        <v>68</v>
      </c>
      <c r="K5856" t="s">
        <v>69</v>
      </c>
      <c r="L5856">
        <v>11</v>
      </c>
      <c r="M5856" t="s">
        <v>19577</v>
      </c>
      <c r="N5856" t="s">
        <v>64</v>
      </c>
      <c r="O5856" t="s">
        <v>46</v>
      </c>
      <c r="P5856" t="s">
        <v>46</v>
      </c>
      <c r="Y5856" t="s">
        <v>19578</v>
      </c>
    </row>
    <row r="5857" spans="1:25">
      <c r="A5857" t="s">
        <v>19579</v>
      </c>
      <c r="B5857" t="s">
        <v>19580</v>
      </c>
      <c r="D5857" t="s">
        <v>40</v>
      </c>
      <c r="E5857" t="s">
        <v>41</v>
      </c>
      <c r="J5857" t="s">
        <v>68</v>
      </c>
      <c r="K5857" t="s">
        <v>69</v>
      </c>
      <c r="L5857">
        <v>11</v>
      </c>
      <c r="M5857" t="s">
        <v>19577</v>
      </c>
      <c r="N5857" t="s">
        <v>64</v>
      </c>
      <c r="O5857" t="s">
        <v>46</v>
      </c>
      <c r="P5857" t="s">
        <v>46</v>
      </c>
      <c r="Y5857" t="s">
        <v>19581</v>
      </c>
    </row>
    <row r="5858" spans="1:25">
      <c r="A5858" t="s">
        <v>19582</v>
      </c>
      <c r="B5858" t="s">
        <v>19583</v>
      </c>
      <c r="D5858" t="s">
        <v>40</v>
      </c>
      <c r="E5858" t="s">
        <v>41</v>
      </c>
      <c r="J5858" t="s">
        <v>182</v>
      </c>
      <c r="K5858" t="s">
        <v>183</v>
      </c>
      <c r="L5858">
        <v>11</v>
      </c>
      <c r="M5858" t="s">
        <v>19577</v>
      </c>
      <c r="N5858" t="s">
        <v>64</v>
      </c>
      <c r="O5858" t="s">
        <v>46</v>
      </c>
      <c r="P5858" t="s">
        <v>46</v>
      </c>
      <c r="Y5858" t="s">
        <v>19584</v>
      </c>
    </row>
    <row r="5859" spans="1:25">
      <c r="A5859" t="s">
        <v>19585</v>
      </c>
      <c r="B5859" t="s">
        <v>19586</v>
      </c>
      <c r="D5859" t="s">
        <v>40</v>
      </c>
      <c r="E5859" t="s">
        <v>41</v>
      </c>
      <c r="J5859" t="s">
        <v>68</v>
      </c>
      <c r="K5859" t="s">
        <v>69</v>
      </c>
      <c r="L5859">
        <v>11</v>
      </c>
      <c r="M5859" t="s">
        <v>19577</v>
      </c>
      <c r="N5859" t="s">
        <v>64</v>
      </c>
      <c r="O5859" t="s">
        <v>46</v>
      </c>
      <c r="P5859" t="s">
        <v>46</v>
      </c>
      <c r="Y5859" t="s">
        <v>19587</v>
      </c>
    </row>
    <row r="5860" spans="1:25">
      <c r="A5860" t="s">
        <v>19588</v>
      </c>
      <c r="B5860" t="s">
        <v>19589</v>
      </c>
      <c r="D5860" t="s">
        <v>40</v>
      </c>
      <c r="E5860" t="s">
        <v>41</v>
      </c>
      <c r="J5860" t="s">
        <v>68</v>
      </c>
      <c r="K5860" t="s">
        <v>69</v>
      </c>
      <c r="L5860">
        <v>11</v>
      </c>
      <c r="M5860" t="s">
        <v>19577</v>
      </c>
      <c r="N5860" t="s">
        <v>64</v>
      </c>
      <c r="O5860" t="s">
        <v>46</v>
      </c>
      <c r="P5860" t="s">
        <v>46</v>
      </c>
      <c r="Y5860" t="s">
        <v>19590</v>
      </c>
    </row>
    <row r="5861" spans="1:25">
      <c r="A5861" t="s">
        <v>19591</v>
      </c>
      <c r="B5861" t="s">
        <v>19592</v>
      </c>
      <c r="D5861" t="s">
        <v>40</v>
      </c>
      <c r="E5861" t="s">
        <v>41</v>
      </c>
      <c r="J5861" t="s">
        <v>76</v>
      </c>
      <c r="K5861" t="s">
        <v>77</v>
      </c>
      <c r="L5861">
        <v>11</v>
      </c>
      <c r="M5861" t="s">
        <v>19577</v>
      </c>
      <c r="N5861" t="s">
        <v>64</v>
      </c>
      <c r="O5861" t="s">
        <v>46</v>
      </c>
      <c r="P5861" t="s">
        <v>46</v>
      </c>
      <c r="Y5861" t="s">
        <v>19593</v>
      </c>
    </row>
    <row r="5862" spans="1:25">
      <c r="A5862" t="s">
        <v>19594</v>
      </c>
      <c r="B5862" t="s">
        <v>19595</v>
      </c>
      <c r="D5862" t="s">
        <v>40</v>
      </c>
      <c r="E5862" t="s">
        <v>41</v>
      </c>
      <c r="J5862" t="s">
        <v>68</v>
      </c>
      <c r="K5862" t="s">
        <v>69</v>
      </c>
      <c r="L5862">
        <v>11</v>
      </c>
      <c r="M5862" t="s">
        <v>19596</v>
      </c>
      <c r="N5862" t="s">
        <v>64</v>
      </c>
      <c r="O5862" t="s">
        <v>46</v>
      </c>
      <c r="P5862" t="s">
        <v>46</v>
      </c>
      <c r="Y5862" t="s">
        <v>19597</v>
      </c>
    </row>
    <row r="5863" spans="1:25">
      <c r="A5863" t="s">
        <v>19598</v>
      </c>
      <c r="B5863" t="s">
        <v>19599</v>
      </c>
      <c r="D5863" t="s">
        <v>40</v>
      </c>
      <c r="E5863" t="s">
        <v>41</v>
      </c>
      <c r="J5863" t="s">
        <v>68</v>
      </c>
      <c r="K5863" t="s">
        <v>69</v>
      </c>
      <c r="L5863">
        <v>11</v>
      </c>
      <c r="M5863" t="s">
        <v>19596</v>
      </c>
      <c r="N5863" t="s">
        <v>64</v>
      </c>
      <c r="O5863" t="s">
        <v>46</v>
      </c>
      <c r="P5863" t="s">
        <v>46</v>
      </c>
      <c r="Y5863" t="s">
        <v>19600</v>
      </c>
    </row>
    <row r="5864" spans="1:25">
      <c r="A5864" t="s">
        <v>19601</v>
      </c>
      <c r="B5864" t="s">
        <v>19602</v>
      </c>
      <c r="D5864" t="s">
        <v>40</v>
      </c>
      <c r="E5864" t="s">
        <v>41</v>
      </c>
      <c r="J5864" t="s">
        <v>182</v>
      </c>
      <c r="K5864" t="s">
        <v>183</v>
      </c>
      <c r="L5864">
        <v>11</v>
      </c>
      <c r="M5864" t="s">
        <v>19596</v>
      </c>
      <c r="N5864" t="s">
        <v>64</v>
      </c>
      <c r="O5864" t="s">
        <v>46</v>
      </c>
      <c r="P5864" t="s">
        <v>46</v>
      </c>
      <c r="Y5864" t="s">
        <v>19603</v>
      </c>
    </row>
    <row r="5865" spans="1:25">
      <c r="A5865" t="s">
        <v>19604</v>
      </c>
      <c r="B5865" t="s">
        <v>19605</v>
      </c>
      <c r="D5865" t="s">
        <v>40</v>
      </c>
      <c r="E5865" t="s">
        <v>41</v>
      </c>
      <c r="J5865" t="s">
        <v>68</v>
      </c>
      <c r="K5865" t="s">
        <v>69</v>
      </c>
      <c r="L5865">
        <v>11</v>
      </c>
      <c r="M5865" t="s">
        <v>19596</v>
      </c>
      <c r="N5865" t="s">
        <v>64</v>
      </c>
      <c r="O5865" t="s">
        <v>46</v>
      </c>
      <c r="P5865" t="s">
        <v>46</v>
      </c>
      <c r="Y5865" t="s">
        <v>19606</v>
      </c>
    </row>
    <row r="5866" spans="1:25">
      <c r="A5866" t="s">
        <v>19607</v>
      </c>
      <c r="B5866" t="s">
        <v>19608</v>
      </c>
      <c r="D5866" t="s">
        <v>40</v>
      </c>
      <c r="E5866" t="s">
        <v>41</v>
      </c>
      <c r="J5866" t="s">
        <v>68</v>
      </c>
      <c r="K5866" t="s">
        <v>69</v>
      </c>
      <c r="L5866">
        <v>11</v>
      </c>
      <c r="M5866" t="s">
        <v>19609</v>
      </c>
      <c r="N5866" t="s">
        <v>64</v>
      </c>
      <c r="O5866" t="s">
        <v>46</v>
      </c>
      <c r="P5866" t="s">
        <v>46</v>
      </c>
      <c r="Y5866" t="s">
        <v>19610</v>
      </c>
    </row>
    <row r="5867" spans="1:25">
      <c r="A5867" t="s">
        <v>19611</v>
      </c>
      <c r="B5867" t="s">
        <v>19612</v>
      </c>
      <c r="D5867" t="s">
        <v>40</v>
      </c>
      <c r="E5867" t="s">
        <v>41</v>
      </c>
      <c r="J5867" t="s">
        <v>68</v>
      </c>
      <c r="K5867" t="s">
        <v>69</v>
      </c>
      <c r="L5867">
        <v>11</v>
      </c>
      <c r="M5867" t="s">
        <v>19609</v>
      </c>
      <c r="N5867" t="s">
        <v>64</v>
      </c>
      <c r="O5867" t="s">
        <v>46</v>
      </c>
      <c r="P5867" t="s">
        <v>46</v>
      </c>
      <c r="Y5867" t="s">
        <v>19613</v>
      </c>
    </row>
    <row r="5868" spans="1:25">
      <c r="A5868" t="s">
        <v>19614</v>
      </c>
      <c r="B5868" t="s">
        <v>19615</v>
      </c>
      <c r="D5868" t="s">
        <v>40</v>
      </c>
      <c r="E5868" t="s">
        <v>41</v>
      </c>
      <c r="J5868" t="s">
        <v>68</v>
      </c>
      <c r="K5868" t="s">
        <v>69</v>
      </c>
      <c r="L5868">
        <v>10</v>
      </c>
      <c r="M5868" t="s">
        <v>19609</v>
      </c>
      <c r="N5868" t="s">
        <v>64</v>
      </c>
      <c r="O5868" t="s">
        <v>46</v>
      </c>
      <c r="P5868" t="s">
        <v>46</v>
      </c>
      <c r="Y5868" t="s">
        <v>19616</v>
      </c>
    </row>
    <row r="5869" spans="1:25">
      <c r="A5869" t="s">
        <v>19617</v>
      </c>
      <c r="B5869" t="s">
        <v>19618</v>
      </c>
      <c r="D5869" t="s">
        <v>40</v>
      </c>
      <c r="E5869" t="s">
        <v>41</v>
      </c>
      <c r="J5869" t="s">
        <v>182</v>
      </c>
      <c r="K5869" t="s">
        <v>183</v>
      </c>
      <c r="L5869">
        <v>10</v>
      </c>
      <c r="M5869" t="s">
        <v>19609</v>
      </c>
      <c r="N5869" t="s">
        <v>64</v>
      </c>
      <c r="O5869" t="s">
        <v>46</v>
      </c>
      <c r="P5869" t="s">
        <v>46</v>
      </c>
      <c r="Y5869" t="s">
        <v>19619</v>
      </c>
    </row>
    <row r="5870" spans="1:25">
      <c r="A5870" t="s">
        <v>19620</v>
      </c>
      <c r="B5870" t="s">
        <v>19621</v>
      </c>
      <c r="D5870" t="s">
        <v>40</v>
      </c>
      <c r="E5870" t="s">
        <v>41</v>
      </c>
      <c r="J5870" t="s">
        <v>68</v>
      </c>
      <c r="K5870" t="s">
        <v>69</v>
      </c>
      <c r="L5870">
        <v>10</v>
      </c>
      <c r="M5870" t="s">
        <v>19622</v>
      </c>
      <c r="N5870" t="s">
        <v>64</v>
      </c>
      <c r="O5870" t="s">
        <v>46</v>
      </c>
      <c r="P5870" t="s">
        <v>46</v>
      </c>
      <c r="Y5870" t="s">
        <v>19623</v>
      </c>
    </row>
    <row r="5871" spans="1:25">
      <c r="A5871" t="s">
        <v>19624</v>
      </c>
      <c r="B5871" t="s">
        <v>19625</v>
      </c>
      <c r="D5871" t="s">
        <v>40</v>
      </c>
      <c r="E5871" t="s">
        <v>41</v>
      </c>
      <c r="J5871" t="s">
        <v>68</v>
      </c>
      <c r="K5871" t="s">
        <v>69</v>
      </c>
      <c r="L5871">
        <v>10</v>
      </c>
      <c r="M5871" t="s">
        <v>19622</v>
      </c>
      <c r="N5871" t="s">
        <v>64</v>
      </c>
      <c r="O5871" t="s">
        <v>46</v>
      </c>
      <c r="P5871" t="s">
        <v>46</v>
      </c>
      <c r="Y5871" t="s">
        <v>19626</v>
      </c>
    </row>
    <row r="5872" spans="1:25">
      <c r="A5872" t="s">
        <v>19627</v>
      </c>
      <c r="B5872" t="s">
        <v>19628</v>
      </c>
      <c r="D5872" t="s">
        <v>40</v>
      </c>
      <c r="E5872" t="s">
        <v>41</v>
      </c>
      <c r="J5872" t="s">
        <v>68</v>
      </c>
      <c r="K5872" t="s">
        <v>69</v>
      </c>
      <c r="L5872">
        <v>10</v>
      </c>
      <c r="M5872" t="s">
        <v>19629</v>
      </c>
      <c r="N5872" t="s">
        <v>64</v>
      </c>
      <c r="O5872" t="s">
        <v>46</v>
      </c>
      <c r="P5872" t="s">
        <v>46</v>
      </c>
      <c r="Y5872" t="s">
        <v>19630</v>
      </c>
    </row>
    <row r="5873" spans="1:25">
      <c r="A5873" t="s">
        <v>19631</v>
      </c>
      <c r="B5873" t="s">
        <v>19632</v>
      </c>
      <c r="D5873" t="s">
        <v>40</v>
      </c>
      <c r="E5873" t="s">
        <v>41</v>
      </c>
      <c r="J5873" t="s">
        <v>68</v>
      </c>
      <c r="K5873" t="s">
        <v>69</v>
      </c>
      <c r="L5873">
        <v>10</v>
      </c>
      <c r="M5873" t="s">
        <v>19629</v>
      </c>
      <c r="N5873" t="s">
        <v>64</v>
      </c>
      <c r="O5873" t="s">
        <v>46</v>
      </c>
      <c r="P5873" t="s">
        <v>46</v>
      </c>
      <c r="Y5873" t="s">
        <v>19633</v>
      </c>
    </row>
    <row r="5874" spans="1:25">
      <c r="A5874" t="s">
        <v>19634</v>
      </c>
      <c r="B5874" t="s">
        <v>19635</v>
      </c>
      <c r="D5874" t="s">
        <v>40</v>
      </c>
      <c r="E5874" t="s">
        <v>41</v>
      </c>
      <c r="J5874" t="s">
        <v>68</v>
      </c>
      <c r="K5874" t="s">
        <v>69</v>
      </c>
      <c r="L5874">
        <v>10</v>
      </c>
      <c r="M5874" t="s">
        <v>19629</v>
      </c>
      <c r="N5874" t="s">
        <v>64</v>
      </c>
      <c r="O5874" t="s">
        <v>46</v>
      </c>
      <c r="P5874" t="s">
        <v>46</v>
      </c>
      <c r="Y5874" t="s">
        <v>19636</v>
      </c>
    </row>
    <row r="5875" spans="1:25">
      <c r="A5875" t="s">
        <v>19637</v>
      </c>
      <c r="B5875" t="s">
        <v>19638</v>
      </c>
      <c r="D5875" t="s">
        <v>40</v>
      </c>
      <c r="E5875" t="s">
        <v>41</v>
      </c>
      <c r="J5875" t="s">
        <v>68</v>
      </c>
      <c r="K5875" t="s">
        <v>69</v>
      </c>
      <c r="L5875">
        <v>10</v>
      </c>
      <c r="M5875" t="s">
        <v>19639</v>
      </c>
      <c r="N5875" t="s">
        <v>64</v>
      </c>
      <c r="O5875" t="s">
        <v>46</v>
      </c>
      <c r="P5875" t="s">
        <v>46</v>
      </c>
      <c r="Y5875" t="s">
        <v>19640</v>
      </c>
    </row>
    <row r="5876" spans="1:25">
      <c r="A5876" t="s">
        <v>19641</v>
      </c>
      <c r="B5876" t="s">
        <v>19642</v>
      </c>
      <c r="D5876" t="s">
        <v>40</v>
      </c>
      <c r="E5876" t="s">
        <v>41</v>
      </c>
      <c r="J5876" t="s">
        <v>68</v>
      </c>
      <c r="K5876" t="s">
        <v>69</v>
      </c>
      <c r="L5876">
        <v>10</v>
      </c>
      <c r="M5876" t="s">
        <v>19639</v>
      </c>
      <c r="N5876" t="s">
        <v>64</v>
      </c>
      <c r="O5876" t="s">
        <v>46</v>
      </c>
      <c r="P5876" t="s">
        <v>46</v>
      </c>
      <c r="Y5876" t="s">
        <v>19643</v>
      </c>
    </row>
    <row r="5877" spans="1:25">
      <c r="A5877" t="s">
        <v>19644</v>
      </c>
      <c r="B5877" t="s">
        <v>19645</v>
      </c>
      <c r="D5877" t="s">
        <v>40</v>
      </c>
      <c r="E5877" t="s">
        <v>41</v>
      </c>
      <c r="J5877" t="s">
        <v>182</v>
      </c>
      <c r="K5877" t="s">
        <v>183</v>
      </c>
      <c r="L5877">
        <v>10</v>
      </c>
      <c r="M5877" t="s">
        <v>19639</v>
      </c>
      <c r="N5877" t="s">
        <v>64</v>
      </c>
      <c r="O5877" t="s">
        <v>46</v>
      </c>
      <c r="P5877" t="s">
        <v>46</v>
      </c>
      <c r="Y5877" t="s">
        <v>19646</v>
      </c>
    </row>
    <row r="5878" spans="1:25">
      <c r="A5878" t="s">
        <v>19647</v>
      </c>
      <c r="B5878" t="s">
        <v>19648</v>
      </c>
      <c r="D5878" t="s">
        <v>40</v>
      </c>
      <c r="E5878" t="s">
        <v>41</v>
      </c>
      <c r="J5878" t="s">
        <v>42</v>
      </c>
      <c r="K5878" t="s">
        <v>43</v>
      </c>
      <c r="L5878">
        <v>10</v>
      </c>
      <c r="M5878" t="s">
        <v>19639</v>
      </c>
      <c r="N5878" t="s">
        <v>2154</v>
      </c>
      <c r="O5878" t="s">
        <v>46</v>
      </c>
      <c r="P5878" t="s">
        <v>46</v>
      </c>
      <c r="Y5878" t="s">
        <v>19649</v>
      </c>
    </row>
    <row r="5879" spans="1:25">
      <c r="A5879" t="s">
        <v>19650</v>
      </c>
      <c r="B5879" t="s">
        <v>19651</v>
      </c>
      <c r="D5879" t="s">
        <v>40</v>
      </c>
      <c r="E5879" t="s">
        <v>41</v>
      </c>
      <c r="J5879" t="s">
        <v>68</v>
      </c>
      <c r="K5879" t="s">
        <v>69</v>
      </c>
      <c r="L5879">
        <v>10</v>
      </c>
      <c r="M5879" t="s">
        <v>19652</v>
      </c>
      <c r="N5879" t="s">
        <v>64</v>
      </c>
      <c r="O5879" t="s">
        <v>46</v>
      </c>
      <c r="P5879" t="s">
        <v>46</v>
      </c>
      <c r="Y5879" t="s">
        <v>19653</v>
      </c>
    </row>
    <row r="5880" spans="1:25">
      <c r="A5880" t="s">
        <v>19654</v>
      </c>
      <c r="B5880" t="s">
        <v>19655</v>
      </c>
      <c r="D5880" t="s">
        <v>40</v>
      </c>
      <c r="E5880" t="s">
        <v>41</v>
      </c>
      <c r="J5880" t="s">
        <v>68</v>
      </c>
      <c r="K5880" t="s">
        <v>69</v>
      </c>
      <c r="L5880">
        <v>10</v>
      </c>
      <c r="M5880" t="s">
        <v>19652</v>
      </c>
      <c r="N5880" t="s">
        <v>64</v>
      </c>
      <c r="O5880" t="s">
        <v>46</v>
      </c>
      <c r="P5880" t="s">
        <v>46</v>
      </c>
      <c r="Y5880" t="s">
        <v>19656</v>
      </c>
    </row>
    <row r="5881" spans="1:25">
      <c r="A5881" t="s">
        <v>19657</v>
      </c>
      <c r="B5881" t="s">
        <v>19658</v>
      </c>
      <c r="D5881" t="s">
        <v>40</v>
      </c>
      <c r="E5881" t="s">
        <v>41</v>
      </c>
      <c r="J5881" t="s">
        <v>68</v>
      </c>
      <c r="K5881" t="s">
        <v>69</v>
      </c>
      <c r="L5881">
        <v>10</v>
      </c>
      <c r="M5881" t="s">
        <v>19652</v>
      </c>
      <c r="N5881" t="s">
        <v>64</v>
      </c>
      <c r="O5881" t="s">
        <v>46</v>
      </c>
      <c r="P5881" t="s">
        <v>46</v>
      </c>
      <c r="Y5881" t="s">
        <v>19659</v>
      </c>
    </row>
    <row r="5882" spans="1:25">
      <c r="A5882" t="s">
        <v>19660</v>
      </c>
      <c r="B5882" t="s">
        <v>19661</v>
      </c>
      <c r="D5882" t="s">
        <v>40</v>
      </c>
      <c r="E5882" t="s">
        <v>41</v>
      </c>
      <c r="J5882" t="s">
        <v>68</v>
      </c>
      <c r="K5882" t="s">
        <v>69</v>
      </c>
      <c r="L5882">
        <v>10</v>
      </c>
      <c r="M5882" t="s">
        <v>19652</v>
      </c>
      <c r="N5882" t="s">
        <v>64</v>
      </c>
      <c r="O5882" t="s">
        <v>46</v>
      </c>
      <c r="P5882" t="s">
        <v>46</v>
      </c>
      <c r="Y5882" t="s">
        <v>19662</v>
      </c>
    </row>
    <row r="5883" spans="1:25">
      <c r="A5883" t="s">
        <v>19663</v>
      </c>
      <c r="B5883" t="s">
        <v>19664</v>
      </c>
      <c r="D5883" t="s">
        <v>40</v>
      </c>
      <c r="E5883" t="s">
        <v>41</v>
      </c>
      <c r="J5883" t="s">
        <v>182</v>
      </c>
      <c r="K5883" t="s">
        <v>183</v>
      </c>
      <c r="L5883">
        <v>10</v>
      </c>
      <c r="M5883" t="s">
        <v>19652</v>
      </c>
      <c r="N5883" t="s">
        <v>64</v>
      </c>
      <c r="O5883" t="s">
        <v>46</v>
      </c>
      <c r="P5883" t="s">
        <v>46</v>
      </c>
      <c r="Y5883" t="s">
        <v>19665</v>
      </c>
    </row>
    <row r="5884" spans="1:25">
      <c r="A5884" t="s">
        <v>19666</v>
      </c>
      <c r="B5884" t="s">
        <v>19667</v>
      </c>
      <c r="D5884" t="s">
        <v>40</v>
      </c>
      <c r="E5884" t="s">
        <v>41</v>
      </c>
      <c r="J5884" t="s">
        <v>248</v>
      </c>
      <c r="K5884" t="s">
        <v>249</v>
      </c>
      <c r="L5884">
        <v>11</v>
      </c>
      <c r="M5884" t="s">
        <v>19668</v>
      </c>
      <c r="N5884" t="s">
        <v>509</v>
      </c>
      <c r="O5884" t="s">
        <v>46</v>
      </c>
      <c r="P5884" t="s">
        <v>46</v>
      </c>
      <c r="Y5884" t="s">
        <v>19669</v>
      </c>
    </row>
    <row r="5885" spans="1:25">
      <c r="A5885" t="s">
        <v>19670</v>
      </c>
      <c r="B5885" t="s">
        <v>19671</v>
      </c>
      <c r="D5885" t="s">
        <v>40</v>
      </c>
      <c r="E5885" t="s">
        <v>41</v>
      </c>
      <c r="J5885" t="s">
        <v>139</v>
      </c>
      <c r="K5885" t="s">
        <v>140</v>
      </c>
      <c r="L5885">
        <v>11</v>
      </c>
      <c r="M5885" t="s">
        <v>19672</v>
      </c>
      <c r="N5885" t="s">
        <v>2346</v>
      </c>
      <c r="O5885" t="s">
        <v>46</v>
      </c>
      <c r="P5885" t="s">
        <v>46</v>
      </c>
      <c r="Y5885" t="s">
        <v>19673</v>
      </c>
    </row>
    <row r="5886" spans="1:25">
      <c r="A5886" t="s">
        <v>19674</v>
      </c>
      <c r="B5886" t="s">
        <v>19675</v>
      </c>
      <c r="D5886" t="s">
        <v>40</v>
      </c>
      <c r="E5886" t="s">
        <v>41</v>
      </c>
      <c r="J5886" t="s">
        <v>68</v>
      </c>
      <c r="K5886" t="s">
        <v>69</v>
      </c>
      <c r="L5886">
        <v>11</v>
      </c>
      <c r="M5886" t="s">
        <v>19676</v>
      </c>
      <c r="N5886" t="s">
        <v>64</v>
      </c>
      <c r="O5886" t="s">
        <v>46</v>
      </c>
      <c r="P5886" t="s">
        <v>46</v>
      </c>
      <c r="Y5886" t="s">
        <v>19677</v>
      </c>
    </row>
    <row r="5887" spans="1:25">
      <c r="A5887" t="s">
        <v>19678</v>
      </c>
      <c r="B5887" t="s">
        <v>19679</v>
      </c>
      <c r="D5887" t="s">
        <v>40</v>
      </c>
      <c r="E5887" t="s">
        <v>41</v>
      </c>
      <c r="J5887" t="s">
        <v>76</v>
      </c>
      <c r="K5887" t="s">
        <v>77</v>
      </c>
      <c r="L5887">
        <v>11</v>
      </c>
      <c r="M5887" t="s">
        <v>19680</v>
      </c>
      <c r="N5887" t="s">
        <v>64</v>
      </c>
      <c r="O5887" t="s">
        <v>46</v>
      </c>
      <c r="P5887" t="s">
        <v>46</v>
      </c>
      <c r="Y5887" t="s">
        <v>19681</v>
      </c>
    </row>
    <row r="5888" spans="1:25">
      <c r="A5888" t="s">
        <v>19682</v>
      </c>
      <c r="B5888" t="s">
        <v>19683</v>
      </c>
      <c r="D5888" t="s">
        <v>40</v>
      </c>
      <c r="E5888" t="s">
        <v>41</v>
      </c>
      <c r="J5888" t="s">
        <v>68</v>
      </c>
      <c r="K5888" t="s">
        <v>69</v>
      </c>
      <c r="L5888">
        <v>11</v>
      </c>
      <c r="M5888" t="s">
        <v>19680</v>
      </c>
      <c r="N5888" t="s">
        <v>64</v>
      </c>
      <c r="O5888" t="s">
        <v>46</v>
      </c>
      <c r="P5888" t="s">
        <v>46</v>
      </c>
      <c r="Y5888" t="s">
        <v>19684</v>
      </c>
    </row>
    <row r="5889" spans="1:25">
      <c r="A5889" t="s">
        <v>19685</v>
      </c>
      <c r="B5889" t="s">
        <v>19686</v>
      </c>
      <c r="D5889" t="s">
        <v>40</v>
      </c>
      <c r="E5889" t="s">
        <v>41</v>
      </c>
      <c r="J5889" t="s">
        <v>182</v>
      </c>
      <c r="K5889" t="s">
        <v>183</v>
      </c>
      <c r="L5889">
        <v>11</v>
      </c>
      <c r="M5889" t="s">
        <v>19680</v>
      </c>
      <c r="N5889" t="s">
        <v>64</v>
      </c>
      <c r="O5889" t="s">
        <v>46</v>
      </c>
      <c r="P5889" t="s">
        <v>46</v>
      </c>
      <c r="Y5889" t="s">
        <v>19687</v>
      </c>
    </row>
    <row r="5890" spans="1:25">
      <c r="A5890" t="s">
        <v>19688</v>
      </c>
      <c r="B5890" t="s">
        <v>19689</v>
      </c>
      <c r="D5890" t="s">
        <v>40</v>
      </c>
      <c r="E5890" t="s">
        <v>41</v>
      </c>
      <c r="J5890" t="s">
        <v>68</v>
      </c>
      <c r="K5890" t="s">
        <v>69</v>
      </c>
      <c r="L5890">
        <v>11</v>
      </c>
      <c r="M5890" t="s">
        <v>19680</v>
      </c>
      <c r="N5890" t="s">
        <v>64</v>
      </c>
      <c r="O5890" t="s">
        <v>46</v>
      </c>
      <c r="P5890" t="s">
        <v>46</v>
      </c>
      <c r="Y5890" t="s">
        <v>19690</v>
      </c>
    </row>
    <row r="5891" spans="1:25">
      <c r="A5891" t="s">
        <v>19691</v>
      </c>
      <c r="B5891" t="s">
        <v>19692</v>
      </c>
      <c r="D5891" t="s">
        <v>40</v>
      </c>
      <c r="E5891" t="s">
        <v>41</v>
      </c>
      <c r="J5891" t="s">
        <v>76</v>
      </c>
      <c r="K5891" t="s">
        <v>77</v>
      </c>
      <c r="L5891">
        <v>11</v>
      </c>
      <c r="M5891" t="s">
        <v>19680</v>
      </c>
      <c r="N5891" t="s">
        <v>64</v>
      </c>
      <c r="O5891" t="s">
        <v>46</v>
      </c>
      <c r="P5891" t="s">
        <v>46</v>
      </c>
      <c r="Y5891" t="s">
        <v>19693</v>
      </c>
    </row>
    <row r="5892" spans="1:25">
      <c r="A5892" t="s">
        <v>19694</v>
      </c>
      <c r="B5892" t="s">
        <v>19695</v>
      </c>
      <c r="D5892" t="s">
        <v>40</v>
      </c>
      <c r="E5892" t="s">
        <v>41</v>
      </c>
      <c r="J5892" t="s">
        <v>182</v>
      </c>
      <c r="K5892" t="s">
        <v>183</v>
      </c>
      <c r="L5892">
        <v>11</v>
      </c>
      <c r="M5892" t="s">
        <v>19680</v>
      </c>
      <c r="N5892" t="s">
        <v>64</v>
      </c>
      <c r="O5892" t="s">
        <v>46</v>
      </c>
      <c r="P5892" t="s">
        <v>46</v>
      </c>
      <c r="Y5892" t="s">
        <v>19696</v>
      </c>
    </row>
    <row r="5893" spans="1:25">
      <c r="A5893" t="s">
        <v>19697</v>
      </c>
      <c r="B5893" t="s">
        <v>19698</v>
      </c>
      <c r="D5893" t="s">
        <v>40</v>
      </c>
      <c r="E5893" t="s">
        <v>41</v>
      </c>
      <c r="J5893" t="s">
        <v>182</v>
      </c>
      <c r="K5893" t="s">
        <v>183</v>
      </c>
      <c r="L5893">
        <v>11</v>
      </c>
      <c r="M5893" t="s">
        <v>19699</v>
      </c>
      <c r="N5893" t="s">
        <v>64</v>
      </c>
      <c r="O5893" t="s">
        <v>46</v>
      </c>
      <c r="P5893" t="s">
        <v>46</v>
      </c>
      <c r="Y5893" t="s">
        <v>19700</v>
      </c>
    </row>
    <row r="5894" spans="1:25">
      <c r="A5894" t="s">
        <v>19701</v>
      </c>
      <c r="B5894" t="s">
        <v>19702</v>
      </c>
      <c r="D5894" t="s">
        <v>40</v>
      </c>
      <c r="E5894" t="s">
        <v>41</v>
      </c>
      <c r="J5894" t="s">
        <v>68</v>
      </c>
      <c r="K5894" t="s">
        <v>69</v>
      </c>
      <c r="L5894">
        <v>11</v>
      </c>
      <c r="M5894" t="s">
        <v>19699</v>
      </c>
      <c r="N5894" t="s">
        <v>64</v>
      </c>
      <c r="O5894" t="s">
        <v>46</v>
      </c>
      <c r="P5894" t="s">
        <v>46</v>
      </c>
      <c r="Y5894" t="s">
        <v>19703</v>
      </c>
    </row>
    <row r="5895" spans="1:25">
      <c r="A5895" t="s">
        <v>19704</v>
      </c>
      <c r="B5895" t="s">
        <v>19705</v>
      </c>
      <c r="D5895" t="s">
        <v>40</v>
      </c>
      <c r="E5895" t="s">
        <v>41</v>
      </c>
      <c r="J5895" t="s">
        <v>182</v>
      </c>
      <c r="K5895" t="s">
        <v>183</v>
      </c>
      <c r="L5895">
        <v>11</v>
      </c>
      <c r="M5895" t="s">
        <v>19699</v>
      </c>
      <c r="N5895" t="s">
        <v>64</v>
      </c>
      <c r="O5895" t="s">
        <v>46</v>
      </c>
      <c r="P5895" t="s">
        <v>46</v>
      </c>
      <c r="Y5895" t="s">
        <v>19706</v>
      </c>
    </row>
    <row r="5896" spans="1:25">
      <c r="A5896" t="s">
        <v>19707</v>
      </c>
      <c r="B5896" t="s">
        <v>19708</v>
      </c>
      <c r="D5896" t="s">
        <v>40</v>
      </c>
      <c r="E5896" t="s">
        <v>41</v>
      </c>
      <c r="J5896" t="s">
        <v>264</v>
      </c>
      <c r="K5896" t="s">
        <v>265</v>
      </c>
      <c r="L5896">
        <v>11</v>
      </c>
      <c r="M5896" t="s">
        <v>19699</v>
      </c>
      <c r="N5896" t="s">
        <v>2346</v>
      </c>
      <c r="O5896" t="s">
        <v>46</v>
      </c>
      <c r="P5896" t="s">
        <v>46</v>
      </c>
      <c r="Y5896" t="s">
        <v>19709</v>
      </c>
    </row>
    <row r="5897" spans="1:25">
      <c r="A5897" t="s">
        <v>19710</v>
      </c>
      <c r="B5897" t="s">
        <v>19711</v>
      </c>
      <c r="D5897" t="s">
        <v>40</v>
      </c>
      <c r="E5897" t="s">
        <v>41</v>
      </c>
      <c r="J5897" t="s">
        <v>68</v>
      </c>
      <c r="K5897" t="s">
        <v>69</v>
      </c>
      <c r="L5897">
        <v>11</v>
      </c>
      <c r="M5897" t="s">
        <v>19699</v>
      </c>
      <c r="N5897" t="s">
        <v>64</v>
      </c>
      <c r="O5897" t="s">
        <v>46</v>
      </c>
      <c r="P5897" t="s">
        <v>46</v>
      </c>
      <c r="Y5897" t="s">
        <v>19712</v>
      </c>
    </row>
    <row r="5898" spans="1:25">
      <c r="A5898" t="s">
        <v>19713</v>
      </c>
      <c r="B5898" t="s">
        <v>19714</v>
      </c>
      <c r="D5898" t="s">
        <v>40</v>
      </c>
      <c r="E5898" t="s">
        <v>41</v>
      </c>
      <c r="J5898" t="s">
        <v>182</v>
      </c>
      <c r="K5898" t="s">
        <v>183</v>
      </c>
      <c r="L5898">
        <v>10</v>
      </c>
      <c r="M5898" t="s">
        <v>19715</v>
      </c>
      <c r="N5898" t="s">
        <v>64</v>
      </c>
      <c r="O5898" t="s">
        <v>46</v>
      </c>
      <c r="P5898" t="s">
        <v>46</v>
      </c>
      <c r="Y5898" t="s">
        <v>19716</v>
      </c>
    </row>
    <row r="5899" spans="1:25">
      <c r="A5899" t="s">
        <v>19717</v>
      </c>
      <c r="B5899" t="s">
        <v>19718</v>
      </c>
      <c r="D5899" t="s">
        <v>40</v>
      </c>
      <c r="E5899" t="s">
        <v>41</v>
      </c>
      <c r="J5899" t="s">
        <v>68</v>
      </c>
      <c r="K5899" t="s">
        <v>69</v>
      </c>
      <c r="L5899">
        <v>10</v>
      </c>
      <c r="M5899" t="s">
        <v>19715</v>
      </c>
      <c r="N5899" t="s">
        <v>64</v>
      </c>
      <c r="O5899" t="s">
        <v>46</v>
      </c>
      <c r="P5899" t="s">
        <v>46</v>
      </c>
      <c r="Y5899" t="s">
        <v>19719</v>
      </c>
    </row>
    <row r="5900" spans="1:25">
      <c r="A5900" t="s">
        <v>19720</v>
      </c>
      <c r="B5900" t="s">
        <v>19721</v>
      </c>
      <c r="D5900" t="s">
        <v>40</v>
      </c>
      <c r="E5900" t="s">
        <v>41</v>
      </c>
      <c r="J5900" t="s">
        <v>68</v>
      </c>
      <c r="K5900" t="s">
        <v>69</v>
      </c>
      <c r="L5900">
        <v>11</v>
      </c>
      <c r="M5900" t="s">
        <v>19715</v>
      </c>
      <c r="N5900" t="s">
        <v>64</v>
      </c>
      <c r="O5900" t="s">
        <v>46</v>
      </c>
      <c r="P5900" t="s">
        <v>46</v>
      </c>
      <c r="Y5900" t="s">
        <v>19722</v>
      </c>
    </row>
    <row r="5901" spans="1:25">
      <c r="A5901" t="s">
        <v>19723</v>
      </c>
      <c r="B5901" t="s">
        <v>19724</v>
      </c>
      <c r="D5901" t="s">
        <v>40</v>
      </c>
      <c r="E5901" t="s">
        <v>41</v>
      </c>
      <c r="J5901" t="s">
        <v>42</v>
      </c>
      <c r="K5901" t="s">
        <v>43</v>
      </c>
      <c r="L5901">
        <v>11</v>
      </c>
      <c r="M5901" t="s">
        <v>19715</v>
      </c>
      <c r="N5901" t="s">
        <v>257</v>
      </c>
      <c r="O5901" t="s">
        <v>46</v>
      </c>
      <c r="P5901" t="s">
        <v>46</v>
      </c>
      <c r="Y5901" t="s">
        <v>19725</v>
      </c>
    </row>
    <row r="5902" spans="1:25">
      <c r="A5902" t="s">
        <v>19726</v>
      </c>
      <c r="B5902" t="s">
        <v>19727</v>
      </c>
      <c r="D5902" t="s">
        <v>40</v>
      </c>
      <c r="E5902" t="s">
        <v>41</v>
      </c>
      <c r="J5902" t="s">
        <v>68</v>
      </c>
      <c r="K5902" t="s">
        <v>69</v>
      </c>
      <c r="L5902">
        <v>11</v>
      </c>
      <c r="M5902" t="s">
        <v>19715</v>
      </c>
      <c r="N5902" t="s">
        <v>64</v>
      </c>
      <c r="O5902" t="s">
        <v>46</v>
      </c>
      <c r="P5902" t="s">
        <v>46</v>
      </c>
      <c r="Y5902" t="s">
        <v>19728</v>
      </c>
    </row>
    <row r="5903" spans="1:25">
      <c r="A5903" t="s">
        <v>19729</v>
      </c>
      <c r="B5903" t="s">
        <v>19730</v>
      </c>
      <c r="D5903" t="s">
        <v>40</v>
      </c>
      <c r="E5903" t="s">
        <v>41</v>
      </c>
      <c r="J5903" t="s">
        <v>182</v>
      </c>
      <c r="K5903" t="s">
        <v>183</v>
      </c>
      <c r="L5903">
        <v>11</v>
      </c>
      <c r="M5903" t="s">
        <v>19715</v>
      </c>
      <c r="N5903" t="s">
        <v>64</v>
      </c>
      <c r="O5903" t="s">
        <v>46</v>
      </c>
      <c r="P5903" t="s">
        <v>46</v>
      </c>
      <c r="Y5903" t="s">
        <v>19731</v>
      </c>
    </row>
    <row r="5904" spans="1:25">
      <c r="A5904" t="s">
        <v>19732</v>
      </c>
      <c r="B5904" t="s">
        <v>19733</v>
      </c>
      <c r="D5904" t="s">
        <v>40</v>
      </c>
      <c r="E5904" t="s">
        <v>41</v>
      </c>
      <c r="J5904" t="s">
        <v>645</v>
      </c>
      <c r="K5904" t="s">
        <v>646</v>
      </c>
      <c r="L5904">
        <v>11</v>
      </c>
      <c r="M5904" t="s">
        <v>19715</v>
      </c>
      <c r="N5904" t="s">
        <v>64</v>
      </c>
      <c r="O5904" t="s">
        <v>46</v>
      </c>
      <c r="P5904" t="s">
        <v>46</v>
      </c>
      <c r="Y5904" t="s">
        <v>19734</v>
      </c>
    </row>
    <row r="5905" spans="1:25">
      <c r="A5905" t="s">
        <v>19735</v>
      </c>
      <c r="B5905" t="s">
        <v>19736</v>
      </c>
      <c r="D5905" t="s">
        <v>40</v>
      </c>
      <c r="E5905" t="s">
        <v>41</v>
      </c>
      <c r="J5905" t="s">
        <v>264</v>
      </c>
      <c r="K5905" t="s">
        <v>265</v>
      </c>
      <c r="L5905">
        <v>10</v>
      </c>
      <c r="M5905" t="s">
        <v>19737</v>
      </c>
      <c r="N5905" t="s">
        <v>210</v>
      </c>
      <c r="O5905" t="s">
        <v>46</v>
      </c>
      <c r="P5905" t="s">
        <v>46</v>
      </c>
      <c r="Y5905" t="s">
        <v>19738</v>
      </c>
    </row>
    <row r="5906" spans="1:25">
      <c r="A5906" t="s">
        <v>19739</v>
      </c>
      <c r="B5906" t="s">
        <v>19740</v>
      </c>
      <c r="D5906" t="s">
        <v>40</v>
      </c>
      <c r="E5906" t="s">
        <v>41</v>
      </c>
      <c r="J5906" t="s">
        <v>68</v>
      </c>
      <c r="K5906" t="s">
        <v>69</v>
      </c>
      <c r="L5906">
        <v>10</v>
      </c>
      <c r="M5906" t="s">
        <v>19737</v>
      </c>
      <c r="N5906" t="s">
        <v>64</v>
      </c>
      <c r="O5906" t="s">
        <v>46</v>
      </c>
      <c r="P5906" t="s">
        <v>46</v>
      </c>
      <c r="Y5906" t="s">
        <v>19741</v>
      </c>
    </row>
    <row r="5907" spans="1:25">
      <c r="A5907" t="s">
        <v>19742</v>
      </c>
      <c r="B5907" t="s">
        <v>19743</v>
      </c>
      <c r="D5907" t="s">
        <v>40</v>
      </c>
      <c r="E5907" t="s">
        <v>41</v>
      </c>
      <c r="J5907" t="s">
        <v>182</v>
      </c>
      <c r="K5907" t="s">
        <v>183</v>
      </c>
      <c r="L5907">
        <v>10</v>
      </c>
      <c r="M5907" t="s">
        <v>19737</v>
      </c>
      <c r="N5907" t="s">
        <v>64</v>
      </c>
      <c r="O5907" t="s">
        <v>46</v>
      </c>
      <c r="P5907" t="s">
        <v>46</v>
      </c>
      <c r="Y5907" t="s">
        <v>19744</v>
      </c>
    </row>
    <row r="5908" spans="1:25">
      <c r="A5908" t="s">
        <v>19745</v>
      </c>
      <c r="B5908" t="s">
        <v>19746</v>
      </c>
      <c r="D5908" t="s">
        <v>40</v>
      </c>
      <c r="E5908" t="s">
        <v>41</v>
      </c>
      <c r="J5908" t="s">
        <v>182</v>
      </c>
      <c r="K5908" t="s">
        <v>183</v>
      </c>
      <c r="L5908">
        <v>10</v>
      </c>
      <c r="M5908" t="s">
        <v>19737</v>
      </c>
      <c r="N5908" t="s">
        <v>64</v>
      </c>
      <c r="O5908" t="s">
        <v>46</v>
      </c>
      <c r="P5908" t="s">
        <v>46</v>
      </c>
      <c r="Y5908" t="s">
        <v>19747</v>
      </c>
    </row>
    <row r="5909" spans="1:25">
      <c r="A5909" t="s">
        <v>19748</v>
      </c>
      <c r="B5909" t="s">
        <v>19749</v>
      </c>
      <c r="D5909" t="s">
        <v>40</v>
      </c>
      <c r="E5909" t="s">
        <v>41</v>
      </c>
      <c r="J5909" t="s">
        <v>68</v>
      </c>
      <c r="K5909" t="s">
        <v>69</v>
      </c>
      <c r="L5909">
        <v>10</v>
      </c>
      <c r="M5909" t="s">
        <v>19737</v>
      </c>
      <c r="N5909" t="s">
        <v>64</v>
      </c>
      <c r="O5909" t="s">
        <v>46</v>
      </c>
      <c r="P5909" t="s">
        <v>46</v>
      </c>
      <c r="Y5909" t="s">
        <v>19750</v>
      </c>
    </row>
    <row r="5910" spans="1:25">
      <c r="A5910" t="s">
        <v>19751</v>
      </c>
      <c r="B5910" t="s">
        <v>19752</v>
      </c>
      <c r="D5910" t="s">
        <v>40</v>
      </c>
      <c r="E5910" t="s">
        <v>41</v>
      </c>
      <c r="J5910" t="s">
        <v>68</v>
      </c>
      <c r="K5910" t="s">
        <v>69</v>
      </c>
      <c r="L5910">
        <v>10</v>
      </c>
      <c r="M5910" t="s">
        <v>19753</v>
      </c>
      <c r="N5910" t="s">
        <v>64</v>
      </c>
      <c r="O5910" t="s">
        <v>46</v>
      </c>
      <c r="P5910" t="s">
        <v>46</v>
      </c>
      <c r="Y5910" t="s">
        <v>19754</v>
      </c>
    </row>
    <row r="5911" spans="1:25">
      <c r="A5911" t="s">
        <v>19755</v>
      </c>
      <c r="B5911" t="s">
        <v>19756</v>
      </c>
      <c r="D5911" t="s">
        <v>40</v>
      </c>
      <c r="E5911" t="s">
        <v>41</v>
      </c>
      <c r="J5911" t="s">
        <v>68</v>
      </c>
      <c r="K5911" t="s">
        <v>69</v>
      </c>
      <c r="L5911">
        <v>10</v>
      </c>
      <c r="M5911" t="s">
        <v>19757</v>
      </c>
      <c r="N5911" t="s">
        <v>64</v>
      </c>
      <c r="O5911" t="s">
        <v>46</v>
      </c>
      <c r="P5911" t="s">
        <v>46</v>
      </c>
      <c r="Y5911" t="s">
        <v>19758</v>
      </c>
    </row>
    <row r="5912" spans="1:25">
      <c r="A5912" t="s">
        <v>19759</v>
      </c>
      <c r="B5912" t="s">
        <v>19760</v>
      </c>
      <c r="D5912" t="s">
        <v>40</v>
      </c>
      <c r="E5912" t="s">
        <v>41</v>
      </c>
      <c r="J5912" t="s">
        <v>182</v>
      </c>
      <c r="K5912" t="s">
        <v>183</v>
      </c>
      <c r="L5912">
        <v>10</v>
      </c>
      <c r="M5912" t="s">
        <v>19761</v>
      </c>
      <c r="N5912" t="s">
        <v>64</v>
      </c>
      <c r="O5912" t="s">
        <v>46</v>
      </c>
      <c r="P5912" t="s">
        <v>46</v>
      </c>
      <c r="Y5912" t="s">
        <v>19762</v>
      </c>
    </row>
    <row r="5913" spans="1:25">
      <c r="A5913" t="s">
        <v>19763</v>
      </c>
      <c r="B5913" t="s">
        <v>19764</v>
      </c>
      <c r="D5913" t="s">
        <v>40</v>
      </c>
      <c r="E5913" t="s">
        <v>41</v>
      </c>
      <c r="J5913" t="s">
        <v>645</v>
      </c>
      <c r="K5913" t="s">
        <v>646</v>
      </c>
      <c r="L5913">
        <v>10</v>
      </c>
      <c r="M5913" t="s">
        <v>19765</v>
      </c>
      <c r="N5913" t="s">
        <v>64</v>
      </c>
      <c r="O5913" t="s">
        <v>46</v>
      </c>
      <c r="P5913" t="s">
        <v>46</v>
      </c>
      <c r="Y5913" t="s">
        <v>19766</v>
      </c>
    </row>
    <row r="5914" spans="1:25">
      <c r="A5914" t="s">
        <v>19767</v>
      </c>
      <c r="B5914" t="s">
        <v>19768</v>
      </c>
      <c r="D5914" t="s">
        <v>40</v>
      </c>
      <c r="E5914" t="s">
        <v>41</v>
      </c>
      <c r="J5914" t="s">
        <v>182</v>
      </c>
      <c r="K5914" t="s">
        <v>183</v>
      </c>
      <c r="L5914">
        <v>10</v>
      </c>
      <c r="M5914" t="s">
        <v>19765</v>
      </c>
      <c r="N5914" t="s">
        <v>64</v>
      </c>
      <c r="O5914" t="s">
        <v>46</v>
      </c>
      <c r="P5914" t="s">
        <v>46</v>
      </c>
      <c r="Y5914" t="s">
        <v>19769</v>
      </c>
    </row>
    <row r="5915" spans="1:25">
      <c r="A5915" t="s">
        <v>19770</v>
      </c>
      <c r="B5915" t="s">
        <v>19771</v>
      </c>
      <c r="D5915" t="s">
        <v>40</v>
      </c>
      <c r="E5915" t="s">
        <v>41</v>
      </c>
      <c r="J5915" t="s">
        <v>68</v>
      </c>
      <c r="K5915" t="s">
        <v>69</v>
      </c>
      <c r="L5915">
        <v>10</v>
      </c>
      <c r="M5915" t="s">
        <v>19772</v>
      </c>
      <c r="N5915" t="s">
        <v>64</v>
      </c>
      <c r="O5915" t="s">
        <v>46</v>
      </c>
      <c r="P5915" t="s">
        <v>46</v>
      </c>
      <c r="Y5915" t="s">
        <v>19773</v>
      </c>
    </row>
    <row r="5916" spans="1:25">
      <c r="A5916" t="s">
        <v>19774</v>
      </c>
      <c r="B5916" t="s">
        <v>19775</v>
      </c>
      <c r="D5916" t="s">
        <v>40</v>
      </c>
      <c r="E5916" t="s">
        <v>41</v>
      </c>
      <c r="J5916" t="s">
        <v>68</v>
      </c>
      <c r="K5916" t="s">
        <v>69</v>
      </c>
      <c r="L5916">
        <v>10</v>
      </c>
      <c r="M5916" t="s">
        <v>19772</v>
      </c>
      <c r="N5916" t="s">
        <v>64</v>
      </c>
      <c r="O5916" t="s">
        <v>46</v>
      </c>
      <c r="P5916" t="s">
        <v>46</v>
      </c>
      <c r="Y5916" t="s">
        <v>19776</v>
      </c>
    </row>
    <row r="5917" spans="1:25">
      <c r="A5917" t="s">
        <v>19777</v>
      </c>
      <c r="B5917" t="s">
        <v>19778</v>
      </c>
      <c r="D5917" t="s">
        <v>40</v>
      </c>
      <c r="E5917" t="s">
        <v>41</v>
      </c>
      <c r="J5917" t="s">
        <v>68</v>
      </c>
      <c r="K5917" t="s">
        <v>69</v>
      </c>
      <c r="L5917">
        <v>10</v>
      </c>
      <c r="M5917" t="s">
        <v>19772</v>
      </c>
      <c r="N5917" t="s">
        <v>64</v>
      </c>
      <c r="O5917" t="s">
        <v>46</v>
      </c>
      <c r="P5917" t="s">
        <v>46</v>
      </c>
      <c r="Y5917" t="s">
        <v>19779</v>
      </c>
    </row>
    <row r="5918" spans="1:25">
      <c r="A5918" t="s">
        <v>19780</v>
      </c>
      <c r="B5918" t="s">
        <v>19781</v>
      </c>
      <c r="D5918" t="s">
        <v>40</v>
      </c>
      <c r="E5918" t="s">
        <v>41</v>
      </c>
      <c r="J5918" t="s">
        <v>68</v>
      </c>
      <c r="K5918" t="s">
        <v>69</v>
      </c>
      <c r="L5918">
        <v>10</v>
      </c>
      <c r="M5918" t="s">
        <v>19782</v>
      </c>
      <c r="N5918" t="s">
        <v>64</v>
      </c>
      <c r="O5918" t="s">
        <v>46</v>
      </c>
      <c r="P5918" t="s">
        <v>46</v>
      </c>
      <c r="Y5918" t="s">
        <v>19783</v>
      </c>
    </row>
    <row r="5919" spans="1:25">
      <c r="A5919" t="s">
        <v>19784</v>
      </c>
      <c r="B5919" t="s">
        <v>19785</v>
      </c>
      <c r="D5919" t="s">
        <v>40</v>
      </c>
      <c r="E5919" t="s">
        <v>41</v>
      </c>
      <c r="J5919" t="s">
        <v>68</v>
      </c>
      <c r="K5919" t="s">
        <v>69</v>
      </c>
      <c r="L5919">
        <v>10</v>
      </c>
      <c r="M5919" t="s">
        <v>19782</v>
      </c>
      <c r="N5919" t="s">
        <v>64</v>
      </c>
      <c r="O5919" t="s">
        <v>46</v>
      </c>
      <c r="P5919" t="s">
        <v>46</v>
      </c>
      <c r="Y5919" t="s">
        <v>19786</v>
      </c>
    </row>
    <row r="5920" spans="1:25">
      <c r="A5920" t="s">
        <v>19787</v>
      </c>
      <c r="B5920" t="s">
        <v>19788</v>
      </c>
      <c r="D5920" t="s">
        <v>40</v>
      </c>
      <c r="E5920" t="s">
        <v>41</v>
      </c>
      <c r="J5920" t="s">
        <v>42</v>
      </c>
      <c r="K5920" t="s">
        <v>43</v>
      </c>
      <c r="L5920">
        <v>10</v>
      </c>
      <c r="M5920" t="s">
        <v>19782</v>
      </c>
      <c r="N5920" t="s">
        <v>58</v>
      </c>
      <c r="O5920" t="s">
        <v>46</v>
      </c>
      <c r="P5920" t="s">
        <v>46</v>
      </c>
      <c r="Y5920" t="s">
        <v>19789</v>
      </c>
    </row>
    <row r="5921" spans="1:25">
      <c r="A5921" t="s">
        <v>19790</v>
      </c>
      <c r="B5921" t="s">
        <v>19791</v>
      </c>
      <c r="D5921" t="s">
        <v>40</v>
      </c>
      <c r="E5921" t="s">
        <v>41</v>
      </c>
      <c r="J5921" t="s">
        <v>68</v>
      </c>
      <c r="K5921" t="s">
        <v>69</v>
      </c>
      <c r="L5921">
        <v>10</v>
      </c>
      <c r="M5921" t="s">
        <v>19782</v>
      </c>
      <c r="N5921" t="s">
        <v>64</v>
      </c>
      <c r="O5921" t="s">
        <v>46</v>
      </c>
      <c r="P5921" t="s">
        <v>46</v>
      </c>
      <c r="Y5921" t="s">
        <v>19792</v>
      </c>
    </row>
    <row r="5922" spans="1:25">
      <c r="A5922" t="s">
        <v>19793</v>
      </c>
      <c r="B5922" t="s">
        <v>19794</v>
      </c>
      <c r="D5922" t="s">
        <v>40</v>
      </c>
      <c r="E5922" t="s">
        <v>41</v>
      </c>
      <c r="J5922" t="s">
        <v>68</v>
      </c>
      <c r="K5922" t="s">
        <v>69</v>
      </c>
      <c r="L5922">
        <v>10</v>
      </c>
      <c r="M5922" t="s">
        <v>19795</v>
      </c>
      <c r="N5922" t="s">
        <v>64</v>
      </c>
      <c r="O5922" t="s">
        <v>46</v>
      </c>
      <c r="P5922" t="s">
        <v>46</v>
      </c>
      <c r="Y5922" t="s">
        <v>19796</v>
      </c>
    </row>
    <row r="5923" spans="1:25">
      <c r="A5923" t="s">
        <v>19797</v>
      </c>
      <c r="B5923" t="s">
        <v>19798</v>
      </c>
      <c r="D5923" t="s">
        <v>40</v>
      </c>
      <c r="E5923" t="s">
        <v>41</v>
      </c>
      <c r="J5923" t="s">
        <v>68</v>
      </c>
      <c r="K5923" t="s">
        <v>69</v>
      </c>
      <c r="L5923">
        <v>10</v>
      </c>
      <c r="M5923" t="s">
        <v>19795</v>
      </c>
      <c r="N5923" t="s">
        <v>64</v>
      </c>
      <c r="O5923" t="s">
        <v>46</v>
      </c>
      <c r="P5923" t="s">
        <v>46</v>
      </c>
      <c r="Y5923" t="s">
        <v>19799</v>
      </c>
    </row>
    <row r="5924" spans="1:25">
      <c r="A5924" t="s">
        <v>19800</v>
      </c>
      <c r="B5924" t="s">
        <v>19801</v>
      </c>
      <c r="D5924" t="s">
        <v>40</v>
      </c>
      <c r="E5924" t="s">
        <v>41</v>
      </c>
      <c r="J5924" t="s">
        <v>68</v>
      </c>
      <c r="K5924" t="s">
        <v>69</v>
      </c>
      <c r="L5924">
        <v>10</v>
      </c>
      <c r="M5924" t="s">
        <v>19795</v>
      </c>
      <c r="N5924" t="s">
        <v>64</v>
      </c>
      <c r="O5924" t="s">
        <v>46</v>
      </c>
      <c r="P5924" t="s">
        <v>46</v>
      </c>
      <c r="Y5924" t="s">
        <v>19802</v>
      </c>
    </row>
    <row r="5925" spans="1:25">
      <c r="A5925" t="s">
        <v>19803</v>
      </c>
      <c r="B5925" t="s">
        <v>19804</v>
      </c>
      <c r="D5925" t="s">
        <v>40</v>
      </c>
      <c r="E5925" t="s">
        <v>41</v>
      </c>
      <c r="J5925" t="s">
        <v>68</v>
      </c>
      <c r="K5925" t="s">
        <v>69</v>
      </c>
      <c r="L5925">
        <v>10</v>
      </c>
      <c r="M5925" t="s">
        <v>19805</v>
      </c>
      <c r="N5925" t="s">
        <v>64</v>
      </c>
      <c r="O5925" t="s">
        <v>46</v>
      </c>
      <c r="P5925" t="s">
        <v>46</v>
      </c>
      <c r="Y5925" t="s">
        <v>19806</v>
      </c>
    </row>
    <row r="5926" spans="1:25">
      <c r="A5926" t="s">
        <v>19807</v>
      </c>
      <c r="B5926" t="s">
        <v>19808</v>
      </c>
      <c r="D5926" t="s">
        <v>40</v>
      </c>
      <c r="E5926" t="s">
        <v>41</v>
      </c>
      <c r="J5926" t="s">
        <v>68</v>
      </c>
      <c r="K5926" t="s">
        <v>69</v>
      </c>
      <c r="L5926">
        <v>10</v>
      </c>
      <c r="M5926" t="s">
        <v>19809</v>
      </c>
      <c r="N5926" t="s">
        <v>64</v>
      </c>
      <c r="O5926" t="s">
        <v>46</v>
      </c>
      <c r="P5926" t="s">
        <v>46</v>
      </c>
      <c r="Y5926" t="s">
        <v>19810</v>
      </c>
    </row>
    <row r="5927" spans="1:25">
      <c r="A5927" t="s">
        <v>19811</v>
      </c>
      <c r="B5927" t="s">
        <v>19812</v>
      </c>
      <c r="D5927" t="s">
        <v>40</v>
      </c>
      <c r="E5927" t="s">
        <v>41</v>
      </c>
      <c r="J5927" t="s">
        <v>182</v>
      </c>
      <c r="K5927" t="s">
        <v>183</v>
      </c>
      <c r="L5927">
        <v>10</v>
      </c>
      <c r="M5927" t="s">
        <v>19809</v>
      </c>
      <c r="N5927" t="s">
        <v>64</v>
      </c>
      <c r="O5927" t="s">
        <v>46</v>
      </c>
      <c r="P5927" t="s">
        <v>46</v>
      </c>
      <c r="Y5927" t="s">
        <v>19813</v>
      </c>
    </row>
    <row r="5928" spans="1:25">
      <c r="A5928" t="s">
        <v>19814</v>
      </c>
      <c r="B5928" t="s">
        <v>19815</v>
      </c>
      <c r="D5928" t="s">
        <v>40</v>
      </c>
      <c r="E5928" t="s">
        <v>41</v>
      </c>
      <c r="J5928" t="s">
        <v>68</v>
      </c>
      <c r="K5928" t="s">
        <v>69</v>
      </c>
      <c r="L5928">
        <v>10</v>
      </c>
      <c r="M5928" t="s">
        <v>19809</v>
      </c>
      <c r="N5928" t="s">
        <v>64</v>
      </c>
      <c r="O5928" t="s">
        <v>46</v>
      </c>
      <c r="P5928" t="s">
        <v>46</v>
      </c>
      <c r="Y5928" t="s">
        <v>19816</v>
      </c>
    </row>
    <row r="5929" spans="1:25">
      <c r="A5929" t="s">
        <v>19817</v>
      </c>
      <c r="B5929" t="s">
        <v>19818</v>
      </c>
      <c r="D5929" t="s">
        <v>40</v>
      </c>
      <c r="E5929" t="s">
        <v>41</v>
      </c>
      <c r="J5929" t="s">
        <v>68</v>
      </c>
      <c r="K5929" t="s">
        <v>69</v>
      </c>
      <c r="L5929">
        <v>10</v>
      </c>
      <c r="M5929" t="s">
        <v>19809</v>
      </c>
      <c r="N5929" t="s">
        <v>64</v>
      </c>
      <c r="O5929" t="s">
        <v>46</v>
      </c>
      <c r="P5929" t="s">
        <v>46</v>
      </c>
      <c r="Y5929" t="s">
        <v>19819</v>
      </c>
    </row>
    <row r="5930" spans="1:25">
      <c r="A5930" t="s">
        <v>19820</v>
      </c>
      <c r="B5930" t="s">
        <v>19821</v>
      </c>
      <c r="D5930" t="s">
        <v>40</v>
      </c>
      <c r="E5930" t="s">
        <v>41</v>
      </c>
      <c r="J5930" t="s">
        <v>264</v>
      </c>
      <c r="K5930" t="s">
        <v>265</v>
      </c>
      <c r="L5930">
        <v>10</v>
      </c>
      <c r="M5930" t="s">
        <v>19809</v>
      </c>
      <c r="N5930" t="s">
        <v>310</v>
      </c>
      <c r="O5930" t="s">
        <v>46</v>
      </c>
      <c r="P5930" t="s">
        <v>46</v>
      </c>
      <c r="Y5930" t="s">
        <v>19822</v>
      </c>
    </row>
    <row r="5931" spans="1:25">
      <c r="A5931" t="s">
        <v>19823</v>
      </c>
      <c r="B5931" t="s">
        <v>19824</v>
      </c>
      <c r="D5931" t="s">
        <v>40</v>
      </c>
      <c r="E5931" t="s">
        <v>41</v>
      </c>
      <c r="J5931" t="s">
        <v>182</v>
      </c>
      <c r="K5931" t="s">
        <v>183</v>
      </c>
      <c r="L5931">
        <v>10</v>
      </c>
      <c r="M5931" t="s">
        <v>19809</v>
      </c>
      <c r="N5931" t="s">
        <v>64</v>
      </c>
      <c r="O5931" t="s">
        <v>46</v>
      </c>
      <c r="P5931" t="s">
        <v>46</v>
      </c>
      <c r="Y5931" t="s">
        <v>19825</v>
      </c>
    </row>
    <row r="5932" spans="1:25">
      <c r="A5932" t="s">
        <v>19826</v>
      </c>
      <c r="B5932" t="s">
        <v>19827</v>
      </c>
      <c r="D5932" t="s">
        <v>40</v>
      </c>
      <c r="E5932" t="s">
        <v>41</v>
      </c>
      <c r="J5932" t="s">
        <v>68</v>
      </c>
      <c r="K5932" t="s">
        <v>69</v>
      </c>
      <c r="L5932">
        <v>10</v>
      </c>
      <c r="M5932" t="s">
        <v>19809</v>
      </c>
      <c r="N5932" t="s">
        <v>64</v>
      </c>
      <c r="O5932" t="s">
        <v>46</v>
      </c>
      <c r="P5932" t="s">
        <v>46</v>
      </c>
      <c r="Y5932" t="s">
        <v>19828</v>
      </c>
    </row>
    <row r="5933" spans="1:25">
      <c r="A5933" t="s">
        <v>19829</v>
      </c>
      <c r="B5933" t="s">
        <v>19830</v>
      </c>
      <c r="D5933" t="s">
        <v>40</v>
      </c>
      <c r="E5933" t="s">
        <v>41</v>
      </c>
      <c r="J5933" t="s">
        <v>68</v>
      </c>
      <c r="K5933" t="s">
        <v>69</v>
      </c>
      <c r="L5933">
        <v>10</v>
      </c>
      <c r="M5933" t="s">
        <v>19809</v>
      </c>
      <c r="N5933" t="s">
        <v>64</v>
      </c>
      <c r="O5933" t="s">
        <v>46</v>
      </c>
      <c r="P5933" t="s">
        <v>46</v>
      </c>
      <c r="Y5933" t="s">
        <v>19831</v>
      </c>
    </row>
    <row r="5934" spans="1:25">
      <c r="A5934" t="s">
        <v>19832</v>
      </c>
      <c r="B5934" t="s">
        <v>19833</v>
      </c>
      <c r="D5934" t="s">
        <v>40</v>
      </c>
      <c r="E5934" t="s">
        <v>41</v>
      </c>
      <c r="J5934" t="s">
        <v>68</v>
      </c>
      <c r="K5934" t="s">
        <v>69</v>
      </c>
      <c r="L5934">
        <v>10</v>
      </c>
      <c r="M5934" t="s">
        <v>19834</v>
      </c>
      <c r="N5934" t="s">
        <v>64</v>
      </c>
      <c r="O5934" t="s">
        <v>46</v>
      </c>
      <c r="P5934" t="s">
        <v>46</v>
      </c>
      <c r="Y5934" t="s">
        <v>19835</v>
      </c>
    </row>
    <row r="5935" spans="1:25">
      <c r="A5935" t="s">
        <v>19836</v>
      </c>
      <c r="B5935" t="s">
        <v>19837</v>
      </c>
      <c r="D5935" t="s">
        <v>40</v>
      </c>
      <c r="E5935" t="s">
        <v>41</v>
      </c>
      <c r="J5935" t="s">
        <v>68</v>
      </c>
      <c r="K5935" t="s">
        <v>69</v>
      </c>
      <c r="L5935">
        <v>10</v>
      </c>
      <c r="M5935" t="s">
        <v>19834</v>
      </c>
      <c r="N5935" t="s">
        <v>64</v>
      </c>
      <c r="O5935" t="s">
        <v>46</v>
      </c>
      <c r="P5935" t="s">
        <v>46</v>
      </c>
      <c r="Y5935" t="s">
        <v>19838</v>
      </c>
    </row>
    <row r="5936" spans="1:25">
      <c r="A5936" t="s">
        <v>19839</v>
      </c>
      <c r="B5936" t="s">
        <v>19840</v>
      </c>
      <c r="D5936" t="s">
        <v>40</v>
      </c>
      <c r="E5936" t="s">
        <v>41</v>
      </c>
      <c r="J5936" t="s">
        <v>182</v>
      </c>
      <c r="K5936" t="s">
        <v>183</v>
      </c>
      <c r="L5936">
        <v>10</v>
      </c>
      <c r="M5936" t="s">
        <v>19834</v>
      </c>
      <c r="N5936" t="s">
        <v>64</v>
      </c>
      <c r="O5936" t="s">
        <v>46</v>
      </c>
      <c r="P5936" t="s">
        <v>46</v>
      </c>
      <c r="Y5936" t="s">
        <v>19841</v>
      </c>
    </row>
    <row r="5937" spans="1:25">
      <c r="A5937" t="s">
        <v>19842</v>
      </c>
      <c r="B5937" t="s">
        <v>19843</v>
      </c>
      <c r="D5937" t="s">
        <v>40</v>
      </c>
      <c r="E5937" t="s">
        <v>41</v>
      </c>
      <c r="J5937" t="s">
        <v>68</v>
      </c>
      <c r="K5937" t="s">
        <v>69</v>
      </c>
      <c r="L5937">
        <v>10</v>
      </c>
      <c r="M5937" t="s">
        <v>19834</v>
      </c>
      <c r="N5937" t="s">
        <v>64</v>
      </c>
      <c r="O5937" t="s">
        <v>46</v>
      </c>
      <c r="P5937" t="s">
        <v>46</v>
      </c>
      <c r="Y5937" t="s">
        <v>19844</v>
      </c>
    </row>
    <row r="5938" spans="1:25">
      <c r="A5938" t="s">
        <v>19845</v>
      </c>
      <c r="B5938" t="s">
        <v>19846</v>
      </c>
      <c r="D5938" t="s">
        <v>40</v>
      </c>
      <c r="E5938" t="s">
        <v>41</v>
      </c>
      <c r="J5938" t="s">
        <v>182</v>
      </c>
      <c r="K5938" t="s">
        <v>183</v>
      </c>
      <c r="L5938">
        <v>10</v>
      </c>
      <c r="M5938" t="s">
        <v>19847</v>
      </c>
      <c r="N5938" t="s">
        <v>64</v>
      </c>
      <c r="O5938" t="s">
        <v>46</v>
      </c>
      <c r="P5938" t="s">
        <v>46</v>
      </c>
      <c r="Y5938" t="s">
        <v>19848</v>
      </c>
    </row>
    <row r="5939" spans="1:25">
      <c r="A5939" t="s">
        <v>19849</v>
      </c>
      <c r="B5939" t="s">
        <v>19850</v>
      </c>
      <c r="D5939" t="s">
        <v>40</v>
      </c>
      <c r="E5939" t="s">
        <v>41</v>
      </c>
      <c r="J5939" t="s">
        <v>68</v>
      </c>
      <c r="K5939" t="s">
        <v>69</v>
      </c>
      <c r="L5939">
        <v>10</v>
      </c>
      <c r="M5939" t="s">
        <v>19851</v>
      </c>
      <c r="N5939" t="s">
        <v>64</v>
      </c>
      <c r="O5939" t="s">
        <v>46</v>
      </c>
      <c r="P5939" t="s">
        <v>46</v>
      </c>
      <c r="Y5939" t="s">
        <v>19852</v>
      </c>
    </row>
    <row r="5940" spans="1:25">
      <c r="A5940" t="s">
        <v>19853</v>
      </c>
      <c r="B5940" t="s">
        <v>19854</v>
      </c>
      <c r="D5940" t="s">
        <v>40</v>
      </c>
      <c r="E5940" t="s">
        <v>41</v>
      </c>
      <c r="J5940" t="s">
        <v>1142</v>
      </c>
      <c r="K5940" t="s">
        <v>1143</v>
      </c>
      <c r="L5940">
        <v>10</v>
      </c>
      <c r="M5940" t="s">
        <v>19851</v>
      </c>
      <c r="N5940" t="s">
        <v>1258</v>
      </c>
      <c r="O5940" t="s">
        <v>46</v>
      </c>
      <c r="P5940" t="s">
        <v>46</v>
      </c>
      <c r="Y5940" t="s">
        <v>19855</v>
      </c>
    </row>
    <row r="5941" spans="1:25">
      <c r="A5941" t="s">
        <v>19856</v>
      </c>
      <c r="B5941" t="s">
        <v>19857</v>
      </c>
      <c r="D5941" t="s">
        <v>40</v>
      </c>
      <c r="E5941" t="s">
        <v>41</v>
      </c>
      <c r="J5941" t="s">
        <v>68</v>
      </c>
      <c r="K5941" t="s">
        <v>69</v>
      </c>
      <c r="L5941">
        <v>10</v>
      </c>
      <c r="M5941" t="s">
        <v>19851</v>
      </c>
      <c r="N5941" t="s">
        <v>64</v>
      </c>
      <c r="O5941" t="s">
        <v>46</v>
      </c>
      <c r="P5941" t="s">
        <v>46</v>
      </c>
      <c r="Y5941" t="s">
        <v>19858</v>
      </c>
    </row>
    <row r="5942" spans="1:25">
      <c r="A5942" t="s">
        <v>19859</v>
      </c>
      <c r="B5942" t="s">
        <v>19860</v>
      </c>
      <c r="D5942" t="s">
        <v>40</v>
      </c>
      <c r="E5942" t="s">
        <v>41</v>
      </c>
      <c r="J5942" t="s">
        <v>42</v>
      </c>
      <c r="K5942" t="s">
        <v>43</v>
      </c>
      <c r="L5942">
        <v>10</v>
      </c>
      <c r="M5942" t="s">
        <v>19851</v>
      </c>
      <c r="N5942" t="s">
        <v>173</v>
      </c>
      <c r="O5942" t="s">
        <v>46</v>
      </c>
      <c r="P5942" t="s">
        <v>46</v>
      </c>
      <c r="Y5942" t="s">
        <v>19861</v>
      </c>
    </row>
    <row r="5943" spans="1:25">
      <c r="A5943" t="s">
        <v>19862</v>
      </c>
      <c r="B5943" t="s">
        <v>19863</v>
      </c>
      <c r="D5943" t="s">
        <v>40</v>
      </c>
      <c r="E5943" t="s">
        <v>41</v>
      </c>
      <c r="J5943" t="s">
        <v>68</v>
      </c>
      <c r="K5943" t="s">
        <v>69</v>
      </c>
      <c r="L5943">
        <v>10</v>
      </c>
      <c r="M5943" t="s">
        <v>19864</v>
      </c>
      <c r="N5943" t="s">
        <v>64</v>
      </c>
      <c r="O5943" t="s">
        <v>46</v>
      </c>
      <c r="P5943" t="s">
        <v>46</v>
      </c>
      <c r="Y5943" t="s">
        <v>19865</v>
      </c>
    </row>
    <row r="5944" spans="1:25">
      <c r="A5944" t="s">
        <v>19866</v>
      </c>
      <c r="B5944" t="s">
        <v>19867</v>
      </c>
      <c r="D5944" t="s">
        <v>40</v>
      </c>
      <c r="E5944" t="s">
        <v>41</v>
      </c>
      <c r="J5944" t="s">
        <v>182</v>
      </c>
      <c r="K5944" t="s">
        <v>183</v>
      </c>
      <c r="L5944">
        <v>10</v>
      </c>
      <c r="M5944" t="s">
        <v>19864</v>
      </c>
      <c r="N5944" t="s">
        <v>64</v>
      </c>
      <c r="O5944" t="s">
        <v>46</v>
      </c>
      <c r="P5944" t="s">
        <v>46</v>
      </c>
      <c r="Y5944" t="s">
        <v>19868</v>
      </c>
    </row>
    <row r="5945" spans="1:25">
      <c r="A5945" t="s">
        <v>19869</v>
      </c>
      <c r="B5945" t="s">
        <v>19870</v>
      </c>
      <c r="D5945" t="s">
        <v>40</v>
      </c>
      <c r="E5945" t="s">
        <v>41</v>
      </c>
      <c r="J5945" t="s">
        <v>68</v>
      </c>
      <c r="K5945" t="s">
        <v>69</v>
      </c>
      <c r="L5945">
        <v>10</v>
      </c>
      <c r="M5945" t="s">
        <v>19864</v>
      </c>
      <c r="N5945" t="s">
        <v>64</v>
      </c>
      <c r="O5945" t="s">
        <v>46</v>
      </c>
      <c r="P5945" t="s">
        <v>46</v>
      </c>
      <c r="Y5945" t="s">
        <v>19871</v>
      </c>
    </row>
    <row r="5946" spans="1:25">
      <c r="A5946" t="s">
        <v>19872</v>
      </c>
      <c r="B5946" t="s">
        <v>19873</v>
      </c>
      <c r="D5946" t="s">
        <v>40</v>
      </c>
      <c r="E5946" t="s">
        <v>41</v>
      </c>
      <c r="J5946" t="s">
        <v>68</v>
      </c>
      <c r="K5946" t="s">
        <v>69</v>
      </c>
      <c r="L5946">
        <v>10</v>
      </c>
      <c r="M5946" t="s">
        <v>19864</v>
      </c>
      <c r="N5946" t="s">
        <v>64</v>
      </c>
      <c r="O5946" t="s">
        <v>46</v>
      </c>
      <c r="P5946" t="s">
        <v>46</v>
      </c>
      <c r="Y5946" t="s">
        <v>19874</v>
      </c>
    </row>
    <row r="5947" spans="1:25">
      <c r="A5947" t="s">
        <v>19875</v>
      </c>
      <c r="B5947" t="s">
        <v>19876</v>
      </c>
      <c r="D5947" t="s">
        <v>40</v>
      </c>
      <c r="E5947" t="s">
        <v>41</v>
      </c>
      <c r="J5947" t="s">
        <v>68</v>
      </c>
      <c r="K5947" t="s">
        <v>69</v>
      </c>
      <c r="L5947">
        <v>10</v>
      </c>
      <c r="M5947" t="s">
        <v>19877</v>
      </c>
      <c r="N5947" t="s">
        <v>64</v>
      </c>
      <c r="O5947" t="s">
        <v>46</v>
      </c>
      <c r="P5947" t="s">
        <v>46</v>
      </c>
      <c r="Y5947" t="s">
        <v>19878</v>
      </c>
    </row>
    <row r="5948" spans="1:25">
      <c r="A5948" t="s">
        <v>19879</v>
      </c>
      <c r="B5948" t="s">
        <v>19880</v>
      </c>
      <c r="D5948" t="s">
        <v>40</v>
      </c>
      <c r="E5948" t="s">
        <v>41</v>
      </c>
      <c r="J5948" t="s">
        <v>68</v>
      </c>
      <c r="K5948" t="s">
        <v>69</v>
      </c>
      <c r="L5948">
        <v>10</v>
      </c>
      <c r="M5948" t="s">
        <v>19877</v>
      </c>
      <c r="N5948" t="s">
        <v>64</v>
      </c>
      <c r="O5948" t="s">
        <v>46</v>
      </c>
      <c r="P5948" t="s">
        <v>46</v>
      </c>
      <c r="Y5948" t="s">
        <v>19881</v>
      </c>
    </row>
    <row r="5949" spans="1:25">
      <c r="A5949" t="s">
        <v>19882</v>
      </c>
      <c r="B5949" t="s">
        <v>19883</v>
      </c>
      <c r="D5949" t="s">
        <v>40</v>
      </c>
      <c r="E5949" t="s">
        <v>41</v>
      </c>
      <c r="J5949" t="s">
        <v>68</v>
      </c>
      <c r="K5949" t="s">
        <v>69</v>
      </c>
      <c r="L5949">
        <v>10</v>
      </c>
      <c r="M5949" t="s">
        <v>19877</v>
      </c>
      <c r="N5949" t="s">
        <v>64</v>
      </c>
      <c r="O5949" t="s">
        <v>46</v>
      </c>
      <c r="P5949" t="s">
        <v>46</v>
      </c>
      <c r="Y5949" t="s">
        <v>19884</v>
      </c>
    </row>
    <row r="5950" spans="1:25">
      <c r="A5950" t="s">
        <v>19885</v>
      </c>
      <c r="B5950" t="s">
        <v>19886</v>
      </c>
      <c r="D5950" t="s">
        <v>40</v>
      </c>
      <c r="E5950" t="s">
        <v>41</v>
      </c>
      <c r="J5950" t="s">
        <v>68</v>
      </c>
      <c r="K5950" t="s">
        <v>69</v>
      </c>
      <c r="L5950">
        <v>10</v>
      </c>
      <c r="M5950" t="s">
        <v>19877</v>
      </c>
      <c r="N5950" t="s">
        <v>64</v>
      </c>
      <c r="O5950" t="s">
        <v>46</v>
      </c>
      <c r="P5950" t="s">
        <v>46</v>
      </c>
      <c r="Y5950" t="s">
        <v>19887</v>
      </c>
    </row>
    <row r="5951" spans="1:25">
      <c r="A5951" t="s">
        <v>19888</v>
      </c>
      <c r="B5951" t="s">
        <v>19889</v>
      </c>
      <c r="D5951" t="s">
        <v>40</v>
      </c>
      <c r="E5951" t="s">
        <v>41</v>
      </c>
      <c r="J5951" t="s">
        <v>182</v>
      </c>
      <c r="K5951" t="s">
        <v>183</v>
      </c>
      <c r="L5951">
        <v>10</v>
      </c>
      <c r="M5951" t="s">
        <v>19877</v>
      </c>
      <c r="N5951" t="s">
        <v>64</v>
      </c>
      <c r="O5951" t="s">
        <v>46</v>
      </c>
      <c r="P5951" t="s">
        <v>46</v>
      </c>
      <c r="Y5951" t="s">
        <v>19890</v>
      </c>
    </row>
    <row r="5952" spans="1:25">
      <c r="A5952" t="s">
        <v>19891</v>
      </c>
      <c r="B5952" t="s">
        <v>19892</v>
      </c>
      <c r="D5952" t="s">
        <v>40</v>
      </c>
      <c r="E5952" t="s">
        <v>41</v>
      </c>
      <c r="J5952" t="s">
        <v>68</v>
      </c>
      <c r="K5952" t="s">
        <v>69</v>
      </c>
      <c r="L5952">
        <v>10</v>
      </c>
      <c r="M5952" t="s">
        <v>19877</v>
      </c>
      <c r="N5952" t="s">
        <v>64</v>
      </c>
      <c r="O5952" t="s">
        <v>46</v>
      </c>
      <c r="P5952" t="s">
        <v>46</v>
      </c>
      <c r="Y5952" t="s">
        <v>19893</v>
      </c>
    </row>
    <row r="5953" spans="1:25">
      <c r="A5953" t="s">
        <v>19894</v>
      </c>
      <c r="B5953" t="s">
        <v>19895</v>
      </c>
      <c r="D5953" t="s">
        <v>40</v>
      </c>
      <c r="E5953" t="s">
        <v>41</v>
      </c>
      <c r="J5953" t="s">
        <v>182</v>
      </c>
      <c r="K5953" t="s">
        <v>183</v>
      </c>
      <c r="L5953">
        <v>10</v>
      </c>
      <c r="M5953" t="s">
        <v>19877</v>
      </c>
      <c r="N5953" t="s">
        <v>64</v>
      </c>
      <c r="O5953" t="s">
        <v>46</v>
      </c>
      <c r="P5953" t="s">
        <v>46</v>
      </c>
      <c r="Y5953" t="s">
        <v>19896</v>
      </c>
    </row>
    <row r="5954" spans="1:25">
      <c r="A5954" t="s">
        <v>19897</v>
      </c>
      <c r="B5954" t="s">
        <v>19898</v>
      </c>
      <c r="D5954" t="s">
        <v>40</v>
      </c>
      <c r="E5954" t="s">
        <v>41</v>
      </c>
      <c r="J5954" t="s">
        <v>68</v>
      </c>
      <c r="K5954" t="s">
        <v>69</v>
      </c>
      <c r="L5954">
        <v>10</v>
      </c>
      <c r="M5954" t="s">
        <v>19877</v>
      </c>
      <c r="N5954" t="s">
        <v>64</v>
      </c>
      <c r="O5954" t="s">
        <v>46</v>
      </c>
      <c r="P5954" t="s">
        <v>46</v>
      </c>
      <c r="Y5954" t="s">
        <v>19899</v>
      </c>
    </row>
    <row r="5955" spans="1:25">
      <c r="A5955" t="s">
        <v>19900</v>
      </c>
      <c r="B5955" t="s">
        <v>19901</v>
      </c>
      <c r="D5955" t="s">
        <v>40</v>
      </c>
      <c r="E5955" t="s">
        <v>41</v>
      </c>
      <c r="J5955" t="s">
        <v>76</v>
      </c>
      <c r="K5955" t="s">
        <v>77</v>
      </c>
      <c r="L5955">
        <v>10</v>
      </c>
      <c r="M5955" t="s">
        <v>19902</v>
      </c>
      <c r="N5955" t="s">
        <v>64</v>
      </c>
      <c r="O5955" t="s">
        <v>46</v>
      </c>
      <c r="P5955" t="s">
        <v>46</v>
      </c>
      <c r="Y5955" t="s">
        <v>19903</v>
      </c>
    </row>
    <row r="5956" spans="1:25">
      <c r="A5956" t="s">
        <v>19904</v>
      </c>
      <c r="B5956" t="s">
        <v>19905</v>
      </c>
      <c r="D5956" t="s">
        <v>40</v>
      </c>
      <c r="E5956" t="s">
        <v>41</v>
      </c>
      <c r="J5956" t="s">
        <v>68</v>
      </c>
      <c r="K5956" t="s">
        <v>69</v>
      </c>
      <c r="L5956">
        <v>10</v>
      </c>
      <c r="M5956" t="s">
        <v>19902</v>
      </c>
      <c r="N5956" t="s">
        <v>64</v>
      </c>
      <c r="O5956" t="s">
        <v>46</v>
      </c>
      <c r="P5956" t="s">
        <v>46</v>
      </c>
      <c r="Y5956" t="s">
        <v>19906</v>
      </c>
    </row>
    <row r="5957" spans="1:25">
      <c r="A5957" t="s">
        <v>19907</v>
      </c>
      <c r="B5957" t="s">
        <v>19908</v>
      </c>
      <c r="D5957" t="s">
        <v>40</v>
      </c>
      <c r="E5957" t="s">
        <v>41</v>
      </c>
      <c r="J5957" t="s">
        <v>68</v>
      </c>
      <c r="K5957" t="s">
        <v>69</v>
      </c>
      <c r="L5957">
        <v>10</v>
      </c>
      <c r="M5957" t="s">
        <v>19902</v>
      </c>
      <c r="N5957" t="s">
        <v>64</v>
      </c>
      <c r="O5957" t="s">
        <v>46</v>
      </c>
      <c r="P5957" t="s">
        <v>46</v>
      </c>
      <c r="Y5957" t="s">
        <v>19909</v>
      </c>
    </row>
    <row r="5958" spans="1:25">
      <c r="A5958" t="s">
        <v>19910</v>
      </c>
      <c r="B5958" t="s">
        <v>19911</v>
      </c>
      <c r="D5958" t="s">
        <v>40</v>
      </c>
      <c r="E5958" t="s">
        <v>41</v>
      </c>
      <c r="J5958" t="s">
        <v>68</v>
      </c>
      <c r="K5958" t="s">
        <v>69</v>
      </c>
      <c r="L5958">
        <v>10</v>
      </c>
      <c r="M5958" t="s">
        <v>19902</v>
      </c>
      <c r="N5958" t="s">
        <v>64</v>
      </c>
      <c r="O5958" t="s">
        <v>46</v>
      </c>
      <c r="P5958" t="s">
        <v>46</v>
      </c>
      <c r="Y5958" t="s">
        <v>19912</v>
      </c>
    </row>
    <row r="5959" spans="1:25">
      <c r="A5959" t="s">
        <v>19913</v>
      </c>
      <c r="B5959" t="s">
        <v>19914</v>
      </c>
      <c r="D5959" t="s">
        <v>40</v>
      </c>
      <c r="E5959" t="s">
        <v>41</v>
      </c>
      <c r="J5959" t="s">
        <v>76</v>
      </c>
      <c r="K5959" t="s">
        <v>77</v>
      </c>
      <c r="L5959">
        <v>10</v>
      </c>
      <c r="M5959" t="s">
        <v>19902</v>
      </c>
      <c r="N5959" t="s">
        <v>64</v>
      </c>
      <c r="O5959" t="s">
        <v>46</v>
      </c>
      <c r="P5959" t="s">
        <v>46</v>
      </c>
      <c r="Y5959" t="s">
        <v>19915</v>
      </c>
    </row>
    <row r="5960" spans="1:25">
      <c r="A5960" t="s">
        <v>19916</v>
      </c>
      <c r="B5960" t="s">
        <v>19917</v>
      </c>
      <c r="D5960" t="s">
        <v>40</v>
      </c>
      <c r="E5960" t="s">
        <v>41</v>
      </c>
      <c r="J5960" t="s">
        <v>76</v>
      </c>
      <c r="K5960" t="s">
        <v>77</v>
      </c>
      <c r="L5960">
        <v>10</v>
      </c>
      <c r="M5960" t="s">
        <v>19902</v>
      </c>
      <c r="N5960" t="s">
        <v>64</v>
      </c>
      <c r="O5960" t="s">
        <v>46</v>
      </c>
      <c r="P5960" t="s">
        <v>46</v>
      </c>
      <c r="Y5960" t="s">
        <v>19918</v>
      </c>
    </row>
    <row r="5961" spans="1:25">
      <c r="A5961" t="s">
        <v>19919</v>
      </c>
      <c r="B5961" t="s">
        <v>19920</v>
      </c>
      <c r="D5961" t="s">
        <v>40</v>
      </c>
      <c r="E5961" t="s">
        <v>41</v>
      </c>
      <c r="J5961" t="s">
        <v>68</v>
      </c>
      <c r="K5961" t="s">
        <v>69</v>
      </c>
      <c r="L5961">
        <v>10</v>
      </c>
      <c r="M5961" t="s">
        <v>19902</v>
      </c>
      <c r="N5961" t="s">
        <v>64</v>
      </c>
      <c r="O5961" t="s">
        <v>46</v>
      </c>
      <c r="P5961" t="s">
        <v>46</v>
      </c>
      <c r="Y5961" t="s">
        <v>19921</v>
      </c>
    </row>
    <row r="5962" spans="1:25">
      <c r="A5962" t="s">
        <v>19922</v>
      </c>
      <c r="B5962" t="s">
        <v>19923</v>
      </c>
      <c r="D5962" t="s">
        <v>40</v>
      </c>
      <c r="E5962" t="s">
        <v>41</v>
      </c>
      <c r="J5962" t="s">
        <v>76</v>
      </c>
      <c r="K5962" t="s">
        <v>77</v>
      </c>
      <c r="L5962">
        <v>10</v>
      </c>
      <c r="M5962" t="s">
        <v>19924</v>
      </c>
      <c r="N5962" t="s">
        <v>64</v>
      </c>
      <c r="O5962" t="s">
        <v>46</v>
      </c>
      <c r="P5962" t="s">
        <v>46</v>
      </c>
      <c r="Y5962" t="s">
        <v>19925</v>
      </c>
    </row>
    <row r="5963" spans="1:25">
      <c r="A5963" t="s">
        <v>19926</v>
      </c>
      <c r="B5963" t="s">
        <v>19927</v>
      </c>
      <c r="D5963" t="s">
        <v>40</v>
      </c>
      <c r="E5963" t="s">
        <v>41</v>
      </c>
      <c r="J5963" t="s">
        <v>76</v>
      </c>
      <c r="K5963" t="s">
        <v>77</v>
      </c>
      <c r="L5963">
        <v>10</v>
      </c>
      <c r="M5963" t="s">
        <v>19924</v>
      </c>
      <c r="N5963" t="s">
        <v>64</v>
      </c>
      <c r="O5963" t="s">
        <v>46</v>
      </c>
      <c r="P5963" t="s">
        <v>46</v>
      </c>
      <c r="Y5963" t="s">
        <v>19928</v>
      </c>
    </row>
    <row r="5964" spans="1:25">
      <c r="A5964" t="s">
        <v>19929</v>
      </c>
      <c r="B5964" t="s">
        <v>19930</v>
      </c>
      <c r="D5964" t="s">
        <v>40</v>
      </c>
      <c r="E5964" t="s">
        <v>41</v>
      </c>
      <c r="J5964" t="s">
        <v>182</v>
      </c>
      <c r="K5964" t="s">
        <v>183</v>
      </c>
      <c r="L5964">
        <v>10</v>
      </c>
      <c r="M5964" t="s">
        <v>19931</v>
      </c>
      <c r="N5964" t="s">
        <v>64</v>
      </c>
      <c r="O5964" t="s">
        <v>46</v>
      </c>
      <c r="P5964" t="s">
        <v>46</v>
      </c>
      <c r="Y5964" t="s">
        <v>19932</v>
      </c>
    </row>
    <row r="5965" spans="1:25">
      <c r="A5965" t="s">
        <v>19933</v>
      </c>
      <c r="B5965" t="s">
        <v>19934</v>
      </c>
      <c r="D5965" t="s">
        <v>40</v>
      </c>
      <c r="E5965" t="s">
        <v>41</v>
      </c>
      <c r="J5965" t="s">
        <v>68</v>
      </c>
      <c r="K5965" t="s">
        <v>69</v>
      </c>
      <c r="L5965">
        <v>10</v>
      </c>
      <c r="M5965" t="s">
        <v>19931</v>
      </c>
      <c r="N5965" t="s">
        <v>64</v>
      </c>
      <c r="O5965" t="s">
        <v>46</v>
      </c>
      <c r="P5965" t="s">
        <v>46</v>
      </c>
      <c r="Y5965" t="s">
        <v>19935</v>
      </c>
    </row>
    <row r="5966" spans="1:25">
      <c r="A5966" t="s">
        <v>19936</v>
      </c>
      <c r="B5966" t="s">
        <v>19937</v>
      </c>
      <c r="D5966" t="s">
        <v>40</v>
      </c>
      <c r="E5966" t="s">
        <v>41</v>
      </c>
      <c r="J5966" t="s">
        <v>68</v>
      </c>
      <c r="K5966" t="s">
        <v>69</v>
      </c>
      <c r="L5966">
        <v>10</v>
      </c>
      <c r="M5966" t="s">
        <v>19931</v>
      </c>
      <c r="N5966" t="s">
        <v>64</v>
      </c>
      <c r="O5966" t="s">
        <v>46</v>
      </c>
      <c r="P5966" t="s">
        <v>46</v>
      </c>
      <c r="Y5966" t="s">
        <v>19938</v>
      </c>
    </row>
    <row r="5967" spans="1:25">
      <c r="A5967" t="s">
        <v>19939</v>
      </c>
      <c r="B5967" t="s">
        <v>19940</v>
      </c>
      <c r="D5967" t="s">
        <v>40</v>
      </c>
      <c r="E5967" t="s">
        <v>41</v>
      </c>
      <c r="J5967" t="s">
        <v>68</v>
      </c>
      <c r="K5967" t="s">
        <v>69</v>
      </c>
      <c r="L5967">
        <v>10</v>
      </c>
      <c r="M5967" t="s">
        <v>19931</v>
      </c>
      <c r="N5967" t="s">
        <v>64</v>
      </c>
      <c r="O5967" t="s">
        <v>46</v>
      </c>
      <c r="P5967" t="s">
        <v>46</v>
      </c>
      <c r="Y5967" t="s">
        <v>19941</v>
      </c>
    </row>
    <row r="5968" spans="1:25">
      <c r="A5968" t="s">
        <v>19942</v>
      </c>
      <c r="B5968" t="s">
        <v>19943</v>
      </c>
      <c r="D5968" t="s">
        <v>40</v>
      </c>
      <c r="E5968" t="s">
        <v>41</v>
      </c>
      <c r="J5968" t="s">
        <v>182</v>
      </c>
      <c r="K5968" t="s">
        <v>183</v>
      </c>
      <c r="L5968">
        <v>10</v>
      </c>
      <c r="M5968" t="s">
        <v>19931</v>
      </c>
      <c r="N5968" t="s">
        <v>64</v>
      </c>
      <c r="O5968" t="s">
        <v>46</v>
      </c>
      <c r="P5968" t="s">
        <v>46</v>
      </c>
      <c r="Y5968" t="s">
        <v>19944</v>
      </c>
    </row>
    <row r="5969" spans="1:25">
      <c r="A5969" t="s">
        <v>19945</v>
      </c>
      <c r="B5969" t="s">
        <v>19946</v>
      </c>
      <c r="D5969" t="s">
        <v>40</v>
      </c>
      <c r="E5969" t="s">
        <v>41</v>
      </c>
      <c r="J5969" t="s">
        <v>264</v>
      </c>
      <c r="K5969" t="s">
        <v>265</v>
      </c>
      <c r="L5969">
        <v>10</v>
      </c>
      <c r="M5969" t="s">
        <v>19947</v>
      </c>
      <c r="N5969" t="s">
        <v>752</v>
      </c>
      <c r="O5969" t="s">
        <v>46</v>
      </c>
      <c r="P5969" t="s">
        <v>46</v>
      </c>
      <c r="Y5969" t="s">
        <v>19948</v>
      </c>
    </row>
    <row r="5970" spans="1:25">
      <c r="A5970" t="s">
        <v>19949</v>
      </c>
      <c r="B5970" t="s">
        <v>19950</v>
      </c>
      <c r="D5970" t="s">
        <v>40</v>
      </c>
      <c r="E5970" t="s">
        <v>41</v>
      </c>
      <c r="J5970" t="s">
        <v>182</v>
      </c>
      <c r="K5970" t="s">
        <v>183</v>
      </c>
      <c r="L5970">
        <v>10</v>
      </c>
      <c r="M5970" t="s">
        <v>19947</v>
      </c>
      <c r="N5970" t="s">
        <v>64</v>
      </c>
      <c r="O5970" t="s">
        <v>46</v>
      </c>
      <c r="P5970" t="s">
        <v>46</v>
      </c>
      <c r="Y5970" t="s">
        <v>19951</v>
      </c>
    </row>
    <row r="5971" spans="1:25">
      <c r="A5971" t="s">
        <v>19952</v>
      </c>
      <c r="B5971" t="s">
        <v>19953</v>
      </c>
      <c r="D5971" t="s">
        <v>40</v>
      </c>
      <c r="E5971" t="s">
        <v>41</v>
      </c>
      <c r="J5971" t="s">
        <v>68</v>
      </c>
      <c r="K5971" t="s">
        <v>69</v>
      </c>
      <c r="L5971">
        <v>10</v>
      </c>
      <c r="M5971" t="s">
        <v>19947</v>
      </c>
      <c r="N5971" t="s">
        <v>64</v>
      </c>
      <c r="O5971" t="s">
        <v>46</v>
      </c>
      <c r="P5971" t="s">
        <v>46</v>
      </c>
      <c r="Y5971" t="s">
        <v>19954</v>
      </c>
    </row>
    <row r="5972" spans="1:25">
      <c r="A5972" t="s">
        <v>19955</v>
      </c>
      <c r="B5972" t="s">
        <v>19956</v>
      </c>
      <c r="D5972" t="s">
        <v>40</v>
      </c>
      <c r="E5972" t="s">
        <v>41</v>
      </c>
      <c r="J5972" t="s">
        <v>42</v>
      </c>
      <c r="K5972" t="s">
        <v>43</v>
      </c>
      <c r="L5972">
        <v>10</v>
      </c>
      <c r="M5972" t="s">
        <v>19957</v>
      </c>
      <c r="N5972" t="s">
        <v>2154</v>
      </c>
      <c r="O5972" t="s">
        <v>46</v>
      </c>
      <c r="P5972" t="s">
        <v>46</v>
      </c>
      <c r="Y5972" t="s">
        <v>19958</v>
      </c>
    </row>
    <row r="5973" spans="1:25">
      <c r="A5973" t="s">
        <v>19959</v>
      </c>
      <c r="B5973" t="s">
        <v>19960</v>
      </c>
      <c r="D5973" t="s">
        <v>40</v>
      </c>
      <c r="E5973" t="s">
        <v>41</v>
      </c>
      <c r="J5973" t="s">
        <v>68</v>
      </c>
      <c r="K5973" t="s">
        <v>69</v>
      </c>
      <c r="L5973">
        <v>10</v>
      </c>
      <c r="M5973" t="s">
        <v>19957</v>
      </c>
      <c r="N5973" t="s">
        <v>64</v>
      </c>
      <c r="O5973" t="s">
        <v>46</v>
      </c>
      <c r="P5973" t="s">
        <v>46</v>
      </c>
      <c r="Y5973" t="s">
        <v>19961</v>
      </c>
    </row>
    <row r="5974" spans="1:25">
      <c r="A5974" t="s">
        <v>19962</v>
      </c>
      <c r="B5974" t="s">
        <v>19963</v>
      </c>
      <c r="D5974" t="s">
        <v>40</v>
      </c>
      <c r="E5974" t="s">
        <v>41</v>
      </c>
      <c r="J5974" t="s">
        <v>68</v>
      </c>
      <c r="K5974" t="s">
        <v>69</v>
      </c>
      <c r="L5974">
        <v>10</v>
      </c>
      <c r="M5974" t="s">
        <v>19964</v>
      </c>
      <c r="N5974" t="s">
        <v>64</v>
      </c>
      <c r="O5974" t="s">
        <v>46</v>
      </c>
      <c r="P5974" t="s">
        <v>46</v>
      </c>
      <c r="Y5974" t="s">
        <v>19965</v>
      </c>
    </row>
    <row r="5975" spans="1:25">
      <c r="A5975" t="s">
        <v>19966</v>
      </c>
      <c r="B5975" t="s">
        <v>19967</v>
      </c>
      <c r="D5975" t="s">
        <v>40</v>
      </c>
      <c r="E5975" t="s">
        <v>41</v>
      </c>
      <c r="J5975" t="s">
        <v>68</v>
      </c>
      <c r="K5975" t="s">
        <v>69</v>
      </c>
      <c r="L5975">
        <v>10</v>
      </c>
      <c r="M5975" t="s">
        <v>19964</v>
      </c>
      <c r="N5975" t="s">
        <v>64</v>
      </c>
      <c r="O5975" t="s">
        <v>46</v>
      </c>
      <c r="P5975" t="s">
        <v>46</v>
      </c>
      <c r="Y5975" t="s">
        <v>19968</v>
      </c>
    </row>
    <row r="5976" spans="1:25">
      <c r="A5976" t="s">
        <v>19969</v>
      </c>
      <c r="B5976" t="s">
        <v>19970</v>
      </c>
      <c r="D5976" t="s">
        <v>40</v>
      </c>
      <c r="E5976" t="s">
        <v>41</v>
      </c>
      <c r="J5976" t="s">
        <v>182</v>
      </c>
      <c r="K5976" t="s">
        <v>183</v>
      </c>
      <c r="L5976">
        <v>10</v>
      </c>
      <c r="M5976" t="s">
        <v>19971</v>
      </c>
      <c r="N5976" t="s">
        <v>64</v>
      </c>
      <c r="O5976" t="s">
        <v>46</v>
      </c>
      <c r="P5976" t="s">
        <v>46</v>
      </c>
      <c r="Y5976" t="s">
        <v>19972</v>
      </c>
    </row>
    <row r="5977" spans="1:25">
      <c r="A5977" t="s">
        <v>19973</v>
      </c>
      <c r="B5977" t="s">
        <v>19974</v>
      </c>
      <c r="D5977" t="s">
        <v>40</v>
      </c>
      <c r="E5977" t="s">
        <v>41</v>
      </c>
      <c r="J5977" t="s">
        <v>68</v>
      </c>
      <c r="K5977" t="s">
        <v>69</v>
      </c>
      <c r="L5977">
        <v>10</v>
      </c>
      <c r="M5977" t="s">
        <v>19975</v>
      </c>
      <c r="N5977" t="s">
        <v>64</v>
      </c>
      <c r="O5977" t="s">
        <v>46</v>
      </c>
      <c r="P5977" t="s">
        <v>46</v>
      </c>
      <c r="Y5977" t="s">
        <v>19976</v>
      </c>
    </row>
    <row r="5978" spans="1:25">
      <c r="A5978" t="s">
        <v>19977</v>
      </c>
      <c r="B5978" t="s">
        <v>19978</v>
      </c>
      <c r="D5978" t="s">
        <v>40</v>
      </c>
      <c r="E5978" t="s">
        <v>41</v>
      </c>
      <c r="J5978" t="s">
        <v>68</v>
      </c>
      <c r="K5978" t="s">
        <v>69</v>
      </c>
      <c r="L5978">
        <v>10</v>
      </c>
      <c r="M5978" t="s">
        <v>19975</v>
      </c>
      <c r="N5978" t="s">
        <v>64</v>
      </c>
      <c r="O5978" t="s">
        <v>46</v>
      </c>
      <c r="P5978" t="s">
        <v>46</v>
      </c>
      <c r="Y5978" t="s">
        <v>19979</v>
      </c>
    </row>
    <row r="5979" spans="1:25">
      <c r="A5979" t="s">
        <v>19980</v>
      </c>
      <c r="B5979" t="s">
        <v>19981</v>
      </c>
      <c r="D5979" t="s">
        <v>40</v>
      </c>
      <c r="E5979" t="s">
        <v>41</v>
      </c>
      <c r="J5979" t="s">
        <v>182</v>
      </c>
      <c r="K5979" t="s">
        <v>183</v>
      </c>
      <c r="L5979">
        <v>10</v>
      </c>
      <c r="M5979" t="s">
        <v>19975</v>
      </c>
      <c r="N5979" t="s">
        <v>64</v>
      </c>
      <c r="O5979" t="s">
        <v>46</v>
      </c>
      <c r="P5979" t="s">
        <v>46</v>
      </c>
      <c r="Y5979" t="s">
        <v>19982</v>
      </c>
    </row>
    <row r="5980" spans="1:25">
      <c r="A5980" t="s">
        <v>19983</v>
      </c>
      <c r="B5980" t="s">
        <v>19984</v>
      </c>
      <c r="D5980" t="s">
        <v>40</v>
      </c>
      <c r="E5980" t="s">
        <v>41</v>
      </c>
      <c r="J5980" t="s">
        <v>68</v>
      </c>
      <c r="K5980" t="s">
        <v>69</v>
      </c>
      <c r="L5980">
        <v>10</v>
      </c>
      <c r="M5980" t="s">
        <v>19985</v>
      </c>
      <c r="N5980" t="s">
        <v>64</v>
      </c>
      <c r="O5980" t="s">
        <v>46</v>
      </c>
      <c r="P5980" t="s">
        <v>46</v>
      </c>
      <c r="Y5980" t="s">
        <v>19986</v>
      </c>
    </row>
    <row r="5981" spans="1:25">
      <c r="A5981" t="s">
        <v>19987</v>
      </c>
      <c r="B5981" t="s">
        <v>19988</v>
      </c>
      <c r="D5981" t="s">
        <v>40</v>
      </c>
      <c r="E5981" t="s">
        <v>41</v>
      </c>
      <c r="J5981" t="s">
        <v>68</v>
      </c>
      <c r="K5981" t="s">
        <v>69</v>
      </c>
      <c r="L5981">
        <v>10</v>
      </c>
      <c r="M5981" t="s">
        <v>19985</v>
      </c>
      <c r="N5981" t="s">
        <v>64</v>
      </c>
      <c r="O5981" t="s">
        <v>46</v>
      </c>
      <c r="P5981" t="s">
        <v>46</v>
      </c>
      <c r="Y5981" t="s">
        <v>19989</v>
      </c>
    </row>
    <row r="5982" spans="1:25">
      <c r="A5982" t="s">
        <v>19990</v>
      </c>
      <c r="B5982" t="s">
        <v>19991</v>
      </c>
      <c r="D5982" t="s">
        <v>40</v>
      </c>
      <c r="E5982" t="s">
        <v>41</v>
      </c>
      <c r="J5982" t="s">
        <v>68</v>
      </c>
      <c r="K5982" t="s">
        <v>69</v>
      </c>
      <c r="L5982">
        <v>10</v>
      </c>
      <c r="M5982" t="s">
        <v>19985</v>
      </c>
      <c r="N5982" t="s">
        <v>64</v>
      </c>
      <c r="O5982" t="s">
        <v>46</v>
      </c>
      <c r="P5982" t="s">
        <v>46</v>
      </c>
      <c r="Y5982" t="s">
        <v>19992</v>
      </c>
    </row>
    <row r="5983" spans="1:25">
      <c r="A5983" t="s">
        <v>19993</v>
      </c>
      <c r="B5983" t="s">
        <v>19994</v>
      </c>
      <c r="D5983" t="s">
        <v>40</v>
      </c>
      <c r="E5983" t="s">
        <v>41</v>
      </c>
      <c r="J5983" t="s">
        <v>68</v>
      </c>
      <c r="K5983" t="s">
        <v>69</v>
      </c>
      <c r="L5983">
        <v>10</v>
      </c>
      <c r="M5983" t="s">
        <v>19985</v>
      </c>
      <c r="N5983" t="s">
        <v>64</v>
      </c>
      <c r="O5983" t="s">
        <v>46</v>
      </c>
      <c r="P5983" t="s">
        <v>46</v>
      </c>
      <c r="Y5983" t="s">
        <v>19995</v>
      </c>
    </row>
    <row r="5984" spans="1:25">
      <c r="A5984" t="s">
        <v>19996</v>
      </c>
      <c r="B5984" t="s">
        <v>19997</v>
      </c>
      <c r="D5984" t="s">
        <v>40</v>
      </c>
      <c r="E5984" t="s">
        <v>41</v>
      </c>
      <c r="J5984" t="s">
        <v>182</v>
      </c>
      <c r="K5984" t="s">
        <v>183</v>
      </c>
      <c r="L5984">
        <v>10</v>
      </c>
      <c r="M5984" t="s">
        <v>19985</v>
      </c>
      <c r="N5984" t="s">
        <v>64</v>
      </c>
      <c r="O5984" t="s">
        <v>46</v>
      </c>
      <c r="P5984" t="s">
        <v>46</v>
      </c>
      <c r="Y5984" t="s">
        <v>19998</v>
      </c>
    </row>
    <row r="5985" spans="1:25">
      <c r="A5985" t="s">
        <v>19999</v>
      </c>
      <c r="B5985" t="s">
        <v>20000</v>
      </c>
      <c r="D5985" t="s">
        <v>40</v>
      </c>
      <c r="E5985" t="s">
        <v>41</v>
      </c>
      <c r="J5985" t="s">
        <v>42</v>
      </c>
      <c r="K5985" t="s">
        <v>43</v>
      </c>
      <c r="L5985">
        <v>10</v>
      </c>
      <c r="M5985" t="s">
        <v>20001</v>
      </c>
      <c r="N5985" t="s">
        <v>296</v>
      </c>
      <c r="O5985" t="s">
        <v>46</v>
      </c>
      <c r="P5985" t="s">
        <v>46</v>
      </c>
      <c r="Y5985" t="s">
        <v>20002</v>
      </c>
    </row>
    <row r="5986" spans="1:25">
      <c r="A5986" t="s">
        <v>20003</v>
      </c>
      <c r="B5986" t="s">
        <v>20004</v>
      </c>
      <c r="D5986" t="s">
        <v>40</v>
      </c>
      <c r="E5986" t="s">
        <v>41</v>
      </c>
      <c r="J5986" t="s">
        <v>76</v>
      </c>
      <c r="K5986" t="s">
        <v>77</v>
      </c>
      <c r="L5986">
        <v>10</v>
      </c>
      <c r="M5986" t="s">
        <v>20001</v>
      </c>
      <c r="N5986" t="s">
        <v>64</v>
      </c>
      <c r="O5986" t="s">
        <v>46</v>
      </c>
      <c r="P5986" t="s">
        <v>46</v>
      </c>
      <c r="Y5986" t="s">
        <v>20005</v>
      </c>
    </row>
    <row r="5987" spans="1:25">
      <c r="A5987" t="s">
        <v>20006</v>
      </c>
      <c r="B5987" t="s">
        <v>20007</v>
      </c>
      <c r="D5987" t="s">
        <v>40</v>
      </c>
      <c r="E5987" t="s">
        <v>41</v>
      </c>
      <c r="J5987" t="s">
        <v>68</v>
      </c>
      <c r="K5987" t="s">
        <v>69</v>
      </c>
      <c r="L5987">
        <v>10</v>
      </c>
      <c r="M5987" t="s">
        <v>20001</v>
      </c>
      <c r="N5987" t="s">
        <v>64</v>
      </c>
      <c r="O5987" t="s">
        <v>46</v>
      </c>
      <c r="P5987" t="s">
        <v>46</v>
      </c>
      <c r="Y5987" t="s">
        <v>20008</v>
      </c>
    </row>
    <row r="5988" spans="1:25">
      <c r="A5988" t="s">
        <v>20009</v>
      </c>
      <c r="B5988" t="s">
        <v>20010</v>
      </c>
      <c r="D5988" t="s">
        <v>40</v>
      </c>
      <c r="E5988" t="s">
        <v>41</v>
      </c>
      <c r="J5988" t="s">
        <v>68</v>
      </c>
      <c r="K5988" t="s">
        <v>69</v>
      </c>
      <c r="L5988">
        <v>10</v>
      </c>
      <c r="M5988" t="s">
        <v>20001</v>
      </c>
      <c r="N5988" t="s">
        <v>64</v>
      </c>
      <c r="O5988" t="s">
        <v>46</v>
      </c>
      <c r="P5988" t="s">
        <v>46</v>
      </c>
      <c r="Y5988" t="s">
        <v>20011</v>
      </c>
    </row>
    <row r="5989" spans="1:25">
      <c r="A5989" t="s">
        <v>20012</v>
      </c>
      <c r="B5989" t="s">
        <v>20013</v>
      </c>
      <c r="D5989" t="s">
        <v>40</v>
      </c>
      <c r="E5989" t="s">
        <v>41</v>
      </c>
      <c r="J5989" t="s">
        <v>76</v>
      </c>
      <c r="K5989" t="s">
        <v>77</v>
      </c>
      <c r="L5989">
        <v>10</v>
      </c>
      <c r="M5989" t="s">
        <v>20001</v>
      </c>
      <c r="N5989" t="s">
        <v>64</v>
      </c>
      <c r="O5989" t="s">
        <v>46</v>
      </c>
      <c r="P5989" t="s">
        <v>46</v>
      </c>
      <c r="Y5989" t="s">
        <v>20014</v>
      </c>
    </row>
    <row r="5990" spans="1:25">
      <c r="A5990" t="s">
        <v>20015</v>
      </c>
      <c r="B5990" t="s">
        <v>20016</v>
      </c>
      <c r="D5990" t="s">
        <v>40</v>
      </c>
      <c r="E5990" t="s">
        <v>41</v>
      </c>
      <c r="J5990" t="s">
        <v>76</v>
      </c>
      <c r="K5990" t="s">
        <v>77</v>
      </c>
      <c r="L5990">
        <v>10</v>
      </c>
      <c r="M5990" t="s">
        <v>20001</v>
      </c>
      <c r="N5990" t="s">
        <v>64</v>
      </c>
      <c r="O5990" t="s">
        <v>46</v>
      </c>
      <c r="P5990" t="s">
        <v>46</v>
      </c>
      <c r="Y5990" t="s">
        <v>20017</v>
      </c>
    </row>
    <row r="5991" spans="1:25">
      <c r="A5991" t="s">
        <v>20018</v>
      </c>
      <c r="B5991" t="s">
        <v>20019</v>
      </c>
      <c r="D5991" t="s">
        <v>40</v>
      </c>
      <c r="E5991" t="s">
        <v>41</v>
      </c>
      <c r="J5991" t="s">
        <v>68</v>
      </c>
      <c r="K5991" t="s">
        <v>69</v>
      </c>
      <c r="L5991">
        <v>10</v>
      </c>
      <c r="M5991" t="s">
        <v>20001</v>
      </c>
      <c r="N5991" t="s">
        <v>64</v>
      </c>
      <c r="O5991" t="s">
        <v>46</v>
      </c>
      <c r="P5991" t="s">
        <v>46</v>
      </c>
      <c r="Y5991" t="s">
        <v>20020</v>
      </c>
    </row>
    <row r="5992" spans="1:25">
      <c r="A5992" t="s">
        <v>20021</v>
      </c>
      <c r="B5992" t="s">
        <v>20022</v>
      </c>
      <c r="D5992" t="s">
        <v>40</v>
      </c>
      <c r="E5992" t="s">
        <v>41</v>
      </c>
      <c r="J5992" t="s">
        <v>68</v>
      </c>
      <c r="K5992" t="s">
        <v>69</v>
      </c>
      <c r="L5992">
        <v>10</v>
      </c>
      <c r="M5992" t="s">
        <v>20001</v>
      </c>
      <c r="N5992" t="s">
        <v>64</v>
      </c>
      <c r="O5992" t="s">
        <v>46</v>
      </c>
      <c r="P5992" t="s">
        <v>46</v>
      </c>
      <c r="Y5992" t="s">
        <v>20023</v>
      </c>
    </row>
    <row r="5993" spans="1:25">
      <c r="A5993" t="s">
        <v>20024</v>
      </c>
      <c r="B5993" t="s">
        <v>20025</v>
      </c>
      <c r="D5993" t="s">
        <v>40</v>
      </c>
      <c r="E5993" t="s">
        <v>41</v>
      </c>
      <c r="J5993" t="s">
        <v>68</v>
      </c>
      <c r="K5993" t="s">
        <v>69</v>
      </c>
      <c r="L5993">
        <v>10</v>
      </c>
      <c r="M5993" t="s">
        <v>20026</v>
      </c>
      <c r="N5993" t="s">
        <v>64</v>
      </c>
      <c r="O5993" t="s">
        <v>46</v>
      </c>
      <c r="P5993" t="s">
        <v>46</v>
      </c>
      <c r="Y5993" t="s">
        <v>20027</v>
      </c>
    </row>
    <row r="5994" spans="1:25">
      <c r="A5994" t="s">
        <v>20028</v>
      </c>
      <c r="B5994" t="s">
        <v>20029</v>
      </c>
      <c r="D5994" t="s">
        <v>40</v>
      </c>
      <c r="E5994" t="s">
        <v>41</v>
      </c>
      <c r="J5994" t="s">
        <v>68</v>
      </c>
      <c r="K5994" t="s">
        <v>69</v>
      </c>
      <c r="L5994">
        <v>10</v>
      </c>
      <c r="M5994" t="s">
        <v>20026</v>
      </c>
      <c r="N5994" t="s">
        <v>64</v>
      </c>
      <c r="O5994" t="s">
        <v>46</v>
      </c>
      <c r="P5994" t="s">
        <v>46</v>
      </c>
      <c r="Y5994" t="s">
        <v>20030</v>
      </c>
    </row>
    <row r="5995" spans="1:25">
      <c r="A5995" t="s">
        <v>20031</v>
      </c>
      <c r="B5995" t="s">
        <v>20032</v>
      </c>
      <c r="D5995" t="s">
        <v>40</v>
      </c>
      <c r="E5995" t="s">
        <v>41</v>
      </c>
      <c r="J5995" t="s">
        <v>182</v>
      </c>
      <c r="K5995" t="s">
        <v>183</v>
      </c>
      <c r="L5995">
        <v>10</v>
      </c>
      <c r="M5995" t="s">
        <v>20026</v>
      </c>
      <c r="N5995" t="s">
        <v>64</v>
      </c>
      <c r="O5995" t="s">
        <v>46</v>
      </c>
      <c r="P5995" t="s">
        <v>46</v>
      </c>
      <c r="Y5995" t="s">
        <v>20033</v>
      </c>
    </row>
    <row r="5996" spans="1:25">
      <c r="A5996" t="s">
        <v>20034</v>
      </c>
      <c r="B5996" t="s">
        <v>20035</v>
      </c>
      <c r="D5996" t="s">
        <v>40</v>
      </c>
      <c r="E5996" t="s">
        <v>41</v>
      </c>
      <c r="J5996" t="s">
        <v>76</v>
      </c>
      <c r="K5996" t="s">
        <v>77</v>
      </c>
      <c r="L5996">
        <v>10</v>
      </c>
      <c r="M5996" t="s">
        <v>20026</v>
      </c>
      <c r="N5996" t="s">
        <v>64</v>
      </c>
      <c r="O5996" t="s">
        <v>46</v>
      </c>
      <c r="P5996" t="s">
        <v>46</v>
      </c>
      <c r="Y5996" t="s">
        <v>20036</v>
      </c>
    </row>
    <row r="5997" spans="1:25">
      <c r="A5997" t="s">
        <v>20037</v>
      </c>
      <c r="B5997" t="s">
        <v>20038</v>
      </c>
      <c r="D5997" t="s">
        <v>40</v>
      </c>
      <c r="E5997" t="s">
        <v>41</v>
      </c>
      <c r="J5997" t="s">
        <v>68</v>
      </c>
      <c r="K5997" t="s">
        <v>69</v>
      </c>
      <c r="L5997">
        <v>10</v>
      </c>
      <c r="M5997" t="s">
        <v>20026</v>
      </c>
      <c r="N5997" t="s">
        <v>64</v>
      </c>
      <c r="O5997" t="s">
        <v>46</v>
      </c>
      <c r="P5997" t="s">
        <v>46</v>
      </c>
      <c r="Y5997" t="s">
        <v>20039</v>
      </c>
    </row>
    <row r="5998" spans="1:25">
      <c r="A5998" t="s">
        <v>20040</v>
      </c>
      <c r="B5998" t="s">
        <v>20041</v>
      </c>
      <c r="D5998" t="s">
        <v>40</v>
      </c>
      <c r="E5998" t="s">
        <v>41</v>
      </c>
      <c r="J5998" t="s">
        <v>68</v>
      </c>
      <c r="K5998" t="s">
        <v>69</v>
      </c>
      <c r="L5998">
        <v>10</v>
      </c>
      <c r="M5998" t="s">
        <v>20042</v>
      </c>
      <c r="N5998" t="s">
        <v>64</v>
      </c>
      <c r="O5998" t="s">
        <v>46</v>
      </c>
      <c r="P5998" t="s">
        <v>46</v>
      </c>
      <c r="Y5998" t="s">
        <v>20043</v>
      </c>
    </row>
    <row r="5999" spans="1:25">
      <c r="A5999" t="s">
        <v>20044</v>
      </c>
      <c r="B5999" t="s">
        <v>20045</v>
      </c>
      <c r="D5999" t="s">
        <v>40</v>
      </c>
      <c r="E5999" t="s">
        <v>41</v>
      </c>
      <c r="J5999" t="s">
        <v>68</v>
      </c>
      <c r="K5999" t="s">
        <v>69</v>
      </c>
      <c r="L5999">
        <v>10</v>
      </c>
      <c r="M5999" t="s">
        <v>20042</v>
      </c>
      <c r="N5999" t="s">
        <v>64</v>
      </c>
      <c r="O5999" t="s">
        <v>46</v>
      </c>
      <c r="P5999" t="s">
        <v>46</v>
      </c>
      <c r="Y5999" t="s">
        <v>20046</v>
      </c>
    </row>
    <row r="6000" spans="1:25">
      <c r="A6000" t="s">
        <v>20047</v>
      </c>
      <c r="B6000" t="s">
        <v>20048</v>
      </c>
      <c r="D6000" t="s">
        <v>40</v>
      </c>
      <c r="E6000" t="s">
        <v>41</v>
      </c>
      <c r="J6000" t="s">
        <v>68</v>
      </c>
      <c r="K6000" t="s">
        <v>69</v>
      </c>
      <c r="L6000">
        <v>10</v>
      </c>
      <c r="M6000" t="s">
        <v>20042</v>
      </c>
      <c r="N6000" t="s">
        <v>64</v>
      </c>
      <c r="O6000" t="s">
        <v>46</v>
      </c>
      <c r="P6000" t="s">
        <v>46</v>
      </c>
      <c r="Y6000" t="s">
        <v>20049</v>
      </c>
    </row>
    <row r="6001" spans="1:25">
      <c r="A6001" t="s">
        <v>20050</v>
      </c>
      <c r="B6001" t="s">
        <v>20051</v>
      </c>
      <c r="D6001" t="s">
        <v>40</v>
      </c>
      <c r="E6001" t="s">
        <v>41</v>
      </c>
      <c r="J6001" t="s">
        <v>76</v>
      </c>
      <c r="K6001" t="s">
        <v>77</v>
      </c>
      <c r="L6001">
        <v>10</v>
      </c>
      <c r="M6001" t="s">
        <v>20042</v>
      </c>
      <c r="N6001" t="s">
        <v>64</v>
      </c>
      <c r="O6001" t="s">
        <v>46</v>
      </c>
      <c r="P6001" t="s">
        <v>46</v>
      </c>
      <c r="Y6001" t="s">
        <v>20052</v>
      </c>
    </row>
    <row r="6002" spans="1:25">
      <c r="A6002" t="s">
        <v>20053</v>
      </c>
      <c r="B6002" t="s">
        <v>20054</v>
      </c>
      <c r="D6002" t="s">
        <v>40</v>
      </c>
      <c r="E6002" t="s">
        <v>41</v>
      </c>
      <c r="J6002" t="s">
        <v>68</v>
      </c>
      <c r="K6002" t="s">
        <v>69</v>
      </c>
      <c r="L6002">
        <v>10</v>
      </c>
      <c r="M6002" t="s">
        <v>20042</v>
      </c>
      <c r="N6002" t="s">
        <v>64</v>
      </c>
      <c r="O6002" t="s">
        <v>46</v>
      </c>
      <c r="P6002" t="s">
        <v>46</v>
      </c>
      <c r="Y6002" t="s">
        <v>20055</v>
      </c>
    </row>
    <row r="6003" spans="1:25">
      <c r="A6003" t="s">
        <v>20056</v>
      </c>
      <c r="B6003" t="s">
        <v>20057</v>
      </c>
      <c r="D6003" t="s">
        <v>40</v>
      </c>
      <c r="E6003" t="s">
        <v>41</v>
      </c>
      <c r="J6003" t="s">
        <v>68</v>
      </c>
      <c r="K6003" t="s">
        <v>69</v>
      </c>
      <c r="L6003">
        <v>10</v>
      </c>
      <c r="M6003" t="s">
        <v>20058</v>
      </c>
      <c r="N6003" t="s">
        <v>64</v>
      </c>
      <c r="O6003" t="s">
        <v>46</v>
      </c>
      <c r="P6003" t="s">
        <v>46</v>
      </c>
      <c r="Y6003" t="s">
        <v>20059</v>
      </c>
    </row>
    <row r="6004" spans="1:25">
      <c r="A6004" t="s">
        <v>20060</v>
      </c>
      <c r="B6004" t="s">
        <v>20061</v>
      </c>
      <c r="D6004" t="s">
        <v>40</v>
      </c>
      <c r="E6004" t="s">
        <v>41</v>
      </c>
      <c r="J6004" t="s">
        <v>68</v>
      </c>
      <c r="K6004" t="s">
        <v>69</v>
      </c>
      <c r="L6004">
        <v>10</v>
      </c>
      <c r="M6004" t="s">
        <v>20058</v>
      </c>
      <c r="N6004" t="s">
        <v>64</v>
      </c>
      <c r="O6004" t="s">
        <v>46</v>
      </c>
      <c r="P6004" t="s">
        <v>46</v>
      </c>
      <c r="Y6004" t="s">
        <v>20062</v>
      </c>
    </row>
    <row r="6005" spans="1:25">
      <c r="A6005" t="s">
        <v>20063</v>
      </c>
      <c r="B6005" t="s">
        <v>20064</v>
      </c>
      <c r="D6005" t="s">
        <v>40</v>
      </c>
      <c r="E6005" t="s">
        <v>41</v>
      </c>
      <c r="J6005" t="s">
        <v>68</v>
      </c>
      <c r="K6005" t="s">
        <v>69</v>
      </c>
      <c r="L6005">
        <v>11</v>
      </c>
      <c r="M6005" t="s">
        <v>20058</v>
      </c>
      <c r="N6005" t="s">
        <v>64</v>
      </c>
      <c r="O6005" t="s">
        <v>46</v>
      </c>
      <c r="P6005" t="s">
        <v>46</v>
      </c>
      <c r="Y6005" t="s">
        <v>20065</v>
      </c>
    </row>
    <row r="6006" spans="1:25">
      <c r="A6006" t="s">
        <v>20066</v>
      </c>
      <c r="B6006" t="s">
        <v>20067</v>
      </c>
      <c r="D6006" t="s">
        <v>40</v>
      </c>
      <c r="E6006" t="s">
        <v>41</v>
      </c>
      <c r="J6006" t="s">
        <v>182</v>
      </c>
      <c r="K6006" t="s">
        <v>183</v>
      </c>
      <c r="L6006">
        <v>10</v>
      </c>
      <c r="M6006" t="s">
        <v>20068</v>
      </c>
      <c r="N6006" t="s">
        <v>64</v>
      </c>
      <c r="O6006" t="s">
        <v>46</v>
      </c>
      <c r="P6006" t="s">
        <v>46</v>
      </c>
      <c r="Y6006" t="s">
        <v>20069</v>
      </c>
    </row>
    <row r="6007" spans="1:25">
      <c r="A6007" t="s">
        <v>20070</v>
      </c>
      <c r="B6007" t="s">
        <v>20071</v>
      </c>
      <c r="D6007" t="s">
        <v>40</v>
      </c>
      <c r="E6007" t="s">
        <v>41</v>
      </c>
      <c r="J6007" t="s">
        <v>182</v>
      </c>
      <c r="K6007" t="s">
        <v>183</v>
      </c>
      <c r="L6007">
        <v>10</v>
      </c>
      <c r="M6007" t="s">
        <v>20068</v>
      </c>
      <c r="N6007" t="s">
        <v>64</v>
      </c>
      <c r="O6007" t="s">
        <v>46</v>
      </c>
      <c r="P6007" t="s">
        <v>46</v>
      </c>
      <c r="Y6007" t="s">
        <v>20072</v>
      </c>
    </row>
    <row r="6008" spans="1:25">
      <c r="A6008" t="s">
        <v>20073</v>
      </c>
      <c r="B6008" t="s">
        <v>20074</v>
      </c>
      <c r="D6008" t="s">
        <v>40</v>
      </c>
      <c r="E6008" t="s">
        <v>41</v>
      </c>
      <c r="J6008" t="s">
        <v>68</v>
      </c>
      <c r="K6008" t="s">
        <v>69</v>
      </c>
      <c r="L6008">
        <v>10</v>
      </c>
      <c r="M6008" t="s">
        <v>20068</v>
      </c>
      <c r="N6008" t="s">
        <v>64</v>
      </c>
      <c r="O6008" t="s">
        <v>46</v>
      </c>
      <c r="P6008" t="s">
        <v>46</v>
      </c>
      <c r="Y6008" t="s">
        <v>20075</v>
      </c>
    </row>
    <row r="6009" spans="1:25">
      <c r="A6009" t="s">
        <v>20076</v>
      </c>
      <c r="B6009" t="s">
        <v>20077</v>
      </c>
      <c r="D6009" t="s">
        <v>40</v>
      </c>
      <c r="E6009" t="s">
        <v>41</v>
      </c>
      <c r="J6009" t="s">
        <v>68</v>
      </c>
      <c r="K6009" t="s">
        <v>69</v>
      </c>
      <c r="L6009">
        <v>10</v>
      </c>
      <c r="M6009" t="s">
        <v>20068</v>
      </c>
      <c r="N6009" t="s">
        <v>64</v>
      </c>
      <c r="O6009" t="s">
        <v>46</v>
      </c>
      <c r="P6009" t="s">
        <v>46</v>
      </c>
      <c r="Y6009" t="s">
        <v>20078</v>
      </c>
    </row>
    <row r="6010" spans="1:25">
      <c r="A6010" t="s">
        <v>20079</v>
      </c>
      <c r="B6010" t="s">
        <v>20080</v>
      </c>
      <c r="D6010" t="s">
        <v>40</v>
      </c>
      <c r="E6010" t="s">
        <v>41</v>
      </c>
      <c r="J6010" t="s">
        <v>182</v>
      </c>
      <c r="K6010" t="s">
        <v>183</v>
      </c>
      <c r="L6010">
        <v>10</v>
      </c>
      <c r="M6010" t="s">
        <v>20068</v>
      </c>
      <c r="N6010" t="s">
        <v>64</v>
      </c>
      <c r="O6010" t="s">
        <v>46</v>
      </c>
      <c r="P6010" t="s">
        <v>46</v>
      </c>
      <c r="Y6010" t="s">
        <v>20081</v>
      </c>
    </row>
    <row r="6011" spans="1:25">
      <c r="A6011" t="s">
        <v>20082</v>
      </c>
      <c r="B6011" t="s">
        <v>20083</v>
      </c>
      <c r="D6011" t="s">
        <v>40</v>
      </c>
      <c r="E6011" t="s">
        <v>41</v>
      </c>
      <c r="J6011" t="s">
        <v>68</v>
      </c>
      <c r="K6011" t="s">
        <v>69</v>
      </c>
      <c r="L6011">
        <v>11</v>
      </c>
      <c r="M6011" t="s">
        <v>20068</v>
      </c>
      <c r="N6011" t="s">
        <v>64</v>
      </c>
      <c r="O6011" t="s">
        <v>46</v>
      </c>
      <c r="P6011" t="s">
        <v>46</v>
      </c>
      <c r="Y6011" t="s">
        <v>20084</v>
      </c>
    </row>
    <row r="6012" spans="1:25">
      <c r="A6012" t="s">
        <v>20085</v>
      </c>
      <c r="B6012" t="s">
        <v>20086</v>
      </c>
      <c r="D6012" t="s">
        <v>40</v>
      </c>
      <c r="E6012" t="s">
        <v>41</v>
      </c>
      <c r="J6012" t="s">
        <v>68</v>
      </c>
      <c r="K6012" t="s">
        <v>69</v>
      </c>
      <c r="L6012">
        <v>10</v>
      </c>
      <c r="M6012" t="s">
        <v>20087</v>
      </c>
      <c r="N6012" t="s">
        <v>64</v>
      </c>
      <c r="O6012" t="s">
        <v>46</v>
      </c>
      <c r="P6012" t="s">
        <v>46</v>
      </c>
      <c r="Y6012" t="s">
        <v>20088</v>
      </c>
    </row>
    <row r="6013" spans="1:25">
      <c r="A6013" t="s">
        <v>20089</v>
      </c>
      <c r="B6013" t="s">
        <v>20090</v>
      </c>
      <c r="D6013" t="s">
        <v>40</v>
      </c>
      <c r="E6013" t="s">
        <v>41</v>
      </c>
      <c r="J6013" t="s">
        <v>68</v>
      </c>
      <c r="K6013" t="s">
        <v>69</v>
      </c>
      <c r="L6013">
        <v>10</v>
      </c>
      <c r="M6013" t="s">
        <v>20087</v>
      </c>
      <c r="N6013" t="s">
        <v>64</v>
      </c>
      <c r="O6013" t="s">
        <v>46</v>
      </c>
      <c r="P6013" t="s">
        <v>46</v>
      </c>
      <c r="Y6013" t="s">
        <v>20091</v>
      </c>
    </row>
    <row r="6014" spans="1:25">
      <c r="A6014" t="s">
        <v>20092</v>
      </c>
      <c r="B6014" t="s">
        <v>20093</v>
      </c>
      <c r="D6014" t="s">
        <v>40</v>
      </c>
      <c r="E6014" t="s">
        <v>41</v>
      </c>
      <c r="J6014" t="s">
        <v>42</v>
      </c>
      <c r="K6014" t="s">
        <v>43</v>
      </c>
      <c r="L6014">
        <v>10</v>
      </c>
      <c r="M6014" t="s">
        <v>20087</v>
      </c>
      <c r="N6014" t="s">
        <v>756</v>
      </c>
      <c r="O6014" t="s">
        <v>46</v>
      </c>
      <c r="P6014" t="s">
        <v>46</v>
      </c>
      <c r="Y6014" t="s">
        <v>20094</v>
      </c>
    </row>
    <row r="6015" spans="1:25">
      <c r="A6015" t="s">
        <v>20095</v>
      </c>
      <c r="B6015" t="s">
        <v>20096</v>
      </c>
      <c r="D6015" t="s">
        <v>40</v>
      </c>
      <c r="E6015" t="s">
        <v>41</v>
      </c>
      <c r="J6015" t="s">
        <v>68</v>
      </c>
      <c r="K6015" t="s">
        <v>69</v>
      </c>
      <c r="L6015">
        <v>10</v>
      </c>
      <c r="M6015" t="s">
        <v>20087</v>
      </c>
      <c r="N6015" t="s">
        <v>64</v>
      </c>
      <c r="O6015" t="s">
        <v>46</v>
      </c>
      <c r="P6015" t="s">
        <v>46</v>
      </c>
      <c r="Y6015" t="s">
        <v>20097</v>
      </c>
    </row>
    <row r="6016" spans="1:25">
      <c r="A6016" t="s">
        <v>20098</v>
      </c>
      <c r="B6016" t="s">
        <v>20099</v>
      </c>
      <c r="D6016" t="s">
        <v>40</v>
      </c>
      <c r="E6016" t="s">
        <v>41</v>
      </c>
      <c r="J6016" t="s">
        <v>68</v>
      </c>
      <c r="K6016" t="s">
        <v>69</v>
      </c>
      <c r="L6016">
        <v>10</v>
      </c>
      <c r="M6016" t="s">
        <v>20087</v>
      </c>
      <c r="N6016" t="s">
        <v>64</v>
      </c>
      <c r="O6016" t="s">
        <v>46</v>
      </c>
      <c r="P6016" t="s">
        <v>46</v>
      </c>
      <c r="Y6016" t="s">
        <v>20100</v>
      </c>
    </row>
    <row r="6017" spans="1:25">
      <c r="A6017" t="s">
        <v>20101</v>
      </c>
      <c r="B6017" t="s">
        <v>20102</v>
      </c>
      <c r="D6017" t="s">
        <v>40</v>
      </c>
      <c r="E6017" t="s">
        <v>41</v>
      </c>
      <c r="J6017" t="s">
        <v>76</v>
      </c>
      <c r="K6017" t="s">
        <v>77</v>
      </c>
      <c r="L6017">
        <v>10</v>
      </c>
      <c r="M6017" t="s">
        <v>20087</v>
      </c>
      <c r="N6017" t="s">
        <v>64</v>
      </c>
      <c r="O6017" t="s">
        <v>46</v>
      </c>
      <c r="P6017" t="s">
        <v>46</v>
      </c>
      <c r="Y6017" t="s">
        <v>20103</v>
      </c>
    </row>
    <row r="6018" spans="1:25">
      <c r="A6018" t="s">
        <v>20104</v>
      </c>
      <c r="B6018" t="s">
        <v>20105</v>
      </c>
      <c r="D6018" t="s">
        <v>40</v>
      </c>
      <c r="E6018" t="s">
        <v>41</v>
      </c>
      <c r="J6018" t="s">
        <v>139</v>
      </c>
      <c r="K6018" t="s">
        <v>140</v>
      </c>
      <c r="L6018">
        <v>10</v>
      </c>
      <c r="M6018" t="s">
        <v>20087</v>
      </c>
      <c r="N6018" t="s">
        <v>310</v>
      </c>
      <c r="O6018" t="s">
        <v>46</v>
      </c>
      <c r="P6018" t="s">
        <v>46</v>
      </c>
      <c r="Y6018" t="s">
        <v>20106</v>
      </c>
    </row>
    <row r="6019" spans="1:25">
      <c r="A6019" t="s">
        <v>20107</v>
      </c>
      <c r="B6019" t="s">
        <v>20108</v>
      </c>
      <c r="D6019" t="s">
        <v>40</v>
      </c>
      <c r="E6019" t="s">
        <v>41</v>
      </c>
      <c r="J6019" t="s">
        <v>68</v>
      </c>
      <c r="K6019" t="s">
        <v>69</v>
      </c>
      <c r="L6019">
        <v>10</v>
      </c>
      <c r="M6019" t="s">
        <v>20109</v>
      </c>
      <c r="N6019" t="s">
        <v>64</v>
      </c>
      <c r="O6019" t="s">
        <v>46</v>
      </c>
      <c r="P6019" t="s">
        <v>46</v>
      </c>
      <c r="Y6019" t="s">
        <v>20110</v>
      </c>
    </row>
    <row r="6020" spans="1:25">
      <c r="A6020" t="s">
        <v>20111</v>
      </c>
      <c r="B6020" t="s">
        <v>20112</v>
      </c>
      <c r="D6020" t="s">
        <v>40</v>
      </c>
      <c r="E6020" t="s">
        <v>41</v>
      </c>
      <c r="J6020" t="s">
        <v>182</v>
      </c>
      <c r="K6020" t="s">
        <v>183</v>
      </c>
      <c r="L6020">
        <v>10</v>
      </c>
      <c r="M6020" t="s">
        <v>20109</v>
      </c>
      <c r="N6020" t="s">
        <v>64</v>
      </c>
      <c r="O6020" t="s">
        <v>46</v>
      </c>
      <c r="P6020" t="s">
        <v>46</v>
      </c>
      <c r="Y6020" t="s">
        <v>20113</v>
      </c>
    </row>
    <row r="6021" spans="1:25">
      <c r="A6021" t="s">
        <v>20114</v>
      </c>
      <c r="B6021" t="s">
        <v>20115</v>
      </c>
      <c r="D6021" t="s">
        <v>40</v>
      </c>
      <c r="E6021" t="s">
        <v>41</v>
      </c>
      <c r="J6021" t="s">
        <v>68</v>
      </c>
      <c r="K6021" t="s">
        <v>69</v>
      </c>
      <c r="L6021">
        <v>10</v>
      </c>
      <c r="M6021" t="s">
        <v>20109</v>
      </c>
      <c r="N6021" t="s">
        <v>64</v>
      </c>
      <c r="O6021" t="s">
        <v>46</v>
      </c>
      <c r="P6021" t="s">
        <v>46</v>
      </c>
      <c r="Y6021" t="s">
        <v>20116</v>
      </c>
    </row>
    <row r="6022" spans="1:25">
      <c r="A6022" t="s">
        <v>20117</v>
      </c>
      <c r="B6022" t="s">
        <v>20118</v>
      </c>
      <c r="D6022" t="s">
        <v>40</v>
      </c>
      <c r="E6022" t="s">
        <v>41</v>
      </c>
      <c r="J6022" t="s">
        <v>68</v>
      </c>
      <c r="K6022" t="s">
        <v>69</v>
      </c>
      <c r="L6022">
        <v>10</v>
      </c>
      <c r="M6022" t="s">
        <v>20109</v>
      </c>
      <c r="N6022" t="s">
        <v>64</v>
      </c>
      <c r="O6022" t="s">
        <v>46</v>
      </c>
      <c r="P6022" t="s">
        <v>46</v>
      </c>
      <c r="Y6022" t="s">
        <v>20119</v>
      </c>
    </row>
    <row r="6023" spans="1:25">
      <c r="A6023" t="s">
        <v>20120</v>
      </c>
      <c r="B6023" t="s">
        <v>20121</v>
      </c>
      <c r="D6023" t="s">
        <v>40</v>
      </c>
      <c r="E6023" t="s">
        <v>41</v>
      </c>
      <c r="J6023" t="s">
        <v>68</v>
      </c>
      <c r="K6023" t="s">
        <v>69</v>
      </c>
      <c r="L6023">
        <v>10</v>
      </c>
      <c r="M6023" t="s">
        <v>20122</v>
      </c>
      <c r="N6023" t="s">
        <v>64</v>
      </c>
      <c r="O6023" t="s">
        <v>46</v>
      </c>
      <c r="P6023" t="s">
        <v>46</v>
      </c>
      <c r="Y6023" t="s">
        <v>20123</v>
      </c>
    </row>
    <row r="6024" spans="1:25">
      <c r="A6024" t="s">
        <v>20124</v>
      </c>
      <c r="B6024" t="s">
        <v>20125</v>
      </c>
      <c r="D6024" t="s">
        <v>40</v>
      </c>
      <c r="E6024" t="s">
        <v>41</v>
      </c>
      <c r="J6024" t="s">
        <v>68</v>
      </c>
      <c r="K6024" t="s">
        <v>69</v>
      </c>
      <c r="L6024">
        <v>10</v>
      </c>
      <c r="M6024" t="s">
        <v>20122</v>
      </c>
      <c r="N6024" t="s">
        <v>64</v>
      </c>
      <c r="O6024" t="s">
        <v>46</v>
      </c>
      <c r="P6024" t="s">
        <v>46</v>
      </c>
      <c r="Y6024" t="s">
        <v>20126</v>
      </c>
    </row>
    <row r="6025" spans="1:25">
      <c r="A6025" t="s">
        <v>20127</v>
      </c>
      <c r="B6025" t="s">
        <v>20128</v>
      </c>
      <c r="D6025" t="s">
        <v>40</v>
      </c>
      <c r="E6025" t="s">
        <v>41</v>
      </c>
      <c r="J6025" t="s">
        <v>68</v>
      </c>
      <c r="K6025" t="s">
        <v>69</v>
      </c>
      <c r="L6025">
        <v>10</v>
      </c>
      <c r="M6025" t="s">
        <v>20129</v>
      </c>
      <c r="N6025" t="s">
        <v>64</v>
      </c>
      <c r="O6025" t="s">
        <v>46</v>
      </c>
      <c r="P6025" t="s">
        <v>46</v>
      </c>
      <c r="Y6025" t="s">
        <v>20130</v>
      </c>
    </row>
    <row r="6026" spans="1:25">
      <c r="A6026" t="s">
        <v>20131</v>
      </c>
      <c r="B6026" t="s">
        <v>20132</v>
      </c>
      <c r="D6026" t="s">
        <v>40</v>
      </c>
      <c r="E6026" t="s">
        <v>41</v>
      </c>
      <c r="J6026" t="s">
        <v>76</v>
      </c>
      <c r="K6026" t="s">
        <v>77</v>
      </c>
      <c r="L6026">
        <v>10</v>
      </c>
      <c r="M6026" t="s">
        <v>20129</v>
      </c>
      <c r="N6026" t="s">
        <v>64</v>
      </c>
      <c r="O6026" t="s">
        <v>46</v>
      </c>
      <c r="P6026" t="s">
        <v>46</v>
      </c>
      <c r="Y6026" t="s">
        <v>20133</v>
      </c>
    </row>
    <row r="6027" spans="1:25">
      <c r="A6027" t="s">
        <v>20134</v>
      </c>
      <c r="B6027" t="s">
        <v>20135</v>
      </c>
      <c r="D6027" t="s">
        <v>40</v>
      </c>
      <c r="E6027" t="s">
        <v>41</v>
      </c>
      <c r="J6027" t="s">
        <v>68</v>
      </c>
      <c r="K6027" t="s">
        <v>69</v>
      </c>
      <c r="L6027">
        <v>10</v>
      </c>
      <c r="M6027" t="s">
        <v>20129</v>
      </c>
      <c r="N6027" t="s">
        <v>64</v>
      </c>
      <c r="O6027" t="s">
        <v>46</v>
      </c>
      <c r="P6027" t="s">
        <v>46</v>
      </c>
      <c r="Y6027" t="s">
        <v>20136</v>
      </c>
    </row>
    <row r="6028" spans="1:25">
      <c r="A6028" t="s">
        <v>20137</v>
      </c>
      <c r="B6028" t="s">
        <v>20138</v>
      </c>
      <c r="D6028" t="s">
        <v>40</v>
      </c>
      <c r="E6028" t="s">
        <v>41</v>
      </c>
      <c r="J6028" t="s">
        <v>182</v>
      </c>
      <c r="K6028" t="s">
        <v>183</v>
      </c>
      <c r="L6028">
        <v>10</v>
      </c>
      <c r="M6028" t="s">
        <v>20129</v>
      </c>
      <c r="N6028" t="s">
        <v>64</v>
      </c>
      <c r="O6028" t="s">
        <v>46</v>
      </c>
      <c r="P6028" t="s">
        <v>46</v>
      </c>
      <c r="Y6028" t="s">
        <v>20139</v>
      </c>
    </row>
    <row r="6029" spans="1:25">
      <c r="A6029" t="s">
        <v>20140</v>
      </c>
      <c r="B6029" t="s">
        <v>20141</v>
      </c>
      <c r="D6029" t="s">
        <v>40</v>
      </c>
      <c r="E6029" t="s">
        <v>41</v>
      </c>
      <c r="J6029" t="s">
        <v>1114</v>
      </c>
      <c r="K6029" t="s">
        <v>1115</v>
      </c>
      <c r="L6029">
        <v>10</v>
      </c>
      <c r="M6029" t="s">
        <v>20129</v>
      </c>
      <c r="N6029" t="s">
        <v>1397</v>
      </c>
      <c r="O6029" t="s">
        <v>46</v>
      </c>
      <c r="P6029" t="s">
        <v>46</v>
      </c>
      <c r="Y6029" t="s">
        <v>20142</v>
      </c>
    </row>
    <row r="6030" spans="1:25">
      <c r="A6030" t="s">
        <v>20143</v>
      </c>
      <c r="B6030" t="s">
        <v>20144</v>
      </c>
      <c r="D6030" t="s">
        <v>40</v>
      </c>
      <c r="E6030" t="s">
        <v>41</v>
      </c>
      <c r="J6030" t="s">
        <v>68</v>
      </c>
      <c r="K6030" t="s">
        <v>69</v>
      </c>
      <c r="L6030">
        <v>10</v>
      </c>
      <c r="M6030" t="s">
        <v>20129</v>
      </c>
      <c r="N6030" t="s">
        <v>64</v>
      </c>
      <c r="O6030" t="s">
        <v>46</v>
      </c>
      <c r="P6030" t="s">
        <v>46</v>
      </c>
      <c r="Y6030" t="s">
        <v>20145</v>
      </c>
    </row>
    <row r="6031" spans="1:25">
      <c r="A6031" t="s">
        <v>20146</v>
      </c>
      <c r="B6031" t="s">
        <v>20147</v>
      </c>
      <c r="D6031" t="s">
        <v>40</v>
      </c>
      <c r="E6031" t="s">
        <v>41</v>
      </c>
      <c r="J6031" t="s">
        <v>68</v>
      </c>
      <c r="K6031" t="s">
        <v>69</v>
      </c>
      <c r="L6031">
        <v>10</v>
      </c>
      <c r="M6031" t="s">
        <v>20148</v>
      </c>
      <c r="N6031" t="s">
        <v>64</v>
      </c>
      <c r="O6031" t="s">
        <v>46</v>
      </c>
      <c r="P6031" t="s">
        <v>46</v>
      </c>
      <c r="Y6031" t="s">
        <v>20149</v>
      </c>
    </row>
    <row r="6032" spans="1:25">
      <c r="A6032" t="s">
        <v>20150</v>
      </c>
      <c r="B6032" t="s">
        <v>20151</v>
      </c>
      <c r="D6032" t="s">
        <v>40</v>
      </c>
      <c r="E6032" t="s">
        <v>41</v>
      </c>
      <c r="J6032" t="s">
        <v>68</v>
      </c>
      <c r="K6032" t="s">
        <v>69</v>
      </c>
      <c r="L6032">
        <v>10</v>
      </c>
      <c r="M6032" t="s">
        <v>20148</v>
      </c>
      <c r="N6032" t="s">
        <v>64</v>
      </c>
      <c r="O6032" t="s">
        <v>46</v>
      </c>
      <c r="P6032" t="s">
        <v>46</v>
      </c>
      <c r="Y6032" t="s">
        <v>20152</v>
      </c>
    </row>
    <row r="6033" spans="1:25">
      <c r="A6033" t="s">
        <v>20153</v>
      </c>
      <c r="B6033" t="s">
        <v>20154</v>
      </c>
      <c r="D6033" t="s">
        <v>40</v>
      </c>
      <c r="E6033" t="s">
        <v>41</v>
      </c>
      <c r="J6033" t="s">
        <v>42</v>
      </c>
      <c r="K6033" t="s">
        <v>43</v>
      </c>
      <c r="L6033">
        <v>3</v>
      </c>
      <c r="M6033" t="s">
        <v>20155</v>
      </c>
      <c r="N6033" t="s">
        <v>5995</v>
      </c>
      <c r="O6033" t="s">
        <v>46</v>
      </c>
      <c r="P6033" t="s">
        <v>46</v>
      </c>
      <c r="Y6033" t="s">
        <v>20156</v>
      </c>
    </row>
    <row r="6034" spans="1:25">
      <c r="A6034" t="s">
        <v>20157</v>
      </c>
      <c r="B6034" t="s">
        <v>20158</v>
      </c>
      <c r="D6034" t="s">
        <v>40</v>
      </c>
      <c r="E6034" t="s">
        <v>41</v>
      </c>
      <c r="J6034" t="s">
        <v>264</v>
      </c>
      <c r="K6034" t="s">
        <v>265</v>
      </c>
      <c r="L6034">
        <v>4</v>
      </c>
      <c r="M6034" t="s">
        <v>20159</v>
      </c>
      <c r="N6034" t="s">
        <v>5995</v>
      </c>
      <c r="O6034" t="s">
        <v>46</v>
      </c>
      <c r="P6034" t="s">
        <v>46</v>
      </c>
      <c r="Y6034" t="s">
        <v>20160</v>
      </c>
    </row>
    <row r="6035" spans="1:25">
      <c r="A6035" t="s">
        <v>20161</v>
      </c>
      <c r="B6035" t="s">
        <v>20162</v>
      </c>
      <c r="D6035" t="s">
        <v>40</v>
      </c>
      <c r="E6035" t="s">
        <v>41</v>
      </c>
      <c r="J6035" t="s">
        <v>68</v>
      </c>
      <c r="K6035" t="s">
        <v>69</v>
      </c>
      <c r="L6035">
        <v>10</v>
      </c>
      <c r="M6035" t="s">
        <v>20163</v>
      </c>
      <c r="N6035" t="s">
        <v>64</v>
      </c>
      <c r="O6035" t="s">
        <v>46</v>
      </c>
      <c r="P6035" t="s">
        <v>46</v>
      </c>
      <c r="Y6035" t="s">
        <v>20164</v>
      </c>
    </row>
    <row r="6036" spans="1:25">
      <c r="A6036" t="s">
        <v>20165</v>
      </c>
      <c r="B6036" t="s">
        <v>20166</v>
      </c>
      <c r="D6036" t="s">
        <v>40</v>
      </c>
      <c r="E6036" t="s">
        <v>41</v>
      </c>
      <c r="J6036" t="s">
        <v>68</v>
      </c>
      <c r="K6036" t="s">
        <v>69</v>
      </c>
      <c r="L6036">
        <v>10</v>
      </c>
      <c r="M6036" t="s">
        <v>20163</v>
      </c>
      <c r="N6036" t="s">
        <v>64</v>
      </c>
      <c r="O6036" t="s">
        <v>46</v>
      </c>
      <c r="P6036" t="s">
        <v>46</v>
      </c>
      <c r="Y6036" t="s">
        <v>20167</v>
      </c>
    </row>
    <row r="6037" spans="1:25">
      <c r="A6037" t="s">
        <v>20168</v>
      </c>
      <c r="B6037" t="s">
        <v>20169</v>
      </c>
      <c r="D6037" t="s">
        <v>40</v>
      </c>
      <c r="E6037" t="s">
        <v>41</v>
      </c>
      <c r="J6037" t="s">
        <v>68</v>
      </c>
      <c r="K6037" t="s">
        <v>69</v>
      </c>
      <c r="L6037">
        <v>10</v>
      </c>
      <c r="M6037" t="s">
        <v>20163</v>
      </c>
      <c r="N6037" t="s">
        <v>64</v>
      </c>
      <c r="O6037" t="s">
        <v>46</v>
      </c>
      <c r="P6037" t="s">
        <v>46</v>
      </c>
      <c r="Y6037" t="s">
        <v>20170</v>
      </c>
    </row>
    <row r="6038" spans="1:25">
      <c r="A6038" t="s">
        <v>20171</v>
      </c>
      <c r="B6038" t="s">
        <v>20172</v>
      </c>
      <c r="D6038" t="s">
        <v>40</v>
      </c>
      <c r="E6038" t="s">
        <v>41</v>
      </c>
      <c r="J6038" t="s">
        <v>645</v>
      </c>
      <c r="K6038" t="s">
        <v>646</v>
      </c>
      <c r="L6038">
        <v>10</v>
      </c>
      <c r="M6038" t="s">
        <v>20163</v>
      </c>
      <c r="N6038" t="s">
        <v>64</v>
      </c>
      <c r="O6038" t="s">
        <v>46</v>
      </c>
      <c r="P6038" t="s">
        <v>46</v>
      </c>
      <c r="Y6038" t="s">
        <v>20173</v>
      </c>
    </row>
    <row r="6039" spans="1:25">
      <c r="A6039" t="s">
        <v>20174</v>
      </c>
      <c r="B6039" t="s">
        <v>20175</v>
      </c>
      <c r="D6039" t="s">
        <v>40</v>
      </c>
      <c r="E6039" t="s">
        <v>41</v>
      </c>
      <c r="J6039" t="s">
        <v>76</v>
      </c>
      <c r="K6039" t="s">
        <v>77</v>
      </c>
      <c r="L6039">
        <v>11</v>
      </c>
      <c r="M6039" t="s">
        <v>20163</v>
      </c>
      <c r="N6039" t="s">
        <v>64</v>
      </c>
      <c r="O6039" t="s">
        <v>46</v>
      </c>
      <c r="P6039" t="s">
        <v>46</v>
      </c>
      <c r="Y6039" t="s">
        <v>20176</v>
      </c>
    </row>
    <row r="6040" spans="1:25">
      <c r="A6040" t="s">
        <v>20177</v>
      </c>
      <c r="B6040" t="s">
        <v>20178</v>
      </c>
      <c r="D6040" t="s">
        <v>40</v>
      </c>
      <c r="E6040" t="s">
        <v>41</v>
      </c>
      <c r="J6040" t="s">
        <v>68</v>
      </c>
      <c r="K6040" t="s">
        <v>69</v>
      </c>
      <c r="L6040">
        <v>10</v>
      </c>
      <c r="M6040" t="s">
        <v>20179</v>
      </c>
      <c r="N6040" t="s">
        <v>64</v>
      </c>
      <c r="O6040" t="s">
        <v>46</v>
      </c>
      <c r="P6040" t="s">
        <v>46</v>
      </c>
      <c r="Y6040" t="s">
        <v>20180</v>
      </c>
    </row>
    <row r="6041" spans="1:25">
      <c r="A6041" t="s">
        <v>20181</v>
      </c>
      <c r="B6041" t="s">
        <v>20182</v>
      </c>
      <c r="D6041" t="s">
        <v>40</v>
      </c>
      <c r="E6041" t="s">
        <v>41</v>
      </c>
      <c r="J6041" t="s">
        <v>68</v>
      </c>
      <c r="K6041" t="s">
        <v>69</v>
      </c>
      <c r="L6041">
        <v>10</v>
      </c>
      <c r="M6041" t="s">
        <v>20179</v>
      </c>
      <c r="N6041" t="s">
        <v>64</v>
      </c>
      <c r="O6041" t="s">
        <v>46</v>
      </c>
      <c r="P6041" t="s">
        <v>46</v>
      </c>
      <c r="Y6041" t="s">
        <v>20183</v>
      </c>
    </row>
    <row r="6042" spans="1:25">
      <c r="A6042" t="s">
        <v>20184</v>
      </c>
      <c r="B6042" t="s">
        <v>20185</v>
      </c>
      <c r="D6042" t="s">
        <v>40</v>
      </c>
      <c r="E6042" t="s">
        <v>41</v>
      </c>
      <c r="J6042" t="s">
        <v>182</v>
      </c>
      <c r="K6042" t="s">
        <v>183</v>
      </c>
      <c r="L6042">
        <v>10</v>
      </c>
      <c r="M6042" t="s">
        <v>20179</v>
      </c>
      <c r="N6042" t="s">
        <v>64</v>
      </c>
      <c r="O6042" t="s">
        <v>46</v>
      </c>
      <c r="P6042" t="s">
        <v>46</v>
      </c>
      <c r="Y6042" t="s">
        <v>20186</v>
      </c>
    </row>
    <row r="6043" spans="1:25">
      <c r="A6043" t="s">
        <v>20187</v>
      </c>
      <c r="B6043" t="s">
        <v>20188</v>
      </c>
      <c r="D6043" t="s">
        <v>40</v>
      </c>
      <c r="E6043" t="s">
        <v>41</v>
      </c>
      <c r="J6043" t="s">
        <v>42</v>
      </c>
      <c r="K6043" t="s">
        <v>43</v>
      </c>
      <c r="L6043">
        <v>10</v>
      </c>
      <c r="M6043" t="s">
        <v>20179</v>
      </c>
      <c r="N6043" t="s">
        <v>1138</v>
      </c>
      <c r="O6043" t="s">
        <v>46</v>
      </c>
      <c r="P6043" t="s">
        <v>46</v>
      </c>
      <c r="Y6043" t="s">
        <v>20189</v>
      </c>
    </row>
    <row r="6044" spans="1:25">
      <c r="A6044" t="s">
        <v>20190</v>
      </c>
      <c r="B6044" t="s">
        <v>20191</v>
      </c>
      <c r="D6044" t="s">
        <v>40</v>
      </c>
      <c r="E6044" t="s">
        <v>41</v>
      </c>
      <c r="J6044" t="s">
        <v>68</v>
      </c>
      <c r="K6044" t="s">
        <v>69</v>
      </c>
      <c r="L6044">
        <v>10</v>
      </c>
      <c r="M6044" t="s">
        <v>20179</v>
      </c>
      <c r="N6044" t="s">
        <v>64</v>
      </c>
      <c r="O6044" t="s">
        <v>46</v>
      </c>
      <c r="P6044" t="s">
        <v>46</v>
      </c>
      <c r="Y6044" t="s">
        <v>20192</v>
      </c>
    </row>
    <row r="6045" spans="1:25">
      <c r="A6045" t="s">
        <v>20193</v>
      </c>
      <c r="B6045" t="s">
        <v>20194</v>
      </c>
      <c r="D6045" t="s">
        <v>40</v>
      </c>
      <c r="E6045" t="s">
        <v>41</v>
      </c>
      <c r="J6045" t="s">
        <v>68</v>
      </c>
      <c r="K6045" t="s">
        <v>69</v>
      </c>
      <c r="L6045">
        <v>10</v>
      </c>
      <c r="M6045" t="s">
        <v>20179</v>
      </c>
      <c r="N6045" t="s">
        <v>64</v>
      </c>
      <c r="O6045" t="s">
        <v>46</v>
      </c>
      <c r="P6045" t="s">
        <v>46</v>
      </c>
      <c r="Y6045" t="s">
        <v>20195</v>
      </c>
    </row>
    <row r="6046" spans="1:25">
      <c r="A6046" t="s">
        <v>20196</v>
      </c>
      <c r="B6046" t="s">
        <v>20197</v>
      </c>
      <c r="D6046" t="s">
        <v>40</v>
      </c>
      <c r="E6046" t="s">
        <v>41</v>
      </c>
      <c r="J6046" t="s">
        <v>68</v>
      </c>
      <c r="K6046" t="s">
        <v>69</v>
      </c>
      <c r="L6046">
        <v>10</v>
      </c>
      <c r="M6046" t="s">
        <v>20179</v>
      </c>
      <c r="N6046" t="s">
        <v>64</v>
      </c>
      <c r="O6046" t="s">
        <v>46</v>
      </c>
      <c r="P6046" t="s">
        <v>46</v>
      </c>
      <c r="Y6046" t="s">
        <v>20198</v>
      </c>
    </row>
    <row r="6047" spans="1:25">
      <c r="A6047" t="s">
        <v>20199</v>
      </c>
      <c r="B6047" t="s">
        <v>20200</v>
      </c>
      <c r="D6047" t="s">
        <v>40</v>
      </c>
      <c r="E6047" t="s">
        <v>41</v>
      </c>
      <c r="J6047" t="s">
        <v>182</v>
      </c>
      <c r="K6047" t="s">
        <v>183</v>
      </c>
      <c r="L6047">
        <v>10</v>
      </c>
      <c r="M6047" t="s">
        <v>20179</v>
      </c>
      <c r="N6047" t="s">
        <v>64</v>
      </c>
      <c r="O6047" t="s">
        <v>46</v>
      </c>
      <c r="P6047" t="s">
        <v>46</v>
      </c>
      <c r="Y6047" t="s">
        <v>20201</v>
      </c>
    </row>
    <row r="6048" spans="1:25">
      <c r="A6048" t="s">
        <v>20202</v>
      </c>
      <c r="B6048" t="s">
        <v>20203</v>
      </c>
      <c r="D6048" t="s">
        <v>40</v>
      </c>
      <c r="E6048" t="s">
        <v>41</v>
      </c>
      <c r="J6048" t="s">
        <v>68</v>
      </c>
      <c r="K6048" t="s">
        <v>69</v>
      </c>
      <c r="L6048">
        <v>10</v>
      </c>
      <c r="M6048" t="s">
        <v>20204</v>
      </c>
      <c r="N6048" t="s">
        <v>64</v>
      </c>
      <c r="O6048" t="s">
        <v>46</v>
      </c>
      <c r="P6048" t="s">
        <v>46</v>
      </c>
      <c r="Y6048" t="s">
        <v>20205</v>
      </c>
    </row>
    <row r="6049" spans="1:25">
      <c r="A6049" t="s">
        <v>20206</v>
      </c>
      <c r="B6049" t="s">
        <v>20207</v>
      </c>
      <c r="D6049" t="s">
        <v>40</v>
      </c>
      <c r="E6049" t="s">
        <v>41</v>
      </c>
      <c r="J6049" t="s">
        <v>68</v>
      </c>
      <c r="K6049" t="s">
        <v>69</v>
      </c>
      <c r="L6049">
        <v>10</v>
      </c>
      <c r="M6049" t="s">
        <v>20204</v>
      </c>
      <c r="N6049" t="s">
        <v>64</v>
      </c>
      <c r="O6049" t="s">
        <v>46</v>
      </c>
      <c r="P6049" t="s">
        <v>46</v>
      </c>
      <c r="Y6049" t="s">
        <v>20208</v>
      </c>
    </row>
    <row r="6050" spans="1:25">
      <c r="A6050" t="s">
        <v>20209</v>
      </c>
      <c r="B6050" t="s">
        <v>20210</v>
      </c>
      <c r="D6050" t="s">
        <v>40</v>
      </c>
      <c r="E6050" t="s">
        <v>41</v>
      </c>
      <c r="J6050" t="s">
        <v>76</v>
      </c>
      <c r="K6050" t="s">
        <v>77</v>
      </c>
      <c r="L6050">
        <v>10</v>
      </c>
      <c r="M6050" t="s">
        <v>20204</v>
      </c>
      <c r="N6050" t="s">
        <v>64</v>
      </c>
      <c r="O6050" t="s">
        <v>46</v>
      </c>
      <c r="P6050" t="s">
        <v>46</v>
      </c>
      <c r="Y6050" t="s">
        <v>20211</v>
      </c>
    </row>
    <row r="6051" spans="1:25">
      <c r="A6051" t="s">
        <v>20212</v>
      </c>
      <c r="B6051" t="s">
        <v>20213</v>
      </c>
      <c r="D6051" t="s">
        <v>40</v>
      </c>
      <c r="E6051" t="s">
        <v>41</v>
      </c>
      <c r="J6051" t="s">
        <v>76</v>
      </c>
      <c r="K6051" t="s">
        <v>77</v>
      </c>
      <c r="L6051">
        <v>10</v>
      </c>
      <c r="M6051" t="s">
        <v>20204</v>
      </c>
      <c r="N6051" t="s">
        <v>64</v>
      </c>
      <c r="O6051" t="s">
        <v>46</v>
      </c>
      <c r="P6051" t="s">
        <v>46</v>
      </c>
      <c r="Y6051" t="s">
        <v>20214</v>
      </c>
    </row>
    <row r="6052" spans="1:25">
      <c r="A6052" t="s">
        <v>20215</v>
      </c>
      <c r="B6052" t="s">
        <v>20216</v>
      </c>
      <c r="D6052" t="s">
        <v>40</v>
      </c>
      <c r="E6052" t="s">
        <v>41</v>
      </c>
      <c r="J6052" t="s">
        <v>68</v>
      </c>
      <c r="K6052" t="s">
        <v>69</v>
      </c>
      <c r="L6052">
        <v>10</v>
      </c>
      <c r="M6052" t="s">
        <v>20204</v>
      </c>
      <c r="N6052" t="s">
        <v>64</v>
      </c>
      <c r="O6052" t="s">
        <v>46</v>
      </c>
      <c r="P6052" t="s">
        <v>46</v>
      </c>
      <c r="Y6052" t="s">
        <v>20217</v>
      </c>
    </row>
    <row r="6053" spans="1:25">
      <c r="A6053" t="s">
        <v>20218</v>
      </c>
      <c r="B6053" t="s">
        <v>20219</v>
      </c>
      <c r="D6053" t="s">
        <v>40</v>
      </c>
      <c r="E6053" t="s">
        <v>41</v>
      </c>
      <c r="J6053" t="s">
        <v>182</v>
      </c>
      <c r="K6053" t="s">
        <v>183</v>
      </c>
      <c r="L6053">
        <v>10</v>
      </c>
      <c r="M6053" t="s">
        <v>20220</v>
      </c>
      <c r="N6053" t="s">
        <v>64</v>
      </c>
      <c r="O6053" t="s">
        <v>46</v>
      </c>
      <c r="P6053" t="s">
        <v>46</v>
      </c>
      <c r="Y6053" t="s">
        <v>20221</v>
      </c>
    </row>
    <row r="6054" spans="1:25">
      <c r="A6054" t="s">
        <v>20222</v>
      </c>
      <c r="B6054" t="s">
        <v>20223</v>
      </c>
      <c r="D6054" t="s">
        <v>40</v>
      </c>
      <c r="E6054" t="s">
        <v>41</v>
      </c>
      <c r="J6054" t="s">
        <v>182</v>
      </c>
      <c r="K6054" t="s">
        <v>183</v>
      </c>
      <c r="L6054">
        <v>10</v>
      </c>
      <c r="M6054" t="s">
        <v>20220</v>
      </c>
      <c r="N6054" t="s">
        <v>64</v>
      </c>
      <c r="O6054" t="s">
        <v>46</v>
      </c>
      <c r="P6054" t="s">
        <v>46</v>
      </c>
      <c r="Y6054" t="s">
        <v>20224</v>
      </c>
    </row>
    <row r="6055" spans="1:25">
      <c r="A6055" t="s">
        <v>20225</v>
      </c>
      <c r="B6055" t="s">
        <v>20226</v>
      </c>
      <c r="D6055" t="s">
        <v>40</v>
      </c>
      <c r="E6055" t="s">
        <v>41</v>
      </c>
      <c r="J6055" t="s">
        <v>182</v>
      </c>
      <c r="K6055" t="s">
        <v>183</v>
      </c>
      <c r="L6055">
        <v>10</v>
      </c>
      <c r="M6055" t="s">
        <v>20220</v>
      </c>
      <c r="N6055" t="s">
        <v>64</v>
      </c>
      <c r="O6055" t="s">
        <v>46</v>
      </c>
      <c r="P6055" t="s">
        <v>46</v>
      </c>
      <c r="Y6055" t="s">
        <v>20227</v>
      </c>
    </row>
    <row r="6056" spans="1:25">
      <c r="A6056" t="s">
        <v>20228</v>
      </c>
      <c r="B6056" t="s">
        <v>20229</v>
      </c>
      <c r="D6056" t="s">
        <v>40</v>
      </c>
      <c r="E6056" t="s">
        <v>41</v>
      </c>
      <c r="J6056" t="s">
        <v>182</v>
      </c>
      <c r="K6056" t="s">
        <v>183</v>
      </c>
      <c r="L6056">
        <v>10</v>
      </c>
      <c r="M6056" t="s">
        <v>20220</v>
      </c>
      <c r="N6056" t="s">
        <v>64</v>
      </c>
      <c r="O6056" t="s">
        <v>46</v>
      </c>
      <c r="P6056" t="s">
        <v>46</v>
      </c>
      <c r="Y6056" t="s">
        <v>20230</v>
      </c>
    </row>
    <row r="6057" spans="1:25">
      <c r="A6057" t="s">
        <v>20231</v>
      </c>
      <c r="B6057" t="s">
        <v>20232</v>
      </c>
      <c r="D6057" t="s">
        <v>40</v>
      </c>
      <c r="E6057" t="s">
        <v>41</v>
      </c>
      <c r="J6057" t="s">
        <v>68</v>
      </c>
      <c r="K6057" t="s">
        <v>69</v>
      </c>
      <c r="L6057">
        <v>10</v>
      </c>
      <c r="M6057" t="s">
        <v>20233</v>
      </c>
      <c r="N6057" t="s">
        <v>64</v>
      </c>
      <c r="O6057" t="s">
        <v>46</v>
      </c>
      <c r="P6057" t="s">
        <v>46</v>
      </c>
      <c r="Y6057" t="s">
        <v>20234</v>
      </c>
    </row>
    <row r="6058" spans="1:25">
      <c r="A6058" t="s">
        <v>20235</v>
      </c>
      <c r="B6058" t="s">
        <v>20236</v>
      </c>
      <c r="D6058" t="s">
        <v>40</v>
      </c>
      <c r="E6058" t="s">
        <v>41</v>
      </c>
      <c r="J6058" t="s">
        <v>182</v>
      </c>
      <c r="K6058" t="s">
        <v>183</v>
      </c>
      <c r="L6058">
        <v>10</v>
      </c>
      <c r="M6058" t="s">
        <v>20233</v>
      </c>
      <c r="N6058" t="s">
        <v>64</v>
      </c>
      <c r="O6058" t="s">
        <v>46</v>
      </c>
      <c r="P6058" t="s">
        <v>46</v>
      </c>
      <c r="Y6058" t="s">
        <v>20237</v>
      </c>
    </row>
    <row r="6059" spans="1:25">
      <c r="A6059" t="s">
        <v>20238</v>
      </c>
      <c r="B6059" t="s">
        <v>20239</v>
      </c>
      <c r="D6059" t="s">
        <v>40</v>
      </c>
      <c r="E6059" t="s">
        <v>41</v>
      </c>
      <c r="J6059" t="s">
        <v>68</v>
      </c>
      <c r="K6059" t="s">
        <v>69</v>
      </c>
      <c r="L6059">
        <v>10</v>
      </c>
      <c r="M6059" t="s">
        <v>20233</v>
      </c>
      <c r="N6059" t="s">
        <v>64</v>
      </c>
      <c r="O6059" t="s">
        <v>46</v>
      </c>
      <c r="P6059" t="s">
        <v>46</v>
      </c>
      <c r="Y6059" t="s">
        <v>20240</v>
      </c>
    </row>
    <row r="6060" spans="1:25">
      <c r="A6060" t="s">
        <v>20241</v>
      </c>
      <c r="B6060" t="s">
        <v>20242</v>
      </c>
      <c r="D6060" t="s">
        <v>40</v>
      </c>
      <c r="E6060" t="s">
        <v>41</v>
      </c>
      <c r="J6060" t="s">
        <v>68</v>
      </c>
      <c r="K6060" t="s">
        <v>69</v>
      </c>
      <c r="L6060">
        <v>10</v>
      </c>
      <c r="M6060" t="s">
        <v>20243</v>
      </c>
      <c r="N6060" t="s">
        <v>64</v>
      </c>
      <c r="O6060" t="s">
        <v>46</v>
      </c>
      <c r="P6060" t="s">
        <v>46</v>
      </c>
      <c r="Y6060" t="s">
        <v>20244</v>
      </c>
    </row>
    <row r="6061" spans="1:25">
      <c r="A6061" t="s">
        <v>20245</v>
      </c>
      <c r="B6061" t="s">
        <v>20246</v>
      </c>
      <c r="D6061" t="s">
        <v>40</v>
      </c>
      <c r="E6061" t="s">
        <v>41</v>
      </c>
      <c r="J6061" t="s">
        <v>68</v>
      </c>
      <c r="K6061" t="s">
        <v>69</v>
      </c>
      <c r="L6061">
        <v>10</v>
      </c>
      <c r="M6061" t="s">
        <v>20247</v>
      </c>
      <c r="N6061" t="s">
        <v>64</v>
      </c>
      <c r="O6061" t="s">
        <v>46</v>
      </c>
      <c r="P6061" t="s">
        <v>46</v>
      </c>
      <c r="Y6061" t="s">
        <v>20248</v>
      </c>
    </row>
    <row r="6062" spans="1:25">
      <c r="A6062" t="s">
        <v>20249</v>
      </c>
      <c r="B6062" t="s">
        <v>20250</v>
      </c>
      <c r="D6062" t="s">
        <v>40</v>
      </c>
      <c r="E6062" t="s">
        <v>41</v>
      </c>
      <c r="J6062" t="s">
        <v>182</v>
      </c>
      <c r="K6062" t="s">
        <v>183</v>
      </c>
      <c r="L6062">
        <v>10</v>
      </c>
      <c r="M6062" t="s">
        <v>20251</v>
      </c>
      <c r="N6062" t="s">
        <v>64</v>
      </c>
      <c r="O6062" t="s">
        <v>46</v>
      </c>
      <c r="P6062" t="s">
        <v>46</v>
      </c>
      <c r="Y6062" t="s">
        <v>20252</v>
      </c>
    </row>
    <row r="6063" spans="1:25">
      <c r="A6063" t="s">
        <v>20253</v>
      </c>
      <c r="B6063" t="s">
        <v>20254</v>
      </c>
      <c r="D6063" t="s">
        <v>40</v>
      </c>
      <c r="E6063" t="s">
        <v>41</v>
      </c>
      <c r="J6063" t="s">
        <v>76</v>
      </c>
      <c r="K6063" t="s">
        <v>77</v>
      </c>
      <c r="L6063">
        <v>10</v>
      </c>
      <c r="M6063" t="s">
        <v>20251</v>
      </c>
      <c r="N6063" t="s">
        <v>64</v>
      </c>
      <c r="O6063" t="s">
        <v>46</v>
      </c>
      <c r="P6063" t="s">
        <v>46</v>
      </c>
      <c r="Y6063" t="s">
        <v>20255</v>
      </c>
    </row>
    <row r="6064" spans="1:25">
      <c r="A6064" t="s">
        <v>20256</v>
      </c>
      <c r="B6064" t="s">
        <v>20257</v>
      </c>
      <c r="D6064" t="s">
        <v>40</v>
      </c>
      <c r="E6064" t="s">
        <v>41</v>
      </c>
      <c r="J6064" t="s">
        <v>68</v>
      </c>
      <c r="K6064" t="s">
        <v>69</v>
      </c>
      <c r="L6064">
        <v>10</v>
      </c>
      <c r="M6064" t="s">
        <v>20251</v>
      </c>
      <c r="N6064" t="s">
        <v>64</v>
      </c>
      <c r="O6064" t="s">
        <v>46</v>
      </c>
      <c r="P6064" t="s">
        <v>46</v>
      </c>
      <c r="Y6064" t="s">
        <v>20258</v>
      </c>
    </row>
    <row r="6065" spans="1:25">
      <c r="A6065" t="s">
        <v>20259</v>
      </c>
      <c r="B6065" t="s">
        <v>20260</v>
      </c>
      <c r="D6065" t="s">
        <v>40</v>
      </c>
      <c r="E6065" t="s">
        <v>41</v>
      </c>
      <c r="J6065" t="s">
        <v>68</v>
      </c>
      <c r="K6065" t="s">
        <v>69</v>
      </c>
      <c r="L6065">
        <v>10</v>
      </c>
      <c r="M6065" t="s">
        <v>20251</v>
      </c>
      <c r="N6065" t="s">
        <v>64</v>
      </c>
      <c r="O6065" t="s">
        <v>46</v>
      </c>
      <c r="P6065" t="s">
        <v>46</v>
      </c>
      <c r="Y6065" t="s">
        <v>20261</v>
      </c>
    </row>
    <row r="6066" spans="1:25">
      <c r="A6066" t="s">
        <v>20262</v>
      </c>
      <c r="B6066" t="s">
        <v>20263</v>
      </c>
      <c r="D6066" t="s">
        <v>40</v>
      </c>
      <c r="E6066" t="s">
        <v>41</v>
      </c>
      <c r="J6066" t="s">
        <v>68</v>
      </c>
      <c r="K6066" t="s">
        <v>69</v>
      </c>
      <c r="L6066">
        <v>10</v>
      </c>
      <c r="M6066" t="s">
        <v>20264</v>
      </c>
      <c r="N6066" t="s">
        <v>64</v>
      </c>
      <c r="O6066" t="s">
        <v>46</v>
      </c>
      <c r="P6066" t="s">
        <v>46</v>
      </c>
      <c r="Y6066" t="s">
        <v>20265</v>
      </c>
    </row>
    <row r="6067" spans="1:25">
      <c r="A6067" t="s">
        <v>20266</v>
      </c>
      <c r="B6067" t="s">
        <v>20267</v>
      </c>
      <c r="D6067" t="s">
        <v>40</v>
      </c>
      <c r="E6067" t="s">
        <v>41</v>
      </c>
      <c r="J6067" t="s">
        <v>76</v>
      </c>
      <c r="K6067" t="s">
        <v>77</v>
      </c>
      <c r="L6067">
        <v>10</v>
      </c>
      <c r="M6067" t="s">
        <v>20264</v>
      </c>
      <c r="N6067" t="s">
        <v>64</v>
      </c>
      <c r="O6067" t="s">
        <v>46</v>
      </c>
      <c r="P6067" t="s">
        <v>46</v>
      </c>
      <c r="Y6067" t="s">
        <v>20268</v>
      </c>
    </row>
    <row r="6068" spans="1:25">
      <c r="A6068" t="s">
        <v>20269</v>
      </c>
      <c r="B6068" t="s">
        <v>20270</v>
      </c>
      <c r="D6068" t="s">
        <v>40</v>
      </c>
      <c r="E6068" t="s">
        <v>41</v>
      </c>
      <c r="J6068" t="s">
        <v>2619</v>
      </c>
      <c r="K6068" t="s">
        <v>140</v>
      </c>
      <c r="L6068">
        <v>9</v>
      </c>
      <c r="M6068" t="s">
        <v>20271</v>
      </c>
      <c r="N6068" t="s">
        <v>2621</v>
      </c>
      <c r="O6068" t="s">
        <v>46</v>
      </c>
      <c r="P6068" t="s">
        <v>46</v>
      </c>
      <c r="Y6068" t="s">
        <v>20272</v>
      </c>
    </row>
    <row r="6069" spans="1:25">
      <c r="A6069" t="s">
        <v>20273</v>
      </c>
      <c r="B6069" t="s">
        <v>20274</v>
      </c>
      <c r="D6069" t="s">
        <v>40</v>
      </c>
      <c r="E6069" t="s">
        <v>41</v>
      </c>
      <c r="J6069" t="s">
        <v>42</v>
      </c>
      <c r="K6069" t="s">
        <v>43</v>
      </c>
      <c r="L6069">
        <v>10</v>
      </c>
      <c r="M6069" t="s">
        <v>20275</v>
      </c>
      <c r="N6069" t="s">
        <v>950</v>
      </c>
      <c r="O6069" t="s">
        <v>46</v>
      </c>
      <c r="P6069" t="s">
        <v>46</v>
      </c>
      <c r="Y6069" t="s">
        <v>20276</v>
      </c>
    </row>
    <row r="6070" spans="1:25">
      <c r="A6070" t="s">
        <v>20277</v>
      </c>
      <c r="B6070" t="s">
        <v>20278</v>
      </c>
      <c r="D6070" t="s">
        <v>40</v>
      </c>
      <c r="E6070" t="s">
        <v>41</v>
      </c>
      <c r="J6070" t="s">
        <v>68</v>
      </c>
      <c r="K6070" t="s">
        <v>69</v>
      </c>
      <c r="L6070">
        <v>10</v>
      </c>
      <c r="M6070" t="s">
        <v>20275</v>
      </c>
      <c r="N6070" t="s">
        <v>64</v>
      </c>
      <c r="O6070" t="s">
        <v>46</v>
      </c>
      <c r="P6070" t="s">
        <v>46</v>
      </c>
      <c r="Y6070" t="s">
        <v>20279</v>
      </c>
    </row>
    <row r="6071" spans="1:25">
      <c r="A6071" t="s">
        <v>20280</v>
      </c>
      <c r="B6071" t="s">
        <v>20281</v>
      </c>
      <c r="D6071" t="s">
        <v>40</v>
      </c>
      <c r="E6071" t="s">
        <v>41</v>
      </c>
      <c r="J6071" t="s">
        <v>68</v>
      </c>
      <c r="K6071" t="s">
        <v>69</v>
      </c>
      <c r="L6071">
        <v>10</v>
      </c>
      <c r="M6071" t="s">
        <v>20282</v>
      </c>
      <c r="N6071" t="s">
        <v>64</v>
      </c>
      <c r="O6071" t="s">
        <v>46</v>
      </c>
      <c r="P6071" t="s">
        <v>46</v>
      </c>
      <c r="Y6071" t="s">
        <v>20283</v>
      </c>
    </row>
    <row r="6072" spans="1:25">
      <c r="A6072" t="s">
        <v>20284</v>
      </c>
      <c r="B6072" t="s">
        <v>20285</v>
      </c>
      <c r="D6072" t="s">
        <v>40</v>
      </c>
      <c r="E6072" t="s">
        <v>41</v>
      </c>
      <c r="J6072" t="s">
        <v>182</v>
      </c>
      <c r="K6072" t="s">
        <v>183</v>
      </c>
      <c r="L6072">
        <v>10</v>
      </c>
      <c r="M6072" t="s">
        <v>20282</v>
      </c>
      <c r="N6072" t="s">
        <v>64</v>
      </c>
      <c r="O6072" t="s">
        <v>46</v>
      </c>
      <c r="P6072" t="s">
        <v>46</v>
      </c>
      <c r="Y6072" t="s">
        <v>20286</v>
      </c>
    </row>
    <row r="6073" spans="1:25">
      <c r="A6073" t="s">
        <v>20287</v>
      </c>
      <c r="B6073" t="s">
        <v>20288</v>
      </c>
      <c r="D6073" t="s">
        <v>40</v>
      </c>
      <c r="E6073" t="s">
        <v>41</v>
      </c>
      <c r="J6073" t="s">
        <v>68</v>
      </c>
      <c r="K6073" t="s">
        <v>69</v>
      </c>
      <c r="L6073">
        <v>10</v>
      </c>
      <c r="M6073" t="s">
        <v>20282</v>
      </c>
      <c r="N6073" t="s">
        <v>64</v>
      </c>
      <c r="O6073" t="s">
        <v>46</v>
      </c>
      <c r="P6073" t="s">
        <v>46</v>
      </c>
      <c r="Y6073" t="s">
        <v>20289</v>
      </c>
    </row>
    <row r="6074" spans="1:25">
      <c r="A6074" t="s">
        <v>20290</v>
      </c>
      <c r="B6074" t="s">
        <v>20291</v>
      </c>
      <c r="D6074" t="s">
        <v>40</v>
      </c>
      <c r="E6074" t="s">
        <v>41</v>
      </c>
      <c r="J6074" t="s">
        <v>68</v>
      </c>
      <c r="K6074" t="s">
        <v>69</v>
      </c>
      <c r="L6074">
        <v>10</v>
      </c>
      <c r="M6074" t="s">
        <v>20282</v>
      </c>
      <c r="N6074" t="s">
        <v>64</v>
      </c>
      <c r="O6074" t="s">
        <v>46</v>
      </c>
      <c r="P6074" t="s">
        <v>46</v>
      </c>
      <c r="Y6074" t="s">
        <v>20292</v>
      </c>
    </row>
    <row r="6075" spans="1:25">
      <c r="A6075" t="s">
        <v>20293</v>
      </c>
      <c r="B6075" t="s">
        <v>20294</v>
      </c>
      <c r="D6075" t="s">
        <v>40</v>
      </c>
      <c r="E6075" t="s">
        <v>41</v>
      </c>
      <c r="J6075" t="s">
        <v>68</v>
      </c>
      <c r="K6075" t="s">
        <v>69</v>
      </c>
      <c r="L6075">
        <v>10</v>
      </c>
      <c r="M6075" t="s">
        <v>20282</v>
      </c>
      <c r="N6075" t="s">
        <v>64</v>
      </c>
      <c r="O6075" t="s">
        <v>46</v>
      </c>
      <c r="P6075" t="s">
        <v>46</v>
      </c>
      <c r="Y6075" t="s">
        <v>20295</v>
      </c>
    </row>
    <row r="6076" spans="1:25">
      <c r="A6076" t="s">
        <v>20296</v>
      </c>
      <c r="B6076" t="s">
        <v>20297</v>
      </c>
      <c r="D6076" t="s">
        <v>40</v>
      </c>
      <c r="E6076" t="s">
        <v>41</v>
      </c>
      <c r="J6076" t="s">
        <v>76</v>
      </c>
      <c r="K6076" t="s">
        <v>77</v>
      </c>
      <c r="L6076">
        <v>10</v>
      </c>
      <c r="M6076" t="s">
        <v>20282</v>
      </c>
      <c r="N6076" t="s">
        <v>64</v>
      </c>
      <c r="O6076" t="s">
        <v>46</v>
      </c>
      <c r="P6076" t="s">
        <v>46</v>
      </c>
      <c r="Y6076" t="s">
        <v>20298</v>
      </c>
    </row>
    <row r="6077" spans="1:25">
      <c r="A6077" t="s">
        <v>20299</v>
      </c>
      <c r="B6077" t="s">
        <v>20300</v>
      </c>
      <c r="D6077" t="s">
        <v>40</v>
      </c>
      <c r="E6077" t="s">
        <v>41</v>
      </c>
      <c r="J6077" t="s">
        <v>182</v>
      </c>
      <c r="K6077" t="s">
        <v>183</v>
      </c>
      <c r="L6077">
        <v>10</v>
      </c>
      <c r="M6077" t="s">
        <v>20282</v>
      </c>
      <c r="N6077" t="s">
        <v>64</v>
      </c>
      <c r="O6077" t="s">
        <v>46</v>
      </c>
      <c r="P6077" t="s">
        <v>46</v>
      </c>
      <c r="Y6077" t="s">
        <v>20301</v>
      </c>
    </row>
    <row r="6078" spans="1:25">
      <c r="A6078" t="s">
        <v>20302</v>
      </c>
      <c r="B6078" t="s">
        <v>20303</v>
      </c>
      <c r="D6078" t="s">
        <v>40</v>
      </c>
      <c r="E6078" t="s">
        <v>41</v>
      </c>
      <c r="J6078" t="s">
        <v>68</v>
      </c>
      <c r="K6078" t="s">
        <v>69</v>
      </c>
      <c r="L6078">
        <v>10</v>
      </c>
      <c r="M6078" t="s">
        <v>20282</v>
      </c>
      <c r="N6078" t="s">
        <v>64</v>
      </c>
      <c r="O6078" t="s">
        <v>46</v>
      </c>
      <c r="P6078" t="s">
        <v>46</v>
      </c>
      <c r="Y6078" t="s">
        <v>20304</v>
      </c>
    </row>
    <row r="6079" spans="1:25">
      <c r="A6079" t="s">
        <v>20305</v>
      </c>
      <c r="B6079" t="s">
        <v>20306</v>
      </c>
      <c r="D6079" t="s">
        <v>40</v>
      </c>
      <c r="E6079" t="s">
        <v>41</v>
      </c>
      <c r="J6079" t="s">
        <v>68</v>
      </c>
      <c r="K6079" t="s">
        <v>69</v>
      </c>
      <c r="L6079">
        <v>10</v>
      </c>
      <c r="M6079" t="s">
        <v>20307</v>
      </c>
      <c r="N6079" t="s">
        <v>64</v>
      </c>
      <c r="O6079" t="s">
        <v>46</v>
      </c>
      <c r="P6079" t="s">
        <v>46</v>
      </c>
      <c r="Y6079" t="s">
        <v>20308</v>
      </c>
    </row>
    <row r="6080" spans="1:25">
      <c r="A6080" t="s">
        <v>20309</v>
      </c>
      <c r="B6080" t="s">
        <v>20310</v>
      </c>
      <c r="D6080" t="s">
        <v>40</v>
      </c>
      <c r="E6080" t="s">
        <v>41</v>
      </c>
      <c r="J6080" t="s">
        <v>76</v>
      </c>
      <c r="K6080" t="s">
        <v>77</v>
      </c>
      <c r="L6080">
        <v>10</v>
      </c>
      <c r="M6080" t="s">
        <v>20307</v>
      </c>
      <c r="N6080" t="s">
        <v>64</v>
      </c>
      <c r="O6080" t="s">
        <v>46</v>
      </c>
      <c r="P6080" t="s">
        <v>46</v>
      </c>
      <c r="Y6080" t="s">
        <v>20311</v>
      </c>
    </row>
    <row r="6081" spans="1:25">
      <c r="A6081" t="s">
        <v>20312</v>
      </c>
      <c r="B6081" t="s">
        <v>20313</v>
      </c>
      <c r="D6081" t="s">
        <v>40</v>
      </c>
      <c r="E6081" t="s">
        <v>41</v>
      </c>
      <c r="J6081" t="s">
        <v>76</v>
      </c>
      <c r="K6081" t="s">
        <v>77</v>
      </c>
      <c r="L6081">
        <v>10</v>
      </c>
      <c r="M6081" t="s">
        <v>20307</v>
      </c>
      <c r="N6081" t="s">
        <v>64</v>
      </c>
      <c r="O6081" t="s">
        <v>46</v>
      </c>
      <c r="P6081" t="s">
        <v>46</v>
      </c>
      <c r="Y6081" t="s">
        <v>20314</v>
      </c>
    </row>
    <row r="6082" spans="1:25">
      <c r="A6082" t="s">
        <v>20315</v>
      </c>
      <c r="B6082" t="s">
        <v>20316</v>
      </c>
      <c r="D6082" t="s">
        <v>40</v>
      </c>
      <c r="E6082" t="s">
        <v>41</v>
      </c>
      <c r="J6082" t="s">
        <v>68</v>
      </c>
      <c r="K6082" t="s">
        <v>69</v>
      </c>
      <c r="L6082">
        <v>10</v>
      </c>
      <c r="M6082" t="s">
        <v>20307</v>
      </c>
      <c r="N6082" t="s">
        <v>64</v>
      </c>
      <c r="O6082" t="s">
        <v>46</v>
      </c>
      <c r="P6082" t="s">
        <v>46</v>
      </c>
      <c r="Y6082" t="s">
        <v>20317</v>
      </c>
    </row>
    <row r="6083" spans="1:25">
      <c r="A6083" t="s">
        <v>20318</v>
      </c>
      <c r="B6083" t="s">
        <v>20319</v>
      </c>
      <c r="D6083" t="s">
        <v>40</v>
      </c>
      <c r="E6083" t="s">
        <v>41</v>
      </c>
      <c r="J6083" t="s">
        <v>68</v>
      </c>
      <c r="K6083" t="s">
        <v>69</v>
      </c>
      <c r="L6083">
        <v>10</v>
      </c>
      <c r="M6083" t="s">
        <v>20320</v>
      </c>
      <c r="N6083" t="s">
        <v>64</v>
      </c>
      <c r="O6083" t="s">
        <v>46</v>
      </c>
      <c r="P6083" t="s">
        <v>46</v>
      </c>
      <c r="Y6083" t="s">
        <v>20321</v>
      </c>
    </row>
    <row r="6084" spans="1:25">
      <c r="A6084" t="s">
        <v>20322</v>
      </c>
      <c r="B6084" t="s">
        <v>20323</v>
      </c>
      <c r="D6084" t="s">
        <v>40</v>
      </c>
      <c r="E6084" t="s">
        <v>41</v>
      </c>
      <c r="J6084" t="s">
        <v>68</v>
      </c>
      <c r="K6084" t="s">
        <v>69</v>
      </c>
      <c r="L6084">
        <v>10</v>
      </c>
      <c r="M6084" t="s">
        <v>20320</v>
      </c>
      <c r="N6084" t="s">
        <v>64</v>
      </c>
      <c r="O6084" t="s">
        <v>46</v>
      </c>
      <c r="P6084" t="s">
        <v>46</v>
      </c>
      <c r="Y6084" t="s">
        <v>20324</v>
      </c>
    </row>
    <row r="6085" spans="1:25">
      <c r="A6085" t="s">
        <v>20325</v>
      </c>
      <c r="B6085" t="s">
        <v>20326</v>
      </c>
      <c r="D6085" t="s">
        <v>40</v>
      </c>
      <c r="E6085" t="s">
        <v>41</v>
      </c>
      <c r="J6085" t="s">
        <v>68</v>
      </c>
      <c r="K6085" t="s">
        <v>69</v>
      </c>
      <c r="L6085">
        <v>10</v>
      </c>
      <c r="M6085" t="s">
        <v>20320</v>
      </c>
      <c r="N6085" t="s">
        <v>64</v>
      </c>
      <c r="O6085" t="s">
        <v>46</v>
      </c>
      <c r="P6085" t="s">
        <v>46</v>
      </c>
      <c r="Y6085" t="s">
        <v>20327</v>
      </c>
    </row>
    <row r="6086" spans="1:25">
      <c r="A6086" t="s">
        <v>20328</v>
      </c>
      <c r="B6086" t="s">
        <v>20329</v>
      </c>
      <c r="D6086" t="s">
        <v>40</v>
      </c>
      <c r="E6086" t="s">
        <v>41</v>
      </c>
      <c r="J6086" t="s">
        <v>182</v>
      </c>
      <c r="K6086" t="s">
        <v>183</v>
      </c>
      <c r="L6086">
        <v>10</v>
      </c>
      <c r="M6086" t="s">
        <v>20320</v>
      </c>
      <c r="N6086" t="s">
        <v>64</v>
      </c>
      <c r="O6086" t="s">
        <v>46</v>
      </c>
      <c r="P6086" t="s">
        <v>46</v>
      </c>
      <c r="Y6086" t="s">
        <v>20330</v>
      </c>
    </row>
    <row r="6087" spans="1:25">
      <c r="A6087" t="s">
        <v>20331</v>
      </c>
      <c r="B6087" t="s">
        <v>20332</v>
      </c>
      <c r="D6087" t="s">
        <v>40</v>
      </c>
      <c r="E6087" t="s">
        <v>41</v>
      </c>
      <c r="J6087" t="s">
        <v>182</v>
      </c>
      <c r="K6087" t="s">
        <v>183</v>
      </c>
      <c r="L6087">
        <v>10</v>
      </c>
      <c r="M6087" t="s">
        <v>20333</v>
      </c>
      <c r="N6087" t="s">
        <v>64</v>
      </c>
      <c r="O6087" t="s">
        <v>46</v>
      </c>
      <c r="P6087" t="s">
        <v>46</v>
      </c>
      <c r="Y6087" t="s">
        <v>20334</v>
      </c>
    </row>
    <row r="6088" spans="1:25">
      <c r="A6088" t="s">
        <v>20335</v>
      </c>
      <c r="B6088" t="s">
        <v>20336</v>
      </c>
      <c r="D6088" t="s">
        <v>40</v>
      </c>
      <c r="E6088" t="s">
        <v>41</v>
      </c>
      <c r="J6088" t="s">
        <v>68</v>
      </c>
      <c r="K6088" t="s">
        <v>69</v>
      </c>
      <c r="L6088">
        <v>10</v>
      </c>
      <c r="M6088" t="s">
        <v>20333</v>
      </c>
      <c r="N6088" t="s">
        <v>64</v>
      </c>
      <c r="O6088" t="s">
        <v>46</v>
      </c>
      <c r="P6088" t="s">
        <v>46</v>
      </c>
      <c r="Y6088" t="s">
        <v>20337</v>
      </c>
    </row>
    <row r="6089" spans="1:25">
      <c r="A6089" t="s">
        <v>20338</v>
      </c>
      <c r="B6089" t="s">
        <v>20339</v>
      </c>
      <c r="D6089" t="s">
        <v>40</v>
      </c>
      <c r="E6089" t="s">
        <v>41</v>
      </c>
      <c r="J6089" t="s">
        <v>68</v>
      </c>
      <c r="K6089" t="s">
        <v>69</v>
      </c>
      <c r="L6089">
        <v>10</v>
      </c>
      <c r="M6089" t="s">
        <v>20333</v>
      </c>
      <c r="N6089" t="s">
        <v>64</v>
      </c>
      <c r="O6089" t="s">
        <v>46</v>
      </c>
      <c r="P6089" t="s">
        <v>46</v>
      </c>
      <c r="Y6089" t="s">
        <v>20340</v>
      </c>
    </row>
    <row r="6090" spans="1:25">
      <c r="A6090" t="s">
        <v>20341</v>
      </c>
      <c r="B6090" t="s">
        <v>20342</v>
      </c>
      <c r="D6090" t="s">
        <v>40</v>
      </c>
      <c r="E6090" t="s">
        <v>41</v>
      </c>
      <c r="J6090" t="s">
        <v>68</v>
      </c>
      <c r="K6090" t="s">
        <v>69</v>
      </c>
      <c r="L6090">
        <v>10</v>
      </c>
      <c r="M6090" t="s">
        <v>20333</v>
      </c>
      <c r="N6090" t="s">
        <v>64</v>
      </c>
      <c r="O6090" t="s">
        <v>46</v>
      </c>
      <c r="P6090" t="s">
        <v>46</v>
      </c>
      <c r="Y6090" t="s">
        <v>20343</v>
      </c>
    </row>
    <row r="6091" spans="1:25">
      <c r="A6091" t="s">
        <v>20344</v>
      </c>
      <c r="B6091" t="s">
        <v>20345</v>
      </c>
      <c r="D6091" t="s">
        <v>40</v>
      </c>
      <c r="E6091" t="s">
        <v>41</v>
      </c>
      <c r="J6091" t="s">
        <v>68</v>
      </c>
      <c r="K6091" t="s">
        <v>69</v>
      </c>
      <c r="L6091">
        <v>10</v>
      </c>
      <c r="M6091" t="s">
        <v>20333</v>
      </c>
      <c r="N6091" t="s">
        <v>64</v>
      </c>
      <c r="O6091" t="s">
        <v>46</v>
      </c>
      <c r="P6091" t="s">
        <v>46</v>
      </c>
      <c r="Y6091" t="s">
        <v>20346</v>
      </c>
    </row>
    <row r="6092" spans="1:25">
      <c r="A6092" t="s">
        <v>20347</v>
      </c>
      <c r="B6092" t="s">
        <v>20348</v>
      </c>
      <c r="D6092" t="s">
        <v>40</v>
      </c>
      <c r="E6092" t="s">
        <v>41</v>
      </c>
      <c r="J6092" t="s">
        <v>68</v>
      </c>
      <c r="K6092" t="s">
        <v>69</v>
      </c>
      <c r="L6092">
        <v>10</v>
      </c>
      <c r="M6092" t="s">
        <v>20333</v>
      </c>
      <c r="N6092" t="s">
        <v>64</v>
      </c>
      <c r="O6092" t="s">
        <v>46</v>
      </c>
      <c r="P6092" t="s">
        <v>46</v>
      </c>
      <c r="Y6092" t="s">
        <v>20349</v>
      </c>
    </row>
    <row r="6093" spans="1:25">
      <c r="A6093" t="s">
        <v>20350</v>
      </c>
      <c r="B6093" t="s">
        <v>20351</v>
      </c>
      <c r="D6093" t="s">
        <v>40</v>
      </c>
      <c r="E6093" t="s">
        <v>41</v>
      </c>
      <c r="J6093" t="s">
        <v>68</v>
      </c>
      <c r="K6093" t="s">
        <v>69</v>
      </c>
      <c r="L6093">
        <v>10</v>
      </c>
      <c r="M6093" t="s">
        <v>20352</v>
      </c>
      <c r="N6093" t="s">
        <v>64</v>
      </c>
      <c r="O6093" t="s">
        <v>46</v>
      </c>
      <c r="P6093" t="s">
        <v>46</v>
      </c>
      <c r="Y6093" t="s">
        <v>20353</v>
      </c>
    </row>
    <row r="6094" spans="1:25">
      <c r="A6094" t="s">
        <v>20354</v>
      </c>
      <c r="B6094" t="s">
        <v>20355</v>
      </c>
      <c r="D6094" t="s">
        <v>40</v>
      </c>
      <c r="E6094" t="s">
        <v>41</v>
      </c>
      <c r="J6094" t="s">
        <v>139</v>
      </c>
      <c r="K6094" t="s">
        <v>140</v>
      </c>
      <c r="L6094">
        <v>10</v>
      </c>
      <c r="M6094" t="s">
        <v>20352</v>
      </c>
      <c r="N6094" t="s">
        <v>1550</v>
      </c>
      <c r="O6094" t="s">
        <v>46</v>
      </c>
      <c r="P6094" t="s">
        <v>46</v>
      </c>
      <c r="Y6094" t="s">
        <v>20356</v>
      </c>
    </row>
    <row r="6095" spans="1:25">
      <c r="A6095" t="s">
        <v>20357</v>
      </c>
      <c r="B6095" t="s">
        <v>20358</v>
      </c>
      <c r="D6095" t="s">
        <v>40</v>
      </c>
      <c r="E6095" t="s">
        <v>41</v>
      </c>
      <c r="J6095" t="s">
        <v>42</v>
      </c>
      <c r="K6095" t="s">
        <v>43</v>
      </c>
      <c r="L6095">
        <v>10</v>
      </c>
      <c r="M6095" t="s">
        <v>20352</v>
      </c>
      <c r="N6095" t="s">
        <v>2346</v>
      </c>
      <c r="O6095" t="s">
        <v>46</v>
      </c>
      <c r="P6095" t="s">
        <v>46</v>
      </c>
      <c r="Y6095" t="s">
        <v>20359</v>
      </c>
    </row>
    <row r="6096" spans="1:25">
      <c r="A6096" t="s">
        <v>20360</v>
      </c>
      <c r="B6096" t="s">
        <v>20361</v>
      </c>
      <c r="D6096" t="s">
        <v>40</v>
      </c>
      <c r="E6096" t="s">
        <v>41</v>
      </c>
      <c r="J6096" t="s">
        <v>68</v>
      </c>
      <c r="K6096" t="s">
        <v>69</v>
      </c>
      <c r="L6096">
        <v>10</v>
      </c>
      <c r="M6096" t="s">
        <v>20352</v>
      </c>
      <c r="N6096" t="s">
        <v>64</v>
      </c>
      <c r="O6096" t="s">
        <v>46</v>
      </c>
      <c r="P6096" t="s">
        <v>46</v>
      </c>
      <c r="Y6096" t="s">
        <v>20362</v>
      </c>
    </row>
    <row r="6097" spans="1:25">
      <c r="A6097" t="s">
        <v>20363</v>
      </c>
      <c r="B6097" t="s">
        <v>20364</v>
      </c>
      <c r="D6097" t="s">
        <v>40</v>
      </c>
      <c r="E6097" t="s">
        <v>41</v>
      </c>
      <c r="J6097" t="s">
        <v>68</v>
      </c>
      <c r="K6097" t="s">
        <v>69</v>
      </c>
      <c r="L6097">
        <v>10</v>
      </c>
      <c r="M6097" t="s">
        <v>20365</v>
      </c>
      <c r="N6097" t="s">
        <v>64</v>
      </c>
      <c r="O6097" t="s">
        <v>46</v>
      </c>
      <c r="P6097" t="s">
        <v>46</v>
      </c>
      <c r="Y6097" t="s">
        <v>20366</v>
      </c>
    </row>
    <row r="6098" spans="1:25">
      <c r="A6098" t="s">
        <v>20367</v>
      </c>
      <c r="B6098" t="s">
        <v>20368</v>
      </c>
      <c r="D6098" t="s">
        <v>40</v>
      </c>
      <c r="E6098" t="s">
        <v>41</v>
      </c>
      <c r="J6098" t="s">
        <v>182</v>
      </c>
      <c r="K6098" t="s">
        <v>183</v>
      </c>
      <c r="L6098">
        <v>10</v>
      </c>
      <c r="M6098" t="s">
        <v>20365</v>
      </c>
      <c r="N6098" t="s">
        <v>64</v>
      </c>
      <c r="O6098" t="s">
        <v>46</v>
      </c>
      <c r="P6098" t="s">
        <v>46</v>
      </c>
      <c r="Y6098" t="s">
        <v>20369</v>
      </c>
    </row>
    <row r="6099" spans="1:25">
      <c r="A6099" t="s">
        <v>20370</v>
      </c>
      <c r="B6099" t="s">
        <v>20371</v>
      </c>
      <c r="D6099" t="s">
        <v>40</v>
      </c>
      <c r="E6099" t="s">
        <v>41</v>
      </c>
      <c r="J6099" t="s">
        <v>182</v>
      </c>
      <c r="K6099" t="s">
        <v>183</v>
      </c>
      <c r="L6099">
        <v>10</v>
      </c>
      <c r="M6099" t="s">
        <v>20365</v>
      </c>
      <c r="N6099" t="s">
        <v>64</v>
      </c>
      <c r="O6099" t="s">
        <v>46</v>
      </c>
      <c r="P6099" t="s">
        <v>46</v>
      </c>
      <c r="Y6099" t="s">
        <v>20372</v>
      </c>
    </row>
    <row r="6100" spans="1:25">
      <c r="A6100" t="s">
        <v>20373</v>
      </c>
      <c r="B6100" t="s">
        <v>20374</v>
      </c>
      <c r="D6100" t="s">
        <v>40</v>
      </c>
      <c r="E6100" t="s">
        <v>41</v>
      </c>
      <c r="J6100" t="s">
        <v>68</v>
      </c>
      <c r="K6100" t="s">
        <v>69</v>
      </c>
      <c r="L6100">
        <v>10</v>
      </c>
      <c r="M6100" t="s">
        <v>20365</v>
      </c>
      <c r="N6100" t="s">
        <v>64</v>
      </c>
      <c r="O6100" t="s">
        <v>46</v>
      </c>
      <c r="P6100" t="s">
        <v>46</v>
      </c>
      <c r="Y6100" t="s">
        <v>20375</v>
      </c>
    </row>
    <row r="6101" spans="1:25">
      <c r="A6101" t="s">
        <v>20376</v>
      </c>
      <c r="B6101" t="s">
        <v>20377</v>
      </c>
      <c r="D6101" t="s">
        <v>40</v>
      </c>
      <c r="E6101" t="s">
        <v>41</v>
      </c>
      <c r="J6101" t="s">
        <v>76</v>
      </c>
      <c r="K6101" t="s">
        <v>77</v>
      </c>
      <c r="L6101">
        <v>10</v>
      </c>
      <c r="M6101" t="s">
        <v>20365</v>
      </c>
      <c r="N6101" t="s">
        <v>64</v>
      </c>
      <c r="O6101" t="s">
        <v>46</v>
      </c>
      <c r="P6101" t="s">
        <v>46</v>
      </c>
      <c r="Y6101" t="s">
        <v>20378</v>
      </c>
    </row>
    <row r="6102" spans="1:25">
      <c r="A6102" t="s">
        <v>20379</v>
      </c>
      <c r="B6102" t="s">
        <v>20380</v>
      </c>
      <c r="D6102" t="s">
        <v>40</v>
      </c>
      <c r="E6102" t="s">
        <v>41</v>
      </c>
      <c r="J6102" t="s">
        <v>68</v>
      </c>
      <c r="K6102" t="s">
        <v>69</v>
      </c>
      <c r="L6102">
        <v>10</v>
      </c>
      <c r="M6102" t="s">
        <v>20365</v>
      </c>
      <c r="N6102" t="s">
        <v>64</v>
      </c>
      <c r="O6102" t="s">
        <v>46</v>
      </c>
      <c r="P6102" t="s">
        <v>46</v>
      </c>
      <c r="Y6102" t="s">
        <v>20381</v>
      </c>
    </row>
    <row r="6103" spans="1:25">
      <c r="A6103" t="s">
        <v>20382</v>
      </c>
      <c r="B6103" t="s">
        <v>20383</v>
      </c>
      <c r="D6103" t="s">
        <v>40</v>
      </c>
      <c r="E6103" t="s">
        <v>41</v>
      </c>
      <c r="J6103" t="s">
        <v>68</v>
      </c>
      <c r="K6103" t="s">
        <v>69</v>
      </c>
      <c r="L6103">
        <v>10</v>
      </c>
      <c r="M6103" t="s">
        <v>20365</v>
      </c>
      <c r="N6103" t="s">
        <v>64</v>
      </c>
      <c r="O6103" t="s">
        <v>46</v>
      </c>
      <c r="P6103" t="s">
        <v>46</v>
      </c>
      <c r="Y6103" t="s">
        <v>20384</v>
      </c>
    </row>
    <row r="6104" spans="1:25">
      <c r="A6104" t="s">
        <v>20385</v>
      </c>
      <c r="B6104" t="s">
        <v>20386</v>
      </c>
      <c r="D6104" t="s">
        <v>40</v>
      </c>
      <c r="E6104" t="s">
        <v>41</v>
      </c>
      <c r="J6104" t="s">
        <v>182</v>
      </c>
      <c r="K6104" t="s">
        <v>183</v>
      </c>
      <c r="L6104">
        <v>10</v>
      </c>
      <c r="M6104" t="s">
        <v>20365</v>
      </c>
      <c r="N6104" t="s">
        <v>64</v>
      </c>
      <c r="O6104" t="s">
        <v>46</v>
      </c>
      <c r="P6104" t="s">
        <v>46</v>
      </c>
      <c r="Y6104" t="s">
        <v>20387</v>
      </c>
    </row>
    <row r="6105" spans="1:25">
      <c r="A6105" t="s">
        <v>20388</v>
      </c>
      <c r="B6105" t="s">
        <v>20389</v>
      </c>
      <c r="D6105" t="s">
        <v>40</v>
      </c>
      <c r="E6105" t="s">
        <v>41</v>
      </c>
      <c r="J6105" t="s">
        <v>42</v>
      </c>
      <c r="K6105" t="s">
        <v>43</v>
      </c>
      <c r="L6105">
        <v>10</v>
      </c>
      <c r="M6105" t="s">
        <v>20390</v>
      </c>
      <c r="N6105" t="s">
        <v>1047</v>
      </c>
      <c r="O6105" t="s">
        <v>46</v>
      </c>
      <c r="P6105" t="s">
        <v>46</v>
      </c>
      <c r="Y6105" t="s">
        <v>20391</v>
      </c>
    </row>
    <row r="6106" spans="1:25">
      <c r="A6106" t="s">
        <v>20392</v>
      </c>
      <c r="B6106" t="s">
        <v>20393</v>
      </c>
      <c r="D6106" t="s">
        <v>40</v>
      </c>
      <c r="E6106" t="s">
        <v>41</v>
      </c>
      <c r="J6106" t="s">
        <v>76</v>
      </c>
      <c r="K6106" t="s">
        <v>77</v>
      </c>
      <c r="L6106">
        <v>10</v>
      </c>
      <c r="M6106" t="s">
        <v>20390</v>
      </c>
      <c r="N6106" t="s">
        <v>64</v>
      </c>
      <c r="O6106" t="s">
        <v>46</v>
      </c>
      <c r="P6106" t="s">
        <v>46</v>
      </c>
      <c r="Y6106" t="s">
        <v>20394</v>
      </c>
    </row>
    <row r="6107" spans="1:25">
      <c r="A6107" t="s">
        <v>20395</v>
      </c>
      <c r="B6107" t="s">
        <v>20396</v>
      </c>
      <c r="D6107" t="s">
        <v>40</v>
      </c>
      <c r="E6107" t="s">
        <v>41</v>
      </c>
      <c r="J6107" t="s">
        <v>68</v>
      </c>
      <c r="K6107" t="s">
        <v>69</v>
      </c>
      <c r="L6107">
        <v>10</v>
      </c>
      <c r="M6107" t="s">
        <v>20390</v>
      </c>
      <c r="N6107" t="s">
        <v>64</v>
      </c>
      <c r="O6107" t="s">
        <v>46</v>
      </c>
      <c r="P6107" t="s">
        <v>46</v>
      </c>
      <c r="Y6107" t="s">
        <v>20397</v>
      </c>
    </row>
    <row r="6108" spans="1:25">
      <c r="A6108" t="s">
        <v>20398</v>
      </c>
      <c r="B6108" t="s">
        <v>20399</v>
      </c>
      <c r="D6108" t="s">
        <v>40</v>
      </c>
      <c r="E6108" t="s">
        <v>41</v>
      </c>
      <c r="J6108" t="s">
        <v>68</v>
      </c>
      <c r="K6108" t="s">
        <v>69</v>
      </c>
      <c r="L6108">
        <v>10</v>
      </c>
      <c r="M6108" t="s">
        <v>20390</v>
      </c>
      <c r="N6108" t="s">
        <v>64</v>
      </c>
      <c r="O6108" t="s">
        <v>46</v>
      </c>
      <c r="P6108" t="s">
        <v>46</v>
      </c>
      <c r="Y6108" t="s">
        <v>20400</v>
      </c>
    </row>
    <row r="6109" spans="1:25">
      <c r="A6109" t="s">
        <v>20401</v>
      </c>
      <c r="B6109" t="s">
        <v>20402</v>
      </c>
      <c r="D6109" t="s">
        <v>40</v>
      </c>
      <c r="E6109" t="s">
        <v>41</v>
      </c>
      <c r="J6109" t="s">
        <v>182</v>
      </c>
      <c r="K6109" t="s">
        <v>183</v>
      </c>
      <c r="L6109">
        <v>9</v>
      </c>
      <c r="M6109" t="s">
        <v>20403</v>
      </c>
      <c r="N6109" t="s">
        <v>64</v>
      </c>
      <c r="O6109" t="s">
        <v>46</v>
      </c>
      <c r="P6109" t="s">
        <v>46</v>
      </c>
      <c r="Y6109" t="s">
        <v>20404</v>
      </c>
    </row>
    <row r="6110" spans="1:25">
      <c r="A6110" t="s">
        <v>20405</v>
      </c>
      <c r="B6110" t="s">
        <v>20406</v>
      </c>
      <c r="D6110" t="s">
        <v>40</v>
      </c>
      <c r="E6110" t="s">
        <v>41</v>
      </c>
      <c r="J6110" t="s">
        <v>248</v>
      </c>
      <c r="K6110" t="s">
        <v>249</v>
      </c>
      <c r="L6110">
        <v>10</v>
      </c>
      <c r="M6110" t="s">
        <v>20407</v>
      </c>
      <c r="N6110" t="s">
        <v>53</v>
      </c>
      <c r="O6110" t="s">
        <v>46</v>
      </c>
      <c r="P6110" t="s">
        <v>46</v>
      </c>
      <c r="Y6110" t="s">
        <v>20408</v>
      </c>
    </row>
    <row r="6111" spans="1:25">
      <c r="A6111" t="s">
        <v>20409</v>
      </c>
      <c r="B6111" t="s">
        <v>20410</v>
      </c>
      <c r="D6111" t="s">
        <v>40</v>
      </c>
      <c r="E6111" t="s">
        <v>41</v>
      </c>
      <c r="J6111" t="s">
        <v>42</v>
      </c>
      <c r="K6111" t="s">
        <v>43</v>
      </c>
      <c r="L6111">
        <v>10</v>
      </c>
      <c r="M6111" t="s">
        <v>20407</v>
      </c>
      <c r="N6111" t="s">
        <v>2154</v>
      </c>
      <c r="O6111" t="s">
        <v>46</v>
      </c>
      <c r="P6111" t="s">
        <v>46</v>
      </c>
      <c r="Y6111" t="s">
        <v>20411</v>
      </c>
    </row>
    <row r="6112" spans="1:25">
      <c r="A6112" t="s">
        <v>20412</v>
      </c>
      <c r="B6112" t="s">
        <v>20413</v>
      </c>
      <c r="D6112" t="s">
        <v>40</v>
      </c>
      <c r="E6112" t="s">
        <v>41</v>
      </c>
      <c r="J6112" t="s">
        <v>76</v>
      </c>
      <c r="K6112" t="s">
        <v>77</v>
      </c>
      <c r="L6112">
        <v>10</v>
      </c>
      <c r="M6112" t="s">
        <v>20414</v>
      </c>
      <c r="N6112" t="s">
        <v>64</v>
      </c>
      <c r="O6112" t="s">
        <v>46</v>
      </c>
      <c r="P6112" t="s">
        <v>46</v>
      </c>
      <c r="Y6112" t="s">
        <v>20415</v>
      </c>
    </row>
    <row r="6113" spans="1:25">
      <c r="A6113" t="s">
        <v>20416</v>
      </c>
      <c r="B6113" t="s">
        <v>20417</v>
      </c>
      <c r="D6113" t="s">
        <v>40</v>
      </c>
      <c r="E6113" t="s">
        <v>41</v>
      </c>
      <c r="J6113" t="s">
        <v>68</v>
      </c>
      <c r="K6113" t="s">
        <v>69</v>
      </c>
      <c r="L6113">
        <v>10</v>
      </c>
      <c r="M6113" t="s">
        <v>20414</v>
      </c>
      <c r="N6113" t="s">
        <v>64</v>
      </c>
      <c r="O6113" t="s">
        <v>46</v>
      </c>
      <c r="P6113" t="s">
        <v>46</v>
      </c>
      <c r="Y6113" t="s">
        <v>20418</v>
      </c>
    </row>
    <row r="6114" spans="1:25">
      <c r="A6114" t="s">
        <v>20419</v>
      </c>
      <c r="B6114" t="s">
        <v>20420</v>
      </c>
      <c r="D6114" t="s">
        <v>40</v>
      </c>
      <c r="E6114" t="s">
        <v>41</v>
      </c>
      <c r="J6114" t="s">
        <v>68</v>
      </c>
      <c r="K6114" t="s">
        <v>69</v>
      </c>
      <c r="L6114">
        <v>10</v>
      </c>
      <c r="M6114" t="s">
        <v>20414</v>
      </c>
      <c r="N6114" t="s">
        <v>64</v>
      </c>
      <c r="O6114" t="s">
        <v>46</v>
      </c>
      <c r="P6114" t="s">
        <v>46</v>
      </c>
      <c r="Y6114" t="s">
        <v>20421</v>
      </c>
    </row>
    <row r="6115" spans="1:25">
      <c r="A6115" t="s">
        <v>20422</v>
      </c>
      <c r="B6115" t="s">
        <v>20423</v>
      </c>
      <c r="D6115" t="s">
        <v>40</v>
      </c>
      <c r="E6115" t="s">
        <v>41</v>
      </c>
      <c r="J6115" t="s">
        <v>182</v>
      </c>
      <c r="K6115" t="s">
        <v>183</v>
      </c>
      <c r="L6115">
        <v>10</v>
      </c>
      <c r="M6115" t="s">
        <v>20414</v>
      </c>
      <c r="N6115" t="s">
        <v>64</v>
      </c>
      <c r="O6115" t="s">
        <v>46</v>
      </c>
      <c r="P6115" t="s">
        <v>46</v>
      </c>
      <c r="Y6115" t="s">
        <v>20424</v>
      </c>
    </row>
    <row r="6116" spans="1:25">
      <c r="A6116" t="s">
        <v>20425</v>
      </c>
      <c r="B6116" t="s">
        <v>20426</v>
      </c>
      <c r="D6116" t="s">
        <v>40</v>
      </c>
      <c r="E6116" t="s">
        <v>41</v>
      </c>
      <c r="J6116" t="s">
        <v>182</v>
      </c>
      <c r="K6116" t="s">
        <v>183</v>
      </c>
      <c r="L6116">
        <v>10</v>
      </c>
      <c r="M6116" t="s">
        <v>20427</v>
      </c>
      <c r="N6116" t="s">
        <v>64</v>
      </c>
      <c r="O6116" t="s">
        <v>46</v>
      </c>
      <c r="P6116" t="s">
        <v>46</v>
      </c>
      <c r="Y6116" t="s">
        <v>20428</v>
      </c>
    </row>
    <row r="6117" spans="1:25">
      <c r="A6117" t="s">
        <v>20429</v>
      </c>
      <c r="B6117" t="s">
        <v>20430</v>
      </c>
      <c r="D6117" t="s">
        <v>40</v>
      </c>
      <c r="E6117" t="s">
        <v>41</v>
      </c>
      <c r="J6117" t="s">
        <v>68</v>
      </c>
      <c r="K6117" t="s">
        <v>69</v>
      </c>
      <c r="L6117">
        <v>10</v>
      </c>
      <c r="M6117" t="s">
        <v>20427</v>
      </c>
      <c r="N6117" t="s">
        <v>64</v>
      </c>
      <c r="O6117" t="s">
        <v>46</v>
      </c>
      <c r="P6117" t="s">
        <v>46</v>
      </c>
      <c r="Y6117" t="s">
        <v>20431</v>
      </c>
    </row>
    <row r="6118" spans="1:25">
      <c r="A6118" t="s">
        <v>20432</v>
      </c>
      <c r="B6118" t="s">
        <v>20433</v>
      </c>
      <c r="D6118" t="s">
        <v>40</v>
      </c>
      <c r="E6118" t="s">
        <v>41</v>
      </c>
      <c r="J6118" t="s">
        <v>182</v>
      </c>
      <c r="K6118" t="s">
        <v>183</v>
      </c>
      <c r="L6118">
        <v>10</v>
      </c>
      <c r="M6118" t="s">
        <v>20427</v>
      </c>
      <c r="N6118" t="s">
        <v>64</v>
      </c>
      <c r="O6118" t="s">
        <v>46</v>
      </c>
      <c r="P6118" t="s">
        <v>46</v>
      </c>
      <c r="Y6118" t="s">
        <v>20434</v>
      </c>
    </row>
    <row r="6119" spans="1:25">
      <c r="A6119" t="s">
        <v>20435</v>
      </c>
      <c r="B6119" t="s">
        <v>20436</v>
      </c>
      <c r="D6119" t="s">
        <v>40</v>
      </c>
      <c r="E6119" t="s">
        <v>41</v>
      </c>
      <c r="J6119" t="s">
        <v>68</v>
      </c>
      <c r="K6119" t="s">
        <v>69</v>
      </c>
      <c r="L6119">
        <v>10</v>
      </c>
      <c r="M6119" t="s">
        <v>20427</v>
      </c>
      <c r="N6119" t="s">
        <v>64</v>
      </c>
      <c r="O6119" t="s">
        <v>46</v>
      </c>
      <c r="P6119" t="s">
        <v>46</v>
      </c>
      <c r="Y6119" t="s">
        <v>20437</v>
      </c>
    </row>
    <row r="6120" spans="1:25">
      <c r="A6120" t="s">
        <v>20438</v>
      </c>
      <c r="B6120" t="s">
        <v>20439</v>
      </c>
      <c r="D6120" t="s">
        <v>40</v>
      </c>
      <c r="E6120" t="s">
        <v>41</v>
      </c>
      <c r="J6120" t="s">
        <v>68</v>
      </c>
      <c r="K6120" t="s">
        <v>69</v>
      </c>
      <c r="L6120">
        <v>10</v>
      </c>
      <c r="M6120" t="s">
        <v>20427</v>
      </c>
      <c r="N6120" t="s">
        <v>64</v>
      </c>
      <c r="O6120" t="s">
        <v>46</v>
      </c>
      <c r="P6120" t="s">
        <v>46</v>
      </c>
      <c r="Y6120" t="s">
        <v>20440</v>
      </c>
    </row>
    <row r="6121" spans="1:25">
      <c r="A6121" t="s">
        <v>20441</v>
      </c>
      <c r="B6121" t="s">
        <v>20442</v>
      </c>
      <c r="D6121" t="s">
        <v>40</v>
      </c>
      <c r="E6121" t="s">
        <v>41</v>
      </c>
      <c r="J6121" t="s">
        <v>68</v>
      </c>
      <c r="K6121" t="s">
        <v>69</v>
      </c>
      <c r="L6121">
        <v>10</v>
      </c>
      <c r="M6121" t="s">
        <v>20427</v>
      </c>
      <c r="N6121" t="s">
        <v>64</v>
      </c>
      <c r="O6121" t="s">
        <v>46</v>
      </c>
      <c r="P6121" t="s">
        <v>46</v>
      </c>
      <c r="Y6121" t="s">
        <v>20443</v>
      </c>
    </row>
    <row r="6122" spans="1:25">
      <c r="A6122" t="s">
        <v>20444</v>
      </c>
      <c r="B6122" t="s">
        <v>20445</v>
      </c>
      <c r="D6122" t="s">
        <v>40</v>
      </c>
      <c r="E6122" t="s">
        <v>41</v>
      </c>
      <c r="J6122" t="s">
        <v>68</v>
      </c>
      <c r="K6122" t="s">
        <v>69</v>
      </c>
      <c r="L6122">
        <v>10</v>
      </c>
      <c r="M6122" t="s">
        <v>20427</v>
      </c>
      <c r="N6122" t="s">
        <v>64</v>
      </c>
      <c r="O6122" t="s">
        <v>46</v>
      </c>
      <c r="P6122" t="s">
        <v>46</v>
      </c>
      <c r="Y6122" t="s">
        <v>20446</v>
      </c>
    </row>
    <row r="6123" spans="1:25">
      <c r="A6123" t="s">
        <v>20447</v>
      </c>
      <c r="B6123" t="s">
        <v>20448</v>
      </c>
      <c r="D6123" t="s">
        <v>40</v>
      </c>
      <c r="E6123" t="s">
        <v>41</v>
      </c>
      <c r="J6123" t="s">
        <v>68</v>
      </c>
      <c r="K6123" t="s">
        <v>69</v>
      </c>
      <c r="L6123">
        <v>10</v>
      </c>
      <c r="M6123" t="s">
        <v>20427</v>
      </c>
      <c r="N6123" t="s">
        <v>64</v>
      </c>
      <c r="O6123" t="s">
        <v>46</v>
      </c>
      <c r="P6123" t="s">
        <v>46</v>
      </c>
      <c r="Y6123" t="s">
        <v>20449</v>
      </c>
    </row>
    <row r="6124" spans="1:25">
      <c r="A6124" t="s">
        <v>20450</v>
      </c>
      <c r="B6124" t="s">
        <v>20451</v>
      </c>
      <c r="D6124" t="s">
        <v>40</v>
      </c>
      <c r="E6124" t="s">
        <v>41</v>
      </c>
      <c r="J6124" t="s">
        <v>68</v>
      </c>
      <c r="K6124" t="s">
        <v>69</v>
      </c>
      <c r="L6124">
        <v>10</v>
      </c>
      <c r="M6124" t="s">
        <v>20427</v>
      </c>
      <c r="N6124" t="s">
        <v>64</v>
      </c>
      <c r="O6124" t="s">
        <v>46</v>
      </c>
      <c r="P6124" t="s">
        <v>46</v>
      </c>
      <c r="Y6124" t="s">
        <v>20452</v>
      </c>
    </row>
    <row r="6125" spans="1:25">
      <c r="A6125" t="s">
        <v>20453</v>
      </c>
      <c r="B6125" t="s">
        <v>20454</v>
      </c>
      <c r="D6125" t="s">
        <v>40</v>
      </c>
      <c r="E6125" t="s">
        <v>41</v>
      </c>
      <c r="J6125" t="s">
        <v>182</v>
      </c>
      <c r="K6125" t="s">
        <v>183</v>
      </c>
      <c r="L6125">
        <v>10</v>
      </c>
      <c r="M6125" t="s">
        <v>20427</v>
      </c>
      <c r="N6125" t="s">
        <v>64</v>
      </c>
      <c r="O6125" t="s">
        <v>46</v>
      </c>
      <c r="P6125" t="s">
        <v>46</v>
      </c>
      <c r="Y6125" t="s">
        <v>20455</v>
      </c>
    </row>
    <row r="6126" spans="1:25">
      <c r="A6126" t="s">
        <v>20456</v>
      </c>
      <c r="B6126" t="s">
        <v>20457</v>
      </c>
      <c r="D6126" t="s">
        <v>40</v>
      </c>
      <c r="E6126" t="s">
        <v>41</v>
      </c>
      <c r="J6126" t="s">
        <v>264</v>
      </c>
      <c r="K6126" t="s">
        <v>265</v>
      </c>
      <c r="L6126">
        <v>10</v>
      </c>
      <c r="M6126" t="s">
        <v>20458</v>
      </c>
      <c r="N6126" t="s">
        <v>291</v>
      </c>
      <c r="O6126" t="s">
        <v>46</v>
      </c>
      <c r="P6126" t="s">
        <v>46</v>
      </c>
      <c r="Y6126" t="s">
        <v>20459</v>
      </c>
    </row>
    <row r="6127" spans="1:25">
      <c r="A6127" t="s">
        <v>20460</v>
      </c>
      <c r="B6127" t="s">
        <v>20461</v>
      </c>
      <c r="D6127" t="s">
        <v>40</v>
      </c>
      <c r="E6127" t="s">
        <v>41</v>
      </c>
      <c r="J6127" t="s">
        <v>68</v>
      </c>
      <c r="K6127" t="s">
        <v>69</v>
      </c>
      <c r="L6127">
        <v>10</v>
      </c>
      <c r="M6127" t="s">
        <v>20462</v>
      </c>
      <c r="N6127" t="s">
        <v>64</v>
      </c>
      <c r="O6127" t="s">
        <v>46</v>
      </c>
      <c r="P6127" t="s">
        <v>46</v>
      </c>
      <c r="Y6127" t="s">
        <v>20463</v>
      </c>
    </row>
    <row r="6128" spans="1:25">
      <c r="A6128" t="s">
        <v>20464</v>
      </c>
      <c r="B6128" t="s">
        <v>20465</v>
      </c>
      <c r="D6128" t="s">
        <v>40</v>
      </c>
      <c r="E6128" t="s">
        <v>41</v>
      </c>
      <c r="J6128" t="s">
        <v>68</v>
      </c>
      <c r="K6128" t="s">
        <v>69</v>
      </c>
      <c r="L6128">
        <v>10</v>
      </c>
      <c r="M6128" t="s">
        <v>20462</v>
      </c>
      <c r="N6128" t="s">
        <v>64</v>
      </c>
      <c r="O6128" t="s">
        <v>46</v>
      </c>
      <c r="P6128" t="s">
        <v>46</v>
      </c>
      <c r="Y6128" t="s">
        <v>20466</v>
      </c>
    </row>
    <row r="6129" spans="1:25">
      <c r="A6129" t="s">
        <v>20467</v>
      </c>
      <c r="B6129" t="s">
        <v>20468</v>
      </c>
      <c r="D6129" t="s">
        <v>40</v>
      </c>
      <c r="E6129" t="s">
        <v>41</v>
      </c>
      <c r="J6129" t="s">
        <v>68</v>
      </c>
      <c r="K6129" t="s">
        <v>69</v>
      </c>
      <c r="L6129">
        <v>10</v>
      </c>
      <c r="M6129" t="s">
        <v>20462</v>
      </c>
      <c r="N6129" t="s">
        <v>64</v>
      </c>
      <c r="O6129" t="s">
        <v>46</v>
      </c>
      <c r="P6129" t="s">
        <v>46</v>
      </c>
      <c r="Y6129" t="s">
        <v>20469</v>
      </c>
    </row>
    <row r="6130" spans="1:25">
      <c r="A6130" t="s">
        <v>20470</v>
      </c>
      <c r="B6130" t="s">
        <v>20471</v>
      </c>
      <c r="D6130" t="s">
        <v>40</v>
      </c>
      <c r="E6130" t="s">
        <v>41</v>
      </c>
      <c r="J6130" t="s">
        <v>68</v>
      </c>
      <c r="K6130" t="s">
        <v>69</v>
      </c>
      <c r="L6130">
        <v>10</v>
      </c>
      <c r="M6130" t="s">
        <v>20472</v>
      </c>
      <c r="N6130" t="s">
        <v>64</v>
      </c>
      <c r="O6130" t="s">
        <v>46</v>
      </c>
      <c r="P6130" t="s">
        <v>46</v>
      </c>
      <c r="Y6130" t="s">
        <v>20473</v>
      </c>
    </row>
    <row r="6131" spans="1:25">
      <c r="A6131" t="s">
        <v>20474</v>
      </c>
      <c r="B6131" t="s">
        <v>20475</v>
      </c>
      <c r="D6131" t="s">
        <v>40</v>
      </c>
      <c r="E6131" t="s">
        <v>41</v>
      </c>
      <c r="J6131" t="s">
        <v>68</v>
      </c>
      <c r="K6131" t="s">
        <v>69</v>
      </c>
      <c r="L6131">
        <v>10</v>
      </c>
      <c r="M6131" t="s">
        <v>20472</v>
      </c>
      <c r="N6131" t="s">
        <v>64</v>
      </c>
      <c r="O6131" t="s">
        <v>46</v>
      </c>
      <c r="P6131" t="s">
        <v>46</v>
      </c>
      <c r="Y6131" t="s">
        <v>20476</v>
      </c>
    </row>
    <row r="6132" spans="1:25">
      <c r="A6132" t="s">
        <v>20477</v>
      </c>
      <c r="B6132" t="s">
        <v>20478</v>
      </c>
      <c r="D6132" t="s">
        <v>40</v>
      </c>
      <c r="E6132" t="s">
        <v>41</v>
      </c>
      <c r="J6132" t="s">
        <v>76</v>
      </c>
      <c r="K6132" t="s">
        <v>77</v>
      </c>
      <c r="L6132">
        <v>10</v>
      </c>
      <c r="M6132" t="s">
        <v>20479</v>
      </c>
      <c r="N6132" t="s">
        <v>64</v>
      </c>
      <c r="O6132" t="s">
        <v>46</v>
      </c>
      <c r="P6132" t="s">
        <v>46</v>
      </c>
      <c r="Y6132" t="s">
        <v>20480</v>
      </c>
    </row>
    <row r="6133" spans="1:25">
      <c r="A6133" t="s">
        <v>20481</v>
      </c>
      <c r="B6133" t="s">
        <v>20482</v>
      </c>
      <c r="D6133" t="s">
        <v>40</v>
      </c>
      <c r="E6133" t="s">
        <v>41</v>
      </c>
      <c r="J6133" t="s">
        <v>76</v>
      </c>
      <c r="K6133" t="s">
        <v>77</v>
      </c>
      <c r="L6133">
        <v>10</v>
      </c>
      <c r="M6133" t="s">
        <v>20479</v>
      </c>
      <c r="N6133" t="s">
        <v>64</v>
      </c>
      <c r="O6133" t="s">
        <v>46</v>
      </c>
      <c r="P6133" t="s">
        <v>46</v>
      </c>
      <c r="Y6133" t="s">
        <v>20483</v>
      </c>
    </row>
    <row r="6134" spans="1:25">
      <c r="A6134" t="s">
        <v>20484</v>
      </c>
      <c r="B6134" t="s">
        <v>20485</v>
      </c>
      <c r="D6134" t="s">
        <v>40</v>
      </c>
      <c r="E6134" t="s">
        <v>41</v>
      </c>
      <c r="J6134" t="s">
        <v>182</v>
      </c>
      <c r="K6134" t="s">
        <v>183</v>
      </c>
      <c r="L6134">
        <v>10</v>
      </c>
      <c r="M6134" t="s">
        <v>20479</v>
      </c>
      <c r="N6134" t="s">
        <v>64</v>
      </c>
      <c r="O6134" t="s">
        <v>46</v>
      </c>
      <c r="P6134" t="s">
        <v>46</v>
      </c>
      <c r="Y6134" t="s">
        <v>20486</v>
      </c>
    </row>
    <row r="6135" spans="1:25">
      <c r="A6135" t="s">
        <v>20487</v>
      </c>
      <c r="B6135" t="s">
        <v>20488</v>
      </c>
      <c r="D6135" t="s">
        <v>40</v>
      </c>
      <c r="E6135" t="s">
        <v>41</v>
      </c>
      <c r="J6135" t="s">
        <v>42</v>
      </c>
      <c r="K6135" t="s">
        <v>43</v>
      </c>
      <c r="L6135">
        <v>10</v>
      </c>
      <c r="M6135" t="s">
        <v>20479</v>
      </c>
      <c r="N6135" t="s">
        <v>1380</v>
      </c>
      <c r="O6135" t="s">
        <v>46</v>
      </c>
      <c r="P6135" t="s">
        <v>46</v>
      </c>
      <c r="Y6135" t="s">
        <v>20489</v>
      </c>
    </row>
    <row r="6136" spans="1:25">
      <c r="A6136" t="s">
        <v>20490</v>
      </c>
      <c r="B6136" t="s">
        <v>20491</v>
      </c>
      <c r="D6136" t="s">
        <v>40</v>
      </c>
      <c r="E6136" t="s">
        <v>41</v>
      </c>
      <c r="J6136" t="s">
        <v>76</v>
      </c>
      <c r="K6136" t="s">
        <v>77</v>
      </c>
      <c r="L6136">
        <v>10</v>
      </c>
      <c r="M6136" t="s">
        <v>20479</v>
      </c>
      <c r="N6136" t="s">
        <v>64</v>
      </c>
      <c r="O6136" t="s">
        <v>46</v>
      </c>
      <c r="P6136" t="s">
        <v>46</v>
      </c>
      <c r="Y6136" t="s">
        <v>20492</v>
      </c>
    </row>
    <row r="6137" spans="1:25">
      <c r="A6137" t="s">
        <v>20493</v>
      </c>
      <c r="B6137" t="s">
        <v>20494</v>
      </c>
      <c r="D6137" t="s">
        <v>40</v>
      </c>
      <c r="E6137" t="s">
        <v>41</v>
      </c>
      <c r="J6137" t="s">
        <v>68</v>
      </c>
      <c r="K6137" t="s">
        <v>69</v>
      </c>
      <c r="L6137">
        <v>10</v>
      </c>
      <c r="M6137" t="s">
        <v>20495</v>
      </c>
      <c r="N6137" t="s">
        <v>64</v>
      </c>
      <c r="O6137" t="s">
        <v>46</v>
      </c>
      <c r="P6137" t="s">
        <v>46</v>
      </c>
      <c r="Y6137" t="s">
        <v>20496</v>
      </c>
    </row>
    <row r="6138" spans="1:25">
      <c r="A6138" t="s">
        <v>20497</v>
      </c>
      <c r="B6138" t="s">
        <v>20498</v>
      </c>
      <c r="D6138" t="s">
        <v>40</v>
      </c>
      <c r="E6138" t="s">
        <v>41</v>
      </c>
      <c r="J6138" t="s">
        <v>182</v>
      </c>
      <c r="K6138" t="s">
        <v>183</v>
      </c>
      <c r="L6138">
        <v>10</v>
      </c>
      <c r="M6138" t="s">
        <v>20495</v>
      </c>
      <c r="N6138" t="s">
        <v>64</v>
      </c>
      <c r="O6138" t="s">
        <v>46</v>
      </c>
      <c r="P6138" t="s">
        <v>46</v>
      </c>
      <c r="Y6138" t="s">
        <v>20499</v>
      </c>
    </row>
    <row r="6139" spans="1:25">
      <c r="A6139" t="s">
        <v>20500</v>
      </c>
      <c r="B6139" t="s">
        <v>20501</v>
      </c>
      <c r="D6139" t="s">
        <v>40</v>
      </c>
      <c r="E6139" t="s">
        <v>41</v>
      </c>
      <c r="J6139" t="s">
        <v>42</v>
      </c>
      <c r="K6139" t="s">
        <v>43</v>
      </c>
      <c r="L6139">
        <v>10</v>
      </c>
      <c r="M6139" t="s">
        <v>20495</v>
      </c>
      <c r="N6139" t="s">
        <v>1344</v>
      </c>
      <c r="O6139" t="s">
        <v>46</v>
      </c>
      <c r="P6139" t="s">
        <v>46</v>
      </c>
      <c r="Y6139" t="s">
        <v>20502</v>
      </c>
    </row>
    <row r="6140" spans="1:25">
      <c r="A6140" t="s">
        <v>20503</v>
      </c>
      <c r="B6140" t="s">
        <v>20504</v>
      </c>
      <c r="D6140" t="s">
        <v>40</v>
      </c>
      <c r="E6140" t="s">
        <v>41</v>
      </c>
      <c r="J6140" t="s">
        <v>68</v>
      </c>
      <c r="K6140" t="s">
        <v>69</v>
      </c>
      <c r="L6140">
        <v>10</v>
      </c>
      <c r="M6140" t="s">
        <v>20495</v>
      </c>
      <c r="N6140" t="s">
        <v>64</v>
      </c>
      <c r="O6140" t="s">
        <v>46</v>
      </c>
      <c r="P6140" t="s">
        <v>46</v>
      </c>
      <c r="Y6140" t="s">
        <v>20505</v>
      </c>
    </row>
    <row r="6141" spans="1:25">
      <c r="A6141" t="s">
        <v>20506</v>
      </c>
      <c r="B6141" t="s">
        <v>20507</v>
      </c>
      <c r="D6141" t="s">
        <v>40</v>
      </c>
      <c r="E6141" t="s">
        <v>41</v>
      </c>
      <c r="J6141" t="s">
        <v>68</v>
      </c>
      <c r="K6141" t="s">
        <v>69</v>
      </c>
      <c r="L6141">
        <v>10</v>
      </c>
      <c r="M6141" t="s">
        <v>20495</v>
      </c>
      <c r="N6141" t="s">
        <v>64</v>
      </c>
      <c r="O6141" t="s">
        <v>46</v>
      </c>
      <c r="P6141" t="s">
        <v>46</v>
      </c>
      <c r="Y6141" t="s">
        <v>20508</v>
      </c>
    </row>
    <row r="6142" spans="1:25">
      <c r="A6142" t="s">
        <v>20509</v>
      </c>
      <c r="B6142" t="s">
        <v>20510</v>
      </c>
      <c r="D6142" t="s">
        <v>40</v>
      </c>
      <c r="E6142" t="s">
        <v>41</v>
      </c>
      <c r="J6142" t="s">
        <v>182</v>
      </c>
      <c r="K6142" t="s">
        <v>183</v>
      </c>
      <c r="L6142">
        <v>10</v>
      </c>
      <c r="M6142" t="s">
        <v>20495</v>
      </c>
      <c r="N6142" t="s">
        <v>64</v>
      </c>
      <c r="O6142" t="s">
        <v>46</v>
      </c>
      <c r="P6142" t="s">
        <v>46</v>
      </c>
      <c r="Y6142" t="s">
        <v>20511</v>
      </c>
    </row>
    <row r="6143" spans="1:25">
      <c r="A6143" t="s">
        <v>20512</v>
      </c>
      <c r="B6143" t="s">
        <v>20513</v>
      </c>
      <c r="D6143" t="s">
        <v>40</v>
      </c>
      <c r="E6143" t="s">
        <v>41</v>
      </c>
      <c r="J6143" t="s">
        <v>68</v>
      </c>
      <c r="K6143" t="s">
        <v>69</v>
      </c>
      <c r="L6143">
        <v>10</v>
      </c>
      <c r="M6143" t="s">
        <v>20495</v>
      </c>
      <c r="N6143" t="s">
        <v>64</v>
      </c>
      <c r="O6143" t="s">
        <v>46</v>
      </c>
      <c r="P6143" t="s">
        <v>46</v>
      </c>
      <c r="Y6143" t="s">
        <v>20514</v>
      </c>
    </row>
    <row r="6144" spans="1:25">
      <c r="A6144" t="s">
        <v>20515</v>
      </c>
      <c r="B6144" t="s">
        <v>20516</v>
      </c>
      <c r="D6144" t="s">
        <v>40</v>
      </c>
      <c r="E6144" t="s">
        <v>41</v>
      </c>
      <c r="J6144" t="s">
        <v>68</v>
      </c>
      <c r="K6144" t="s">
        <v>69</v>
      </c>
      <c r="L6144">
        <v>10</v>
      </c>
      <c r="M6144" t="s">
        <v>20495</v>
      </c>
      <c r="N6144" t="s">
        <v>64</v>
      </c>
      <c r="O6144" t="s">
        <v>46</v>
      </c>
      <c r="P6144" t="s">
        <v>46</v>
      </c>
      <c r="Y6144" t="s">
        <v>20517</v>
      </c>
    </row>
    <row r="6145" spans="1:25">
      <c r="A6145" t="s">
        <v>20518</v>
      </c>
      <c r="B6145" t="s">
        <v>20519</v>
      </c>
      <c r="D6145" t="s">
        <v>40</v>
      </c>
      <c r="E6145" t="s">
        <v>41</v>
      </c>
      <c r="J6145" t="s">
        <v>182</v>
      </c>
      <c r="K6145" t="s">
        <v>183</v>
      </c>
      <c r="L6145">
        <v>10</v>
      </c>
      <c r="M6145" t="s">
        <v>20495</v>
      </c>
      <c r="N6145" t="s">
        <v>64</v>
      </c>
      <c r="O6145" t="s">
        <v>46</v>
      </c>
      <c r="P6145" t="s">
        <v>46</v>
      </c>
      <c r="Y6145" t="s">
        <v>20520</v>
      </c>
    </row>
    <row r="6146" spans="1:25">
      <c r="A6146" t="s">
        <v>20521</v>
      </c>
      <c r="B6146" t="s">
        <v>20522</v>
      </c>
      <c r="D6146" t="s">
        <v>40</v>
      </c>
      <c r="E6146" t="s">
        <v>41</v>
      </c>
      <c r="J6146" t="s">
        <v>182</v>
      </c>
      <c r="K6146" t="s">
        <v>183</v>
      </c>
      <c r="L6146">
        <v>10</v>
      </c>
      <c r="M6146" t="s">
        <v>20495</v>
      </c>
      <c r="N6146" t="s">
        <v>64</v>
      </c>
      <c r="O6146" t="s">
        <v>46</v>
      </c>
      <c r="P6146" t="s">
        <v>46</v>
      </c>
      <c r="Y6146" t="s">
        <v>20523</v>
      </c>
    </row>
    <row r="6147" spans="1:25">
      <c r="A6147" t="s">
        <v>20524</v>
      </c>
      <c r="B6147" t="s">
        <v>20525</v>
      </c>
      <c r="D6147" t="s">
        <v>40</v>
      </c>
      <c r="E6147" t="s">
        <v>41</v>
      </c>
      <c r="J6147" t="s">
        <v>68</v>
      </c>
      <c r="K6147" t="s">
        <v>69</v>
      </c>
      <c r="L6147">
        <v>10</v>
      </c>
      <c r="M6147" t="s">
        <v>20526</v>
      </c>
      <c r="N6147" t="s">
        <v>64</v>
      </c>
      <c r="O6147" t="s">
        <v>46</v>
      </c>
      <c r="P6147" t="s">
        <v>46</v>
      </c>
      <c r="Y6147" t="s">
        <v>20527</v>
      </c>
    </row>
    <row r="6148" spans="1:25">
      <c r="A6148" t="s">
        <v>20528</v>
      </c>
      <c r="B6148" t="s">
        <v>20529</v>
      </c>
      <c r="D6148" t="s">
        <v>40</v>
      </c>
      <c r="E6148" t="s">
        <v>41</v>
      </c>
      <c r="J6148" t="s">
        <v>182</v>
      </c>
      <c r="K6148" t="s">
        <v>183</v>
      </c>
      <c r="L6148">
        <v>10</v>
      </c>
      <c r="M6148" t="s">
        <v>20526</v>
      </c>
      <c r="N6148" t="s">
        <v>64</v>
      </c>
      <c r="O6148" t="s">
        <v>46</v>
      </c>
      <c r="P6148" t="s">
        <v>46</v>
      </c>
      <c r="Y6148" t="s">
        <v>20530</v>
      </c>
    </row>
    <row r="6149" spans="1:25">
      <c r="A6149" t="s">
        <v>20531</v>
      </c>
      <c r="B6149" t="s">
        <v>20532</v>
      </c>
      <c r="D6149" t="s">
        <v>40</v>
      </c>
      <c r="E6149" t="s">
        <v>41</v>
      </c>
      <c r="J6149" t="s">
        <v>68</v>
      </c>
      <c r="K6149" t="s">
        <v>69</v>
      </c>
      <c r="L6149">
        <v>10</v>
      </c>
      <c r="M6149" t="s">
        <v>20526</v>
      </c>
      <c r="N6149" t="s">
        <v>64</v>
      </c>
      <c r="O6149" t="s">
        <v>46</v>
      </c>
      <c r="P6149" t="s">
        <v>46</v>
      </c>
      <c r="Y6149" t="s">
        <v>20533</v>
      </c>
    </row>
    <row r="6150" spans="1:25">
      <c r="A6150" t="s">
        <v>20534</v>
      </c>
      <c r="B6150" t="s">
        <v>20535</v>
      </c>
      <c r="D6150" t="s">
        <v>40</v>
      </c>
      <c r="E6150" t="s">
        <v>41</v>
      </c>
      <c r="J6150" t="s">
        <v>68</v>
      </c>
      <c r="K6150" t="s">
        <v>69</v>
      </c>
      <c r="L6150">
        <v>10</v>
      </c>
      <c r="M6150" t="s">
        <v>20526</v>
      </c>
      <c r="N6150" t="s">
        <v>64</v>
      </c>
      <c r="O6150" t="s">
        <v>46</v>
      </c>
      <c r="P6150" t="s">
        <v>46</v>
      </c>
      <c r="Y6150" t="s">
        <v>20536</v>
      </c>
    </row>
    <row r="6151" spans="1:25">
      <c r="A6151" t="s">
        <v>20537</v>
      </c>
      <c r="B6151" t="s">
        <v>20538</v>
      </c>
      <c r="D6151" t="s">
        <v>40</v>
      </c>
      <c r="E6151" t="s">
        <v>41</v>
      </c>
      <c r="J6151" t="s">
        <v>264</v>
      </c>
      <c r="K6151" t="s">
        <v>265</v>
      </c>
      <c r="L6151">
        <v>10</v>
      </c>
      <c r="M6151" t="s">
        <v>20539</v>
      </c>
      <c r="N6151" t="s">
        <v>1478</v>
      </c>
      <c r="O6151" t="s">
        <v>46</v>
      </c>
      <c r="P6151" t="s">
        <v>46</v>
      </c>
      <c r="Y6151" t="s">
        <v>20540</v>
      </c>
    </row>
    <row r="6152" spans="1:25">
      <c r="A6152" t="s">
        <v>20541</v>
      </c>
      <c r="B6152" t="s">
        <v>20542</v>
      </c>
      <c r="D6152" t="s">
        <v>40</v>
      </c>
      <c r="E6152" t="s">
        <v>41</v>
      </c>
      <c r="J6152" t="s">
        <v>68</v>
      </c>
      <c r="K6152" t="s">
        <v>69</v>
      </c>
      <c r="L6152">
        <v>10</v>
      </c>
      <c r="M6152" t="s">
        <v>20543</v>
      </c>
      <c r="N6152" t="s">
        <v>64</v>
      </c>
      <c r="O6152" t="s">
        <v>46</v>
      </c>
      <c r="P6152" t="s">
        <v>46</v>
      </c>
      <c r="Y6152" t="s">
        <v>20544</v>
      </c>
    </row>
    <row r="6153" spans="1:25">
      <c r="A6153" t="s">
        <v>20545</v>
      </c>
      <c r="B6153" t="s">
        <v>20546</v>
      </c>
      <c r="D6153" t="s">
        <v>40</v>
      </c>
      <c r="E6153" t="s">
        <v>41</v>
      </c>
      <c r="J6153" t="s">
        <v>182</v>
      </c>
      <c r="K6153" t="s">
        <v>183</v>
      </c>
      <c r="L6153">
        <v>10</v>
      </c>
      <c r="M6153" t="s">
        <v>20543</v>
      </c>
      <c r="N6153" t="s">
        <v>64</v>
      </c>
      <c r="O6153" t="s">
        <v>46</v>
      </c>
      <c r="P6153" t="s">
        <v>46</v>
      </c>
      <c r="Y6153" t="s">
        <v>20547</v>
      </c>
    </row>
    <row r="6154" spans="1:25">
      <c r="A6154" t="s">
        <v>20548</v>
      </c>
      <c r="B6154" t="s">
        <v>20549</v>
      </c>
      <c r="D6154" t="s">
        <v>40</v>
      </c>
      <c r="E6154" t="s">
        <v>41</v>
      </c>
      <c r="J6154" t="s">
        <v>68</v>
      </c>
      <c r="K6154" t="s">
        <v>69</v>
      </c>
      <c r="L6154">
        <v>10</v>
      </c>
      <c r="M6154" t="s">
        <v>20543</v>
      </c>
      <c r="N6154" t="s">
        <v>64</v>
      </c>
      <c r="O6154" t="s">
        <v>46</v>
      </c>
      <c r="P6154" t="s">
        <v>46</v>
      </c>
      <c r="Y6154" t="s">
        <v>20550</v>
      </c>
    </row>
    <row r="6155" spans="1:25">
      <c r="A6155" t="s">
        <v>20551</v>
      </c>
      <c r="B6155" t="s">
        <v>20552</v>
      </c>
      <c r="D6155" t="s">
        <v>40</v>
      </c>
      <c r="E6155" t="s">
        <v>41</v>
      </c>
      <c r="J6155" t="s">
        <v>68</v>
      </c>
      <c r="K6155" t="s">
        <v>69</v>
      </c>
      <c r="L6155">
        <v>10</v>
      </c>
      <c r="M6155" t="s">
        <v>20553</v>
      </c>
      <c r="N6155" t="s">
        <v>64</v>
      </c>
      <c r="O6155" t="s">
        <v>46</v>
      </c>
      <c r="P6155" t="s">
        <v>46</v>
      </c>
      <c r="Y6155" t="s">
        <v>20554</v>
      </c>
    </row>
    <row r="6156" spans="1:25">
      <c r="A6156" t="s">
        <v>20555</v>
      </c>
      <c r="B6156" t="s">
        <v>20556</v>
      </c>
      <c r="D6156" t="s">
        <v>40</v>
      </c>
      <c r="E6156" t="s">
        <v>41</v>
      </c>
      <c r="J6156" t="s">
        <v>182</v>
      </c>
      <c r="K6156" t="s">
        <v>183</v>
      </c>
      <c r="L6156">
        <v>10</v>
      </c>
      <c r="M6156" t="s">
        <v>20553</v>
      </c>
      <c r="N6156" t="s">
        <v>64</v>
      </c>
      <c r="O6156" t="s">
        <v>46</v>
      </c>
      <c r="P6156" t="s">
        <v>46</v>
      </c>
      <c r="Y6156" t="s">
        <v>20557</v>
      </c>
    </row>
    <row r="6157" spans="1:25">
      <c r="A6157" t="s">
        <v>20558</v>
      </c>
      <c r="B6157" t="s">
        <v>20559</v>
      </c>
      <c r="D6157" t="s">
        <v>40</v>
      </c>
      <c r="E6157" t="s">
        <v>41</v>
      </c>
      <c r="J6157" t="s">
        <v>68</v>
      </c>
      <c r="K6157" t="s">
        <v>69</v>
      </c>
      <c r="L6157">
        <v>10</v>
      </c>
      <c r="M6157" t="s">
        <v>20553</v>
      </c>
      <c r="N6157" t="s">
        <v>64</v>
      </c>
      <c r="O6157" t="s">
        <v>46</v>
      </c>
      <c r="P6157" t="s">
        <v>46</v>
      </c>
      <c r="Y6157" t="s">
        <v>20560</v>
      </c>
    </row>
    <row r="6158" spans="1:25">
      <c r="A6158" t="s">
        <v>20561</v>
      </c>
      <c r="B6158" t="s">
        <v>20562</v>
      </c>
      <c r="D6158" t="s">
        <v>40</v>
      </c>
      <c r="E6158" t="s">
        <v>41</v>
      </c>
      <c r="J6158" t="s">
        <v>68</v>
      </c>
      <c r="K6158" t="s">
        <v>69</v>
      </c>
      <c r="L6158">
        <v>10</v>
      </c>
      <c r="M6158" t="s">
        <v>20553</v>
      </c>
      <c r="N6158" t="s">
        <v>64</v>
      </c>
      <c r="O6158" t="s">
        <v>46</v>
      </c>
      <c r="P6158" t="s">
        <v>46</v>
      </c>
      <c r="Y6158" t="s">
        <v>20563</v>
      </c>
    </row>
    <row r="6159" spans="1:25">
      <c r="A6159" t="s">
        <v>20564</v>
      </c>
      <c r="B6159" t="s">
        <v>20565</v>
      </c>
      <c r="D6159" t="s">
        <v>40</v>
      </c>
      <c r="E6159" t="s">
        <v>41</v>
      </c>
      <c r="J6159" t="s">
        <v>68</v>
      </c>
      <c r="K6159" t="s">
        <v>69</v>
      </c>
      <c r="L6159">
        <v>10</v>
      </c>
      <c r="M6159" t="s">
        <v>20553</v>
      </c>
      <c r="N6159" t="s">
        <v>64</v>
      </c>
      <c r="O6159" t="s">
        <v>46</v>
      </c>
      <c r="P6159" t="s">
        <v>46</v>
      </c>
      <c r="Y6159" t="s">
        <v>20566</v>
      </c>
    </row>
    <row r="6160" spans="1:25">
      <c r="A6160" t="s">
        <v>20567</v>
      </c>
      <c r="B6160" t="s">
        <v>20568</v>
      </c>
      <c r="D6160" t="s">
        <v>40</v>
      </c>
      <c r="E6160" t="s">
        <v>41</v>
      </c>
      <c r="J6160" t="s">
        <v>68</v>
      </c>
      <c r="K6160" t="s">
        <v>69</v>
      </c>
      <c r="L6160">
        <v>10</v>
      </c>
      <c r="M6160" t="s">
        <v>20553</v>
      </c>
      <c r="N6160" t="s">
        <v>64</v>
      </c>
      <c r="O6160" t="s">
        <v>46</v>
      </c>
      <c r="P6160" t="s">
        <v>46</v>
      </c>
      <c r="Y6160" t="s">
        <v>20569</v>
      </c>
    </row>
    <row r="6161" spans="1:25">
      <c r="A6161" t="s">
        <v>20570</v>
      </c>
      <c r="B6161" t="s">
        <v>20571</v>
      </c>
      <c r="D6161" t="s">
        <v>40</v>
      </c>
      <c r="E6161" t="s">
        <v>41</v>
      </c>
      <c r="J6161" t="s">
        <v>68</v>
      </c>
      <c r="K6161" t="s">
        <v>69</v>
      </c>
      <c r="L6161">
        <v>10</v>
      </c>
      <c r="M6161" t="s">
        <v>20553</v>
      </c>
      <c r="N6161" t="s">
        <v>64</v>
      </c>
      <c r="O6161" t="s">
        <v>46</v>
      </c>
      <c r="P6161" t="s">
        <v>46</v>
      </c>
      <c r="Y6161" t="s">
        <v>20572</v>
      </c>
    </row>
    <row r="6162" spans="1:25">
      <c r="A6162" t="s">
        <v>20573</v>
      </c>
      <c r="B6162" t="s">
        <v>20574</v>
      </c>
      <c r="D6162" t="s">
        <v>40</v>
      </c>
      <c r="E6162" t="s">
        <v>41</v>
      </c>
      <c r="J6162" t="s">
        <v>68</v>
      </c>
      <c r="K6162" t="s">
        <v>69</v>
      </c>
      <c r="L6162">
        <v>10</v>
      </c>
      <c r="M6162" t="s">
        <v>20575</v>
      </c>
      <c r="N6162" t="s">
        <v>64</v>
      </c>
      <c r="O6162" t="s">
        <v>46</v>
      </c>
      <c r="P6162" t="s">
        <v>46</v>
      </c>
      <c r="Y6162" t="s">
        <v>20576</v>
      </c>
    </row>
    <row r="6163" spans="1:25">
      <c r="A6163" t="s">
        <v>20577</v>
      </c>
      <c r="B6163" t="s">
        <v>20578</v>
      </c>
      <c r="D6163" t="s">
        <v>40</v>
      </c>
      <c r="E6163" t="s">
        <v>41</v>
      </c>
      <c r="J6163" t="s">
        <v>182</v>
      </c>
      <c r="K6163" t="s">
        <v>183</v>
      </c>
      <c r="L6163">
        <v>10</v>
      </c>
      <c r="M6163" t="s">
        <v>20579</v>
      </c>
      <c r="N6163" t="s">
        <v>64</v>
      </c>
      <c r="O6163" t="s">
        <v>46</v>
      </c>
      <c r="P6163" t="s">
        <v>46</v>
      </c>
      <c r="Y6163" t="s">
        <v>20580</v>
      </c>
    </row>
    <row r="6164" spans="1:25">
      <c r="A6164" t="s">
        <v>20581</v>
      </c>
      <c r="B6164" t="s">
        <v>20582</v>
      </c>
      <c r="D6164" t="s">
        <v>40</v>
      </c>
      <c r="E6164" t="s">
        <v>41</v>
      </c>
      <c r="J6164" t="s">
        <v>182</v>
      </c>
      <c r="K6164" t="s">
        <v>183</v>
      </c>
      <c r="L6164">
        <v>10</v>
      </c>
      <c r="M6164" t="s">
        <v>20579</v>
      </c>
      <c r="N6164" t="s">
        <v>64</v>
      </c>
      <c r="O6164" t="s">
        <v>46</v>
      </c>
      <c r="P6164" t="s">
        <v>46</v>
      </c>
      <c r="Y6164" t="s">
        <v>20583</v>
      </c>
    </row>
    <row r="6165" spans="1:25">
      <c r="A6165" t="s">
        <v>20584</v>
      </c>
      <c r="B6165" t="s">
        <v>20585</v>
      </c>
      <c r="D6165" t="s">
        <v>40</v>
      </c>
      <c r="E6165" t="s">
        <v>41</v>
      </c>
      <c r="J6165" t="s">
        <v>68</v>
      </c>
      <c r="K6165" t="s">
        <v>69</v>
      </c>
      <c r="L6165">
        <v>10</v>
      </c>
      <c r="M6165" t="s">
        <v>20579</v>
      </c>
      <c r="N6165" t="s">
        <v>64</v>
      </c>
      <c r="O6165" t="s">
        <v>46</v>
      </c>
      <c r="P6165" t="s">
        <v>46</v>
      </c>
      <c r="Y6165" t="s">
        <v>20586</v>
      </c>
    </row>
    <row r="6166" spans="1:25">
      <c r="A6166" t="s">
        <v>20587</v>
      </c>
      <c r="B6166" t="s">
        <v>20588</v>
      </c>
      <c r="D6166" t="s">
        <v>40</v>
      </c>
      <c r="E6166" t="s">
        <v>41</v>
      </c>
      <c r="J6166" t="s">
        <v>68</v>
      </c>
      <c r="K6166" t="s">
        <v>69</v>
      </c>
      <c r="L6166">
        <v>10</v>
      </c>
      <c r="M6166" t="s">
        <v>20579</v>
      </c>
      <c r="N6166" t="s">
        <v>64</v>
      </c>
      <c r="O6166" t="s">
        <v>46</v>
      </c>
      <c r="P6166" t="s">
        <v>46</v>
      </c>
      <c r="Y6166" t="s">
        <v>20589</v>
      </c>
    </row>
    <row r="6167" spans="1:25">
      <c r="A6167" t="s">
        <v>20590</v>
      </c>
      <c r="B6167" t="s">
        <v>20591</v>
      </c>
      <c r="D6167" t="s">
        <v>40</v>
      </c>
      <c r="E6167" t="s">
        <v>41</v>
      </c>
      <c r="J6167" t="s">
        <v>76</v>
      </c>
      <c r="K6167" t="s">
        <v>77</v>
      </c>
      <c r="L6167">
        <v>10</v>
      </c>
      <c r="M6167" t="s">
        <v>20579</v>
      </c>
      <c r="N6167" t="s">
        <v>64</v>
      </c>
      <c r="O6167" t="s">
        <v>46</v>
      </c>
      <c r="P6167" t="s">
        <v>46</v>
      </c>
      <c r="Y6167" t="s">
        <v>20592</v>
      </c>
    </row>
    <row r="6168" spans="1:25">
      <c r="A6168" t="s">
        <v>20593</v>
      </c>
      <c r="B6168" t="s">
        <v>20594</v>
      </c>
      <c r="D6168" t="s">
        <v>40</v>
      </c>
      <c r="E6168" t="s">
        <v>41</v>
      </c>
      <c r="J6168" t="s">
        <v>139</v>
      </c>
      <c r="K6168" t="s">
        <v>140</v>
      </c>
      <c r="L6168">
        <v>5</v>
      </c>
      <c r="M6168" t="s">
        <v>20595</v>
      </c>
      <c r="N6168" t="s">
        <v>950</v>
      </c>
      <c r="O6168" t="s">
        <v>46</v>
      </c>
      <c r="P6168" t="s">
        <v>46</v>
      </c>
      <c r="Y6168" t="s">
        <v>20596</v>
      </c>
    </row>
    <row r="6169" spans="1:25">
      <c r="A6169" t="s">
        <v>20597</v>
      </c>
      <c r="B6169" t="s">
        <v>20598</v>
      </c>
      <c r="D6169" t="s">
        <v>40</v>
      </c>
      <c r="E6169" t="s">
        <v>41</v>
      </c>
      <c r="J6169" t="s">
        <v>139</v>
      </c>
      <c r="K6169" t="s">
        <v>140</v>
      </c>
      <c r="L6169">
        <v>3</v>
      </c>
      <c r="M6169" t="s">
        <v>20599</v>
      </c>
      <c r="N6169" t="s">
        <v>436</v>
      </c>
      <c r="O6169" t="s">
        <v>46</v>
      </c>
      <c r="P6169" t="s">
        <v>46</v>
      </c>
      <c r="Y6169" t="s">
        <v>20600</v>
      </c>
    </row>
    <row r="6170" spans="1:25">
      <c r="A6170" t="s">
        <v>20601</v>
      </c>
      <c r="B6170" t="s">
        <v>20602</v>
      </c>
      <c r="D6170" t="s">
        <v>40</v>
      </c>
      <c r="E6170" t="s">
        <v>41</v>
      </c>
      <c r="J6170" t="s">
        <v>182</v>
      </c>
      <c r="K6170" t="s">
        <v>183</v>
      </c>
      <c r="L6170">
        <v>10</v>
      </c>
      <c r="M6170" t="s">
        <v>20603</v>
      </c>
      <c r="N6170" t="s">
        <v>64</v>
      </c>
      <c r="O6170" t="s">
        <v>46</v>
      </c>
      <c r="P6170" t="s">
        <v>46</v>
      </c>
      <c r="Y6170" t="s">
        <v>20604</v>
      </c>
    </row>
    <row r="6171" spans="1:25">
      <c r="A6171" t="s">
        <v>20605</v>
      </c>
      <c r="B6171" t="s">
        <v>20606</v>
      </c>
      <c r="D6171" t="s">
        <v>40</v>
      </c>
      <c r="E6171" t="s">
        <v>41</v>
      </c>
      <c r="J6171" t="s">
        <v>68</v>
      </c>
      <c r="K6171" t="s">
        <v>69</v>
      </c>
      <c r="L6171">
        <v>10</v>
      </c>
      <c r="M6171" t="s">
        <v>20603</v>
      </c>
      <c r="N6171" t="s">
        <v>64</v>
      </c>
      <c r="O6171" t="s">
        <v>46</v>
      </c>
      <c r="P6171" t="s">
        <v>46</v>
      </c>
      <c r="Y6171" t="s">
        <v>20607</v>
      </c>
    </row>
    <row r="6172" spans="1:25">
      <c r="A6172" t="s">
        <v>20608</v>
      </c>
      <c r="B6172" t="s">
        <v>20609</v>
      </c>
      <c r="D6172" t="s">
        <v>40</v>
      </c>
      <c r="E6172" t="s">
        <v>41</v>
      </c>
      <c r="J6172" t="s">
        <v>68</v>
      </c>
      <c r="K6172" t="s">
        <v>69</v>
      </c>
      <c r="L6172">
        <v>10</v>
      </c>
      <c r="M6172" t="s">
        <v>20603</v>
      </c>
      <c r="N6172" t="s">
        <v>64</v>
      </c>
      <c r="O6172" t="s">
        <v>46</v>
      </c>
      <c r="P6172" t="s">
        <v>46</v>
      </c>
      <c r="Y6172" t="s">
        <v>20610</v>
      </c>
    </row>
    <row r="6173" spans="1:25">
      <c r="A6173" t="s">
        <v>20611</v>
      </c>
      <c r="B6173" t="s">
        <v>20612</v>
      </c>
      <c r="D6173" t="s">
        <v>40</v>
      </c>
      <c r="E6173" t="s">
        <v>41</v>
      </c>
      <c r="J6173" t="s">
        <v>68</v>
      </c>
      <c r="K6173" t="s">
        <v>69</v>
      </c>
      <c r="L6173">
        <v>10</v>
      </c>
      <c r="M6173" t="s">
        <v>20603</v>
      </c>
      <c r="N6173" t="s">
        <v>64</v>
      </c>
      <c r="O6173" t="s">
        <v>46</v>
      </c>
      <c r="P6173" t="s">
        <v>46</v>
      </c>
      <c r="Y6173" t="s">
        <v>20613</v>
      </c>
    </row>
    <row r="6174" spans="1:25">
      <c r="A6174" t="s">
        <v>20614</v>
      </c>
      <c r="B6174" t="s">
        <v>20615</v>
      </c>
      <c r="D6174" t="s">
        <v>40</v>
      </c>
      <c r="E6174" t="s">
        <v>41</v>
      </c>
      <c r="J6174" t="s">
        <v>50</v>
      </c>
      <c r="K6174" t="s">
        <v>51</v>
      </c>
      <c r="L6174">
        <v>10</v>
      </c>
      <c r="M6174" t="s">
        <v>20603</v>
      </c>
      <c r="N6174" t="s">
        <v>1446</v>
      </c>
      <c r="O6174" t="s">
        <v>46</v>
      </c>
      <c r="P6174" t="s">
        <v>46</v>
      </c>
      <c r="Y6174" t="s">
        <v>20616</v>
      </c>
    </row>
    <row r="6175" spans="1:25">
      <c r="A6175" t="s">
        <v>20617</v>
      </c>
      <c r="B6175" t="s">
        <v>20618</v>
      </c>
      <c r="D6175" t="s">
        <v>40</v>
      </c>
      <c r="E6175" t="s">
        <v>41</v>
      </c>
      <c r="J6175" t="s">
        <v>68</v>
      </c>
      <c r="K6175" t="s">
        <v>69</v>
      </c>
      <c r="L6175">
        <v>10</v>
      </c>
      <c r="M6175" t="s">
        <v>20619</v>
      </c>
      <c r="N6175" t="s">
        <v>64</v>
      </c>
      <c r="O6175" t="s">
        <v>46</v>
      </c>
      <c r="P6175" t="s">
        <v>46</v>
      </c>
      <c r="Y6175" t="s">
        <v>20620</v>
      </c>
    </row>
    <row r="6176" spans="1:25">
      <c r="A6176" t="s">
        <v>20621</v>
      </c>
      <c r="B6176" t="s">
        <v>20622</v>
      </c>
      <c r="D6176" t="s">
        <v>40</v>
      </c>
      <c r="E6176" t="s">
        <v>41</v>
      </c>
      <c r="J6176" t="s">
        <v>182</v>
      </c>
      <c r="K6176" t="s">
        <v>183</v>
      </c>
      <c r="L6176">
        <v>10</v>
      </c>
      <c r="M6176" t="s">
        <v>20619</v>
      </c>
      <c r="N6176" t="s">
        <v>64</v>
      </c>
      <c r="O6176" t="s">
        <v>46</v>
      </c>
      <c r="P6176" t="s">
        <v>46</v>
      </c>
      <c r="Y6176" t="s">
        <v>20623</v>
      </c>
    </row>
    <row r="6177" spans="1:25">
      <c r="A6177" t="s">
        <v>20624</v>
      </c>
      <c r="B6177" t="s">
        <v>20625</v>
      </c>
      <c r="D6177" t="s">
        <v>40</v>
      </c>
      <c r="E6177" t="s">
        <v>41</v>
      </c>
      <c r="J6177" t="s">
        <v>182</v>
      </c>
      <c r="K6177" t="s">
        <v>183</v>
      </c>
      <c r="L6177">
        <v>10</v>
      </c>
      <c r="M6177" t="s">
        <v>20626</v>
      </c>
      <c r="N6177" t="s">
        <v>64</v>
      </c>
      <c r="O6177" t="s">
        <v>46</v>
      </c>
      <c r="P6177" t="s">
        <v>46</v>
      </c>
      <c r="Y6177" t="s">
        <v>20627</v>
      </c>
    </row>
    <row r="6178" spans="1:25">
      <c r="A6178" t="s">
        <v>20628</v>
      </c>
      <c r="B6178" t="s">
        <v>20629</v>
      </c>
      <c r="D6178" t="s">
        <v>40</v>
      </c>
      <c r="E6178" t="s">
        <v>41</v>
      </c>
      <c r="J6178" t="s">
        <v>76</v>
      </c>
      <c r="K6178" t="s">
        <v>77</v>
      </c>
      <c r="L6178">
        <v>10</v>
      </c>
      <c r="M6178" t="s">
        <v>20626</v>
      </c>
      <c r="N6178" t="s">
        <v>64</v>
      </c>
      <c r="O6178" t="s">
        <v>46</v>
      </c>
      <c r="P6178" t="s">
        <v>46</v>
      </c>
      <c r="Y6178" t="s">
        <v>20630</v>
      </c>
    </row>
    <row r="6179" spans="1:25">
      <c r="A6179" t="s">
        <v>20631</v>
      </c>
      <c r="B6179" t="s">
        <v>20632</v>
      </c>
      <c r="D6179" t="s">
        <v>40</v>
      </c>
      <c r="E6179" t="s">
        <v>41</v>
      </c>
      <c r="J6179" t="s">
        <v>76</v>
      </c>
      <c r="K6179" t="s">
        <v>77</v>
      </c>
      <c r="L6179">
        <v>10</v>
      </c>
      <c r="M6179" t="s">
        <v>20626</v>
      </c>
      <c r="N6179" t="s">
        <v>64</v>
      </c>
      <c r="O6179" t="s">
        <v>46</v>
      </c>
      <c r="P6179" t="s">
        <v>46</v>
      </c>
      <c r="Y6179" t="s">
        <v>20633</v>
      </c>
    </row>
    <row r="6180" spans="1:25">
      <c r="A6180" t="s">
        <v>20634</v>
      </c>
      <c r="B6180" t="s">
        <v>20635</v>
      </c>
      <c r="D6180" t="s">
        <v>40</v>
      </c>
      <c r="E6180" t="s">
        <v>41</v>
      </c>
      <c r="J6180" t="s">
        <v>68</v>
      </c>
      <c r="K6180" t="s">
        <v>69</v>
      </c>
      <c r="L6180">
        <v>10</v>
      </c>
      <c r="M6180" t="s">
        <v>20626</v>
      </c>
      <c r="N6180" t="s">
        <v>64</v>
      </c>
      <c r="O6180" t="s">
        <v>46</v>
      </c>
      <c r="P6180" t="s">
        <v>46</v>
      </c>
      <c r="Y6180" t="s">
        <v>20636</v>
      </c>
    </row>
    <row r="6181" spans="1:25">
      <c r="A6181" t="s">
        <v>20637</v>
      </c>
      <c r="B6181" t="s">
        <v>20638</v>
      </c>
      <c r="D6181" t="s">
        <v>40</v>
      </c>
      <c r="E6181" t="s">
        <v>41</v>
      </c>
      <c r="J6181" t="s">
        <v>182</v>
      </c>
      <c r="K6181" t="s">
        <v>183</v>
      </c>
      <c r="L6181">
        <v>10</v>
      </c>
      <c r="M6181" t="s">
        <v>20639</v>
      </c>
      <c r="N6181" t="s">
        <v>64</v>
      </c>
      <c r="O6181" t="s">
        <v>46</v>
      </c>
      <c r="P6181" t="s">
        <v>46</v>
      </c>
      <c r="Y6181" t="s">
        <v>20640</v>
      </c>
    </row>
    <row r="6182" spans="1:25">
      <c r="A6182" t="s">
        <v>20641</v>
      </c>
      <c r="B6182" t="s">
        <v>20642</v>
      </c>
      <c r="D6182" t="s">
        <v>40</v>
      </c>
      <c r="E6182" t="s">
        <v>41</v>
      </c>
      <c r="J6182" t="s">
        <v>182</v>
      </c>
      <c r="K6182" t="s">
        <v>183</v>
      </c>
      <c r="L6182">
        <v>10</v>
      </c>
      <c r="M6182" t="s">
        <v>20639</v>
      </c>
      <c r="N6182" t="s">
        <v>64</v>
      </c>
      <c r="O6182" t="s">
        <v>46</v>
      </c>
      <c r="P6182" t="s">
        <v>46</v>
      </c>
      <c r="Y6182" t="s">
        <v>20643</v>
      </c>
    </row>
    <row r="6183" spans="1:25">
      <c r="A6183" t="s">
        <v>20644</v>
      </c>
      <c r="B6183" t="s">
        <v>20645</v>
      </c>
      <c r="D6183" t="s">
        <v>40</v>
      </c>
      <c r="E6183" t="s">
        <v>41</v>
      </c>
      <c r="J6183" t="s">
        <v>182</v>
      </c>
      <c r="K6183" t="s">
        <v>183</v>
      </c>
      <c r="L6183">
        <v>10</v>
      </c>
      <c r="M6183" t="s">
        <v>20639</v>
      </c>
      <c r="N6183" t="s">
        <v>64</v>
      </c>
      <c r="O6183" t="s">
        <v>46</v>
      </c>
      <c r="P6183" t="s">
        <v>46</v>
      </c>
      <c r="Y6183" t="s">
        <v>20646</v>
      </c>
    </row>
    <row r="6184" spans="1:25">
      <c r="A6184" t="s">
        <v>20647</v>
      </c>
      <c r="B6184" t="s">
        <v>20648</v>
      </c>
      <c r="D6184" t="s">
        <v>40</v>
      </c>
      <c r="E6184" t="s">
        <v>41</v>
      </c>
      <c r="J6184" t="s">
        <v>68</v>
      </c>
      <c r="K6184" t="s">
        <v>69</v>
      </c>
      <c r="L6184">
        <v>10</v>
      </c>
      <c r="M6184" t="s">
        <v>20639</v>
      </c>
      <c r="N6184" t="s">
        <v>64</v>
      </c>
      <c r="O6184" t="s">
        <v>46</v>
      </c>
      <c r="P6184" t="s">
        <v>46</v>
      </c>
      <c r="Y6184" t="s">
        <v>20649</v>
      </c>
    </row>
    <row r="6185" spans="1:25">
      <c r="A6185" t="s">
        <v>20650</v>
      </c>
      <c r="B6185" t="s">
        <v>20651</v>
      </c>
      <c r="D6185" t="s">
        <v>40</v>
      </c>
      <c r="E6185" t="s">
        <v>41</v>
      </c>
      <c r="J6185" t="s">
        <v>182</v>
      </c>
      <c r="K6185" t="s">
        <v>183</v>
      </c>
      <c r="L6185">
        <v>10</v>
      </c>
      <c r="M6185" t="s">
        <v>20639</v>
      </c>
      <c r="N6185" t="s">
        <v>64</v>
      </c>
      <c r="O6185" t="s">
        <v>46</v>
      </c>
      <c r="P6185" t="s">
        <v>46</v>
      </c>
      <c r="Y6185" t="s">
        <v>20652</v>
      </c>
    </row>
    <row r="6186" spans="1:25">
      <c r="A6186" t="s">
        <v>20653</v>
      </c>
      <c r="B6186" t="s">
        <v>20654</v>
      </c>
      <c r="D6186" t="s">
        <v>40</v>
      </c>
      <c r="E6186" t="s">
        <v>41</v>
      </c>
      <c r="J6186" t="s">
        <v>68</v>
      </c>
      <c r="K6186" t="s">
        <v>69</v>
      </c>
      <c r="L6186">
        <v>10</v>
      </c>
      <c r="M6186" t="s">
        <v>20655</v>
      </c>
      <c r="N6186" t="s">
        <v>64</v>
      </c>
      <c r="O6186" t="s">
        <v>46</v>
      </c>
      <c r="P6186" t="s">
        <v>46</v>
      </c>
      <c r="Y6186" t="s">
        <v>20656</v>
      </c>
    </row>
    <row r="6187" spans="1:25">
      <c r="A6187" t="s">
        <v>20657</v>
      </c>
      <c r="B6187" t="s">
        <v>20658</v>
      </c>
      <c r="D6187" t="s">
        <v>40</v>
      </c>
      <c r="E6187" t="s">
        <v>41</v>
      </c>
      <c r="J6187" t="s">
        <v>68</v>
      </c>
      <c r="K6187" t="s">
        <v>69</v>
      </c>
      <c r="L6187">
        <v>10</v>
      </c>
      <c r="M6187" t="s">
        <v>20655</v>
      </c>
      <c r="N6187" t="s">
        <v>64</v>
      </c>
      <c r="O6187" t="s">
        <v>46</v>
      </c>
      <c r="P6187" t="s">
        <v>46</v>
      </c>
      <c r="Y6187" t="s">
        <v>20659</v>
      </c>
    </row>
    <row r="6188" spans="1:25">
      <c r="A6188" t="s">
        <v>20660</v>
      </c>
      <c r="B6188" t="s">
        <v>20661</v>
      </c>
      <c r="D6188" t="s">
        <v>40</v>
      </c>
      <c r="E6188" t="s">
        <v>41</v>
      </c>
      <c r="J6188" t="s">
        <v>182</v>
      </c>
      <c r="K6188" t="s">
        <v>183</v>
      </c>
      <c r="L6188">
        <v>10</v>
      </c>
      <c r="M6188" t="s">
        <v>20662</v>
      </c>
      <c r="N6188" t="s">
        <v>64</v>
      </c>
      <c r="O6188" t="s">
        <v>46</v>
      </c>
      <c r="P6188" t="s">
        <v>46</v>
      </c>
      <c r="Y6188" t="s">
        <v>20663</v>
      </c>
    </row>
    <row r="6189" spans="1:25">
      <c r="A6189" t="s">
        <v>20664</v>
      </c>
      <c r="B6189" t="s">
        <v>20665</v>
      </c>
      <c r="D6189" t="s">
        <v>40</v>
      </c>
      <c r="E6189" t="s">
        <v>41</v>
      </c>
      <c r="J6189" t="s">
        <v>68</v>
      </c>
      <c r="K6189" t="s">
        <v>69</v>
      </c>
      <c r="L6189">
        <v>10</v>
      </c>
      <c r="M6189" t="s">
        <v>20662</v>
      </c>
      <c r="N6189" t="s">
        <v>64</v>
      </c>
      <c r="O6189" t="s">
        <v>46</v>
      </c>
      <c r="P6189" t="s">
        <v>46</v>
      </c>
      <c r="Y6189" t="s">
        <v>20666</v>
      </c>
    </row>
    <row r="6190" spans="1:25">
      <c r="A6190" t="s">
        <v>20667</v>
      </c>
      <c r="B6190" t="s">
        <v>20668</v>
      </c>
      <c r="D6190" t="s">
        <v>40</v>
      </c>
      <c r="E6190" t="s">
        <v>41</v>
      </c>
      <c r="J6190" t="s">
        <v>68</v>
      </c>
      <c r="K6190" t="s">
        <v>69</v>
      </c>
      <c r="L6190">
        <v>10</v>
      </c>
      <c r="M6190" t="s">
        <v>20669</v>
      </c>
      <c r="N6190" t="s">
        <v>64</v>
      </c>
      <c r="O6190" t="s">
        <v>46</v>
      </c>
      <c r="P6190" t="s">
        <v>46</v>
      </c>
      <c r="Y6190" t="s">
        <v>20670</v>
      </c>
    </row>
    <row r="6191" spans="1:25">
      <c r="A6191" t="s">
        <v>20671</v>
      </c>
      <c r="B6191" t="s">
        <v>20672</v>
      </c>
      <c r="D6191" t="s">
        <v>40</v>
      </c>
      <c r="E6191" t="s">
        <v>41</v>
      </c>
      <c r="J6191" t="s">
        <v>68</v>
      </c>
      <c r="K6191" t="s">
        <v>69</v>
      </c>
      <c r="L6191">
        <v>10</v>
      </c>
      <c r="M6191" t="s">
        <v>20669</v>
      </c>
      <c r="N6191" t="s">
        <v>64</v>
      </c>
      <c r="O6191" t="s">
        <v>46</v>
      </c>
      <c r="P6191" t="s">
        <v>46</v>
      </c>
      <c r="Y6191" t="s">
        <v>20673</v>
      </c>
    </row>
    <row r="6192" spans="1:25">
      <c r="A6192" t="s">
        <v>20674</v>
      </c>
      <c r="B6192" t="s">
        <v>20675</v>
      </c>
      <c r="D6192" t="s">
        <v>40</v>
      </c>
      <c r="E6192" t="s">
        <v>41</v>
      </c>
      <c r="J6192" t="s">
        <v>68</v>
      </c>
      <c r="K6192" t="s">
        <v>69</v>
      </c>
      <c r="L6192">
        <v>10</v>
      </c>
      <c r="M6192" t="s">
        <v>20669</v>
      </c>
      <c r="N6192" t="s">
        <v>64</v>
      </c>
      <c r="O6192" t="s">
        <v>46</v>
      </c>
      <c r="P6192" t="s">
        <v>46</v>
      </c>
      <c r="Y6192" t="s">
        <v>20676</v>
      </c>
    </row>
    <row r="6193" spans="1:25">
      <c r="A6193" t="s">
        <v>20677</v>
      </c>
      <c r="B6193" t="s">
        <v>20678</v>
      </c>
      <c r="D6193" t="s">
        <v>40</v>
      </c>
      <c r="E6193" t="s">
        <v>41</v>
      </c>
      <c r="J6193" t="s">
        <v>182</v>
      </c>
      <c r="K6193" t="s">
        <v>183</v>
      </c>
      <c r="L6193">
        <v>10</v>
      </c>
      <c r="M6193" t="s">
        <v>20679</v>
      </c>
      <c r="N6193" t="s">
        <v>64</v>
      </c>
      <c r="O6193" t="s">
        <v>46</v>
      </c>
      <c r="P6193" t="s">
        <v>46</v>
      </c>
      <c r="Y6193" t="s">
        <v>20680</v>
      </c>
    </row>
    <row r="6194" spans="1:25">
      <c r="A6194" t="s">
        <v>20681</v>
      </c>
      <c r="B6194" t="s">
        <v>20682</v>
      </c>
      <c r="D6194" t="s">
        <v>40</v>
      </c>
      <c r="E6194" t="s">
        <v>41</v>
      </c>
      <c r="J6194" t="s">
        <v>68</v>
      </c>
      <c r="K6194" t="s">
        <v>69</v>
      </c>
      <c r="L6194">
        <v>10</v>
      </c>
      <c r="M6194" t="s">
        <v>20683</v>
      </c>
      <c r="N6194" t="s">
        <v>64</v>
      </c>
      <c r="O6194" t="s">
        <v>46</v>
      </c>
      <c r="P6194" t="s">
        <v>46</v>
      </c>
      <c r="Y6194" t="s">
        <v>20684</v>
      </c>
    </row>
    <row r="6195" spans="1:25">
      <c r="A6195" t="s">
        <v>20685</v>
      </c>
      <c r="B6195" t="s">
        <v>20686</v>
      </c>
      <c r="D6195" t="s">
        <v>40</v>
      </c>
      <c r="E6195" t="s">
        <v>41</v>
      </c>
      <c r="J6195" t="s">
        <v>182</v>
      </c>
      <c r="K6195" t="s">
        <v>183</v>
      </c>
      <c r="L6195">
        <v>10</v>
      </c>
      <c r="M6195" t="s">
        <v>20687</v>
      </c>
      <c r="N6195" t="s">
        <v>64</v>
      </c>
      <c r="O6195" t="s">
        <v>46</v>
      </c>
      <c r="P6195" t="s">
        <v>46</v>
      </c>
      <c r="Y6195" t="s">
        <v>20688</v>
      </c>
    </row>
    <row r="6196" spans="1:25">
      <c r="A6196" t="s">
        <v>20689</v>
      </c>
      <c r="B6196" t="s">
        <v>20690</v>
      </c>
      <c r="D6196" t="s">
        <v>40</v>
      </c>
      <c r="E6196" t="s">
        <v>41</v>
      </c>
      <c r="J6196" t="s">
        <v>248</v>
      </c>
      <c r="K6196" t="s">
        <v>249</v>
      </c>
      <c r="L6196">
        <v>10</v>
      </c>
      <c r="M6196" t="s">
        <v>20687</v>
      </c>
      <c r="N6196" t="s">
        <v>1397</v>
      </c>
      <c r="O6196" t="s">
        <v>46</v>
      </c>
      <c r="P6196" t="s">
        <v>46</v>
      </c>
      <c r="Y6196" t="s">
        <v>20691</v>
      </c>
    </row>
    <row r="6197" spans="1:25">
      <c r="A6197" t="s">
        <v>20692</v>
      </c>
      <c r="B6197" t="s">
        <v>20693</v>
      </c>
      <c r="D6197" t="s">
        <v>40</v>
      </c>
      <c r="E6197" t="s">
        <v>41</v>
      </c>
      <c r="J6197" t="s">
        <v>68</v>
      </c>
      <c r="K6197" t="s">
        <v>69</v>
      </c>
      <c r="L6197">
        <v>10</v>
      </c>
      <c r="M6197" t="s">
        <v>20687</v>
      </c>
      <c r="N6197" t="s">
        <v>64</v>
      </c>
      <c r="O6197" t="s">
        <v>46</v>
      </c>
      <c r="P6197" t="s">
        <v>46</v>
      </c>
      <c r="Y6197" t="s">
        <v>20694</v>
      </c>
    </row>
    <row r="6198" spans="1:25">
      <c r="A6198" t="s">
        <v>20695</v>
      </c>
      <c r="B6198" t="s">
        <v>20696</v>
      </c>
      <c r="D6198" t="s">
        <v>40</v>
      </c>
      <c r="E6198" t="s">
        <v>41</v>
      </c>
      <c r="J6198" t="s">
        <v>68</v>
      </c>
      <c r="K6198" t="s">
        <v>69</v>
      </c>
      <c r="L6198">
        <v>10</v>
      </c>
      <c r="M6198" t="s">
        <v>20687</v>
      </c>
      <c r="N6198" t="s">
        <v>64</v>
      </c>
      <c r="O6198" t="s">
        <v>46</v>
      </c>
      <c r="P6198" t="s">
        <v>46</v>
      </c>
      <c r="Y6198" t="s">
        <v>20697</v>
      </c>
    </row>
    <row r="6199" spans="1:25">
      <c r="A6199" t="s">
        <v>20698</v>
      </c>
      <c r="B6199" t="s">
        <v>20699</v>
      </c>
      <c r="D6199" t="s">
        <v>40</v>
      </c>
      <c r="E6199" t="s">
        <v>41</v>
      </c>
      <c r="J6199" t="s">
        <v>68</v>
      </c>
      <c r="K6199" t="s">
        <v>69</v>
      </c>
      <c r="L6199">
        <v>10</v>
      </c>
      <c r="M6199" t="s">
        <v>20700</v>
      </c>
      <c r="N6199" t="s">
        <v>64</v>
      </c>
      <c r="O6199" t="s">
        <v>46</v>
      </c>
      <c r="P6199" t="s">
        <v>46</v>
      </c>
      <c r="Y6199" t="s">
        <v>20701</v>
      </c>
    </row>
    <row r="6200" spans="1:25">
      <c r="A6200" t="s">
        <v>20702</v>
      </c>
      <c r="B6200" t="s">
        <v>20703</v>
      </c>
      <c r="D6200" t="s">
        <v>40</v>
      </c>
      <c r="E6200" t="s">
        <v>41</v>
      </c>
      <c r="J6200" t="s">
        <v>182</v>
      </c>
      <c r="K6200" t="s">
        <v>183</v>
      </c>
      <c r="L6200">
        <v>10</v>
      </c>
      <c r="M6200" t="s">
        <v>20700</v>
      </c>
      <c r="N6200" t="s">
        <v>64</v>
      </c>
      <c r="O6200" t="s">
        <v>46</v>
      </c>
      <c r="P6200" t="s">
        <v>46</v>
      </c>
      <c r="Y6200" t="s">
        <v>20704</v>
      </c>
    </row>
    <row r="6201" spans="1:25">
      <c r="A6201" t="s">
        <v>20705</v>
      </c>
      <c r="B6201" t="s">
        <v>20706</v>
      </c>
      <c r="D6201" t="s">
        <v>40</v>
      </c>
      <c r="E6201" t="s">
        <v>41</v>
      </c>
      <c r="J6201" t="s">
        <v>182</v>
      </c>
      <c r="K6201" t="s">
        <v>183</v>
      </c>
      <c r="L6201">
        <v>10</v>
      </c>
      <c r="M6201" t="s">
        <v>20707</v>
      </c>
      <c r="N6201" t="s">
        <v>64</v>
      </c>
      <c r="O6201" t="s">
        <v>46</v>
      </c>
      <c r="P6201" t="s">
        <v>46</v>
      </c>
      <c r="Y6201" t="s">
        <v>20708</v>
      </c>
    </row>
    <row r="6202" spans="1:25">
      <c r="A6202" t="s">
        <v>20709</v>
      </c>
      <c r="B6202" t="s">
        <v>20710</v>
      </c>
      <c r="D6202" t="s">
        <v>40</v>
      </c>
      <c r="E6202" t="s">
        <v>41</v>
      </c>
      <c r="J6202" t="s">
        <v>42</v>
      </c>
      <c r="K6202" t="s">
        <v>43</v>
      </c>
      <c r="L6202">
        <v>10</v>
      </c>
      <c r="M6202" t="s">
        <v>20707</v>
      </c>
      <c r="N6202" t="s">
        <v>752</v>
      </c>
      <c r="O6202" t="s">
        <v>46</v>
      </c>
      <c r="P6202" t="s">
        <v>46</v>
      </c>
      <c r="Y6202" t="s">
        <v>20711</v>
      </c>
    </row>
    <row r="6203" spans="1:25">
      <c r="A6203" t="s">
        <v>20712</v>
      </c>
      <c r="B6203" t="s">
        <v>20713</v>
      </c>
      <c r="D6203" t="s">
        <v>40</v>
      </c>
      <c r="E6203" t="s">
        <v>41</v>
      </c>
      <c r="J6203" t="s">
        <v>68</v>
      </c>
      <c r="K6203" t="s">
        <v>69</v>
      </c>
      <c r="L6203">
        <v>10</v>
      </c>
      <c r="M6203" t="s">
        <v>20707</v>
      </c>
      <c r="N6203" t="s">
        <v>64</v>
      </c>
      <c r="O6203" t="s">
        <v>46</v>
      </c>
      <c r="P6203" t="s">
        <v>46</v>
      </c>
      <c r="Y6203" t="s">
        <v>20714</v>
      </c>
    </row>
    <row r="6204" spans="1:25">
      <c r="A6204" t="s">
        <v>20715</v>
      </c>
      <c r="B6204" t="s">
        <v>20716</v>
      </c>
      <c r="D6204" t="s">
        <v>40</v>
      </c>
      <c r="E6204" t="s">
        <v>41</v>
      </c>
      <c r="J6204" t="s">
        <v>68</v>
      </c>
      <c r="K6204" t="s">
        <v>69</v>
      </c>
      <c r="L6204">
        <v>10</v>
      </c>
      <c r="M6204" t="s">
        <v>20707</v>
      </c>
      <c r="N6204" t="s">
        <v>64</v>
      </c>
      <c r="O6204" t="s">
        <v>46</v>
      </c>
      <c r="P6204" t="s">
        <v>46</v>
      </c>
      <c r="Y6204" t="s">
        <v>20717</v>
      </c>
    </row>
    <row r="6205" spans="1:25">
      <c r="A6205" t="s">
        <v>20718</v>
      </c>
      <c r="B6205" t="s">
        <v>20719</v>
      </c>
      <c r="D6205" t="s">
        <v>40</v>
      </c>
      <c r="E6205" t="s">
        <v>41</v>
      </c>
      <c r="J6205" t="s">
        <v>76</v>
      </c>
      <c r="K6205" t="s">
        <v>77</v>
      </c>
      <c r="L6205">
        <v>10</v>
      </c>
      <c r="M6205" t="s">
        <v>20707</v>
      </c>
      <c r="N6205" t="s">
        <v>64</v>
      </c>
      <c r="O6205" t="s">
        <v>46</v>
      </c>
      <c r="P6205" t="s">
        <v>46</v>
      </c>
      <c r="Y6205" t="s">
        <v>20720</v>
      </c>
    </row>
    <row r="6206" spans="1:25">
      <c r="A6206" t="s">
        <v>20721</v>
      </c>
      <c r="B6206" t="s">
        <v>20722</v>
      </c>
      <c r="D6206" t="s">
        <v>40</v>
      </c>
      <c r="E6206" t="s">
        <v>41</v>
      </c>
      <c r="J6206" t="s">
        <v>182</v>
      </c>
      <c r="K6206" t="s">
        <v>183</v>
      </c>
      <c r="L6206">
        <v>10</v>
      </c>
      <c r="M6206" t="s">
        <v>20723</v>
      </c>
      <c r="N6206" t="s">
        <v>64</v>
      </c>
      <c r="O6206" t="s">
        <v>46</v>
      </c>
      <c r="P6206" t="s">
        <v>46</v>
      </c>
      <c r="Y6206" t="s">
        <v>20724</v>
      </c>
    </row>
    <row r="6207" spans="1:25">
      <c r="A6207" t="s">
        <v>20725</v>
      </c>
      <c r="B6207" t="s">
        <v>20726</v>
      </c>
      <c r="D6207" t="s">
        <v>40</v>
      </c>
      <c r="E6207" t="s">
        <v>41</v>
      </c>
      <c r="J6207" t="s">
        <v>182</v>
      </c>
      <c r="K6207" t="s">
        <v>183</v>
      </c>
      <c r="L6207">
        <v>10</v>
      </c>
      <c r="M6207" t="s">
        <v>20727</v>
      </c>
      <c r="N6207" t="s">
        <v>64</v>
      </c>
      <c r="O6207" t="s">
        <v>46</v>
      </c>
      <c r="P6207" t="s">
        <v>46</v>
      </c>
      <c r="Y6207" t="s">
        <v>20728</v>
      </c>
    </row>
    <row r="6208" spans="1:25">
      <c r="A6208" t="s">
        <v>20729</v>
      </c>
      <c r="B6208" t="s">
        <v>20730</v>
      </c>
      <c r="D6208" t="s">
        <v>40</v>
      </c>
      <c r="E6208" t="s">
        <v>41</v>
      </c>
      <c r="J6208" t="s">
        <v>68</v>
      </c>
      <c r="K6208" t="s">
        <v>69</v>
      </c>
      <c r="L6208">
        <v>10</v>
      </c>
      <c r="M6208" t="s">
        <v>20727</v>
      </c>
      <c r="N6208" t="s">
        <v>64</v>
      </c>
      <c r="O6208" t="s">
        <v>46</v>
      </c>
      <c r="P6208" t="s">
        <v>46</v>
      </c>
      <c r="Y6208" t="s">
        <v>20731</v>
      </c>
    </row>
    <row r="6209" spans="1:25">
      <c r="A6209" t="s">
        <v>20732</v>
      </c>
      <c r="B6209" t="s">
        <v>20733</v>
      </c>
      <c r="D6209" t="s">
        <v>40</v>
      </c>
      <c r="E6209" t="s">
        <v>41</v>
      </c>
      <c r="J6209" t="s">
        <v>50</v>
      </c>
      <c r="K6209" t="s">
        <v>51</v>
      </c>
      <c r="L6209">
        <v>10</v>
      </c>
      <c r="M6209" t="s">
        <v>20727</v>
      </c>
      <c r="N6209" t="s">
        <v>509</v>
      </c>
      <c r="O6209" t="s">
        <v>46</v>
      </c>
      <c r="P6209" t="s">
        <v>46</v>
      </c>
      <c r="Y6209" t="s">
        <v>20734</v>
      </c>
    </row>
    <row r="6210" spans="1:25">
      <c r="A6210" t="s">
        <v>20735</v>
      </c>
      <c r="B6210" t="s">
        <v>20736</v>
      </c>
      <c r="D6210" t="s">
        <v>40</v>
      </c>
      <c r="E6210" t="s">
        <v>41</v>
      </c>
      <c r="F6210" t="s">
        <v>11052</v>
      </c>
      <c r="J6210" t="s">
        <v>182</v>
      </c>
      <c r="K6210" t="s">
        <v>183</v>
      </c>
      <c r="L6210">
        <v>10</v>
      </c>
      <c r="M6210" t="s">
        <v>20727</v>
      </c>
      <c r="N6210" t="s">
        <v>64</v>
      </c>
      <c r="O6210" t="s">
        <v>46</v>
      </c>
      <c r="P6210" t="s">
        <v>20737</v>
      </c>
      <c r="Y6210" t="s">
        <v>20738</v>
      </c>
    </row>
    <row r="6211" spans="1:25">
      <c r="A6211" t="s">
        <v>20739</v>
      </c>
      <c r="B6211" t="s">
        <v>20740</v>
      </c>
      <c r="D6211" t="s">
        <v>40</v>
      </c>
      <c r="E6211" t="s">
        <v>41</v>
      </c>
      <c r="J6211" t="s">
        <v>68</v>
      </c>
      <c r="K6211" t="s">
        <v>69</v>
      </c>
      <c r="L6211">
        <v>10</v>
      </c>
      <c r="M6211" t="s">
        <v>20741</v>
      </c>
      <c r="N6211" t="s">
        <v>64</v>
      </c>
      <c r="O6211" t="s">
        <v>46</v>
      </c>
      <c r="P6211" t="s">
        <v>46</v>
      </c>
      <c r="Y6211" t="s">
        <v>20742</v>
      </c>
    </row>
    <row r="6212" spans="1:25">
      <c r="A6212" t="s">
        <v>20743</v>
      </c>
      <c r="B6212" t="s">
        <v>20744</v>
      </c>
      <c r="D6212" t="s">
        <v>40</v>
      </c>
      <c r="E6212" t="s">
        <v>41</v>
      </c>
      <c r="J6212" t="s">
        <v>68</v>
      </c>
      <c r="K6212" t="s">
        <v>69</v>
      </c>
      <c r="L6212">
        <v>10</v>
      </c>
      <c r="M6212" t="s">
        <v>20741</v>
      </c>
      <c r="N6212" t="s">
        <v>64</v>
      </c>
      <c r="O6212" t="s">
        <v>46</v>
      </c>
      <c r="P6212" t="s">
        <v>46</v>
      </c>
      <c r="Y6212" t="s">
        <v>20745</v>
      </c>
    </row>
    <row r="6213" spans="1:25">
      <c r="A6213" t="s">
        <v>20746</v>
      </c>
      <c r="B6213" t="s">
        <v>20747</v>
      </c>
      <c r="D6213" t="s">
        <v>40</v>
      </c>
      <c r="E6213" t="s">
        <v>41</v>
      </c>
      <c r="J6213" t="s">
        <v>68</v>
      </c>
      <c r="K6213" t="s">
        <v>69</v>
      </c>
      <c r="L6213">
        <v>10</v>
      </c>
      <c r="M6213" t="s">
        <v>20748</v>
      </c>
      <c r="N6213" t="s">
        <v>64</v>
      </c>
      <c r="O6213" t="s">
        <v>46</v>
      </c>
      <c r="P6213" t="s">
        <v>46</v>
      </c>
      <c r="Y6213" t="s">
        <v>20749</v>
      </c>
    </row>
    <row r="6214" spans="1:25">
      <c r="A6214" t="s">
        <v>20750</v>
      </c>
      <c r="B6214" t="s">
        <v>20751</v>
      </c>
      <c r="D6214" t="s">
        <v>40</v>
      </c>
      <c r="E6214" t="s">
        <v>41</v>
      </c>
      <c r="J6214" t="s">
        <v>68</v>
      </c>
      <c r="K6214" t="s">
        <v>69</v>
      </c>
      <c r="L6214">
        <v>10</v>
      </c>
      <c r="M6214" t="s">
        <v>20748</v>
      </c>
      <c r="N6214" t="s">
        <v>64</v>
      </c>
      <c r="O6214" t="s">
        <v>46</v>
      </c>
      <c r="P6214" t="s">
        <v>46</v>
      </c>
      <c r="Y6214" t="s">
        <v>20752</v>
      </c>
    </row>
    <row r="6215" spans="1:25">
      <c r="A6215" t="s">
        <v>20753</v>
      </c>
      <c r="B6215" t="s">
        <v>20754</v>
      </c>
      <c r="D6215" t="s">
        <v>40</v>
      </c>
      <c r="E6215" t="s">
        <v>41</v>
      </c>
      <c r="J6215" t="s">
        <v>68</v>
      </c>
      <c r="K6215" t="s">
        <v>69</v>
      </c>
      <c r="L6215">
        <v>10</v>
      </c>
      <c r="M6215" t="s">
        <v>20748</v>
      </c>
      <c r="N6215" t="s">
        <v>64</v>
      </c>
      <c r="O6215" t="s">
        <v>46</v>
      </c>
      <c r="P6215" t="s">
        <v>46</v>
      </c>
      <c r="Y6215" t="s">
        <v>20755</v>
      </c>
    </row>
    <row r="6216" spans="1:25">
      <c r="A6216" t="s">
        <v>20756</v>
      </c>
      <c r="B6216" t="s">
        <v>20757</v>
      </c>
      <c r="D6216" t="s">
        <v>40</v>
      </c>
      <c r="E6216" t="s">
        <v>41</v>
      </c>
      <c r="J6216" t="s">
        <v>68</v>
      </c>
      <c r="K6216" t="s">
        <v>69</v>
      </c>
      <c r="L6216">
        <v>10</v>
      </c>
      <c r="M6216" t="s">
        <v>20758</v>
      </c>
      <c r="N6216" t="s">
        <v>64</v>
      </c>
      <c r="O6216" t="s">
        <v>46</v>
      </c>
      <c r="P6216" t="s">
        <v>46</v>
      </c>
      <c r="Y6216" t="s">
        <v>20759</v>
      </c>
    </row>
    <row r="6217" spans="1:25">
      <c r="A6217" t="s">
        <v>20760</v>
      </c>
      <c r="B6217" t="s">
        <v>20761</v>
      </c>
      <c r="D6217" t="s">
        <v>40</v>
      </c>
      <c r="E6217" t="s">
        <v>41</v>
      </c>
      <c r="J6217" t="s">
        <v>182</v>
      </c>
      <c r="K6217" t="s">
        <v>183</v>
      </c>
      <c r="L6217">
        <v>10</v>
      </c>
      <c r="M6217" t="s">
        <v>20758</v>
      </c>
      <c r="N6217" t="s">
        <v>64</v>
      </c>
      <c r="O6217" t="s">
        <v>46</v>
      </c>
      <c r="P6217" t="s">
        <v>46</v>
      </c>
      <c r="Y6217" t="s">
        <v>20762</v>
      </c>
    </row>
    <row r="6218" spans="1:25">
      <c r="A6218" t="s">
        <v>20763</v>
      </c>
      <c r="B6218" t="s">
        <v>20764</v>
      </c>
      <c r="D6218" t="s">
        <v>40</v>
      </c>
      <c r="E6218" t="s">
        <v>41</v>
      </c>
      <c r="J6218" t="s">
        <v>76</v>
      </c>
      <c r="K6218" t="s">
        <v>77</v>
      </c>
      <c r="L6218">
        <v>10</v>
      </c>
      <c r="M6218" t="s">
        <v>20758</v>
      </c>
      <c r="N6218" t="s">
        <v>64</v>
      </c>
      <c r="O6218" t="s">
        <v>46</v>
      </c>
      <c r="P6218" t="s">
        <v>46</v>
      </c>
      <c r="Y6218" t="s">
        <v>20765</v>
      </c>
    </row>
    <row r="6219" spans="1:25">
      <c r="A6219" t="s">
        <v>20766</v>
      </c>
      <c r="B6219" t="s">
        <v>20767</v>
      </c>
      <c r="D6219" t="s">
        <v>40</v>
      </c>
      <c r="E6219" t="s">
        <v>41</v>
      </c>
      <c r="J6219" t="s">
        <v>182</v>
      </c>
      <c r="K6219" t="s">
        <v>183</v>
      </c>
      <c r="L6219">
        <v>10</v>
      </c>
      <c r="M6219" t="s">
        <v>20758</v>
      </c>
      <c r="N6219" t="s">
        <v>64</v>
      </c>
      <c r="O6219" t="s">
        <v>46</v>
      </c>
      <c r="P6219" t="s">
        <v>46</v>
      </c>
      <c r="Y6219" t="s">
        <v>20768</v>
      </c>
    </row>
    <row r="6220" spans="1:25">
      <c r="A6220" t="s">
        <v>20769</v>
      </c>
      <c r="B6220" t="s">
        <v>20770</v>
      </c>
      <c r="D6220" t="s">
        <v>40</v>
      </c>
      <c r="E6220" t="s">
        <v>41</v>
      </c>
      <c r="J6220" t="s">
        <v>68</v>
      </c>
      <c r="K6220" t="s">
        <v>69</v>
      </c>
      <c r="L6220">
        <v>10</v>
      </c>
      <c r="M6220" t="s">
        <v>20758</v>
      </c>
      <c r="N6220" t="s">
        <v>64</v>
      </c>
      <c r="O6220" t="s">
        <v>46</v>
      </c>
      <c r="P6220" t="s">
        <v>46</v>
      </c>
      <c r="Y6220" t="s">
        <v>20771</v>
      </c>
    </row>
    <row r="6221" spans="1:25">
      <c r="A6221" t="s">
        <v>20772</v>
      </c>
      <c r="B6221" t="s">
        <v>20773</v>
      </c>
      <c r="D6221" t="s">
        <v>40</v>
      </c>
      <c r="E6221" t="s">
        <v>41</v>
      </c>
      <c r="J6221" t="s">
        <v>68</v>
      </c>
      <c r="K6221" t="s">
        <v>69</v>
      </c>
      <c r="L6221">
        <v>10</v>
      </c>
      <c r="M6221" t="s">
        <v>20774</v>
      </c>
      <c r="N6221" t="s">
        <v>64</v>
      </c>
      <c r="O6221" t="s">
        <v>46</v>
      </c>
      <c r="P6221" t="s">
        <v>46</v>
      </c>
      <c r="Y6221" t="s">
        <v>20775</v>
      </c>
    </row>
    <row r="6222" spans="1:25">
      <c r="A6222" t="s">
        <v>20776</v>
      </c>
      <c r="B6222" t="s">
        <v>20777</v>
      </c>
      <c r="D6222" t="s">
        <v>40</v>
      </c>
      <c r="E6222" t="s">
        <v>41</v>
      </c>
      <c r="J6222" t="s">
        <v>182</v>
      </c>
      <c r="K6222" t="s">
        <v>183</v>
      </c>
      <c r="L6222">
        <v>10</v>
      </c>
      <c r="M6222" t="s">
        <v>20774</v>
      </c>
      <c r="N6222" t="s">
        <v>64</v>
      </c>
      <c r="O6222" t="s">
        <v>46</v>
      </c>
      <c r="P6222" t="s">
        <v>46</v>
      </c>
      <c r="Y6222" t="s">
        <v>20778</v>
      </c>
    </row>
    <row r="6223" spans="1:25">
      <c r="A6223" t="s">
        <v>20779</v>
      </c>
      <c r="B6223" t="s">
        <v>20780</v>
      </c>
      <c r="D6223" t="s">
        <v>40</v>
      </c>
      <c r="E6223" t="s">
        <v>41</v>
      </c>
      <c r="J6223" t="s">
        <v>76</v>
      </c>
      <c r="K6223" t="s">
        <v>77</v>
      </c>
      <c r="L6223">
        <v>10</v>
      </c>
      <c r="M6223" t="s">
        <v>20781</v>
      </c>
      <c r="N6223" t="s">
        <v>64</v>
      </c>
      <c r="O6223" t="s">
        <v>46</v>
      </c>
      <c r="P6223" t="s">
        <v>46</v>
      </c>
      <c r="Y6223" t="s">
        <v>20782</v>
      </c>
    </row>
    <row r="6224" spans="1:25">
      <c r="A6224" t="s">
        <v>20783</v>
      </c>
      <c r="B6224" t="s">
        <v>20784</v>
      </c>
      <c r="D6224" t="s">
        <v>40</v>
      </c>
      <c r="E6224" t="s">
        <v>41</v>
      </c>
      <c r="J6224" t="s">
        <v>182</v>
      </c>
      <c r="K6224" t="s">
        <v>183</v>
      </c>
      <c r="L6224">
        <v>10</v>
      </c>
      <c r="M6224" t="s">
        <v>20781</v>
      </c>
      <c r="N6224" t="s">
        <v>64</v>
      </c>
      <c r="O6224" t="s">
        <v>46</v>
      </c>
      <c r="P6224" t="s">
        <v>46</v>
      </c>
      <c r="Y6224" t="s">
        <v>20785</v>
      </c>
    </row>
    <row r="6225" spans="1:25">
      <c r="A6225" t="s">
        <v>20786</v>
      </c>
      <c r="B6225" t="s">
        <v>20787</v>
      </c>
      <c r="D6225" t="s">
        <v>40</v>
      </c>
      <c r="E6225" t="s">
        <v>41</v>
      </c>
      <c r="J6225" t="s">
        <v>68</v>
      </c>
      <c r="K6225" t="s">
        <v>69</v>
      </c>
      <c r="L6225">
        <v>10</v>
      </c>
      <c r="M6225" t="s">
        <v>20788</v>
      </c>
      <c r="N6225" t="s">
        <v>64</v>
      </c>
      <c r="O6225" t="s">
        <v>46</v>
      </c>
      <c r="P6225" t="s">
        <v>46</v>
      </c>
      <c r="Y6225" t="s">
        <v>20789</v>
      </c>
    </row>
    <row r="6226" spans="1:25">
      <c r="A6226" t="s">
        <v>20790</v>
      </c>
      <c r="B6226" t="s">
        <v>20791</v>
      </c>
      <c r="D6226" t="s">
        <v>40</v>
      </c>
      <c r="E6226" t="s">
        <v>41</v>
      </c>
      <c r="J6226" t="s">
        <v>76</v>
      </c>
      <c r="K6226" t="s">
        <v>77</v>
      </c>
      <c r="L6226">
        <v>10</v>
      </c>
      <c r="M6226" t="s">
        <v>20788</v>
      </c>
      <c r="N6226" t="s">
        <v>64</v>
      </c>
      <c r="O6226" t="s">
        <v>46</v>
      </c>
      <c r="P6226" t="s">
        <v>46</v>
      </c>
      <c r="Y6226" t="s">
        <v>20792</v>
      </c>
    </row>
    <row r="6227" spans="1:25">
      <c r="A6227" t="s">
        <v>20793</v>
      </c>
      <c r="B6227" t="s">
        <v>20794</v>
      </c>
      <c r="D6227" t="s">
        <v>40</v>
      </c>
      <c r="E6227" t="s">
        <v>41</v>
      </c>
      <c r="J6227" t="s">
        <v>182</v>
      </c>
      <c r="K6227" t="s">
        <v>183</v>
      </c>
      <c r="L6227">
        <v>10</v>
      </c>
      <c r="M6227" t="s">
        <v>20788</v>
      </c>
      <c r="N6227" t="s">
        <v>64</v>
      </c>
      <c r="O6227" t="s">
        <v>46</v>
      </c>
      <c r="P6227" t="s">
        <v>46</v>
      </c>
      <c r="Y6227" t="s">
        <v>20795</v>
      </c>
    </row>
    <row r="6228" spans="1:25">
      <c r="A6228" t="s">
        <v>20796</v>
      </c>
      <c r="B6228" t="s">
        <v>20797</v>
      </c>
      <c r="D6228" t="s">
        <v>40</v>
      </c>
      <c r="E6228" t="s">
        <v>41</v>
      </c>
      <c r="J6228" t="s">
        <v>182</v>
      </c>
      <c r="K6228" t="s">
        <v>183</v>
      </c>
      <c r="L6228">
        <v>10</v>
      </c>
      <c r="M6228" t="s">
        <v>20798</v>
      </c>
      <c r="N6228" t="s">
        <v>64</v>
      </c>
      <c r="O6228" t="s">
        <v>46</v>
      </c>
      <c r="P6228" t="s">
        <v>46</v>
      </c>
      <c r="Y6228" t="s">
        <v>20799</v>
      </c>
    </row>
    <row r="6229" spans="1:25">
      <c r="A6229" t="s">
        <v>20800</v>
      </c>
      <c r="B6229" t="s">
        <v>20801</v>
      </c>
      <c r="D6229" t="s">
        <v>40</v>
      </c>
      <c r="E6229" t="s">
        <v>41</v>
      </c>
      <c r="J6229" t="s">
        <v>68</v>
      </c>
      <c r="K6229" t="s">
        <v>69</v>
      </c>
      <c r="L6229">
        <v>10</v>
      </c>
      <c r="M6229" t="s">
        <v>20798</v>
      </c>
      <c r="N6229" t="s">
        <v>64</v>
      </c>
      <c r="O6229" t="s">
        <v>46</v>
      </c>
      <c r="P6229" t="s">
        <v>46</v>
      </c>
      <c r="Y6229" t="s">
        <v>20802</v>
      </c>
    </row>
    <row r="6230" spans="1:25">
      <c r="A6230" t="s">
        <v>20803</v>
      </c>
      <c r="B6230" t="s">
        <v>20804</v>
      </c>
      <c r="D6230" t="s">
        <v>40</v>
      </c>
      <c r="E6230" t="s">
        <v>41</v>
      </c>
      <c r="J6230" t="s">
        <v>76</v>
      </c>
      <c r="K6230" t="s">
        <v>77</v>
      </c>
      <c r="L6230">
        <v>10</v>
      </c>
      <c r="M6230" t="s">
        <v>20798</v>
      </c>
      <c r="N6230" t="s">
        <v>64</v>
      </c>
      <c r="O6230" t="s">
        <v>46</v>
      </c>
      <c r="P6230" t="s">
        <v>46</v>
      </c>
      <c r="Y6230" t="s">
        <v>20805</v>
      </c>
    </row>
    <row r="6231" spans="1:25">
      <c r="A6231" t="s">
        <v>20806</v>
      </c>
      <c r="B6231" t="s">
        <v>20807</v>
      </c>
      <c r="D6231" t="s">
        <v>40</v>
      </c>
      <c r="E6231" t="s">
        <v>41</v>
      </c>
      <c r="J6231" t="s">
        <v>68</v>
      </c>
      <c r="K6231" t="s">
        <v>69</v>
      </c>
      <c r="L6231">
        <v>10</v>
      </c>
      <c r="M6231" t="s">
        <v>20798</v>
      </c>
      <c r="N6231" t="s">
        <v>64</v>
      </c>
      <c r="O6231" t="s">
        <v>46</v>
      </c>
      <c r="P6231" t="s">
        <v>46</v>
      </c>
      <c r="Y6231" t="s">
        <v>20808</v>
      </c>
    </row>
    <row r="6232" spans="1:25">
      <c r="A6232" t="s">
        <v>20809</v>
      </c>
      <c r="B6232" t="s">
        <v>20810</v>
      </c>
      <c r="D6232" t="s">
        <v>40</v>
      </c>
      <c r="E6232" t="s">
        <v>41</v>
      </c>
      <c r="J6232" t="s">
        <v>68</v>
      </c>
      <c r="K6232" t="s">
        <v>69</v>
      </c>
      <c r="L6232">
        <v>10</v>
      </c>
      <c r="M6232" t="s">
        <v>20811</v>
      </c>
      <c r="N6232" t="s">
        <v>64</v>
      </c>
      <c r="O6232" t="s">
        <v>46</v>
      </c>
      <c r="P6232" t="s">
        <v>46</v>
      </c>
      <c r="Y6232" t="s">
        <v>20812</v>
      </c>
    </row>
    <row r="6233" spans="1:25">
      <c r="A6233" t="s">
        <v>20813</v>
      </c>
      <c r="B6233" t="s">
        <v>20814</v>
      </c>
      <c r="D6233" t="s">
        <v>40</v>
      </c>
      <c r="E6233" t="s">
        <v>41</v>
      </c>
      <c r="J6233" t="s">
        <v>182</v>
      </c>
      <c r="K6233" t="s">
        <v>183</v>
      </c>
      <c r="L6233">
        <v>10</v>
      </c>
      <c r="M6233" t="s">
        <v>20811</v>
      </c>
      <c r="N6233" t="s">
        <v>64</v>
      </c>
      <c r="O6233" t="s">
        <v>46</v>
      </c>
      <c r="P6233" t="s">
        <v>46</v>
      </c>
      <c r="Y6233" t="s">
        <v>20815</v>
      </c>
    </row>
    <row r="6234" spans="1:25">
      <c r="A6234" t="s">
        <v>20816</v>
      </c>
      <c r="B6234" t="s">
        <v>20817</v>
      </c>
      <c r="D6234" t="s">
        <v>40</v>
      </c>
      <c r="E6234" t="s">
        <v>41</v>
      </c>
      <c r="J6234" t="s">
        <v>182</v>
      </c>
      <c r="K6234" t="s">
        <v>183</v>
      </c>
      <c r="L6234">
        <v>10</v>
      </c>
      <c r="M6234" t="s">
        <v>20818</v>
      </c>
      <c r="N6234" t="s">
        <v>64</v>
      </c>
      <c r="O6234" t="s">
        <v>46</v>
      </c>
      <c r="P6234" t="s">
        <v>46</v>
      </c>
      <c r="Y6234" t="s">
        <v>20819</v>
      </c>
    </row>
    <row r="6235" spans="1:25">
      <c r="A6235" t="s">
        <v>20820</v>
      </c>
      <c r="B6235" t="s">
        <v>20821</v>
      </c>
      <c r="D6235" t="s">
        <v>40</v>
      </c>
      <c r="E6235" t="s">
        <v>41</v>
      </c>
      <c r="J6235" t="s">
        <v>182</v>
      </c>
      <c r="K6235" t="s">
        <v>183</v>
      </c>
      <c r="L6235">
        <v>10</v>
      </c>
      <c r="M6235" t="s">
        <v>20818</v>
      </c>
      <c r="N6235" t="s">
        <v>64</v>
      </c>
      <c r="O6235" t="s">
        <v>46</v>
      </c>
      <c r="P6235" t="s">
        <v>46</v>
      </c>
      <c r="Y6235" t="s">
        <v>20822</v>
      </c>
    </row>
    <row r="6236" spans="1:25">
      <c r="A6236" t="s">
        <v>20823</v>
      </c>
      <c r="B6236" t="s">
        <v>20824</v>
      </c>
      <c r="D6236" t="s">
        <v>40</v>
      </c>
      <c r="E6236" t="s">
        <v>41</v>
      </c>
      <c r="J6236" t="s">
        <v>68</v>
      </c>
      <c r="K6236" t="s">
        <v>69</v>
      </c>
      <c r="L6236">
        <v>10</v>
      </c>
      <c r="M6236" t="s">
        <v>20818</v>
      </c>
      <c r="N6236" t="s">
        <v>64</v>
      </c>
      <c r="O6236" t="s">
        <v>46</v>
      </c>
      <c r="P6236" t="s">
        <v>46</v>
      </c>
      <c r="Y6236" t="s">
        <v>20825</v>
      </c>
    </row>
    <row r="6237" spans="1:25">
      <c r="A6237" t="s">
        <v>20826</v>
      </c>
      <c r="B6237" t="s">
        <v>20827</v>
      </c>
      <c r="D6237" t="s">
        <v>40</v>
      </c>
      <c r="E6237" t="s">
        <v>41</v>
      </c>
      <c r="J6237" t="s">
        <v>68</v>
      </c>
      <c r="K6237" t="s">
        <v>69</v>
      </c>
      <c r="L6237">
        <v>10</v>
      </c>
      <c r="M6237" t="s">
        <v>20818</v>
      </c>
      <c r="N6237" t="s">
        <v>64</v>
      </c>
      <c r="O6237" t="s">
        <v>46</v>
      </c>
      <c r="P6237" t="s">
        <v>46</v>
      </c>
      <c r="Y6237" t="s">
        <v>20828</v>
      </c>
    </row>
    <row r="6238" spans="1:25">
      <c r="A6238" t="s">
        <v>20829</v>
      </c>
      <c r="B6238" t="s">
        <v>20830</v>
      </c>
      <c r="D6238" t="s">
        <v>40</v>
      </c>
      <c r="E6238" t="s">
        <v>41</v>
      </c>
      <c r="J6238" t="s">
        <v>68</v>
      </c>
      <c r="K6238" t="s">
        <v>69</v>
      </c>
      <c r="L6238">
        <v>10</v>
      </c>
      <c r="M6238" t="s">
        <v>20818</v>
      </c>
      <c r="N6238" t="s">
        <v>64</v>
      </c>
      <c r="O6238" t="s">
        <v>46</v>
      </c>
      <c r="P6238" t="s">
        <v>46</v>
      </c>
      <c r="Y6238" t="s">
        <v>20831</v>
      </c>
    </row>
    <row r="6239" spans="1:25">
      <c r="A6239" t="s">
        <v>20832</v>
      </c>
      <c r="B6239" t="s">
        <v>20833</v>
      </c>
      <c r="D6239" t="s">
        <v>40</v>
      </c>
      <c r="E6239" t="s">
        <v>41</v>
      </c>
      <c r="J6239" t="s">
        <v>68</v>
      </c>
      <c r="K6239" t="s">
        <v>69</v>
      </c>
      <c r="L6239">
        <v>10</v>
      </c>
      <c r="M6239" t="s">
        <v>20818</v>
      </c>
      <c r="N6239" t="s">
        <v>64</v>
      </c>
      <c r="O6239" t="s">
        <v>46</v>
      </c>
      <c r="P6239" t="s">
        <v>46</v>
      </c>
      <c r="Y6239" t="s">
        <v>20834</v>
      </c>
    </row>
    <row r="6240" spans="1:25">
      <c r="A6240" t="s">
        <v>20835</v>
      </c>
      <c r="B6240" t="s">
        <v>20836</v>
      </c>
      <c r="D6240" t="s">
        <v>40</v>
      </c>
      <c r="E6240" t="s">
        <v>41</v>
      </c>
      <c r="J6240" t="s">
        <v>68</v>
      </c>
      <c r="K6240" t="s">
        <v>69</v>
      </c>
      <c r="L6240">
        <v>10</v>
      </c>
      <c r="M6240" t="s">
        <v>20818</v>
      </c>
      <c r="N6240" t="s">
        <v>64</v>
      </c>
      <c r="O6240" t="s">
        <v>46</v>
      </c>
      <c r="P6240" t="s">
        <v>46</v>
      </c>
      <c r="Y6240" t="s">
        <v>20837</v>
      </c>
    </row>
    <row r="6241" spans="1:25">
      <c r="A6241" t="s">
        <v>20838</v>
      </c>
      <c r="B6241" t="s">
        <v>20839</v>
      </c>
      <c r="D6241" t="s">
        <v>40</v>
      </c>
      <c r="E6241" t="s">
        <v>41</v>
      </c>
      <c r="J6241" t="s">
        <v>76</v>
      </c>
      <c r="K6241" t="s">
        <v>77</v>
      </c>
      <c r="L6241">
        <v>10</v>
      </c>
      <c r="M6241" t="s">
        <v>20818</v>
      </c>
      <c r="N6241" t="s">
        <v>64</v>
      </c>
      <c r="O6241" t="s">
        <v>46</v>
      </c>
      <c r="P6241" t="s">
        <v>46</v>
      </c>
      <c r="Y6241" t="s">
        <v>20840</v>
      </c>
    </row>
    <row r="6242" spans="1:25">
      <c r="A6242" t="s">
        <v>20841</v>
      </c>
      <c r="B6242" t="s">
        <v>20842</v>
      </c>
      <c r="D6242" t="s">
        <v>40</v>
      </c>
      <c r="E6242" t="s">
        <v>41</v>
      </c>
      <c r="J6242" t="s">
        <v>76</v>
      </c>
      <c r="K6242" t="s">
        <v>77</v>
      </c>
      <c r="L6242">
        <v>10</v>
      </c>
      <c r="M6242" t="s">
        <v>20818</v>
      </c>
      <c r="N6242" t="s">
        <v>64</v>
      </c>
      <c r="O6242" t="s">
        <v>46</v>
      </c>
      <c r="P6242" t="s">
        <v>46</v>
      </c>
      <c r="Y6242" t="s">
        <v>20843</v>
      </c>
    </row>
    <row r="6243" spans="1:25">
      <c r="A6243" t="s">
        <v>20844</v>
      </c>
      <c r="B6243" t="s">
        <v>20845</v>
      </c>
      <c r="D6243" t="s">
        <v>40</v>
      </c>
      <c r="E6243" t="s">
        <v>41</v>
      </c>
      <c r="J6243" t="s">
        <v>68</v>
      </c>
      <c r="K6243" t="s">
        <v>69</v>
      </c>
      <c r="L6243">
        <v>10</v>
      </c>
      <c r="M6243" t="s">
        <v>20846</v>
      </c>
      <c r="N6243" t="s">
        <v>64</v>
      </c>
      <c r="O6243" t="s">
        <v>46</v>
      </c>
      <c r="P6243" t="s">
        <v>46</v>
      </c>
      <c r="Y6243" t="s">
        <v>20847</v>
      </c>
    </row>
    <row r="6244" spans="1:25">
      <c r="A6244" t="s">
        <v>20848</v>
      </c>
      <c r="B6244" t="s">
        <v>20849</v>
      </c>
      <c r="D6244" t="s">
        <v>40</v>
      </c>
      <c r="E6244" t="s">
        <v>41</v>
      </c>
      <c r="J6244" t="s">
        <v>68</v>
      </c>
      <c r="K6244" t="s">
        <v>69</v>
      </c>
      <c r="L6244">
        <v>10</v>
      </c>
      <c r="M6244" t="s">
        <v>20846</v>
      </c>
      <c r="N6244" t="s">
        <v>64</v>
      </c>
      <c r="O6244" t="s">
        <v>46</v>
      </c>
      <c r="P6244" t="s">
        <v>46</v>
      </c>
      <c r="Y6244" t="s">
        <v>20850</v>
      </c>
    </row>
    <row r="6245" spans="1:25">
      <c r="A6245" t="s">
        <v>20851</v>
      </c>
      <c r="B6245" t="s">
        <v>20852</v>
      </c>
      <c r="D6245" t="s">
        <v>40</v>
      </c>
      <c r="E6245" t="s">
        <v>41</v>
      </c>
      <c r="J6245" t="s">
        <v>182</v>
      </c>
      <c r="K6245" t="s">
        <v>183</v>
      </c>
      <c r="L6245">
        <v>10</v>
      </c>
      <c r="M6245" t="s">
        <v>20846</v>
      </c>
      <c r="N6245" t="s">
        <v>64</v>
      </c>
      <c r="O6245" t="s">
        <v>46</v>
      </c>
      <c r="P6245" t="s">
        <v>46</v>
      </c>
      <c r="Y6245" t="s">
        <v>20853</v>
      </c>
    </row>
    <row r="6246" spans="1:25">
      <c r="A6246" t="s">
        <v>20854</v>
      </c>
      <c r="B6246" t="s">
        <v>20855</v>
      </c>
      <c r="D6246" t="s">
        <v>40</v>
      </c>
      <c r="E6246" t="s">
        <v>41</v>
      </c>
      <c r="J6246" t="s">
        <v>68</v>
      </c>
      <c r="K6246" t="s">
        <v>69</v>
      </c>
      <c r="L6246">
        <v>10</v>
      </c>
      <c r="M6246" t="s">
        <v>20846</v>
      </c>
      <c r="N6246" t="s">
        <v>64</v>
      </c>
      <c r="O6246" t="s">
        <v>46</v>
      </c>
      <c r="P6246" t="s">
        <v>46</v>
      </c>
      <c r="Y6246" t="s">
        <v>20856</v>
      </c>
    </row>
    <row r="6247" spans="1:25">
      <c r="A6247" t="s">
        <v>20857</v>
      </c>
      <c r="B6247" t="s">
        <v>20858</v>
      </c>
      <c r="D6247" t="s">
        <v>40</v>
      </c>
      <c r="E6247" t="s">
        <v>41</v>
      </c>
      <c r="J6247" t="s">
        <v>76</v>
      </c>
      <c r="K6247" t="s">
        <v>77</v>
      </c>
      <c r="L6247">
        <v>10</v>
      </c>
      <c r="M6247" t="s">
        <v>20846</v>
      </c>
      <c r="N6247" t="s">
        <v>64</v>
      </c>
      <c r="O6247" t="s">
        <v>46</v>
      </c>
      <c r="P6247" t="s">
        <v>46</v>
      </c>
      <c r="Y6247" t="s">
        <v>20859</v>
      </c>
    </row>
    <row r="6248" spans="1:25">
      <c r="A6248" t="s">
        <v>20860</v>
      </c>
      <c r="B6248" t="s">
        <v>20861</v>
      </c>
      <c r="D6248" t="s">
        <v>40</v>
      </c>
      <c r="E6248" t="s">
        <v>41</v>
      </c>
      <c r="J6248" t="s">
        <v>68</v>
      </c>
      <c r="K6248" t="s">
        <v>69</v>
      </c>
      <c r="L6248">
        <v>10</v>
      </c>
      <c r="M6248" t="s">
        <v>20846</v>
      </c>
      <c r="N6248" t="s">
        <v>64</v>
      </c>
      <c r="O6248" t="s">
        <v>46</v>
      </c>
      <c r="P6248" t="s">
        <v>46</v>
      </c>
      <c r="Y6248" t="s">
        <v>20862</v>
      </c>
    </row>
    <row r="6249" spans="1:25">
      <c r="A6249" t="s">
        <v>20863</v>
      </c>
      <c r="B6249" t="s">
        <v>20864</v>
      </c>
      <c r="D6249" t="s">
        <v>40</v>
      </c>
      <c r="E6249" t="s">
        <v>41</v>
      </c>
      <c r="J6249" t="s">
        <v>68</v>
      </c>
      <c r="K6249" t="s">
        <v>69</v>
      </c>
      <c r="L6249">
        <v>10</v>
      </c>
      <c r="M6249" t="s">
        <v>20846</v>
      </c>
      <c r="N6249" t="s">
        <v>64</v>
      </c>
      <c r="O6249" t="s">
        <v>46</v>
      </c>
      <c r="P6249" t="s">
        <v>46</v>
      </c>
      <c r="Y6249" t="s">
        <v>20865</v>
      </c>
    </row>
    <row r="6250" spans="1:25">
      <c r="A6250" t="s">
        <v>20866</v>
      </c>
      <c r="B6250" t="s">
        <v>20867</v>
      </c>
      <c r="D6250" t="s">
        <v>40</v>
      </c>
      <c r="E6250" t="s">
        <v>41</v>
      </c>
      <c r="J6250" t="s">
        <v>68</v>
      </c>
      <c r="K6250" t="s">
        <v>69</v>
      </c>
      <c r="L6250">
        <v>10</v>
      </c>
      <c r="M6250" t="s">
        <v>20846</v>
      </c>
      <c r="N6250" t="s">
        <v>64</v>
      </c>
      <c r="O6250" t="s">
        <v>46</v>
      </c>
      <c r="P6250" t="s">
        <v>46</v>
      </c>
      <c r="Y6250" t="s">
        <v>20868</v>
      </c>
    </row>
    <row r="6251" spans="1:25">
      <c r="A6251" t="s">
        <v>20869</v>
      </c>
      <c r="B6251" t="s">
        <v>20870</v>
      </c>
      <c r="D6251" t="s">
        <v>40</v>
      </c>
      <c r="E6251" t="s">
        <v>41</v>
      </c>
      <c r="J6251" t="s">
        <v>264</v>
      </c>
      <c r="K6251" t="s">
        <v>265</v>
      </c>
      <c r="L6251">
        <v>10</v>
      </c>
      <c r="M6251" t="s">
        <v>20871</v>
      </c>
      <c r="N6251" t="s">
        <v>1189</v>
      </c>
      <c r="O6251" t="s">
        <v>46</v>
      </c>
      <c r="P6251" t="s">
        <v>46</v>
      </c>
      <c r="Y6251" t="s">
        <v>20872</v>
      </c>
    </row>
    <row r="6252" spans="1:25">
      <c r="A6252" t="s">
        <v>20873</v>
      </c>
      <c r="B6252" t="s">
        <v>20874</v>
      </c>
      <c r="D6252" t="s">
        <v>40</v>
      </c>
      <c r="E6252" t="s">
        <v>41</v>
      </c>
      <c r="J6252" t="s">
        <v>182</v>
      </c>
      <c r="K6252" t="s">
        <v>183</v>
      </c>
      <c r="L6252">
        <v>10</v>
      </c>
      <c r="M6252" t="s">
        <v>20871</v>
      </c>
      <c r="N6252" t="s">
        <v>64</v>
      </c>
      <c r="O6252" t="s">
        <v>46</v>
      </c>
      <c r="P6252" t="s">
        <v>46</v>
      </c>
      <c r="Y6252" t="s">
        <v>20875</v>
      </c>
    </row>
    <row r="6253" spans="1:25">
      <c r="A6253" t="s">
        <v>20876</v>
      </c>
      <c r="B6253" t="s">
        <v>20877</v>
      </c>
      <c r="D6253" t="s">
        <v>40</v>
      </c>
      <c r="E6253" t="s">
        <v>41</v>
      </c>
      <c r="J6253" t="s">
        <v>182</v>
      </c>
      <c r="K6253" t="s">
        <v>183</v>
      </c>
      <c r="L6253">
        <v>10</v>
      </c>
      <c r="M6253" t="s">
        <v>20871</v>
      </c>
      <c r="N6253" t="s">
        <v>64</v>
      </c>
      <c r="O6253" t="s">
        <v>46</v>
      </c>
      <c r="P6253" t="s">
        <v>46</v>
      </c>
      <c r="Y6253" t="s">
        <v>20878</v>
      </c>
    </row>
    <row r="6254" spans="1:25">
      <c r="A6254" t="s">
        <v>20879</v>
      </c>
      <c r="B6254" t="s">
        <v>20880</v>
      </c>
      <c r="D6254" t="s">
        <v>40</v>
      </c>
      <c r="E6254" t="s">
        <v>41</v>
      </c>
      <c r="J6254" t="s">
        <v>182</v>
      </c>
      <c r="K6254" t="s">
        <v>183</v>
      </c>
      <c r="L6254">
        <v>10</v>
      </c>
      <c r="M6254" t="s">
        <v>20871</v>
      </c>
      <c r="N6254" t="s">
        <v>64</v>
      </c>
      <c r="O6254" t="s">
        <v>46</v>
      </c>
      <c r="P6254" t="s">
        <v>46</v>
      </c>
      <c r="Y6254" t="s">
        <v>20881</v>
      </c>
    </row>
    <row r="6255" spans="1:25">
      <c r="A6255" t="s">
        <v>20882</v>
      </c>
      <c r="B6255" t="s">
        <v>20883</v>
      </c>
      <c r="D6255" t="s">
        <v>40</v>
      </c>
      <c r="E6255" t="s">
        <v>41</v>
      </c>
      <c r="J6255" t="s">
        <v>68</v>
      </c>
      <c r="K6255" t="s">
        <v>69</v>
      </c>
      <c r="L6255">
        <v>10</v>
      </c>
      <c r="M6255" t="s">
        <v>20871</v>
      </c>
      <c r="N6255" t="s">
        <v>64</v>
      </c>
      <c r="O6255" t="s">
        <v>46</v>
      </c>
      <c r="P6255" t="s">
        <v>46</v>
      </c>
      <c r="Y6255" t="s">
        <v>20884</v>
      </c>
    </row>
    <row r="6256" spans="1:25">
      <c r="A6256" t="s">
        <v>20885</v>
      </c>
      <c r="B6256" t="s">
        <v>20886</v>
      </c>
      <c r="D6256" t="s">
        <v>40</v>
      </c>
      <c r="E6256" t="s">
        <v>41</v>
      </c>
      <c r="J6256" t="s">
        <v>68</v>
      </c>
      <c r="K6256" t="s">
        <v>69</v>
      </c>
      <c r="L6256">
        <v>10</v>
      </c>
      <c r="M6256" t="s">
        <v>20887</v>
      </c>
      <c r="N6256" t="s">
        <v>64</v>
      </c>
      <c r="O6256" t="s">
        <v>46</v>
      </c>
      <c r="P6256" t="s">
        <v>46</v>
      </c>
      <c r="Y6256" t="s">
        <v>20888</v>
      </c>
    </row>
    <row r="6257" spans="1:25">
      <c r="A6257" t="s">
        <v>20889</v>
      </c>
      <c r="B6257" t="s">
        <v>20890</v>
      </c>
      <c r="D6257" t="s">
        <v>40</v>
      </c>
      <c r="E6257" t="s">
        <v>41</v>
      </c>
      <c r="J6257" t="s">
        <v>42</v>
      </c>
      <c r="K6257" t="s">
        <v>43</v>
      </c>
      <c r="L6257">
        <v>10</v>
      </c>
      <c r="M6257" t="s">
        <v>20891</v>
      </c>
      <c r="N6257" t="s">
        <v>210</v>
      </c>
      <c r="O6257" t="s">
        <v>46</v>
      </c>
      <c r="P6257" t="s">
        <v>46</v>
      </c>
      <c r="Y6257" t="s">
        <v>20892</v>
      </c>
    </row>
    <row r="6258" spans="1:25">
      <c r="A6258" t="s">
        <v>20893</v>
      </c>
      <c r="B6258" t="s">
        <v>20894</v>
      </c>
      <c r="D6258" t="s">
        <v>40</v>
      </c>
      <c r="E6258" t="s">
        <v>41</v>
      </c>
      <c r="J6258" t="s">
        <v>76</v>
      </c>
      <c r="K6258" t="s">
        <v>77</v>
      </c>
      <c r="L6258">
        <v>10</v>
      </c>
      <c r="M6258" t="s">
        <v>20891</v>
      </c>
      <c r="N6258" t="s">
        <v>64</v>
      </c>
      <c r="O6258" t="s">
        <v>46</v>
      </c>
      <c r="P6258" t="s">
        <v>46</v>
      </c>
      <c r="Y6258" t="s">
        <v>20895</v>
      </c>
    </row>
    <row r="6259" spans="1:25">
      <c r="A6259" t="s">
        <v>20896</v>
      </c>
      <c r="B6259" t="s">
        <v>20897</v>
      </c>
      <c r="D6259" t="s">
        <v>40</v>
      </c>
      <c r="E6259" t="s">
        <v>41</v>
      </c>
      <c r="J6259" t="s">
        <v>76</v>
      </c>
      <c r="K6259" t="s">
        <v>77</v>
      </c>
      <c r="L6259">
        <v>10</v>
      </c>
      <c r="M6259" t="s">
        <v>20891</v>
      </c>
      <c r="N6259" t="s">
        <v>64</v>
      </c>
      <c r="O6259" t="s">
        <v>46</v>
      </c>
      <c r="P6259" t="s">
        <v>46</v>
      </c>
      <c r="Y6259" t="s">
        <v>20898</v>
      </c>
    </row>
    <row r="6260" spans="1:25">
      <c r="A6260" t="s">
        <v>20899</v>
      </c>
      <c r="B6260" t="s">
        <v>20900</v>
      </c>
      <c r="D6260" t="s">
        <v>40</v>
      </c>
      <c r="E6260" t="s">
        <v>41</v>
      </c>
      <c r="J6260" t="s">
        <v>182</v>
      </c>
      <c r="K6260" t="s">
        <v>183</v>
      </c>
      <c r="L6260">
        <v>10</v>
      </c>
      <c r="M6260" t="s">
        <v>20891</v>
      </c>
      <c r="N6260" t="s">
        <v>64</v>
      </c>
      <c r="O6260" t="s">
        <v>46</v>
      </c>
      <c r="P6260" t="s">
        <v>46</v>
      </c>
      <c r="Y6260" t="s">
        <v>20901</v>
      </c>
    </row>
    <row r="6261" spans="1:25">
      <c r="A6261" t="s">
        <v>20902</v>
      </c>
      <c r="B6261" t="s">
        <v>20903</v>
      </c>
      <c r="D6261" t="s">
        <v>40</v>
      </c>
      <c r="E6261" t="s">
        <v>41</v>
      </c>
      <c r="J6261" t="s">
        <v>68</v>
      </c>
      <c r="K6261" t="s">
        <v>69</v>
      </c>
      <c r="L6261">
        <v>10</v>
      </c>
      <c r="M6261" t="s">
        <v>20904</v>
      </c>
      <c r="N6261" t="s">
        <v>64</v>
      </c>
      <c r="O6261" t="s">
        <v>46</v>
      </c>
      <c r="P6261" t="s">
        <v>46</v>
      </c>
      <c r="Y6261" t="s">
        <v>20905</v>
      </c>
    </row>
    <row r="6262" spans="1:25">
      <c r="A6262" t="s">
        <v>20906</v>
      </c>
      <c r="B6262" t="s">
        <v>20907</v>
      </c>
      <c r="D6262" t="s">
        <v>40</v>
      </c>
      <c r="E6262" t="s">
        <v>41</v>
      </c>
      <c r="J6262" t="s">
        <v>182</v>
      </c>
      <c r="K6262" t="s">
        <v>183</v>
      </c>
      <c r="L6262">
        <v>10</v>
      </c>
      <c r="M6262" t="s">
        <v>20904</v>
      </c>
      <c r="N6262" t="s">
        <v>64</v>
      </c>
      <c r="O6262" t="s">
        <v>46</v>
      </c>
      <c r="P6262" t="s">
        <v>46</v>
      </c>
      <c r="Y6262" t="s">
        <v>20908</v>
      </c>
    </row>
    <row r="6263" spans="1:25">
      <c r="A6263" t="s">
        <v>20909</v>
      </c>
      <c r="B6263" t="s">
        <v>20910</v>
      </c>
      <c r="D6263" t="s">
        <v>40</v>
      </c>
      <c r="E6263" t="s">
        <v>41</v>
      </c>
      <c r="J6263" t="s">
        <v>68</v>
      </c>
      <c r="K6263" t="s">
        <v>69</v>
      </c>
      <c r="L6263">
        <v>10</v>
      </c>
      <c r="M6263" t="s">
        <v>20904</v>
      </c>
      <c r="N6263" t="s">
        <v>64</v>
      </c>
      <c r="O6263" t="s">
        <v>46</v>
      </c>
      <c r="P6263" t="s">
        <v>46</v>
      </c>
      <c r="Y6263" t="s">
        <v>20911</v>
      </c>
    </row>
    <row r="6264" spans="1:25">
      <c r="A6264" t="s">
        <v>20912</v>
      </c>
      <c r="B6264" t="s">
        <v>20913</v>
      </c>
      <c r="D6264" t="s">
        <v>40</v>
      </c>
      <c r="E6264" t="s">
        <v>41</v>
      </c>
      <c r="J6264" t="s">
        <v>68</v>
      </c>
      <c r="K6264" t="s">
        <v>69</v>
      </c>
      <c r="L6264">
        <v>10</v>
      </c>
      <c r="M6264" t="s">
        <v>20914</v>
      </c>
      <c r="N6264" t="s">
        <v>64</v>
      </c>
      <c r="O6264" t="s">
        <v>46</v>
      </c>
      <c r="P6264" t="s">
        <v>46</v>
      </c>
      <c r="Y6264" t="s">
        <v>20915</v>
      </c>
    </row>
    <row r="6265" spans="1:25">
      <c r="A6265" t="s">
        <v>20916</v>
      </c>
      <c r="B6265" t="s">
        <v>20917</v>
      </c>
      <c r="D6265" t="s">
        <v>40</v>
      </c>
      <c r="E6265" t="s">
        <v>41</v>
      </c>
      <c r="J6265" t="s">
        <v>68</v>
      </c>
      <c r="K6265" t="s">
        <v>69</v>
      </c>
      <c r="L6265">
        <v>10</v>
      </c>
      <c r="M6265" t="s">
        <v>20914</v>
      </c>
      <c r="N6265" t="s">
        <v>64</v>
      </c>
      <c r="O6265" t="s">
        <v>46</v>
      </c>
      <c r="P6265" t="s">
        <v>46</v>
      </c>
      <c r="Y6265" t="s">
        <v>20918</v>
      </c>
    </row>
    <row r="6266" spans="1:25">
      <c r="A6266" t="s">
        <v>20919</v>
      </c>
      <c r="B6266" t="s">
        <v>20920</v>
      </c>
      <c r="D6266" t="s">
        <v>40</v>
      </c>
      <c r="E6266" t="s">
        <v>41</v>
      </c>
      <c r="J6266" t="s">
        <v>68</v>
      </c>
      <c r="K6266" t="s">
        <v>69</v>
      </c>
      <c r="L6266">
        <v>10</v>
      </c>
      <c r="M6266" t="s">
        <v>20914</v>
      </c>
      <c r="N6266" t="s">
        <v>64</v>
      </c>
      <c r="O6266" t="s">
        <v>46</v>
      </c>
      <c r="P6266" t="s">
        <v>46</v>
      </c>
      <c r="Y6266" t="s">
        <v>20921</v>
      </c>
    </row>
    <row r="6267" spans="1:25">
      <c r="A6267" t="s">
        <v>20922</v>
      </c>
      <c r="B6267" t="s">
        <v>20923</v>
      </c>
      <c r="D6267" t="s">
        <v>40</v>
      </c>
      <c r="E6267" t="s">
        <v>41</v>
      </c>
      <c r="J6267" t="s">
        <v>182</v>
      </c>
      <c r="K6267" t="s">
        <v>183</v>
      </c>
      <c r="L6267">
        <v>10</v>
      </c>
      <c r="M6267" t="s">
        <v>20914</v>
      </c>
      <c r="N6267" t="s">
        <v>64</v>
      </c>
      <c r="O6267" t="s">
        <v>46</v>
      </c>
      <c r="P6267" t="s">
        <v>46</v>
      </c>
      <c r="Y6267" t="s">
        <v>20924</v>
      </c>
    </row>
    <row r="6268" spans="1:25">
      <c r="A6268" t="s">
        <v>20925</v>
      </c>
      <c r="B6268" t="s">
        <v>20926</v>
      </c>
      <c r="D6268" t="s">
        <v>40</v>
      </c>
      <c r="E6268" t="s">
        <v>41</v>
      </c>
      <c r="J6268" t="s">
        <v>182</v>
      </c>
      <c r="K6268" t="s">
        <v>183</v>
      </c>
      <c r="L6268">
        <v>10</v>
      </c>
      <c r="M6268" t="s">
        <v>20927</v>
      </c>
      <c r="N6268" t="s">
        <v>64</v>
      </c>
      <c r="O6268" t="s">
        <v>46</v>
      </c>
      <c r="P6268" t="s">
        <v>46</v>
      </c>
      <c r="Y6268" t="s">
        <v>20928</v>
      </c>
    </row>
    <row r="6269" spans="1:25">
      <c r="A6269" t="s">
        <v>20929</v>
      </c>
      <c r="B6269" t="s">
        <v>20930</v>
      </c>
      <c r="D6269" t="s">
        <v>40</v>
      </c>
      <c r="E6269" t="s">
        <v>41</v>
      </c>
      <c r="J6269" t="s">
        <v>68</v>
      </c>
      <c r="K6269" t="s">
        <v>69</v>
      </c>
      <c r="L6269">
        <v>10</v>
      </c>
      <c r="M6269" t="s">
        <v>20927</v>
      </c>
      <c r="N6269" t="s">
        <v>64</v>
      </c>
      <c r="O6269" t="s">
        <v>46</v>
      </c>
      <c r="P6269" t="s">
        <v>46</v>
      </c>
      <c r="Y6269" t="s">
        <v>20931</v>
      </c>
    </row>
    <row r="6270" spans="1:25">
      <c r="A6270" t="s">
        <v>20932</v>
      </c>
      <c r="B6270" t="s">
        <v>20933</v>
      </c>
      <c r="D6270" t="s">
        <v>40</v>
      </c>
      <c r="E6270" t="s">
        <v>41</v>
      </c>
      <c r="J6270" t="s">
        <v>42</v>
      </c>
      <c r="K6270" t="s">
        <v>43</v>
      </c>
      <c r="L6270">
        <v>10</v>
      </c>
      <c r="M6270" t="s">
        <v>20927</v>
      </c>
      <c r="N6270" t="s">
        <v>1276</v>
      </c>
      <c r="O6270" t="s">
        <v>46</v>
      </c>
      <c r="P6270" t="s">
        <v>46</v>
      </c>
      <c r="Y6270" t="s">
        <v>20934</v>
      </c>
    </row>
    <row r="6271" spans="1:25">
      <c r="A6271" t="s">
        <v>20935</v>
      </c>
      <c r="B6271" t="s">
        <v>20936</v>
      </c>
      <c r="D6271" t="s">
        <v>40</v>
      </c>
      <c r="E6271" t="s">
        <v>41</v>
      </c>
      <c r="J6271" t="s">
        <v>68</v>
      </c>
      <c r="K6271" t="s">
        <v>69</v>
      </c>
      <c r="L6271">
        <v>10</v>
      </c>
      <c r="M6271" t="s">
        <v>20927</v>
      </c>
      <c r="N6271" t="s">
        <v>64</v>
      </c>
      <c r="O6271" t="s">
        <v>46</v>
      </c>
      <c r="P6271" t="s">
        <v>46</v>
      </c>
      <c r="Y6271" t="s">
        <v>20937</v>
      </c>
    </row>
    <row r="6272" spans="1:25">
      <c r="A6272" t="s">
        <v>20938</v>
      </c>
      <c r="B6272" t="s">
        <v>20939</v>
      </c>
      <c r="D6272" t="s">
        <v>40</v>
      </c>
      <c r="E6272" t="s">
        <v>41</v>
      </c>
      <c r="J6272" t="s">
        <v>182</v>
      </c>
      <c r="K6272" t="s">
        <v>183</v>
      </c>
      <c r="L6272">
        <v>10</v>
      </c>
      <c r="M6272" t="s">
        <v>20940</v>
      </c>
      <c r="N6272" t="s">
        <v>64</v>
      </c>
      <c r="O6272" t="s">
        <v>46</v>
      </c>
      <c r="P6272" t="s">
        <v>46</v>
      </c>
      <c r="Y6272" t="s">
        <v>20941</v>
      </c>
    </row>
    <row r="6273" spans="1:25">
      <c r="A6273" t="s">
        <v>20942</v>
      </c>
      <c r="B6273" t="s">
        <v>20943</v>
      </c>
      <c r="D6273" t="s">
        <v>40</v>
      </c>
      <c r="E6273" t="s">
        <v>41</v>
      </c>
      <c r="J6273" t="s">
        <v>76</v>
      </c>
      <c r="K6273" t="s">
        <v>77</v>
      </c>
      <c r="L6273">
        <v>10</v>
      </c>
      <c r="M6273" t="s">
        <v>20940</v>
      </c>
      <c r="N6273" t="s">
        <v>64</v>
      </c>
      <c r="O6273" t="s">
        <v>46</v>
      </c>
      <c r="P6273" t="s">
        <v>46</v>
      </c>
      <c r="Y6273" t="s">
        <v>20944</v>
      </c>
    </row>
    <row r="6274" spans="1:25">
      <c r="A6274" t="s">
        <v>20945</v>
      </c>
      <c r="B6274" t="s">
        <v>20946</v>
      </c>
      <c r="D6274" t="s">
        <v>40</v>
      </c>
      <c r="E6274" t="s">
        <v>41</v>
      </c>
      <c r="J6274" t="s">
        <v>182</v>
      </c>
      <c r="K6274" t="s">
        <v>183</v>
      </c>
      <c r="L6274">
        <v>10</v>
      </c>
      <c r="M6274" t="s">
        <v>20940</v>
      </c>
      <c r="N6274" t="s">
        <v>64</v>
      </c>
      <c r="O6274" t="s">
        <v>46</v>
      </c>
      <c r="P6274" t="s">
        <v>46</v>
      </c>
      <c r="Y6274" t="s">
        <v>20947</v>
      </c>
    </row>
    <row r="6275" spans="1:25">
      <c r="A6275" t="s">
        <v>20948</v>
      </c>
      <c r="B6275" t="s">
        <v>20949</v>
      </c>
      <c r="D6275" t="s">
        <v>40</v>
      </c>
      <c r="E6275" t="s">
        <v>41</v>
      </c>
      <c r="J6275" t="s">
        <v>76</v>
      </c>
      <c r="K6275" t="s">
        <v>77</v>
      </c>
      <c r="L6275">
        <v>10</v>
      </c>
      <c r="M6275" t="s">
        <v>20940</v>
      </c>
      <c r="N6275" t="s">
        <v>64</v>
      </c>
      <c r="O6275" t="s">
        <v>46</v>
      </c>
      <c r="P6275" t="s">
        <v>46</v>
      </c>
      <c r="Y6275" t="s">
        <v>20950</v>
      </c>
    </row>
    <row r="6276" spans="1:25">
      <c r="A6276" t="s">
        <v>20951</v>
      </c>
      <c r="B6276" t="s">
        <v>20952</v>
      </c>
      <c r="D6276" t="s">
        <v>40</v>
      </c>
      <c r="E6276" t="s">
        <v>41</v>
      </c>
      <c r="J6276" t="s">
        <v>264</v>
      </c>
      <c r="K6276" t="s">
        <v>265</v>
      </c>
      <c r="L6276">
        <v>10</v>
      </c>
      <c r="M6276" t="s">
        <v>20940</v>
      </c>
      <c r="N6276" t="s">
        <v>2346</v>
      </c>
      <c r="O6276" t="s">
        <v>46</v>
      </c>
      <c r="P6276" t="s">
        <v>46</v>
      </c>
      <c r="Y6276" t="s">
        <v>20953</v>
      </c>
    </row>
    <row r="6277" spans="1:25">
      <c r="A6277" t="s">
        <v>20954</v>
      </c>
      <c r="B6277" t="s">
        <v>20955</v>
      </c>
      <c r="D6277" t="s">
        <v>40</v>
      </c>
      <c r="E6277" t="s">
        <v>41</v>
      </c>
      <c r="J6277" t="s">
        <v>182</v>
      </c>
      <c r="K6277" t="s">
        <v>183</v>
      </c>
      <c r="L6277">
        <v>10</v>
      </c>
      <c r="M6277" t="s">
        <v>20956</v>
      </c>
      <c r="N6277" t="s">
        <v>64</v>
      </c>
      <c r="O6277" t="s">
        <v>46</v>
      </c>
      <c r="P6277" t="s">
        <v>46</v>
      </c>
      <c r="Y6277" t="s">
        <v>20957</v>
      </c>
    </row>
    <row r="6278" spans="1:25">
      <c r="A6278" t="s">
        <v>20958</v>
      </c>
      <c r="B6278" t="s">
        <v>20959</v>
      </c>
      <c r="D6278" t="s">
        <v>40</v>
      </c>
      <c r="E6278" t="s">
        <v>41</v>
      </c>
      <c r="J6278" t="s">
        <v>76</v>
      </c>
      <c r="K6278" t="s">
        <v>77</v>
      </c>
      <c r="L6278">
        <v>10</v>
      </c>
      <c r="M6278" t="s">
        <v>20956</v>
      </c>
      <c r="N6278" t="s">
        <v>64</v>
      </c>
      <c r="O6278" t="s">
        <v>46</v>
      </c>
      <c r="P6278" t="s">
        <v>46</v>
      </c>
      <c r="Y6278" t="s">
        <v>20960</v>
      </c>
    </row>
    <row r="6279" spans="1:25">
      <c r="A6279" t="s">
        <v>20961</v>
      </c>
      <c r="B6279" t="s">
        <v>20962</v>
      </c>
      <c r="D6279" t="s">
        <v>40</v>
      </c>
      <c r="E6279" t="s">
        <v>41</v>
      </c>
      <c r="J6279" t="s">
        <v>182</v>
      </c>
      <c r="K6279" t="s">
        <v>183</v>
      </c>
      <c r="L6279">
        <v>10</v>
      </c>
      <c r="M6279" t="s">
        <v>20956</v>
      </c>
      <c r="N6279" t="s">
        <v>64</v>
      </c>
      <c r="O6279" t="s">
        <v>46</v>
      </c>
      <c r="P6279" t="s">
        <v>46</v>
      </c>
      <c r="Y6279" t="s">
        <v>20963</v>
      </c>
    </row>
    <row r="6280" spans="1:25">
      <c r="A6280" t="s">
        <v>20964</v>
      </c>
      <c r="B6280" t="s">
        <v>20965</v>
      </c>
      <c r="D6280" t="s">
        <v>40</v>
      </c>
      <c r="E6280" t="s">
        <v>41</v>
      </c>
      <c r="J6280" t="s">
        <v>42</v>
      </c>
      <c r="K6280" t="s">
        <v>43</v>
      </c>
      <c r="L6280">
        <v>10</v>
      </c>
      <c r="M6280" t="s">
        <v>20966</v>
      </c>
      <c r="N6280" t="s">
        <v>310</v>
      </c>
      <c r="O6280" t="s">
        <v>46</v>
      </c>
      <c r="P6280" t="s">
        <v>46</v>
      </c>
      <c r="Y6280" t="s">
        <v>20967</v>
      </c>
    </row>
    <row r="6281" spans="1:25">
      <c r="A6281" t="s">
        <v>20968</v>
      </c>
      <c r="B6281" t="s">
        <v>20969</v>
      </c>
      <c r="D6281" t="s">
        <v>40</v>
      </c>
      <c r="E6281" t="s">
        <v>41</v>
      </c>
      <c r="J6281" t="s">
        <v>68</v>
      </c>
      <c r="K6281" t="s">
        <v>69</v>
      </c>
      <c r="L6281">
        <v>10</v>
      </c>
      <c r="M6281" t="s">
        <v>20966</v>
      </c>
      <c r="N6281" t="s">
        <v>64</v>
      </c>
      <c r="O6281" t="s">
        <v>46</v>
      </c>
      <c r="P6281" t="s">
        <v>46</v>
      </c>
      <c r="Y6281" t="s">
        <v>20970</v>
      </c>
    </row>
    <row r="6282" spans="1:25">
      <c r="A6282" t="s">
        <v>20971</v>
      </c>
      <c r="B6282" t="s">
        <v>20972</v>
      </c>
      <c r="D6282" t="s">
        <v>40</v>
      </c>
      <c r="E6282" t="s">
        <v>41</v>
      </c>
      <c r="J6282" t="s">
        <v>68</v>
      </c>
      <c r="K6282" t="s">
        <v>69</v>
      </c>
      <c r="L6282">
        <v>10</v>
      </c>
      <c r="M6282" t="s">
        <v>20966</v>
      </c>
      <c r="N6282" t="s">
        <v>64</v>
      </c>
      <c r="O6282" t="s">
        <v>46</v>
      </c>
      <c r="P6282" t="s">
        <v>46</v>
      </c>
      <c r="Y6282" t="s">
        <v>20973</v>
      </c>
    </row>
    <row r="6283" spans="1:25">
      <c r="A6283" t="s">
        <v>20974</v>
      </c>
      <c r="B6283" t="s">
        <v>20975</v>
      </c>
      <c r="D6283" t="s">
        <v>40</v>
      </c>
      <c r="E6283" t="s">
        <v>41</v>
      </c>
      <c r="J6283" t="s">
        <v>182</v>
      </c>
      <c r="K6283" t="s">
        <v>183</v>
      </c>
      <c r="L6283">
        <v>10</v>
      </c>
      <c r="M6283" t="s">
        <v>20966</v>
      </c>
      <c r="N6283" t="s">
        <v>64</v>
      </c>
      <c r="O6283" t="s">
        <v>46</v>
      </c>
      <c r="P6283" t="s">
        <v>46</v>
      </c>
      <c r="Y6283" t="s">
        <v>20976</v>
      </c>
    </row>
    <row r="6284" spans="1:25">
      <c r="A6284" t="s">
        <v>20977</v>
      </c>
      <c r="B6284" t="s">
        <v>20978</v>
      </c>
      <c r="D6284" t="s">
        <v>40</v>
      </c>
      <c r="E6284" t="s">
        <v>41</v>
      </c>
      <c r="J6284" t="s">
        <v>68</v>
      </c>
      <c r="K6284" t="s">
        <v>69</v>
      </c>
      <c r="L6284">
        <v>10</v>
      </c>
      <c r="M6284" t="s">
        <v>20979</v>
      </c>
      <c r="N6284" t="s">
        <v>64</v>
      </c>
      <c r="O6284" t="s">
        <v>46</v>
      </c>
      <c r="P6284" t="s">
        <v>46</v>
      </c>
      <c r="Y6284" t="s">
        <v>20980</v>
      </c>
    </row>
    <row r="6285" spans="1:25">
      <c r="A6285" t="s">
        <v>20981</v>
      </c>
      <c r="B6285" t="s">
        <v>20982</v>
      </c>
      <c r="D6285" t="s">
        <v>40</v>
      </c>
      <c r="E6285" t="s">
        <v>41</v>
      </c>
      <c r="J6285" t="s">
        <v>68</v>
      </c>
      <c r="K6285" t="s">
        <v>69</v>
      </c>
      <c r="L6285">
        <v>10</v>
      </c>
      <c r="M6285" t="s">
        <v>20983</v>
      </c>
      <c r="N6285" t="s">
        <v>64</v>
      </c>
      <c r="O6285" t="s">
        <v>46</v>
      </c>
      <c r="P6285" t="s">
        <v>46</v>
      </c>
      <c r="Y6285" t="s">
        <v>20984</v>
      </c>
    </row>
    <row r="6286" spans="1:25">
      <c r="A6286" t="s">
        <v>20985</v>
      </c>
      <c r="B6286" t="s">
        <v>20986</v>
      </c>
      <c r="D6286" t="s">
        <v>40</v>
      </c>
      <c r="E6286" t="s">
        <v>41</v>
      </c>
      <c r="J6286" t="s">
        <v>76</v>
      </c>
      <c r="K6286" t="s">
        <v>77</v>
      </c>
      <c r="L6286">
        <v>10</v>
      </c>
      <c r="M6286" t="s">
        <v>20983</v>
      </c>
      <c r="N6286" t="s">
        <v>64</v>
      </c>
      <c r="O6286" t="s">
        <v>46</v>
      </c>
      <c r="P6286" t="s">
        <v>46</v>
      </c>
      <c r="Y6286" t="s">
        <v>20987</v>
      </c>
    </row>
    <row r="6287" spans="1:25">
      <c r="A6287" t="s">
        <v>20988</v>
      </c>
      <c r="B6287" t="s">
        <v>20989</v>
      </c>
      <c r="D6287" t="s">
        <v>40</v>
      </c>
      <c r="E6287" t="s">
        <v>41</v>
      </c>
      <c r="J6287" t="s">
        <v>68</v>
      </c>
      <c r="K6287" t="s">
        <v>69</v>
      </c>
      <c r="L6287">
        <v>10</v>
      </c>
      <c r="M6287" t="s">
        <v>20983</v>
      </c>
      <c r="N6287" t="s">
        <v>64</v>
      </c>
      <c r="O6287" t="s">
        <v>46</v>
      </c>
      <c r="P6287" t="s">
        <v>46</v>
      </c>
      <c r="Y6287" t="s">
        <v>20990</v>
      </c>
    </row>
    <row r="6288" spans="1:25">
      <c r="A6288" t="s">
        <v>20991</v>
      </c>
      <c r="B6288" t="s">
        <v>20992</v>
      </c>
      <c r="D6288" t="s">
        <v>40</v>
      </c>
      <c r="E6288" t="s">
        <v>41</v>
      </c>
      <c r="J6288" t="s">
        <v>76</v>
      </c>
      <c r="K6288" t="s">
        <v>77</v>
      </c>
      <c r="L6288">
        <v>10</v>
      </c>
      <c r="M6288" t="s">
        <v>20993</v>
      </c>
      <c r="N6288" t="s">
        <v>64</v>
      </c>
      <c r="O6288" t="s">
        <v>46</v>
      </c>
      <c r="P6288" t="s">
        <v>46</v>
      </c>
      <c r="Y6288" t="s">
        <v>20994</v>
      </c>
    </row>
    <row r="6289" spans="1:25">
      <c r="A6289" t="s">
        <v>20995</v>
      </c>
      <c r="B6289" t="s">
        <v>20996</v>
      </c>
      <c r="D6289" t="s">
        <v>40</v>
      </c>
      <c r="E6289" t="s">
        <v>41</v>
      </c>
      <c r="J6289" t="s">
        <v>68</v>
      </c>
      <c r="K6289" t="s">
        <v>69</v>
      </c>
      <c r="L6289">
        <v>10</v>
      </c>
      <c r="M6289" t="s">
        <v>20997</v>
      </c>
      <c r="N6289" t="s">
        <v>64</v>
      </c>
      <c r="O6289" t="s">
        <v>46</v>
      </c>
      <c r="P6289" t="s">
        <v>46</v>
      </c>
      <c r="Y6289" t="s">
        <v>20998</v>
      </c>
    </row>
    <row r="6290" spans="1:25">
      <c r="A6290" t="s">
        <v>20999</v>
      </c>
      <c r="B6290" t="s">
        <v>21000</v>
      </c>
      <c r="D6290" t="s">
        <v>40</v>
      </c>
      <c r="E6290" t="s">
        <v>41</v>
      </c>
      <c r="J6290" t="s">
        <v>68</v>
      </c>
      <c r="K6290" t="s">
        <v>69</v>
      </c>
      <c r="L6290">
        <v>10</v>
      </c>
      <c r="M6290" t="s">
        <v>20997</v>
      </c>
      <c r="N6290" t="s">
        <v>64</v>
      </c>
      <c r="O6290" t="s">
        <v>46</v>
      </c>
      <c r="P6290" t="s">
        <v>46</v>
      </c>
      <c r="Y6290" t="s">
        <v>21001</v>
      </c>
    </row>
    <row r="6291" spans="1:25">
      <c r="A6291" t="s">
        <v>21002</v>
      </c>
      <c r="B6291" t="s">
        <v>21003</v>
      </c>
      <c r="D6291" t="s">
        <v>40</v>
      </c>
      <c r="E6291" t="s">
        <v>41</v>
      </c>
      <c r="J6291" t="s">
        <v>68</v>
      </c>
      <c r="K6291" t="s">
        <v>69</v>
      </c>
      <c r="L6291">
        <v>10</v>
      </c>
      <c r="M6291" t="s">
        <v>20997</v>
      </c>
      <c r="N6291" t="s">
        <v>64</v>
      </c>
      <c r="O6291" t="s">
        <v>46</v>
      </c>
      <c r="P6291" t="s">
        <v>46</v>
      </c>
      <c r="Y6291" t="s">
        <v>21004</v>
      </c>
    </row>
    <row r="6292" spans="1:25">
      <c r="A6292" t="s">
        <v>21005</v>
      </c>
      <c r="B6292" t="s">
        <v>21006</v>
      </c>
      <c r="D6292" t="s">
        <v>40</v>
      </c>
      <c r="E6292" t="s">
        <v>41</v>
      </c>
      <c r="J6292" t="s">
        <v>68</v>
      </c>
      <c r="K6292" t="s">
        <v>69</v>
      </c>
      <c r="L6292">
        <v>10</v>
      </c>
      <c r="M6292" t="s">
        <v>21007</v>
      </c>
      <c r="N6292" t="s">
        <v>64</v>
      </c>
      <c r="O6292" t="s">
        <v>46</v>
      </c>
      <c r="P6292" t="s">
        <v>46</v>
      </c>
      <c r="Y6292" t="s">
        <v>21008</v>
      </c>
    </row>
    <row r="6293" spans="1:25">
      <c r="A6293" t="s">
        <v>21009</v>
      </c>
      <c r="B6293" t="s">
        <v>21010</v>
      </c>
      <c r="D6293" t="s">
        <v>40</v>
      </c>
      <c r="E6293" t="s">
        <v>41</v>
      </c>
      <c r="J6293" t="s">
        <v>68</v>
      </c>
      <c r="K6293" t="s">
        <v>69</v>
      </c>
      <c r="L6293">
        <v>10</v>
      </c>
      <c r="M6293" t="s">
        <v>21007</v>
      </c>
      <c r="N6293" t="s">
        <v>64</v>
      </c>
      <c r="O6293" t="s">
        <v>46</v>
      </c>
      <c r="P6293" t="s">
        <v>46</v>
      </c>
      <c r="Y6293" t="s">
        <v>21011</v>
      </c>
    </row>
    <row r="6294" spans="1:25">
      <c r="A6294" t="s">
        <v>21012</v>
      </c>
      <c r="B6294" t="s">
        <v>21013</v>
      </c>
      <c r="D6294" t="s">
        <v>40</v>
      </c>
      <c r="E6294" t="s">
        <v>41</v>
      </c>
      <c r="J6294" t="s">
        <v>182</v>
      </c>
      <c r="K6294" t="s">
        <v>183</v>
      </c>
      <c r="L6294">
        <v>10</v>
      </c>
      <c r="M6294" t="s">
        <v>21014</v>
      </c>
      <c r="N6294" t="s">
        <v>64</v>
      </c>
      <c r="O6294" t="s">
        <v>46</v>
      </c>
      <c r="P6294" t="s">
        <v>46</v>
      </c>
      <c r="Y6294" t="s">
        <v>21015</v>
      </c>
    </row>
    <row r="6295" spans="1:25">
      <c r="A6295" t="s">
        <v>21016</v>
      </c>
      <c r="B6295" t="s">
        <v>21017</v>
      </c>
      <c r="D6295" t="s">
        <v>40</v>
      </c>
      <c r="E6295" t="s">
        <v>41</v>
      </c>
      <c r="J6295" t="s">
        <v>182</v>
      </c>
      <c r="K6295" t="s">
        <v>183</v>
      </c>
      <c r="L6295">
        <v>10</v>
      </c>
      <c r="M6295" t="s">
        <v>21014</v>
      </c>
      <c r="N6295" t="s">
        <v>64</v>
      </c>
      <c r="O6295" t="s">
        <v>46</v>
      </c>
      <c r="P6295" t="s">
        <v>46</v>
      </c>
      <c r="Y6295" t="s">
        <v>21018</v>
      </c>
    </row>
    <row r="6296" spans="1:25">
      <c r="A6296" t="s">
        <v>21019</v>
      </c>
      <c r="B6296" t="s">
        <v>21020</v>
      </c>
      <c r="D6296" t="s">
        <v>40</v>
      </c>
      <c r="E6296" t="s">
        <v>41</v>
      </c>
      <c r="J6296" t="s">
        <v>68</v>
      </c>
      <c r="K6296" t="s">
        <v>69</v>
      </c>
      <c r="L6296">
        <v>10</v>
      </c>
      <c r="M6296" t="s">
        <v>21014</v>
      </c>
      <c r="N6296" t="s">
        <v>64</v>
      </c>
      <c r="O6296" t="s">
        <v>46</v>
      </c>
      <c r="P6296" t="s">
        <v>46</v>
      </c>
      <c r="Y6296" t="s">
        <v>21021</v>
      </c>
    </row>
    <row r="6297" spans="1:25">
      <c r="A6297" t="s">
        <v>21022</v>
      </c>
      <c r="B6297" t="s">
        <v>21023</v>
      </c>
      <c r="D6297" t="s">
        <v>40</v>
      </c>
      <c r="E6297" t="s">
        <v>41</v>
      </c>
      <c r="J6297" t="s">
        <v>42</v>
      </c>
      <c r="K6297" t="s">
        <v>43</v>
      </c>
      <c r="L6297">
        <v>10</v>
      </c>
      <c r="M6297" t="s">
        <v>21014</v>
      </c>
      <c r="N6297" t="s">
        <v>2621</v>
      </c>
      <c r="O6297" t="s">
        <v>46</v>
      </c>
      <c r="P6297" t="s">
        <v>46</v>
      </c>
      <c r="Y6297" t="s">
        <v>21024</v>
      </c>
    </row>
    <row r="6298" spans="1:25">
      <c r="A6298" t="s">
        <v>21025</v>
      </c>
      <c r="B6298" t="s">
        <v>21026</v>
      </c>
      <c r="D6298" t="s">
        <v>40</v>
      </c>
      <c r="E6298" t="s">
        <v>41</v>
      </c>
      <c r="J6298" t="s">
        <v>182</v>
      </c>
      <c r="K6298" t="s">
        <v>183</v>
      </c>
      <c r="L6298">
        <v>10</v>
      </c>
      <c r="M6298" t="s">
        <v>21027</v>
      </c>
      <c r="N6298" t="s">
        <v>64</v>
      </c>
      <c r="O6298" t="s">
        <v>46</v>
      </c>
      <c r="P6298" t="s">
        <v>46</v>
      </c>
      <c r="Y6298" t="s">
        <v>21028</v>
      </c>
    </row>
    <row r="6299" spans="1:25">
      <c r="A6299" t="s">
        <v>21029</v>
      </c>
      <c r="B6299" t="s">
        <v>21030</v>
      </c>
      <c r="D6299" t="s">
        <v>40</v>
      </c>
      <c r="E6299" t="s">
        <v>41</v>
      </c>
      <c r="J6299" t="s">
        <v>68</v>
      </c>
      <c r="K6299" t="s">
        <v>69</v>
      </c>
      <c r="L6299">
        <v>10</v>
      </c>
      <c r="M6299" t="s">
        <v>21027</v>
      </c>
      <c r="N6299" t="s">
        <v>64</v>
      </c>
      <c r="O6299" t="s">
        <v>46</v>
      </c>
      <c r="P6299" t="s">
        <v>46</v>
      </c>
      <c r="Y6299" t="s">
        <v>21031</v>
      </c>
    </row>
    <row r="6300" spans="1:25">
      <c r="A6300" t="s">
        <v>21032</v>
      </c>
      <c r="B6300" t="s">
        <v>21033</v>
      </c>
      <c r="D6300" t="s">
        <v>40</v>
      </c>
      <c r="E6300" t="s">
        <v>41</v>
      </c>
      <c r="J6300" t="s">
        <v>182</v>
      </c>
      <c r="K6300" t="s">
        <v>183</v>
      </c>
      <c r="L6300">
        <v>10</v>
      </c>
      <c r="M6300" t="s">
        <v>21027</v>
      </c>
      <c r="N6300" t="s">
        <v>64</v>
      </c>
      <c r="O6300" t="s">
        <v>46</v>
      </c>
      <c r="P6300" t="s">
        <v>46</v>
      </c>
      <c r="Y6300" t="s">
        <v>21034</v>
      </c>
    </row>
    <row r="6301" spans="1:25">
      <c r="A6301" t="s">
        <v>21035</v>
      </c>
      <c r="B6301" t="s">
        <v>21036</v>
      </c>
      <c r="D6301" t="s">
        <v>40</v>
      </c>
      <c r="E6301" t="s">
        <v>41</v>
      </c>
      <c r="J6301" t="s">
        <v>182</v>
      </c>
      <c r="K6301" t="s">
        <v>183</v>
      </c>
      <c r="L6301">
        <v>10</v>
      </c>
      <c r="M6301" t="s">
        <v>21027</v>
      </c>
      <c r="N6301" t="s">
        <v>64</v>
      </c>
      <c r="O6301" t="s">
        <v>46</v>
      </c>
      <c r="P6301" t="s">
        <v>46</v>
      </c>
      <c r="Y6301" t="s">
        <v>21037</v>
      </c>
    </row>
    <row r="6302" spans="1:25">
      <c r="A6302" t="s">
        <v>21038</v>
      </c>
      <c r="B6302" t="s">
        <v>21039</v>
      </c>
      <c r="D6302" t="s">
        <v>40</v>
      </c>
      <c r="E6302" t="s">
        <v>41</v>
      </c>
      <c r="J6302" t="s">
        <v>68</v>
      </c>
      <c r="K6302" t="s">
        <v>69</v>
      </c>
      <c r="L6302">
        <v>10</v>
      </c>
      <c r="M6302" t="s">
        <v>21027</v>
      </c>
      <c r="N6302" t="s">
        <v>64</v>
      </c>
      <c r="O6302" t="s">
        <v>46</v>
      </c>
      <c r="P6302" t="s">
        <v>46</v>
      </c>
      <c r="Y6302" t="s">
        <v>21040</v>
      </c>
    </row>
    <row r="6303" spans="1:25">
      <c r="A6303" t="s">
        <v>21041</v>
      </c>
      <c r="B6303" t="s">
        <v>21042</v>
      </c>
      <c r="D6303" t="s">
        <v>40</v>
      </c>
      <c r="E6303" t="s">
        <v>41</v>
      </c>
      <c r="J6303" t="s">
        <v>68</v>
      </c>
      <c r="K6303" t="s">
        <v>69</v>
      </c>
      <c r="L6303">
        <v>10</v>
      </c>
      <c r="M6303" t="s">
        <v>21027</v>
      </c>
      <c r="N6303" t="s">
        <v>64</v>
      </c>
      <c r="O6303" t="s">
        <v>46</v>
      </c>
      <c r="P6303" t="s">
        <v>46</v>
      </c>
      <c r="Y6303" t="s">
        <v>21043</v>
      </c>
    </row>
    <row r="6304" spans="1:25">
      <c r="A6304" t="s">
        <v>21044</v>
      </c>
      <c r="B6304" t="s">
        <v>21045</v>
      </c>
      <c r="D6304" t="s">
        <v>40</v>
      </c>
      <c r="E6304" t="s">
        <v>41</v>
      </c>
      <c r="J6304" t="s">
        <v>68</v>
      </c>
      <c r="K6304" t="s">
        <v>69</v>
      </c>
      <c r="L6304">
        <v>10</v>
      </c>
      <c r="M6304" t="s">
        <v>21027</v>
      </c>
      <c r="N6304" t="s">
        <v>64</v>
      </c>
      <c r="O6304" t="s">
        <v>46</v>
      </c>
      <c r="P6304" t="s">
        <v>46</v>
      </c>
      <c r="Y6304" t="s">
        <v>21046</v>
      </c>
    </row>
    <row r="6305" spans="1:25">
      <c r="A6305" t="s">
        <v>21047</v>
      </c>
      <c r="B6305" t="s">
        <v>21048</v>
      </c>
      <c r="D6305" t="s">
        <v>40</v>
      </c>
      <c r="E6305" t="s">
        <v>41</v>
      </c>
      <c r="J6305" t="s">
        <v>68</v>
      </c>
      <c r="K6305" t="s">
        <v>69</v>
      </c>
      <c r="L6305">
        <v>10</v>
      </c>
      <c r="M6305" t="s">
        <v>21027</v>
      </c>
      <c r="N6305" t="s">
        <v>64</v>
      </c>
      <c r="O6305" t="s">
        <v>46</v>
      </c>
      <c r="P6305" t="s">
        <v>46</v>
      </c>
      <c r="Y6305" t="s">
        <v>21049</v>
      </c>
    </row>
    <row r="6306" spans="1:25">
      <c r="A6306" t="s">
        <v>21050</v>
      </c>
      <c r="B6306" t="s">
        <v>21051</v>
      </c>
      <c r="D6306" t="s">
        <v>40</v>
      </c>
      <c r="E6306" t="s">
        <v>41</v>
      </c>
      <c r="J6306" t="s">
        <v>182</v>
      </c>
      <c r="K6306" t="s">
        <v>183</v>
      </c>
      <c r="L6306">
        <v>10</v>
      </c>
      <c r="M6306" t="s">
        <v>21027</v>
      </c>
      <c r="N6306" t="s">
        <v>64</v>
      </c>
      <c r="O6306" t="s">
        <v>46</v>
      </c>
      <c r="P6306" t="s">
        <v>46</v>
      </c>
      <c r="Y6306" t="s">
        <v>21052</v>
      </c>
    </row>
    <row r="6307" spans="1:25">
      <c r="A6307" t="s">
        <v>21053</v>
      </c>
      <c r="B6307" t="s">
        <v>21054</v>
      </c>
      <c r="D6307" t="s">
        <v>40</v>
      </c>
      <c r="E6307" t="s">
        <v>41</v>
      </c>
      <c r="J6307" t="s">
        <v>68</v>
      </c>
      <c r="K6307" t="s">
        <v>69</v>
      </c>
      <c r="L6307">
        <v>10</v>
      </c>
      <c r="M6307" t="s">
        <v>21027</v>
      </c>
      <c r="N6307" t="s">
        <v>64</v>
      </c>
      <c r="O6307" t="s">
        <v>46</v>
      </c>
      <c r="P6307" t="s">
        <v>46</v>
      </c>
      <c r="Y6307" t="s">
        <v>21055</v>
      </c>
    </row>
    <row r="6308" spans="1:25">
      <c r="A6308" t="s">
        <v>21056</v>
      </c>
      <c r="B6308" t="s">
        <v>21057</v>
      </c>
      <c r="D6308" t="s">
        <v>40</v>
      </c>
      <c r="E6308" t="s">
        <v>41</v>
      </c>
      <c r="J6308" t="s">
        <v>68</v>
      </c>
      <c r="K6308" t="s">
        <v>69</v>
      </c>
      <c r="L6308">
        <v>10</v>
      </c>
      <c r="M6308" t="s">
        <v>21058</v>
      </c>
      <c r="N6308" t="s">
        <v>64</v>
      </c>
      <c r="O6308" t="s">
        <v>46</v>
      </c>
      <c r="P6308" t="s">
        <v>46</v>
      </c>
      <c r="Y6308" t="s">
        <v>21059</v>
      </c>
    </row>
    <row r="6309" spans="1:25">
      <c r="A6309" t="s">
        <v>21060</v>
      </c>
      <c r="B6309" t="s">
        <v>21061</v>
      </c>
      <c r="D6309" t="s">
        <v>40</v>
      </c>
      <c r="E6309" t="s">
        <v>41</v>
      </c>
      <c r="J6309" t="s">
        <v>68</v>
      </c>
      <c r="K6309" t="s">
        <v>69</v>
      </c>
      <c r="L6309">
        <v>10</v>
      </c>
      <c r="M6309" t="s">
        <v>21058</v>
      </c>
      <c r="N6309" t="s">
        <v>64</v>
      </c>
      <c r="O6309" t="s">
        <v>46</v>
      </c>
      <c r="P6309" t="s">
        <v>46</v>
      </c>
      <c r="Y6309" t="s">
        <v>21062</v>
      </c>
    </row>
    <row r="6310" spans="1:25">
      <c r="A6310" t="s">
        <v>21063</v>
      </c>
      <c r="B6310" t="s">
        <v>21064</v>
      </c>
      <c r="D6310" t="s">
        <v>40</v>
      </c>
      <c r="E6310" t="s">
        <v>41</v>
      </c>
      <c r="J6310" t="s">
        <v>68</v>
      </c>
      <c r="K6310" t="s">
        <v>69</v>
      </c>
      <c r="L6310">
        <v>10</v>
      </c>
      <c r="M6310" t="s">
        <v>21058</v>
      </c>
      <c r="N6310" t="s">
        <v>64</v>
      </c>
      <c r="O6310" t="s">
        <v>46</v>
      </c>
      <c r="P6310" t="s">
        <v>46</v>
      </c>
      <c r="Y6310" t="s">
        <v>21065</v>
      </c>
    </row>
    <row r="6311" spans="1:25">
      <c r="A6311" t="s">
        <v>21066</v>
      </c>
      <c r="B6311" t="s">
        <v>21067</v>
      </c>
      <c r="D6311" t="s">
        <v>40</v>
      </c>
      <c r="E6311" t="s">
        <v>41</v>
      </c>
      <c r="J6311" t="s">
        <v>68</v>
      </c>
      <c r="K6311" t="s">
        <v>69</v>
      </c>
      <c r="L6311">
        <v>10</v>
      </c>
      <c r="M6311" t="s">
        <v>21058</v>
      </c>
      <c r="N6311" t="s">
        <v>64</v>
      </c>
      <c r="O6311" t="s">
        <v>46</v>
      </c>
      <c r="P6311" t="s">
        <v>46</v>
      </c>
      <c r="Y6311" t="s">
        <v>21068</v>
      </c>
    </row>
    <row r="6312" spans="1:25">
      <c r="A6312" t="s">
        <v>21069</v>
      </c>
      <c r="B6312" t="s">
        <v>21070</v>
      </c>
      <c r="D6312" t="s">
        <v>40</v>
      </c>
      <c r="E6312" t="s">
        <v>41</v>
      </c>
      <c r="J6312" t="s">
        <v>68</v>
      </c>
      <c r="K6312" t="s">
        <v>69</v>
      </c>
      <c r="L6312">
        <v>10</v>
      </c>
      <c r="M6312" t="s">
        <v>21058</v>
      </c>
      <c r="N6312" t="s">
        <v>64</v>
      </c>
      <c r="O6312" t="s">
        <v>46</v>
      </c>
      <c r="P6312" t="s">
        <v>46</v>
      </c>
      <c r="Y6312" t="s">
        <v>21071</v>
      </c>
    </row>
    <row r="6313" spans="1:25">
      <c r="A6313" t="s">
        <v>21072</v>
      </c>
      <c r="B6313" t="s">
        <v>21073</v>
      </c>
      <c r="D6313" t="s">
        <v>40</v>
      </c>
      <c r="E6313" t="s">
        <v>41</v>
      </c>
      <c r="J6313" t="s">
        <v>68</v>
      </c>
      <c r="K6313" t="s">
        <v>69</v>
      </c>
      <c r="L6313">
        <v>10</v>
      </c>
      <c r="M6313" t="s">
        <v>21074</v>
      </c>
      <c r="N6313" t="s">
        <v>64</v>
      </c>
      <c r="O6313" t="s">
        <v>46</v>
      </c>
      <c r="P6313" t="s">
        <v>46</v>
      </c>
      <c r="Y6313" t="s">
        <v>21075</v>
      </c>
    </row>
    <row r="6314" spans="1:25">
      <c r="A6314" t="s">
        <v>21076</v>
      </c>
      <c r="B6314" t="s">
        <v>21077</v>
      </c>
      <c r="D6314" t="s">
        <v>40</v>
      </c>
      <c r="E6314" t="s">
        <v>41</v>
      </c>
      <c r="J6314" t="s">
        <v>68</v>
      </c>
      <c r="K6314" t="s">
        <v>69</v>
      </c>
      <c r="L6314">
        <v>10</v>
      </c>
      <c r="M6314" t="s">
        <v>21074</v>
      </c>
      <c r="N6314" t="s">
        <v>64</v>
      </c>
      <c r="O6314" t="s">
        <v>46</v>
      </c>
      <c r="P6314" t="s">
        <v>46</v>
      </c>
      <c r="Y6314" t="s">
        <v>21078</v>
      </c>
    </row>
    <row r="6315" spans="1:25">
      <c r="A6315" t="s">
        <v>21079</v>
      </c>
      <c r="B6315" t="s">
        <v>21080</v>
      </c>
      <c r="D6315" t="s">
        <v>40</v>
      </c>
      <c r="E6315" t="s">
        <v>41</v>
      </c>
      <c r="J6315" t="s">
        <v>68</v>
      </c>
      <c r="K6315" t="s">
        <v>69</v>
      </c>
      <c r="L6315">
        <v>10</v>
      </c>
      <c r="M6315" t="s">
        <v>21074</v>
      </c>
      <c r="N6315" t="s">
        <v>64</v>
      </c>
      <c r="O6315" t="s">
        <v>46</v>
      </c>
      <c r="P6315" t="s">
        <v>46</v>
      </c>
      <c r="Y6315" t="s">
        <v>21081</v>
      </c>
    </row>
    <row r="6316" spans="1:25">
      <c r="A6316" t="s">
        <v>21082</v>
      </c>
      <c r="B6316" t="s">
        <v>21083</v>
      </c>
      <c r="D6316" t="s">
        <v>40</v>
      </c>
      <c r="E6316" t="s">
        <v>41</v>
      </c>
      <c r="J6316" t="s">
        <v>76</v>
      </c>
      <c r="K6316" t="s">
        <v>77</v>
      </c>
      <c r="L6316">
        <v>10</v>
      </c>
      <c r="M6316" t="s">
        <v>21084</v>
      </c>
      <c r="N6316" t="s">
        <v>64</v>
      </c>
      <c r="O6316" t="s">
        <v>46</v>
      </c>
      <c r="P6316" t="s">
        <v>46</v>
      </c>
      <c r="Y6316" t="s">
        <v>21085</v>
      </c>
    </row>
    <row r="6317" spans="1:25">
      <c r="A6317" t="s">
        <v>21086</v>
      </c>
      <c r="B6317" t="s">
        <v>21087</v>
      </c>
      <c r="D6317" t="s">
        <v>40</v>
      </c>
      <c r="E6317" t="s">
        <v>41</v>
      </c>
      <c r="J6317" t="s">
        <v>12440</v>
      </c>
      <c r="K6317" t="s">
        <v>12441</v>
      </c>
      <c r="L6317">
        <v>11</v>
      </c>
      <c r="M6317" t="s">
        <v>21088</v>
      </c>
      <c r="N6317" t="s">
        <v>64</v>
      </c>
      <c r="O6317" t="s">
        <v>46</v>
      </c>
      <c r="P6317" t="s">
        <v>46</v>
      </c>
      <c r="Y6317" t="s">
        <v>21089</v>
      </c>
    </row>
    <row r="6318" spans="1:25">
      <c r="A6318" t="s">
        <v>21090</v>
      </c>
      <c r="B6318" t="s">
        <v>21091</v>
      </c>
      <c r="D6318" t="s">
        <v>40</v>
      </c>
      <c r="E6318" t="s">
        <v>41</v>
      </c>
      <c r="J6318" t="s">
        <v>76</v>
      </c>
      <c r="K6318" t="s">
        <v>77</v>
      </c>
      <c r="L6318">
        <v>10</v>
      </c>
      <c r="M6318" t="s">
        <v>21092</v>
      </c>
      <c r="N6318" t="s">
        <v>64</v>
      </c>
      <c r="O6318" t="s">
        <v>46</v>
      </c>
      <c r="P6318" t="s">
        <v>46</v>
      </c>
      <c r="Y6318" t="s">
        <v>21093</v>
      </c>
    </row>
    <row r="6319" spans="1:25">
      <c r="A6319" t="s">
        <v>21094</v>
      </c>
      <c r="B6319" t="s">
        <v>21095</v>
      </c>
      <c r="D6319" t="s">
        <v>40</v>
      </c>
      <c r="E6319" t="s">
        <v>41</v>
      </c>
      <c r="J6319" t="s">
        <v>182</v>
      </c>
      <c r="K6319" t="s">
        <v>183</v>
      </c>
      <c r="L6319">
        <v>10</v>
      </c>
      <c r="M6319" t="s">
        <v>21092</v>
      </c>
      <c r="N6319" t="s">
        <v>64</v>
      </c>
      <c r="O6319" t="s">
        <v>46</v>
      </c>
      <c r="P6319" t="s">
        <v>46</v>
      </c>
      <c r="Y6319" t="s">
        <v>21096</v>
      </c>
    </row>
    <row r="6320" spans="1:25">
      <c r="A6320" t="s">
        <v>21097</v>
      </c>
      <c r="B6320" t="s">
        <v>21098</v>
      </c>
      <c r="D6320" t="s">
        <v>40</v>
      </c>
      <c r="E6320" t="s">
        <v>41</v>
      </c>
      <c r="J6320" t="s">
        <v>76</v>
      </c>
      <c r="K6320" t="s">
        <v>77</v>
      </c>
      <c r="L6320">
        <v>10</v>
      </c>
      <c r="M6320" t="s">
        <v>21099</v>
      </c>
      <c r="N6320" t="s">
        <v>64</v>
      </c>
      <c r="O6320" t="s">
        <v>46</v>
      </c>
      <c r="P6320" t="s">
        <v>46</v>
      </c>
      <c r="Y6320" t="s">
        <v>21100</v>
      </c>
    </row>
    <row r="6321" spans="1:25">
      <c r="A6321" t="s">
        <v>21101</v>
      </c>
      <c r="B6321" t="s">
        <v>21102</v>
      </c>
      <c r="D6321" t="s">
        <v>40</v>
      </c>
      <c r="E6321" t="s">
        <v>41</v>
      </c>
      <c r="J6321" t="s">
        <v>12440</v>
      </c>
      <c r="K6321" t="s">
        <v>12441</v>
      </c>
      <c r="L6321">
        <v>11</v>
      </c>
      <c r="M6321" t="s">
        <v>21103</v>
      </c>
      <c r="N6321" t="s">
        <v>64</v>
      </c>
      <c r="O6321" t="s">
        <v>46</v>
      </c>
      <c r="P6321" t="s">
        <v>46</v>
      </c>
      <c r="Y6321" t="s">
        <v>21104</v>
      </c>
    </row>
    <row r="6322" spans="1:25">
      <c r="A6322" t="s">
        <v>21105</v>
      </c>
      <c r="B6322" t="s">
        <v>21106</v>
      </c>
      <c r="D6322" t="s">
        <v>40</v>
      </c>
      <c r="E6322" t="s">
        <v>41</v>
      </c>
      <c r="J6322" t="s">
        <v>182</v>
      </c>
      <c r="K6322" t="s">
        <v>183</v>
      </c>
      <c r="L6322">
        <v>10</v>
      </c>
      <c r="M6322" t="s">
        <v>21103</v>
      </c>
      <c r="N6322" t="s">
        <v>64</v>
      </c>
      <c r="O6322" t="s">
        <v>46</v>
      </c>
      <c r="P6322" t="s">
        <v>46</v>
      </c>
      <c r="Y6322" t="s">
        <v>21107</v>
      </c>
    </row>
    <row r="6323" spans="1:25">
      <c r="A6323" t="s">
        <v>21108</v>
      </c>
      <c r="B6323" t="s">
        <v>21109</v>
      </c>
      <c r="D6323" t="s">
        <v>40</v>
      </c>
      <c r="E6323" t="s">
        <v>41</v>
      </c>
      <c r="J6323" t="s">
        <v>182</v>
      </c>
      <c r="K6323" t="s">
        <v>183</v>
      </c>
      <c r="L6323">
        <v>10</v>
      </c>
      <c r="M6323" t="s">
        <v>21110</v>
      </c>
      <c r="N6323" t="s">
        <v>64</v>
      </c>
      <c r="O6323" t="s">
        <v>46</v>
      </c>
      <c r="P6323" t="s">
        <v>46</v>
      </c>
      <c r="Y6323" t="s">
        <v>21111</v>
      </c>
    </row>
    <row r="6324" spans="1:25">
      <c r="A6324" t="s">
        <v>21112</v>
      </c>
      <c r="B6324" t="s">
        <v>21113</v>
      </c>
      <c r="D6324" t="s">
        <v>40</v>
      </c>
      <c r="E6324" t="s">
        <v>41</v>
      </c>
      <c r="J6324" t="s">
        <v>42</v>
      </c>
      <c r="K6324" t="s">
        <v>43</v>
      </c>
      <c r="L6324">
        <v>10</v>
      </c>
      <c r="M6324" t="s">
        <v>21110</v>
      </c>
      <c r="N6324" t="s">
        <v>1138</v>
      </c>
      <c r="O6324" t="s">
        <v>46</v>
      </c>
      <c r="P6324" t="s">
        <v>46</v>
      </c>
      <c r="Y6324" t="s">
        <v>21114</v>
      </c>
    </row>
    <row r="6325" spans="1:25">
      <c r="A6325" t="s">
        <v>21115</v>
      </c>
      <c r="B6325" t="s">
        <v>21116</v>
      </c>
      <c r="D6325" t="s">
        <v>40</v>
      </c>
      <c r="E6325" t="s">
        <v>41</v>
      </c>
      <c r="J6325" t="s">
        <v>76</v>
      </c>
      <c r="K6325" t="s">
        <v>77</v>
      </c>
      <c r="L6325">
        <v>10</v>
      </c>
      <c r="M6325" t="s">
        <v>21117</v>
      </c>
      <c r="N6325" t="s">
        <v>64</v>
      </c>
      <c r="O6325" t="s">
        <v>46</v>
      </c>
      <c r="P6325" t="s">
        <v>46</v>
      </c>
      <c r="Y6325" t="s">
        <v>21118</v>
      </c>
    </row>
    <row r="6326" spans="1:25">
      <c r="A6326" t="s">
        <v>21119</v>
      </c>
      <c r="B6326" t="s">
        <v>21120</v>
      </c>
      <c r="D6326" t="s">
        <v>40</v>
      </c>
      <c r="E6326" t="s">
        <v>41</v>
      </c>
      <c r="J6326" t="s">
        <v>76</v>
      </c>
      <c r="K6326" t="s">
        <v>77</v>
      </c>
      <c r="L6326">
        <v>10</v>
      </c>
      <c r="M6326" t="s">
        <v>21121</v>
      </c>
      <c r="N6326" t="s">
        <v>64</v>
      </c>
      <c r="O6326" t="s">
        <v>46</v>
      </c>
      <c r="P6326" t="s">
        <v>46</v>
      </c>
      <c r="Y6326" t="s">
        <v>21122</v>
      </c>
    </row>
    <row r="6327" spans="1:25">
      <c r="A6327" t="s">
        <v>21123</v>
      </c>
      <c r="B6327" t="s">
        <v>21124</v>
      </c>
      <c r="D6327" t="s">
        <v>40</v>
      </c>
      <c r="E6327" t="s">
        <v>41</v>
      </c>
      <c r="J6327" t="s">
        <v>76</v>
      </c>
      <c r="K6327" t="s">
        <v>77</v>
      </c>
      <c r="L6327">
        <v>10</v>
      </c>
      <c r="M6327" t="s">
        <v>21125</v>
      </c>
      <c r="N6327" t="s">
        <v>64</v>
      </c>
      <c r="O6327" t="s">
        <v>46</v>
      </c>
      <c r="P6327" t="s">
        <v>46</v>
      </c>
      <c r="Y6327" t="s">
        <v>21126</v>
      </c>
    </row>
    <row r="6328" spans="1:25">
      <c r="A6328" t="s">
        <v>21127</v>
      </c>
      <c r="B6328" t="s">
        <v>21128</v>
      </c>
      <c r="D6328" t="s">
        <v>40</v>
      </c>
      <c r="E6328" t="s">
        <v>41</v>
      </c>
      <c r="J6328" t="s">
        <v>42</v>
      </c>
      <c r="K6328" t="s">
        <v>43</v>
      </c>
      <c r="L6328">
        <v>10</v>
      </c>
      <c r="M6328" t="s">
        <v>21125</v>
      </c>
      <c r="N6328" t="s">
        <v>1380</v>
      </c>
      <c r="O6328" t="s">
        <v>46</v>
      </c>
      <c r="P6328" t="s">
        <v>46</v>
      </c>
      <c r="Y6328" t="s">
        <v>21129</v>
      </c>
    </row>
    <row r="6329" spans="1:25">
      <c r="A6329" t="s">
        <v>21130</v>
      </c>
      <c r="B6329" t="s">
        <v>21131</v>
      </c>
      <c r="D6329" t="s">
        <v>40</v>
      </c>
      <c r="E6329" t="s">
        <v>41</v>
      </c>
      <c r="J6329" t="s">
        <v>182</v>
      </c>
      <c r="K6329" t="s">
        <v>183</v>
      </c>
      <c r="L6329">
        <v>10</v>
      </c>
      <c r="M6329" t="s">
        <v>21125</v>
      </c>
      <c r="N6329" t="s">
        <v>64</v>
      </c>
      <c r="O6329" t="s">
        <v>46</v>
      </c>
      <c r="P6329" t="s">
        <v>46</v>
      </c>
      <c r="Y6329" t="s">
        <v>21132</v>
      </c>
    </row>
    <row r="6330" spans="1:25">
      <c r="A6330" t="s">
        <v>21133</v>
      </c>
      <c r="B6330" t="s">
        <v>21134</v>
      </c>
      <c r="D6330" t="s">
        <v>40</v>
      </c>
      <c r="E6330" t="s">
        <v>41</v>
      </c>
      <c r="J6330" t="s">
        <v>182</v>
      </c>
      <c r="K6330" t="s">
        <v>183</v>
      </c>
      <c r="L6330">
        <v>10</v>
      </c>
      <c r="M6330" t="s">
        <v>21125</v>
      </c>
      <c r="N6330" t="s">
        <v>64</v>
      </c>
      <c r="O6330" t="s">
        <v>46</v>
      </c>
      <c r="P6330" t="s">
        <v>46</v>
      </c>
      <c r="Y6330" t="s">
        <v>21135</v>
      </c>
    </row>
    <row r="6331" spans="1:25">
      <c r="A6331" t="s">
        <v>21136</v>
      </c>
      <c r="B6331" t="s">
        <v>21137</v>
      </c>
      <c r="D6331" t="s">
        <v>40</v>
      </c>
      <c r="E6331" t="s">
        <v>41</v>
      </c>
      <c r="J6331" t="s">
        <v>12440</v>
      </c>
      <c r="K6331" t="s">
        <v>12441</v>
      </c>
      <c r="L6331">
        <v>11</v>
      </c>
      <c r="M6331" t="s">
        <v>21138</v>
      </c>
      <c r="N6331" t="s">
        <v>64</v>
      </c>
      <c r="O6331" t="s">
        <v>46</v>
      </c>
      <c r="P6331" t="s">
        <v>46</v>
      </c>
      <c r="Y6331" t="s">
        <v>21139</v>
      </c>
    </row>
    <row r="6332" spans="1:25">
      <c r="A6332" t="s">
        <v>21140</v>
      </c>
      <c r="B6332" t="s">
        <v>21141</v>
      </c>
      <c r="D6332" t="s">
        <v>40</v>
      </c>
      <c r="E6332" t="s">
        <v>41</v>
      </c>
      <c r="J6332" t="s">
        <v>12440</v>
      </c>
      <c r="K6332" t="s">
        <v>12441</v>
      </c>
      <c r="L6332">
        <v>11</v>
      </c>
      <c r="M6332" t="s">
        <v>21138</v>
      </c>
      <c r="N6332" t="s">
        <v>64</v>
      </c>
      <c r="O6332" t="s">
        <v>46</v>
      </c>
      <c r="P6332" t="s">
        <v>46</v>
      </c>
      <c r="Y6332" t="s">
        <v>21142</v>
      </c>
    </row>
    <row r="6333" spans="1:25">
      <c r="A6333" t="s">
        <v>21143</v>
      </c>
      <c r="B6333" t="s">
        <v>21144</v>
      </c>
      <c r="D6333" t="s">
        <v>40</v>
      </c>
      <c r="E6333" t="s">
        <v>41</v>
      </c>
      <c r="J6333" t="s">
        <v>12440</v>
      </c>
      <c r="K6333" t="s">
        <v>12441</v>
      </c>
      <c r="L6333">
        <v>11</v>
      </c>
      <c r="M6333" t="s">
        <v>21138</v>
      </c>
      <c r="N6333" t="s">
        <v>64</v>
      </c>
      <c r="O6333" t="s">
        <v>46</v>
      </c>
      <c r="P6333" t="s">
        <v>46</v>
      </c>
      <c r="Y6333" t="s">
        <v>21145</v>
      </c>
    </row>
    <row r="6334" spans="1:25">
      <c r="A6334" t="s">
        <v>21146</v>
      </c>
      <c r="B6334" t="s">
        <v>21147</v>
      </c>
      <c r="D6334" t="s">
        <v>40</v>
      </c>
      <c r="E6334" t="s">
        <v>41</v>
      </c>
      <c r="J6334" t="s">
        <v>76</v>
      </c>
      <c r="K6334" t="s">
        <v>77</v>
      </c>
      <c r="L6334">
        <v>10</v>
      </c>
      <c r="M6334" t="s">
        <v>21138</v>
      </c>
      <c r="N6334" t="s">
        <v>64</v>
      </c>
      <c r="O6334" t="s">
        <v>46</v>
      </c>
      <c r="P6334" t="s">
        <v>46</v>
      </c>
      <c r="Y6334" t="s">
        <v>21148</v>
      </c>
    </row>
    <row r="6335" spans="1:25">
      <c r="A6335" t="s">
        <v>21149</v>
      </c>
      <c r="B6335" t="s">
        <v>21150</v>
      </c>
      <c r="D6335" t="s">
        <v>40</v>
      </c>
      <c r="E6335" t="s">
        <v>41</v>
      </c>
      <c r="J6335" t="s">
        <v>12440</v>
      </c>
      <c r="K6335" t="s">
        <v>12441</v>
      </c>
      <c r="L6335">
        <v>11</v>
      </c>
      <c r="M6335" t="s">
        <v>21151</v>
      </c>
      <c r="N6335" t="s">
        <v>64</v>
      </c>
      <c r="O6335" t="s">
        <v>46</v>
      </c>
      <c r="P6335" t="s">
        <v>46</v>
      </c>
      <c r="Y6335" t="s">
        <v>21152</v>
      </c>
    </row>
    <row r="6336" spans="1:25">
      <c r="A6336" t="s">
        <v>21153</v>
      </c>
      <c r="B6336" t="s">
        <v>21154</v>
      </c>
      <c r="D6336" t="s">
        <v>40</v>
      </c>
      <c r="E6336" t="s">
        <v>41</v>
      </c>
      <c r="J6336" t="s">
        <v>182</v>
      </c>
      <c r="K6336" t="s">
        <v>183</v>
      </c>
      <c r="L6336">
        <v>10</v>
      </c>
      <c r="M6336" t="s">
        <v>21151</v>
      </c>
      <c r="N6336" t="s">
        <v>64</v>
      </c>
      <c r="O6336" t="s">
        <v>46</v>
      </c>
      <c r="P6336" t="s">
        <v>46</v>
      </c>
      <c r="Y6336" t="s">
        <v>21155</v>
      </c>
    </row>
    <row r="6337" spans="1:25">
      <c r="A6337" t="s">
        <v>21156</v>
      </c>
      <c r="B6337" t="s">
        <v>21157</v>
      </c>
      <c r="D6337" t="s">
        <v>40</v>
      </c>
      <c r="E6337" t="s">
        <v>41</v>
      </c>
      <c r="J6337" t="s">
        <v>42</v>
      </c>
      <c r="K6337" t="s">
        <v>43</v>
      </c>
      <c r="L6337">
        <v>10</v>
      </c>
      <c r="M6337" t="s">
        <v>21151</v>
      </c>
      <c r="N6337" t="s">
        <v>257</v>
      </c>
      <c r="O6337" t="s">
        <v>46</v>
      </c>
      <c r="P6337" t="s">
        <v>46</v>
      </c>
      <c r="Y6337" t="s">
        <v>21158</v>
      </c>
    </row>
    <row r="6338" spans="1:25">
      <c r="A6338" t="s">
        <v>21159</v>
      </c>
      <c r="B6338" t="s">
        <v>21160</v>
      </c>
      <c r="D6338" t="s">
        <v>40</v>
      </c>
      <c r="E6338" t="s">
        <v>41</v>
      </c>
      <c r="J6338" t="s">
        <v>182</v>
      </c>
      <c r="K6338" t="s">
        <v>183</v>
      </c>
      <c r="L6338">
        <v>10</v>
      </c>
      <c r="M6338" t="s">
        <v>21161</v>
      </c>
      <c r="N6338" t="s">
        <v>64</v>
      </c>
      <c r="O6338" t="s">
        <v>46</v>
      </c>
      <c r="P6338" t="s">
        <v>46</v>
      </c>
      <c r="Y6338" t="s">
        <v>21162</v>
      </c>
    </row>
    <row r="6339" spans="1:25">
      <c r="A6339" t="s">
        <v>21163</v>
      </c>
      <c r="B6339" t="s">
        <v>21164</v>
      </c>
      <c r="D6339" t="s">
        <v>40</v>
      </c>
      <c r="E6339" t="s">
        <v>41</v>
      </c>
      <c r="J6339" t="s">
        <v>42</v>
      </c>
      <c r="K6339" t="s">
        <v>43</v>
      </c>
      <c r="L6339">
        <v>6</v>
      </c>
      <c r="M6339" t="s">
        <v>21165</v>
      </c>
      <c r="N6339" t="s">
        <v>58</v>
      </c>
      <c r="O6339" t="s">
        <v>46</v>
      </c>
      <c r="P6339" t="s">
        <v>46</v>
      </c>
      <c r="Y6339" t="s">
        <v>21166</v>
      </c>
    </row>
    <row r="6340" spans="1:25">
      <c r="A6340" t="s">
        <v>21167</v>
      </c>
      <c r="B6340" t="s">
        <v>21168</v>
      </c>
      <c r="D6340" t="s">
        <v>40</v>
      </c>
      <c r="E6340" t="s">
        <v>41</v>
      </c>
      <c r="J6340" t="s">
        <v>182</v>
      </c>
      <c r="K6340" t="s">
        <v>183</v>
      </c>
      <c r="L6340">
        <v>10</v>
      </c>
      <c r="M6340" t="s">
        <v>21169</v>
      </c>
      <c r="N6340" t="s">
        <v>64</v>
      </c>
      <c r="O6340" t="s">
        <v>46</v>
      </c>
      <c r="P6340" t="s">
        <v>46</v>
      </c>
      <c r="Y6340" t="s">
        <v>21170</v>
      </c>
    </row>
    <row r="6341" spans="1:25">
      <c r="A6341" t="s">
        <v>21171</v>
      </c>
      <c r="B6341" t="s">
        <v>21172</v>
      </c>
      <c r="D6341" t="s">
        <v>40</v>
      </c>
      <c r="E6341" t="s">
        <v>41</v>
      </c>
      <c r="J6341" t="s">
        <v>182</v>
      </c>
      <c r="K6341" t="s">
        <v>183</v>
      </c>
      <c r="L6341">
        <v>10</v>
      </c>
      <c r="M6341" t="s">
        <v>21169</v>
      </c>
      <c r="N6341" t="s">
        <v>64</v>
      </c>
      <c r="O6341" t="s">
        <v>46</v>
      </c>
      <c r="P6341" t="s">
        <v>46</v>
      </c>
      <c r="Y6341" t="s">
        <v>21173</v>
      </c>
    </row>
    <row r="6342" spans="1:25">
      <c r="A6342" t="s">
        <v>21174</v>
      </c>
      <c r="B6342" t="s">
        <v>21175</v>
      </c>
      <c r="D6342" t="s">
        <v>40</v>
      </c>
      <c r="E6342" t="s">
        <v>41</v>
      </c>
      <c r="J6342" t="s">
        <v>182</v>
      </c>
      <c r="K6342" t="s">
        <v>183</v>
      </c>
      <c r="L6342">
        <v>10</v>
      </c>
      <c r="M6342" t="s">
        <v>21169</v>
      </c>
      <c r="N6342" t="s">
        <v>64</v>
      </c>
      <c r="O6342" t="s">
        <v>46</v>
      </c>
      <c r="P6342" t="s">
        <v>46</v>
      </c>
      <c r="Y6342" t="s">
        <v>21176</v>
      </c>
    </row>
    <row r="6343" spans="1:25">
      <c r="A6343" t="s">
        <v>21177</v>
      </c>
      <c r="B6343" t="s">
        <v>21178</v>
      </c>
      <c r="D6343" t="s">
        <v>40</v>
      </c>
      <c r="E6343" t="s">
        <v>41</v>
      </c>
      <c r="J6343" t="s">
        <v>182</v>
      </c>
      <c r="K6343" t="s">
        <v>183</v>
      </c>
      <c r="L6343">
        <v>10</v>
      </c>
      <c r="M6343" t="s">
        <v>21179</v>
      </c>
      <c r="N6343" t="s">
        <v>64</v>
      </c>
      <c r="O6343" t="s">
        <v>46</v>
      </c>
      <c r="P6343" t="s">
        <v>46</v>
      </c>
      <c r="Y6343" t="s">
        <v>21180</v>
      </c>
    </row>
    <row r="6344" spans="1:25">
      <c r="A6344" t="s">
        <v>21181</v>
      </c>
      <c r="B6344" t="s">
        <v>21182</v>
      </c>
      <c r="D6344" t="s">
        <v>40</v>
      </c>
      <c r="E6344" t="s">
        <v>41</v>
      </c>
      <c r="J6344" t="s">
        <v>182</v>
      </c>
      <c r="K6344" t="s">
        <v>183</v>
      </c>
      <c r="L6344">
        <v>10</v>
      </c>
      <c r="M6344" t="s">
        <v>21183</v>
      </c>
      <c r="N6344" t="s">
        <v>64</v>
      </c>
      <c r="O6344" t="s">
        <v>46</v>
      </c>
      <c r="P6344" t="s">
        <v>46</v>
      </c>
      <c r="Y6344" t="s">
        <v>21184</v>
      </c>
    </row>
    <row r="6345" spans="1:25">
      <c r="A6345" t="s">
        <v>21185</v>
      </c>
      <c r="B6345" t="s">
        <v>21186</v>
      </c>
      <c r="D6345" t="s">
        <v>40</v>
      </c>
      <c r="E6345" t="s">
        <v>41</v>
      </c>
      <c r="J6345" t="s">
        <v>182</v>
      </c>
      <c r="K6345" t="s">
        <v>183</v>
      </c>
      <c r="L6345">
        <v>10</v>
      </c>
      <c r="M6345" t="s">
        <v>21187</v>
      </c>
      <c r="N6345" t="s">
        <v>64</v>
      </c>
      <c r="O6345" t="s">
        <v>46</v>
      </c>
      <c r="P6345" t="s">
        <v>46</v>
      </c>
      <c r="Y6345" t="s">
        <v>21188</v>
      </c>
    </row>
    <row r="6346" spans="1:25">
      <c r="A6346" t="s">
        <v>21189</v>
      </c>
      <c r="B6346" t="s">
        <v>21190</v>
      </c>
      <c r="D6346" t="s">
        <v>40</v>
      </c>
      <c r="E6346" t="s">
        <v>41</v>
      </c>
      <c r="J6346" t="s">
        <v>182</v>
      </c>
      <c r="K6346" t="s">
        <v>183</v>
      </c>
      <c r="L6346">
        <v>10</v>
      </c>
      <c r="M6346" t="s">
        <v>21187</v>
      </c>
      <c r="N6346" t="s">
        <v>64</v>
      </c>
      <c r="O6346" t="s">
        <v>46</v>
      </c>
      <c r="P6346" t="s">
        <v>46</v>
      </c>
      <c r="Y6346" t="s">
        <v>21191</v>
      </c>
    </row>
    <row r="6347" spans="1:25">
      <c r="A6347" t="s">
        <v>21192</v>
      </c>
      <c r="B6347" t="s">
        <v>21193</v>
      </c>
      <c r="D6347" t="s">
        <v>40</v>
      </c>
      <c r="E6347" t="s">
        <v>41</v>
      </c>
      <c r="J6347" t="s">
        <v>182</v>
      </c>
      <c r="K6347" t="s">
        <v>183</v>
      </c>
      <c r="L6347">
        <v>10</v>
      </c>
      <c r="M6347" t="s">
        <v>21194</v>
      </c>
      <c r="N6347" t="s">
        <v>64</v>
      </c>
      <c r="O6347" t="s">
        <v>46</v>
      </c>
      <c r="P6347" t="s">
        <v>46</v>
      </c>
      <c r="Y6347" t="s">
        <v>21195</v>
      </c>
    </row>
    <row r="6348" spans="1:25">
      <c r="A6348" t="s">
        <v>21196</v>
      </c>
      <c r="B6348" t="s">
        <v>21197</v>
      </c>
      <c r="D6348" t="s">
        <v>40</v>
      </c>
      <c r="E6348" t="s">
        <v>41</v>
      </c>
      <c r="J6348" t="s">
        <v>182</v>
      </c>
      <c r="K6348" t="s">
        <v>183</v>
      </c>
      <c r="L6348">
        <v>10</v>
      </c>
      <c r="M6348" t="s">
        <v>21194</v>
      </c>
      <c r="N6348" t="s">
        <v>64</v>
      </c>
      <c r="O6348" t="s">
        <v>46</v>
      </c>
      <c r="P6348" t="s">
        <v>46</v>
      </c>
      <c r="Y6348" t="s">
        <v>21198</v>
      </c>
    </row>
    <row r="6349" spans="1:25">
      <c r="A6349" t="s">
        <v>21199</v>
      </c>
      <c r="B6349" t="s">
        <v>21200</v>
      </c>
      <c r="D6349" t="s">
        <v>40</v>
      </c>
      <c r="E6349" t="s">
        <v>41</v>
      </c>
      <c r="J6349" t="s">
        <v>12440</v>
      </c>
      <c r="K6349" t="s">
        <v>12441</v>
      </c>
      <c r="L6349">
        <v>11</v>
      </c>
      <c r="M6349" t="s">
        <v>21194</v>
      </c>
      <c r="N6349" t="s">
        <v>64</v>
      </c>
      <c r="O6349" t="s">
        <v>46</v>
      </c>
      <c r="P6349" t="s">
        <v>46</v>
      </c>
      <c r="Y6349" t="s">
        <v>21201</v>
      </c>
    </row>
    <row r="6350" spans="1:25">
      <c r="A6350" t="s">
        <v>21202</v>
      </c>
      <c r="B6350" t="s">
        <v>21203</v>
      </c>
      <c r="D6350" t="s">
        <v>40</v>
      </c>
      <c r="E6350" t="s">
        <v>41</v>
      </c>
      <c r="J6350" t="s">
        <v>182</v>
      </c>
      <c r="K6350" t="s">
        <v>183</v>
      </c>
      <c r="L6350">
        <v>10</v>
      </c>
      <c r="M6350" t="s">
        <v>21194</v>
      </c>
      <c r="N6350" t="s">
        <v>64</v>
      </c>
      <c r="O6350" t="s">
        <v>46</v>
      </c>
      <c r="P6350" t="s">
        <v>46</v>
      </c>
      <c r="Y6350" t="s">
        <v>21204</v>
      </c>
    </row>
    <row r="6351" spans="1:25">
      <c r="A6351" t="s">
        <v>21205</v>
      </c>
      <c r="B6351" t="s">
        <v>21206</v>
      </c>
      <c r="D6351" t="s">
        <v>40</v>
      </c>
      <c r="E6351" t="s">
        <v>41</v>
      </c>
      <c r="J6351" t="s">
        <v>182</v>
      </c>
      <c r="K6351" t="s">
        <v>183</v>
      </c>
      <c r="L6351">
        <v>10</v>
      </c>
      <c r="M6351" t="s">
        <v>21207</v>
      </c>
      <c r="N6351" t="s">
        <v>64</v>
      </c>
      <c r="O6351" t="s">
        <v>46</v>
      </c>
      <c r="P6351" t="s">
        <v>46</v>
      </c>
      <c r="Y6351" t="s">
        <v>21208</v>
      </c>
    </row>
    <row r="6352" spans="1:25">
      <c r="A6352" t="s">
        <v>21209</v>
      </c>
      <c r="B6352" t="s">
        <v>21210</v>
      </c>
      <c r="D6352" t="s">
        <v>40</v>
      </c>
      <c r="E6352" t="s">
        <v>41</v>
      </c>
      <c r="J6352" t="s">
        <v>182</v>
      </c>
      <c r="K6352" t="s">
        <v>183</v>
      </c>
      <c r="L6352">
        <v>10</v>
      </c>
      <c r="M6352" t="s">
        <v>21207</v>
      </c>
      <c r="N6352" t="s">
        <v>64</v>
      </c>
      <c r="O6352" t="s">
        <v>46</v>
      </c>
      <c r="P6352" t="s">
        <v>46</v>
      </c>
      <c r="Y6352" t="s">
        <v>21211</v>
      </c>
    </row>
    <row r="6353" spans="1:25">
      <c r="A6353" t="s">
        <v>21212</v>
      </c>
      <c r="B6353" t="s">
        <v>21213</v>
      </c>
      <c r="D6353" t="s">
        <v>40</v>
      </c>
      <c r="E6353" t="s">
        <v>41</v>
      </c>
      <c r="J6353" t="s">
        <v>182</v>
      </c>
      <c r="K6353" t="s">
        <v>183</v>
      </c>
      <c r="L6353">
        <v>10</v>
      </c>
      <c r="M6353" t="s">
        <v>21214</v>
      </c>
      <c r="N6353" t="s">
        <v>64</v>
      </c>
      <c r="O6353" t="s">
        <v>46</v>
      </c>
      <c r="P6353" t="s">
        <v>46</v>
      </c>
      <c r="Y6353" t="s">
        <v>21215</v>
      </c>
    </row>
    <row r="6354" spans="1:25">
      <c r="A6354" t="s">
        <v>21216</v>
      </c>
      <c r="B6354" t="s">
        <v>21217</v>
      </c>
      <c r="D6354" t="s">
        <v>40</v>
      </c>
      <c r="E6354" t="s">
        <v>41</v>
      </c>
      <c r="J6354" t="s">
        <v>182</v>
      </c>
      <c r="K6354" t="s">
        <v>183</v>
      </c>
      <c r="L6354">
        <v>10</v>
      </c>
      <c r="M6354" t="s">
        <v>21214</v>
      </c>
      <c r="N6354" t="s">
        <v>64</v>
      </c>
      <c r="O6354" t="s">
        <v>46</v>
      </c>
      <c r="P6354" t="s">
        <v>46</v>
      </c>
      <c r="Y6354" t="s">
        <v>21218</v>
      </c>
    </row>
    <row r="6355" spans="1:25">
      <c r="A6355" t="s">
        <v>21219</v>
      </c>
      <c r="B6355" t="s">
        <v>21220</v>
      </c>
      <c r="D6355" t="s">
        <v>40</v>
      </c>
      <c r="E6355" t="s">
        <v>41</v>
      </c>
      <c r="J6355" t="s">
        <v>182</v>
      </c>
      <c r="K6355" t="s">
        <v>183</v>
      </c>
      <c r="L6355">
        <v>10</v>
      </c>
      <c r="M6355" t="s">
        <v>21221</v>
      </c>
      <c r="N6355" t="s">
        <v>64</v>
      </c>
      <c r="O6355" t="s">
        <v>46</v>
      </c>
      <c r="P6355" t="s">
        <v>46</v>
      </c>
      <c r="Y6355" t="s">
        <v>21222</v>
      </c>
    </row>
    <row r="6356" spans="1:25">
      <c r="A6356" t="s">
        <v>21223</v>
      </c>
      <c r="B6356" t="s">
        <v>21224</v>
      </c>
      <c r="D6356" t="s">
        <v>40</v>
      </c>
      <c r="E6356" t="s">
        <v>41</v>
      </c>
      <c r="J6356" t="s">
        <v>42</v>
      </c>
      <c r="K6356" t="s">
        <v>43</v>
      </c>
      <c r="L6356">
        <v>10</v>
      </c>
      <c r="M6356" t="s">
        <v>21221</v>
      </c>
      <c r="N6356" t="s">
        <v>218</v>
      </c>
      <c r="O6356" t="s">
        <v>46</v>
      </c>
      <c r="P6356" t="s">
        <v>46</v>
      </c>
      <c r="Y6356" t="s">
        <v>21225</v>
      </c>
    </row>
    <row r="6357" spans="1:25">
      <c r="A6357" t="s">
        <v>21226</v>
      </c>
      <c r="B6357" t="s">
        <v>21227</v>
      </c>
      <c r="D6357" t="s">
        <v>40</v>
      </c>
      <c r="E6357" t="s">
        <v>41</v>
      </c>
      <c r="J6357" t="s">
        <v>42</v>
      </c>
      <c r="K6357" t="s">
        <v>43</v>
      </c>
      <c r="L6357">
        <v>10</v>
      </c>
      <c r="M6357" t="s">
        <v>21228</v>
      </c>
      <c r="N6357" t="s">
        <v>257</v>
      </c>
      <c r="O6357" t="s">
        <v>46</v>
      </c>
      <c r="P6357" t="s">
        <v>46</v>
      </c>
      <c r="Y6357" t="s">
        <v>21229</v>
      </c>
    </row>
    <row r="6358" spans="1:25">
      <c r="A6358" t="s">
        <v>21230</v>
      </c>
      <c r="B6358" t="s">
        <v>21231</v>
      </c>
      <c r="D6358" t="s">
        <v>40</v>
      </c>
      <c r="E6358" t="s">
        <v>41</v>
      </c>
      <c r="J6358" t="s">
        <v>76</v>
      </c>
      <c r="K6358" t="s">
        <v>77</v>
      </c>
      <c r="L6358">
        <v>10</v>
      </c>
      <c r="M6358" t="s">
        <v>21228</v>
      </c>
      <c r="N6358" t="s">
        <v>64</v>
      </c>
      <c r="O6358" t="s">
        <v>46</v>
      </c>
      <c r="P6358" t="s">
        <v>46</v>
      </c>
      <c r="Y6358" t="s">
        <v>21232</v>
      </c>
    </row>
    <row r="6359" spans="1:25">
      <c r="A6359" t="s">
        <v>21233</v>
      </c>
      <c r="B6359" t="s">
        <v>21234</v>
      </c>
      <c r="D6359" t="s">
        <v>40</v>
      </c>
      <c r="E6359" t="s">
        <v>41</v>
      </c>
      <c r="J6359" t="s">
        <v>182</v>
      </c>
      <c r="K6359" t="s">
        <v>183</v>
      </c>
      <c r="L6359">
        <v>10</v>
      </c>
      <c r="M6359" t="s">
        <v>21235</v>
      </c>
      <c r="N6359" t="s">
        <v>64</v>
      </c>
      <c r="O6359" t="s">
        <v>46</v>
      </c>
      <c r="P6359" t="s">
        <v>46</v>
      </c>
      <c r="Y6359" t="s">
        <v>21236</v>
      </c>
    </row>
    <row r="6360" spans="1:25">
      <c r="A6360" t="s">
        <v>21237</v>
      </c>
      <c r="B6360" t="s">
        <v>21238</v>
      </c>
      <c r="D6360" t="s">
        <v>40</v>
      </c>
      <c r="E6360" t="s">
        <v>41</v>
      </c>
      <c r="J6360" t="s">
        <v>182</v>
      </c>
      <c r="K6360" t="s">
        <v>183</v>
      </c>
      <c r="L6360">
        <v>10</v>
      </c>
      <c r="M6360" t="s">
        <v>21235</v>
      </c>
      <c r="N6360" t="s">
        <v>64</v>
      </c>
      <c r="O6360" t="s">
        <v>46</v>
      </c>
      <c r="P6360" t="s">
        <v>46</v>
      </c>
      <c r="Y6360" t="s">
        <v>21239</v>
      </c>
    </row>
    <row r="6361" spans="1:25">
      <c r="A6361" t="s">
        <v>21240</v>
      </c>
      <c r="B6361" t="s">
        <v>21241</v>
      </c>
      <c r="D6361" t="s">
        <v>40</v>
      </c>
      <c r="E6361" t="s">
        <v>41</v>
      </c>
      <c r="J6361" t="s">
        <v>182</v>
      </c>
      <c r="K6361" t="s">
        <v>183</v>
      </c>
      <c r="L6361">
        <v>10</v>
      </c>
      <c r="M6361" t="s">
        <v>21242</v>
      </c>
      <c r="N6361" t="s">
        <v>64</v>
      </c>
      <c r="O6361" t="s">
        <v>46</v>
      </c>
      <c r="P6361" t="s">
        <v>46</v>
      </c>
      <c r="Y6361" t="s">
        <v>21243</v>
      </c>
    </row>
    <row r="6362" spans="1:25">
      <c r="A6362" t="s">
        <v>21244</v>
      </c>
      <c r="B6362" t="s">
        <v>21245</v>
      </c>
      <c r="D6362" t="s">
        <v>40</v>
      </c>
      <c r="E6362" t="s">
        <v>41</v>
      </c>
      <c r="J6362" t="s">
        <v>76</v>
      </c>
      <c r="K6362" t="s">
        <v>77</v>
      </c>
      <c r="L6362">
        <v>10</v>
      </c>
      <c r="M6362" t="s">
        <v>21242</v>
      </c>
      <c r="N6362" t="s">
        <v>64</v>
      </c>
      <c r="O6362" t="s">
        <v>46</v>
      </c>
      <c r="P6362" t="s">
        <v>46</v>
      </c>
      <c r="Y6362" t="s">
        <v>21246</v>
      </c>
    </row>
    <row r="6363" spans="1:25">
      <c r="A6363" t="s">
        <v>21247</v>
      </c>
      <c r="B6363" t="s">
        <v>21248</v>
      </c>
      <c r="D6363" t="s">
        <v>40</v>
      </c>
      <c r="E6363" t="s">
        <v>41</v>
      </c>
      <c r="J6363" t="s">
        <v>182</v>
      </c>
      <c r="K6363" t="s">
        <v>183</v>
      </c>
      <c r="L6363">
        <v>10</v>
      </c>
      <c r="M6363" t="s">
        <v>21242</v>
      </c>
      <c r="N6363" t="s">
        <v>64</v>
      </c>
      <c r="O6363" t="s">
        <v>46</v>
      </c>
      <c r="P6363" t="s">
        <v>46</v>
      </c>
      <c r="Y6363" t="s">
        <v>21249</v>
      </c>
    </row>
    <row r="6364" spans="1:25">
      <c r="A6364" t="s">
        <v>21250</v>
      </c>
      <c r="B6364" t="s">
        <v>21251</v>
      </c>
      <c r="D6364" t="s">
        <v>40</v>
      </c>
      <c r="E6364" t="s">
        <v>41</v>
      </c>
      <c r="J6364" t="s">
        <v>182</v>
      </c>
      <c r="K6364" t="s">
        <v>183</v>
      </c>
      <c r="L6364">
        <v>10</v>
      </c>
      <c r="M6364" t="s">
        <v>21252</v>
      </c>
      <c r="N6364" t="s">
        <v>64</v>
      </c>
      <c r="O6364" t="s">
        <v>46</v>
      </c>
      <c r="P6364" t="s">
        <v>46</v>
      </c>
      <c r="Y6364" t="s">
        <v>21253</v>
      </c>
    </row>
    <row r="6365" spans="1:25">
      <c r="A6365" t="s">
        <v>21254</v>
      </c>
      <c r="B6365" t="s">
        <v>21255</v>
      </c>
      <c r="D6365" t="s">
        <v>40</v>
      </c>
      <c r="E6365" t="s">
        <v>41</v>
      </c>
      <c r="J6365" t="s">
        <v>182</v>
      </c>
      <c r="K6365" t="s">
        <v>183</v>
      </c>
      <c r="L6365">
        <v>10</v>
      </c>
      <c r="M6365" t="s">
        <v>21252</v>
      </c>
      <c r="N6365" t="s">
        <v>64</v>
      </c>
      <c r="O6365" t="s">
        <v>46</v>
      </c>
      <c r="P6365" t="s">
        <v>46</v>
      </c>
      <c r="Y6365" t="s">
        <v>21256</v>
      </c>
    </row>
    <row r="6366" spans="1:25">
      <c r="A6366" t="s">
        <v>21257</v>
      </c>
      <c r="B6366" t="s">
        <v>21258</v>
      </c>
      <c r="D6366" t="s">
        <v>40</v>
      </c>
      <c r="E6366" t="s">
        <v>41</v>
      </c>
      <c r="J6366" t="s">
        <v>182</v>
      </c>
      <c r="K6366" t="s">
        <v>183</v>
      </c>
      <c r="L6366">
        <v>10</v>
      </c>
      <c r="M6366" t="s">
        <v>21252</v>
      </c>
      <c r="N6366" t="s">
        <v>64</v>
      </c>
      <c r="O6366" t="s">
        <v>46</v>
      </c>
      <c r="P6366" t="s">
        <v>46</v>
      </c>
      <c r="Y6366" t="s">
        <v>21259</v>
      </c>
    </row>
    <row r="6367" spans="1:25">
      <c r="A6367" t="s">
        <v>21260</v>
      </c>
      <c r="B6367" t="s">
        <v>21261</v>
      </c>
      <c r="D6367" t="s">
        <v>40</v>
      </c>
      <c r="E6367" t="s">
        <v>41</v>
      </c>
      <c r="J6367" t="s">
        <v>182</v>
      </c>
      <c r="K6367" t="s">
        <v>183</v>
      </c>
      <c r="L6367">
        <v>10</v>
      </c>
      <c r="M6367" t="s">
        <v>21252</v>
      </c>
      <c r="N6367" t="s">
        <v>64</v>
      </c>
      <c r="O6367" t="s">
        <v>46</v>
      </c>
      <c r="P6367" t="s">
        <v>46</v>
      </c>
      <c r="Y6367" t="s">
        <v>21262</v>
      </c>
    </row>
    <row r="6368" spans="1:25">
      <c r="A6368" t="s">
        <v>21263</v>
      </c>
      <c r="B6368" t="s">
        <v>21264</v>
      </c>
      <c r="D6368" t="s">
        <v>40</v>
      </c>
      <c r="E6368" t="s">
        <v>41</v>
      </c>
      <c r="J6368" t="s">
        <v>76</v>
      </c>
      <c r="K6368" t="s">
        <v>77</v>
      </c>
      <c r="L6368">
        <v>10</v>
      </c>
      <c r="M6368" t="s">
        <v>21265</v>
      </c>
      <c r="N6368" t="s">
        <v>64</v>
      </c>
      <c r="O6368" t="s">
        <v>46</v>
      </c>
      <c r="P6368" t="s">
        <v>46</v>
      </c>
      <c r="Y6368" t="s">
        <v>21266</v>
      </c>
    </row>
    <row r="6369" spans="1:25">
      <c r="A6369" t="s">
        <v>21267</v>
      </c>
      <c r="B6369" t="s">
        <v>21268</v>
      </c>
      <c r="D6369" t="s">
        <v>40</v>
      </c>
      <c r="E6369" t="s">
        <v>41</v>
      </c>
      <c r="J6369" t="s">
        <v>76</v>
      </c>
      <c r="K6369" t="s">
        <v>77</v>
      </c>
      <c r="L6369">
        <v>10</v>
      </c>
      <c r="M6369" t="s">
        <v>21265</v>
      </c>
      <c r="N6369" t="s">
        <v>64</v>
      </c>
      <c r="O6369" t="s">
        <v>46</v>
      </c>
      <c r="P6369" t="s">
        <v>46</v>
      </c>
      <c r="Y6369" t="s">
        <v>21269</v>
      </c>
    </row>
    <row r="6370" spans="1:25">
      <c r="A6370" t="s">
        <v>21270</v>
      </c>
      <c r="B6370" t="s">
        <v>21271</v>
      </c>
      <c r="D6370" t="s">
        <v>40</v>
      </c>
      <c r="E6370" t="s">
        <v>41</v>
      </c>
      <c r="J6370" t="s">
        <v>182</v>
      </c>
      <c r="K6370" t="s">
        <v>183</v>
      </c>
      <c r="L6370">
        <v>10</v>
      </c>
      <c r="M6370" t="s">
        <v>21272</v>
      </c>
      <c r="N6370" t="s">
        <v>64</v>
      </c>
      <c r="O6370" t="s">
        <v>46</v>
      </c>
      <c r="P6370" t="s">
        <v>46</v>
      </c>
      <c r="Y6370" t="s">
        <v>21273</v>
      </c>
    </row>
    <row r="6371" spans="1:25">
      <c r="A6371" t="s">
        <v>21274</v>
      </c>
      <c r="B6371" t="s">
        <v>21275</v>
      </c>
      <c r="D6371" t="s">
        <v>40</v>
      </c>
      <c r="E6371" t="s">
        <v>41</v>
      </c>
      <c r="J6371" t="s">
        <v>76</v>
      </c>
      <c r="K6371" t="s">
        <v>77</v>
      </c>
      <c r="L6371">
        <v>10</v>
      </c>
      <c r="M6371" t="s">
        <v>21276</v>
      </c>
      <c r="N6371" t="s">
        <v>64</v>
      </c>
      <c r="O6371" t="s">
        <v>46</v>
      </c>
      <c r="P6371" t="s">
        <v>46</v>
      </c>
      <c r="Y6371" t="s">
        <v>21277</v>
      </c>
    </row>
    <row r="6372" spans="1:25">
      <c r="A6372" t="s">
        <v>21278</v>
      </c>
      <c r="B6372" t="s">
        <v>21279</v>
      </c>
      <c r="D6372" t="s">
        <v>40</v>
      </c>
      <c r="E6372" t="s">
        <v>41</v>
      </c>
      <c r="J6372" t="s">
        <v>42</v>
      </c>
      <c r="K6372" t="s">
        <v>43</v>
      </c>
      <c r="L6372">
        <v>10</v>
      </c>
      <c r="M6372" t="s">
        <v>21276</v>
      </c>
      <c r="N6372" t="s">
        <v>1380</v>
      </c>
      <c r="O6372" t="s">
        <v>46</v>
      </c>
      <c r="P6372" t="s">
        <v>46</v>
      </c>
      <c r="Y6372" t="s">
        <v>21280</v>
      </c>
    </row>
    <row r="6373" spans="1:25">
      <c r="A6373" t="s">
        <v>21281</v>
      </c>
      <c r="B6373" t="s">
        <v>21282</v>
      </c>
      <c r="D6373" t="s">
        <v>40</v>
      </c>
      <c r="E6373" t="s">
        <v>41</v>
      </c>
      <c r="J6373" t="s">
        <v>182</v>
      </c>
      <c r="K6373" t="s">
        <v>183</v>
      </c>
      <c r="L6373">
        <v>10</v>
      </c>
      <c r="M6373" t="s">
        <v>21283</v>
      </c>
      <c r="N6373" t="s">
        <v>64</v>
      </c>
      <c r="O6373" t="s">
        <v>46</v>
      </c>
      <c r="P6373" t="s">
        <v>46</v>
      </c>
      <c r="Y6373" t="s">
        <v>21284</v>
      </c>
    </row>
    <row r="6374" spans="1:25">
      <c r="A6374" t="s">
        <v>21285</v>
      </c>
      <c r="B6374" t="s">
        <v>21286</v>
      </c>
      <c r="D6374" t="s">
        <v>40</v>
      </c>
      <c r="E6374" t="s">
        <v>41</v>
      </c>
      <c r="J6374" t="s">
        <v>42</v>
      </c>
      <c r="K6374" t="s">
        <v>43</v>
      </c>
      <c r="L6374">
        <v>10</v>
      </c>
      <c r="M6374" t="s">
        <v>21283</v>
      </c>
      <c r="N6374" t="s">
        <v>741</v>
      </c>
      <c r="O6374" t="s">
        <v>46</v>
      </c>
      <c r="P6374" t="s">
        <v>46</v>
      </c>
      <c r="Y6374" t="s">
        <v>21287</v>
      </c>
    </row>
    <row r="6375" spans="1:25">
      <c r="A6375" t="s">
        <v>21288</v>
      </c>
      <c r="B6375" t="s">
        <v>21289</v>
      </c>
      <c r="D6375" t="s">
        <v>40</v>
      </c>
      <c r="E6375" t="s">
        <v>41</v>
      </c>
      <c r="J6375" t="s">
        <v>50</v>
      </c>
      <c r="K6375" t="s">
        <v>51</v>
      </c>
      <c r="L6375">
        <v>9</v>
      </c>
      <c r="M6375" t="s">
        <v>21290</v>
      </c>
      <c r="N6375" t="s">
        <v>305</v>
      </c>
      <c r="O6375" t="s">
        <v>46</v>
      </c>
      <c r="P6375" t="s">
        <v>46</v>
      </c>
      <c r="Y6375" t="s">
        <v>21291</v>
      </c>
    </row>
    <row r="6376" spans="1:25">
      <c r="A6376" t="s">
        <v>21292</v>
      </c>
      <c r="B6376" t="s">
        <v>21293</v>
      </c>
      <c r="D6376" t="s">
        <v>40</v>
      </c>
      <c r="E6376" t="s">
        <v>41</v>
      </c>
      <c r="J6376" t="s">
        <v>12440</v>
      </c>
      <c r="K6376" t="s">
        <v>12441</v>
      </c>
      <c r="L6376">
        <v>11</v>
      </c>
      <c r="M6376" t="s">
        <v>21294</v>
      </c>
      <c r="N6376" t="s">
        <v>64</v>
      </c>
      <c r="O6376" t="s">
        <v>46</v>
      </c>
      <c r="P6376" t="s">
        <v>46</v>
      </c>
      <c r="Y6376" t="s">
        <v>21295</v>
      </c>
    </row>
    <row r="6377" spans="1:25">
      <c r="A6377" t="s">
        <v>21296</v>
      </c>
      <c r="B6377" t="s">
        <v>21297</v>
      </c>
      <c r="D6377" t="s">
        <v>40</v>
      </c>
      <c r="E6377" t="s">
        <v>41</v>
      </c>
      <c r="J6377" t="s">
        <v>76</v>
      </c>
      <c r="K6377" t="s">
        <v>77</v>
      </c>
      <c r="L6377">
        <v>10</v>
      </c>
      <c r="M6377" t="s">
        <v>21294</v>
      </c>
      <c r="N6377" t="s">
        <v>64</v>
      </c>
      <c r="O6377" t="s">
        <v>46</v>
      </c>
      <c r="P6377" t="s">
        <v>46</v>
      </c>
      <c r="Y6377" t="s">
        <v>21298</v>
      </c>
    </row>
    <row r="6378" spans="1:25">
      <c r="A6378" t="s">
        <v>21299</v>
      </c>
      <c r="B6378" t="s">
        <v>21300</v>
      </c>
      <c r="D6378" t="s">
        <v>40</v>
      </c>
      <c r="E6378" t="s">
        <v>41</v>
      </c>
      <c r="J6378" t="s">
        <v>182</v>
      </c>
      <c r="K6378" t="s">
        <v>183</v>
      </c>
      <c r="L6378">
        <v>10</v>
      </c>
      <c r="M6378" t="s">
        <v>21301</v>
      </c>
      <c r="N6378" t="s">
        <v>64</v>
      </c>
      <c r="O6378" t="s">
        <v>46</v>
      </c>
      <c r="P6378" t="s">
        <v>46</v>
      </c>
      <c r="Y6378" t="s">
        <v>21302</v>
      </c>
    </row>
    <row r="6379" spans="1:25">
      <c r="A6379" t="s">
        <v>21303</v>
      </c>
      <c r="B6379" t="s">
        <v>21304</v>
      </c>
      <c r="D6379" t="s">
        <v>40</v>
      </c>
      <c r="E6379" t="s">
        <v>41</v>
      </c>
      <c r="J6379" t="s">
        <v>182</v>
      </c>
      <c r="K6379" t="s">
        <v>183</v>
      </c>
      <c r="L6379">
        <v>10</v>
      </c>
      <c r="M6379" t="s">
        <v>21301</v>
      </c>
      <c r="N6379" t="s">
        <v>64</v>
      </c>
      <c r="O6379" t="s">
        <v>46</v>
      </c>
      <c r="P6379" t="s">
        <v>46</v>
      </c>
      <c r="Y6379" t="s">
        <v>21305</v>
      </c>
    </row>
    <row r="6380" spans="1:25">
      <c r="A6380" t="s">
        <v>21306</v>
      </c>
      <c r="B6380" t="s">
        <v>21307</v>
      </c>
      <c r="D6380" t="s">
        <v>40</v>
      </c>
      <c r="E6380" t="s">
        <v>41</v>
      </c>
      <c r="J6380" t="s">
        <v>182</v>
      </c>
      <c r="K6380" t="s">
        <v>183</v>
      </c>
      <c r="L6380">
        <v>10</v>
      </c>
      <c r="M6380" t="s">
        <v>21301</v>
      </c>
      <c r="N6380" t="s">
        <v>64</v>
      </c>
      <c r="O6380" t="s">
        <v>46</v>
      </c>
      <c r="P6380" t="s">
        <v>46</v>
      </c>
      <c r="Y6380" t="s">
        <v>21308</v>
      </c>
    </row>
    <row r="6381" spans="1:25">
      <c r="A6381" t="s">
        <v>21309</v>
      </c>
      <c r="B6381" t="s">
        <v>21310</v>
      </c>
      <c r="D6381" t="s">
        <v>40</v>
      </c>
      <c r="E6381" t="s">
        <v>41</v>
      </c>
      <c r="J6381" t="s">
        <v>76</v>
      </c>
      <c r="K6381" t="s">
        <v>77</v>
      </c>
      <c r="L6381">
        <v>10</v>
      </c>
      <c r="M6381" t="s">
        <v>21301</v>
      </c>
      <c r="N6381" t="s">
        <v>64</v>
      </c>
      <c r="O6381" t="s">
        <v>46</v>
      </c>
      <c r="P6381" t="s">
        <v>46</v>
      </c>
      <c r="Y6381" t="s">
        <v>21311</v>
      </c>
    </row>
    <row r="6382" spans="1:25">
      <c r="A6382" t="s">
        <v>21312</v>
      </c>
      <c r="B6382" t="s">
        <v>21313</v>
      </c>
      <c r="D6382" t="s">
        <v>40</v>
      </c>
      <c r="E6382" t="s">
        <v>41</v>
      </c>
      <c r="J6382" t="s">
        <v>182</v>
      </c>
      <c r="K6382" t="s">
        <v>183</v>
      </c>
      <c r="L6382">
        <v>10</v>
      </c>
      <c r="M6382" t="s">
        <v>21301</v>
      </c>
      <c r="N6382" t="s">
        <v>64</v>
      </c>
      <c r="O6382" t="s">
        <v>46</v>
      </c>
      <c r="P6382" t="s">
        <v>46</v>
      </c>
      <c r="Y6382" t="s">
        <v>21314</v>
      </c>
    </row>
    <row r="6383" spans="1:25">
      <c r="A6383" t="s">
        <v>21315</v>
      </c>
      <c r="B6383" t="s">
        <v>21316</v>
      </c>
      <c r="D6383" t="s">
        <v>40</v>
      </c>
      <c r="E6383" t="s">
        <v>41</v>
      </c>
      <c r="J6383" t="s">
        <v>76</v>
      </c>
      <c r="K6383" t="s">
        <v>77</v>
      </c>
      <c r="L6383">
        <v>10</v>
      </c>
      <c r="M6383" t="s">
        <v>21301</v>
      </c>
      <c r="N6383" t="s">
        <v>64</v>
      </c>
      <c r="O6383" t="s">
        <v>46</v>
      </c>
      <c r="P6383" t="s">
        <v>46</v>
      </c>
      <c r="Y6383" t="s">
        <v>21317</v>
      </c>
    </row>
    <row r="6384" spans="1:25">
      <c r="A6384" t="s">
        <v>21318</v>
      </c>
      <c r="B6384" t="s">
        <v>21319</v>
      </c>
      <c r="D6384" t="s">
        <v>40</v>
      </c>
      <c r="E6384" t="s">
        <v>41</v>
      </c>
      <c r="J6384" t="s">
        <v>182</v>
      </c>
      <c r="K6384" t="s">
        <v>183</v>
      </c>
      <c r="L6384">
        <v>10</v>
      </c>
      <c r="M6384" t="s">
        <v>21320</v>
      </c>
      <c r="N6384" t="s">
        <v>64</v>
      </c>
      <c r="O6384" t="s">
        <v>46</v>
      </c>
      <c r="P6384" t="s">
        <v>46</v>
      </c>
      <c r="Y6384" t="s">
        <v>21321</v>
      </c>
    </row>
    <row r="6385" spans="1:25">
      <c r="A6385" t="s">
        <v>21322</v>
      </c>
      <c r="B6385" t="s">
        <v>21323</v>
      </c>
      <c r="D6385" t="s">
        <v>40</v>
      </c>
      <c r="E6385" t="s">
        <v>41</v>
      </c>
      <c r="J6385" t="s">
        <v>76</v>
      </c>
      <c r="K6385" t="s">
        <v>77</v>
      </c>
      <c r="L6385">
        <v>10</v>
      </c>
      <c r="M6385" t="s">
        <v>21324</v>
      </c>
      <c r="N6385" t="s">
        <v>64</v>
      </c>
      <c r="O6385" t="s">
        <v>46</v>
      </c>
      <c r="P6385" t="s">
        <v>46</v>
      </c>
      <c r="Y6385" t="s">
        <v>21325</v>
      </c>
    </row>
    <row r="6386" spans="1:25">
      <c r="A6386" t="s">
        <v>21326</v>
      </c>
      <c r="B6386" t="s">
        <v>21327</v>
      </c>
      <c r="D6386" t="s">
        <v>40</v>
      </c>
      <c r="E6386" t="s">
        <v>41</v>
      </c>
      <c r="J6386" t="s">
        <v>42</v>
      </c>
      <c r="K6386" t="s">
        <v>43</v>
      </c>
      <c r="L6386">
        <v>10</v>
      </c>
      <c r="M6386" t="s">
        <v>21328</v>
      </c>
      <c r="N6386" t="s">
        <v>1344</v>
      </c>
      <c r="O6386" t="s">
        <v>46</v>
      </c>
      <c r="P6386" t="s">
        <v>46</v>
      </c>
      <c r="Y6386" t="s">
        <v>21329</v>
      </c>
    </row>
    <row r="6387" spans="1:25">
      <c r="A6387" t="s">
        <v>21330</v>
      </c>
      <c r="B6387" t="s">
        <v>21331</v>
      </c>
      <c r="D6387" t="s">
        <v>40</v>
      </c>
      <c r="E6387" t="s">
        <v>41</v>
      </c>
      <c r="J6387" t="s">
        <v>182</v>
      </c>
      <c r="K6387" t="s">
        <v>183</v>
      </c>
      <c r="L6387">
        <v>10</v>
      </c>
      <c r="M6387" t="s">
        <v>21328</v>
      </c>
      <c r="N6387" t="s">
        <v>64</v>
      </c>
      <c r="O6387" t="s">
        <v>46</v>
      </c>
      <c r="P6387" t="s">
        <v>46</v>
      </c>
      <c r="Y6387" t="s">
        <v>21332</v>
      </c>
    </row>
    <row r="6388" spans="1:25">
      <c r="A6388" t="s">
        <v>21333</v>
      </c>
      <c r="B6388" t="s">
        <v>21334</v>
      </c>
      <c r="D6388" t="s">
        <v>40</v>
      </c>
      <c r="E6388" t="s">
        <v>41</v>
      </c>
      <c r="J6388" t="s">
        <v>76</v>
      </c>
      <c r="K6388" t="s">
        <v>77</v>
      </c>
      <c r="L6388">
        <v>10</v>
      </c>
      <c r="M6388" t="s">
        <v>21328</v>
      </c>
      <c r="N6388" t="s">
        <v>64</v>
      </c>
      <c r="O6388" t="s">
        <v>46</v>
      </c>
      <c r="P6388" t="s">
        <v>46</v>
      </c>
      <c r="Y6388" t="s">
        <v>21335</v>
      </c>
    </row>
    <row r="6389" spans="1:25">
      <c r="A6389" t="s">
        <v>21336</v>
      </c>
      <c r="B6389" t="s">
        <v>21337</v>
      </c>
      <c r="D6389" t="s">
        <v>40</v>
      </c>
      <c r="E6389" t="s">
        <v>41</v>
      </c>
      <c r="J6389" t="s">
        <v>288</v>
      </c>
      <c r="K6389" t="s">
        <v>289</v>
      </c>
      <c r="L6389">
        <v>3</v>
      </c>
      <c r="M6389" t="s">
        <v>21338</v>
      </c>
      <c r="N6389" t="s">
        <v>2346</v>
      </c>
      <c r="O6389" t="s">
        <v>46</v>
      </c>
      <c r="P6389" t="s">
        <v>46</v>
      </c>
      <c r="Y6389" t="s">
        <v>21339</v>
      </c>
    </row>
    <row r="6390" spans="1:25">
      <c r="A6390" t="s">
        <v>21340</v>
      </c>
      <c r="B6390" t="s">
        <v>21341</v>
      </c>
      <c r="D6390" t="s">
        <v>40</v>
      </c>
      <c r="E6390" t="s">
        <v>41</v>
      </c>
      <c r="J6390" t="s">
        <v>264</v>
      </c>
      <c r="K6390" t="s">
        <v>265</v>
      </c>
      <c r="L6390">
        <v>13</v>
      </c>
      <c r="M6390" t="s">
        <v>21342</v>
      </c>
      <c r="N6390" t="s">
        <v>58</v>
      </c>
      <c r="O6390" t="s">
        <v>46</v>
      </c>
      <c r="P6390" t="s">
        <v>46</v>
      </c>
      <c r="Y6390" t="s">
        <v>21343</v>
      </c>
    </row>
    <row r="6391" spans="1:25">
      <c r="A6391" t="s">
        <v>21344</v>
      </c>
      <c r="B6391" t="s">
        <v>21345</v>
      </c>
      <c r="D6391" t="s">
        <v>40</v>
      </c>
      <c r="E6391" t="s">
        <v>41</v>
      </c>
      <c r="J6391" t="s">
        <v>76</v>
      </c>
      <c r="K6391" t="s">
        <v>77</v>
      </c>
      <c r="L6391">
        <v>10</v>
      </c>
      <c r="M6391" t="s">
        <v>21346</v>
      </c>
      <c r="N6391" t="s">
        <v>64</v>
      </c>
      <c r="O6391" t="s">
        <v>46</v>
      </c>
      <c r="P6391" t="s">
        <v>46</v>
      </c>
      <c r="Y6391" t="s">
        <v>21347</v>
      </c>
    </row>
    <row r="6392" spans="1:25">
      <c r="A6392" t="s">
        <v>21348</v>
      </c>
      <c r="B6392" t="s">
        <v>21349</v>
      </c>
      <c r="D6392" t="s">
        <v>40</v>
      </c>
      <c r="E6392" t="s">
        <v>41</v>
      </c>
      <c r="J6392" t="s">
        <v>76</v>
      </c>
      <c r="K6392" t="s">
        <v>77</v>
      </c>
      <c r="L6392">
        <v>10</v>
      </c>
      <c r="M6392" t="s">
        <v>21346</v>
      </c>
      <c r="N6392" t="s">
        <v>64</v>
      </c>
      <c r="O6392" t="s">
        <v>46</v>
      </c>
      <c r="P6392" t="s">
        <v>46</v>
      </c>
      <c r="Y6392" t="s">
        <v>21350</v>
      </c>
    </row>
    <row r="6393" spans="1:25">
      <c r="A6393" t="s">
        <v>21351</v>
      </c>
      <c r="B6393" t="s">
        <v>21352</v>
      </c>
      <c r="D6393" t="s">
        <v>40</v>
      </c>
      <c r="E6393" t="s">
        <v>41</v>
      </c>
      <c r="J6393" t="s">
        <v>182</v>
      </c>
      <c r="K6393" t="s">
        <v>183</v>
      </c>
      <c r="L6393">
        <v>10</v>
      </c>
      <c r="M6393" t="s">
        <v>21353</v>
      </c>
      <c r="N6393" t="s">
        <v>64</v>
      </c>
      <c r="O6393" t="s">
        <v>46</v>
      </c>
      <c r="P6393" t="s">
        <v>46</v>
      </c>
      <c r="Y6393" t="s">
        <v>21354</v>
      </c>
    </row>
    <row r="6394" spans="1:25">
      <c r="A6394" t="s">
        <v>21355</v>
      </c>
      <c r="B6394" t="s">
        <v>21356</v>
      </c>
      <c r="D6394" t="s">
        <v>40</v>
      </c>
      <c r="E6394" t="s">
        <v>41</v>
      </c>
      <c r="J6394" t="s">
        <v>50</v>
      </c>
      <c r="K6394" t="s">
        <v>51</v>
      </c>
      <c r="L6394">
        <v>10</v>
      </c>
      <c r="M6394" t="s">
        <v>21353</v>
      </c>
      <c r="N6394" t="s">
        <v>296</v>
      </c>
      <c r="O6394" t="s">
        <v>46</v>
      </c>
      <c r="P6394" t="s">
        <v>46</v>
      </c>
      <c r="Y6394" t="s">
        <v>21357</v>
      </c>
    </row>
    <row r="6395" spans="1:25">
      <c r="A6395" t="s">
        <v>21358</v>
      </c>
      <c r="B6395" t="s">
        <v>21359</v>
      </c>
      <c r="D6395" t="s">
        <v>40</v>
      </c>
      <c r="E6395" t="s">
        <v>41</v>
      </c>
      <c r="J6395" t="s">
        <v>182</v>
      </c>
      <c r="K6395" t="s">
        <v>183</v>
      </c>
      <c r="L6395">
        <v>10</v>
      </c>
      <c r="M6395" t="s">
        <v>21353</v>
      </c>
      <c r="N6395" t="s">
        <v>64</v>
      </c>
      <c r="O6395" t="s">
        <v>46</v>
      </c>
      <c r="P6395" t="s">
        <v>46</v>
      </c>
      <c r="Y6395" t="s">
        <v>21360</v>
      </c>
    </row>
    <row r="6396" spans="1:25">
      <c r="A6396" t="s">
        <v>21361</v>
      </c>
      <c r="B6396" t="s">
        <v>21362</v>
      </c>
      <c r="D6396" t="s">
        <v>40</v>
      </c>
      <c r="E6396" t="s">
        <v>41</v>
      </c>
      <c r="J6396" t="s">
        <v>182</v>
      </c>
      <c r="K6396" t="s">
        <v>183</v>
      </c>
      <c r="L6396">
        <v>10</v>
      </c>
      <c r="M6396" t="s">
        <v>21363</v>
      </c>
      <c r="N6396" t="s">
        <v>64</v>
      </c>
      <c r="O6396" t="s">
        <v>46</v>
      </c>
      <c r="P6396" t="s">
        <v>46</v>
      </c>
      <c r="Y6396" t="s">
        <v>21364</v>
      </c>
    </row>
    <row r="6397" spans="1:25">
      <c r="A6397" t="s">
        <v>21365</v>
      </c>
      <c r="B6397" t="s">
        <v>21366</v>
      </c>
      <c r="D6397" t="s">
        <v>40</v>
      </c>
      <c r="E6397" t="s">
        <v>41</v>
      </c>
      <c r="J6397" t="s">
        <v>76</v>
      </c>
      <c r="K6397" t="s">
        <v>77</v>
      </c>
      <c r="L6397">
        <v>10</v>
      </c>
      <c r="M6397" t="s">
        <v>21363</v>
      </c>
      <c r="N6397" t="s">
        <v>64</v>
      </c>
      <c r="O6397" t="s">
        <v>46</v>
      </c>
      <c r="P6397" t="s">
        <v>46</v>
      </c>
      <c r="Y6397" t="s">
        <v>21367</v>
      </c>
    </row>
    <row r="6398" spans="1:25">
      <c r="A6398" t="s">
        <v>21368</v>
      </c>
      <c r="B6398" t="s">
        <v>21369</v>
      </c>
      <c r="D6398" t="s">
        <v>40</v>
      </c>
      <c r="E6398" t="s">
        <v>41</v>
      </c>
      <c r="J6398" t="s">
        <v>182</v>
      </c>
      <c r="K6398" t="s">
        <v>183</v>
      </c>
      <c r="L6398">
        <v>10</v>
      </c>
      <c r="M6398" t="s">
        <v>21370</v>
      </c>
      <c r="N6398" t="s">
        <v>64</v>
      </c>
      <c r="O6398" t="s">
        <v>46</v>
      </c>
      <c r="P6398" t="s">
        <v>46</v>
      </c>
      <c r="Y6398" t="s">
        <v>21371</v>
      </c>
    </row>
    <row r="6399" spans="1:25">
      <c r="A6399" t="s">
        <v>21372</v>
      </c>
      <c r="B6399" t="s">
        <v>21373</v>
      </c>
      <c r="D6399" t="s">
        <v>40</v>
      </c>
      <c r="E6399" t="s">
        <v>41</v>
      </c>
      <c r="J6399" t="s">
        <v>182</v>
      </c>
      <c r="K6399" t="s">
        <v>183</v>
      </c>
      <c r="L6399">
        <v>10</v>
      </c>
      <c r="M6399" t="s">
        <v>21374</v>
      </c>
      <c r="N6399" t="s">
        <v>64</v>
      </c>
      <c r="O6399" t="s">
        <v>46</v>
      </c>
      <c r="P6399" t="s">
        <v>46</v>
      </c>
      <c r="Y6399" t="s">
        <v>21375</v>
      </c>
    </row>
    <row r="6400" spans="1:25">
      <c r="A6400" t="s">
        <v>21376</v>
      </c>
      <c r="B6400" t="s">
        <v>21377</v>
      </c>
      <c r="D6400" t="s">
        <v>40</v>
      </c>
      <c r="E6400" t="s">
        <v>41</v>
      </c>
      <c r="J6400" t="s">
        <v>182</v>
      </c>
      <c r="K6400" t="s">
        <v>183</v>
      </c>
      <c r="L6400">
        <v>10</v>
      </c>
      <c r="M6400" t="s">
        <v>21378</v>
      </c>
      <c r="N6400" t="s">
        <v>64</v>
      </c>
      <c r="O6400" t="s">
        <v>46</v>
      </c>
      <c r="P6400" t="s">
        <v>46</v>
      </c>
      <c r="Y6400" t="s">
        <v>21379</v>
      </c>
    </row>
    <row r="6401" spans="1:25">
      <c r="A6401" t="s">
        <v>21380</v>
      </c>
      <c r="B6401" t="s">
        <v>21381</v>
      </c>
      <c r="D6401" t="s">
        <v>40</v>
      </c>
      <c r="E6401" t="s">
        <v>41</v>
      </c>
      <c r="J6401" t="s">
        <v>76</v>
      </c>
      <c r="K6401" t="s">
        <v>77</v>
      </c>
      <c r="L6401">
        <v>10</v>
      </c>
      <c r="M6401" t="s">
        <v>21382</v>
      </c>
      <c r="N6401" t="s">
        <v>64</v>
      </c>
      <c r="O6401" t="s">
        <v>46</v>
      </c>
      <c r="P6401" t="s">
        <v>46</v>
      </c>
      <c r="Y6401" t="s">
        <v>21383</v>
      </c>
    </row>
    <row r="6402" spans="1:25">
      <c r="A6402" t="s">
        <v>21384</v>
      </c>
      <c r="B6402" t="s">
        <v>21385</v>
      </c>
      <c r="D6402" t="s">
        <v>40</v>
      </c>
      <c r="E6402" t="s">
        <v>41</v>
      </c>
      <c r="J6402" t="s">
        <v>182</v>
      </c>
      <c r="K6402" t="s">
        <v>183</v>
      </c>
      <c r="L6402">
        <v>10</v>
      </c>
      <c r="M6402" t="s">
        <v>21382</v>
      </c>
      <c r="N6402" t="s">
        <v>64</v>
      </c>
      <c r="O6402" t="s">
        <v>46</v>
      </c>
      <c r="P6402" t="s">
        <v>46</v>
      </c>
      <c r="Y6402" t="s">
        <v>21386</v>
      </c>
    </row>
    <row r="6403" spans="1:25">
      <c r="A6403" t="s">
        <v>21387</v>
      </c>
      <c r="B6403" t="s">
        <v>21388</v>
      </c>
      <c r="D6403" t="s">
        <v>40</v>
      </c>
      <c r="E6403" t="s">
        <v>41</v>
      </c>
      <c r="J6403" t="s">
        <v>182</v>
      </c>
      <c r="K6403" t="s">
        <v>183</v>
      </c>
      <c r="L6403">
        <v>10</v>
      </c>
      <c r="M6403" t="s">
        <v>21382</v>
      </c>
      <c r="N6403" t="s">
        <v>64</v>
      </c>
      <c r="O6403" t="s">
        <v>46</v>
      </c>
      <c r="P6403" t="s">
        <v>46</v>
      </c>
      <c r="Y6403" t="s">
        <v>21389</v>
      </c>
    </row>
    <row r="6404" spans="1:25">
      <c r="A6404" t="s">
        <v>21390</v>
      </c>
      <c r="B6404" t="s">
        <v>21391</v>
      </c>
      <c r="D6404" t="s">
        <v>40</v>
      </c>
      <c r="E6404" t="s">
        <v>41</v>
      </c>
      <c r="J6404" t="s">
        <v>182</v>
      </c>
      <c r="K6404" t="s">
        <v>183</v>
      </c>
      <c r="L6404">
        <v>10</v>
      </c>
      <c r="M6404" t="s">
        <v>21392</v>
      </c>
      <c r="N6404" t="s">
        <v>64</v>
      </c>
      <c r="O6404" t="s">
        <v>46</v>
      </c>
      <c r="P6404" t="s">
        <v>46</v>
      </c>
      <c r="Y6404" t="s">
        <v>21393</v>
      </c>
    </row>
    <row r="6405" spans="1:25">
      <c r="A6405" t="s">
        <v>21394</v>
      </c>
      <c r="B6405" t="s">
        <v>21395</v>
      </c>
      <c r="D6405" t="s">
        <v>40</v>
      </c>
      <c r="E6405" t="s">
        <v>41</v>
      </c>
      <c r="J6405" t="s">
        <v>182</v>
      </c>
      <c r="K6405" t="s">
        <v>183</v>
      </c>
      <c r="L6405">
        <v>10</v>
      </c>
      <c r="M6405" t="s">
        <v>21392</v>
      </c>
      <c r="N6405" t="s">
        <v>64</v>
      </c>
      <c r="O6405" t="s">
        <v>46</v>
      </c>
      <c r="P6405" t="s">
        <v>46</v>
      </c>
      <c r="Y6405" t="s">
        <v>21396</v>
      </c>
    </row>
    <row r="6406" spans="1:25">
      <c r="A6406" t="s">
        <v>21397</v>
      </c>
      <c r="B6406" t="s">
        <v>21398</v>
      </c>
      <c r="D6406" t="s">
        <v>40</v>
      </c>
      <c r="E6406" t="s">
        <v>41</v>
      </c>
      <c r="J6406" t="s">
        <v>76</v>
      </c>
      <c r="K6406" t="s">
        <v>77</v>
      </c>
      <c r="L6406">
        <v>10</v>
      </c>
      <c r="M6406" t="s">
        <v>21392</v>
      </c>
      <c r="N6406" t="s">
        <v>64</v>
      </c>
      <c r="O6406" t="s">
        <v>46</v>
      </c>
      <c r="P6406" t="s">
        <v>46</v>
      </c>
      <c r="Y6406" t="s">
        <v>21399</v>
      </c>
    </row>
    <row r="6407" spans="1:25">
      <c r="A6407" t="s">
        <v>21400</v>
      </c>
      <c r="B6407" t="s">
        <v>21401</v>
      </c>
      <c r="D6407" t="s">
        <v>40</v>
      </c>
      <c r="E6407" t="s">
        <v>41</v>
      </c>
      <c r="J6407" t="s">
        <v>76</v>
      </c>
      <c r="K6407" t="s">
        <v>77</v>
      </c>
      <c r="L6407">
        <v>10</v>
      </c>
      <c r="M6407" t="s">
        <v>21392</v>
      </c>
      <c r="N6407" t="s">
        <v>64</v>
      </c>
      <c r="O6407" t="s">
        <v>46</v>
      </c>
      <c r="P6407" t="s">
        <v>46</v>
      </c>
      <c r="Y6407" t="s">
        <v>21402</v>
      </c>
    </row>
    <row r="6408" spans="1:25">
      <c r="A6408" t="s">
        <v>21403</v>
      </c>
      <c r="B6408" t="s">
        <v>21404</v>
      </c>
      <c r="D6408" t="s">
        <v>40</v>
      </c>
      <c r="E6408" t="s">
        <v>41</v>
      </c>
      <c r="J6408" t="s">
        <v>76</v>
      </c>
      <c r="K6408" t="s">
        <v>77</v>
      </c>
      <c r="L6408">
        <v>10</v>
      </c>
      <c r="M6408" t="s">
        <v>21392</v>
      </c>
      <c r="N6408" t="s">
        <v>64</v>
      </c>
      <c r="O6408" t="s">
        <v>46</v>
      </c>
      <c r="P6408" t="s">
        <v>46</v>
      </c>
      <c r="Y6408" t="s">
        <v>21405</v>
      </c>
    </row>
    <row r="6409" spans="1:25">
      <c r="A6409" t="s">
        <v>21406</v>
      </c>
      <c r="B6409" t="s">
        <v>21407</v>
      </c>
      <c r="D6409" t="s">
        <v>40</v>
      </c>
      <c r="E6409" t="s">
        <v>41</v>
      </c>
      <c r="J6409" t="s">
        <v>76</v>
      </c>
      <c r="K6409" t="s">
        <v>77</v>
      </c>
      <c r="L6409">
        <v>10</v>
      </c>
      <c r="M6409" t="s">
        <v>21408</v>
      </c>
      <c r="N6409" t="s">
        <v>64</v>
      </c>
      <c r="O6409" t="s">
        <v>46</v>
      </c>
      <c r="P6409" t="s">
        <v>46</v>
      </c>
      <c r="Y6409" t="s">
        <v>21409</v>
      </c>
    </row>
    <row r="6410" spans="1:25">
      <c r="A6410" t="s">
        <v>21410</v>
      </c>
      <c r="B6410" t="s">
        <v>21411</v>
      </c>
      <c r="D6410" t="s">
        <v>40</v>
      </c>
      <c r="E6410" t="s">
        <v>41</v>
      </c>
      <c r="J6410" t="s">
        <v>42</v>
      </c>
      <c r="K6410" t="s">
        <v>43</v>
      </c>
      <c r="L6410">
        <v>10</v>
      </c>
      <c r="M6410" t="s">
        <v>21408</v>
      </c>
      <c r="N6410" t="s">
        <v>440</v>
      </c>
      <c r="O6410" t="s">
        <v>46</v>
      </c>
      <c r="P6410" t="s">
        <v>46</v>
      </c>
      <c r="Y6410" t="s">
        <v>21412</v>
      </c>
    </row>
    <row r="6411" spans="1:25">
      <c r="A6411" t="s">
        <v>21413</v>
      </c>
      <c r="B6411" t="s">
        <v>21414</v>
      </c>
      <c r="D6411" t="s">
        <v>40</v>
      </c>
      <c r="E6411" t="s">
        <v>41</v>
      </c>
      <c r="J6411" t="s">
        <v>288</v>
      </c>
      <c r="K6411" t="s">
        <v>289</v>
      </c>
      <c r="L6411">
        <v>10</v>
      </c>
      <c r="M6411" t="s">
        <v>21408</v>
      </c>
      <c r="N6411" t="s">
        <v>291</v>
      </c>
      <c r="O6411" t="s">
        <v>46</v>
      </c>
      <c r="P6411" t="s">
        <v>46</v>
      </c>
      <c r="Y6411" t="s">
        <v>21415</v>
      </c>
    </row>
    <row r="6412" spans="1:25">
      <c r="A6412" t="s">
        <v>21416</v>
      </c>
      <c r="B6412" t="s">
        <v>21417</v>
      </c>
      <c r="D6412" t="s">
        <v>40</v>
      </c>
      <c r="E6412" t="s">
        <v>41</v>
      </c>
      <c r="J6412" t="s">
        <v>248</v>
      </c>
      <c r="K6412" t="s">
        <v>249</v>
      </c>
      <c r="L6412">
        <v>10</v>
      </c>
      <c r="M6412" t="s">
        <v>21418</v>
      </c>
      <c r="N6412" t="s">
        <v>1446</v>
      </c>
      <c r="O6412" t="s">
        <v>46</v>
      </c>
      <c r="P6412" t="s">
        <v>46</v>
      </c>
      <c r="Y6412" t="s">
        <v>21419</v>
      </c>
    </row>
    <row r="6413" spans="1:25">
      <c r="A6413" t="s">
        <v>21420</v>
      </c>
      <c r="B6413" t="s">
        <v>21421</v>
      </c>
      <c r="D6413" t="s">
        <v>40</v>
      </c>
      <c r="E6413" t="s">
        <v>41</v>
      </c>
      <c r="J6413" t="s">
        <v>182</v>
      </c>
      <c r="K6413" t="s">
        <v>183</v>
      </c>
      <c r="L6413">
        <v>10</v>
      </c>
      <c r="M6413" t="s">
        <v>21418</v>
      </c>
      <c r="N6413" t="s">
        <v>64</v>
      </c>
      <c r="O6413" t="s">
        <v>46</v>
      </c>
      <c r="P6413" t="s">
        <v>46</v>
      </c>
      <c r="Y6413" t="s">
        <v>21422</v>
      </c>
    </row>
    <row r="6414" spans="1:25">
      <c r="A6414" t="s">
        <v>21423</v>
      </c>
      <c r="B6414" t="s">
        <v>21424</v>
      </c>
      <c r="D6414" t="s">
        <v>40</v>
      </c>
      <c r="E6414" t="s">
        <v>41</v>
      </c>
      <c r="J6414" t="s">
        <v>42</v>
      </c>
      <c r="K6414" t="s">
        <v>43</v>
      </c>
      <c r="L6414">
        <v>10</v>
      </c>
      <c r="M6414" t="s">
        <v>21418</v>
      </c>
      <c r="N6414" t="s">
        <v>741</v>
      </c>
      <c r="O6414" t="s">
        <v>46</v>
      </c>
      <c r="P6414" t="s">
        <v>46</v>
      </c>
      <c r="Y6414" t="s">
        <v>21425</v>
      </c>
    </row>
    <row r="6415" spans="1:25">
      <c r="A6415" t="s">
        <v>21426</v>
      </c>
      <c r="B6415" t="s">
        <v>21427</v>
      </c>
      <c r="D6415" t="s">
        <v>40</v>
      </c>
      <c r="E6415" t="s">
        <v>41</v>
      </c>
      <c r="J6415" t="s">
        <v>76</v>
      </c>
      <c r="K6415" t="s">
        <v>77</v>
      </c>
      <c r="L6415">
        <v>10</v>
      </c>
      <c r="M6415" t="s">
        <v>21418</v>
      </c>
      <c r="N6415" t="s">
        <v>64</v>
      </c>
      <c r="O6415" t="s">
        <v>46</v>
      </c>
      <c r="P6415" t="s">
        <v>46</v>
      </c>
      <c r="Y6415" t="s">
        <v>21428</v>
      </c>
    </row>
    <row r="6416" spans="1:25">
      <c r="A6416" t="s">
        <v>21429</v>
      </c>
      <c r="B6416" t="s">
        <v>21430</v>
      </c>
      <c r="D6416" t="s">
        <v>40</v>
      </c>
      <c r="E6416" t="s">
        <v>41</v>
      </c>
      <c r="J6416" t="s">
        <v>182</v>
      </c>
      <c r="K6416" t="s">
        <v>183</v>
      </c>
      <c r="L6416">
        <v>10</v>
      </c>
      <c r="M6416" t="s">
        <v>21431</v>
      </c>
      <c r="N6416" t="s">
        <v>64</v>
      </c>
      <c r="O6416" t="s">
        <v>46</v>
      </c>
      <c r="P6416" t="s">
        <v>46</v>
      </c>
      <c r="Y6416" t="s">
        <v>21432</v>
      </c>
    </row>
    <row r="6417" spans="1:25">
      <c r="A6417" t="s">
        <v>21433</v>
      </c>
      <c r="B6417" t="s">
        <v>21434</v>
      </c>
      <c r="D6417" t="s">
        <v>40</v>
      </c>
      <c r="E6417" t="s">
        <v>41</v>
      </c>
      <c r="J6417" t="s">
        <v>182</v>
      </c>
      <c r="K6417" t="s">
        <v>183</v>
      </c>
      <c r="L6417">
        <v>10</v>
      </c>
      <c r="M6417" t="s">
        <v>21431</v>
      </c>
      <c r="N6417" t="s">
        <v>64</v>
      </c>
      <c r="O6417" t="s">
        <v>46</v>
      </c>
      <c r="P6417" t="s">
        <v>46</v>
      </c>
      <c r="Y6417" t="s">
        <v>21435</v>
      </c>
    </row>
    <row r="6418" spans="1:25">
      <c r="A6418" t="s">
        <v>21436</v>
      </c>
      <c r="B6418" t="s">
        <v>21437</v>
      </c>
      <c r="D6418" t="s">
        <v>40</v>
      </c>
      <c r="E6418" t="s">
        <v>41</v>
      </c>
      <c r="J6418" t="s">
        <v>42</v>
      </c>
      <c r="K6418" t="s">
        <v>43</v>
      </c>
      <c r="L6418">
        <v>10</v>
      </c>
      <c r="M6418" t="s">
        <v>21438</v>
      </c>
      <c r="N6418" t="s">
        <v>257</v>
      </c>
      <c r="O6418" t="s">
        <v>46</v>
      </c>
      <c r="P6418" t="s">
        <v>46</v>
      </c>
      <c r="Y6418" t="s">
        <v>21439</v>
      </c>
    </row>
    <row r="6419" spans="1:25">
      <c r="A6419" t="s">
        <v>21440</v>
      </c>
      <c r="B6419" t="s">
        <v>21441</v>
      </c>
      <c r="D6419" t="s">
        <v>40</v>
      </c>
      <c r="E6419" t="s">
        <v>41</v>
      </c>
      <c r="J6419" t="s">
        <v>182</v>
      </c>
      <c r="K6419" t="s">
        <v>183</v>
      </c>
      <c r="L6419">
        <v>10</v>
      </c>
      <c r="M6419" t="s">
        <v>21442</v>
      </c>
      <c r="N6419" t="s">
        <v>64</v>
      </c>
      <c r="O6419" t="s">
        <v>46</v>
      </c>
      <c r="P6419" t="s">
        <v>46</v>
      </c>
      <c r="Y6419" t="s">
        <v>21443</v>
      </c>
    </row>
    <row r="6420" spans="1:25">
      <c r="A6420" t="s">
        <v>21444</v>
      </c>
      <c r="B6420" t="s">
        <v>21445</v>
      </c>
      <c r="D6420" t="s">
        <v>40</v>
      </c>
      <c r="E6420" t="s">
        <v>41</v>
      </c>
      <c r="J6420" t="s">
        <v>182</v>
      </c>
      <c r="K6420" t="s">
        <v>183</v>
      </c>
      <c r="L6420">
        <v>10</v>
      </c>
      <c r="M6420" t="s">
        <v>21442</v>
      </c>
      <c r="N6420" t="s">
        <v>64</v>
      </c>
      <c r="O6420" t="s">
        <v>46</v>
      </c>
      <c r="P6420" t="s">
        <v>46</v>
      </c>
      <c r="Y6420" t="s">
        <v>21446</v>
      </c>
    </row>
    <row r="6421" spans="1:25">
      <c r="A6421" t="s">
        <v>21447</v>
      </c>
      <c r="B6421" t="s">
        <v>21448</v>
      </c>
      <c r="D6421" t="s">
        <v>40</v>
      </c>
      <c r="E6421" t="s">
        <v>41</v>
      </c>
      <c r="J6421" t="s">
        <v>182</v>
      </c>
      <c r="K6421" t="s">
        <v>183</v>
      </c>
      <c r="L6421">
        <v>8</v>
      </c>
      <c r="M6421" t="s">
        <v>21442</v>
      </c>
      <c r="N6421" t="s">
        <v>64</v>
      </c>
      <c r="O6421" t="s">
        <v>46</v>
      </c>
      <c r="P6421" t="s">
        <v>46</v>
      </c>
      <c r="Y6421" t="s">
        <v>21449</v>
      </c>
    </row>
    <row r="6422" spans="1:25">
      <c r="A6422" t="s">
        <v>21450</v>
      </c>
      <c r="B6422" t="s">
        <v>21451</v>
      </c>
      <c r="D6422" t="s">
        <v>40</v>
      </c>
      <c r="E6422" t="s">
        <v>41</v>
      </c>
      <c r="J6422" t="s">
        <v>182</v>
      </c>
      <c r="K6422" t="s">
        <v>183</v>
      </c>
      <c r="L6422">
        <v>10</v>
      </c>
      <c r="M6422" t="s">
        <v>21452</v>
      </c>
      <c r="N6422" t="s">
        <v>64</v>
      </c>
      <c r="O6422" t="s">
        <v>46</v>
      </c>
      <c r="P6422" t="s">
        <v>46</v>
      </c>
      <c r="Y6422" t="s">
        <v>21453</v>
      </c>
    </row>
    <row r="6423" spans="1:25">
      <c r="A6423" t="s">
        <v>21454</v>
      </c>
      <c r="B6423" t="s">
        <v>21455</v>
      </c>
      <c r="D6423" t="s">
        <v>40</v>
      </c>
      <c r="E6423" t="s">
        <v>41</v>
      </c>
      <c r="J6423" t="s">
        <v>182</v>
      </c>
      <c r="K6423" t="s">
        <v>183</v>
      </c>
      <c r="L6423">
        <v>10</v>
      </c>
      <c r="M6423" t="s">
        <v>21452</v>
      </c>
      <c r="N6423" t="s">
        <v>64</v>
      </c>
      <c r="O6423" t="s">
        <v>46</v>
      </c>
      <c r="P6423" t="s">
        <v>46</v>
      </c>
      <c r="Y6423" t="s">
        <v>21456</v>
      </c>
    </row>
    <row r="6424" spans="1:25">
      <c r="A6424" t="s">
        <v>21457</v>
      </c>
      <c r="B6424" t="s">
        <v>21458</v>
      </c>
      <c r="D6424" t="s">
        <v>40</v>
      </c>
      <c r="E6424" t="s">
        <v>41</v>
      </c>
      <c r="J6424" t="s">
        <v>182</v>
      </c>
      <c r="K6424" t="s">
        <v>183</v>
      </c>
      <c r="L6424">
        <v>10</v>
      </c>
      <c r="M6424" t="s">
        <v>21452</v>
      </c>
      <c r="N6424" t="s">
        <v>64</v>
      </c>
      <c r="O6424" t="s">
        <v>46</v>
      </c>
      <c r="P6424" t="s">
        <v>46</v>
      </c>
      <c r="Y6424" t="s">
        <v>21459</v>
      </c>
    </row>
    <row r="6425" spans="1:25">
      <c r="A6425" t="s">
        <v>21460</v>
      </c>
      <c r="B6425" t="s">
        <v>21461</v>
      </c>
      <c r="D6425" t="s">
        <v>40</v>
      </c>
      <c r="E6425" t="s">
        <v>41</v>
      </c>
      <c r="J6425" t="s">
        <v>182</v>
      </c>
      <c r="K6425" t="s">
        <v>183</v>
      </c>
      <c r="L6425">
        <v>10</v>
      </c>
      <c r="M6425" t="s">
        <v>21462</v>
      </c>
      <c r="N6425" t="s">
        <v>64</v>
      </c>
      <c r="O6425" t="s">
        <v>46</v>
      </c>
      <c r="P6425" t="s">
        <v>46</v>
      </c>
      <c r="Y6425" t="s">
        <v>21463</v>
      </c>
    </row>
    <row r="6426" spans="1:25">
      <c r="A6426" t="s">
        <v>21464</v>
      </c>
      <c r="B6426" t="s">
        <v>21465</v>
      </c>
      <c r="D6426" t="s">
        <v>40</v>
      </c>
      <c r="E6426" t="s">
        <v>41</v>
      </c>
      <c r="J6426" t="s">
        <v>182</v>
      </c>
      <c r="K6426" t="s">
        <v>183</v>
      </c>
      <c r="L6426">
        <v>10</v>
      </c>
      <c r="M6426" t="s">
        <v>21466</v>
      </c>
      <c r="N6426" t="s">
        <v>64</v>
      </c>
      <c r="O6426" t="s">
        <v>46</v>
      </c>
      <c r="P6426" t="s">
        <v>46</v>
      </c>
      <c r="Y6426" t="s">
        <v>21467</v>
      </c>
    </row>
    <row r="6427" spans="1:25">
      <c r="A6427" t="s">
        <v>21468</v>
      </c>
      <c r="B6427" t="s">
        <v>21469</v>
      </c>
      <c r="D6427" t="s">
        <v>40</v>
      </c>
      <c r="E6427" t="s">
        <v>41</v>
      </c>
      <c r="J6427" t="s">
        <v>182</v>
      </c>
      <c r="K6427" t="s">
        <v>183</v>
      </c>
      <c r="L6427">
        <v>10</v>
      </c>
      <c r="M6427" t="s">
        <v>21466</v>
      </c>
      <c r="N6427" t="s">
        <v>64</v>
      </c>
      <c r="O6427" t="s">
        <v>46</v>
      </c>
      <c r="P6427" t="s">
        <v>46</v>
      </c>
      <c r="Y6427" t="s">
        <v>21470</v>
      </c>
    </row>
    <row r="6428" spans="1:25">
      <c r="A6428" t="s">
        <v>21471</v>
      </c>
      <c r="B6428" t="s">
        <v>21472</v>
      </c>
      <c r="D6428" t="s">
        <v>40</v>
      </c>
      <c r="E6428" t="s">
        <v>41</v>
      </c>
      <c r="J6428" t="s">
        <v>182</v>
      </c>
      <c r="K6428" t="s">
        <v>183</v>
      </c>
      <c r="L6428">
        <v>10</v>
      </c>
      <c r="M6428" t="s">
        <v>21473</v>
      </c>
      <c r="N6428" t="s">
        <v>64</v>
      </c>
      <c r="O6428" t="s">
        <v>46</v>
      </c>
      <c r="P6428" t="s">
        <v>46</v>
      </c>
      <c r="Y6428" t="s">
        <v>21474</v>
      </c>
    </row>
    <row r="6429" spans="1:25">
      <c r="A6429" t="s">
        <v>21475</v>
      </c>
      <c r="B6429" t="s">
        <v>21476</v>
      </c>
      <c r="D6429" t="s">
        <v>40</v>
      </c>
      <c r="E6429" t="s">
        <v>41</v>
      </c>
      <c r="J6429" t="s">
        <v>76</v>
      </c>
      <c r="K6429" t="s">
        <v>77</v>
      </c>
      <c r="L6429">
        <v>10</v>
      </c>
      <c r="M6429" t="s">
        <v>21473</v>
      </c>
      <c r="N6429" t="s">
        <v>64</v>
      </c>
      <c r="O6429" t="s">
        <v>46</v>
      </c>
      <c r="P6429" t="s">
        <v>46</v>
      </c>
      <c r="Y6429" t="s">
        <v>21477</v>
      </c>
    </row>
    <row r="6430" spans="1:25">
      <c r="A6430" t="s">
        <v>21478</v>
      </c>
      <c r="B6430" t="s">
        <v>21479</v>
      </c>
      <c r="D6430" t="s">
        <v>40</v>
      </c>
      <c r="E6430" t="s">
        <v>41</v>
      </c>
      <c r="J6430" t="s">
        <v>76</v>
      </c>
      <c r="K6430" t="s">
        <v>77</v>
      </c>
      <c r="L6430">
        <v>10</v>
      </c>
      <c r="M6430" t="s">
        <v>21473</v>
      </c>
      <c r="N6430" t="s">
        <v>64</v>
      </c>
      <c r="O6430" t="s">
        <v>46</v>
      </c>
      <c r="P6430" t="s">
        <v>46</v>
      </c>
      <c r="Y6430" t="s">
        <v>21480</v>
      </c>
    </row>
    <row r="6431" spans="1:25">
      <c r="A6431" t="s">
        <v>21481</v>
      </c>
      <c r="B6431" t="s">
        <v>21482</v>
      </c>
      <c r="D6431" t="s">
        <v>40</v>
      </c>
      <c r="E6431" t="s">
        <v>41</v>
      </c>
      <c r="J6431" t="s">
        <v>42</v>
      </c>
      <c r="K6431" t="s">
        <v>43</v>
      </c>
      <c r="L6431">
        <v>10</v>
      </c>
      <c r="M6431" t="s">
        <v>21473</v>
      </c>
      <c r="N6431" t="s">
        <v>305</v>
      </c>
      <c r="O6431" t="s">
        <v>46</v>
      </c>
      <c r="P6431" t="s">
        <v>46</v>
      </c>
      <c r="Y6431" t="s">
        <v>21483</v>
      </c>
    </row>
    <row r="6432" spans="1:25">
      <c r="A6432" t="s">
        <v>21484</v>
      </c>
      <c r="B6432" t="s">
        <v>21485</v>
      </c>
      <c r="D6432" t="s">
        <v>40</v>
      </c>
      <c r="E6432" t="s">
        <v>41</v>
      </c>
      <c r="J6432" t="s">
        <v>76</v>
      </c>
      <c r="K6432" t="s">
        <v>77</v>
      </c>
      <c r="L6432">
        <v>9</v>
      </c>
      <c r="M6432" t="s">
        <v>21486</v>
      </c>
      <c r="N6432" t="s">
        <v>64</v>
      </c>
      <c r="O6432" t="s">
        <v>46</v>
      </c>
      <c r="P6432" t="s">
        <v>46</v>
      </c>
      <c r="Y6432" t="s">
        <v>21487</v>
      </c>
    </row>
    <row r="6433" spans="1:25">
      <c r="A6433" t="s">
        <v>21488</v>
      </c>
      <c r="B6433" t="s">
        <v>21489</v>
      </c>
      <c r="D6433" t="s">
        <v>40</v>
      </c>
      <c r="E6433" t="s">
        <v>41</v>
      </c>
      <c r="J6433" t="s">
        <v>76</v>
      </c>
      <c r="K6433" t="s">
        <v>77</v>
      </c>
      <c r="L6433">
        <v>10</v>
      </c>
      <c r="M6433" t="s">
        <v>21486</v>
      </c>
      <c r="N6433" t="s">
        <v>64</v>
      </c>
      <c r="O6433" t="s">
        <v>46</v>
      </c>
      <c r="P6433" t="s">
        <v>46</v>
      </c>
      <c r="Y6433" t="s">
        <v>21490</v>
      </c>
    </row>
    <row r="6434" spans="1:25">
      <c r="A6434" t="s">
        <v>21491</v>
      </c>
      <c r="B6434" t="s">
        <v>21492</v>
      </c>
      <c r="D6434" t="s">
        <v>40</v>
      </c>
      <c r="E6434" t="s">
        <v>41</v>
      </c>
      <c r="J6434" t="s">
        <v>182</v>
      </c>
      <c r="K6434" t="s">
        <v>183</v>
      </c>
      <c r="L6434">
        <v>9</v>
      </c>
      <c r="M6434" t="s">
        <v>21493</v>
      </c>
      <c r="N6434" t="s">
        <v>64</v>
      </c>
      <c r="O6434" t="s">
        <v>46</v>
      </c>
      <c r="P6434" t="s">
        <v>46</v>
      </c>
      <c r="Y6434" t="s">
        <v>21494</v>
      </c>
    </row>
    <row r="6435" spans="1:25">
      <c r="A6435" t="s">
        <v>21495</v>
      </c>
      <c r="B6435" t="s">
        <v>21496</v>
      </c>
      <c r="D6435" t="s">
        <v>40</v>
      </c>
      <c r="E6435" t="s">
        <v>41</v>
      </c>
      <c r="J6435" t="s">
        <v>76</v>
      </c>
      <c r="K6435" t="s">
        <v>77</v>
      </c>
      <c r="L6435">
        <v>9</v>
      </c>
      <c r="M6435" t="s">
        <v>21497</v>
      </c>
      <c r="N6435" t="s">
        <v>64</v>
      </c>
      <c r="O6435" t="s">
        <v>46</v>
      </c>
      <c r="P6435" t="s">
        <v>46</v>
      </c>
      <c r="Y6435" t="s">
        <v>21498</v>
      </c>
    </row>
    <row r="6436" spans="1:25">
      <c r="A6436" t="s">
        <v>21499</v>
      </c>
      <c r="B6436" t="s">
        <v>21500</v>
      </c>
      <c r="D6436" t="s">
        <v>40</v>
      </c>
      <c r="E6436" t="s">
        <v>41</v>
      </c>
      <c r="J6436" t="s">
        <v>76</v>
      </c>
      <c r="K6436" t="s">
        <v>77</v>
      </c>
      <c r="L6436">
        <v>9</v>
      </c>
      <c r="M6436" t="s">
        <v>21497</v>
      </c>
      <c r="N6436" t="s">
        <v>64</v>
      </c>
      <c r="O6436" t="s">
        <v>46</v>
      </c>
      <c r="P6436" t="s">
        <v>46</v>
      </c>
      <c r="Y6436" t="s">
        <v>21501</v>
      </c>
    </row>
    <row r="6437" spans="1:25">
      <c r="A6437" t="s">
        <v>21502</v>
      </c>
      <c r="B6437" t="s">
        <v>21503</v>
      </c>
      <c r="D6437" t="s">
        <v>40</v>
      </c>
      <c r="E6437" t="s">
        <v>41</v>
      </c>
      <c r="J6437" t="s">
        <v>182</v>
      </c>
      <c r="K6437" t="s">
        <v>183</v>
      </c>
      <c r="L6437">
        <v>9</v>
      </c>
      <c r="M6437" t="s">
        <v>21504</v>
      </c>
      <c r="N6437" t="s">
        <v>64</v>
      </c>
      <c r="O6437" t="s">
        <v>46</v>
      </c>
      <c r="P6437" t="s">
        <v>46</v>
      </c>
      <c r="Y6437" t="s">
        <v>21505</v>
      </c>
    </row>
    <row r="6438" spans="1:25">
      <c r="A6438" t="s">
        <v>21506</v>
      </c>
      <c r="B6438" t="s">
        <v>21507</v>
      </c>
      <c r="D6438" t="s">
        <v>40</v>
      </c>
      <c r="E6438" t="s">
        <v>41</v>
      </c>
      <c r="J6438" t="s">
        <v>248</v>
      </c>
      <c r="K6438" t="s">
        <v>249</v>
      </c>
      <c r="L6438">
        <v>9</v>
      </c>
      <c r="M6438" t="s">
        <v>21504</v>
      </c>
      <c r="N6438" t="s">
        <v>142</v>
      </c>
      <c r="O6438" t="s">
        <v>46</v>
      </c>
      <c r="P6438" t="s">
        <v>46</v>
      </c>
      <c r="Y6438" t="s">
        <v>21508</v>
      </c>
    </row>
    <row r="6439" spans="1:25">
      <c r="A6439" t="s">
        <v>21509</v>
      </c>
      <c r="B6439" t="s">
        <v>21510</v>
      </c>
      <c r="D6439" t="s">
        <v>40</v>
      </c>
      <c r="E6439" t="s">
        <v>41</v>
      </c>
      <c r="J6439" t="s">
        <v>76</v>
      </c>
      <c r="K6439" t="s">
        <v>77</v>
      </c>
      <c r="L6439">
        <v>9</v>
      </c>
      <c r="M6439" t="s">
        <v>21504</v>
      </c>
      <c r="N6439" t="s">
        <v>64</v>
      </c>
      <c r="O6439" t="s">
        <v>46</v>
      </c>
      <c r="P6439" t="s">
        <v>46</v>
      </c>
      <c r="Y6439" t="s">
        <v>21511</v>
      </c>
    </row>
    <row r="6440" spans="1:25">
      <c r="A6440" t="s">
        <v>21512</v>
      </c>
      <c r="B6440" t="s">
        <v>21513</v>
      </c>
      <c r="D6440" t="s">
        <v>40</v>
      </c>
      <c r="E6440" t="s">
        <v>41</v>
      </c>
      <c r="J6440" t="s">
        <v>16458</v>
      </c>
      <c r="K6440" t="s">
        <v>16459</v>
      </c>
      <c r="L6440">
        <v>8</v>
      </c>
      <c r="M6440" t="s">
        <v>21514</v>
      </c>
      <c r="N6440" t="s">
        <v>1446</v>
      </c>
      <c r="O6440" t="s">
        <v>46</v>
      </c>
      <c r="P6440" t="s">
        <v>46</v>
      </c>
      <c r="Y6440" t="s">
        <v>21515</v>
      </c>
    </row>
    <row r="6441" spans="1:25">
      <c r="A6441" t="s">
        <v>21516</v>
      </c>
      <c r="B6441" t="s">
        <v>21517</v>
      </c>
      <c r="D6441" t="s">
        <v>40</v>
      </c>
      <c r="E6441" t="s">
        <v>41</v>
      </c>
      <c r="J6441" t="s">
        <v>182</v>
      </c>
      <c r="K6441" t="s">
        <v>183</v>
      </c>
      <c r="L6441">
        <v>10</v>
      </c>
      <c r="M6441" t="s">
        <v>21518</v>
      </c>
      <c r="N6441" t="s">
        <v>64</v>
      </c>
      <c r="O6441" t="s">
        <v>46</v>
      </c>
      <c r="P6441" t="s">
        <v>46</v>
      </c>
      <c r="Y6441" t="s">
        <v>21519</v>
      </c>
    </row>
    <row r="6442" spans="1:25">
      <c r="A6442" t="s">
        <v>21520</v>
      </c>
      <c r="B6442" t="s">
        <v>21521</v>
      </c>
      <c r="D6442" t="s">
        <v>40</v>
      </c>
      <c r="E6442" t="s">
        <v>41</v>
      </c>
      <c r="J6442" t="s">
        <v>182</v>
      </c>
      <c r="K6442" t="s">
        <v>183</v>
      </c>
      <c r="L6442">
        <v>10</v>
      </c>
      <c r="M6442" t="s">
        <v>21518</v>
      </c>
      <c r="N6442" t="s">
        <v>64</v>
      </c>
      <c r="O6442" t="s">
        <v>46</v>
      </c>
      <c r="P6442" t="s">
        <v>46</v>
      </c>
      <c r="Y6442" t="s">
        <v>21522</v>
      </c>
    </row>
    <row r="6443" spans="1:25">
      <c r="A6443" t="s">
        <v>21523</v>
      </c>
      <c r="B6443" t="s">
        <v>21524</v>
      </c>
      <c r="D6443" t="s">
        <v>40</v>
      </c>
      <c r="E6443" t="s">
        <v>41</v>
      </c>
      <c r="J6443" t="s">
        <v>182</v>
      </c>
      <c r="K6443" t="s">
        <v>183</v>
      </c>
      <c r="L6443">
        <v>10</v>
      </c>
      <c r="M6443" t="s">
        <v>21525</v>
      </c>
      <c r="N6443" t="s">
        <v>64</v>
      </c>
      <c r="O6443" t="s">
        <v>46</v>
      </c>
      <c r="P6443" t="s">
        <v>46</v>
      </c>
      <c r="Y6443" t="s">
        <v>21526</v>
      </c>
    </row>
    <row r="6444" spans="1:25">
      <c r="A6444" t="s">
        <v>21527</v>
      </c>
      <c r="B6444" t="s">
        <v>21528</v>
      </c>
      <c r="D6444" t="s">
        <v>40</v>
      </c>
      <c r="E6444" t="s">
        <v>41</v>
      </c>
      <c r="J6444" t="s">
        <v>42</v>
      </c>
      <c r="K6444" t="s">
        <v>43</v>
      </c>
      <c r="L6444">
        <v>9</v>
      </c>
      <c r="M6444" t="s">
        <v>21529</v>
      </c>
      <c r="N6444" t="s">
        <v>2346</v>
      </c>
      <c r="O6444" t="s">
        <v>46</v>
      </c>
      <c r="P6444" t="s">
        <v>46</v>
      </c>
      <c r="Y6444" t="s">
        <v>21530</v>
      </c>
    </row>
    <row r="6445" spans="1:25">
      <c r="A6445" t="s">
        <v>21531</v>
      </c>
      <c r="B6445" t="s">
        <v>21532</v>
      </c>
      <c r="D6445" t="s">
        <v>40</v>
      </c>
      <c r="E6445" t="s">
        <v>41</v>
      </c>
      <c r="J6445" t="s">
        <v>182</v>
      </c>
      <c r="K6445" t="s">
        <v>183</v>
      </c>
      <c r="L6445">
        <v>9</v>
      </c>
      <c r="M6445" t="s">
        <v>21533</v>
      </c>
      <c r="N6445" t="s">
        <v>64</v>
      </c>
      <c r="O6445" t="s">
        <v>46</v>
      </c>
      <c r="P6445" t="s">
        <v>46</v>
      </c>
      <c r="Y6445" t="s">
        <v>21534</v>
      </c>
    </row>
    <row r="6446" spans="1:25">
      <c r="A6446" t="s">
        <v>21535</v>
      </c>
      <c r="B6446" t="s">
        <v>21536</v>
      </c>
      <c r="D6446" t="s">
        <v>40</v>
      </c>
      <c r="E6446" t="s">
        <v>41</v>
      </c>
      <c r="J6446" t="s">
        <v>182</v>
      </c>
      <c r="K6446" t="s">
        <v>183</v>
      </c>
      <c r="L6446">
        <v>9</v>
      </c>
      <c r="M6446" t="s">
        <v>21533</v>
      </c>
      <c r="N6446" t="s">
        <v>64</v>
      </c>
      <c r="O6446" t="s">
        <v>46</v>
      </c>
      <c r="P6446" t="s">
        <v>46</v>
      </c>
      <c r="Y6446" t="s">
        <v>21537</v>
      </c>
    </row>
    <row r="6447" spans="1:25">
      <c r="A6447" t="s">
        <v>21538</v>
      </c>
      <c r="B6447" t="s">
        <v>21539</v>
      </c>
      <c r="D6447" t="s">
        <v>40</v>
      </c>
      <c r="E6447" t="s">
        <v>41</v>
      </c>
      <c r="J6447" t="s">
        <v>42</v>
      </c>
      <c r="K6447" t="s">
        <v>43</v>
      </c>
      <c r="L6447">
        <v>9</v>
      </c>
      <c r="M6447" t="s">
        <v>21533</v>
      </c>
      <c r="N6447" t="s">
        <v>440</v>
      </c>
      <c r="O6447" t="s">
        <v>46</v>
      </c>
      <c r="P6447" t="s">
        <v>46</v>
      </c>
      <c r="Y6447" t="s">
        <v>21540</v>
      </c>
    </row>
    <row r="6448" spans="1:25">
      <c r="A6448" t="s">
        <v>21541</v>
      </c>
      <c r="B6448" t="s">
        <v>21542</v>
      </c>
      <c r="D6448" t="s">
        <v>40</v>
      </c>
      <c r="E6448" t="s">
        <v>41</v>
      </c>
      <c r="J6448" t="s">
        <v>182</v>
      </c>
      <c r="K6448" t="s">
        <v>183</v>
      </c>
      <c r="L6448">
        <v>9</v>
      </c>
      <c r="M6448" t="s">
        <v>21533</v>
      </c>
      <c r="N6448" t="s">
        <v>64</v>
      </c>
      <c r="O6448" t="s">
        <v>46</v>
      </c>
      <c r="P6448" t="s">
        <v>46</v>
      </c>
      <c r="Y6448" t="s">
        <v>21543</v>
      </c>
    </row>
    <row r="6449" spans="1:25">
      <c r="A6449" t="s">
        <v>21544</v>
      </c>
      <c r="B6449" t="s">
        <v>21545</v>
      </c>
      <c r="D6449" t="s">
        <v>40</v>
      </c>
      <c r="E6449" t="s">
        <v>41</v>
      </c>
      <c r="J6449" t="s">
        <v>42</v>
      </c>
      <c r="K6449" t="s">
        <v>43</v>
      </c>
      <c r="L6449">
        <v>10</v>
      </c>
      <c r="M6449" t="s">
        <v>21546</v>
      </c>
      <c r="N6449" t="s">
        <v>756</v>
      </c>
      <c r="O6449" t="s">
        <v>46</v>
      </c>
      <c r="P6449" t="s">
        <v>46</v>
      </c>
      <c r="Y6449" t="s">
        <v>21547</v>
      </c>
    </row>
    <row r="6450" spans="1:25">
      <c r="A6450" t="s">
        <v>21548</v>
      </c>
      <c r="B6450" t="s">
        <v>21549</v>
      </c>
      <c r="D6450" t="s">
        <v>40</v>
      </c>
      <c r="E6450" t="s">
        <v>41</v>
      </c>
      <c r="J6450" t="s">
        <v>182</v>
      </c>
      <c r="K6450" t="s">
        <v>183</v>
      </c>
      <c r="L6450">
        <v>10</v>
      </c>
      <c r="M6450" t="s">
        <v>21550</v>
      </c>
      <c r="N6450" t="s">
        <v>64</v>
      </c>
      <c r="O6450" t="s">
        <v>46</v>
      </c>
      <c r="P6450" t="s">
        <v>46</v>
      </c>
      <c r="Y6450" t="s">
        <v>21551</v>
      </c>
    </row>
    <row r="6451" spans="1:25">
      <c r="A6451" t="s">
        <v>21552</v>
      </c>
      <c r="B6451" t="s">
        <v>21553</v>
      </c>
      <c r="D6451" t="s">
        <v>40</v>
      </c>
      <c r="E6451" t="s">
        <v>41</v>
      </c>
      <c r="J6451" t="s">
        <v>182</v>
      </c>
      <c r="K6451" t="s">
        <v>183</v>
      </c>
      <c r="L6451">
        <v>9</v>
      </c>
      <c r="M6451" t="s">
        <v>21554</v>
      </c>
      <c r="N6451" t="s">
        <v>64</v>
      </c>
      <c r="O6451" t="s">
        <v>46</v>
      </c>
      <c r="P6451" t="s">
        <v>46</v>
      </c>
      <c r="Y6451" t="s">
        <v>21555</v>
      </c>
    </row>
    <row r="6452" spans="1:25">
      <c r="A6452" t="s">
        <v>21556</v>
      </c>
      <c r="B6452" t="s">
        <v>21557</v>
      </c>
      <c r="D6452" t="s">
        <v>40</v>
      </c>
      <c r="E6452" t="s">
        <v>41</v>
      </c>
      <c r="J6452" t="s">
        <v>182</v>
      </c>
      <c r="K6452" t="s">
        <v>183</v>
      </c>
      <c r="L6452">
        <v>9</v>
      </c>
      <c r="M6452" t="s">
        <v>21554</v>
      </c>
      <c r="N6452" t="s">
        <v>64</v>
      </c>
      <c r="O6452" t="s">
        <v>46</v>
      </c>
      <c r="P6452" t="s">
        <v>46</v>
      </c>
      <c r="Y6452" t="s">
        <v>21558</v>
      </c>
    </row>
    <row r="6453" spans="1:25">
      <c r="A6453" t="s">
        <v>21559</v>
      </c>
      <c r="B6453" t="s">
        <v>21560</v>
      </c>
      <c r="D6453" t="s">
        <v>40</v>
      </c>
      <c r="E6453" t="s">
        <v>41</v>
      </c>
      <c r="J6453" t="s">
        <v>182</v>
      </c>
      <c r="K6453" t="s">
        <v>183</v>
      </c>
      <c r="L6453">
        <v>9</v>
      </c>
      <c r="M6453" t="s">
        <v>21561</v>
      </c>
      <c r="N6453" t="s">
        <v>64</v>
      </c>
      <c r="O6453" t="s">
        <v>46</v>
      </c>
      <c r="P6453" t="s">
        <v>46</v>
      </c>
      <c r="Y6453" t="s">
        <v>21562</v>
      </c>
    </row>
    <row r="6454" spans="1:25">
      <c r="A6454" t="s">
        <v>21563</v>
      </c>
      <c r="B6454" t="s">
        <v>21564</v>
      </c>
      <c r="D6454" t="s">
        <v>40</v>
      </c>
      <c r="E6454" t="s">
        <v>41</v>
      </c>
      <c r="J6454" t="s">
        <v>76</v>
      </c>
      <c r="K6454" t="s">
        <v>77</v>
      </c>
      <c r="L6454">
        <v>10</v>
      </c>
      <c r="M6454" t="s">
        <v>21565</v>
      </c>
      <c r="N6454" t="s">
        <v>64</v>
      </c>
      <c r="O6454" t="s">
        <v>46</v>
      </c>
      <c r="P6454" t="s">
        <v>46</v>
      </c>
      <c r="Y6454" t="s">
        <v>21566</v>
      </c>
    </row>
    <row r="6455" spans="1:25">
      <c r="A6455" t="s">
        <v>21567</v>
      </c>
      <c r="B6455" t="s">
        <v>21568</v>
      </c>
      <c r="D6455" t="s">
        <v>40</v>
      </c>
      <c r="E6455" t="s">
        <v>41</v>
      </c>
      <c r="J6455" t="s">
        <v>76</v>
      </c>
      <c r="K6455" t="s">
        <v>77</v>
      </c>
      <c r="L6455">
        <v>10</v>
      </c>
      <c r="M6455" t="s">
        <v>21565</v>
      </c>
      <c r="N6455" t="s">
        <v>64</v>
      </c>
      <c r="O6455" t="s">
        <v>46</v>
      </c>
      <c r="P6455" t="s">
        <v>46</v>
      </c>
      <c r="Y6455" t="s">
        <v>21569</v>
      </c>
    </row>
    <row r="6456" spans="1:25">
      <c r="A6456" t="s">
        <v>21570</v>
      </c>
      <c r="B6456" t="s">
        <v>21571</v>
      </c>
      <c r="D6456" t="s">
        <v>40</v>
      </c>
      <c r="E6456" t="s">
        <v>41</v>
      </c>
      <c r="J6456" t="s">
        <v>182</v>
      </c>
      <c r="K6456" t="s">
        <v>183</v>
      </c>
      <c r="L6456">
        <v>10</v>
      </c>
      <c r="M6456" t="s">
        <v>21565</v>
      </c>
      <c r="N6456" t="s">
        <v>64</v>
      </c>
      <c r="O6456" t="s">
        <v>46</v>
      </c>
      <c r="P6456" t="s">
        <v>46</v>
      </c>
      <c r="Y6456" t="s">
        <v>21572</v>
      </c>
    </row>
    <row r="6457" spans="1:25">
      <c r="A6457" t="s">
        <v>21573</v>
      </c>
      <c r="B6457" t="s">
        <v>21574</v>
      </c>
      <c r="D6457" t="s">
        <v>40</v>
      </c>
      <c r="E6457" t="s">
        <v>41</v>
      </c>
      <c r="J6457" t="s">
        <v>76</v>
      </c>
      <c r="K6457" t="s">
        <v>77</v>
      </c>
      <c r="L6457">
        <v>9</v>
      </c>
      <c r="M6457" t="s">
        <v>21575</v>
      </c>
      <c r="N6457" t="s">
        <v>64</v>
      </c>
      <c r="O6457" t="s">
        <v>46</v>
      </c>
      <c r="P6457" t="s">
        <v>46</v>
      </c>
      <c r="Y6457" t="s">
        <v>21576</v>
      </c>
    </row>
    <row r="6458" spans="1:25">
      <c r="A6458" t="s">
        <v>21577</v>
      </c>
      <c r="B6458" t="s">
        <v>21578</v>
      </c>
      <c r="D6458" t="s">
        <v>40</v>
      </c>
      <c r="E6458" t="s">
        <v>41</v>
      </c>
      <c r="J6458" t="s">
        <v>182</v>
      </c>
      <c r="K6458" t="s">
        <v>183</v>
      </c>
      <c r="L6458">
        <v>10</v>
      </c>
      <c r="M6458" t="s">
        <v>21575</v>
      </c>
      <c r="N6458" t="s">
        <v>64</v>
      </c>
      <c r="O6458" t="s">
        <v>46</v>
      </c>
      <c r="P6458" t="s">
        <v>46</v>
      </c>
      <c r="Y6458" t="s">
        <v>21579</v>
      </c>
    </row>
    <row r="6459" spans="1:25">
      <c r="A6459" t="s">
        <v>21580</v>
      </c>
      <c r="B6459" t="s">
        <v>21581</v>
      </c>
      <c r="D6459" t="s">
        <v>40</v>
      </c>
      <c r="E6459" t="s">
        <v>41</v>
      </c>
      <c r="J6459" t="s">
        <v>182</v>
      </c>
      <c r="K6459" t="s">
        <v>183</v>
      </c>
      <c r="L6459">
        <v>10</v>
      </c>
      <c r="M6459" t="s">
        <v>21575</v>
      </c>
      <c r="N6459" t="s">
        <v>64</v>
      </c>
      <c r="O6459" t="s">
        <v>46</v>
      </c>
      <c r="P6459" t="s">
        <v>46</v>
      </c>
      <c r="Y6459" t="s">
        <v>21582</v>
      </c>
    </row>
    <row r="6460" spans="1:25">
      <c r="A6460" t="s">
        <v>21583</v>
      </c>
      <c r="B6460" t="s">
        <v>21584</v>
      </c>
      <c r="D6460" t="s">
        <v>40</v>
      </c>
      <c r="E6460" t="s">
        <v>41</v>
      </c>
      <c r="J6460" t="s">
        <v>139</v>
      </c>
      <c r="K6460" t="s">
        <v>140</v>
      </c>
      <c r="L6460">
        <v>9</v>
      </c>
      <c r="M6460" t="s">
        <v>21585</v>
      </c>
      <c r="N6460" t="s">
        <v>165</v>
      </c>
      <c r="O6460" t="s">
        <v>46</v>
      </c>
      <c r="P6460" t="s">
        <v>46</v>
      </c>
      <c r="Y6460" t="s">
        <v>21586</v>
      </c>
    </row>
    <row r="6461" spans="1:25">
      <c r="A6461" t="s">
        <v>21587</v>
      </c>
      <c r="B6461" t="s">
        <v>21588</v>
      </c>
      <c r="D6461" t="s">
        <v>40</v>
      </c>
      <c r="E6461" t="s">
        <v>41</v>
      </c>
      <c r="J6461" t="s">
        <v>76</v>
      </c>
      <c r="K6461" t="s">
        <v>77</v>
      </c>
      <c r="L6461">
        <v>10</v>
      </c>
      <c r="M6461" t="s">
        <v>21589</v>
      </c>
      <c r="N6461" t="s">
        <v>64</v>
      </c>
      <c r="O6461" t="s">
        <v>46</v>
      </c>
      <c r="P6461" t="s">
        <v>46</v>
      </c>
      <c r="Y6461" t="s">
        <v>21590</v>
      </c>
    </row>
    <row r="6462" spans="1:25">
      <c r="A6462" t="s">
        <v>21591</v>
      </c>
      <c r="B6462" t="s">
        <v>21592</v>
      </c>
      <c r="D6462" t="s">
        <v>40</v>
      </c>
      <c r="E6462" t="s">
        <v>41</v>
      </c>
      <c r="J6462" t="s">
        <v>76</v>
      </c>
      <c r="K6462" t="s">
        <v>77</v>
      </c>
      <c r="L6462">
        <v>10</v>
      </c>
      <c r="M6462" t="s">
        <v>21589</v>
      </c>
      <c r="N6462" t="s">
        <v>64</v>
      </c>
      <c r="O6462" t="s">
        <v>46</v>
      </c>
      <c r="P6462" t="s">
        <v>46</v>
      </c>
      <c r="Y6462" t="s">
        <v>21593</v>
      </c>
    </row>
    <row r="6463" spans="1:25">
      <c r="A6463" t="s">
        <v>21594</v>
      </c>
      <c r="B6463" t="s">
        <v>21595</v>
      </c>
      <c r="D6463" t="s">
        <v>40</v>
      </c>
      <c r="E6463" t="s">
        <v>41</v>
      </c>
      <c r="J6463" t="s">
        <v>76</v>
      </c>
      <c r="K6463" t="s">
        <v>77</v>
      </c>
      <c r="L6463">
        <v>9</v>
      </c>
      <c r="M6463" t="s">
        <v>21596</v>
      </c>
      <c r="N6463" t="s">
        <v>64</v>
      </c>
      <c r="O6463" t="s">
        <v>46</v>
      </c>
      <c r="P6463" t="s">
        <v>46</v>
      </c>
      <c r="Y6463" t="s">
        <v>21597</v>
      </c>
    </row>
    <row r="6464" spans="1:25">
      <c r="A6464" t="s">
        <v>21598</v>
      </c>
      <c r="B6464" t="s">
        <v>21599</v>
      </c>
      <c r="D6464" t="s">
        <v>40</v>
      </c>
      <c r="E6464" t="s">
        <v>41</v>
      </c>
      <c r="J6464" t="s">
        <v>182</v>
      </c>
      <c r="K6464" t="s">
        <v>183</v>
      </c>
      <c r="L6464">
        <v>9</v>
      </c>
      <c r="M6464" t="s">
        <v>21600</v>
      </c>
      <c r="N6464" t="s">
        <v>64</v>
      </c>
      <c r="O6464" t="s">
        <v>46</v>
      </c>
      <c r="P6464" t="s">
        <v>46</v>
      </c>
      <c r="Y6464" t="s">
        <v>21601</v>
      </c>
    </row>
    <row r="6465" spans="1:25">
      <c r="A6465" t="s">
        <v>21602</v>
      </c>
      <c r="B6465" t="s">
        <v>21603</v>
      </c>
      <c r="D6465" t="s">
        <v>40</v>
      </c>
      <c r="E6465" t="s">
        <v>41</v>
      </c>
      <c r="J6465" t="s">
        <v>182</v>
      </c>
      <c r="K6465" t="s">
        <v>183</v>
      </c>
      <c r="L6465">
        <v>9</v>
      </c>
      <c r="M6465" t="s">
        <v>21604</v>
      </c>
      <c r="N6465" t="s">
        <v>64</v>
      </c>
      <c r="O6465" t="s">
        <v>46</v>
      </c>
      <c r="P6465" t="s">
        <v>46</v>
      </c>
      <c r="Y6465" t="s">
        <v>21605</v>
      </c>
    </row>
    <row r="6466" spans="1:25">
      <c r="A6466" t="s">
        <v>21606</v>
      </c>
      <c r="B6466" t="s">
        <v>21607</v>
      </c>
      <c r="D6466" t="s">
        <v>40</v>
      </c>
      <c r="E6466" t="s">
        <v>41</v>
      </c>
      <c r="J6466" t="s">
        <v>182</v>
      </c>
      <c r="K6466" t="s">
        <v>183</v>
      </c>
      <c r="L6466">
        <v>9</v>
      </c>
      <c r="M6466" t="s">
        <v>21604</v>
      </c>
      <c r="N6466" t="s">
        <v>64</v>
      </c>
      <c r="O6466" t="s">
        <v>46</v>
      </c>
      <c r="P6466" t="s">
        <v>46</v>
      </c>
      <c r="Y6466" t="s">
        <v>21608</v>
      </c>
    </row>
    <row r="6467" spans="1:25">
      <c r="A6467" t="s">
        <v>21609</v>
      </c>
      <c r="B6467" t="s">
        <v>21610</v>
      </c>
      <c r="D6467" t="s">
        <v>40</v>
      </c>
      <c r="E6467" t="s">
        <v>41</v>
      </c>
      <c r="J6467" t="s">
        <v>42</v>
      </c>
      <c r="K6467" t="s">
        <v>43</v>
      </c>
      <c r="L6467">
        <v>5</v>
      </c>
      <c r="M6467" t="s">
        <v>21611</v>
      </c>
      <c r="N6467" t="s">
        <v>5995</v>
      </c>
      <c r="O6467" t="s">
        <v>46</v>
      </c>
      <c r="P6467" t="s">
        <v>46</v>
      </c>
      <c r="Y6467" t="s">
        <v>21612</v>
      </c>
    </row>
    <row r="6468" spans="1:25">
      <c r="A6468" t="s">
        <v>21613</v>
      </c>
      <c r="B6468" t="s">
        <v>21614</v>
      </c>
      <c r="D6468" t="s">
        <v>40</v>
      </c>
      <c r="E6468" t="s">
        <v>41</v>
      </c>
      <c r="J6468" t="s">
        <v>50</v>
      </c>
      <c r="K6468" t="s">
        <v>51</v>
      </c>
      <c r="L6468">
        <v>11</v>
      </c>
      <c r="M6468" t="s">
        <v>21615</v>
      </c>
      <c r="N6468" t="s">
        <v>509</v>
      </c>
      <c r="O6468" t="s">
        <v>46</v>
      </c>
      <c r="P6468" t="s">
        <v>46</v>
      </c>
      <c r="Y6468" t="s">
        <v>21616</v>
      </c>
    </row>
    <row r="6469" spans="1:25">
      <c r="A6469" t="s">
        <v>21617</v>
      </c>
      <c r="B6469" t="s">
        <v>21618</v>
      </c>
      <c r="D6469" t="s">
        <v>40</v>
      </c>
      <c r="E6469" t="s">
        <v>41</v>
      </c>
      <c r="J6469" t="s">
        <v>248</v>
      </c>
      <c r="K6469" t="s">
        <v>249</v>
      </c>
      <c r="L6469">
        <v>7</v>
      </c>
      <c r="M6469" t="s">
        <v>21619</v>
      </c>
      <c r="N6469" t="s">
        <v>53</v>
      </c>
      <c r="O6469" t="s">
        <v>46</v>
      </c>
      <c r="P6469" t="s">
        <v>46</v>
      </c>
      <c r="Y6469" t="s">
        <v>21620</v>
      </c>
    </row>
    <row r="6470" spans="1:25">
      <c r="A6470" t="s">
        <v>21621</v>
      </c>
      <c r="B6470" t="s">
        <v>21622</v>
      </c>
      <c r="D6470" t="s">
        <v>40</v>
      </c>
      <c r="E6470" t="s">
        <v>41</v>
      </c>
      <c r="J6470" t="s">
        <v>182</v>
      </c>
      <c r="K6470" t="s">
        <v>183</v>
      </c>
      <c r="L6470">
        <v>9</v>
      </c>
      <c r="M6470" t="s">
        <v>21619</v>
      </c>
      <c r="N6470" t="s">
        <v>64</v>
      </c>
      <c r="O6470" t="s">
        <v>46</v>
      </c>
      <c r="P6470" t="s">
        <v>46</v>
      </c>
      <c r="Y6470" t="s">
        <v>21623</v>
      </c>
    </row>
    <row r="6471" spans="1:25">
      <c r="A6471" t="s">
        <v>21624</v>
      </c>
      <c r="B6471" t="s">
        <v>21625</v>
      </c>
      <c r="D6471" t="s">
        <v>40</v>
      </c>
      <c r="E6471" t="s">
        <v>41</v>
      </c>
      <c r="J6471" t="s">
        <v>182</v>
      </c>
      <c r="K6471" t="s">
        <v>183</v>
      </c>
      <c r="L6471">
        <v>9</v>
      </c>
      <c r="M6471" t="s">
        <v>21619</v>
      </c>
      <c r="N6471" t="s">
        <v>64</v>
      </c>
      <c r="O6471" t="s">
        <v>46</v>
      </c>
      <c r="P6471" t="s">
        <v>46</v>
      </c>
      <c r="Y6471" t="s">
        <v>21626</v>
      </c>
    </row>
    <row r="6472" spans="1:25">
      <c r="A6472" t="s">
        <v>21627</v>
      </c>
      <c r="B6472" t="s">
        <v>21628</v>
      </c>
      <c r="D6472" t="s">
        <v>40</v>
      </c>
      <c r="E6472" t="s">
        <v>41</v>
      </c>
      <c r="J6472" t="s">
        <v>182</v>
      </c>
      <c r="K6472" t="s">
        <v>183</v>
      </c>
      <c r="L6472">
        <v>9</v>
      </c>
      <c r="M6472" t="s">
        <v>21619</v>
      </c>
      <c r="N6472" t="s">
        <v>64</v>
      </c>
      <c r="O6472" t="s">
        <v>46</v>
      </c>
      <c r="P6472" t="s">
        <v>46</v>
      </c>
      <c r="Y6472" t="s">
        <v>21629</v>
      </c>
    </row>
    <row r="6473" spans="1:25">
      <c r="A6473" t="s">
        <v>21630</v>
      </c>
      <c r="B6473" t="s">
        <v>21631</v>
      </c>
      <c r="D6473" t="s">
        <v>40</v>
      </c>
      <c r="E6473" t="s">
        <v>41</v>
      </c>
      <c r="J6473" t="s">
        <v>182</v>
      </c>
      <c r="K6473" t="s">
        <v>183</v>
      </c>
      <c r="L6473">
        <v>9</v>
      </c>
      <c r="M6473" t="s">
        <v>21632</v>
      </c>
      <c r="N6473" t="s">
        <v>64</v>
      </c>
      <c r="O6473" t="s">
        <v>46</v>
      </c>
      <c r="P6473" t="s">
        <v>46</v>
      </c>
      <c r="Y6473" t="s">
        <v>21633</v>
      </c>
    </row>
    <row r="6474" spans="1:25">
      <c r="A6474" t="s">
        <v>21634</v>
      </c>
      <c r="B6474" t="s">
        <v>21635</v>
      </c>
      <c r="D6474" t="s">
        <v>40</v>
      </c>
      <c r="E6474" t="s">
        <v>41</v>
      </c>
      <c r="J6474" t="s">
        <v>42</v>
      </c>
      <c r="K6474" t="s">
        <v>43</v>
      </c>
      <c r="L6474">
        <v>9</v>
      </c>
      <c r="M6474" t="s">
        <v>21636</v>
      </c>
      <c r="N6474" t="s">
        <v>1380</v>
      </c>
      <c r="O6474" t="s">
        <v>46</v>
      </c>
      <c r="P6474" t="s">
        <v>46</v>
      </c>
      <c r="Y6474" t="s">
        <v>21637</v>
      </c>
    </row>
    <row r="6475" spans="1:25">
      <c r="A6475" t="s">
        <v>21638</v>
      </c>
      <c r="B6475" t="s">
        <v>21639</v>
      </c>
      <c r="D6475" t="s">
        <v>40</v>
      </c>
      <c r="E6475" t="s">
        <v>41</v>
      </c>
      <c r="J6475" t="s">
        <v>76</v>
      </c>
      <c r="K6475" t="s">
        <v>77</v>
      </c>
      <c r="L6475">
        <v>10</v>
      </c>
      <c r="M6475" t="s">
        <v>21640</v>
      </c>
      <c r="N6475" t="s">
        <v>64</v>
      </c>
      <c r="O6475" t="s">
        <v>46</v>
      </c>
      <c r="P6475" t="s">
        <v>46</v>
      </c>
      <c r="Y6475" t="s">
        <v>21641</v>
      </c>
    </row>
    <row r="6476" spans="1:25">
      <c r="A6476" t="s">
        <v>21642</v>
      </c>
      <c r="B6476" t="s">
        <v>21643</v>
      </c>
      <c r="D6476" t="s">
        <v>40</v>
      </c>
      <c r="E6476" t="s">
        <v>41</v>
      </c>
      <c r="J6476" t="s">
        <v>182</v>
      </c>
      <c r="K6476" t="s">
        <v>183</v>
      </c>
      <c r="L6476">
        <v>10</v>
      </c>
      <c r="M6476" t="s">
        <v>21640</v>
      </c>
      <c r="N6476" t="s">
        <v>64</v>
      </c>
      <c r="O6476" t="s">
        <v>46</v>
      </c>
      <c r="P6476" t="s">
        <v>46</v>
      </c>
      <c r="Y6476" t="s">
        <v>21644</v>
      </c>
    </row>
    <row r="6477" spans="1:25">
      <c r="A6477" t="s">
        <v>21645</v>
      </c>
      <c r="B6477" t="s">
        <v>21646</v>
      </c>
      <c r="D6477" t="s">
        <v>40</v>
      </c>
      <c r="E6477" t="s">
        <v>41</v>
      </c>
      <c r="J6477" t="s">
        <v>182</v>
      </c>
      <c r="K6477" t="s">
        <v>183</v>
      </c>
      <c r="L6477">
        <v>9</v>
      </c>
      <c r="M6477" t="s">
        <v>21647</v>
      </c>
      <c r="N6477" t="s">
        <v>64</v>
      </c>
      <c r="O6477" t="s">
        <v>46</v>
      </c>
      <c r="P6477" t="s">
        <v>46</v>
      </c>
      <c r="Y6477" t="s">
        <v>21648</v>
      </c>
    </row>
    <row r="6478" spans="1:25">
      <c r="A6478" t="s">
        <v>21649</v>
      </c>
      <c r="B6478" t="s">
        <v>21650</v>
      </c>
      <c r="D6478" t="s">
        <v>40</v>
      </c>
      <c r="E6478" t="s">
        <v>41</v>
      </c>
      <c r="J6478" t="s">
        <v>182</v>
      </c>
      <c r="K6478" t="s">
        <v>183</v>
      </c>
      <c r="L6478">
        <v>9</v>
      </c>
      <c r="M6478" t="s">
        <v>21647</v>
      </c>
      <c r="N6478" t="s">
        <v>64</v>
      </c>
      <c r="O6478" t="s">
        <v>46</v>
      </c>
      <c r="P6478" t="s">
        <v>46</v>
      </c>
      <c r="Y6478" t="s">
        <v>21651</v>
      </c>
    </row>
    <row r="6479" spans="1:25">
      <c r="A6479" t="s">
        <v>21652</v>
      </c>
      <c r="B6479" t="s">
        <v>21653</v>
      </c>
      <c r="D6479" t="s">
        <v>40</v>
      </c>
      <c r="E6479" t="s">
        <v>41</v>
      </c>
      <c r="J6479" t="s">
        <v>76</v>
      </c>
      <c r="K6479" t="s">
        <v>77</v>
      </c>
      <c r="L6479">
        <v>9</v>
      </c>
      <c r="M6479" t="s">
        <v>21647</v>
      </c>
      <c r="N6479" t="s">
        <v>64</v>
      </c>
      <c r="O6479" t="s">
        <v>46</v>
      </c>
      <c r="P6479" t="s">
        <v>46</v>
      </c>
      <c r="Y6479" t="s">
        <v>21654</v>
      </c>
    </row>
    <row r="6480" spans="1:25">
      <c r="A6480" t="s">
        <v>21655</v>
      </c>
      <c r="B6480" t="s">
        <v>21656</v>
      </c>
      <c r="D6480" t="s">
        <v>40</v>
      </c>
      <c r="E6480" t="s">
        <v>41</v>
      </c>
      <c r="J6480" t="s">
        <v>182</v>
      </c>
      <c r="K6480" t="s">
        <v>183</v>
      </c>
      <c r="L6480">
        <v>9</v>
      </c>
      <c r="M6480" t="s">
        <v>21657</v>
      </c>
      <c r="N6480" t="s">
        <v>64</v>
      </c>
      <c r="O6480" t="s">
        <v>46</v>
      </c>
      <c r="P6480" t="s">
        <v>46</v>
      </c>
      <c r="Y6480" t="s">
        <v>21658</v>
      </c>
    </row>
    <row r="6481" spans="1:25">
      <c r="A6481" t="s">
        <v>21659</v>
      </c>
      <c r="B6481" t="s">
        <v>21660</v>
      </c>
      <c r="D6481" t="s">
        <v>40</v>
      </c>
      <c r="E6481" t="s">
        <v>41</v>
      </c>
      <c r="J6481" t="s">
        <v>182</v>
      </c>
      <c r="K6481" t="s">
        <v>183</v>
      </c>
      <c r="L6481">
        <v>9</v>
      </c>
      <c r="M6481" t="s">
        <v>21657</v>
      </c>
      <c r="N6481" t="s">
        <v>64</v>
      </c>
      <c r="O6481" t="s">
        <v>46</v>
      </c>
      <c r="P6481" t="s">
        <v>46</v>
      </c>
      <c r="Y6481" t="s">
        <v>21661</v>
      </c>
    </row>
    <row r="6482" spans="1:25">
      <c r="A6482" t="s">
        <v>21662</v>
      </c>
      <c r="B6482" t="s">
        <v>21663</v>
      </c>
      <c r="D6482" t="s">
        <v>40</v>
      </c>
      <c r="E6482" t="s">
        <v>41</v>
      </c>
      <c r="J6482" t="s">
        <v>76</v>
      </c>
      <c r="K6482" t="s">
        <v>77</v>
      </c>
      <c r="L6482">
        <v>9</v>
      </c>
      <c r="M6482" t="s">
        <v>21657</v>
      </c>
      <c r="N6482" t="s">
        <v>64</v>
      </c>
      <c r="O6482" t="s">
        <v>46</v>
      </c>
      <c r="P6482" t="s">
        <v>46</v>
      </c>
      <c r="Y6482" t="s">
        <v>21664</v>
      </c>
    </row>
    <row r="6483" spans="1:25">
      <c r="A6483" t="s">
        <v>21665</v>
      </c>
      <c r="B6483" t="s">
        <v>21666</v>
      </c>
      <c r="D6483" t="s">
        <v>40</v>
      </c>
      <c r="E6483" t="s">
        <v>41</v>
      </c>
      <c r="J6483" t="s">
        <v>182</v>
      </c>
      <c r="K6483" t="s">
        <v>183</v>
      </c>
      <c r="L6483">
        <v>9</v>
      </c>
      <c r="M6483" t="s">
        <v>21667</v>
      </c>
      <c r="N6483" t="s">
        <v>64</v>
      </c>
      <c r="O6483" t="s">
        <v>46</v>
      </c>
      <c r="P6483" t="s">
        <v>46</v>
      </c>
      <c r="Y6483" t="s">
        <v>21668</v>
      </c>
    </row>
    <row r="6484" spans="1:25">
      <c r="A6484" t="s">
        <v>21669</v>
      </c>
      <c r="B6484" t="s">
        <v>21670</v>
      </c>
      <c r="D6484" t="s">
        <v>40</v>
      </c>
      <c r="E6484" t="s">
        <v>41</v>
      </c>
      <c r="J6484" t="s">
        <v>182</v>
      </c>
      <c r="K6484" t="s">
        <v>183</v>
      </c>
      <c r="L6484">
        <v>9</v>
      </c>
      <c r="M6484" t="s">
        <v>21667</v>
      </c>
      <c r="N6484" t="s">
        <v>64</v>
      </c>
      <c r="O6484" t="s">
        <v>46</v>
      </c>
      <c r="P6484" t="s">
        <v>46</v>
      </c>
      <c r="Y6484" t="s">
        <v>21671</v>
      </c>
    </row>
    <row r="6485" spans="1:25">
      <c r="A6485" t="s">
        <v>21672</v>
      </c>
      <c r="B6485" t="s">
        <v>21673</v>
      </c>
      <c r="D6485" t="s">
        <v>40</v>
      </c>
      <c r="E6485" t="s">
        <v>41</v>
      </c>
      <c r="J6485" t="s">
        <v>76</v>
      </c>
      <c r="K6485" t="s">
        <v>77</v>
      </c>
      <c r="L6485">
        <v>14</v>
      </c>
      <c r="M6485" t="s">
        <v>21674</v>
      </c>
      <c r="N6485" t="s">
        <v>64</v>
      </c>
      <c r="O6485" t="s">
        <v>46</v>
      </c>
      <c r="P6485" t="s">
        <v>46</v>
      </c>
      <c r="Y6485" t="s">
        <v>21675</v>
      </c>
    </row>
    <row r="6486" spans="1:25">
      <c r="A6486" t="s">
        <v>21676</v>
      </c>
      <c r="B6486" t="s">
        <v>21677</v>
      </c>
      <c r="D6486" t="s">
        <v>40</v>
      </c>
      <c r="E6486" t="s">
        <v>41</v>
      </c>
      <c r="J6486" t="s">
        <v>42</v>
      </c>
      <c r="K6486" t="s">
        <v>43</v>
      </c>
      <c r="L6486">
        <v>9</v>
      </c>
      <c r="M6486" t="s">
        <v>21674</v>
      </c>
      <c r="N6486" t="s">
        <v>1047</v>
      </c>
      <c r="O6486" t="s">
        <v>46</v>
      </c>
      <c r="P6486" t="s">
        <v>46</v>
      </c>
      <c r="Y6486" t="s">
        <v>21678</v>
      </c>
    </row>
    <row r="6487" spans="1:25">
      <c r="A6487" t="s">
        <v>21679</v>
      </c>
      <c r="B6487" t="s">
        <v>21680</v>
      </c>
      <c r="D6487" t="s">
        <v>40</v>
      </c>
      <c r="E6487" t="s">
        <v>41</v>
      </c>
      <c r="J6487" t="s">
        <v>76</v>
      </c>
      <c r="K6487" t="s">
        <v>77</v>
      </c>
      <c r="L6487">
        <v>9</v>
      </c>
      <c r="M6487" t="s">
        <v>21674</v>
      </c>
      <c r="N6487" t="s">
        <v>64</v>
      </c>
      <c r="O6487" t="s">
        <v>46</v>
      </c>
      <c r="P6487" t="s">
        <v>46</v>
      </c>
      <c r="Y6487" t="s">
        <v>21681</v>
      </c>
    </row>
    <row r="6488" spans="1:25">
      <c r="A6488" t="s">
        <v>21682</v>
      </c>
      <c r="B6488" t="s">
        <v>21683</v>
      </c>
      <c r="D6488" t="s">
        <v>40</v>
      </c>
      <c r="E6488" t="s">
        <v>41</v>
      </c>
      <c r="J6488" t="s">
        <v>76</v>
      </c>
      <c r="K6488" t="s">
        <v>77</v>
      </c>
      <c r="L6488">
        <v>9</v>
      </c>
      <c r="M6488" t="s">
        <v>21684</v>
      </c>
      <c r="N6488" t="s">
        <v>64</v>
      </c>
      <c r="O6488" t="s">
        <v>46</v>
      </c>
      <c r="P6488" t="s">
        <v>46</v>
      </c>
      <c r="Y6488" t="s">
        <v>21685</v>
      </c>
    </row>
    <row r="6489" spans="1:25">
      <c r="A6489" t="s">
        <v>21686</v>
      </c>
      <c r="B6489" t="s">
        <v>21687</v>
      </c>
      <c r="D6489" t="s">
        <v>40</v>
      </c>
      <c r="E6489" t="s">
        <v>41</v>
      </c>
      <c r="J6489" t="s">
        <v>182</v>
      </c>
      <c r="K6489" t="s">
        <v>183</v>
      </c>
      <c r="L6489">
        <v>9</v>
      </c>
      <c r="M6489" t="s">
        <v>21684</v>
      </c>
      <c r="N6489" t="s">
        <v>64</v>
      </c>
      <c r="O6489" t="s">
        <v>46</v>
      </c>
      <c r="P6489" t="s">
        <v>46</v>
      </c>
      <c r="Y6489" t="s">
        <v>21688</v>
      </c>
    </row>
    <row r="6490" spans="1:25">
      <c r="A6490" t="s">
        <v>21689</v>
      </c>
      <c r="B6490" t="s">
        <v>21690</v>
      </c>
      <c r="D6490" t="s">
        <v>40</v>
      </c>
      <c r="E6490" t="s">
        <v>41</v>
      </c>
      <c r="J6490" t="s">
        <v>182</v>
      </c>
      <c r="K6490" t="s">
        <v>183</v>
      </c>
      <c r="L6490">
        <v>9</v>
      </c>
      <c r="M6490" t="s">
        <v>21684</v>
      </c>
      <c r="N6490" t="s">
        <v>64</v>
      </c>
      <c r="O6490" t="s">
        <v>46</v>
      </c>
      <c r="P6490" t="s">
        <v>46</v>
      </c>
      <c r="Y6490" t="s">
        <v>21691</v>
      </c>
    </row>
    <row r="6491" spans="1:25">
      <c r="A6491" t="s">
        <v>21692</v>
      </c>
      <c r="B6491" t="s">
        <v>21693</v>
      </c>
      <c r="D6491" t="s">
        <v>40</v>
      </c>
      <c r="E6491" t="s">
        <v>41</v>
      </c>
      <c r="J6491" t="s">
        <v>182</v>
      </c>
      <c r="K6491" t="s">
        <v>183</v>
      </c>
      <c r="L6491">
        <v>9</v>
      </c>
      <c r="M6491" t="s">
        <v>21694</v>
      </c>
      <c r="N6491" t="s">
        <v>64</v>
      </c>
      <c r="O6491" t="s">
        <v>46</v>
      </c>
      <c r="P6491" t="s">
        <v>46</v>
      </c>
      <c r="Y6491" t="s">
        <v>21695</v>
      </c>
    </row>
    <row r="6492" spans="1:25">
      <c r="A6492" t="s">
        <v>21696</v>
      </c>
      <c r="B6492" t="s">
        <v>21697</v>
      </c>
      <c r="D6492" t="s">
        <v>40</v>
      </c>
      <c r="E6492" t="s">
        <v>41</v>
      </c>
      <c r="J6492" t="s">
        <v>42</v>
      </c>
      <c r="K6492" t="s">
        <v>43</v>
      </c>
      <c r="L6492">
        <v>9</v>
      </c>
      <c r="M6492" t="s">
        <v>21694</v>
      </c>
      <c r="N6492" t="s">
        <v>1344</v>
      </c>
      <c r="O6492" t="s">
        <v>46</v>
      </c>
      <c r="P6492" t="s">
        <v>46</v>
      </c>
      <c r="Y6492" t="s">
        <v>21698</v>
      </c>
    </row>
    <row r="6493" spans="1:25">
      <c r="A6493" t="s">
        <v>21699</v>
      </c>
      <c r="B6493" t="s">
        <v>21700</v>
      </c>
      <c r="D6493" t="s">
        <v>40</v>
      </c>
      <c r="E6493" t="s">
        <v>41</v>
      </c>
      <c r="J6493" t="s">
        <v>139</v>
      </c>
      <c r="K6493" t="s">
        <v>140</v>
      </c>
      <c r="L6493">
        <v>2</v>
      </c>
      <c r="M6493" t="s">
        <v>21701</v>
      </c>
      <c r="N6493" t="s">
        <v>3013</v>
      </c>
      <c r="O6493" t="s">
        <v>46</v>
      </c>
      <c r="P6493" t="s">
        <v>46</v>
      </c>
      <c r="Y6493" t="s">
        <v>21702</v>
      </c>
    </row>
    <row r="6494" spans="1:25">
      <c r="A6494" t="s">
        <v>21703</v>
      </c>
      <c r="B6494" t="s">
        <v>21704</v>
      </c>
      <c r="D6494" t="s">
        <v>40</v>
      </c>
      <c r="E6494" t="s">
        <v>41</v>
      </c>
      <c r="J6494" t="s">
        <v>42</v>
      </c>
      <c r="K6494" t="s">
        <v>43</v>
      </c>
      <c r="L6494">
        <v>10</v>
      </c>
      <c r="M6494" t="s">
        <v>21705</v>
      </c>
      <c r="N6494" t="s">
        <v>1380</v>
      </c>
      <c r="O6494" t="s">
        <v>46</v>
      </c>
      <c r="P6494" t="s">
        <v>46</v>
      </c>
      <c r="Y6494" t="s">
        <v>21706</v>
      </c>
    </row>
    <row r="6495" spans="1:25">
      <c r="A6495" t="s">
        <v>21707</v>
      </c>
      <c r="B6495" t="s">
        <v>21708</v>
      </c>
      <c r="D6495" t="s">
        <v>40</v>
      </c>
      <c r="E6495" t="s">
        <v>41</v>
      </c>
      <c r="J6495" t="s">
        <v>12440</v>
      </c>
      <c r="K6495" t="s">
        <v>12441</v>
      </c>
      <c r="L6495">
        <v>10</v>
      </c>
      <c r="M6495" t="s">
        <v>21709</v>
      </c>
      <c r="N6495" t="s">
        <v>64</v>
      </c>
      <c r="O6495" t="s">
        <v>46</v>
      </c>
      <c r="P6495" t="s">
        <v>46</v>
      </c>
      <c r="Y6495" t="s">
        <v>21710</v>
      </c>
    </row>
    <row r="6496" spans="1:25">
      <c r="A6496" t="s">
        <v>21711</v>
      </c>
      <c r="B6496" t="s">
        <v>21712</v>
      </c>
      <c r="D6496" t="s">
        <v>40</v>
      </c>
      <c r="E6496" t="s">
        <v>41</v>
      </c>
      <c r="J6496" t="s">
        <v>42</v>
      </c>
      <c r="K6496" t="s">
        <v>43</v>
      </c>
      <c r="L6496">
        <v>9</v>
      </c>
      <c r="M6496" t="s">
        <v>21713</v>
      </c>
      <c r="N6496" t="s">
        <v>4037</v>
      </c>
      <c r="O6496" t="s">
        <v>46</v>
      </c>
      <c r="P6496" t="s">
        <v>46</v>
      </c>
      <c r="Y6496" t="s">
        <v>21714</v>
      </c>
    </row>
    <row r="6497" spans="1:25">
      <c r="A6497" t="s">
        <v>21715</v>
      </c>
      <c r="B6497" t="s">
        <v>21716</v>
      </c>
      <c r="D6497" t="s">
        <v>40</v>
      </c>
      <c r="E6497" t="s">
        <v>41</v>
      </c>
      <c r="J6497" t="s">
        <v>76</v>
      </c>
      <c r="K6497" t="s">
        <v>77</v>
      </c>
      <c r="L6497">
        <v>9</v>
      </c>
      <c r="M6497" t="s">
        <v>21713</v>
      </c>
      <c r="N6497" t="s">
        <v>64</v>
      </c>
      <c r="O6497" t="s">
        <v>46</v>
      </c>
      <c r="P6497" t="s">
        <v>46</v>
      </c>
      <c r="Y6497" t="s">
        <v>21717</v>
      </c>
    </row>
    <row r="6498" spans="1:25">
      <c r="A6498" t="s">
        <v>21718</v>
      </c>
      <c r="B6498" t="s">
        <v>21719</v>
      </c>
      <c r="D6498" t="s">
        <v>40</v>
      </c>
      <c r="E6498" t="s">
        <v>41</v>
      </c>
      <c r="J6498" t="s">
        <v>182</v>
      </c>
      <c r="K6498" t="s">
        <v>183</v>
      </c>
      <c r="L6498">
        <v>9</v>
      </c>
      <c r="M6498" t="s">
        <v>21720</v>
      </c>
      <c r="N6498" t="s">
        <v>64</v>
      </c>
      <c r="O6498" t="s">
        <v>46</v>
      </c>
      <c r="P6498" t="s">
        <v>46</v>
      </c>
      <c r="Y6498" t="s">
        <v>21721</v>
      </c>
    </row>
    <row r="6499" spans="1:25">
      <c r="A6499" t="s">
        <v>21722</v>
      </c>
      <c r="B6499" t="s">
        <v>21723</v>
      </c>
      <c r="D6499" t="s">
        <v>40</v>
      </c>
      <c r="E6499" t="s">
        <v>41</v>
      </c>
      <c r="J6499" t="s">
        <v>182</v>
      </c>
      <c r="K6499" t="s">
        <v>183</v>
      </c>
      <c r="L6499">
        <v>9</v>
      </c>
      <c r="M6499" t="s">
        <v>21720</v>
      </c>
      <c r="N6499" t="s">
        <v>64</v>
      </c>
      <c r="O6499" t="s">
        <v>46</v>
      </c>
      <c r="P6499" t="s">
        <v>46</v>
      </c>
      <c r="Y6499" t="s">
        <v>21724</v>
      </c>
    </row>
    <row r="6500" spans="1:25">
      <c r="A6500" t="s">
        <v>21725</v>
      </c>
      <c r="B6500" t="s">
        <v>21726</v>
      </c>
      <c r="D6500" t="s">
        <v>40</v>
      </c>
      <c r="E6500" t="s">
        <v>41</v>
      </c>
      <c r="J6500" t="s">
        <v>182</v>
      </c>
      <c r="K6500" t="s">
        <v>183</v>
      </c>
      <c r="L6500">
        <v>9</v>
      </c>
      <c r="M6500" t="s">
        <v>21720</v>
      </c>
      <c r="N6500" t="s">
        <v>64</v>
      </c>
      <c r="O6500" t="s">
        <v>46</v>
      </c>
      <c r="P6500" t="s">
        <v>46</v>
      </c>
      <c r="Y6500" t="s">
        <v>21727</v>
      </c>
    </row>
    <row r="6501" spans="1:25">
      <c r="A6501" t="s">
        <v>21728</v>
      </c>
      <c r="B6501" t="s">
        <v>21729</v>
      </c>
      <c r="D6501" t="s">
        <v>40</v>
      </c>
      <c r="E6501" t="s">
        <v>41</v>
      </c>
      <c r="J6501" t="s">
        <v>182</v>
      </c>
      <c r="K6501" t="s">
        <v>183</v>
      </c>
      <c r="L6501">
        <v>9</v>
      </c>
      <c r="M6501" t="s">
        <v>21720</v>
      </c>
      <c r="N6501" t="s">
        <v>64</v>
      </c>
      <c r="O6501" t="s">
        <v>46</v>
      </c>
      <c r="P6501" t="s">
        <v>46</v>
      </c>
      <c r="Y6501" t="s">
        <v>21730</v>
      </c>
    </row>
    <row r="6502" spans="1:25">
      <c r="A6502" t="s">
        <v>21731</v>
      </c>
      <c r="B6502" t="s">
        <v>21732</v>
      </c>
      <c r="D6502" t="s">
        <v>40</v>
      </c>
      <c r="E6502" t="s">
        <v>41</v>
      </c>
      <c r="J6502" t="s">
        <v>76</v>
      </c>
      <c r="K6502" t="s">
        <v>77</v>
      </c>
      <c r="L6502">
        <v>10</v>
      </c>
      <c r="M6502" t="s">
        <v>21720</v>
      </c>
      <c r="N6502" t="s">
        <v>64</v>
      </c>
      <c r="O6502" t="s">
        <v>46</v>
      </c>
      <c r="P6502" t="s">
        <v>46</v>
      </c>
      <c r="Y6502" t="s">
        <v>21733</v>
      </c>
    </row>
    <row r="6503" spans="1:25">
      <c r="A6503" t="s">
        <v>21734</v>
      </c>
      <c r="B6503" t="s">
        <v>21735</v>
      </c>
      <c r="D6503" t="s">
        <v>40</v>
      </c>
      <c r="E6503" t="s">
        <v>41</v>
      </c>
      <c r="J6503" t="s">
        <v>182</v>
      </c>
      <c r="K6503" t="s">
        <v>183</v>
      </c>
      <c r="L6503">
        <v>9</v>
      </c>
      <c r="M6503" t="s">
        <v>21736</v>
      </c>
      <c r="N6503" t="s">
        <v>64</v>
      </c>
      <c r="O6503" t="s">
        <v>46</v>
      </c>
      <c r="P6503" t="s">
        <v>46</v>
      </c>
      <c r="Y6503" t="s">
        <v>21737</v>
      </c>
    </row>
    <row r="6504" spans="1:25">
      <c r="A6504" t="s">
        <v>21738</v>
      </c>
      <c r="B6504" t="s">
        <v>21739</v>
      </c>
      <c r="D6504" t="s">
        <v>40</v>
      </c>
      <c r="E6504" t="s">
        <v>41</v>
      </c>
      <c r="J6504" t="s">
        <v>76</v>
      </c>
      <c r="K6504" t="s">
        <v>77</v>
      </c>
      <c r="L6504">
        <v>4</v>
      </c>
      <c r="M6504" t="s">
        <v>21740</v>
      </c>
      <c r="N6504" t="s">
        <v>64</v>
      </c>
      <c r="O6504" t="s">
        <v>46</v>
      </c>
      <c r="P6504" t="s">
        <v>46</v>
      </c>
      <c r="Y6504" t="s">
        <v>21741</v>
      </c>
    </row>
    <row r="6505" spans="1:25">
      <c r="A6505" t="s">
        <v>21742</v>
      </c>
      <c r="B6505" t="s">
        <v>21743</v>
      </c>
      <c r="D6505" t="s">
        <v>40</v>
      </c>
      <c r="E6505" t="s">
        <v>41</v>
      </c>
      <c r="J6505" t="s">
        <v>182</v>
      </c>
      <c r="K6505" t="s">
        <v>183</v>
      </c>
      <c r="L6505">
        <v>9</v>
      </c>
      <c r="M6505" t="s">
        <v>21744</v>
      </c>
      <c r="N6505" t="s">
        <v>64</v>
      </c>
      <c r="O6505" t="s">
        <v>46</v>
      </c>
      <c r="P6505" t="s">
        <v>46</v>
      </c>
      <c r="Y6505" t="s">
        <v>21745</v>
      </c>
    </row>
    <row r="6506" spans="1:25">
      <c r="A6506" t="s">
        <v>21746</v>
      </c>
      <c r="B6506" t="s">
        <v>21747</v>
      </c>
      <c r="D6506" t="s">
        <v>40</v>
      </c>
      <c r="E6506" t="s">
        <v>41</v>
      </c>
      <c r="J6506" t="s">
        <v>182</v>
      </c>
      <c r="K6506" t="s">
        <v>183</v>
      </c>
      <c r="L6506">
        <v>9</v>
      </c>
      <c r="M6506" t="s">
        <v>21748</v>
      </c>
      <c r="N6506" t="s">
        <v>64</v>
      </c>
      <c r="O6506" t="s">
        <v>46</v>
      </c>
      <c r="P6506" t="s">
        <v>46</v>
      </c>
      <c r="Y6506" t="s">
        <v>21749</v>
      </c>
    </row>
    <row r="6507" spans="1:25">
      <c r="A6507" t="s">
        <v>21750</v>
      </c>
      <c r="B6507" t="s">
        <v>21751</v>
      </c>
      <c r="D6507" t="s">
        <v>40</v>
      </c>
      <c r="E6507" t="s">
        <v>41</v>
      </c>
      <c r="J6507" t="s">
        <v>42</v>
      </c>
      <c r="K6507" t="s">
        <v>43</v>
      </c>
      <c r="L6507">
        <v>9</v>
      </c>
      <c r="M6507" t="s">
        <v>21752</v>
      </c>
      <c r="N6507" t="s">
        <v>1814</v>
      </c>
      <c r="O6507" t="s">
        <v>46</v>
      </c>
      <c r="P6507" t="s">
        <v>46</v>
      </c>
      <c r="Y6507" t="s">
        <v>21753</v>
      </c>
    </row>
    <row r="6508" spans="1:25">
      <c r="A6508" t="s">
        <v>21754</v>
      </c>
      <c r="B6508" t="s">
        <v>21755</v>
      </c>
      <c r="D6508" t="s">
        <v>40</v>
      </c>
      <c r="E6508" t="s">
        <v>41</v>
      </c>
      <c r="J6508" t="s">
        <v>76</v>
      </c>
      <c r="K6508" t="s">
        <v>77</v>
      </c>
      <c r="L6508">
        <v>9</v>
      </c>
      <c r="M6508" t="s">
        <v>21752</v>
      </c>
      <c r="N6508" t="s">
        <v>64</v>
      </c>
      <c r="O6508" t="s">
        <v>46</v>
      </c>
      <c r="P6508" t="s">
        <v>46</v>
      </c>
      <c r="Y6508" t="s">
        <v>21756</v>
      </c>
    </row>
    <row r="6509" spans="1:25">
      <c r="A6509" t="s">
        <v>21757</v>
      </c>
      <c r="B6509" t="s">
        <v>21758</v>
      </c>
      <c r="D6509" t="s">
        <v>40</v>
      </c>
      <c r="E6509" t="s">
        <v>41</v>
      </c>
      <c r="J6509" t="s">
        <v>182</v>
      </c>
      <c r="K6509" t="s">
        <v>183</v>
      </c>
      <c r="L6509">
        <v>9</v>
      </c>
      <c r="M6509" t="s">
        <v>21752</v>
      </c>
      <c r="N6509" t="s">
        <v>64</v>
      </c>
      <c r="O6509" t="s">
        <v>46</v>
      </c>
      <c r="P6509" t="s">
        <v>46</v>
      </c>
      <c r="Y6509" t="s">
        <v>21759</v>
      </c>
    </row>
    <row r="6510" spans="1:25">
      <c r="A6510" t="s">
        <v>21760</v>
      </c>
      <c r="B6510" t="s">
        <v>21761</v>
      </c>
      <c r="D6510" t="s">
        <v>40</v>
      </c>
      <c r="E6510" t="s">
        <v>41</v>
      </c>
      <c r="J6510" t="s">
        <v>182</v>
      </c>
      <c r="K6510" t="s">
        <v>183</v>
      </c>
      <c r="L6510">
        <v>9</v>
      </c>
      <c r="M6510" t="s">
        <v>21762</v>
      </c>
      <c r="N6510" t="s">
        <v>64</v>
      </c>
      <c r="O6510" t="s">
        <v>46</v>
      </c>
      <c r="P6510" t="s">
        <v>46</v>
      </c>
      <c r="Y6510" t="s">
        <v>21763</v>
      </c>
    </row>
    <row r="6511" spans="1:25">
      <c r="A6511" t="s">
        <v>21764</v>
      </c>
      <c r="B6511" t="s">
        <v>21765</v>
      </c>
      <c r="D6511" t="s">
        <v>40</v>
      </c>
      <c r="E6511" t="s">
        <v>41</v>
      </c>
      <c r="J6511" t="s">
        <v>76</v>
      </c>
      <c r="K6511" t="s">
        <v>77</v>
      </c>
      <c r="L6511">
        <v>9</v>
      </c>
      <c r="M6511" t="s">
        <v>21766</v>
      </c>
      <c r="N6511" t="s">
        <v>64</v>
      </c>
      <c r="O6511" t="s">
        <v>46</v>
      </c>
      <c r="P6511" t="s">
        <v>46</v>
      </c>
      <c r="Y6511" t="s">
        <v>21767</v>
      </c>
    </row>
    <row r="6512" spans="1:25">
      <c r="A6512" t="s">
        <v>21768</v>
      </c>
      <c r="B6512" t="s">
        <v>21769</v>
      </c>
      <c r="D6512" t="s">
        <v>40</v>
      </c>
      <c r="E6512" t="s">
        <v>41</v>
      </c>
      <c r="J6512" t="s">
        <v>182</v>
      </c>
      <c r="K6512" t="s">
        <v>183</v>
      </c>
      <c r="L6512">
        <v>9</v>
      </c>
      <c r="M6512" t="s">
        <v>21766</v>
      </c>
      <c r="N6512" t="s">
        <v>64</v>
      </c>
      <c r="O6512" t="s">
        <v>46</v>
      </c>
      <c r="P6512" t="s">
        <v>46</v>
      </c>
      <c r="Y6512" t="s">
        <v>21770</v>
      </c>
    </row>
    <row r="6513" spans="1:25">
      <c r="A6513" t="s">
        <v>21771</v>
      </c>
      <c r="B6513" t="s">
        <v>21772</v>
      </c>
      <c r="D6513" t="s">
        <v>40</v>
      </c>
      <c r="E6513" t="s">
        <v>41</v>
      </c>
      <c r="J6513" t="s">
        <v>42</v>
      </c>
      <c r="K6513" t="s">
        <v>43</v>
      </c>
      <c r="L6513">
        <v>9</v>
      </c>
      <c r="M6513" t="s">
        <v>21766</v>
      </c>
      <c r="N6513" t="s">
        <v>4037</v>
      </c>
      <c r="O6513" t="s">
        <v>46</v>
      </c>
      <c r="P6513" t="s">
        <v>46</v>
      </c>
      <c r="Y6513" t="s">
        <v>21773</v>
      </c>
    </row>
    <row r="6514" spans="1:25">
      <c r="A6514" t="s">
        <v>21774</v>
      </c>
      <c r="B6514" t="s">
        <v>21775</v>
      </c>
      <c r="D6514" t="s">
        <v>40</v>
      </c>
      <c r="E6514" t="s">
        <v>41</v>
      </c>
      <c r="J6514" t="s">
        <v>42</v>
      </c>
      <c r="K6514" t="s">
        <v>43</v>
      </c>
      <c r="L6514">
        <v>9</v>
      </c>
      <c r="M6514" t="s">
        <v>21776</v>
      </c>
      <c r="N6514" t="s">
        <v>509</v>
      </c>
      <c r="O6514" t="s">
        <v>46</v>
      </c>
      <c r="P6514" t="s">
        <v>46</v>
      </c>
      <c r="Y6514" t="s">
        <v>21777</v>
      </c>
    </row>
    <row r="6515" spans="1:25">
      <c r="A6515" t="s">
        <v>21778</v>
      </c>
      <c r="B6515" t="s">
        <v>21779</v>
      </c>
      <c r="D6515" t="s">
        <v>40</v>
      </c>
      <c r="E6515" t="s">
        <v>41</v>
      </c>
      <c r="J6515" t="s">
        <v>50</v>
      </c>
      <c r="K6515" t="s">
        <v>51</v>
      </c>
      <c r="L6515">
        <v>9</v>
      </c>
      <c r="M6515" t="s">
        <v>21776</v>
      </c>
      <c r="N6515" t="s">
        <v>924</v>
      </c>
      <c r="O6515" t="s">
        <v>46</v>
      </c>
      <c r="P6515" t="s">
        <v>46</v>
      </c>
      <c r="Y6515" t="s">
        <v>21780</v>
      </c>
    </row>
    <row r="6516" spans="1:25">
      <c r="A6516" t="s">
        <v>21781</v>
      </c>
      <c r="B6516" t="s">
        <v>21782</v>
      </c>
      <c r="D6516" t="s">
        <v>40</v>
      </c>
      <c r="E6516" t="s">
        <v>41</v>
      </c>
      <c r="J6516" t="s">
        <v>76</v>
      </c>
      <c r="K6516" t="s">
        <v>77</v>
      </c>
      <c r="L6516">
        <v>9</v>
      </c>
      <c r="M6516" t="s">
        <v>21776</v>
      </c>
      <c r="N6516" t="s">
        <v>64</v>
      </c>
      <c r="O6516" t="s">
        <v>46</v>
      </c>
      <c r="P6516" t="s">
        <v>46</v>
      </c>
      <c r="Y6516" t="s">
        <v>21783</v>
      </c>
    </row>
    <row r="6517" spans="1:25">
      <c r="A6517" t="s">
        <v>21784</v>
      </c>
      <c r="B6517" t="s">
        <v>21785</v>
      </c>
      <c r="D6517" t="s">
        <v>40</v>
      </c>
      <c r="E6517" t="s">
        <v>41</v>
      </c>
      <c r="J6517" t="s">
        <v>42</v>
      </c>
      <c r="K6517" t="s">
        <v>43</v>
      </c>
      <c r="L6517">
        <v>3</v>
      </c>
      <c r="M6517" t="s">
        <v>21786</v>
      </c>
      <c r="N6517" t="s">
        <v>440</v>
      </c>
      <c r="O6517" t="s">
        <v>46</v>
      </c>
      <c r="P6517" t="s">
        <v>46</v>
      </c>
      <c r="Y6517" t="s">
        <v>21787</v>
      </c>
    </row>
    <row r="6518" spans="1:25">
      <c r="A6518" t="s">
        <v>21788</v>
      </c>
      <c r="B6518" t="s">
        <v>21789</v>
      </c>
      <c r="D6518" t="s">
        <v>40</v>
      </c>
      <c r="E6518" t="s">
        <v>41</v>
      </c>
      <c r="J6518" t="s">
        <v>76</v>
      </c>
      <c r="K6518" t="s">
        <v>77</v>
      </c>
      <c r="L6518">
        <v>9</v>
      </c>
      <c r="M6518" t="s">
        <v>21790</v>
      </c>
      <c r="N6518" t="s">
        <v>64</v>
      </c>
      <c r="O6518" t="s">
        <v>46</v>
      </c>
      <c r="P6518" t="s">
        <v>46</v>
      </c>
      <c r="Y6518" t="s">
        <v>21791</v>
      </c>
    </row>
    <row r="6519" spans="1:25">
      <c r="A6519" t="s">
        <v>21792</v>
      </c>
      <c r="B6519" t="s">
        <v>21793</v>
      </c>
      <c r="D6519" t="s">
        <v>40</v>
      </c>
      <c r="E6519" t="s">
        <v>41</v>
      </c>
      <c r="J6519" t="s">
        <v>182</v>
      </c>
      <c r="K6519" t="s">
        <v>183</v>
      </c>
      <c r="L6519">
        <v>9</v>
      </c>
      <c r="M6519" t="s">
        <v>21790</v>
      </c>
      <c r="N6519" t="s">
        <v>64</v>
      </c>
      <c r="O6519" t="s">
        <v>46</v>
      </c>
      <c r="P6519" t="s">
        <v>46</v>
      </c>
      <c r="Y6519" t="s">
        <v>21794</v>
      </c>
    </row>
    <row r="6520" spans="1:25">
      <c r="A6520" t="s">
        <v>21795</v>
      </c>
      <c r="B6520" t="s">
        <v>21796</v>
      </c>
      <c r="D6520" t="s">
        <v>40</v>
      </c>
      <c r="E6520" t="s">
        <v>41</v>
      </c>
      <c r="J6520" t="s">
        <v>182</v>
      </c>
      <c r="K6520" t="s">
        <v>183</v>
      </c>
      <c r="L6520">
        <v>9</v>
      </c>
      <c r="M6520" t="s">
        <v>21797</v>
      </c>
      <c r="N6520" t="s">
        <v>64</v>
      </c>
      <c r="O6520" t="s">
        <v>46</v>
      </c>
      <c r="P6520" t="s">
        <v>46</v>
      </c>
      <c r="Y6520" t="s">
        <v>21798</v>
      </c>
    </row>
    <row r="6521" spans="1:25">
      <c r="A6521" t="s">
        <v>21799</v>
      </c>
      <c r="B6521" t="s">
        <v>21800</v>
      </c>
      <c r="D6521" t="s">
        <v>40</v>
      </c>
      <c r="E6521" t="s">
        <v>41</v>
      </c>
      <c r="J6521" t="s">
        <v>42</v>
      </c>
      <c r="K6521" t="s">
        <v>43</v>
      </c>
      <c r="L6521">
        <v>9</v>
      </c>
      <c r="M6521" t="s">
        <v>21801</v>
      </c>
      <c r="N6521" t="s">
        <v>509</v>
      </c>
      <c r="O6521" t="s">
        <v>46</v>
      </c>
      <c r="P6521" t="s">
        <v>46</v>
      </c>
      <c r="Y6521" t="s">
        <v>21802</v>
      </c>
    </row>
    <row r="6522" spans="1:25">
      <c r="A6522" t="s">
        <v>21803</v>
      </c>
      <c r="B6522" t="s">
        <v>21804</v>
      </c>
      <c r="D6522" t="s">
        <v>40</v>
      </c>
      <c r="E6522" t="s">
        <v>41</v>
      </c>
      <c r="J6522" t="s">
        <v>182</v>
      </c>
      <c r="K6522" t="s">
        <v>183</v>
      </c>
      <c r="L6522">
        <v>9</v>
      </c>
      <c r="M6522" t="s">
        <v>21805</v>
      </c>
      <c r="N6522" t="s">
        <v>64</v>
      </c>
      <c r="O6522" t="s">
        <v>46</v>
      </c>
      <c r="P6522" t="s">
        <v>46</v>
      </c>
      <c r="Y6522" t="s">
        <v>21806</v>
      </c>
    </row>
    <row r="6523" spans="1:25">
      <c r="A6523" t="s">
        <v>21807</v>
      </c>
      <c r="B6523" t="s">
        <v>21808</v>
      </c>
      <c r="D6523" t="s">
        <v>40</v>
      </c>
      <c r="E6523" t="s">
        <v>41</v>
      </c>
      <c r="J6523" t="s">
        <v>76</v>
      </c>
      <c r="K6523" t="s">
        <v>77</v>
      </c>
      <c r="L6523">
        <v>9</v>
      </c>
      <c r="M6523" t="s">
        <v>21809</v>
      </c>
      <c r="N6523" t="s">
        <v>64</v>
      </c>
      <c r="O6523" t="s">
        <v>46</v>
      </c>
      <c r="P6523" t="s">
        <v>46</v>
      </c>
      <c r="Y6523" t="s">
        <v>21810</v>
      </c>
    </row>
    <row r="6524" spans="1:25">
      <c r="A6524" t="s">
        <v>21811</v>
      </c>
      <c r="B6524" t="s">
        <v>21812</v>
      </c>
      <c r="D6524" t="s">
        <v>40</v>
      </c>
      <c r="E6524" t="s">
        <v>41</v>
      </c>
      <c r="J6524" t="s">
        <v>288</v>
      </c>
      <c r="K6524" t="s">
        <v>289</v>
      </c>
      <c r="L6524">
        <v>10</v>
      </c>
      <c r="M6524" t="s">
        <v>21813</v>
      </c>
      <c r="N6524" t="s">
        <v>617</v>
      </c>
      <c r="O6524" t="s">
        <v>46</v>
      </c>
      <c r="P6524" t="s">
        <v>46</v>
      </c>
      <c r="Y6524" t="s">
        <v>21814</v>
      </c>
    </row>
    <row r="6525" spans="1:25">
      <c r="A6525" t="s">
        <v>21815</v>
      </c>
      <c r="B6525" t="s">
        <v>21816</v>
      </c>
      <c r="D6525" t="s">
        <v>40</v>
      </c>
      <c r="E6525" t="s">
        <v>41</v>
      </c>
      <c r="J6525" t="s">
        <v>76</v>
      </c>
      <c r="K6525" t="s">
        <v>77</v>
      </c>
      <c r="L6525">
        <v>9</v>
      </c>
      <c r="M6525" t="s">
        <v>21817</v>
      </c>
      <c r="N6525" t="s">
        <v>64</v>
      </c>
      <c r="O6525" t="s">
        <v>46</v>
      </c>
      <c r="P6525" t="s">
        <v>46</v>
      </c>
      <c r="Y6525" t="s">
        <v>21818</v>
      </c>
    </row>
    <row r="6526" spans="1:25">
      <c r="A6526" t="s">
        <v>21819</v>
      </c>
      <c r="B6526" t="s">
        <v>21820</v>
      </c>
      <c r="D6526" t="s">
        <v>40</v>
      </c>
      <c r="E6526" t="s">
        <v>41</v>
      </c>
      <c r="J6526" t="s">
        <v>182</v>
      </c>
      <c r="K6526" t="s">
        <v>183</v>
      </c>
      <c r="L6526">
        <v>9</v>
      </c>
      <c r="M6526" t="s">
        <v>21817</v>
      </c>
      <c r="N6526" t="s">
        <v>64</v>
      </c>
      <c r="O6526" t="s">
        <v>46</v>
      </c>
      <c r="P6526" t="s">
        <v>46</v>
      </c>
      <c r="Y6526" t="s">
        <v>21821</v>
      </c>
    </row>
    <row r="6527" spans="1:25">
      <c r="A6527" t="s">
        <v>21822</v>
      </c>
      <c r="B6527" t="s">
        <v>21823</v>
      </c>
      <c r="D6527" t="s">
        <v>40</v>
      </c>
      <c r="E6527" t="s">
        <v>41</v>
      </c>
      <c r="J6527" t="s">
        <v>139</v>
      </c>
      <c r="K6527" t="s">
        <v>140</v>
      </c>
      <c r="L6527">
        <v>9</v>
      </c>
      <c r="M6527" t="s">
        <v>21817</v>
      </c>
      <c r="N6527" t="s">
        <v>1814</v>
      </c>
      <c r="O6527" t="s">
        <v>46</v>
      </c>
      <c r="P6527" t="s">
        <v>46</v>
      </c>
      <c r="Y6527" t="s">
        <v>21824</v>
      </c>
    </row>
    <row r="6528" spans="1:25">
      <c r="A6528" t="s">
        <v>21825</v>
      </c>
      <c r="B6528" t="s">
        <v>21826</v>
      </c>
      <c r="D6528" t="s">
        <v>40</v>
      </c>
      <c r="E6528" t="s">
        <v>41</v>
      </c>
      <c r="J6528" t="s">
        <v>42</v>
      </c>
      <c r="K6528" t="s">
        <v>43</v>
      </c>
      <c r="L6528">
        <v>9</v>
      </c>
      <c r="M6528" t="s">
        <v>21827</v>
      </c>
      <c r="N6528" t="s">
        <v>178</v>
      </c>
      <c r="O6528" t="s">
        <v>46</v>
      </c>
      <c r="P6528" t="s">
        <v>46</v>
      </c>
      <c r="Y6528" t="s">
        <v>21828</v>
      </c>
    </row>
    <row r="6529" spans="1:25">
      <c r="A6529" t="s">
        <v>21829</v>
      </c>
      <c r="B6529" t="s">
        <v>21830</v>
      </c>
      <c r="D6529" t="s">
        <v>40</v>
      </c>
      <c r="E6529" t="s">
        <v>41</v>
      </c>
      <c r="J6529" t="s">
        <v>76</v>
      </c>
      <c r="K6529" t="s">
        <v>77</v>
      </c>
      <c r="L6529">
        <v>9</v>
      </c>
      <c r="M6529" t="s">
        <v>21827</v>
      </c>
      <c r="N6529" t="s">
        <v>64</v>
      </c>
      <c r="O6529" t="s">
        <v>46</v>
      </c>
      <c r="P6529" t="s">
        <v>46</v>
      </c>
      <c r="Y6529" t="s">
        <v>21831</v>
      </c>
    </row>
    <row r="6530" spans="1:25">
      <c r="A6530" t="s">
        <v>21832</v>
      </c>
      <c r="B6530" t="s">
        <v>21833</v>
      </c>
      <c r="D6530" t="s">
        <v>40</v>
      </c>
      <c r="E6530" t="s">
        <v>41</v>
      </c>
      <c r="J6530" t="s">
        <v>182</v>
      </c>
      <c r="K6530" t="s">
        <v>183</v>
      </c>
      <c r="L6530">
        <v>9</v>
      </c>
      <c r="M6530" t="s">
        <v>21834</v>
      </c>
      <c r="N6530" t="s">
        <v>64</v>
      </c>
      <c r="O6530" t="s">
        <v>46</v>
      </c>
      <c r="P6530" t="s">
        <v>46</v>
      </c>
      <c r="Y6530" t="s">
        <v>21835</v>
      </c>
    </row>
    <row r="6531" spans="1:25">
      <c r="A6531" t="s">
        <v>21836</v>
      </c>
      <c r="B6531" t="s">
        <v>21837</v>
      </c>
      <c r="D6531" t="s">
        <v>40</v>
      </c>
      <c r="E6531" t="s">
        <v>41</v>
      </c>
      <c r="J6531" t="s">
        <v>182</v>
      </c>
      <c r="K6531" t="s">
        <v>183</v>
      </c>
      <c r="L6531">
        <v>9</v>
      </c>
      <c r="M6531" t="s">
        <v>21834</v>
      </c>
      <c r="N6531" t="s">
        <v>64</v>
      </c>
      <c r="O6531" t="s">
        <v>46</v>
      </c>
      <c r="P6531" t="s">
        <v>46</v>
      </c>
      <c r="Y6531" t="s">
        <v>21838</v>
      </c>
    </row>
    <row r="6532" spans="1:25">
      <c r="A6532" t="s">
        <v>21839</v>
      </c>
      <c r="B6532" t="s">
        <v>21840</v>
      </c>
      <c r="D6532" t="s">
        <v>40</v>
      </c>
      <c r="E6532" t="s">
        <v>41</v>
      </c>
      <c r="J6532" t="s">
        <v>182</v>
      </c>
      <c r="K6532" t="s">
        <v>183</v>
      </c>
      <c r="L6532">
        <v>9</v>
      </c>
      <c r="M6532" t="s">
        <v>21834</v>
      </c>
      <c r="N6532" t="s">
        <v>64</v>
      </c>
      <c r="O6532" t="s">
        <v>46</v>
      </c>
      <c r="P6532" t="s">
        <v>46</v>
      </c>
      <c r="Y6532" t="s">
        <v>21841</v>
      </c>
    </row>
    <row r="6533" spans="1:25">
      <c r="A6533" t="s">
        <v>21842</v>
      </c>
      <c r="B6533" t="s">
        <v>21843</v>
      </c>
      <c r="D6533" t="s">
        <v>40</v>
      </c>
      <c r="E6533" t="s">
        <v>41</v>
      </c>
      <c r="J6533" t="s">
        <v>42</v>
      </c>
      <c r="K6533" t="s">
        <v>43</v>
      </c>
      <c r="L6533">
        <v>12</v>
      </c>
      <c r="M6533" t="s">
        <v>21844</v>
      </c>
      <c r="N6533" t="s">
        <v>1380</v>
      </c>
      <c r="O6533" t="s">
        <v>46</v>
      </c>
      <c r="P6533" t="s">
        <v>46</v>
      </c>
      <c r="Y6533" t="s">
        <v>21845</v>
      </c>
    </row>
    <row r="6534" spans="1:25">
      <c r="A6534" t="s">
        <v>21846</v>
      </c>
      <c r="B6534" t="s">
        <v>21847</v>
      </c>
      <c r="D6534" t="s">
        <v>40</v>
      </c>
      <c r="E6534" t="s">
        <v>41</v>
      </c>
      <c r="J6534" t="s">
        <v>50</v>
      </c>
      <c r="K6534" t="s">
        <v>51</v>
      </c>
      <c r="L6534">
        <v>9</v>
      </c>
      <c r="M6534" t="s">
        <v>21848</v>
      </c>
      <c r="N6534" t="s">
        <v>305</v>
      </c>
      <c r="O6534" t="s">
        <v>46</v>
      </c>
      <c r="P6534" t="s">
        <v>46</v>
      </c>
      <c r="Y6534" t="s">
        <v>21849</v>
      </c>
    </row>
    <row r="6535" spans="1:25">
      <c r="A6535" t="s">
        <v>21850</v>
      </c>
      <c r="B6535" t="s">
        <v>21851</v>
      </c>
      <c r="D6535" t="s">
        <v>40</v>
      </c>
      <c r="E6535" t="s">
        <v>41</v>
      </c>
      <c r="J6535" t="s">
        <v>42</v>
      </c>
      <c r="K6535" t="s">
        <v>43</v>
      </c>
      <c r="L6535">
        <v>11</v>
      </c>
      <c r="M6535" t="s">
        <v>21852</v>
      </c>
      <c r="N6535" t="s">
        <v>178</v>
      </c>
      <c r="O6535" t="s">
        <v>46</v>
      </c>
      <c r="P6535" t="s">
        <v>46</v>
      </c>
      <c r="Y6535" t="s">
        <v>21853</v>
      </c>
    </row>
    <row r="6536" spans="1:25">
      <c r="A6536" t="s">
        <v>21854</v>
      </c>
      <c r="B6536" t="s">
        <v>21855</v>
      </c>
      <c r="D6536" t="s">
        <v>40</v>
      </c>
      <c r="E6536" t="s">
        <v>41</v>
      </c>
      <c r="J6536" t="s">
        <v>50</v>
      </c>
      <c r="K6536" t="s">
        <v>51</v>
      </c>
      <c r="L6536">
        <v>9</v>
      </c>
      <c r="M6536" t="s">
        <v>21856</v>
      </c>
      <c r="N6536" t="s">
        <v>310</v>
      </c>
      <c r="O6536" t="s">
        <v>46</v>
      </c>
      <c r="P6536" t="s">
        <v>46</v>
      </c>
      <c r="Y6536" t="s">
        <v>21857</v>
      </c>
    </row>
    <row r="6537" spans="1:25">
      <c r="A6537" t="s">
        <v>21858</v>
      </c>
      <c r="B6537" t="s">
        <v>21859</v>
      </c>
      <c r="D6537" t="s">
        <v>40</v>
      </c>
      <c r="E6537" t="s">
        <v>41</v>
      </c>
      <c r="J6537" t="s">
        <v>182</v>
      </c>
      <c r="K6537" t="s">
        <v>183</v>
      </c>
      <c r="L6537">
        <v>9</v>
      </c>
      <c r="M6537" t="s">
        <v>21856</v>
      </c>
      <c r="N6537" t="s">
        <v>64</v>
      </c>
      <c r="O6537" t="s">
        <v>46</v>
      </c>
      <c r="P6537" t="s">
        <v>46</v>
      </c>
      <c r="Y6537" t="s">
        <v>21860</v>
      </c>
    </row>
    <row r="6538" spans="1:25">
      <c r="A6538" t="s">
        <v>21861</v>
      </c>
      <c r="B6538" t="s">
        <v>21862</v>
      </c>
      <c r="D6538" t="s">
        <v>40</v>
      </c>
      <c r="E6538" t="s">
        <v>41</v>
      </c>
      <c r="J6538" t="s">
        <v>76</v>
      </c>
      <c r="K6538" t="s">
        <v>77</v>
      </c>
      <c r="L6538">
        <v>9</v>
      </c>
      <c r="M6538" t="s">
        <v>21856</v>
      </c>
      <c r="N6538" t="s">
        <v>64</v>
      </c>
      <c r="O6538" t="s">
        <v>46</v>
      </c>
      <c r="P6538" t="s">
        <v>46</v>
      </c>
      <c r="Y6538" t="s">
        <v>21863</v>
      </c>
    </row>
    <row r="6539" spans="1:25">
      <c r="A6539" t="s">
        <v>21864</v>
      </c>
      <c r="B6539" t="s">
        <v>21865</v>
      </c>
      <c r="D6539" t="s">
        <v>40</v>
      </c>
      <c r="E6539" t="s">
        <v>41</v>
      </c>
      <c r="J6539" t="s">
        <v>139</v>
      </c>
      <c r="K6539" t="s">
        <v>140</v>
      </c>
      <c r="L6539">
        <v>8</v>
      </c>
      <c r="M6539" t="s">
        <v>21866</v>
      </c>
      <c r="N6539" t="s">
        <v>1446</v>
      </c>
      <c r="O6539" t="s">
        <v>46</v>
      </c>
      <c r="P6539" t="s">
        <v>46</v>
      </c>
      <c r="Y6539" t="s">
        <v>21867</v>
      </c>
    </row>
    <row r="6540" spans="1:25">
      <c r="A6540" t="s">
        <v>21868</v>
      </c>
      <c r="B6540" t="s">
        <v>21869</v>
      </c>
      <c r="D6540" t="s">
        <v>40</v>
      </c>
      <c r="E6540" t="s">
        <v>41</v>
      </c>
      <c r="J6540" t="s">
        <v>1554</v>
      </c>
      <c r="K6540" t="s">
        <v>1555</v>
      </c>
      <c r="L6540">
        <v>7</v>
      </c>
      <c r="M6540" t="s">
        <v>21870</v>
      </c>
      <c r="N6540" t="s">
        <v>509</v>
      </c>
      <c r="O6540" t="s">
        <v>46</v>
      </c>
      <c r="P6540" t="s">
        <v>46</v>
      </c>
      <c r="Y6540" t="s">
        <v>21871</v>
      </c>
    </row>
    <row r="6541" spans="1:25">
      <c r="A6541" t="s">
        <v>21872</v>
      </c>
      <c r="B6541" t="s">
        <v>21873</v>
      </c>
      <c r="D6541" t="s">
        <v>40</v>
      </c>
      <c r="E6541" t="s">
        <v>41</v>
      </c>
      <c r="J6541" t="s">
        <v>50</v>
      </c>
      <c r="K6541" t="s">
        <v>51</v>
      </c>
      <c r="L6541">
        <v>10</v>
      </c>
      <c r="M6541" t="s">
        <v>21874</v>
      </c>
      <c r="N6541" t="s">
        <v>350</v>
      </c>
      <c r="O6541" t="s">
        <v>46</v>
      </c>
      <c r="P6541" t="s">
        <v>46</v>
      </c>
      <c r="Y6541" t="s">
        <v>21875</v>
      </c>
    </row>
    <row r="6542" spans="1:25">
      <c r="A6542" t="s">
        <v>21876</v>
      </c>
      <c r="B6542" t="s">
        <v>21877</v>
      </c>
      <c r="D6542" t="s">
        <v>40</v>
      </c>
      <c r="E6542" t="s">
        <v>41</v>
      </c>
      <c r="J6542" t="s">
        <v>76</v>
      </c>
      <c r="K6542" t="s">
        <v>77</v>
      </c>
      <c r="L6542">
        <v>9</v>
      </c>
      <c r="M6542" t="s">
        <v>21878</v>
      </c>
      <c r="N6542" t="s">
        <v>64</v>
      </c>
      <c r="O6542" t="s">
        <v>46</v>
      </c>
      <c r="P6542" t="s">
        <v>46</v>
      </c>
      <c r="Y6542" t="s">
        <v>21879</v>
      </c>
    </row>
    <row r="6543" spans="1:25">
      <c r="A6543" t="s">
        <v>21880</v>
      </c>
      <c r="B6543" t="s">
        <v>21881</v>
      </c>
      <c r="D6543" t="s">
        <v>40</v>
      </c>
      <c r="E6543" t="s">
        <v>41</v>
      </c>
      <c r="J6543" t="s">
        <v>76</v>
      </c>
      <c r="K6543" t="s">
        <v>77</v>
      </c>
      <c r="L6543">
        <v>9</v>
      </c>
      <c r="M6543" t="s">
        <v>21878</v>
      </c>
      <c r="N6543" t="s">
        <v>64</v>
      </c>
      <c r="O6543" t="s">
        <v>46</v>
      </c>
      <c r="P6543" t="s">
        <v>46</v>
      </c>
      <c r="Y6543" t="s">
        <v>21882</v>
      </c>
    </row>
    <row r="6544" spans="1:25">
      <c r="A6544" t="s">
        <v>21883</v>
      </c>
      <c r="B6544" t="s">
        <v>21884</v>
      </c>
      <c r="D6544" t="s">
        <v>40</v>
      </c>
      <c r="E6544" t="s">
        <v>41</v>
      </c>
      <c r="J6544" t="s">
        <v>182</v>
      </c>
      <c r="K6544" t="s">
        <v>183</v>
      </c>
      <c r="L6544">
        <v>9</v>
      </c>
      <c r="M6544" t="s">
        <v>21878</v>
      </c>
      <c r="N6544" t="s">
        <v>64</v>
      </c>
      <c r="O6544" t="s">
        <v>46</v>
      </c>
      <c r="P6544" t="s">
        <v>46</v>
      </c>
      <c r="Y6544" t="s">
        <v>21885</v>
      </c>
    </row>
    <row r="6545" spans="1:25">
      <c r="A6545" t="s">
        <v>21886</v>
      </c>
      <c r="B6545" t="s">
        <v>21887</v>
      </c>
      <c r="D6545" t="s">
        <v>40</v>
      </c>
      <c r="E6545" t="s">
        <v>41</v>
      </c>
      <c r="J6545" t="s">
        <v>42</v>
      </c>
      <c r="K6545" t="s">
        <v>43</v>
      </c>
      <c r="L6545">
        <v>10</v>
      </c>
      <c r="M6545" t="s">
        <v>21888</v>
      </c>
      <c r="N6545" t="s">
        <v>305</v>
      </c>
      <c r="O6545" t="s">
        <v>46</v>
      </c>
      <c r="P6545" t="s">
        <v>46</v>
      </c>
      <c r="Y6545" t="s">
        <v>21889</v>
      </c>
    </row>
    <row r="6546" spans="1:25">
      <c r="A6546" t="s">
        <v>21890</v>
      </c>
      <c r="B6546" t="s">
        <v>21891</v>
      </c>
      <c r="D6546" t="s">
        <v>40</v>
      </c>
      <c r="E6546" t="s">
        <v>41</v>
      </c>
      <c r="J6546" t="s">
        <v>76</v>
      </c>
      <c r="K6546" t="s">
        <v>77</v>
      </c>
      <c r="L6546">
        <v>9</v>
      </c>
      <c r="M6546" t="s">
        <v>21892</v>
      </c>
      <c r="N6546" t="s">
        <v>64</v>
      </c>
      <c r="O6546" t="s">
        <v>46</v>
      </c>
      <c r="P6546" t="s">
        <v>46</v>
      </c>
      <c r="Y6546" t="s">
        <v>21893</v>
      </c>
    </row>
    <row r="6547" spans="1:25">
      <c r="A6547" t="s">
        <v>21894</v>
      </c>
      <c r="B6547" t="s">
        <v>21895</v>
      </c>
      <c r="D6547" t="s">
        <v>40</v>
      </c>
      <c r="E6547" t="s">
        <v>41</v>
      </c>
      <c r="J6547" t="s">
        <v>42</v>
      </c>
      <c r="K6547" t="s">
        <v>43</v>
      </c>
      <c r="L6547">
        <v>9</v>
      </c>
      <c r="M6547" t="s">
        <v>21892</v>
      </c>
      <c r="N6547" t="s">
        <v>1397</v>
      </c>
      <c r="O6547" t="s">
        <v>46</v>
      </c>
      <c r="P6547" t="s">
        <v>46</v>
      </c>
      <c r="Y6547" t="s">
        <v>21896</v>
      </c>
    </row>
    <row r="6548" spans="1:25">
      <c r="A6548" t="s">
        <v>21897</v>
      </c>
      <c r="B6548" t="s">
        <v>21898</v>
      </c>
      <c r="D6548" t="s">
        <v>40</v>
      </c>
      <c r="E6548" t="s">
        <v>41</v>
      </c>
      <c r="J6548" t="s">
        <v>76</v>
      </c>
      <c r="K6548" t="s">
        <v>77</v>
      </c>
      <c r="L6548">
        <v>9</v>
      </c>
      <c r="M6548" t="s">
        <v>21892</v>
      </c>
      <c r="N6548" t="s">
        <v>64</v>
      </c>
      <c r="O6548" t="s">
        <v>46</v>
      </c>
      <c r="P6548" t="s">
        <v>46</v>
      </c>
      <c r="Y6548" t="s">
        <v>21899</v>
      </c>
    </row>
    <row r="6549" spans="1:25">
      <c r="A6549" t="s">
        <v>21900</v>
      </c>
      <c r="B6549" t="s">
        <v>21901</v>
      </c>
      <c r="D6549" t="s">
        <v>40</v>
      </c>
      <c r="E6549" t="s">
        <v>41</v>
      </c>
      <c r="J6549" t="s">
        <v>182</v>
      </c>
      <c r="K6549" t="s">
        <v>183</v>
      </c>
      <c r="L6549">
        <v>9</v>
      </c>
      <c r="M6549" t="s">
        <v>21902</v>
      </c>
      <c r="N6549" t="s">
        <v>64</v>
      </c>
      <c r="O6549" t="s">
        <v>46</v>
      </c>
      <c r="P6549" t="s">
        <v>46</v>
      </c>
      <c r="Y6549" t="s">
        <v>21903</v>
      </c>
    </row>
    <row r="6550" spans="1:25">
      <c r="A6550" t="s">
        <v>21904</v>
      </c>
      <c r="B6550" t="s">
        <v>21905</v>
      </c>
      <c r="D6550" t="s">
        <v>40</v>
      </c>
      <c r="E6550" t="s">
        <v>41</v>
      </c>
      <c r="J6550" t="s">
        <v>42</v>
      </c>
      <c r="K6550" t="s">
        <v>43</v>
      </c>
      <c r="L6550">
        <v>9</v>
      </c>
      <c r="M6550" t="s">
        <v>21906</v>
      </c>
      <c r="N6550" t="s">
        <v>305</v>
      </c>
      <c r="O6550" t="s">
        <v>46</v>
      </c>
      <c r="P6550" t="s">
        <v>46</v>
      </c>
      <c r="Y6550" t="s">
        <v>21907</v>
      </c>
    </row>
    <row r="6551" spans="1:25">
      <c r="A6551" t="s">
        <v>21908</v>
      </c>
      <c r="B6551" t="s">
        <v>21909</v>
      </c>
      <c r="D6551" t="s">
        <v>40</v>
      </c>
      <c r="E6551" t="s">
        <v>41</v>
      </c>
      <c r="J6551" t="s">
        <v>1142</v>
      </c>
      <c r="K6551" t="s">
        <v>1143</v>
      </c>
      <c r="L6551">
        <v>2</v>
      </c>
      <c r="M6551" t="s">
        <v>21910</v>
      </c>
      <c r="N6551" t="s">
        <v>58</v>
      </c>
      <c r="O6551" t="s">
        <v>46</v>
      </c>
      <c r="P6551" t="s">
        <v>46</v>
      </c>
      <c r="Y6551" t="s">
        <v>21911</v>
      </c>
    </row>
    <row r="6552" spans="1:25">
      <c r="A6552" t="s">
        <v>21912</v>
      </c>
      <c r="B6552" t="s">
        <v>21913</v>
      </c>
      <c r="D6552" t="s">
        <v>40</v>
      </c>
      <c r="E6552" t="s">
        <v>41</v>
      </c>
      <c r="J6552" t="s">
        <v>182</v>
      </c>
      <c r="K6552" t="s">
        <v>183</v>
      </c>
      <c r="L6552">
        <v>9</v>
      </c>
      <c r="M6552" t="s">
        <v>21914</v>
      </c>
      <c r="N6552" t="s">
        <v>64</v>
      </c>
      <c r="O6552" t="s">
        <v>46</v>
      </c>
      <c r="P6552" t="s">
        <v>46</v>
      </c>
      <c r="Y6552" t="s">
        <v>21915</v>
      </c>
    </row>
    <row r="6553" spans="1:25">
      <c r="A6553" t="s">
        <v>21916</v>
      </c>
      <c r="B6553" t="s">
        <v>21917</v>
      </c>
      <c r="D6553" t="s">
        <v>40</v>
      </c>
      <c r="E6553" t="s">
        <v>41</v>
      </c>
      <c r="J6553" t="s">
        <v>182</v>
      </c>
      <c r="K6553" t="s">
        <v>183</v>
      </c>
      <c r="L6553">
        <v>8</v>
      </c>
      <c r="M6553" t="s">
        <v>21914</v>
      </c>
      <c r="N6553" t="s">
        <v>64</v>
      </c>
      <c r="O6553" t="s">
        <v>46</v>
      </c>
      <c r="P6553" t="s">
        <v>46</v>
      </c>
      <c r="Y6553" t="s">
        <v>21918</v>
      </c>
    </row>
    <row r="6554" spans="1:25">
      <c r="A6554" t="s">
        <v>21919</v>
      </c>
      <c r="B6554" t="s">
        <v>21920</v>
      </c>
      <c r="D6554" t="s">
        <v>40</v>
      </c>
      <c r="E6554" t="s">
        <v>41</v>
      </c>
      <c r="J6554" t="s">
        <v>42</v>
      </c>
      <c r="K6554" t="s">
        <v>43</v>
      </c>
      <c r="L6554">
        <v>11</v>
      </c>
      <c r="M6554" t="s">
        <v>21921</v>
      </c>
      <c r="N6554" t="s">
        <v>305</v>
      </c>
      <c r="O6554" t="s">
        <v>46</v>
      </c>
      <c r="P6554" t="s">
        <v>46</v>
      </c>
      <c r="Y6554" t="s">
        <v>21922</v>
      </c>
    </row>
    <row r="6555" spans="1:25">
      <c r="A6555" t="s">
        <v>21923</v>
      </c>
      <c r="B6555" t="s">
        <v>21924</v>
      </c>
      <c r="D6555" t="s">
        <v>40</v>
      </c>
      <c r="E6555" t="s">
        <v>41</v>
      </c>
      <c r="J6555" t="s">
        <v>76</v>
      </c>
      <c r="K6555" t="s">
        <v>77</v>
      </c>
      <c r="L6555">
        <v>5</v>
      </c>
      <c r="M6555" t="s">
        <v>21925</v>
      </c>
      <c r="N6555" t="s">
        <v>64</v>
      </c>
      <c r="O6555" t="s">
        <v>46</v>
      </c>
      <c r="P6555" t="s">
        <v>46</v>
      </c>
      <c r="Y6555" t="s">
        <v>21926</v>
      </c>
    </row>
    <row r="6556" spans="1:25">
      <c r="A6556" t="s">
        <v>21927</v>
      </c>
      <c r="B6556" t="s">
        <v>21928</v>
      </c>
      <c r="D6556" t="s">
        <v>40</v>
      </c>
      <c r="E6556" t="s">
        <v>41</v>
      </c>
      <c r="J6556" t="s">
        <v>42</v>
      </c>
      <c r="K6556" t="s">
        <v>43</v>
      </c>
      <c r="L6556">
        <v>11</v>
      </c>
      <c r="M6556" t="s">
        <v>21925</v>
      </c>
      <c r="N6556" t="s">
        <v>4037</v>
      </c>
      <c r="O6556" t="s">
        <v>46</v>
      </c>
      <c r="P6556" t="s">
        <v>46</v>
      </c>
      <c r="Y6556" t="s">
        <v>21929</v>
      </c>
    </row>
    <row r="6557" spans="1:25">
      <c r="A6557" t="s">
        <v>21930</v>
      </c>
      <c r="B6557" t="s">
        <v>21931</v>
      </c>
      <c r="D6557" t="s">
        <v>40</v>
      </c>
      <c r="E6557" t="s">
        <v>41</v>
      </c>
      <c r="J6557" t="s">
        <v>182</v>
      </c>
      <c r="K6557" t="s">
        <v>183</v>
      </c>
      <c r="L6557">
        <v>13</v>
      </c>
      <c r="M6557" t="s">
        <v>21932</v>
      </c>
      <c r="N6557" t="s">
        <v>64</v>
      </c>
      <c r="O6557" t="s">
        <v>46</v>
      </c>
      <c r="P6557" t="s">
        <v>46</v>
      </c>
      <c r="Y6557" t="s">
        <v>21933</v>
      </c>
    </row>
    <row r="6558" spans="1:25">
      <c r="A6558" t="s">
        <v>21934</v>
      </c>
      <c r="B6558" t="s">
        <v>21935</v>
      </c>
      <c r="D6558" t="s">
        <v>40</v>
      </c>
      <c r="E6558" t="s">
        <v>41</v>
      </c>
      <c r="J6558" t="s">
        <v>182</v>
      </c>
      <c r="K6558" t="s">
        <v>183</v>
      </c>
      <c r="L6558">
        <v>13</v>
      </c>
      <c r="M6558" t="s">
        <v>21936</v>
      </c>
      <c r="N6558" t="s">
        <v>64</v>
      </c>
      <c r="O6558" t="s">
        <v>46</v>
      </c>
      <c r="P6558" t="s">
        <v>46</v>
      </c>
      <c r="Y6558" t="s">
        <v>21937</v>
      </c>
    </row>
    <row r="6559" spans="1:25">
      <c r="A6559" t="s">
        <v>21938</v>
      </c>
      <c r="B6559" t="s">
        <v>21939</v>
      </c>
      <c r="D6559" t="s">
        <v>40</v>
      </c>
      <c r="E6559" t="s">
        <v>41</v>
      </c>
      <c r="J6559" t="s">
        <v>76</v>
      </c>
      <c r="K6559" t="s">
        <v>77</v>
      </c>
      <c r="L6559">
        <v>13</v>
      </c>
      <c r="M6559" t="s">
        <v>21936</v>
      </c>
      <c r="N6559" t="s">
        <v>64</v>
      </c>
      <c r="O6559" t="s">
        <v>46</v>
      </c>
      <c r="P6559" t="s">
        <v>46</v>
      </c>
      <c r="Y6559" t="s">
        <v>21940</v>
      </c>
    </row>
    <row r="6560" spans="1:25">
      <c r="A6560" t="s">
        <v>21941</v>
      </c>
      <c r="B6560" t="s">
        <v>21942</v>
      </c>
      <c r="D6560" t="s">
        <v>40</v>
      </c>
      <c r="E6560" t="s">
        <v>41</v>
      </c>
      <c r="J6560" t="s">
        <v>76</v>
      </c>
      <c r="K6560" t="s">
        <v>77</v>
      </c>
      <c r="L6560">
        <v>13</v>
      </c>
      <c r="M6560" t="s">
        <v>21943</v>
      </c>
      <c r="N6560" t="s">
        <v>64</v>
      </c>
      <c r="O6560" t="s">
        <v>46</v>
      </c>
      <c r="P6560" t="s">
        <v>46</v>
      </c>
      <c r="Y6560" t="s">
        <v>21944</v>
      </c>
    </row>
    <row r="6561" spans="1:25">
      <c r="A6561" t="s">
        <v>21945</v>
      </c>
      <c r="B6561" t="s">
        <v>21946</v>
      </c>
      <c r="D6561" t="s">
        <v>40</v>
      </c>
      <c r="E6561" t="s">
        <v>41</v>
      </c>
      <c r="J6561" t="s">
        <v>182</v>
      </c>
      <c r="K6561" t="s">
        <v>183</v>
      </c>
      <c r="L6561">
        <v>13</v>
      </c>
      <c r="M6561" t="s">
        <v>21947</v>
      </c>
      <c r="N6561" t="s">
        <v>64</v>
      </c>
      <c r="O6561" t="s">
        <v>46</v>
      </c>
      <c r="P6561" t="s">
        <v>46</v>
      </c>
      <c r="Y6561" t="s">
        <v>21948</v>
      </c>
    </row>
    <row r="6562" spans="1:25">
      <c r="A6562" t="s">
        <v>21949</v>
      </c>
      <c r="B6562" t="s">
        <v>21950</v>
      </c>
      <c r="D6562" t="s">
        <v>40</v>
      </c>
      <c r="E6562" t="s">
        <v>41</v>
      </c>
      <c r="J6562" t="s">
        <v>182</v>
      </c>
      <c r="K6562" t="s">
        <v>183</v>
      </c>
      <c r="L6562">
        <v>12</v>
      </c>
      <c r="M6562" t="s">
        <v>21951</v>
      </c>
      <c r="N6562" t="s">
        <v>64</v>
      </c>
      <c r="O6562" t="s">
        <v>46</v>
      </c>
      <c r="P6562" t="s">
        <v>46</v>
      </c>
      <c r="Y6562" t="s">
        <v>21952</v>
      </c>
    </row>
    <row r="6563" spans="1:25">
      <c r="A6563" t="s">
        <v>21953</v>
      </c>
      <c r="B6563" t="s">
        <v>21954</v>
      </c>
      <c r="D6563" t="s">
        <v>40</v>
      </c>
      <c r="E6563" t="s">
        <v>41</v>
      </c>
      <c r="J6563" t="s">
        <v>182</v>
      </c>
      <c r="K6563" t="s">
        <v>183</v>
      </c>
      <c r="L6563">
        <v>12</v>
      </c>
      <c r="M6563" t="s">
        <v>21951</v>
      </c>
      <c r="N6563" t="s">
        <v>64</v>
      </c>
      <c r="O6563" t="s">
        <v>46</v>
      </c>
      <c r="P6563" t="s">
        <v>46</v>
      </c>
      <c r="Y6563" t="s">
        <v>21955</v>
      </c>
    </row>
    <row r="6564" spans="1:25">
      <c r="A6564" t="s">
        <v>21956</v>
      </c>
      <c r="B6564" t="s">
        <v>21957</v>
      </c>
      <c r="D6564" t="s">
        <v>40</v>
      </c>
      <c r="E6564" t="s">
        <v>41</v>
      </c>
      <c r="J6564" t="s">
        <v>248</v>
      </c>
      <c r="K6564" t="s">
        <v>249</v>
      </c>
      <c r="L6564">
        <v>5</v>
      </c>
      <c r="M6564" t="s">
        <v>21958</v>
      </c>
      <c r="N6564" t="s">
        <v>173</v>
      </c>
      <c r="O6564" t="s">
        <v>46</v>
      </c>
      <c r="P6564" t="s">
        <v>46</v>
      </c>
      <c r="Y6564" t="s">
        <v>21959</v>
      </c>
    </row>
    <row r="6565" spans="1:25">
      <c r="A6565" t="s">
        <v>21960</v>
      </c>
      <c r="B6565" t="s">
        <v>21961</v>
      </c>
      <c r="D6565" t="s">
        <v>40</v>
      </c>
      <c r="E6565" t="s">
        <v>41</v>
      </c>
      <c r="J6565" t="s">
        <v>76</v>
      </c>
      <c r="K6565" t="s">
        <v>77</v>
      </c>
      <c r="L6565">
        <v>4</v>
      </c>
      <c r="M6565" t="s">
        <v>21962</v>
      </c>
      <c r="N6565" t="s">
        <v>64</v>
      </c>
      <c r="O6565" t="s">
        <v>46</v>
      </c>
      <c r="P6565" t="s">
        <v>46</v>
      </c>
      <c r="Y6565" t="s">
        <v>21963</v>
      </c>
    </row>
    <row r="6566" spans="1:25">
      <c r="A6566" t="s">
        <v>21964</v>
      </c>
      <c r="B6566" t="s">
        <v>21965</v>
      </c>
      <c r="D6566" t="s">
        <v>40</v>
      </c>
      <c r="E6566" t="s">
        <v>41</v>
      </c>
      <c r="J6566" t="s">
        <v>248</v>
      </c>
      <c r="K6566" t="s">
        <v>249</v>
      </c>
      <c r="L6566">
        <v>5</v>
      </c>
      <c r="M6566" t="s">
        <v>21962</v>
      </c>
      <c r="N6566" t="s">
        <v>53</v>
      </c>
      <c r="O6566" t="s">
        <v>46</v>
      </c>
      <c r="P6566" t="s">
        <v>46</v>
      </c>
      <c r="Y6566" t="s">
        <v>21966</v>
      </c>
    </row>
    <row r="6567" spans="1:25">
      <c r="A6567" t="s">
        <v>21967</v>
      </c>
      <c r="B6567" t="s">
        <v>21968</v>
      </c>
      <c r="D6567" t="s">
        <v>40</v>
      </c>
      <c r="E6567" t="s">
        <v>41</v>
      </c>
      <c r="J6567" t="s">
        <v>50</v>
      </c>
      <c r="K6567" t="s">
        <v>51</v>
      </c>
      <c r="L6567">
        <v>5</v>
      </c>
      <c r="M6567" t="s">
        <v>21962</v>
      </c>
      <c r="N6567" t="s">
        <v>617</v>
      </c>
      <c r="O6567" t="s">
        <v>46</v>
      </c>
      <c r="P6567" t="s">
        <v>46</v>
      </c>
      <c r="Y6567" t="s">
        <v>21969</v>
      </c>
    </row>
    <row r="6568" spans="1:25">
      <c r="A6568" t="s">
        <v>21970</v>
      </c>
      <c r="B6568" t="s">
        <v>21971</v>
      </c>
      <c r="D6568" t="s">
        <v>40</v>
      </c>
      <c r="E6568" t="s">
        <v>41</v>
      </c>
      <c r="J6568" t="s">
        <v>139</v>
      </c>
      <c r="K6568" t="s">
        <v>140</v>
      </c>
      <c r="L6568">
        <v>12</v>
      </c>
      <c r="M6568" t="s">
        <v>21972</v>
      </c>
      <c r="N6568" t="s">
        <v>1276</v>
      </c>
      <c r="O6568" t="s">
        <v>46</v>
      </c>
      <c r="P6568" t="s">
        <v>46</v>
      </c>
      <c r="Y6568" t="s">
        <v>21973</v>
      </c>
    </row>
    <row r="6569" spans="1:25">
      <c r="A6569" t="s">
        <v>21974</v>
      </c>
      <c r="B6569" t="s">
        <v>21975</v>
      </c>
      <c r="D6569" t="s">
        <v>40</v>
      </c>
      <c r="E6569" t="s">
        <v>41</v>
      </c>
      <c r="J6569" t="s">
        <v>76</v>
      </c>
      <c r="K6569" t="s">
        <v>77</v>
      </c>
      <c r="L6569">
        <v>12</v>
      </c>
      <c r="M6569" t="s">
        <v>21972</v>
      </c>
      <c r="N6569" t="s">
        <v>64</v>
      </c>
      <c r="O6569" t="s">
        <v>46</v>
      </c>
      <c r="P6569" t="s">
        <v>46</v>
      </c>
      <c r="Y6569" t="s">
        <v>21976</v>
      </c>
    </row>
    <row r="6570" spans="1:25">
      <c r="A6570" t="s">
        <v>21977</v>
      </c>
      <c r="B6570" t="s">
        <v>21978</v>
      </c>
      <c r="D6570" t="s">
        <v>40</v>
      </c>
      <c r="E6570" t="s">
        <v>41</v>
      </c>
      <c r="J6570" t="s">
        <v>182</v>
      </c>
      <c r="K6570" t="s">
        <v>183</v>
      </c>
      <c r="L6570">
        <v>12</v>
      </c>
      <c r="M6570" t="s">
        <v>21979</v>
      </c>
      <c r="N6570" t="s">
        <v>64</v>
      </c>
      <c r="O6570" t="s">
        <v>46</v>
      </c>
      <c r="P6570" t="s">
        <v>46</v>
      </c>
      <c r="Y6570" t="s">
        <v>21980</v>
      </c>
    </row>
    <row r="6571" spans="1:25">
      <c r="A6571" t="s">
        <v>21981</v>
      </c>
      <c r="B6571" t="s">
        <v>21982</v>
      </c>
      <c r="D6571" t="s">
        <v>40</v>
      </c>
      <c r="E6571" t="s">
        <v>41</v>
      </c>
      <c r="J6571" t="s">
        <v>1554</v>
      </c>
      <c r="K6571" t="s">
        <v>1555</v>
      </c>
      <c r="L6571">
        <v>12</v>
      </c>
      <c r="M6571" t="s">
        <v>21983</v>
      </c>
      <c r="N6571" t="s">
        <v>4037</v>
      </c>
      <c r="O6571" t="s">
        <v>46</v>
      </c>
      <c r="P6571" t="s">
        <v>46</v>
      </c>
      <c r="Y6571" t="s">
        <v>21984</v>
      </c>
    </row>
    <row r="6572" spans="1:25">
      <c r="A6572" t="s">
        <v>21985</v>
      </c>
      <c r="B6572" t="s">
        <v>21986</v>
      </c>
      <c r="D6572" t="s">
        <v>40</v>
      </c>
      <c r="E6572" t="s">
        <v>41</v>
      </c>
      <c r="J6572" t="s">
        <v>182</v>
      </c>
      <c r="K6572" t="s">
        <v>183</v>
      </c>
      <c r="L6572">
        <v>12</v>
      </c>
      <c r="M6572" t="s">
        <v>21983</v>
      </c>
      <c r="N6572" t="s">
        <v>64</v>
      </c>
      <c r="O6572" t="s">
        <v>46</v>
      </c>
      <c r="P6572" t="s">
        <v>46</v>
      </c>
      <c r="Y6572" t="s">
        <v>21987</v>
      </c>
    </row>
    <row r="6573" spans="1:25">
      <c r="A6573" t="s">
        <v>21988</v>
      </c>
      <c r="B6573" t="s">
        <v>21989</v>
      </c>
      <c r="D6573" t="s">
        <v>40</v>
      </c>
      <c r="E6573" t="s">
        <v>41</v>
      </c>
      <c r="J6573" t="s">
        <v>76</v>
      </c>
      <c r="K6573" t="s">
        <v>77</v>
      </c>
      <c r="L6573">
        <v>12</v>
      </c>
      <c r="M6573" t="s">
        <v>21990</v>
      </c>
      <c r="N6573" t="s">
        <v>64</v>
      </c>
      <c r="O6573" t="s">
        <v>46</v>
      </c>
      <c r="P6573" t="s">
        <v>46</v>
      </c>
      <c r="Y6573" t="s">
        <v>21991</v>
      </c>
    </row>
    <row r="6574" spans="1:25">
      <c r="A6574" t="s">
        <v>21992</v>
      </c>
      <c r="B6574" t="s">
        <v>21993</v>
      </c>
      <c r="D6574" t="s">
        <v>40</v>
      </c>
      <c r="E6574" t="s">
        <v>41</v>
      </c>
      <c r="J6574" t="s">
        <v>182</v>
      </c>
      <c r="K6574" t="s">
        <v>183</v>
      </c>
      <c r="L6574">
        <v>11</v>
      </c>
      <c r="M6574" t="s">
        <v>21994</v>
      </c>
      <c r="N6574" t="s">
        <v>64</v>
      </c>
      <c r="O6574" t="s">
        <v>46</v>
      </c>
      <c r="P6574" t="s">
        <v>46</v>
      </c>
      <c r="Y6574" t="s">
        <v>21995</v>
      </c>
    </row>
    <row r="6575" spans="1:25">
      <c r="A6575" t="s">
        <v>21996</v>
      </c>
      <c r="B6575" t="s">
        <v>21997</v>
      </c>
      <c r="D6575" t="s">
        <v>40</v>
      </c>
      <c r="E6575" t="s">
        <v>41</v>
      </c>
      <c r="J6575" t="s">
        <v>248</v>
      </c>
      <c r="K6575" t="s">
        <v>249</v>
      </c>
      <c r="L6575">
        <v>11</v>
      </c>
      <c r="M6575" t="s">
        <v>21994</v>
      </c>
      <c r="N6575" t="s">
        <v>752</v>
      </c>
      <c r="O6575" t="s">
        <v>46</v>
      </c>
      <c r="P6575" t="s">
        <v>46</v>
      </c>
      <c r="Y6575" t="s">
        <v>21998</v>
      </c>
    </row>
    <row r="6576" spans="1:25">
      <c r="A6576" t="s">
        <v>21999</v>
      </c>
      <c r="B6576" t="s">
        <v>22000</v>
      </c>
      <c r="D6576" t="s">
        <v>40</v>
      </c>
      <c r="E6576" t="s">
        <v>41</v>
      </c>
      <c r="J6576" t="s">
        <v>42</v>
      </c>
      <c r="K6576" t="s">
        <v>43</v>
      </c>
      <c r="L6576">
        <v>10</v>
      </c>
      <c r="M6576" t="s">
        <v>22001</v>
      </c>
      <c r="N6576" t="s">
        <v>1138</v>
      </c>
      <c r="O6576" t="s">
        <v>46</v>
      </c>
      <c r="P6576" t="s">
        <v>46</v>
      </c>
      <c r="Y6576" t="s">
        <v>22002</v>
      </c>
    </row>
    <row r="6577" spans="1:25">
      <c r="A6577" t="s">
        <v>22003</v>
      </c>
      <c r="B6577" t="s">
        <v>22004</v>
      </c>
      <c r="D6577" t="s">
        <v>40</v>
      </c>
      <c r="E6577" t="s">
        <v>41</v>
      </c>
      <c r="J6577" t="s">
        <v>50</v>
      </c>
      <c r="K6577" t="s">
        <v>51</v>
      </c>
      <c r="L6577">
        <v>12</v>
      </c>
      <c r="M6577" t="s">
        <v>22005</v>
      </c>
      <c r="N6577" t="s">
        <v>1047</v>
      </c>
      <c r="O6577" t="s">
        <v>46</v>
      </c>
      <c r="P6577" t="s">
        <v>46</v>
      </c>
      <c r="Y6577" t="s">
        <v>22006</v>
      </c>
    </row>
    <row r="6578" spans="1:25">
      <c r="A6578" t="s">
        <v>22007</v>
      </c>
      <c r="B6578" t="s">
        <v>22008</v>
      </c>
      <c r="D6578" t="s">
        <v>40</v>
      </c>
      <c r="E6578" t="s">
        <v>41</v>
      </c>
      <c r="J6578" t="s">
        <v>182</v>
      </c>
      <c r="K6578" t="s">
        <v>183</v>
      </c>
      <c r="L6578">
        <v>11</v>
      </c>
      <c r="M6578" t="s">
        <v>22009</v>
      </c>
      <c r="N6578" t="s">
        <v>64</v>
      </c>
      <c r="O6578" t="s">
        <v>46</v>
      </c>
      <c r="P6578" t="s">
        <v>46</v>
      </c>
      <c r="Y6578" t="s">
        <v>22010</v>
      </c>
    </row>
    <row r="6579" spans="1:25">
      <c r="A6579" t="s">
        <v>22011</v>
      </c>
      <c r="B6579" t="s">
        <v>22012</v>
      </c>
      <c r="D6579" t="s">
        <v>40</v>
      </c>
      <c r="E6579" t="s">
        <v>41</v>
      </c>
      <c r="J6579" t="s">
        <v>182</v>
      </c>
      <c r="K6579" t="s">
        <v>183</v>
      </c>
      <c r="L6579">
        <v>11</v>
      </c>
      <c r="M6579" t="s">
        <v>22009</v>
      </c>
      <c r="N6579" t="s">
        <v>64</v>
      </c>
      <c r="O6579" t="s">
        <v>46</v>
      </c>
      <c r="P6579" t="s">
        <v>46</v>
      </c>
      <c r="Y6579" t="s">
        <v>22013</v>
      </c>
    </row>
    <row r="6580" spans="1:25">
      <c r="A6580" t="s">
        <v>22014</v>
      </c>
      <c r="B6580" t="s">
        <v>22015</v>
      </c>
      <c r="D6580" t="s">
        <v>40</v>
      </c>
      <c r="E6580" t="s">
        <v>41</v>
      </c>
      <c r="J6580" t="s">
        <v>182</v>
      </c>
      <c r="K6580" t="s">
        <v>183</v>
      </c>
      <c r="L6580">
        <v>11</v>
      </c>
      <c r="M6580" t="s">
        <v>22016</v>
      </c>
      <c r="N6580" t="s">
        <v>64</v>
      </c>
      <c r="O6580" t="s">
        <v>46</v>
      </c>
      <c r="P6580" t="s">
        <v>46</v>
      </c>
      <c r="Y6580" t="s">
        <v>22017</v>
      </c>
    </row>
    <row r="6581" spans="1:25">
      <c r="A6581" t="s">
        <v>22018</v>
      </c>
      <c r="B6581" t="s">
        <v>22019</v>
      </c>
      <c r="D6581" t="s">
        <v>40</v>
      </c>
      <c r="E6581" t="s">
        <v>41</v>
      </c>
      <c r="J6581" t="s">
        <v>182</v>
      </c>
      <c r="K6581" t="s">
        <v>183</v>
      </c>
      <c r="L6581">
        <v>11</v>
      </c>
      <c r="M6581" t="s">
        <v>22020</v>
      </c>
      <c r="N6581" t="s">
        <v>64</v>
      </c>
      <c r="O6581" t="s">
        <v>46</v>
      </c>
      <c r="P6581" t="s">
        <v>46</v>
      </c>
      <c r="Y6581" t="s">
        <v>22021</v>
      </c>
    </row>
    <row r="6582" spans="1:25">
      <c r="A6582" t="s">
        <v>22022</v>
      </c>
      <c r="B6582" t="s">
        <v>22023</v>
      </c>
      <c r="D6582" t="s">
        <v>40</v>
      </c>
      <c r="E6582" t="s">
        <v>41</v>
      </c>
      <c r="J6582" t="s">
        <v>182</v>
      </c>
      <c r="K6582" t="s">
        <v>183</v>
      </c>
      <c r="L6582">
        <v>11</v>
      </c>
      <c r="M6582" t="s">
        <v>22020</v>
      </c>
      <c r="N6582" t="s">
        <v>64</v>
      </c>
      <c r="O6582" t="s">
        <v>46</v>
      </c>
      <c r="P6582" t="s">
        <v>46</v>
      </c>
      <c r="Y6582" t="s">
        <v>22024</v>
      </c>
    </row>
    <row r="6583" spans="1:25">
      <c r="A6583" t="s">
        <v>22025</v>
      </c>
      <c r="B6583" t="s">
        <v>22026</v>
      </c>
      <c r="D6583" t="s">
        <v>40</v>
      </c>
      <c r="E6583" t="s">
        <v>41</v>
      </c>
      <c r="J6583" t="s">
        <v>248</v>
      </c>
      <c r="K6583" t="s">
        <v>249</v>
      </c>
      <c r="L6583">
        <v>11</v>
      </c>
      <c r="M6583" t="s">
        <v>22020</v>
      </c>
      <c r="N6583" t="s">
        <v>1334</v>
      </c>
      <c r="O6583" t="s">
        <v>46</v>
      </c>
      <c r="P6583" t="s">
        <v>46</v>
      </c>
      <c r="Y6583" t="s">
        <v>22027</v>
      </c>
    </row>
    <row r="6584" spans="1:25">
      <c r="A6584" t="s">
        <v>22028</v>
      </c>
      <c r="B6584" t="s">
        <v>22029</v>
      </c>
      <c r="D6584" t="s">
        <v>40</v>
      </c>
      <c r="E6584" t="s">
        <v>41</v>
      </c>
      <c r="J6584" t="s">
        <v>248</v>
      </c>
      <c r="K6584" t="s">
        <v>249</v>
      </c>
      <c r="L6584">
        <v>10</v>
      </c>
      <c r="M6584" t="s">
        <v>22030</v>
      </c>
      <c r="N6584" t="s">
        <v>315</v>
      </c>
      <c r="O6584" t="s">
        <v>46</v>
      </c>
      <c r="P6584" t="s">
        <v>46</v>
      </c>
      <c r="Y6584" t="s">
        <v>22031</v>
      </c>
    </row>
    <row r="6585" spans="1:25">
      <c r="A6585" t="s">
        <v>22032</v>
      </c>
      <c r="B6585" t="s">
        <v>22033</v>
      </c>
      <c r="D6585" t="s">
        <v>40</v>
      </c>
      <c r="E6585" t="s">
        <v>41</v>
      </c>
      <c r="J6585" t="s">
        <v>76</v>
      </c>
      <c r="K6585" t="s">
        <v>77</v>
      </c>
      <c r="L6585">
        <v>11</v>
      </c>
      <c r="M6585" t="s">
        <v>22034</v>
      </c>
      <c r="N6585" t="s">
        <v>64</v>
      </c>
      <c r="O6585" t="s">
        <v>46</v>
      </c>
      <c r="P6585" t="s">
        <v>46</v>
      </c>
      <c r="Y6585" t="s">
        <v>22035</v>
      </c>
    </row>
    <row r="6586" spans="1:25">
      <c r="A6586" t="s">
        <v>22036</v>
      </c>
      <c r="B6586" t="s">
        <v>22037</v>
      </c>
      <c r="D6586" t="s">
        <v>40</v>
      </c>
      <c r="E6586" t="s">
        <v>41</v>
      </c>
      <c r="J6586" t="s">
        <v>1142</v>
      </c>
      <c r="K6586" t="s">
        <v>1143</v>
      </c>
      <c r="L6586">
        <v>11</v>
      </c>
      <c r="M6586" t="s">
        <v>22038</v>
      </c>
      <c r="N6586" t="s">
        <v>310</v>
      </c>
      <c r="O6586" t="s">
        <v>46</v>
      </c>
      <c r="P6586" t="s">
        <v>46</v>
      </c>
      <c r="Y6586" t="s">
        <v>22039</v>
      </c>
    </row>
    <row r="6587" spans="1:25">
      <c r="A6587" t="s">
        <v>22040</v>
      </c>
      <c r="B6587" t="s">
        <v>22041</v>
      </c>
      <c r="D6587" t="s">
        <v>40</v>
      </c>
      <c r="E6587" t="s">
        <v>41</v>
      </c>
      <c r="J6587" t="s">
        <v>42</v>
      </c>
      <c r="K6587" t="s">
        <v>43</v>
      </c>
      <c r="L6587">
        <v>11</v>
      </c>
      <c r="M6587" t="s">
        <v>22042</v>
      </c>
      <c r="N6587" t="s">
        <v>1138</v>
      </c>
      <c r="O6587" t="s">
        <v>46</v>
      </c>
      <c r="P6587" t="s">
        <v>46</v>
      </c>
      <c r="Y6587" t="s">
        <v>22043</v>
      </c>
    </row>
    <row r="6588" spans="1:25">
      <c r="A6588" t="s">
        <v>22044</v>
      </c>
      <c r="B6588" t="s">
        <v>22045</v>
      </c>
      <c r="D6588" t="s">
        <v>40</v>
      </c>
      <c r="E6588" t="s">
        <v>41</v>
      </c>
      <c r="J6588" t="s">
        <v>182</v>
      </c>
      <c r="K6588" t="s">
        <v>183</v>
      </c>
      <c r="L6588">
        <v>11</v>
      </c>
      <c r="M6588" t="s">
        <v>22046</v>
      </c>
      <c r="N6588" t="s">
        <v>64</v>
      </c>
      <c r="O6588" t="s">
        <v>46</v>
      </c>
      <c r="P6588" t="s">
        <v>46</v>
      </c>
      <c r="Y6588" t="s">
        <v>22047</v>
      </c>
    </row>
    <row r="6589" spans="1:25">
      <c r="A6589" t="s">
        <v>22048</v>
      </c>
      <c r="B6589" t="s">
        <v>22049</v>
      </c>
      <c r="D6589" t="s">
        <v>40</v>
      </c>
      <c r="E6589" t="s">
        <v>41</v>
      </c>
      <c r="J6589" t="s">
        <v>76</v>
      </c>
      <c r="K6589" t="s">
        <v>77</v>
      </c>
      <c r="L6589">
        <v>11</v>
      </c>
      <c r="M6589" t="s">
        <v>22050</v>
      </c>
      <c r="N6589" t="s">
        <v>64</v>
      </c>
      <c r="O6589" t="s">
        <v>46</v>
      </c>
      <c r="P6589" t="s">
        <v>46</v>
      </c>
      <c r="Y6589" t="s">
        <v>22051</v>
      </c>
    </row>
    <row r="6590" spans="1:25">
      <c r="A6590" t="s">
        <v>22052</v>
      </c>
      <c r="B6590" t="s">
        <v>22053</v>
      </c>
      <c r="D6590" t="s">
        <v>40</v>
      </c>
      <c r="E6590" t="s">
        <v>41</v>
      </c>
      <c r="J6590" t="s">
        <v>76</v>
      </c>
      <c r="K6590" t="s">
        <v>77</v>
      </c>
      <c r="L6590">
        <v>11</v>
      </c>
      <c r="M6590" t="s">
        <v>22050</v>
      </c>
      <c r="N6590" t="s">
        <v>64</v>
      </c>
      <c r="O6590" t="s">
        <v>46</v>
      </c>
      <c r="P6590" t="s">
        <v>46</v>
      </c>
      <c r="Y6590" t="s">
        <v>22054</v>
      </c>
    </row>
    <row r="6591" spans="1:25">
      <c r="A6591" t="s">
        <v>22055</v>
      </c>
      <c r="B6591" t="s">
        <v>22056</v>
      </c>
      <c r="D6591" t="s">
        <v>40</v>
      </c>
      <c r="E6591" t="s">
        <v>41</v>
      </c>
      <c r="J6591" t="s">
        <v>182</v>
      </c>
      <c r="K6591" t="s">
        <v>183</v>
      </c>
      <c r="L6591">
        <v>11</v>
      </c>
      <c r="M6591" t="s">
        <v>22057</v>
      </c>
      <c r="N6591" t="s">
        <v>64</v>
      </c>
      <c r="O6591" t="s">
        <v>46</v>
      </c>
      <c r="P6591" t="s">
        <v>46</v>
      </c>
      <c r="Y6591" t="s">
        <v>22058</v>
      </c>
    </row>
    <row r="6592" spans="1:25">
      <c r="A6592" t="s">
        <v>22059</v>
      </c>
      <c r="B6592" t="s">
        <v>22060</v>
      </c>
      <c r="D6592" t="s">
        <v>40</v>
      </c>
      <c r="E6592" t="s">
        <v>41</v>
      </c>
      <c r="J6592" t="s">
        <v>182</v>
      </c>
      <c r="K6592" t="s">
        <v>183</v>
      </c>
      <c r="L6592">
        <v>11</v>
      </c>
      <c r="M6592" t="s">
        <v>22061</v>
      </c>
      <c r="N6592" t="s">
        <v>64</v>
      </c>
      <c r="O6592" t="s">
        <v>46</v>
      </c>
      <c r="P6592" t="s">
        <v>46</v>
      </c>
      <c r="Y6592" t="s">
        <v>22062</v>
      </c>
    </row>
    <row r="6593" spans="1:25">
      <c r="A6593" t="s">
        <v>22063</v>
      </c>
      <c r="B6593" t="s">
        <v>22064</v>
      </c>
      <c r="D6593" t="s">
        <v>40</v>
      </c>
      <c r="E6593" t="s">
        <v>41</v>
      </c>
      <c r="J6593" t="s">
        <v>76</v>
      </c>
      <c r="K6593" t="s">
        <v>77</v>
      </c>
      <c r="L6593">
        <v>11</v>
      </c>
      <c r="M6593" t="s">
        <v>22061</v>
      </c>
      <c r="N6593" t="s">
        <v>64</v>
      </c>
      <c r="O6593" t="s">
        <v>46</v>
      </c>
      <c r="P6593" t="s">
        <v>46</v>
      </c>
      <c r="Y6593" t="s">
        <v>22065</v>
      </c>
    </row>
    <row r="6594" spans="1:25">
      <c r="A6594" t="s">
        <v>22066</v>
      </c>
      <c r="B6594" t="s">
        <v>22067</v>
      </c>
      <c r="D6594" t="s">
        <v>40</v>
      </c>
      <c r="E6594" t="s">
        <v>41</v>
      </c>
      <c r="J6594" t="s">
        <v>42</v>
      </c>
      <c r="K6594" t="s">
        <v>43</v>
      </c>
      <c r="L6594">
        <v>9</v>
      </c>
      <c r="M6594" t="s">
        <v>22068</v>
      </c>
      <c r="N6594" t="s">
        <v>509</v>
      </c>
      <c r="O6594" t="s">
        <v>46</v>
      </c>
      <c r="P6594" t="s">
        <v>46</v>
      </c>
      <c r="Y6594" t="s">
        <v>22069</v>
      </c>
    </row>
    <row r="6595" spans="1:25">
      <c r="A6595" t="s">
        <v>22070</v>
      </c>
      <c r="B6595" t="s">
        <v>22071</v>
      </c>
      <c r="D6595" t="s">
        <v>40</v>
      </c>
      <c r="E6595" t="s">
        <v>41</v>
      </c>
      <c r="J6595" t="s">
        <v>248</v>
      </c>
      <c r="K6595" t="s">
        <v>249</v>
      </c>
      <c r="L6595">
        <v>7</v>
      </c>
      <c r="M6595" t="s">
        <v>22072</v>
      </c>
      <c r="N6595" t="s">
        <v>315</v>
      </c>
      <c r="O6595" t="s">
        <v>46</v>
      </c>
      <c r="P6595" t="s">
        <v>46</v>
      </c>
      <c r="Y6595" t="s">
        <v>22073</v>
      </c>
    </row>
    <row r="6596" spans="1:25">
      <c r="A6596" t="s">
        <v>22074</v>
      </c>
      <c r="B6596" t="s">
        <v>22075</v>
      </c>
      <c r="D6596" t="s">
        <v>40</v>
      </c>
      <c r="E6596" t="s">
        <v>41</v>
      </c>
      <c r="J6596" t="s">
        <v>50</v>
      </c>
      <c r="K6596" t="s">
        <v>51</v>
      </c>
      <c r="L6596">
        <v>10</v>
      </c>
      <c r="M6596" t="s">
        <v>22076</v>
      </c>
      <c r="N6596" t="s">
        <v>315</v>
      </c>
      <c r="O6596" t="s">
        <v>46</v>
      </c>
      <c r="P6596" t="s">
        <v>46</v>
      </c>
      <c r="Y6596" t="s">
        <v>22077</v>
      </c>
    </row>
    <row r="6597" spans="1:25">
      <c r="A6597" t="s">
        <v>22078</v>
      </c>
      <c r="B6597" t="s">
        <v>22079</v>
      </c>
      <c r="D6597" t="s">
        <v>40</v>
      </c>
      <c r="E6597" t="s">
        <v>41</v>
      </c>
      <c r="J6597" t="s">
        <v>50</v>
      </c>
      <c r="K6597" t="s">
        <v>51</v>
      </c>
      <c r="L6597">
        <v>13</v>
      </c>
      <c r="M6597" t="s">
        <v>22080</v>
      </c>
      <c r="N6597" t="s">
        <v>1047</v>
      </c>
      <c r="O6597" t="s">
        <v>46</v>
      </c>
      <c r="P6597" t="s">
        <v>46</v>
      </c>
      <c r="Y6597" t="s">
        <v>22081</v>
      </c>
    </row>
    <row r="6598" spans="1:25">
      <c r="A6598" t="s">
        <v>22082</v>
      </c>
      <c r="B6598" t="s">
        <v>22083</v>
      </c>
      <c r="D6598" t="s">
        <v>40</v>
      </c>
      <c r="E6598" t="s">
        <v>41</v>
      </c>
      <c r="J6598" t="s">
        <v>182</v>
      </c>
      <c r="K6598" t="s">
        <v>183</v>
      </c>
      <c r="L6598">
        <v>11</v>
      </c>
      <c r="M6598" t="s">
        <v>22084</v>
      </c>
      <c r="N6598" t="s">
        <v>64</v>
      </c>
      <c r="O6598" t="s">
        <v>46</v>
      </c>
      <c r="P6598" t="s">
        <v>46</v>
      </c>
      <c r="Y6598" t="s">
        <v>22085</v>
      </c>
    </row>
    <row r="6599" spans="1:25">
      <c r="A6599" t="s">
        <v>22086</v>
      </c>
      <c r="B6599" t="s">
        <v>22087</v>
      </c>
      <c r="D6599" t="s">
        <v>40</v>
      </c>
      <c r="E6599" t="s">
        <v>41</v>
      </c>
      <c r="J6599" t="s">
        <v>182</v>
      </c>
      <c r="K6599" t="s">
        <v>183</v>
      </c>
      <c r="L6599">
        <v>11</v>
      </c>
      <c r="M6599" t="s">
        <v>22088</v>
      </c>
      <c r="N6599" t="s">
        <v>64</v>
      </c>
      <c r="O6599" t="s">
        <v>46</v>
      </c>
      <c r="P6599" t="s">
        <v>46</v>
      </c>
      <c r="Y6599" t="s">
        <v>22089</v>
      </c>
    </row>
    <row r="6600" spans="1:25">
      <c r="A6600" t="s">
        <v>22090</v>
      </c>
      <c r="B6600" t="s">
        <v>22091</v>
      </c>
      <c r="D6600" t="s">
        <v>40</v>
      </c>
      <c r="E6600" t="s">
        <v>41</v>
      </c>
      <c r="J6600" t="s">
        <v>182</v>
      </c>
      <c r="K6600" t="s">
        <v>183</v>
      </c>
      <c r="L6600">
        <v>11</v>
      </c>
      <c r="M6600" t="s">
        <v>22088</v>
      </c>
      <c r="N6600" t="s">
        <v>64</v>
      </c>
      <c r="O6600" t="s">
        <v>46</v>
      </c>
      <c r="P6600" t="s">
        <v>46</v>
      </c>
      <c r="Y6600" t="s">
        <v>22092</v>
      </c>
    </row>
    <row r="6601" spans="1:25">
      <c r="A6601" t="s">
        <v>22093</v>
      </c>
      <c r="B6601" t="s">
        <v>22094</v>
      </c>
      <c r="D6601" t="s">
        <v>40</v>
      </c>
      <c r="E6601" t="s">
        <v>41</v>
      </c>
      <c r="J6601" t="s">
        <v>182</v>
      </c>
      <c r="K6601" t="s">
        <v>183</v>
      </c>
      <c r="L6601">
        <v>11</v>
      </c>
      <c r="M6601" t="s">
        <v>22088</v>
      </c>
      <c r="N6601" t="s">
        <v>64</v>
      </c>
      <c r="O6601" t="s">
        <v>46</v>
      </c>
      <c r="P6601" t="s">
        <v>46</v>
      </c>
      <c r="Y6601" t="s">
        <v>22095</v>
      </c>
    </row>
    <row r="6602" spans="1:25">
      <c r="A6602" t="s">
        <v>22096</v>
      </c>
      <c r="B6602" t="s">
        <v>22097</v>
      </c>
      <c r="D6602" t="s">
        <v>40</v>
      </c>
      <c r="E6602" t="s">
        <v>41</v>
      </c>
      <c r="J6602" t="s">
        <v>42</v>
      </c>
      <c r="K6602" t="s">
        <v>43</v>
      </c>
      <c r="L6602">
        <v>11</v>
      </c>
      <c r="M6602" t="s">
        <v>22098</v>
      </c>
      <c r="N6602" t="s">
        <v>165</v>
      </c>
      <c r="O6602" t="s">
        <v>46</v>
      </c>
      <c r="P6602" t="s">
        <v>46</v>
      </c>
      <c r="Y6602" t="s">
        <v>22099</v>
      </c>
    </row>
    <row r="6603" spans="1:25">
      <c r="A6603" t="s">
        <v>22100</v>
      </c>
      <c r="B6603" t="s">
        <v>22101</v>
      </c>
      <c r="D6603" t="s">
        <v>40</v>
      </c>
      <c r="E6603" t="s">
        <v>41</v>
      </c>
      <c r="J6603" t="s">
        <v>182</v>
      </c>
      <c r="K6603" t="s">
        <v>183</v>
      </c>
      <c r="L6603">
        <v>11</v>
      </c>
      <c r="M6603" t="s">
        <v>22098</v>
      </c>
      <c r="N6603" t="s">
        <v>64</v>
      </c>
      <c r="O6603" t="s">
        <v>46</v>
      </c>
      <c r="P6603" t="s">
        <v>46</v>
      </c>
      <c r="Y6603" t="s">
        <v>22102</v>
      </c>
    </row>
    <row r="6604" spans="1:25">
      <c r="A6604" t="s">
        <v>22103</v>
      </c>
      <c r="B6604" t="s">
        <v>22104</v>
      </c>
      <c r="D6604" t="s">
        <v>40</v>
      </c>
      <c r="E6604" t="s">
        <v>41</v>
      </c>
      <c r="J6604" t="s">
        <v>139</v>
      </c>
      <c r="K6604" t="s">
        <v>140</v>
      </c>
      <c r="L6604">
        <v>11</v>
      </c>
      <c r="M6604" t="s">
        <v>22105</v>
      </c>
      <c r="N6604" t="s">
        <v>3013</v>
      </c>
      <c r="O6604" t="s">
        <v>46</v>
      </c>
      <c r="P6604" t="s">
        <v>46</v>
      </c>
      <c r="Y6604" t="s">
        <v>22106</v>
      </c>
    </row>
    <row r="6605" spans="1:25">
      <c r="A6605" t="s">
        <v>22107</v>
      </c>
      <c r="B6605" t="s">
        <v>22108</v>
      </c>
      <c r="D6605" t="s">
        <v>40</v>
      </c>
      <c r="E6605" t="s">
        <v>41</v>
      </c>
      <c r="J6605" t="s">
        <v>76</v>
      </c>
      <c r="K6605" t="s">
        <v>77</v>
      </c>
      <c r="L6605">
        <v>11</v>
      </c>
      <c r="M6605" t="s">
        <v>22109</v>
      </c>
      <c r="N6605" t="s">
        <v>64</v>
      </c>
      <c r="O6605" t="s">
        <v>46</v>
      </c>
      <c r="P6605" t="s">
        <v>46</v>
      </c>
      <c r="Y6605" t="s">
        <v>22110</v>
      </c>
    </row>
    <row r="6606" spans="1:25">
      <c r="A6606" t="s">
        <v>22111</v>
      </c>
      <c r="B6606" t="s">
        <v>22112</v>
      </c>
      <c r="D6606" t="s">
        <v>40</v>
      </c>
      <c r="E6606" t="s">
        <v>41</v>
      </c>
      <c r="J6606" t="s">
        <v>76</v>
      </c>
      <c r="K6606" t="s">
        <v>77</v>
      </c>
      <c r="L6606">
        <v>10</v>
      </c>
      <c r="M6606" t="s">
        <v>22109</v>
      </c>
      <c r="N6606" t="s">
        <v>64</v>
      </c>
      <c r="O6606" t="s">
        <v>46</v>
      </c>
      <c r="P6606" t="s">
        <v>46</v>
      </c>
      <c r="Y6606" t="s">
        <v>22113</v>
      </c>
    </row>
    <row r="6607" spans="1:25">
      <c r="A6607" t="s">
        <v>22114</v>
      </c>
      <c r="B6607" t="s">
        <v>22115</v>
      </c>
      <c r="D6607" t="s">
        <v>40</v>
      </c>
      <c r="E6607" t="s">
        <v>41</v>
      </c>
      <c r="J6607" t="s">
        <v>182</v>
      </c>
      <c r="K6607" t="s">
        <v>183</v>
      </c>
      <c r="L6607">
        <v>11</v>
      </c>
      <c r="M6607" t="s">
        <v>22109</v>
      </c>
      <c r="N6607" t="s">
        <v>64</v>
      </c>
      <c r="O6607" t="s">
        <v>46</v>
      </c>
      <c r="P6607" t="s">
        <v>46</v>
      </c>
      <c r="Y6607" t="s">
        <v>22116</v>
      </c>
    </row>
    <row r="6608" spans="1:25">
      <c r="A6608" t="s">
        <v>22117</v>
      </c>
      <c r="B6608" t="s">
        <v>22118</v>
      </c>
      <c r="D6608" t="s">
        <v>40</v>
      </c>
      <c r="E6608" t="s">
        <v>41</v>
      </c>
      <c r="J6608" t="s">
        <v>76</v>
      </c>
      <c r="K6608" t="s">
        <v>77</v>
      </c>
      <c r="L6608">
        <v>10</v>
      </c>
      <c r="M6608" t="s">
        <v>22119</v>
      </c>
      <c r="N6608" t="s">
        <v>64</v>
      </c>
      <c r="O6608" t="s">
        <v>46</v>
      </c>
      <c r="P6608" t="s">
        <v>46</v>
      </c>
      <c r="Y6608" t="s">
        <v>22120</v>
      </c>
    </row>
    <row r="6609" spans="1:25">
      <c r="A6609" t="s">
        <v>22121</v>
      </c>
      <c r="B6609" t="s">
        <v>22122</v>
      </c>
      <c r="D6609" t="s">
        <v>40</v>
      </c>
      <c r="E6609" t="s">
        <v>41</v>
      </c>
      <c r="J6609" t="s">
        <v>182</v>
      </c>
      <c r="K6609" t="s">
        <v>183</v>
      </c>
      <c r="L6609">
        <v>10</v>
      </c>
      <c r="M6609" t="s">
        <v>22119</v>
      </c>
      <c r="N6609" t="s">
        <v>64</v>
      </c>
      <c r="O6609" t="s">
        <v>46</v>
      </c>
      <c r="P6609" t="s">
        <v>46</v>
      </c>
      <c r="Y6609" t="s">
        <v>22123</v>
      </c>
    </row>
    <row r="6610" spans="1:25">
      <c r="A6610" t="s">
        <v>22124</v>
      </c>
      <c r="B6610" t="s">
        <v>22125</v>
      </c>
      <c r="D6610" t="s">
        <v>40</v>
      </c>
      <c r="E6610" t="s">
        <v>41</v>
      </c>
      <c r="J6610" t="s">
        <v>288</v>
      </c>
      <c r="K6610" t="s">
        <v>289</v>
      </c>
      <c r="L6610">
        <v>9</v>
      </c>
      <c r="M6610" t="s">
        <v>22126</v>
      </c>
      <c r="N6610" t="s">
        <v>1344</v>
      </c>
      <c r="O6610" t="s">
        <v>46</v>
      </c>
      <c r="P6610" t="s">
        <v>46</v>
      </c>
      <c r="Y6610" t="s">
        <v>22127</v>
      </c>
    </row>
    <row r="6611" spans="1:25">
      <c r="A6611" t="s">
        <v>22128</v>
      </c>
      <c r="B6611" t="s">
        <v>22129</v>
      </c>
      <c r="D6611" t="s">
        <v>40</v>
      </c>
      <c r="E6611" t="s">
        <v>41</v>
      </c>
      <c r="J6611" t="s">
        <v>182</v>
      </c>
      <c r="K6611" t="s">
        <v>183</v>
      </c>
      <c r="L6611">
        <v>11</v>
      </c>
      <c r="M6611" t="s">
        <v>22130</v>
      </c>
      <c r="N6611" t="s">
        <v>64</v>
      </c>
      <c r="O6611" t="s">
        <v>46</v>
      </c>
      <c r="P6611" t="s">
        <v>46</v>
      </c>
      <c r="Y6611" t="s">
        <v>22131</v>
      </c>
    </row>
    <row r="6612" spans="1:25">
      <c r="A6612" t="s">
        <v>22132</v>
      </c>
      <c r="B6612" t="s">
        <v>22133</v>
      </c>
      <c r="D6612" t="s">
        <v>40</v>
      </c>
      <c r="E6612" t="s">
        <v>41</v>
      </c>
      <c r="J6612" t="s">
        <v>76</v>
      </c>
      <c r="K6612" t="s">
        <v>77</v>
      </c>
      <c r="L6612">
        <v>11</v>
      </c>
      <c r="M6612" t="s">
        <v>22134</v>
      </c>
      <c r="N6612" t="s">
        <v>64</v>
      </c>
      <c r="O6612" t="s">
        <v>46</v>
      </c>
      <c r="P6612" t="s">
        <v>46</v>
      </c>
      <c r="Y6612" t="s">
        <v>22135</v>
      </c>
    </row>
    <row r="6613" spans="1:25">
      <c r="A6613" t="s">
        <v>22136</v>
      </c>
      <c r="B6613" t="s">
        <v>22137</v>
      </c>
      <c r="D6613" t="s">
        <v>40</v>
      </c>
      <c r="E6613" t="s">
        <v>41</v>
      </c>
      <c r="J6613" t="s">
        <v>182</v>
      </c>
      <c r="K6613" t="s">
        <v>183</v>
      </c>
      <c r="L6613">
        <v>11</v>
      </c>
      <c r="M6613" t="s">
        <v>22134</v>
      </c>
      <c r="N6613" t="s">
        <v>64</v>
      </c>
      <c r="O6613" t="s">
        <v>46</v>
      </c>
      <c r="P6613" t="s">
        <v>46</v>
      </c>
      <c r="Y6613" t="s">
        <v>22138</v>
      </c>
    </row>
    <row r="6614" spans="1:25">
      <c r="A6614" t="s">
        <v>22139</v>
      </c>
      <c r="B6614" t="s">
        <v>22140</v>
      </c>
      <c r="D6614" t="s">
        <v>40</v>
      </c>
      <c r="E6614" t="s">
        <v>41</v>
      </c>
      <c r="J6614" t="s">
        <v>76</v>
      </c>
      <c r="K6614" t="s">
        <v>77</v>
      </c>
      <c r="L6614">
        <v>11</v>
      </c>
      <c r="M6614" t="s">
        <v>22141</v>
      </c>
      <c r="N6614" t="s">
        <v>64</v>
      </c>
      <c r="O6614" t="s">
        <v>46</v>
      </c>
      <c r="P6614" t="s">
        <v>46</v>
      </c>
      <c r="Y6614" t="s">
        <v>22142</v>
      </c>
    </row>
    <row r="6615" spans="1:25">
      <c r="A6615" t="s">
        <v>22143</v>
      </c>
      <c r="B6615" t="s">
        <v>22144</v>
      </c>
      <c r="D6615" t="s">
        <v>40</v>
      </c>
      <c r="E6615" t="s">
        <v>41</v>
      </c>
      <c r="J6615" t="s">
        <v>76</v>
      </c>
      <c r="K6615" t="s">
        <v>77</v>
      </c>
      <c r="L6615">
        <v>11</v>
      </c>
      <c r="M6615" t="s">
        <v>22141</v>
      </c>
      <c r="N6615" t="s">
        <v>64</v>
      </c>
      <c r="O6615" t="s">
        <v>46</v>
      </c>
      <c r="P6615" t="s">
        <v>46</v>
      </c>
      <c r="Y6615" t="s">
        <v>22145</v>
      </c>
    </row>
    <row r="6616" spans="1:25">
      <c r="A6616" t="s">
        <v>22146</v>
      </c>
      <c r="B6616" t="s">
        <v>22147</v>
      </c>
      <c r="D6616" t="s">
        <v>40</v>
      </c>
      <c r="E6616" t="s">
        <v>41</v>
      </c>
      <c r="J6616" t="s">
        <v>182</v>
      </c>
      <c r="K6616" t="s">
        <v>183</v>
      </c>
      <c r="L6616">
        <v>10</v>
      </c>
      <c r="M6616" t="s">
        <v>22148</v>
      </c>
      <c r="N6616" t="s">
        <v>64</v>
      </c>
      <c r="O6616" t="s">
        <v>46</v>
      </c>
      <c r="P6616" t="s">
        <v>46</v>
      </c>
      <c r="Y6616" t="s">
        <v>22149</v>
      </c>
    </row>
    <row r="6617" spans="1:25">
      <c r="A6617" t="s">
        <v>22150</v>
      </c>
      <c r="B6617" t="s">
        <v>22151</v>
      </c>
      <c r="D6617" t="s">
        <v>40</v>
      </c>
      <c r="E6617" t="s">
        <v>41</v>
      </c>
      <c r="J6617" t="s">
        <v>182</v>
      </c>
      <c r="K6617" t="s">
        <v>183</v>
      </c>
      <c r="L6617">
        <v>10</v>
      </c>
      <c r="M6617" t="s">
        <v>22148</v>
      </c>
      <c r="N6617" t="s">
        <v>64</v>
      </c>
      <c r="O6617" t="s">
        <v>46</v>
      </c>
      <c r="P6617" t="s">
        <v>46</v>
      </c>
      <c r="Y6617" t="s">
        <v>22152</v>
      </c>
    </row>
    <row r="6618" spans="1:25">
      <c r="A6618" t="s">
        <v>22153</v>
      </c>
      <c r="B6618" t="s">
        <v>22154</v>
      </c>
      <c r="D6618" t="s">
        <v>40</v>
      </c>
      <c r="E6618" t="s">
        <v>41</v>
      </c>
      <c r="J6618" t="s">
        <v>42</v>
      </c>
      <c r="K6618" t="s">
        <v>43</v>
      </c>
      <c r="L6618">
        <v>10</v>
      </c>
      <c r="M6618" t="s">
        <v>22155</v>
      </c>
      <c r="N6618" t="s">
        <v>1397</v>
      </c>
      <c r="O6618" t="s">
        <v>46</v>
      </c>
      <c r="P6618" t="s">
        <v>46</v>
      </c>
      <c r="Y6618" t="s">
        <v>22156</v>
      </c>
    </row>
    <row r="6619" spans="1:25">
      <c r="A6619" t="s">
        <v>22157</v>
      </c>
      <c r="B6619" t="s">
        <v>22158</v>
      </c>
      <c r="D6619" t="s">
        <v>40</v>
      </c>
      <c r="E6619" t="s">
        <v>41</v>
      </c>
      <c r="J6619" t="s">
        <v>248</v>
      </c>
      <c r="K6619" t="s">
        <v>249</v>
      </c>
      <c r="L6619">
        <v>3</v>
      </c>
      <c r="M6619" t="s">
        <v>22159</v>
      </c>
      <c r="N6619" t="s">
        <v>5995</v>
      </c>
      <c r="O6619" t="s">
        <v>46</v>
      </c>
      <c r="P6619" t="s">
        <v>46</v>
      </c>
      <c r="Y6619" t="s">
        <v>22160</v>
      </c>
    </row>
    <row r="6620" spans="1:25">
      <c r="A6620" t="s">
        <v>22161</v>
      </c>
      <c r="B6620" t="s">
        <v>22162</v>
      </c>
      <c r="D6620" t="s">
        <v>40</v>
      </c>
      <c r="E6620" t="s">
        <v>41</v>
      </c>
      <c r="J6620" t="s">
        <v>50</v>
      </c>
      <c r="K6620" t="s">
        <v>51</v>
      </c>
      <c r="L6620">
        <v>11</v>
      </c>
      <c r="M6620" t="s">
        <v>22163</v>
      </c>
      <c r="N6620" t="s">
        <v>617</v>
      </c>
      <c r="O6620" t="s">
        <v>46</v>
      </c>
      <c r="P6620" t="s">
        <v>46</v>
      </c>
      <c r="Y6620" t="s">
        <v>22164</v>
      </c>
    </row>
    <row r="6621" spans="1:25">
      <c r="A6621" t="s">
        <v>22165</v>
      </c>
      <c r="B6621" t="s">
        <v>22166</v>
      </c>
      <c r="D6621" t="s">
        <v>40</v>
      </c>
      <c r="E6621" t="s">
        <v>41</v>
      </c>
      <c r="J6621" t="s">
        <v>182</v>
      </c>
      <c r="K6621" t="s">
        <v>183</v>
      </c>
      <c r="L6621">
        <v>10</v>
      </c>
      <c r="M6621" t="s">
        <v>22167</v>
      </c>
      <c r="N6621" t="s">
        <v>64</v>
      </c>
      <c r="O6621" t="s">
        <v>46</v>
      </c>
      <c r="P6621" t="s">
        <v>46</v>
      </c>
      <c r="Y6621" t="s">
        <v>22168</v>
      </c>
    </row>
    <row r="6622" spans="1:25">
      <c r="A6622" t="s">
        <v>22169</v>
      </c>
      <c r="B6622" t="s">
        <v>22170</v>
      </c>
      <c r="D6622" t="s">
        <v>40</v>
      </c>
      <c r="E6622" t="s">
        <v>41</v>
      </c>
      <c r="J6622" t="s">
        <v>182</v>
      </c>
      <c r="K6622" t="s">
        <v>183</v>
      </c>
      <c r="L6622">
        <v>10</v>
      </c>
      <c r="M6622" t="s">
        <v>22171</v>
      </c>
      <c r="N6622" t="s">
        <v>64</v>
      </c>
      <c r="O6622" t="s">
        <v>46</v>
      </c>
      <c r="P6622" t="s">
        <v>46</v>
      </c>
      <c r="Y6622" t="s">
        <v>22172</v>
      </c>
    </row>
    <row r="6623" spans="1:25">
      <c r="A6623" t="s">
        <v>22173</v>
      </c>
      <c r="B6623" t="s">
        <v>22174</v>
      </c>
      <c r="D6623" t="s">
        <v>40</v>
      </c>
      <c r="E6623" t="s">
        <v>41</v>
      </c>
      <c r="J6623" t="s">
        <v>182</v>
      </c>
      <c r="K6623" t="s">
        <v>183</v>
      </c>
      <c r="L6623">
        <v>10</v>
      </c>
      <c r="M6623" t="s">
        <v>22175</v>
      </c>
      <c r="N6623" t="s">
        <v>64</v>
      </c>
      <c r="O6623" t="s">
        <v>46</v>
      </c>
      <c r="P6623" t="s">
        <v>46</v>
      </c>
      <c r="Y6623" t="s">
        <v>22176</v>
      </c>
    </row>
    <row r="6624" spans="1:25">
      <c r="A6624" t="s">
        <v>22177</v>
      </c>
      <c r="B6624" t="s">
        <v>22178</v>
      </c>
      <c r="D6624" t="s">
        <v>40</v>
      </c>
      <c r="E6624" t="s">
        <v>41</v>
      </c>
      <c r="J6624" t="s">
        <v>182</v>
      </c>
      <c r="K6624" t="s">
        <v>183</v>
      </c>
      <c r="L6624">
        <v>10</v>
      </c>
      <c r="M6624" t="s">
        <v>22175</v>
      </c>
      <c r="N6624" t="s">
        <v>64</v>
      </c>
      <c r="O6624" t="s">
        <v>46</v>
      </c>
      <c r="P6624" t="s">
        <v>46</v>
      </c>
      <c r="Y6624" t="s">
        <v>22179</v>
      </c>
    </row>
    <row r="6625" spans="1:25">
      <c r="A6625" t="s">
        <v>22180</v>
      </c>
      <c r="B6625" t="s">
        <v>22181</v>
      </c>
      <c r="D6625" t="s">
        <v>40</v>
      </c>
      <c r="E6625" t="s">
        <v>41</v>
      </c>
      <c r="J6625" t="s">
        <v>182</v>
      </c>
      <c r="K6625" t="s">
        <v>183</v>
      </c>
      <c r="L6625">
        <v>10</v>
      </c>
      <c r="M6625" t="s">
        <v>22175</v>
      </c>
      <c r="N6625" t="s">
        <v>64</v>
      </c>
      <c r="O6625" t="s">
        <v>46</v>
      </c>
      <c r="P6625" t="s">
        <v>46</v>
      </c>
      <c r="Y6625" t="s">
        <v>22182</v>
      </c>
    </row>
    <row r="6626" spans="1:25">
      <c r="A6626" t="s">
        <v>22183</v>
      </c>
      <c r="B6626" t="s">
        <v>22184</v>
      </c>
      <c r="D6626" t="s">
        <v>40</v>
      </c>
      <c r="E6626" t="s">
        <v>41</v>
      </c>
      <c r="J6626" t="s">
        <v>182</v>
      </c>
      <c r="K6626" t="s">
        <v>183</v>
      </c>
      <c r="L6626">
        <v>10</v>
      </c>
      <c r="M6626" t="s">
        <v>22185</v>
      </c>
      <c r="N6626" t="s">
        <v>64</v>
      </c>
      <c r="O6626" t="s">
        <v>46</v>
      </c>
      <c r="P6626" t="s">
        <v>46</v>
      </c>
      <c r="Y6626" t="s">
        <v>22186</v>
      </c>
    </row>
    <row r="6627" spans="1:25">
      <c r="A6627" t="s">
        <v>22187</v>
      </c>
      <c r="B6627" t="s">
        <v>22188</v>
      </c>
      <c r="D6627" t="s">
        <v>40</v>
      </c>
      <c r="E6627" t="s">
        <v>41</v>
      </c>
      <c r="J6627" t="s">
        <v>182</v>
      </c>
      <c r="K6627" t="s">
        <v>183</v>
      </c>
      <c r="L6627">
        <v>10</v>
      </c>
      <c r="M6627" t="s">
        <v>22189</v>
      </c>
      <c r="N6627" t="s">
        <v>64</v>
      </c>
      <c r="O6627" t="s">
        <v>46</v>
      </c>
      <c r="P6627" t="s">
        <v>46</v>
      </c>
      <c r="Y6627" t="s">
        <v>22190</v>
      </c>
    </row>
    <row r="6628" spans="1:25">
      <c r="A6628" t="s">
        <v>22191</v>
      </c>
      <c r="B6628" t="s">
        <v>22192</v>
      </c>
      <c r="D6628" t="s">
        <v>40</v>
      </c>
      <c r="E6628" t="s">
        <v>41</v>
      </c>
      <c r="J6628" t="s">
        <v>182</v>
      </c>
      <c r="K6628" t="s">
        <v>183</v>
      </c>
      <c r="L6628">
        <v>10</v>
      </c>
      <c r="M6628" t="s">
        <v>22193</v>
      </c>
      <c r="N6628" t="s">
        <v>64</v>
      </c>
      <c r="O6628" t="s">
        <v>46</v>
      </c>
      <c r="P6628" t="s">
        <v>46</v>
      </c>
      <c r="Y6628" t="s">
        <v>22194</v>
      </c>
    </row>
    <row r="6629" spans="1:25">
      <c r="A6629" t="s">
        <v>22195</v>
      </c>
      <c r="B6629" t="s">
        <v>22196</v>
      </c>
      <c r="D6629" t="s">
        <v>40</v>
      </c>
      <c r="E6629" t="s">
        <v>41</v>
      </c>
      <c r="J6629" t="s">
        <v>42</v>
      </c>
      <c r="K6629" t="s">
        <v>43</v>
      </c>
      <c r="L6629">
        <v>4</v>
      </c>
      <c r="M6629" t="s">
        <v>22197</v>
      </c>
      <c r="N6629" t="s">
        <v>5995</v>
      </c>
      <c r="O6629" t="s">
        <v>46</v>
      </c>
      <c r="P6629" t="s">
        <v>46</v>
      </c>
      <c r="Y6629" t="s">
        <v>22198</v>
      </c>
    </row>
    <row r="6630" spans="1:25">
      <c r="A6630" t="s">
        <v>22199</v>
      </c>
      <c r="B6630" t="s">
        <v>22200</v>
      </c>
      <c r="D6630" t="s">
        <v>40</v>
      </c>
      <c r="E6630" t="s">
        <v>41</v>
      </c>
      <c r="J6630" t="s">
        <v>42</v>
      </c>
      <c r="K6630" t="s">
        <v>43</v>
      </c>
      <c r="L6630">
        <v>18</v>
      </c>
      <c r="M6630" t="s">
        <v>22201</v>
      </c>
      <c r="N6630" t="s">
        <v>218</v>
      </c>
      <c r="O6630" t="s">
        <v>46</v>
      </c>
      <c r="P6630" t="s">
        <v>46</v>
      </c>
      <c r="Y6630" t="s">
        <v>22202</v>
      </c>
    </row>
    <row r="6631" spans="1:25">
      <c r="A6631" t="s">
        <v>22203</v>
      </c>
      <c r="B6631" t="s">
        <v>22204</v>
      </c>
      <c r="D6631" t="s">
        <v>40</v>
      </c>
      <c r="E6631" t="s">
        <v>41</v>
      </c>
      <c r="J6631" t="s">
        <v>182</v>
      </c>
      <c r="K6631" t="s">
        <v>183</v>
      </c>
      <c r="L6631">
        <v>10</v>
      </c>
      <c r="M6631" t="s">
        <v>22205</v>
      </c>
      <c r="N6631" t="s">
        <v>64</v>
      </c>
      <c r="O6631" t="s">
        <v>46</v>
      </c>
      <c r="P6631" t="s">
        <v>46</v>
      </c>
      <c r="Y6631" t="s">
        <v>22206</v>
      </c>
    </row>
    <row r="6632" spans="1:25">
      <c r="A6632" t="s">
        <v>22207</v>
      </c>
      <c r="B6632" t="s">
        <v>22208</v>
      </c>
      <c r="D6632" t="s">
        <v>40</v>
      </c>
      <c r="E6632" t="s">
        <v>41</v>
      </c>
      <c r="J6632" t="s">
        <v>139</v>
      </c>
      <c r="K6632" t="s">
        <v>140</v>
      </c>
      <c r="L6632">
        <v>11</v>
      </c>
      <c r="M6632" t="s">
        <v>22209</v>
      </c>
      <c r="N6632" t="s">
        <v>1258</v>
      </c>
      <c r="O6632" t="s">
        <v>46</v>
      </c>
      <c r="P6632" t="s">
        <v>46</v>
      </c>
      <c r="Y6632" t="s">
        <v>22210</v>
      </c>
    </row>
    <row r="6633" spans="1:25">
      <c r="A6633" t="s">
        <v>22211</v>
      </c>
      <c r="B6633" t="s">
        <v>22212</v>
      </c>
      <c r="D6633" t="s">
        <v>40</v>
      </c>
      <c r="E6633" t="s">
        <v>41</v>
      </c>
      <c r="J6633" t="s">
        <v>76</v>
      </c>
      <c r="K6633" t="s">
        <v>77</v>
      </c>
      <c r="L6633">
        <v>10</v>
      </c>
      <c r="M6633" t="s">
        <v>22213</v>
      </c>
      <c r="N6633" t="s">
        <v>64</v>
      </c>
      <c r="O6633" t="s">
        <v>46</v>
      </c>
      <c r="P6633" t="s">
        <v>46</v>
      </c>
      <c r="Y6633" t="s">
        <v>22214</v>
      </c>
    </row>
    <row r="6634" spans="1:25">
      <c r="A6634" t="s">
        <v>22215</v>
      </c>
      <c r="B6634" t="s">
        <v>22216</v>
      </c>
      <c r="D6634" t="s">
        <v>40</v>
      </c>
      <c r="E6634" t="s">
        <v>41</v>
      </c>
      <c r="J6634" t="s">
        <v>139</v>
      </c>
      <c r="K6634" t="s">
        <v>140</v>
      </c>
      <c r="L6634">
        <v>11</v>
      </c>
      <c r="M6634" t="s">
        <v>22217</v>
      </c>
      <c r="N6634" t="s">
        <v>305</v>
      </c>
      <c r="O6634" t="s">
        <v>46</v>
      </c>
      <c r="P6634" t="s">
        <v>46</v>
      </c>
      <c r="Y6634" t="s">
        <v>22218</v>
      </c>
    </row>
    <row r="6635" spans="1:25">
      <c r="A6635" t="s">
        <v>22219</v>
      </c>
      <c r="B6635" t="s">
        <v>22220</v>
      </c>
      <c r="D6635" t="s">
        <v>40</v>
      </c>
      <c r="E6635" t="s">
        <v>41</v>
      </c>
      <c r="J6635" t="s">
        <v>248</v>
      </c>
      <c r="K6635" t="s">
        <v>249</v>
      </c>
      <c r="L6635">
        <v>4</v>
      </c>
      <c r="M6635" t="s">
        <v>22221</v>
      </c>
      <c r="N6635" t="s">
        <v>5995</v>
      </c>
      <c r="O6635" t="s">
        <v>46</v>
      </c>
      <c r="P6635" t="s">
        <v>46</v>
      </c>
      <c r="Y6635" t="s">
        <v>22222</v>
      </c>
    </row>
    <row r="6636" spans="1:25">
      <c r="A6636" t="s">
        <v>22223</v>
      </c>
      <c r="B6636" t="s">
        <v>22224</v>
      </c>
      <c r="D6636" t="s">
        <v>40</v>
      </c>
      <c r="E6636" t="s">
        <v>41</v>
      </c>
      <c r="J6636" t="s">
        <v>182</v>
      </c>
      <c r="K6636" t="s">
        <v>183</v>
      </c>
      <c r="L6636">
        <v>10</v>
      </c>
      <c r="M6636" t="s">
        <v>22225</v>
      </c>
      <c r="N6636" t="s">
        <v>64</v>
      </c>
      <c r="O6636" t="s">
        <v>46</v>
      </c>
      <c r="P6636" t="s">
        <v>46</v>
      </c>
      <c r="Y6636" t="s">
        <v>22226</v>
      </c>
    </row>
    <row r="6637" spans="1:25">
      <c r="A6637" t="s">
        <v>22227</v>
      </c>
      <c r="B6637" t="s">
        <v>22228</v>
      </c>
      <c r="D6637" t="s">
        <v>40</v>
      </c>
      <c r="E6637" t="s">
        <v>41</v>
      </c>
      <c r="J6637" t="s">
        <v>76</v>
      </c>
      <c r="K6637" t="s">
        <v>77</v>
      </c>
      <c r="L6637">
        <v>10</v>
      </c>
      <c r="M6637" t="s">
        <v>22225</v>
      </c>
      <c r="N6637" t="s">
        <v>64</v>
      </c>
      <c r="O6637" t="s">
        <v>46</v>
      </c>
      <c r="P6637" t="s">
        <v>46</v>
      </c>
      <c r="Y6637" t="s">
        <v>22229</v>
      </c>
    </row>
    <row r="6638" spans="1:25">
      <c r="A6638" t="s">
        <v>22230</v>
      </c>
      <c r="B6638" t="s">
        <v>22231</v>
      </c>
      <c r="D6638" t="s">
        <v>40</v>
      </c>
      <c r="E6638" t="s">
        <v>41</v>
      </c>
      <c r="J6638" t="s">
        <v>76</v>
      </c>
      <c r="K6638" t="s">
        <v>77</v>
      </c>
      <c r="L6638">
        <v>10</v>
      </c>
      <c r="M6638" t="s">
        <v>22225</v>
      </c>
      <c r="N6638" t="s">
        <v>64</v>
      </c>
      <c r="O6638" t="s">
        <v>46</v>
      </c>
      <c r="P6638" t="s">
        <v>46</v>
      </c>
      <c r="Y6638" t="s">
        <v>22232</v>
      </c>
    </row>
    <row r="6639" spans="1:25">
      <c r="A6639" t="s">
        <v>22233</v>
      </c>
      <c r="B6639" t="s">
        <v>22234</v>
      </c>
      <c r="D6639" t="s">
        <v>40</v>
      </c>
      <c r="E6639" t="s">
        <v>41</v>
      </c>
      <c r="J6639" t="s">
        <v>182</v>
      </c>
      <c r="K6639" t="s">
        <v>183</v>
      </c>
      <c r="L6639">
        <v>10</v>
      </c>
      <c r="M6639" t="s">
        <v>22235</v>
      </c>
      <c r="N6639" t="s">
        <v>64</v>
      </c>
      <c r="O6639" t="s">
        <v>46</v>
      </c>
      <c r="P6639" t="s">
        <v>46</v>
      </c>
      <c r="Y6639" t="s">
        <v>22236</v>
      </c>
    </row>
    <row r="6640" spans="1:25">
      <c r="A6640" t="s">
        <v>22237</v>
      </c>
      <c r="B6640" t="s">
        <v>22238</v>
      </c>
      <c r="D6640" t="s">
        <v>40</v>
      </c>
      <c r="E6640" t="s">
        <v>41</v>
      </c>
      <c r="J6640" t="s">
        <v>921</v>
      </c>
      <c r="K6640" t="s">
        <v>922</v>
      </c>
      <c r="L6640">
        <v>12</v>
      </c>
      <c r="M6640" t="s">
        <v>22239</v>
      </c>
      <c r="N6640" t="s">
        <v>752</v>
      </c>
      <c r="O6640" t="s">
        <v>46</v>
      </c>
      <c r="P6640" t="s">
        <v>46</v>
      </c>
      <c r="Y6640" t="s">
        <v>22240</v>
      </c>
    </row>
    <row r="6641" spans="1:25">
      <c r="A6641" t="s">
        <v>22241</v>
      </c>
      <c r="B6641" t="s">
        <v>22242</v>
      </c>
      <c r="D6641" t="s">
        <v>40</v>
      </c>
      <c r="E6641" t="s">
        <v>41</v>
      </c>
      <c r="J6641" t="s">
        <v>42</v>
      </c>
      <c r="K6641" t="s">
        <v>43</v>
      </c>
      <c r="L6641">
        <v>9</v>
      </c>
      <c r="M6641" t="s">
        <v>22243</v>
      </c>
      <c r="N6641" t="s">
        <v>305</v>
      </c>
      <c r="O6641" t="s">
        <v>46</v>
      </c>
      <c r="P6641" t="s">
        <v>46</v>
      </c>
      <c r="Y6641" t="s">
        <v>22244</v>
      </c>
    </row>
    <row r="6642" spans="1:25">
      <c r="A6642" t="s">
        <v>22245</v>
      </c>
      <c r="B6642" t="s">
        <v>22246</v>
      </c>
      <c r="D6642" t="s">
        <v>40</v>
      </c>
      <c r="E6642" t="s">
        <v>41</v>
      </c>
      <c r="J6642" t="s">
        <v>182</v>
      </c>
      <c r="K6642" t="s">
        <v>183</v>
      </c>
      <c r="L6642">
        <v>10</v>
      </c>
      <c r="M6642" t="s">
        <v>22247</v>
      </c>
      <c r="N6642" t="s">
        <v>64</v>
      </c>
      <c r="O6642" t="s">
        <v>46</v>
      </c>
      <c r="P6642" t="s">
        <v>46</v>
      </c>
      <c r="Y6642" t="s">
        <v>22248</v>
      </c>
    </row>
    <row r="6643" spans="1:25">
      <c r="A6643" t="s">
        <v>22249</v>
      </c>
      <c r="B6643" t="s">
        <v>22250</v>
      </c>
      <c r="D6643" t="s">
        <v>40</v>
      </c>
      <c r="E6643" t="s">
        <v>41</v>
      </c>
      <c r="J6643" t="s">
        <v>182</v>
      </c>
      <c r="K6643" t="s">
        <v>183</v>
      </c>
      <c r="L6643">
        <v>10</v>
      </c>
      <c r="M6643" t="s">
        <v>22247</v>
      </c>
      <c r="N6643" t="s">
        <v>64</v>
      </c>
      <c r="O6643" t="s">
        <v>46</v>
      </c>
      <c r="P6643" t="s">
        <v>46</v>
      </c>
      <c r="Y6643" t="s">
        <v>22251</v>
      </c>
    </row>
    <row r="6644" spans="1:25">
      <c r="A6644" t="s">
        <v>22252</v>
      </c>
      <c r="B6644" t="s">
        <v>22253</v>
      </c>
      <c r="D6644" t="s">
        <v>40</v>
      </c>
      <c r="E6644" t="s">
        <v>41</v>
      </c>
      <c r="J6644" t="s">
        <v>139</v>
      </c>
      <c r="K6644" t="s">
        <v>140</v>
      </c>
      <c r="L6644">
        <v>7</v>
      </c>
      <c r="M6644" t="s">
        <v>22254</v>
      </c>
      <c r="N6644" t="s">
        <v>1446</v>
      </c>
      <c r="O6644" t="s">
        <v>46</v>
      </c>
      <c r="P6644" t="s">
        <v>46</v>
      </c>
      <c r="Y6644" t="s">
        <v>22255</v>
      </c>
    </row>
    <row r="6645" spans="1:25">
      <c r="A6645" t="s">
        <v>22256</v>
      </c>
      <c r="B6645" t="s">
        <v>22257</v>
      </c>
      <c r="D6645" t="s">
        <v>40</v>
      </c>
      <c r="E6645" t="s">
        <v>41</v>
      </c>
      <c r="J6645" t="s">
        <v>182</v>
      </c>
      <c r="K6645" t="s">
        <v>183</v>
      </c>
      <c r="L6645">
        <v>10</v>
      </c>
      <c r="M6645" t="s">
        <v>22258</v>
      </c>
      <c r="N6645" t="s">
        <v>64</v>
      </c>
      <c r="O6645" t="s">
        <v>46</v>
      </c>
      <c r="P6645" t="s">
        <v>46</v>
      </c>
      <c r="Y6645" t="s">
        <v>22259</v>
      </c>
    </row>
    <row r="6646" spans="1:25">
      <c r="A6646" t="s">
        <v>22260</v>
      </c>
      <c r="B6646" t="s">
        <v>22261</v>
      </c>
      <c r="D6646" t="s">
        <v>40</v>
      </c>
      <c r="E6646" t="s">
        <v>41</v>
      </c>
      <c r="J6646" t="s">
        <v>182</v>
      </c>
      <c r="K6646" t="s">
        <v>183</v>
      </c>
      <c r="L6646">
        <v>10</v>
      </c>
      <c r="M6646" t="s">
        <v>22262</v>
      </c>
      <c r="N6646" t="s">
        <v>64</v>
      </c>
      <c r="O6646" t="s">
        <v>46</v>
      </c>
      <c r="P6646" t="s">
        <v>46</v>
      </c>
      <c r="Y6646" t="s">
        <v>22263</v>
      </c>
    </row>
    <row r="6647" spans="1:25">
      <c r="A6647" t="s">
        <v>22264</v>
      </c>
      <c r="B6647" t="s">
        <v>22265</v>
      </c>
      <c r="D6647" t="s">
        <v>40</v>
      </c>
      <c r="E6647" t="s">
        <v>41</v>
      </c>
      <c r="J6647" t="s">
        <v>76</v>
      </c>
      <c r="K6647" t="s">
        <v>77</v>
      </c>
      <c r="L6647">
        <v>10</v>
      </c>
      <c r="M6647" t="s">
        <v>22262</v>
      </c>
      <c r="N6647" t="s">
        <v>64</v>
      </c>
      <c r="O6647" t="s">
        <v>46</v>
      </c>
      <c r="P6647" t="s">
        <v>46</v>
      </c>
      <c r="Y6647" t="s">
        <v>22266</v>
      </c>
    </row>
    <row r="6648" spans="1:25">
      <c r="A6648" t="s">
        <v>22267</v>
      </c>
      <c r="B6648" t="s">
        <v>22268</v>
      </c>
      <c r="D6648" t="s">
        <v>40</v>
      </c>
      <c r="E6648" t="s">
        <v>41</v>
      </c>
      <c r="J6648" t="s">
        <v>50</v>
      </c>
      <c r="K6648" t="s">
        <v>51</v>
      </c>
      <c r="L6648">
        <v>7</v>
      </c>
      <c r="M6648" t="s">
        <v>22269</v>
      </c>
      <c r="N6648" t="s">
        <v>315</v>
      </c>
      <c r="O6648" t="s">
        <v>46</v>
      </c>
      <c r="P6648" t="s">
        <v>46</v>
      </c>
      <c r="Y6648" t="s">
        <v>22270</v>
      </c>
    </row>
    <row r="6649" spans="1:25">
      <c r="A6649" t="s">
        <v>22271</v>
      </c>
      <c r="B6649" t="s">
        <v>22272</v>
      </c>
      <c r="D6649" t="s">
        <v>40</v>
      </c>
      <c r="E6649" t="s">
        <v>41</v>
      </c>
      <c r="J6649" t="s">
        <v>42</v>
      </c>
      <c r="K6649" t="s">
        <v>43</v>
      </c>
      <c r="L6649">
        <v>11</v>
      </c>
      <c r="M6649" t="s">
        <v>22273</v>
      </c>
      <c r="N6649" t="s">
        <v>1334</v>
      </c>
      <c r="O6649" t="s">
        <v>46</v>
      </c>
      <c r="P6649" t="s">
        <v>46</v>
      </c>
      <c r="Y6649" t="s">
        <v>22274</v>
      </c>
    </row>
    <row r="6650" spans="1:25">
      <c r="A6650" t="s">
        <v>22275</v>
      </c>
      <c r="B6650" t="s">
        <v>22276</v>
      </c>
      <c r="D6650" t="s">
        <v>40</v>
      </c>
      <c r="E6650" t="s">
        <v>41</v>
      </c>
      <c r="J6650" t="s">
        <v>182</v>
      </c>
      <c r="K6650" t="s">
        <v>183</v>
      </c>
      <c r="L6650">
        <v>10</v>
      </c>
      <c r="M6650" t="s">
        <v>22273</v>
      </c>
      <c r="N6650" t="s">
        <v>64</v>
      </c>
      <c r="O6650" t="s">
        <v>46</v>
      </c>
      <c r="P6650" t="s">
        <v>46</v>
      </c>
      <c r="Y6650" t="s">
        <v>22277</v>
      </c>
    </row>
    <row r="6651" spans="1:25">
      <c r="A6651" t="s">
        <v>22278</v>
      </c>
      <c r="B6651" t="s">
        <v>22279</v>
      </c>
      <c r="D6651" t="s">
        <v>40</v>
      </c>
      <c r="E6651" t="s">
        <v>41</v>
      </c>
      <c r="J6651" t="s">
        <v>76</v>
      </c>
      <c r="K6651" t="s">
        <v>77</v>
      </c>
      <c r="L6651">
        <v>10</v>
      </c>
      <c r="M6651" t="s">
        <v>22280</v>
      </c>
      <c r="N6651" t="s">
        <v>64</v>
      </c>
      <c r="O6651" t="s">
        <v>46</v>
      </c>
      <c r="P6651" t="s">
        <v>46</v>
      </c>
      <c r="Y6651" t="s">
        <v>22281</v>
      </c>
    </row>
    <row r="6652" spans="1:25">
      <c r="A6652" t="s">
        <v>22282</v>
      </c>
      <c r="B6652" t="s">
        <v>22283</v>
      </c>
      <c r="D6652" t="s">
        <v>40</v>
      </c>
      <c r="E6652" t="s">
        <v>41</v>
      </c>
      <c r="J6652" t="s">
        <v>139</v>
      </c>
      <c r="K6652" t="s">
        <v>140</v>
      </c>
      <c r="L6652">
        <v>9</v>
      </c>
      <c r="M6652" t="s">
        <v>22284</v>
      </c>
      <c r="N6652" t="s">
        <v>1397</v>
      </c>
      <c r="O6652" t="s">
        <v>46</v>
      </c>
      <c r="P6652" t="s">
        <v>46</v>
      </c>
      <c r="Y6652" t="s">
        <v>22285</v>
      </c>
    </row>
    <row r="6653" spans="1:25">
      <c r="A6653" t="s">
        <v>22286</v>
      </c>
      <c r="B6653" t="s">
        <v>22287</v>
      </c>
      <c r="D6653" t="s">
        <v>40</v>
      </c>
      <c r="E6653" t="s">
        <v>41</v>
      </c>
      <c r="J6653" t="s">
        <v>182</v>
      </c>
      <c r="K6653" t="s">
        <v>183</v>
      </c>
      <c r="L6653">
        <v>10</v>
      </c>
      <c r="M6653" t="s">
        <v>22288</v>
      </c>
      <c r="N6653" t="s">
        <v>64</v>
      </c>
      <c r="O6653" t="s">
        <v>46</v>
      </c>
      <c r="P6653" t="s">
        <v>46</v>
      </c>
      <c r="Y6653" t="s">
        <v>22289</v>
      </c>
    </row>
    <row r="6654" spans="1:25">
      <c r="A6654" t="s">
        <v>22290</v>
      </c>
      <c r="B6654" t="s">
        <v>22291</v>
      </c>
      <c r="D6654" t="s">
        <v>40</v>
      </c>
      <c r="E6654" t="s">
        <v>41</v>
      </c>
      <c r="J6654" t="s">
        <v>76</v>
      </c>
      <c r="K6654" t="s">
        <v>77</v>
      </c>
      <c r="L6654">
        <v>10</v>
      </c>
      <c r="M6654" t="s">
        <v>22292</v>
      </c>
      <c r="N6654" t="s">
        <v>64</v>
      </c>
      <c r="O6654" t="s">
        <v>46</v>
      </c>
      <c r="P6654" t="s">
        <v>46</v>
      </c>
      <c r="Y6654" t="s">
        <v>22293</v>
      </c>
    </row>
    <row r="6655" spans="1:25">
      <c r="A6655" t="s">
        <v>22294</v>
      </c>
      <c r="B6655" t="s">
        <v>22295</v>
      </c>
      <c r="D6655" t="s">
        <v>40</v>
      </c>
      <c r="E6655" t="s">
        <v>41</v>
      </c>
      <c r="J6655" t="s">
        <v>76</v>
      </c>
      <c r="K6655" t="s">
        <v>77</v>
      </c>
      <c r="L6655">
        <v>10</v>
      </c>
      <c r="M6655" t="s">
        <v>22296</v>
      </c>
      <c r="N6655" t="s">
        <v>64</v>
      </c>
      <c r="O6655" t="s">
        <v>46</v>
      </c>
      <c r="P6655" t="s">
        <v>46</v>
      </c>
      <c r="Y6655" t="s">
        <v>22297</v>
      </c>
    </row>
    <row r="6656" spans="1:25">
      <c r="A6656" t="s">
        <v>22298</v>
      </c>
      <c r="B6656" t="s">
        <v>22299</v>
      </c>
      <c r="D6656" t="s">
        <v>40</v>
      </c>
      <c r="E6656" t="s">
        <v>41</v>
      </c>
      <c r="J6656" t="s">
        <v>182</v>
      </c>
      <c r="K6656" t="s">
        <v>183</v>
      </c>
      <c r="L6656">
        <v>10</v>
      </c>
      <c r="M6656" t="s">
        <v>22300</v>
      </c>
      <c r="N6656" t="s">
        <v>64</v>
      </c>
      <c r="O6656" t="s">
        <v>46</v>
      </c>
      <c r="P6656" t="s">
        <v>46</v>
      </c>
      <c r="Y6656" t="s">
        <v>22301</v>
      </c>
    </row>
    <row r="6657" spans="1:25">
      <c r="A6657" t="s">
        <v>22302</v>
      </c>
      <c r="B6657" t="s">
        <v>22303</v>
      </c>
      <c r="D6657" t="s">
        <v>40</v>
      </c>
      <c r="E6657" t="s">
        <v>41</v>
      </c>
      <c r="J6657" t="s">
        <v>76</v>
      </c>
      <c r="K6657" t="s">
        <v>77</v>
      </c>
      <c r="L6657">
        <v>10</v>
      </c>
      <c r="M6657" t="s">
        <v>22304</v>
      </c>
      <c r="N6657" t="s">
        <v>64</v>
      </c>
      <c r="O6657" t="s">
        <v>46</v>
      </c>
      <c r="P6657" t="s">
        <v>46</v>
      </c>
      <c r="Y6657" t="s">
        <v>22305</v>
      </c>
    </row>
    <row r="6658" spans="1:25">
      <c r="A6658" t="s">
        <v>22306</v>
      </c>
      <c r="B6658" t="s">
        <v>22307</v>
      </c>
      <c r="D6658" t="s">
        <v>40</v>
      </c>
      <c r="E6658" t="s">
        <v>41</v>
      </c>
      <c r="J6658" t="s">
        <v>182</v>
      </c>
      <c r="K6658" t="s">
        <v>183</v>
      </c>
      <c r="L6658">
        <v>10</v>
      </c>
      <c r="M6658" t="s">
        <v>22308</v>
      </c>
      <c r="N6658" t="s">
        <v>64</v>
      </c>
      <c r="O6658" t="s">
        <v>46</v>
      </c>
      <c r="P6658" t="s">
        <v>46</v>
      </c>
      <c r="Y6658" t="s">
        <v>22309</v>
      </c>
    </row>
    <row r="6659" spans="1:25">
      <c r="A6659" t="s">
        <v>22310</v>
      </c>
      <c r="B6659" t="s">
        <v>22311</v>
      </c>
      <c r="D6659" t="s">
        <v>40</v>
      </c>
      <c r="E6659" t="s">
        <v>41</v>
      </c>
      <c r="J6659" t="s">
        <v>12440</v>
      </c>
      <c r="K6659" t="s">
        <v>12441</v>
      </c>
      <c r="L6659">
        <v>11</v>
      </c>
      <c r="M6659" t="s">
        <v>22312</v>
      </c>
      <c r="N6659" t="s">
        <v>1024</v>
      </c>
      <c r="O6659" t="s">
        <v>46</v>
      </c>
      <c r="P6659" t="s">
        <v>46</v>
      </c>
      <c r="Y6659" t="s">
        <v>22313</v>
      </c>
    </row>
    <row r="6660" spans="1:25">
      <c r="A6660" t="s">
        <v>22314</v>
      </c>
      <c r="B6660" t="s">
        <v>22315</v>
      </c>
      <c r="D6660" t="s">
        <v>40</v>
      </c>
      <c r="E6660" t="s">
        <v>41</v>
      </c>
      <c r="J6660" t="s">
        <v>12440</v>
      </c>
      <c r="K6660" t="s">
        <v>12441</v>
      </c>
      <c r="L6660">
        <v>11</v>
      </c>
      <c r="M6660" t="s">
        <v>22316</v>
      </c>
      <c r="N6660" t="s">
        <v>440</v>
      </c>
      <c r="O6660" t="s">
        <v>46</v>
      </c>
      <c r="P6660" t="s">
        <v>46</v>
      </c>
      <c r="Y6660" t="s">
        <v>22317</v>
      </c>
    </row>
    <row r="6661" spans="1:25">
      <c r="A6661" t="s">
        <v>22318</v>
      </c>
      <c r="B6661" t="s">
        <v>22319</v>
      </c>
      <c r="D6661" t="s">
        <v>40</v>
      </c>
      <c r="E6661" t="s">
        <v>41</v>
      </c>
      <c r="J6661" t="s">
        <v>139</v>
      </c>
      <c r="K6661" t="s">
        <v>140</v>
      </c>
      <c r="L6661">
        <v>6</v>
      </c>
      <c r="M6661" t="s">
        <v>22320</v>
      </c>
      <c r="N6661" t="s">
        <v>178</v>
      </c>
      <c r="O6661" t="s">
        <v>46</v>
      </c>
      <c r="P6661" t="s">
        <v>46</v>
      </c>
      <c r="Y6661" t="s">
        <v>22321</v>
      </c>
    </row>
    <row r="6662" spans="1:25">
      <c r="A6662" t="s">
        <v>22322</v>
      </c>
      <c r="B6662" t="s">
        <v>22323</v>
      </c>
      <c r="D6662" t="s">
        <v>40</v>
      </c>
      <c r="E6662" t="s">
        <v>41</v>
      </c>
      <c r="J6662" t="s">
        <v>248</v>
      </c>
      <c r="K6662" t="s">
        <v>249</v>
      </c>
      <c r="L6662">
        <v>10</v>
      </c>
      <c r="M6662" t="s">
        <v>22324</v>
      </c>
      <c r="N6662" t="s">
        <v>436</v>
      </c>
      <c r="O6662" t="s">
        <v>46</v>
      </c>
      <c r="P6662" t="s">
        <v>46</v>
      </c>
      <c r="Y6662" t="s">
        <v>22325</v>
      </c>
    </row>
    <row r="6663" spans="1:25">
      <c r="A6663" t="s">
        <v>22326</v>
      </c>
      <c r="B6663" t="s">
        <v>22327</v>
      </c>
      <c r="D6663" t="s">
        <v>40</v>
      </c>
      <c r="E6663" t="s">
        <v>41</v>
      </c>
      <c r="J6663" t="s">
        <v>42</v>
      </c>
      <c r="K6663" t="s">
        <v>43</v>
      </c>
      <c r="L6663">
        <v>15</v>
      </c>
      <c r="M6663" t="s">
        <v>22328</v>
      </c>
      <c r="N6663" t="s">
        <v>1276</v>
      </c>
      <c r="O6663" t="s">
        <v>46</v>
      </c>
      <c r="P6663" t="s">
        <v>46</v>
      </c>
      <c r="Y6663" t="s">
        <v>22329</v>
      </c>
    </row>
    <row r="6664" spans="1:25">
      <c r="A6664" t="s">
        <v>22330</v>
      </c>
      <c r="B6664" t="s">
        <v>22331</v>
      </c>
      <c r="D6664" t="s">
        <v>40</v>
      </c>
      <c r="E6664" t="s">
        <v>41</v>
      </c>
      <c r="J6664" t="s">
        <v>248</v>
      </c>
      <c r="K6664" t="s">
        <v>249</v>
      </c>
      <c r="L6664">
        <v>10</v>
      </c>
      <c r="M6664" t="s">
        <v>22332</v>
      </c>
      <c r="N6664" t="s">
        <v>173</v>
      </c>
      <c r="O6664" t="s">
        <v>46</v>
      </c>
      <c r="P6664" t="s">
        <v>46</v>
      </c>
      <c r="Y6664" t="s">
        <v>22333</v>
      </c>
    </row>
    <row r="6665" spans="1:25">
      <c r="A6665" t="s">
        <v>22334</v>
      </c>
      <c r="B6665" t="s">
        <v>22335</v>
      </c>
      <c r="D6665" t="s">
        <v>40</v>
      </c>
      <c r="E6665" t="s">
        <v>41</v>
      </c>
      <c r="J6665" t="s">
        <v>139</v>
      </c>
      <c r="K6665" t="s">
        <v>140</v>
      </c>
      <c r="L6665">
        <v>2</v>
      </c>
      <c r="M6665" t="s">
        <v>22336</v>
      </c>
      <c r="N6665" t="s">
        <v>436</v>
      </c>
      <c r="O6665" t="s">
        <v>46</v>
      </c>
      <c r="P6665" t="s">
        <v>46</v>
      </c>
      <c r="Y6665" t="s">
        <v>22337</v>
      </c>
    </row>
    <row r="6666" spans="1:25">
      <c r="A6666" t="s">
        <v>22338</v>
      </c>
      <c r="B6666" t="s">
        <v>22339</v>
      </c>
      <c r="D6666" t="s">
        <v>40</v>
      </c>
      <c r="E6666" t="s">
        <v>41</v>
      </c>
      <c r="J6666" t="s">
        <v>248</v>
      </c>
      <c r="K6666" t="s">
        <v>249</v>
      </c>
      <c r="L6666">
        <v>11</v>
      </c>
      <c r="M6666" t="s">
        <v>22340</v>
      </c>
      <c r="N6666" t="s">
        <v>1189</v>
      </c>
      <c r="O6666" t="s">
        <v>46</v>
      </c>
      <c r="P6666" t="s">
        <v>46</v>
      </c>
      <c r="Y6666" t="s">
        <v>22341</v>
      </c>
    </row>
    <row r="6667" spans="1:25">
      <c r="A6667" t="s">
        <v>22342</v>
      </c>
      <c r="B6667" t="s">
        <v>22343</v>
      </c>
      <c r="D6667" t="s">
        <v>40</v>
      </c>
      <c r="E6667" t="s">
        <v>41</v>
      </c>
      <c r="J6667" t="s">
        <v>139</v>
      </c>
      <c r="K6667" t="s">
        <v>140</v>
      </c>
      <c r="L6667">
        <v>2</v>
      </c>
      <c r="M6667" t="s">
        <v>22344</v>
      </c>
      <c r="N6667" t="s">
        <v>5995</v>
      </c>
      <c r="O6667" t="s">
        <v>46</v>
      </c>
      <c r="P6667" t="s">
        <v>46</v>
      </c>
      <c r="Y6667" t="s">
        <v>22345</v>
      </c>
    </row>
    <row r="6668" spans="1:25">
      <c r="A6668" t="s">
        <v>22346</v>
      </c>
      <c r="B6668" t="s">
        <v>22347</v>
      </c>
      <c r="D6668" t="s">
        <v>40</v>
      </c>
      <c r="E6668" t="s">
        <v>41</v>
      </c>
      <c r="J6668" t="s">
        <v>139</v>
      </c>
      <c r="K6668" t="s">
        <v>140</v>
      </c>
      <c r="L6668">
        <v>3</v>
      </c>
      <c r="M6668" t="s">
        <v>22348</v>
      </c>
      <c r="N6668" t="s">
        <v>5995</v>
      </c>
      <c r="O6668" t="s">
        <v>46</v>
      </c>
      <c r="P6668" t="s">
        <v>46</v>
      </c>
      <c r="Y6668" t="s">
        <v>22349</v>
      </c>
    </row>
    <row r="6669" spans="1:25">
      <c r="A6669" t="s">
        <v>22350</v>
      </c>
      <c r="B6669" t="s">
        <v>22351</v>
      </c>
      <c r="D6669" t="s">
        <v>40</v>
      </c>
      <c r="E6669" t="s">
        <v>41</v>
      </c>
      <c r="J6669" t="s">
        <v>11802</v>
      </c>
      <c r="K6669" t="s">
        <v>11803</v>
      </c>
      <c r="L6669">
        <v>11</v>
      </c>
      <c r="M6669" t="s">
        <v>22352</v>
      </c>
      <c r="N6669" t="s">
        <v>210</v>
      </c>
      <c r="O6669" t="s">
        <v>46</v>
      </c>
      <c r="P6669" t="s">
        <v>46</v>
      </c>
      <c r="Y6669" t="s">
        <v>22353</v>
      </c>
    </row>
    <row r="6670" spans="1:25">
      <c r="A6670" t="s">
        <v>22354</v>
      </c>
      <c r="B6670" t="s">
        <v>22355</v>
      </c>
      <c r="D6670" t="s">
        <v>40</v>
      </c>
      <c r="E6670" t="s">
        <v>41</v>
      </c>
      <c r="J6670" t="s">
        <v>892</v>
      </c>
      <c r="K6670" t="s">
        <v>893</v>
      </c>
      <c r="L6670">
        <v>6</v>
      </c>
      <c r="M6670" t="s">
        <v>22356</v>
      </c>
      <c r="N6670" t="s">
        <v>257</v>
      </c>
      <c r="O6670" t="s">
        <v>46</v>
      </c>
      <c r="P6670" t="s">
        <v>46</v>
      </c>
      <c r="Y6670" t="s">
        <v>22357</v>
      </c>
    </row>
    <row r="6671" spans="1:25">
      <c r="A6671" t="s">
        <v>22358</v>
      </c>
      <c r="B6671" t="s">
        <v>22359</v>
      </c>
      <c r="D6671" t="s">
        <v>40</v>
      </c>
      <c r="E6671" t="s">
        <v>41</v>
      </c>
      <c r="J6671" t="s">
        <v>248</v>
      </c>
      <c r="K6671" t="s">
        <v>249</v>
      </c>
      <c r="L6671">
        <v>2</v>
      </c>
      <c r="M6671" t="s">
        <v>22360</v>
      </c>
      <c r="N6671" t="s">
        <v>5995</v>
      </c>
      <c r="O6671" t="s">
        <v>46</v>
      </c>
      <c r="P6671" t="s">
        <v>46</v>
      </c>
      <c r="Y6671" t="s">
        <v>22361</v>
      </c>
    </row>
    <row r="6672" spans="1:25">
      <c r="A6672" t="s">
        <v>22362</v>
      </c>
      <c r="B6672" t="s">
        <v>22363</v>
      </c>
      <c r="D6672" t="s">
        <v>40</v>
      </c>
      <c r="E6672" t="s">
        <v>41</v>
      </c>
      <c r="J6672" t="s">
        <v>139</v>
      </c>
      <c r="K6672" t="s">
        <v>140</v>
      </c>
      <c r="L6672">
        <v>9</v>
      </c>
      <c r="M6672" t="s">
        <v>22364</v>
      </c>
      <c r="N6672" t="s">
        <v>3013</v>
      </c>
      <c r="O6672" t="s">
        <v>46</v>
      </c>
      <c r="P6672" t="s">
        <v>46</v>
      </c>
      <c r="Y6672" t="s">
        <v>22365</v>
      </c>
    </row>
    <row r="6673" spans="1:25">
      <c r="A6673" t="s">
        <v>22366</v>
      </c>
      <c r="B6673" t="s">
        <v>22367</v>
      </c>
      <c r="D6673" t="s">
        <v>40</v>
      </c>
      <c r="E6673" t="s">
        <v>41</v>
      </c>
      <c r="J6673" t="s">
        <v>921</v>
      </c>
      <c r="K6673" t="s">
        <v>922</v>
      </c>
      <c r="L6673">
        <v>12</v>
      </c>
      <c r="M6673" t="s">
        <v>22368</v>
      </c>
      <c r="N6673" t="s">
        <v>5995</v>
      </c>
      <c r="O6673" t="s">
        <v>46</v>
      </c>
      <c r="P6673" t="s">
        <v>46</v>
      </c>
      <c r="Y6673" t="s">
        <v>22369</v>
      </c>
    </row>
    <row r="6674" spans="1:25">
      <c r="A6674" t="s">
        <v>22370</v>
      </c>
      <c r="B6674" t="s">
        <v>22371</v>
      </c>
      <c r="D6674" t="s">
        <v>40</v>
      </c>
      <c r="E6674" t="s">
        <v>41</v>
      </c>
      <c r="J6674" t="s">
        <v>139</v>
      </c>
      <c r="K6674" t="s">
        <v>140</v>
      </c>
      <c r="L6674">
        <v>8</v>
      </c>
      <c r="M6674" t="s">
        <v>22372</v>
      </c>
      <c r="N6674" t="s">
        <v>1024</v>
      </c>
      <c r="O6674" t="s">
        <v>46</v>
      </c>
      <c r="P6674" t="s">
        <v>46</v>
      </c>
      <c r="Y6674" t="s">
        <v>22373</v>
      </c>
    </row>
    <row r="6675" spans="1:25">
      <c r="A6675" t="s">
        <v>22374</v>
      </c>
      <c r="B6675" t="s">
        <v>22375</v>
      </c>
      <c r="D6675" t="s">
        <v>40</v>
      </c>
      <c r="E6675" t="s">
        <v>41</v>
      </c>
      <c r="J6675" t="s">
        <v>9159</v>
      </c>
      <c r="K6675" t="s">
        <v>9160</v>
      </c>
      <c r="L6675">
        <v>10</v>
      </c>
      <c r="M6675" t="s">
        <v>22376</v>
      </c>
      <c r="N6675" t="s">
        <v>1369</v>
      </c>
      <c r="O6675" t="s">
        <v>46</v>
      </c>
      <c r="P6675" t="s">
        <v>46</v>
      </c>
      <c r="Y6675" t="s">
        <v>22377</v>
      </c>
    </row>
    <row r="6676" spans="1:25">
      <c r="A6676" t="s">
        <v>22378</v>
      </c>
      <c r="B6676" t="s">
        <v>22379</v>
      </c>
      <c r="D6676" t="s">
        <v>40</v>
      </c>
      <c r="E6676" t="s">
        <v>41</v>
      </c>
      <c r="J6676" t="s">
        <v>6179</v>
      </c>
      <c r="K6676" t="s">
        <v>6180</v>
      </c>
      <c r="L6676">
        <v>6</v>
      </c>
      <c r="M6676" t="s">
        <v>22380</v>
      </c>
      <c r="N6676" t="s">
        <v>1276</v>
      </c>
      <c r="O6676" t="s">
        <v>46</v>
      </c>
      <c r="P6676" t="s">
        <v>46</v>
      </c>
      <c r="Y6676" t="s">
        <v>22381</v>
      </c>
    </row>
    <row r="6677" spans="1:25">
      <c r="A6677" t="s">
        <v>22382</v>
      </c>
      <c r="B6677" t="s">
        <v>22383</v>
      </c>
      <c r="D6677" t="s">
        <v>40</v>
      </c>
      <c r="E6677" t="s">
        <v>41</v>
      </c>
      <c r="J6677" t="s">
        <v>921</v>
      </c>
      <c r="K6677" t="s">
        <v>922</v>
      </c>
      <c r="L6677">
        <v>12</v>
      </c>
      <c r="M6677" t="s">
        <v>22384</v>
      </c>
      <c r="N6677" t="s">
        <v>1189</v>
      </c>
      <c r="O6677" t="s">
        <v>46</v>
      </c>
      <c r="P6677" t="s">
        <v>46</v>
      </c>
      <c r="Y6677" t="s">
        <v>22385</v>
      </c>
    </row>
    <row r="6678" spans="1:25">
      <c r="A6678" t="s">
        <v>22386</v>
      </c>
      <c r="B6678" t="s">
        <v>22387</v>
      </c>
      <c r="D6678" t="s">
        <v>40</v>
      </c>
      <c r="E6678" t="s">
        <v>41</v>
      </c>
      <c r="J6678" t="s">
        <v>1554</v>
      </c>
      <c r="K6678" t="s">
        <v>1555</v>
      </c>
      <c r="L6678">
        <v>5</v>
      </c>
      <c r="M6678" t="s">
        <v>22388</v>
      </c>
      <c r="N6678" t="s">
        <v>1229</v>
      </c>
      <c r="O6678" t="s">
        <v>46</v>
      </c>
      <c r="P6678" t="s">
        <v>46</v>
      </c>
      <c r="Y6678" t="s">
        <v>22389</v>
      </c>
    </row>
    <row r="6679" spans="1:25">
      <c r="A6679" t="s">
        <v>22390</v>
      </c>
      <c r="B6679" t="s">
        <v>22391</v>
      </c>
      <c r="D6679" t="s">
        <v>40</v>
      </c>
      <c r="E6679" t="s">
        <v>41</v>
      </c>
      <c r="J6679" t="s">
        <v>139</v>
      </c>
      <c r="K6679" t="s">
        <v>140</v>
      </c>
      <c r="L6679">
        <v>6</v>
      </c>
      <c r="M6679" t="s">
        <v>22392</v>
      </c>
      <c r="N6679" t="s">
        <v>1024</v>
      </c>
      <c r="O6679" t="s">
        <v>46</v>
      </c>
      <c r="P6679" t="s">
        <v>46</v>
      </c>
      <c r="Y6679" t="s">
        <v>22393</v>
      </c>
    </row>
    <row r="6680" spans="1:25">
      <c r="A6680" t="s">
        <v>22394</v>
      </c>
      <c r="B6680" t="s">
        <v>22395</v>
      </c>
      <c r="D6680" t="s">
        <v>40</v>
      </c>
      <c r="E6680" t="s">
        <v>41</v>
      </c>
      <c r="J6680" t="s">
        <v>139</v>
      </c>
      <c r="K6680" t="s">
        <v>140</v>
      </c>
      <c r="L6680">
        <v>3</v>
      </c>
      <c r="M6680" t="s">
        <v>22396</v>
      </c>
      <c r="N6680" t="s">
        <v>1229</v>
      </c>
      <c r="O6680" t="s">
        <v>46</v>
      </c>
      <c r="P6680" t="s">
        <v>46</v>
      </c>
      <c r="Y6680" t="s">
        <v>22397</v>
      </c>
    </row>
    <row r="6681" spans="1:25">
      <c r="A6681" t="s">
        <v>22398</v>
      </c>
      <c r="B6681" t="s">
        <v>22399</v>
      </c>
      <c r="D6681" t="s">
        <v>40</v>
      </c>
      <c r="E6681" t="s">
        <v>41</v>
      </c>
      <c r="J6681" t="s">
        <v>12440</v>
      </c>
      <c r="K6681" t="s">
        <v>12441</v>
      </c>
      <c r="L6681">
        <v>11</v>
      </c>
      <c r="M6681" t="s">
        <v>22400</v>
      </c>
      <c r="N6681" t="s">
        <v>1258</v>
      </c>
      <c r="O6681" t="s">
        <v>46</v>
      </c>
      <c r="P6681" t="s">
        <v>46</v>
      </c>
      <c r="Y6681" t="s">
        <v>22401</v>
      </c>
    </row>
    <row r="6682" spans="1:25">
      <c r="A6682" t="s">
        <v>22402</v>
      </c>
      <c r="B6682" t="s">
        <v>22403</v>
      </c>
      <c r="D6682" t="s">
        <v>40</v>
      </c>
      <c r="E6682" t="s">
        <v>41</v>
      </c>
      <c r="J6682" t="s">
        <v>139</v>
      </c>
      <c r="K6682" t="s">
        <v>140</v>
      </c>
      <c r="L6682">
        <v>12</v>
      </c>
      <c r="M6682" t="s">
        <v>22404</v>
      </c>
      <c r="N6682" t="s">
        <v>741</v>
      </c>
      <c r="O6682" t="s">
        <v>46</v>
      </c>
      <c r="P6682" t="s">
        <v>46</v>
      </c>
      <c r="Y6682" t="s">
        <v>22405</v>
      </c>
    </row>
    <row r="6683" spans="1:25">
      <c r="A6683" t="s">
        <v>22406</v>
      </c>
      <c r="B6683" t="s">
        <v>22407</v>
      </c>
      <c r="D6683" t="s">
        <v>40</v>
      </c>
      <c r="E6683" t="s">
        <v>41</v>
      </c>
      <c r="J6683" t="s">
        <v>911</v>
      </c>
      <c r="K6683" t="s">
        <v>912</v>
      </c>
      <c r="L6683">
        <v>12</v>
      </c>
      <c r="M6683" t="s">
        <v>22408</v>
      </c>
      <c r="N6683" t="s">
        <v>1369</v>
      </c>
      <c r="O6683" t="s">
        <v>46</v>
      </c>
      <c r="P6683" t="s">
        <v>46</v>
      </c>
      <c r="Y6683" t="s">
        <v>22409</v>
      </c>
    </row>
    <row r="6684" spans="1:25">
      <c r="A6684" t="s">
        <v>22410</v>
      </c>
      <c r="B6684" t="s">
        <v>22411</v>
      </c>
      <c r="D6684" t="s">
        <v>40</v>
      </c>
      <c r="E6684" t="s">
        <v>41</v>
      </c>
      <c r="J6684" t="s">
        <v>1142</v>
      </c>
      <c r="K6684" t="s">
        <v>1143</v>
      </c>
      <c r="L6684">
        <v>11</v>
      </c>
      <c r="M6684" t="s">
        <v>22412</v>
      </c>
      <c r="N6684" t="s">
        <v>436</v>
      </c>
      <c r="O6684" t="s">
        <v>46</v>
      </c>
      <c r="P6684" t="s">
        <v>46</v>
      </c>
      <c r="Y6684" t="s">
        <v>22413</v>
      </c>
    </row>
    <row r="6685" spans="1:25">
      <c r="A6685" t="s">
        <v>22414</v>
      </c>
      <c r="B6685" t="s">
        <v>22415</v>
      </c>
      <c r="D6685" t="s">
        <v>40</v>
      </c>
      <c r="E6685" t="s">
        <v>41</v>
      </c>
      <c r="J6685" t="s">
        <v>248</v>
      </c>
      <c r="K6685" t="s">
        <v>249</v>
      </c>
      <c r="L6685">
        <v>11</v>
      </c>
      <c r="M6685" t="s">
        <v>22416</v>
      </c>
      <c r="N6685" t="s">
        <v>305</v>
      </c>
      <c r="O6685" t="s">
        <v>46</v>
      </c>
      <c r="P6685" t="s">
        <v>46</v>
      </c>
      <c r="Y6685" t="s">
        <v>22417</v>
      </c>
    </row>
    <row r="6686" spans="1:25">
      <c r="A6686" t="s">
        <v>22418</v>
      </c>
      <c r="B6686" t="s">
        <v>22419</v>
      </c>
      <c r="D6686" t="s">
        <v>40</v>
      </c>
      <c r="E6686" t="s">
        <v>41</v>
      </c>
      <c r="J6686" t="s">
        <v>139</v>
      </c>
      <c r="K6686" t="s">
        <v>140</v>
      </c>
      <c r="L6686">
        <v>11</v>
      </c>
      <c r="M6686" t="s">
        <v>22420</v>
      </c>
      <c r="N6686" t="s">
        <v>178</v>
      </c>
      <c r="O6686" t="s">
        <v>46</v>
      </c>
      <c r="P6686" t="s">
        <v>46</v>
      </c>
      <c r="Y6686" t="s">
        <v>22421</v>
      </c>
    </row>
    <row r="6687" spans="1:25">
      <c r="A6687" t="s">
        <v>22422</v>
      </c>
      <c r="B6687" t="s">
        <v>22423</v>
      </c>
      <c r="D6687" t="s">
        <v>40</v>
      </c>
      <c r="E6687" t="s">
        <v>41</v>
      </c>
      <c r="J6687" t="s">
        <v>248</v>
      </c>
      <c r="K6687" t="s">
        <v>249</v>
      </c>
      <c r="L6687">
        <v>11</v>
      </c>
      <c r="M6687" t="s">
        <v>22424</v>
      </c>
      <c r="N6687" t="s">
        <v>53</v>
      </c>
      <c r="O6687" t="s">
        <v>46</v>
      </c>
      <c r="P6687" t="s">
        <v>46</v>
      </c>
      <c r="Y6687" t="s">
        <v>22425</v>
      </c>
    </row>
    <row r="6688" spans="1:25">
      <c r="A6688" t="s">
        <v>22426</v>
      </c>
      <c r="B6688" t="s">
        <v>22427</v>
      </c>
      <c r="D6688" t="s">
        <v>40</v>
      </c>
      <c r="E6688" t="s">
        <v>41</v>
      </c>
      <c r="J6688" t="s">
        <v>1554</v>
      </c>
      <c r="K6688" t="s">
        <v>1555</v>
      </c>
      <c r="L6688">
        <v>11</v>
      </c>
      <c r="M6688" t="s">
        <v>22428</v>
      </c>
      <c r="N6688" t="s">
        <v>296</v>
      </c>
      <c r="O6688" t="s">
        <v>46</v>
      </c>
      <c r="P6688" t="s">
        <v>46</v>
      </c>
      <c r="Y6688" t="s">
        <v>22429</v>
      </c>
    </row>
    <row r="6689" spans="1:25">
      <c r="A6689" t="s">
        <v>22430</v>
      </c>
      <c r="B6689" t="s">
        <v>22431</v>
      </c>
      <c r="D6689" t="s">
        <v>40</v>
      </c>
      <c r="E6689" t="s">
        <v>41</v>
      </c>
      <c r="J6689" t="s">
        <v>139</v>
      </c>
      <c r="K6689" t="s">
        <v>140</v>
      </c>
      <c r="L6689">
        <v>11</v>
      </c>
      <c r="M6689" t="s">
        <v>22432</v>
      </c>
      <c r="N6689" t="s">
        <v>1446</v>
      </c>
      <c r="O6689" t="s">
        <v>46</v>
      </c>
      <c r="P6689" t="s">
        <v>46</v>
      </c>
      <c r="Y6689" t="s">
        <v>22433</v>
      </c>
    </row>
    <row r="6690" spans="1:25">
      <c r="A6690" t="s">
        <v>22434</v>
      </c>
      <c r="B6690" t="s">
        <v>22435</v>
      </c>
      <c r="D6690" t="s">
        <v>40</v>
      </c>
      <c r="E6690" t="s">
        <v>41</v>
      </c>
      <c r="J6690" t="s">
        <v>12440</v>
      </c>
      <c r="K6690" t="s">
        <v>12441</v>
      </c>
      <c r="L6690">
        <v>12</v>
      </c>
      <c r="M6690" t="s">
        <v>22436</v>
      </c>
      <c r="N6690" t="s">
        <v>924</v>
      </c>
      <c r="O6690" t="s">
        <v>46</v>
      </c>
      <c r="P6690" t="s">
        <v>46</v>
      </c>
      <c r="Y6690" t="s">
        <v>22437</v>
      </c>
    </row>
    <row r="6691" spans="1:25">
      <c r="A6691" t="s">
        <v>22438</v>
      </c>
      <c r="B6691" t="s">
        <v>22439</v>
      </c>
      <c r="D6691" t="s">
        <v>40</v>
      </c>
      <c r="E6691" t="s">
        <v>41</v>
      </c>
      <c r="J6691" t="s">
        <v>12440</v>
      </c>
      <c r="K6691" t="s">
        <v>12441</v>
      </c>
      <c r="L6691">
        <v>11</v>
      </c>
      <c r="M6691" t="s">
        <v>22440</v>
      </c>
      <c r="N6691" t="s">
        <v>64</v>
      </c>
      <c r="O6691" t="s">
        <v>46</v>
      </c>
      <c r="P6691" t="s">
        <v>46</v>
      </c>
      <c r="Y6691" t="s">
        <v>22441</v>
      </c>
    </row>
    <row r="6692" spans="1:25">
      <c r="A6692" t="s">
        <v>22442</v>
      </c>
      <c r="B6692" t="s">
        <v>22443</v>
      </c>
      <c r="D6692" t="s">
        <v>40</v>
      </c>
      <c r="E6692" t="s">
        <v>41</v>
      </c>
      <c r="J6692" t="s">
        <v>1142</v>
      </c>
      <c r="K6692" t="s">
        <v>1143</v>
      </c>
      <c r="L6692">
        <v>10</v>
      </c>
      <c r="M6692" t="s">
        <v>22440</v>
      </c>
      <c r="N6692" t="s">
        <v>1550</v>
      </c>
      <c r="O6692" t="s">
        <v>46</v>
      </c>
      <c r="P6692" t="s">
        <v>46</v>
      </c>
      <c r="Y6692" t="s">
        <v>22444</v>
      </c>
    </row>
    <row r="6693" spans="1:25">
      <c r="A6693" t="s">
        <v>22445</v>
      </c>
      <c r="B6693" t="s">
        <v>22446</v>
      </c>
      <c r="D6693" t="s">
        <v>40</v>
      </c>
      <c r="E6693" t="s">
        <v>41</v>
      </c>
      <c r="J6693" t="s">
        <v>22447</v>
      </c>
      <c r="K6693" t="s">
        <v>22448</v>
      </c>
      <c r="L6693">
        <v>10</v>
      </c>
      <c r="M6693" t="s">
        <v>22440</v>
      </c>
      <c r="N6693" t="s">
        <v>173</v>
      </c>
      <c r="O6693" t="s">
        <v>46</v>
      </c>
      <c r="P6693" t="s">
        <v>46</v>
      </c>
      <c r="Y6693" t="s">
        <v>22449</v>
      </c>
    </row>
    <row r="6694" spans="1:25">
      <c r="A6694" t="s">
        <v>22450</v>
      </c>
      <c r="B6694" t="s">
        <v>22451</v>
      </c>
      <c r="D6694" t="s">
        <v>40</v>
      </c>
      <c r="E6694" t="s">
        <v>41</v>
      </c>
      <c r="J6694" t="s">
        <v>248</v>
      </c>
      <c r="K6694" t="s">
        <v>249</v>
      </c>
      <c r="L6694">
        <v>10</v>
      </c>
      <c r="M6694" t="s">
        <v>22452</v>
      </c>
      <c r="N6694" t="s">
        <v>142</v>
      </c>
      <c r="O6694" t="s">
        <v>46</v>
      </c>
      <c r="P6694" t="s">
        <v>46</v>
      </c>
      <c r="Y6694" t="s">
        <v>22453</v>
      </c>
    </row>
    <row r="6695" spans="1:25">
      <c r="A6695" t="s">
        <v>22454</v>
      </c>
      <c r="B6695" t="s">
        <v>22455</v>
      </c>
      <c r="D6695" t="s">
        <v>40</v>
      </c>
      <c r="E6695" t="s">
        <v>41</v>
      </c>
      <c r="J6695" t="s">
        <v>248</v>
      </c>
      <c r="K6695" t="s">
        <v>249</v>
      </c>
      <c r="L6695">
        <v>10</v>
      </c>
      <c r="M6695" t="s">
        <v>22456</v>
      </c>
      <c r="N6695" t="s">
        <v>1478</v>
      </c>
      <c r="O6695" t="s">
        <v>46</v>
      </c>
      <c r="P6695" t="s">
        <v>46</v>
      </c>
      <c r="Y6695" t="s">
        <v>22457</v>
      </c>
    </row>
    <row r="6696" spans="1:25">
      <c r="A6696" t="s">
        <v>22458</v>
      </c>
      <c r="B6696" t="s">
        <v>22459</v>
      </c>
      <c r="D6696" t="s">
        <v>40</v>
      </c>
      <c r="E6696" t="s">
        <v>41</v>
      </c>
      <c r="J6696" t="s">
        <v>248</v>
      </c>
      <c r="K6696" t="s">
        <v>249</v>
      </c>
      <c r="L6696">
        <v>10</v>
      </c>
      <c r="M6696" t="s">
        <v>22460</v>
      </c>
      <c r="N6696" t="s">
        <v>741</v>
      </c>
      <c r="O6696" t="s">
        <v>46</v>
      </c>
      <c r="P6696" t="s">
        <v>46</v>
      </c>
      <c r="Y6696" t="s">
        <v>22461</v>
      </c>
    </row>
    <row r="6697" spans="1:25">
      <c r="A6697" t="s">
        <v>22462</v>
      </c>
      <c r="B6697" t="s">
        <v>22463</v>
      </c>
      <c r="D6697" t="s">
        <v>40</v>
      </c>
      <c r="E6697" t="s">
        <v>41</v>
      </c>
      <c r="J6697" t="s">
        <v>139</v>
      </c>
      <c r="K6697" t="s">
        <v>140</v>
      </c>
      <c r="L6697">
        <v>11</v>
      </c>
      <c r="M6697" t="s">
        <v>22464</v>
      </c>
      <c r="N6697" t="s">
        <v>22465</v>
      </c>
      <c r="O6697" t="s">
        <v>46</v>
      </c>
      <c r="P6697" t="s">
        <v>46</v>
      </c>
      <c r="Y6697" t="s">
        <v>22466</v>
      </c>
    </row>
    <row r="6698" spans="1:25">
      <c r="A6698" t="s">
        <v>22467</v>
      </c>
      <c r="B6698" t="s">
        <v>22468</v>
      </c>
      <c r="D6698" t="s">
        <v>40</v>
      </c>
      <c r="E6698" t="s">
        <v>41</v>
      </c>
      <c r="J6698" t="s">
        <v>139</v>
      </c>
      <c r="K6698" t="s">
        <v>140</v>
      </c>
      <c r="L6698">
        <v>10</v>
      </c>
      <c r="M6698" t="s">
        <v>22469</v>
      </c>
      <c r="N6698" t="s">
        <v>305</v>
      </c>
      <c r="O6698" t="s">
        <v>46</v>
      </c>
      <c r="P6698" t="s">
        <v>46</v>
      </c>
      <c r="Y6698" t="s">
        <v>22470</v>
      </c>
    </row>
    <row r="6699" spans="1:25">
      <c r="A6699" t="s">
        <v>22471</v>
      </c>
      <c r="B6699" t="s">
        <v>22472</v>
      </c>
      <c r="D6699" t="s">
        <v>40</v>
      </c>
      <c r="E6699" t="s">
        <v>41</v>
      </c>
      <c r="J6699" t="s">
        <v>139</v>
      </c>
      <c r="K6699" t="s">
        <v>140</v>
      </c>
      <c r="L6699">
        <v>10</v>
      </c>
      <c r="M6699" t="s">
        <v>22473</v>
      </c>
      <c r="N6699" t="s">
        <v>1550</v>
      </c>
      <c r="O6699" t="s">
        <v>46</v>
      </c>
      <c r="P6699" t="s">
        <v>46</v>
      </c>
      <c r="Y6699" t="s">
        <v>22474</v>
      </c>
    </row>
    <row r="6700" spans="1:25">
      <c r="A6700" t="s">
        <v>22475</v>
      </c>
      <c r="B6700" t="s">
        <v>22476</v>
      </c>
      <c r="D6700" t="s">
        <v>40</v>
      </c>
      <c r="E6700" t="s">
        <v>41</v>
      </c>
      <c r="J6700" t="s">
        <v>139</v>
      </c>
      <c r="K6700" t="s">
        <v>140</v>
      </c>
      <c r="L6700">
        <v>10</v>
      </c>
      <c r="M6700" t="s">
        <v>22477</v>
      </c>
      <c r="N6700" t="s">
        <v>756</v>
      </c>
      <c r="O6700" t="s">
        <v>46</v>
      </c>
      <c r="P6700" t="s">
        <v>46</v>
      </c>
      <c r="Y6700" t="s">
        <v>22478</v>
      </c>
    </row>
    <row r="6701" spans="1:25">
      <c r="A6701" t="s">
        <v>22479</v>
      </c>
      <c r="B6701" t="s">
        <v>22480</v>
      </c>
      <c r="D6701" t="s">
        <v>40</v>
      </c>
      <c r="E6701" t="s">
        <v>41</v>
      </c>
      <c r="J6701" t="s">
        <v>248</v>
      </c>
      <c r="K6701" t="s">
        <v>249</v>
      </c>
      <c r="L6701">
        <v>10</v>
      </c>
      <c r="M6701" t="s">
        <v>22481</v>
      </c>
      <c r="N6701" t="s">
        <v>1478</v>
      </c>
      <c r="O6701" t="s">
        <v>46</v>
      </c>
      <c r="P6701" t="s">
        <v>46</v>
      </c>
      <c r="Y6701" t="s">
        <v>22482</v>
      </c>
    </row>
    <row r="6702" spans="1:25">
      <c r="A6702" t="s">
        <v>22483</v>
      </c>
      <c r="B6702" t="s">
        <v>22484</v>
      </c>
      <c r="D6702" t="s">
        <v>40</v>
      </c>
      <c r="E6702" t="s">
        <v>41</v>
      </c>
      <c r="J6702" t="s">
        <v>248</v>
      </c>
      <c r="K6702" t="s">
        <v>249</v>
      </c>
      <c r="L6702">
        <v>10</v>
      </c>
      <c r="M6702" t="s">
        <v>22485</v>
      </c>
      <c r="N6702" t="s">
        <v>53</v>
      </c>
      <c r="O6702" t="s">
        <v>46</v>
      </c>
      <c r="P6702" t="s">
        <v>46</v>
      </c>
      <c r="Y6702" t="s">
        <v>22486</v>
      </c>
    </row>
    <row r="6703" spans="1:25">
      <c r="A6703" t="s">
        <v>22487</v>
      </c>
      <c r="B6703" t="s">
        <v>22488</v>
      </c>
      <c r="D6703" t="s">
        <v>40</v>
      </c>
      <c r="E6703" t="s">
        <v>41</v>
      </c>
      <c r="J6703" t="s">
        <v>248</v>
      </c>
      <c r="K6703" t="s">
        <v>249</v>
      </c>
      <c r="L6703">
        <v>10</v>
      </c>
      <c r="M6703" t="s">
        <v>22489</v>
      </c>
      <c r="N6703" t="s">
        <v>1258</v>
      </c>
      <c r="O6703" t="s">
        <v>46</v>
      </c>
      <c r="P6703" t="s">
        <v>46</v>
      </c>
      <c r="Y6703" t="s">
        <v>22490</v>
      </c>
    </row>
    <row r="6704" spans="1:25">
      <c r="A6704" t="s">
        <v>22491</v>
      </c>
      <c r="B6704" t="s">
        <v>22492</v>
      </c>
      <c r="D6704" t="s">
        <v>40</v>
      </c>
      <c r="E6704" t="s">
        <v>41</v>
      </c>
      <c r="J6704" t="s">
        <v>248</v>
      </c>
      <c r="K6704" t="s">
        <v>249</v>
      </c>
      <c r="L6704">
        <v>10</v>
      </c>
      <c r="M6704" t="s">
        <v>22493</v>
      </c>
      <c r="N6704" t="s">
        <v>1189</v>
      </c>
      <c r="O6704" t="s">
        <v>46</v>
      </c>
      <c r="P6704" t="s">
        <v>46</v>
      </c>
      <c r="Y6704" t="s">
        <v>22494</v>
      </c>
    </row>
    <row r="6705" spans="1:25">
      <c r="A6705" t="s">
        <v>22495</v>
      </c>
      <c r="B6705" t="s">
        <v>22496</v>
      </c>
      <c r="D6705" t="s">
        <v>40</v>
      </c>
      <c r="E6705" t="s">
        <v>41</v>
      </c>
      <c r="J6705" t="s">
        <v>139</v>
      </c>
      <c r="K6705" t="s">
        <v>140</v>
      </c>
      <c r="L6705">
        <v>10</v>
      </c>
      <c r="M6705" t="s">
        <v>22497</v>
      </c>
      <c r="N6705" t="s">
        <v>752</v>
      </c>
      <c r="O6705" t="s">
        <v>46</v>
      </c>
      <c r="P6705" t="s">
        <v>46</v>
      </c>
      <c r="Y6705" t="s">
        <v>22498</v>
      </c>
    </row>
    <row r="6706" spans="1:25">
      <c r="A6706" t="s">
        <v>22499</v>
      </c>
      <c r="B6706" t="s">
        <v>22500</v>
      </c>
      <c r="D6706" t="s">
        <v>40</v>
      </c>
      <c r="E6706" t="s">
        <v>41</v>
      </c>
      <c r="J6706" t="s">
        <v>6255</v>
      </c>
      <c r="K6706" t="s">
        <v>6256</v>
      </c>
      <c r="L6706">
        <v>10</v>
      </c>
      <c r="M6706" t="s">
        <v>22501</v>
      </c>
      <c r="N6706" t="s">
        <v>1024</v>
      </c>
      <c r="O6706" t="s">
        <v>46</v>
      </c>
      <c r="P6706" t="s">
        <v>46</v>
      </c>
      <c r="Y6706" t="s">
        <v>22502</v>
      </c>
    </row>
    <row r="6707" spans="1:25">
      <c r="A6707" t="s">
        <v>22503</v>
      </c>
      <c r="B6707" t="s">
        <v>22504</v>
      </c>
      <c r="D6707" t="s">
        <v>40</v>
      </c>
      <c r="E6707" t="s">
        <v>41</v>
      </c>
      <c r="J6707" t="s">
        <v>1142</v>
      </c>
      <c r="K6707" t="s">
        <v>1143</v>
      </c>
      <c r="L6707">
        <v>10</v>
      </c>
      <c r="M6707" t="s">
        <v>22505</v>
      </c>
      <c r="N6707" t="s">
        <v>22465</v>
      </c>
      <c r="O6707" t="s">
        <v>46</v>
      </c>
      <c r="P6707" t="s">
        <v>46</v>
      </c>
      <c r="Y6707" t="s">
        <v>22506</v>
      </c>
    </row>
    <row r="6708" spans="1:25">
      <c r="A6708" t="s">
        <v>22507</v>
      </c>
      <c r="B6708" t="s">
        <v>22508</v>
      </c>
      <c r="D6708" t="s">
        <v>40</v>
      </c>
      <c r="E6708" t="s">
        <v>41</v>
      </c>
      <c r="J6708" t="s">
        <v>14558</v>
      </c>
      <c r="K6708" t="s">
        <v>14559</v>
      </c>
      <c r="L6708">
        <v>10</v>
      </c>
      <c r="M6708" t="s">
        <v>22505</v>
      </c>
      <c r="N6708" t="s">
        <v>1392</v>
      </c>
      <c r="O6708" t="s">
        <v>46</v>
      </c>
      <c r="P6708" t="s">
        <v>46</v>
      </c>
      <c r="Y6708" t="s">
        <v>22509</v>
      </c>
    </row>
    <row r="6709" spans="1:25">
      <c r="A6709" t="s">
        <v>22510</v>
      </c>
      <c r="B6709" t="s">
        <v>22511</v>
      </c>
      <c r="D6709" t="s">
        <v>40</v>
      </c>
      <c r="E6709" t="s">
        <v>41</v>
      </c>
      <c r="J6709" t="s">
        <v>248</v>
      </c>
      <c r="K6709" t="s">
        <v>249</v>
      </c>
      <c r="L6709">
        <v>10</v>
      </c>
      <c r="M6709" t="s">
        <v>22512</v>
      </c>
      <c r="N6709" t="s">
        <v>1369</v>
      </c>
      <c r="O6709" t="s">
        <v>46</v>
      </c>
      <c r="P6709" t="s">
        <v>46</v>
      </c>
      <c r="Y6709" t="s">
        <v>22513</v>
      </c>
    </row>
    <row r="6710" spans="1:25">
      <c r="A6710" t="s">
        <v>22514</v>
      </c>
      <c r="B6710" t="s">
        <v>22515</v>
      </c>
      <c r="D6710" t="s">
        <v>40</v>
      </c>
      <c r="E6710" t="s">
        <v>41</v>
      </c>
      <c r="J6710" t="s">
        <v>139</v>
      </c>
      <c r="K6710" t="s">
        <v>140</v>
      </c>
      <c r="L6710">
        <v>10</v>
      </c>
      <c r="M6710" t="s">
        <v>22516</v>
      </c>
      <c r="N6710" t="s">
        <v>924</v>
      </c>
      <c r="O6710" t="s">
        <v>46</v>
      </c>
      <c r="P6710" t="s">
        <v>46</v>
      </c>
      <c r="Y6710" t="s">
        <v>22517</v>
      </c>
    </row>
    <row r="6711" spans="1:25">
      <c r="A6711" t="s">
        <v>22518</v>
      </c>
      <c r="B6711" t="s">
        <v>22519</v>
      </c>
      <c r="D6711" t="s">
        <v>40</v>
      </c>
      <c r="E6711" t="s">
        <v>41</v>
      </c>
      <c r="J6711" t="s">
        <v>1554</v>
      </c>
      <c r="K6711" t="s">
        <v>1555</v>
      </c>
      <c r="L6711">
        <v>10</v>
      </c>
      <c r="M6711" t="s">
        <v>22520</v>
      </c>
      <c r="N6711" t="s">
        <v>296</v>
      </c>
      <c r="O6711" t="s">
        <v>46</v>
      </c>
      <c r="P6711" t="s">
        <v>46</v>
      </c>
      <c r="Y6711" t="s">
        <v>22521</v>
      </c>
    </row>
    <row r="6712" spans="1:25">
      <c r="A6712" t="s">
        <v>22522</v>
      </c>
      <c r="B6712" t="s">
        <v>22523</v>
      </c>
      <c r="D6712" t="s">
        <v>40</v>
      </c>
      <c r="E6712" t="s">
        <v>41</v>
      </c>
      <c r="J6712" t="s">
        <v>248</v>
      </c>
      <c r="K6712" t="s">
        <v>249</v>
      </c>
      <c r="L6712">
        <v>10</v>
      </c>
      <c r="M6712" t="s">
        <v>22524</v>
      </c>
      <c r="N6712" t="s">
        <v>310</v>
      </c>
      <c r="O6712" t="s">
        <v>46</v>
      </c>
      <c r="P6712" t="s">
        <v>46</v>
      </c>
      <c r="Y6712" t="s">
        <v>22525</v>
      </c>
    </row>
    <row r="6713" spans="1:25">
      <c r="A6713" t="s">
        <v>22526</v>
      </c>
      <c r="B6713" t="s">
        <v>22527</v>
      </c>
      <c r="D6713" t="s">
        <v>40</v>
      </c>
      <c r="E6713" t="s">
        <v>41</v>
      </c>
      <c r="J6713" t="s">
        <v>1142</v>
      </c>
      <c r="K6713" t="s">
        <v>1143</v>
      </c>
      <c r="L6713">
        <v>10</v>
      </c>
      <c r="M6713" t="s">
        <v>22528</v>
      </c>
      <c r="N6713" t="s">
        <v>142</v>
      </c>
      <c r="O6713" t="s">
        <v>46</v>
      </c>
      <c r="P6713" t="s">
        <v>46</v>
      </c>
      <c r="Y6713" t="s">
        <v>22529</v>
      </c>
    </row>
    <row r="6714" spans="1:25">
      <c r="A6714" t="s">
        <v>22530</v>
      </c>
      <c r="B6714" t="s">
        <v>22531</v>
      </c>
      <c r="D6714" t="s">
        <v>40</v>
      </c>
      <c r="E6714" t="s">
        <v>41</v>
      </c>
      <c r="J6714" t="s">
        <v>248</v>
      </c>
      <c r="K6714" t="s">
        <v>249</v>
      </c>
      <c r="L6714">
        <v>10</v>
      </c>
      <c r="M6714" t="s">
        <v>22532</v>
      </c>
      <c r="N6714" t="s">
        <v>1369</v>
      </c>
      <c r="O6714" t="s">
        <v>46</v>
      </c>
      <c r="P6714" t="s">
        <v>46</v>
      </c>
      <c r="Y6714" t="s">
        <v>22533</v>
      </c>
    </row>
    <row r="6715" spans="1:25">
      <c r="A6715" t="s">
        <v>22534</v>
      </c>
      <c r="B6715" t="s">
        <v>22535</v>
      </c>
      <c r="D6715" t="s">
        <v>40</v>
      </c>
      <c r="E6715" t="s">
        <v>41</v>
      </c>
      <c r="J6715" t="s">
        <v>2619</v>
      </c>
      <c r="K6715" t="s">
        <v>140</v>
      </c>
      <c r="L6715">
        <v>10</v>
      </c>
      <c r="M6715" t="s">
        <v>22536</v>
      </c>
      <c r="N6715" t="s">
        <v>2621</v>
      </c>
      <c r="O6715" t="s">
        <v>46</v>
      </c>
      <c r="P6715" t="s">
        <v>46</v>
      </c>
      <c r="Y6715" t="s">
        <v>22537</v>
      </c>
    </row>
    <row r="6716" spans="1:25">
      <c r="A6716" t="s">
        <v>22538</v>
      </c>
      <c r="B6716" t="s">
        <v>22539</v>
      </c>
      <c r="D6716" t="s">
        <v>40</v>
      </c>
      <c r="E6716" t="s">
        <v>41</v>
      </c>
      <c r="J6716" t="s">
        <v>139</v>
      </c>
      <c r="K6716" t="s">
        <v>140</v>
      </c>
      <c r="L6716">
        <v>10</v>
      </c>
      <c r="M6716" t="s">
        <v>22540</v>
      </c>
      <c r="N6716" t="s">
        <v>1276</v>
      </c>
      <c r="O6716" t="s">
        <v>46</v>
      </c>
      <c r="P6716" t="s">
        <v>46</v>
      </c>
      <c r="Y6716" t="s">
        <v>22541</v>
      </c>
    </row>
    <row r="6717" spans="1:25">
      <c r="A6717" t="s">
        <v>22542</v>
      </c>
      <c r="B6717" t="s">
        <v>22543</v>
      </c>
      <c r="D6717" t="s">
        <v>40</v>
      </c>
      <c r="E6717" t="s">
        <v>41</v>
      </c>
      <c r="J6717" t="s">
        <v>248</v>
      </c>
      <c r="K6717" t="s">
        <v>249</v>
      </c>
      <c r="L6717">
        <v>10</v>
      </c>
      <c r="M6717" t="s">
        <v>22544</v>
      </c>
      <c r="N6717" t="s">
        <v>509</v>
      </c>
      <c r="O6717" t="s">
        <v>46</v>
      </c>
      <c r="P6717" t="s">
        <v>46</v>
      </c>
      <c r="Y6717" t="s">
        <v>22545</v>
      </c>
    </row>
    <row r="6718" spans="1:25">
      <c r="A6718" t="s">
        <v>22546</v>
      </c>
      <c r="B6718" t="s">
        <v>22547</v>
      </c>
      <c r="D6718" t="s">
        <v>40</v>
      </c>
      <c r="E6718" t="s">
        <v>41</v>
      </c>
      <c r="J6718" t="s">
        <v>139</v>
      </c>
      <c r="K6718" t="s">
        <v>140</v>
      </c>
      <c r="L6718">
        <v>9</v>
      </c>
      <c r="M6718" t="s">
        <v>22548</v>
      </c>
      <c r="N6718" t="s">
        <v>257</v>
      </c>
      <c r="O6718" t="s">
        <v>46</v>
      </c>
      <c r="P6718" t="s">
        <v>46</v>
      </c>
      <c r="Y6718" t="s">
        <v>22549</v>
      </c>
    </row>
    <row r="6719" spans="1:25">
      <c r="A6719" t="s">
        <v>22550</v>
      </c>
      <c r="B6719" t="s">
        <v>22551</v>
      </c>
      <c r="D6719" t="s">
        <v>40</v>
      </c>
      <c r="E6719" t="s">
        <v>41</v>
      </c>
      <c r="J6719" t="s">
        <v>139</v>
      </c>
      <c r="K6719" t="s">
        <v>140</v>
      </c>
      <c r="L6719">
        <v>9</v>
      </c>
      <c r="M6719" t="s">
        <v>22552</v>
      </c>
      <c r="N6719" t="s">
        <v>305</v>
      </c>
      <c r="O6719" t="s">
        <v>46</v>
      </c>
      <c r="P6719" t="s">
        <v>46</v>
      </c>
      <c r="Y6719" t="s">
        <v>22553</v>
      </c>
    </row>
    <row r="6720" spans="1:25">
      <c r="A6720" t="s">
        <v>22554</v>
      </c>
      <c r="B6720" t="s">
        <v>22555</v>
      </c>
      <c r="D6720" t="s">
        <v>40</v>
      </c>
      <c r="E6720" t="s">
        <v>41</v>
      </c>
      <c r="J6720" t="s">
        <v>1142</v>
      </c>
      <c r="K6720" t="s">
        <v>1143</v>
      </c>
      <c r="L6720">
        <v>9</v>
      </c>
      <c r="M6720" t="s">
        <v>22556</v>
      </c>
      <c r="N6720" t="s">
        <v>142</v>
      </c>
      <c r="O6720" t="s">
        <v>46</v>
      </c>
      <c r="P6720" t="s">
        <v>46</v>
      </c>
      <c r="Y6720" t="s">
        <v>22557</v>
      </c>
    </row>
    <row r="6721" spans="1:25">
      <c r="A6721" t="s">
        <v>22558</v>
      </c>
      <c r="B6721" t="s">
        <v>22559</v>
      </c>
      <c r="D6721" t="s">
        <v>40</v>
      </c>
      <c r="E6721" t="s">
        <v>41</v>
      </c>
      <c r="J6721" t="s">
        <v>1142</v>
      </c>
      <c r="K6721" t="s">
        <v>1143</v>
      </c>
      <c r="L6721">
        <v>10</v>
      </c>
      <c r="M6721" t="s">
        <v>22560</v>
      </c>
      <c r="N6721" t="s">
        <v>53</v>
      </c>
      <c r="O6721" t="s">
        <v>46</v>
      </c>
      <c r="P6721" t="s">
        <v>46</v>
      </c>
      <c r="Y6721" t="s">
        <v>22561</v>
      </c>
    </row>
    <row r="6722" spans="1:25">
      <c r="A6722" t="s">
        <v>22562</v>
      </c>
      <c r="B6722" t="s">
        <v>22563</v>
      </c>
      <c r="D6722" t="s">
        <v>40</v>
      </c>
      <c r="E6722" t="s">
        <v>41</v>
      </c>
      <c r="J6722" t="s">
        <v>921</v>
      </c>
      <c r="K6722" t="s">
        <v>922</v>
      </c>
      <c r="L6722">
        <v>10</v>
      </c>
      <c r="M6722" t="s">
        <v>22564</v>
      </c>
      <c r="N6722" t="s">
        <v>210</v>
      </c>
      <c r="O6722" t="s">
        <v>46</v>
      </c>
      <c r="P6722" t="s">
        <v>46</v>
      </c>
      <c r="Y6722" t="s">
        <v>22565</v>
      </c>
    </row>
    <row r="6723" spans="1:25">
      <c r="A6723" t="s">
        <v>22566</v>
      </c>
      <c r="B6723" t="s">
        <v>22567</v>
      </c>
      <c r="D6723" t="s">
        <v>40</v>
      </c>
      <c r="E6723" t="s">
        <v>41</v>
      </c>
      <c r="J6723" t="s">
        <v>248</v>
      </c>
      <c r="K6723" t="s">
        <v>249</v>
      </c>
      <c r="L6723">
        <v>9</v>
      </c>
      <c r="M6723" t="s">
        <v>22568</v>
      </c>
      <c r="N6723" t="s">
        <v>58</v>
      </c>
      <c r="O6723" t="s">
        <v>46</v>
      </c>
      <c r="P6723" t="s">
        <v>46</v>
      </c>
      <c r="Y6723" t="s">
        <v>22569</v>
      </c>
    </row>
    <row r="6724" spans="1:25">
      <c r="A6724" t="s">
        <v>22570</v>
      </c>
      <c r="B6724" t="s">
        <v>22571</v>
      </c>
      <c r="D6724" t="s">
        <v>40</v>
      </c>
      <c r="E6724" t="s">
        <v>41</v>
      </c>
      <c r="J6724" t="s">
        <v>248</v>
      </c>
      <c r="K6724" t="s">
        <v>249</v>
      </c>
      <c r="L6724">
        <v>10</v>
      </c>
      <c r="M6724" t="s">
        <v>22572</v>
      </c>
      <c r="N6724" t="s">
        <v>1369</v>
      </c>
      <c r="O6724" t="s">
        <v>46</v>
      </c>
      <c r="P6724" t="s">
        <v>46</v>
      </c>
      <c r="Y6724" t="s">
        <v>22573</v>
      </c>
    </row>
    <row r="6725" spans="1:25">
      <c r="A6725" t="s">
        <v>22574</v>
      </c>
      <c r="B6725" t="s">
        <v>22575</v>
      </c>
      <c r="D6725" t="s">
        <v>40</v>
      </c>
      <c r="E6725" t="s">
        <v>41</v>
      </c>
      <c r="J6725" t="s">
        <v>248</v>
      </c>
      <c r="K6725" t="s">
        <v>249</v>
      </c>
      <c r="L6725">
        <v>10</v>
      </c>
      <c r="M6725" t="s">
        <v>22576</v>
      </c>
      <c r="N6725" t="s">
        <v>291</v>
      </c>
      <c r="O6725" t="s">
        <v>46</v>
      </c>
      <c r="P6725" t="s">
        <v>46</v>
      </c>
      <c r="Y6725" t="s">
        <v>22577</v>
      </c>
    </row>
    <row r="6726" spans="1:25">
      <c r="A6726" t="s">
        <v>22578</v>
      </c>
      <c r="B6726" t="s">
        <v>22579</v>
      </c>
      <c r="D6726" t="s">
        <v>40</v>
      </c>
      <c r="E6726" t="s">
        <v>41</v>
      </c>
      <c r="J6726" t="s">
        <v>1142</v>
      </c>
      <c r="K6726" t="s">
        <v>1143</v>
      </c>
      <c r="L6726">
        <v>9</v>
      </c>
      <c r="M6726" t="s">
        <v>22580</v>
      </c>
      <c r="N6726" t="s">
        <v>1258</v>
      </c>
      <c r="O6726" t="s">
        <v>46</v>
      </c>
      <c r="P6726" t="s">
        <v>46</v>
      </c>
      <c r="Y6726" t="s">
        <v>22581</v>
      </c>
    </row>
    <row r="6727" spans="1:25">
      <c r="A6727" t="s">
        <v>22582</v>
      </c>
      <c r="B6727" t="s">
        <v>22583</v>
      </c>
      <c r="D6727" t="s">
        <v>40</v>
      </c>
      <c r="E6727" t="s">
        <v>41</v>
      </c>
      <c r="J6727" t="s">
        <v>1554</v>
      </c>
      <c r="K6727" t="s">
        <v>1555</v>
      </c>
      <c r="L6727">
        <v>9</v>
      </c>
      <c r="M6727" t="s">
        <v>22584</v>
      </c>
      <c r="N6727" t="s">
        <v>1189</v>
      </c>
      <c r="O6727" t="s">
        <v>46</v>
      </c>
      <c r="P6727" t="s">
        <v>46</v>
      </c>
      <c r="Y6727" t="s">
        <v>22585</v>
      </c>
    </row>
    <row r="6728" spans="1:25">
      <c r="A6728" t="s">
        <v>22586</v>
      </c>
      <c r="B6728" t="s">
        <v>22587</v>
      </c>
      <c r="D6728" t="s">
        <v>40</v>
      </c>
      <c r="E6728" t="s">
        <v>41</v>
      </c>
      <c r="J6728" t="s">
        <v>139</v>
      </c>
      <c r="K6728" t="s">
        <v>140</v>
      </c>
      <c r="L6728">
        <v>10</v>
      </c>
      <c r="M6728" t="s">
        <v>22588</v>
      </c>
      <c r="N6728" t="s">
        <v>1550</v>
      </c>
      <c r="O6728" t="s">
        <v>46</v>
      </c>
      <c r="P6728" t="s">
        <v>46</v>
      </c>
      <c r="Y6728" t="s">
        <v>22589</v>
      </c>
    </row>
    <row r="6729" spans="1:25">
      <c r="A6729" t="s">
        <v>22590</v>
      </c>
      <c r="B6729" t="s">
        <v>22591</v>
      </c>
      <c r="D6729" t="s">
        <v>40</v>
      </c>
      <c r="E6729" t="s">
        <v>41</v>
      </c>
      <c r="J6729" t="s">
        <v>2619</v>
      </c>
      <c r="K6729" t="s">
        <v>140</v>
      </c>
      <c r="L6729">
        <v>10</v>
      </c>
      <c r="M6729" t="s">
        <v>22592</v>
      </c>
      <c r="N6729" t="s">
        <v>2621</v>
      </c>
      <c r="O6729" t="s">
        <v>46</v>
      </c>
      <c r="P6729" t="s">
        <v>46</v>
      </c>
      <c r="Y6729" t="s">
        <v>22593</v>
      </c>
    </row>
    <row r="6730" spans="1:25">
      <c r="A6730" t="s">
        <v>22594</v>
      </c>
      <c r="B6730" t="s">
        <v>22595</v>
      </c>
      <c r="D6730" t="s">
        <v>40</v>
      </c>
      <c r="E6730" t="s">
        <v>41</v>
      </c>
      <c r="J6730" t="s">
        <v>139</v>
      </c>
      <c r="K6730" t="s">
        <v>140</v>
      </c>
      <c r="L6730">
        <v>9</v>
      </c>
      <c r="M6730" t="s">
        <v>22596</v>
      </c>
      <c r="N6730" t="s">
        <v>1334</v>
      </c>
      <c r="O6730" t="s">
        <v>46</v>
      </c>
      <c r="P6730" t="s">
        <v>46</v>
      </c>
      <c r="Y6730" t="s">
        <v>22597</v>
      </c>
    </row>
    <row r="6731" spans="1:25">
      <c r="A6731" t="s">
        <v>22598</v>
      </c>
      <c r="B6731" t="s">
        <v>22599</v>
      </c>
      <c r="D6731" t="s">
        <v>40</v>
      </c>
      <c r="E6731" t="s">
        <v>41</v>
      </c>
      <c r="J6731" t="s">
        <v>248</v>
      </c>
      <c r="K6731" t="s">
        <v>249</v>
      </c>
      <c r="L6731">
        <v>9</v>
      </c>
      <c r="M6731" t="s">
        <v>22600</v>
      </c>
      <c r="N6731" t="s">
        <v>257</v>
      </c>
      <c r="O6731" t="s">
        <v>46</v>
      </c>
      <c r="P6731" t="s">
        <v>46</v>
      </c>
      <c r="Y6731" t="s">
        <v>22601</v>
      </c>
    </row>
    <row r="6732" spans="1:25">
      <c r="A6732" t="s">
        <v>22602</v>
      </c>
      <c r="B6732" t="s">
        <v>22603</v>
      </c>
      <c r="D6732" t="s">
        <v>40</v>
      </c>
      <c r="E6732" t="s">
        <v>41</v>
      </c>
      <c r="J6732" t="s">
        <v>139</v>
      </c>
      <c r="K6732" t="s">
        <v>140</v>
      </c>
      <c r="L6732">
        <v>9</v>
      </c>
      <c r="M6732" t="s">
        <v>22604</v>
      </c>
      <c r="N6732" t="s">
        <v>741</v>
      </c>
      <c r="O6732" t="s">
        <v>46</v>
      </c>
      <c r="P6732" t="s">
        <v>46</v>
      </c>
      <c r="Y6732" t="s">
        <v>22605</v>
      </c>
    </row>
    <row r="6733" spans="1:25">
      <c r="A6733" t="s">
        <v>22606</v>
      </c>
      <c r="B6733" t="s">
        <v>22607</v>
      </c>
      <c r="D6733" t="s">
        <v>40</v>
      </c>
      <c r="E6733" t="s">
        <v>41</v>
      </c>
      <c r="J6733" t="s">
        <v>248</v>
      </c>
      <c r="K6733" t="s">
        <v>249</v>
      </c>
      <c r="L6733">
        <v>9</v>
      </c>
      <c r="M6733" t="s">
        <v>22608</v>
      </c>
      <c r="N6733" t="s">
        <v>3013</v>
      </c>
      <c r="O6733" t="s">
        <v>46</v>
      </c>
      <c r="P6733" t="s">
        <v>46</v>
      </c>
      <c r="Y6733" t="s">
        <v>22609</v>
      </c>
    </row>
    <row r="6734" spans="1:25">
      <c r="A6734" t="s">
        <v>22610</v>
      </c>
      <c r="B6734" t="s">
        <v>22611</v>
      </c>
      <c r="D6734" t="s">
        <v>40</v>
      </c>
      <c r="E6734" t="s">
        <v>41</v>
      </c>
      <c r="J6734" t="s">
        <v>12440</v>
      </c>
      <c r="K6734" t="s">
        <v>12441</v>
      </c>
      <c r="L6734">
        <v>10</v>
      </c>
      <c r="M6734" t="s">
        <v>22612</v>
      </c>
      <c r="N6734" t="s">
        <v>1024</v>
      </c>
      <c r="O6734" t="s">
        <v>46</v>
      </c>
      <c r="P6734" t="s">
        <v>46</v>
      </c>
      <c r="Y6734" t="s">
        <v>22613</v>
      </c>
    </row>
    <row r="6735" spans="1:25">
      <c r="A6735" t="s">
        <v>22614</v>
      </c>
      <c r="B6735" t="s">
        <v>22615</v>
      </c>
      <c r="D6735" t="s">
        <v>40</v>
      </c>
      <c r="E6735" t="s">
        <v>41</v>
      </c>
      <c r="J6735" t="s">
        <v>139</v>
      </c>
      <c r="K6735" t="s">
        <v>140</v>
      </c>
      <c r="L6735">
        <v>9</v>
      </c>
      <c r="M6735" t="s">
        <v>22616</v>
      </c>
      <c r="N6735" t="s">
        <v>1550</v>
      </c>
      <c r="O6735" t="s">
        <v>46</v>
      </c>
      <c r="P6735" t="s">
        <v>46</v>
      </c>
      <c r="Y6735" t="s">
        <v>22617</v>
      </c>
    </row>
    <row r="6736" spans="1:25">
      <c r="A6736" t="s">
        <v>22618</v>
      </c>
      <c r="B6736" t="s">
        <v>22619</v>
      </c>
      <c r="D6736" t="s">
        <v>40</v>
      </c>
      <c r="E6736" t="s">
        <v>41</v>
      </c>
      <c r="J6736" t="s">
        <v>1554</v>
      </c>
      <c r="K6736" t="s">
        <v>1555</v>
      </c>
      <c r="L6736">
        <v>9</v>
      </c>
      <c r="M6736" t="s">
        <v>22620</v>
      </c>
      <c r="N6736" t="s">
        <v>1392</v>
      </c>
      <c r="O6736" t="s">
        <v>46</v>
      </c>
      <c r="P6736" t="s">
        <v>46</v>
      </c>
      <c r="Y6736" t="s">
        <v>22621</v>
      </c>
    </row>
    <row r="6737" spans="1:25">
      <c r="A6737" t="s">
        <v>22622</v>
      </c>
      <c r="B6737" t="s">
        <v>22623</v>
      </c>
      <c r="D6737" t="s">
        <v>40</v>
      </c>
      <c r="E6737" t="s">
        <v>41</v>
      </c>
      <c r="J6737" t="s">
        <v>139</v>
      </c>
      <c r="K6737" t="s">
        <v>140</v>
      </c>
      <c r="L6737">
        <v>9</v>
      </c>
      <c r="M6737" t="s">
        <v>22624</v>
      </c>
      <c r="N6737" t="s">
        <v>1380</v>
      </c>
      <c r="O6737" t="s">
        <v>46</v>
      </c>
      <c r="P6737" t="s">
        <v>46</v>
      </c>
      <c r="Y6737" t="s">
        <v>22625</v>
      </c>
    </row>
    <row r="6738" spans="1:25">
      <c r="A6738" t="s">
        <v>22626</v>
      </c>
      <c r="B6738" t="s">
        <v>22627</v>
      </c>
      <c r="D6738" t="s">
        <v>40</v>
      </c>
      <c r="E6738" t="s">
        <v>41</v>
      </c>
      <c r="J6738" t="s">
        <v>139</v>
      </c>
      <c r="K6738" t="s">
        <v>140</v>
      </c>
      <c r="L6738">
        <v>9</v>
      </c>
      <c r="M6738" t="s">
        <v>22628</v>
      </c>
      <c r="N6738" t="s">
        <v>310</v>
      </c>
      <c r="O6738" t="s">
        <v>46</v>
      </c>
      <c r="P6738" t="s">
        <v>46</v>
      </c>
      <c r="Y6738" t="s">
        <v>22629</v>
      </c>
    </row>
    <row r="6739" spans="1:25">
      <c r="A6739" t="s">
        <v>22630</v>
      </c>
      <c r="B6739" t="s">
        <v>22631</v>
      </c>
      <c r="D6739" t="s">
        <v>40</v>
      </c>
      <c r="E6739" t="s">
        <v>41</v>
      </c>
      <c r="J6739" t="s">
        <v>139</v>
      </c>
      <c r="K6739" t="s">
        <v>140</v>
      </c>
      <c r="L6739">
        <v>9</v>
      </c>
      <c r="M6739" t="s">
        <v>22632</v>
      </c>
      <c r="N6739" t="s">
        <v>509</v>
      </c>
      <c r="O6739" t="s">
        <v>46</v>
      </c>
      <c r="P6739" t="s">
        <v>46</v>
      </c>
      <c r="Y6739" t="s">
        <v>22633</v>
      </c>
    </row>
    <row r="6740" spans="1:25">
      <c r="A6740" t="s">
        <v>22634</v>
      </c>
      <c r="B6740" t="s">
        <v>22635</v>
      </c>
      <c r="D6740" t="s">
        <v>40</v>
      </c>
      <c r="E6740" t="s">
        <v>41</v>
      </c>
      <c r="J6740" t="s">
        <v>1554</v>
      </c>
      <c r="K6740" t="s">
        <v>1555</v>
      </c>
      <c r="L6740">
        <v>9</v>
      </c>
      <c r="M6740" t="s">
        <v>22636</v>
      </c>
      <c r="N6740" t="s">
        <v>4037</v>
      </c>
      <c r="O6740" t="s">
        <v>46</v>
      </c>
      <c r="P6740" t="s">
        <v>46</v>
      </c>
      <c r="Y6740" t="s">
        <v>22637</v>
      </c>
    </row>
    <row r="6741" spans="1:25">
      <c r="A6741" t="s">
        <v>22638</v>
      </c>
      <c r="B6741" t="s">
        <v>22639</v>
      </c>
      <c r="D6741" t="s">
        <v>40</v>
      </c>
      <c r="E6741" t="s">
        <v>41</v>
      </c>
      <c r="J6741" t="s">
        <v>139</v>
      </c>
      <c r="K6741" t="s">
        <v>140</v>
      </c>
      <c r="L6741">
        <v>9</v>
      </c>
      <c r="M6741" t="s">
        <v>22640</v>
      </c>
      <c r="N6741" t="s">
        <v>350</v>
      </c>
      <c r="O6741" t="s">
        <v>46</v>
      </c>
      <c r="P6741" t="s">
        <v>46</v>
      </c>
      <c r="Y6741" t="s">
        <v>22641</v>
      </c>
    </row>
    <row r="6742" spans="1:25">
      <c r="A6742" t="s">
        <v>22642</v>
      </c>
      <c r="B6742" t="s">
        <v>22643</v>
      </c>
      <c r="D6742" t="s">
        <v>40</v>
      </c>
      <c r="E6742" t="s">
        <v>41</v>
      </c>
      <c r="J6742" t="s">
        <v>248</v>
      </c>
      <c r="K6742" t="s">
        <v>249</v>
      </c>
      <c r="L6742">
        <v>9</v>
      </c>
      <c r="M6742" t="s">
        <v>22644</v>
      </c>
      <c r="N6742" t="s">
        <v>178</v>
      </c>
      <c r="O6742" t="s">
        <v>46</v>
      </c>
      <c r="P6742" t="s">
        <v>46</v>
      </c>
      <c r="Y6742" t="s">
        <v>22645</v>
      </c>
    </row>
    <row r="6743" spans="1:25">
      <c r="A6743" t="s">
        <v>22646</v>
      </c>
      <c r="B6743" t="s">
        <v>22647</v>
      </c>
      <c r="D6743" t="s">
        <v>40</v>
      </c>
      <c r="E6743" t="s">
        <v>41</v>
      </c>
      <c r="J6743" t="s">
        <v>12440</v>
      </c>
      <c r="K6743" t="s">
        <v>12441</v>
      </c>
      <c r="L6743">
        <v>10</v>
      </c>
      <c r="M6743" t="s">
        <v>22648</v>
      </c>
      <c r="N6743" t="s">
        <v>64</v>
      </c>
      <c r="O6743" t="s">
        <v>46</v>
      </c>
      <c r="P6743" t="s">
        <v>46</v>
      </c>
      <c r="Y6743" t="s">
        <v>22649</v>
      </c>
    </row>
    <row r="6744" spans="1:25">
      <c r="A6744" t="s">
        <v>22650</v>
      </c>
      <c r="B6744" t="s">
        <v>22651</v>
      </c>
      <c r="D6744" t="s">
        <v>40</v>
      </c>
      <c r="E6744" t="s">
        <v>41</v>
      </c>
      <c r="J6744" t="s">
        <v>599</v>
      </c>
      <c r="K6744" t="s">
        <v>600</v>
      </c>
      <c r="L6744">
        <v>9</v>
      </c>
      <c r="M6744" t="s">
        <v>22652</v>
      </c>
      <c r="N6744" t="s">
        <v>1446</v>
      </c>
      <c r="O6744" t="s">
        <v>46</v>
      </c>
      <c r="P6744" t="s">
        <v>46</v>
      </c>
      <c r="Y6744" t="s">
        <v>22653</v>
      </c>
    </row>
    <row r="6745" spans="1:25">
      <c r="A6745" t="s">
        <v>22654</v>
      </c>
      <c r="B6745" t="s">
        <v>22655</v>
      </c>
      <c r="D6745" t="s">
        <v>40</v>
      </c>
      <c r="E6745" t="s">
        <v>41</v>
      </c>
      <c r="J6745" t="s">
        <v>1142</v>
      </c>
      <c r="K6745" t="s">
        <v>1143</v>
      </c>
      <c r="L6745">
        <v>2</v>
      </c>
      <c r="M6745" t="s">
        <v>22656</v>
      </c>
      <c r="N6745" t="s">
        <v>3013</v>
      </c>
      <c r="O6745" t="s">
        <v>46</v>
      </c>
      <c r="P6745" t="s">
        <v>46</v>
      </c>
      <c r="Y6745" t="s">
        <v>22657</v>
      </c>
    </row>
    <row r="6746" spans="1:25">
      <c r="A6746" t="s">
        <v>22658</v>
      </c>
      <c r="B6746" t="s">
        <v>22659</v>
      </c>
      <c r="D6746" t="s">
        <v>40</v>
      </c>
      <c r="E6746" t="s">
        <v>41</v>
      </c>
      <c r="J6746" t="s">
        <v>139</v>
      </c>
      <c r="K6746" t="s">
        <v>140</v>
      </c>
      <c r="L6746">
        <v>9</v>
      </c>
      <c r="M6746" t="s">
        <v>22660</v>
      </c>
      <c r="N6746" t="s">
        <v>1138</v>
      </c>
      <c r="O6746" t="s">
        <v>46</v>
      </c>
      <c r="P6746" t="s">
        <v>46</v>
      </c>
      <c r="Y6746" t="s">
        <v>22661</v>
      </c>
    </row>
    <row r="6747" spans="1:25">
      <c r="A6747" t="s">
        <v>22662</v>
      </c>
      <c r="B6747" t="s">
        <v>22663</v>
      </c>
      <c r="D6747" t="s">
        <v>40</v>
      </c>
      <c r="E6747" t="s">
        <v>41</v>
      </c>
      <c r="J6747" t="s">
        <v>248</v>
      </c>
      <c r="K6747" t="s">
        <v>249</v>
      </c>
      <c r="L6747">
        <v>9</v>
      </c>
      <c r="M6747" t="s">
        <v>22664</v>
      </c>
      <c r="N6747" t="s">
        <v>1189</v>
      </c>
      <c r="O6747" t="s">
        <v>46</v>
      </c>
      <c r="P6747" t="s">
        <v>46</v>
      </c>
      <c r="Y6747" t="s">
        <v>22665</v>
      </c>
    </row>
    <row r="6748" spans="1:25">
      <c r="A6748" t="s">
        <v>22666</v>
      </c>
      <c r="B6748" t="s">
        <v>22667</v>
      </c>
      <c r="D6748" t="s">
        <v>40</v>
      </c>
      <c r="E6748" t="s">
        <v>41</v>
      </c>
      <c r="J6748" t="s">
        <v>11802</v>
      </c>
      <c r="K6748" t="s">
        <v>11803</v>
      </c>
      <c r="L6748">
        <v>8</v>
      </c>
      <c r="M6748" t="s">
        <v>22668</v>
      </c>
      <c r="N6748" t="s">
        <v>310</v>
      </c>
      <c r="O6748" t="s">
        <v>46</v>
      </c>
      <c r="P6748" t="s">
        <v>46</v>
      </c>
      <c r="Y6748" t="s">
        <v>22669</v>
      </c>
    </row>
    <row r="6749" spans="1:25">
      <c r="A6749" t="s">
        <v>22670</v>
      </c>
      <c r="B6749" t="s">
        <v>22671</v>
      </c>
      <c r="D6749" t="s">
        <v>40</v>
      </c>
      <c r="E6749" t="s">
        <v>41</v>
      </c>
      <c r="J6749" t="s">
        <v>911</v>
      </c>
      <c r="K6749" t="s">
        <v>912</v>
      </c>
      <c r="L6749">
        <v>9</v>
      </c>
      <c r="M6749" t="s">
        <v>22672</v>
      </c>
      <c r="N6749" t="s">
        <v>5995</v>
      </c>
      <c r="O6749" t="s">
        <v>46</v>
      </c>
      <c r="P6749" t="s">
        <v>46</v>
      </c>
      <c r="Y6749" t="s">
        <v>22673</v>
      </c>
    </row>
    <row r="6750" spans="1:25">
      <c r="A6750" t="s">
        <v>22674</v>
      </c>
      <c r="B6750" t="s">
        <v>22675</v>
      </c>
      <c r="D6750" t="s">
        <v>40</v>
      </c>
      <c r="E6750" t="s">
        <v>41</v>
      </c>
      <c r="J6750" t="s">
        <v>248</v>
      </c>
      <c r="K6750" t="s">
        <v>249</v>
      </c>
      <c r="L6750">
        <v>9</v>
      </c>
      <c r="M6750" t="s">
        <v>22676</v>
      </c>
      <c r="N6750" t="s">
        <v>53</v>
      </c>
      <c r="O6750" t="s">
        <v>46</v>
      </c>
      <c r="P6750" t="s">
        <v>46</v>
      </c>
      <c r="Y6750" t="s">
        <v>22677</v>
      </c>
    </row>
    <row r="6751" spans="1:25">
      <c r="A6751" t="s">
        <v>22678</v>
      </c>
      <c r="B6751" t="s">
        <v>22679</v>
      </c>
      <c r="D6751" t="s">
        <v>40</v>
      </c>
      <c r="E6751" t="s">
        <v>41</v>
      </c>
      <c r="J6751" t="s">
        <v>248</v>
      </c>
      <c r="K6751" t="s">
        <v>249</v>
      </c>
      <c r="L6751">
        <v>9</v>
      </c>
      <c r="M6751" t="s">
        <v>22680</v>
      </c>
      <c r="N6751" t="s">
        <v>305</v>
      </c>
      <c r="O6751" t="s">
        <v>46</v>
      </c>
      <c r="P6751" t="s">
        <v>46</v>
      </c>
      <c r="Y6751" t="s">
        <v>22681</v>
      </c>
    </row>
    <row r="6752" spans="1:25">
      <c r="A6752" t="s">
        <v>22682</v>
      </c>
      <c r="B6752" t="s">
        <v>22683</v>
      </c>
      <c r="D6752" t="s">
        <v>40</v>
      </c>
      <c r="E6752" t="s">
        <v>41</v>
      </c>
      <c r="J6752" t="s">
        <v>248</v>
      </c>
      <c r="K6752" t="s">
        <v>249</v>
      </c>
      <c r="L6752">
        <v>7</v>
      </c>
      <c r="M6752" t="s">
        <v>22684</v>
      </c>
      <c r="N6752" t="s">
        <v>373</v>
      </c>
      <c r="O6752" t="s">
        <v>46</v>
      </c>
      <c r="P6752" t="s">
        <v>46</v>
      </c>
      <c r="Y6752" t="s">
        <v>22685</v>
      </c>
    </row>
    <row r="6753" spans="1:25">
      <c r="A6753" t="s">
        <v>22686</v>
      </c>
      <c r="B6753" t="s">
        <v>22687</v>
      </c>
      <c r="D6753" t="s">
        <v>40</v>
      </c>
      <c r="E6753" t="s">
        <v>41</v>
      </c>
      <c r="J6753" t="s">
        <v>12440</v>
      </c>
      <c r="K6753" t="s">
        <v>12441</v>
      </c>
      <c r="L6753">
        <v>10</v>
      </c>
      <c r="M6753" t="s">
        <v>22684</v>
      </c>
      <c r="N6753" t="s">
        <v>64</v>
      </c>
      <c r="O6753" t="s">
        <v>46</v>
      </c>
      <c r="P6753" t="s">
        <v>46</v>
      </c>
      <c r="Y6753" t="s">
        <v>22688</v>
      </c>
    </row>
    <row r="6754" spans="1:25">
      <c r="A6754" t="s">
        <v>22689</v>
      </c>
      <c r="B6754" t="s">
        <v>22690</v>
      </c>
      <c r="D6754" t="s">
        <v>40</v>
      </c>
      <c r="E6754" t="s">
        <v>41</v>
      </c>
      <c r="J6754" t="s">
        <v>139</v>
      </c>
      <c r="K6754" t="s">
        <v>140</v>
      </c>
      <c r="L6754">
        <v>9</v>
      </c>
      <c r="M6754" t="s">
        <v>22691</v>
      </c>
      <c r="N6754" t="s">
        <v>178</v>
      </c>
      <c r="O6754" t="s">
        <v>46</v>
      </c>
      <c r="P6754" t="s">
        <v>46</v>
      </c>
      <c r="Y6754" t="s">
        <v>22692</v>
      </c>
    </row>
    <row r="6755" spans="1:25">
      <c r="A6755" t="s">
        <v>22693</v>
      </c>
      <c r="B6755" t="s">
        <v>22694</v>
      </c>
      <c r="D6755" t="s">
        <v>40</v>
      </c>
      <c r="E6755" t="s">
        <v>41</v>
      </c>
      <c r="J6755" t="s">
        <v>248</v>
      </c>
      <c r="K6755" t="s">
        <v>249</v>
      </c>
      <c r="L6755">
        <v>9</v>
      </c>
      <c r="M6755" t="s">
        <v>22695</v>
      </c>
      <c r="N6755" t="s">
        <v>509</v>
      </c>
      <c r="O6755" t="s">
        <v>46</v>
      </c>
      <c r="P6755" t="s">
        <v>46</v>
      </c>
      <c r="Y6755" t="s">
        <v>22696</v>
      </c>
    </row>
    <row r="6756" spans="1:25">
      <c r="A6756" t="s">
        <v>22697</v>
      </c>
      <c r="B6756" t="s">
        <v>22698</v>
      </c>
      <c r="D6756" t="s">
        <v>40</v>
      </c>
      <c r="E6756" t="s">
        <v>41</v>
      </c>
      <c r="J6756" t="s">
        <v>248</v>
      </c>
      <c r="K6756" t="s">
        <v>249</v>
      </c>
      <c r="L6756">
        <v>9</v>
      </c>
      <c r="M6756" t="s">
        <v>22699</v>
      </c>
      <c r="N6756" t="s">
        <v>142</v>
      </c>
      <c r="O6756" t="s">
        <v>46</v>
      </c>
      <c r="P6756" t="s">
        <v>46</v>
      </c>
      <c r="Y6756" t="s">
        <v>22700</v>
      </c>
    </row>
    <row r="6757" spans="1:25">
      <c r="A6757" t="s">
        <v>22701</v>
      </c>
      <c r="B6757" t="s">
        <v>22702</v>
      </c>
      <c r="D6757" t="s">
        <v>40</v>
      </c>
      <c r="E6757" t="s">
        <v>41</v>
      </c>
      <c r="J6757" t="s">
        <v>139</v>
      </c>
      <c r="K6757" t="s">
        <v>140</v>
      </c>
      <c r="L6757">
        <v>7</v>
      </c>
      <c r="M6757" t="s">
        <v>22703</v>
      </c>
      <c r="N6757" t="s">
        <v>1397</v>
      </c>
      <c r="O6757" t="s">
        <v>46</v>
      </c>
      <c r="P6757" t="s">
        <v>46</v>
      </c>
      <c r="Y6757" t="s">
        <v>22704</v>
      </c>
    </row>
    <row r="6758" spans="1:25">
      <c r="A6758" t="s">
        <v>22705</v>
      </c>
      <c r="B6758" t="s">
        <v>22706</v>
      </c>
      <c r="D6758" t="s">
        <v>40</v>
      </c>
      <c r="E6758" t="s">
        <v>41</v>
      </c>
      <c r="J6758" t="s">
        <v>1554</v>
      </c>
      <c r="K6758" t="s">
        <v>1555</v>
      </c>
      <c r="L6758">
        <v>9</v>
      </c>
      <c r="M6758" t="s">
        <v>22707</v>
      </c>
      <c r="N6758" t="s">
        <v>45</v>
      </c>
      <c r="O6758" t="s">
        <v>46</v>
      </c>
      <c r="P6758" t="s">
        <v>46</v>
      </c>
      <c r="Y6758" t="s">
        <v>22708</v>
      </c>
    </row>
    <row r="6759" spans="1:25">
      <c r="A6759" t="s">
        <v>22709</v>
      </c>
      <c r="B6759" t="s">
        <v>22710</v>
      </c>
      <c r="D6759" t="s">
        <v>40</v>
      </c>
      <c r="E6759" t="s">
        <v>41</v>
      </c>
      <c r="J6759" t="s">
        <v>6179</v>
      </c>
      <c r="K6759" t="s">
        <v>6180</v>
      </c>
      <c r="L6759">
        <v>9</v>
      </c>
      <c r="M6759" t="s">
        <v>22711</v>
      </c>
      <c r="N6759" t="s">
        <v>58</v>
      </c>
      <c r="O6759" t="s">
        <v>46</v>
      </c>
      <c r="P6759" t="s">
        <v>46</v>
      </c>
      <c r="Y6759" t="s">
        <v>22712</v>
      </c>
    </row>
    <row r="6760" spans="1:25">
      <c r="A6760" t="s">
        <v>22713</v>
      </c>
      <c r="B6760" t="s">
        <v>22714</v>
      </c>
      <c r="D6760" t="s">
        <v>40</v>
      </c>
      <c r="E6760" t="s">
        <v>41</v>
      </c>
      <c r="J6760" t="s">
        <v>11802</v>
      </c>
      <c r="K6760" t="s">
        <v>11803</v>
      </c>
      <c r="L6760">
        <v>9</v>
      </c>
      <c r="M6760" t="s">
        <v>22715</v>
      </c>
      <c r="N6760" t="s">
        <v>4037</v>
      </c>
      <c r="O6760" t="s">
        <v>46</v>
      </c>
      <c r="P6760" t="s">
        <v>46</v>
      </c>
      <c r="Y6760" t="s">
        <v>22716</v>
      </c>
    </row>
    <row r="6761" spans="1:25">
      <c r="A6761" t="s">
        <v>22717</v>
      </c>
      <c r="B6761" t="s">
        <v>22718</v>
      </c>
      <c r="D6761" t="s">
        <v>40</v>
      </c>
      <c r="E6761" t="s">
        <v>41</v>
      </c>
      <c r="J6761" t="s">
        <v>11802</v>
      </c>
      <c r="K6761" t="s">
        <v>11803</v>
      </c>
      <c r="L6761">
        <v>9</v>
      </c>
      <c r="M6761" t="s">
        <v>22719</v>
      </c>
      <c r="N6761" t="s">
        <v>350</v>
      </c>
      <c r="O6761" t="s">
        <v>46</v>
      </c>
      <c r="P6761" t="s">
        <v>46</v>
      </c>
      <c r="Y6761" t="s">
        <v>22720</v>
      </c>
    </row>
    <row r="6762" spans="1:25">
      <c r="A6762" t="s">
        <v>22721</v>
      </c>
      <c r="B6762" t="s">
        <v>22722</v>
      </c>
      <c r="D6762" t="s">
        <v>40</v>
      </c>
      <c r="E6762" t="s">
        <v>41</v>
      </c>
      <c r="J6762" t="s">
        <v>248</v>
      </c>
      <c r="K6762" t="s">
        <v>249</v>
      </c>
      <c r="L6762">
        <v>9</v>
      </c>
      <c r="M6762" t="s">
        <v>22723</v>
      </c>
      <c r="N6762" t="s">
        <v>1024</v>
      </c>
      <c r="O6762" t="s">
        <v>46</v>
      </c>
      <c r="P6762" t="s">
        <v>46</v>
      </c>
      <c r="Y6762" t="s">
        <v>22724</v>
      </c>
    </row>
    <row r="6763" spans="1:25">
      <c r="A6763" t="s">
        <v>22725</v>
      </c>
      <c r="B6763" t="s">
        <v>22726</v>
      </c>
      <c r="D6763" t="s">
        <v>40</v>
      </c>
      <c r="E6763" t="s">
        <v>41</v>
      </c>
      <c r="J6763" t="s">
        <v>248</v>
      </c>
      <c r="K6763" t="s">
        <v>249</v>
      </c>
      <c r="L6763">
        <v>9</v>
      </c>
      <c r="M6763" t="s">
        <v>22727</v>
      </c>
      <c r="N6763" t="s">
        <v>1446</v>
      </c>
      <c r="O6763" t="s">
        <v>46</v>
      </c>
      <c r="P6763" t="s">
        <v>46</v>
      </c>
      <c r="Y6763" t="s">
        <v>22728</v>
      </c>
    </row>
    <row r="6764" spans="1:25">
      <c r="A6764" t="s">
        <v>22729</v>
      </c>
      <c r="B6764" t="s">
        <v>22730</v>
      </c>
      <c r="D6764" t="s">
        <v>40</v>
      </c>
      <c r="E6764" t="s">
        <v>41</v>
      </c>
      <c r="J6764" t="s">
        <v>911</v>
      </c>
      <c r="K6764" t="s">
        <v>912</v>
      </c>
      <c r="L6764">
        <v>9</v>
      </c>
      <c r="M6764" t="s">
        <v>22731</v>
      </c>
      <c r="N6764" t="s">
        <v>257</v>
      </c>
      <c r="O6764" t="s">
        <v>46</v>
      </c>
      <c r="P6764" t="s">
        <v>46</v>
      </c>
      <c r="Y6764" t="s">
        <v>22732</v>
      </c>
    </row>
    <row r="6765" spans="1:25">
      <c r="A6765" t="s">
        <v>22733</v>
      </c>
      <c r="B6765" t="s">
        <v>22734</v>
      </c>
      <c r="D6765" t="s">
        <v>40</v>
      </c>
      <c r="E6765" t="s">
        <v>41</v>
      </c>
      <c r="J6765" t="s">
        <v>1554</v>
      </c>
      <c r="K6765" t="s">
        <v>1555</v>
      </c>
      <c r="L6765">
        <v>9</v>
      </c>
      <c r="M6765" t="s">
        <v>22735</v>
      </c>
      <c r="N6765" t="s">
        <v>218</v>
      </c>
      <c r="O6765" t="s">
        <v>46</v>
      </c>
      <c r="P6765" t="s">
        <v>46</v>
      </c>
      <c r="Y6765" t="s">
        <v>22736</v>
      </c>
    </row>
    <row r="6766" spans="1:25">
      <c r="A6766" t="s">
        <v>22737</v>
      </c>
      <c r="B6766" t="s">
        <v>22738</v>
      </c>
      <c r="D6766" t="s">
        <v>40</v>
      </c>
      <c r="E6766" t="s">
        <v>41</v>
      </c>
      <c r="J6766" t="s">
        <v>16458</v>
      </c>
      <c r="K6766" t="s">
        <v>16459</v>
      </c>
      <c r="L6766">
        <v>9</v>
      </c>
      <c r="M6766" t="s">
        <v>22739</v>
      </c>
      <c r="N6766" t="s">
        <v>173</v>
      </c>
      <c r="O6766" t="s">
        <v>46</v>
      </c>
      <c r="P6766" t="s">
        <v>46</v>
      </c>
      <c r="Y6766" t="s">
        <v>22740</v>
      </c>
    </row>
    <row r="6767" spans="1:25">
      <c r="A6767" t="s">
        <v>22741</v>
      </c>
      <c r="B6767" t="s">
        <v>22742</v>
      </c>
      <c r="D6767" t="s">
        <v>40</v>
      </c>
      <c r="E6767" t="s">
        <v>41</v>
      </c>
      <c r="J6767" t="s">
        <v>12440</v>
      </c>
      <c r="K6767" t="s">
        <v>12441</v>
      </c>
      <c r="L6767">
        <v>10</v>
      </c>
      <c r="M6767" t="s">
        <v>22743</v>
      </c>
      <c r="N6767" t="s">
        <v>64</v>
      </c>
      <c r="O6767" t="s">
        <v>46</v>
      </c>
      <c r="P6767" t="s">
        <v>46</v>
      </c>
      <c r="Y6767" t="s">
        <v>22744</v>
      </c>
    </row>
    <row r="6768" spans="1:25">
      <c r="A6768" t="s">
        <v>22745</v>
      </c>
      <c r="B6768" t="s">
        <v>22746</v>
      </c>
      <c r="D6768" t="s">
        <v>40</v>
      </c>
      <c r="E6768" t="s">
        <v>41</v>
      </c>
      <c r="J6768" t="s">
        <v>248</v>
      </c>
      <c r="K6768" t="s">
        <v>249</v>
      </c>
      <c r="L6768">
        <v>9</v>
      </c>
      <c r="M6768" t="s">
        <v>22747</v>
      </c>
      <c r="N6768" t="s">
        <v>210</v>
      </c>
      <c r="O6768" t="s">
        <v>46</v>
      </c>
      <c r="P6768" t="s">
        <v>46</v>
      </c>
      <c r="Y6768" t="s">
        <v>22748</v>
      </c>
    </row>
    <row r="6769" spans="1:25">
      <c r="A6769" t="s">
        <v>22749</v>
      </c>
      <c r="B6769" t="s">
        <v>22750</v>
      </c>
      <c r="D6769" t="s">
        <v>40</v>
      </c>
      <c r="E6769" t="s">
        <v>41</v>
      </c>
      <c r="J6769" t="s">
        <v>139</v>
      </c>
      <c r="K6769" t="s">
        <v>140</v>
      </c>
      <c r="L6769">
        <v>9</v>
      </c>
      <c r="M6769" t="s">
        <v>22751</v>
      </c>
      <c r="N6769" t="s">
        <v>310</v>
      </c>
      <c r="O6769" t="s">
        <v>46</v>
      </c>
      <c r="P6769" t="s">
        <v>46</v>
      </c>
      <c r="Y6769" t="s">
        <v>22752</v>
      </c>
    </row>
    <row r="6770" spans="1:25">
      <c r="A6770" t="s">
        <v>22753</v>
      </c>
      <c r="B6770" t="s">
        <v>22754</v>
      </c>
      <c r="D6770" t="s">
        <v>40</v>
      </c>
      <c r="E6770" t="s">
        <v>41</v>
      </c>
      <c r="J6770" t="s">
        <v>248</v>
      </c>
      <c r="K6770" t="s">
        <v>249</v>
      </c>
      <c r="L6770">
        <v>9</v>
      </c>
      <c r="M6770" t="s">
        <v>22755</v>
      </c>
      <c r="N6770" t="s">
        <v>1397</v>
      </c>
      <c r="O6770" t="s">
        <v>46</v>
      </c>
      <c r="P6770" t="s">
        <v>46</v>
      </c>
      <c r="Y6770" t="s">
        <v>22756</v>
      </c>
    </row>
    <row r="6771" spans="1:25">
      <c r="A6771" t="s">
        <v>22757</v>
      </c>
      <c r="B6771" t="s">
        <v>22758</v>
      </c>
      <c r="D6771" t="s">
        <v>40</v>
      </c>
      <c r="E6771" t="s">
        <v>41</v>
      </c>
      <c r="J6771" t="s">
        <v>1142</v>
      </c>
      <c r="K6771" t="s">
        <v>1143</v>
      </c>
      <c r="L6771">
        <v>9</v>
      </c>
      <c r="M6771" t="s">
        <v>22759</v>
      </c>
      <c r="N6771" t="s">
        <v>53</v>
      </c>
      <c r="O6771" t="s">
        <v>46</v>
      </c>
      <c r="P6771" t="s">
        <v>46</v>
      </c>
      <c r="Y6771" t="s">
        <v>22760</v>
      </c>
    </row>
    <row r="6772" spans="1:25">
      <c r="A6772" t="s">
        <v>22761</v>
      </c>
      <c r="B6772" t="s">
        <v>22762</v>
      </c>
      <c r="D6772" t="s">
        <v>40</v>
      </c>
      <c r="E6772" t="s">
        <v>41</v>
      </c>
      <c r="J6772" t="s">
        <v>12440</v>
      </c>
      <c r="K6772" t="s">
        <v>12441</v>
      </c>
      <c r="L6772">
        <v>10</v>
      </c>
      <c r="M6772" t="s">
        <v>22763</v>
      </c>
      <c r="N6772" t="s">
        <v>1229</v>
      </c>
      <c r="O6772" t="s">
        <v>46</v>
      </c>
      <c r="P6772" t="s">
        <v>46</v>
      </c>
      <c r="Y6772" t="s">
        <v>22764</v>
      </c>
    </row>
    <row r="6773" spans="1:25">
      <c r="A6773" t="s">
        <v>22765</v>
      </c>
      <c r="B6773" t="s">
        <v>22766</v>
      </c>
      <c r="D6773" t="s">
        <v>40</v>
      </c>
      <c r="E6773" t="s">
        <v>41</v>
      </c>
      <c r="J6773" t="s">
        <v>139</v>
      </c>
      <c r="K6773" t="s">
        <v>140</v>
      </c>
      <c r="L6773">
        <v>12</v>
      </c>
      <c r="M6773" t="s">
        <v>22767</v>
      </c>
      <c r="N6773" t="s">
        <v>1334</v>
      </c>
      <c r="O6773" t="s">
        <v>46</v>
      </c>
      <c r="P6773" t="s">
        <v>46</v>
      </c>
      <c r="Y6773" t="s">
        <v>22768</v>
      </c>
    </row>
    <row r="6774" spans="1:25">
      <c r="A6774" t="s">
        <v>22769</v>
      </c>
      <c r="B6774" t="s">
        <v>22770</v>
      </c>
      <c r="D6774" t="s">
        <v>40</v>
      </c>
      <c r="E6774" t="s">
        <v>41</v>
      </c>
      <c r="J6774" t="s">
        <v>1142</v>
      </c>
      <c r="K6774" t="s">
        <v>1143</v>
      </c>
      <c r="L6774">
        <v>9</v>
      </c>
      <c r="M6774" t="s">
        <v>22767</v>
      </c>
      <c r="N6774" t="s">
        <v>1369</v>
      </c>
      <c r="O6774" t="s">
        <v>46</v>
      </c>
      <c r="P6774" t="s">
        <v>46</v>
      </c>
      <c r="Y6774" t="s">
        <v>22771</v>
      </c>
    </row>
    <row r="6775" spans="1:25">
      <c r="A6775" t="s">
        <v>22772</v>
      </c>
      <c r="B6775" t="s">
        <v>22773</v>
      </c>
      <c r="D6775" t="s">
        <v>40</v>
      </c>
      <c r="E6775" t="s">
        <v>41</v>
      </c>
      <c r="J6775" t="s">
        <v>248</v>
      </c>
      <c r="K6775" t="s">
        <v>249</v>
      </c>
      <c r="L6775">
        <v>9</v>
      </c>
      <c r="M6775" t="s">
        <v>22774</v>
      </c>
      <c r="N6775" t="s">
        <v>440</v>
      </c>
      <c r="O6775" t="s">
        <v>46</v>
      </c>
      <c r="P6775" t="s">
        <v>46</v>
      </c>
      <c r="Y6775" t="s">
        <v>22775</v>
      </c>
    </row>
    <row r="6776" spans="1:25">
      <c r="A6776" t="s">
        <v>22776</v>
      </c>
      <c r="B6776" t="s">
        <v>22777</v>
      </c>
      <c r="D6776" t="s">
        <v>40</v>
      </c>
      <c r="E6776" t="s">
        <v>41</v>
      </c>
      <c r="J6776" t="s">
        <v>139</v>
      </c>
      <c r="K6776" t="s">
        <v>140</v>
      </c>
      <c r="L6776">
        <v>9</v>
      </c>
      <c r="M6776" t="s">
        <v>22778</v>
      </c>
      <c r="N6776" t="s">
        <v>310</v>
      </c>
      <c r="O6776" t="s">
        <v>46</v>
      </c>
      <c r="P6776" t="s">
        <v>46</v>
      </c>
      <c r="Y6776" t="s">
        <v>22779</v>
      </c>
    </row>
    <row r="6777" spans="1:25">
      <c r="A6777" t="s">
        <v>22780</v>
      </c>
      <c r="B6777" t="s">
        <v>22781</v>
      </c>
      <c r="D6777" t="s">
        <v>40</v>
      </c>
      <c r="E6777" t="s">
        <v>41</v>
      </c>
      <c r="J6777" t="s">
        <v>139</v>
      </c>
      <c r="K6777" t="s">
        <v>140</v>
      </c>
      <c r="L6777">
        <v>9</v>
      </c>
      <c r="M6777" t="s">
        <v>22782</v>
      </c>
      <c r="N6777" t="s">
        <v>1258</v>
      </c>
      <c r="O6777" t="s">
        <v>46</v>
      </c>
      <c r="P6777" t="s">
        <v>46</v>
      </c>
      <c r="Y6777" t="s">
        <v>22783</v>
      </c>
    </row>
    <row r="6778" spans="1:25">
      <c r="A6778" t="s">
        <v>22784</v>
      </c>
      <c r="B6778" t="s">
        <v>22785</v>
      </c>
      <c r="D6778" t="s">
        <v>40</v>
      </c>
      <c r="E6778" t="s">
        <v>41</v>
      </c>
      <c r="J6778" t="s">
        <v>248</v>
      </c>
      <c r="K6778" t="s">
        <v>249</v>
      </c>
      <c r="L6778">
        <v>9</v>
      </c>
      <c r="M6778" t="s">
        <v>22786</v>
      </c>
      <c r="N6778" t="s">
        <v>173</v>
      </c>
      <c r="O6778" t="s">
        <v>46</v>
      </c>
      <c r="P6778" t="s">
        <v>46</v>
      </c>
      <c r="Y6778" t="s">
        <v>22787</v>
      </c>
    </row>
    <row r="6779" spans="1:25">
      <c r="A6779" t="s">
        <v>22788</v>
      </c>
      <c r="B6779" t="s">
        <v>22789</v>
      </c>
      <c r="D6779" t="s">
        <v>40</v>
      </c>
      <c r="E6779" t="s">
        <v>41</v>
      </c>
      <c r="J6779" t="s">
        <v>139</v>
      </c>
      <c r="K6779" t="s">
        <v>140</v>
      </c>
      <c r="L6779">
        <v>9</v>
      </c>
      <c r="M6779" t="s">
        <v>22790</v>
      </c>
      <c r="N6779" t="s">
        <v>1344</v>
      </c>
      <c r="O6779" t="s">
        <v>46</v>
      </c>
      <c r="P6779" t="s">
        <v>46</v>
      </c>
      <c r="Y6779" t="s">
        <v>22791</v>
      </c>
    </row>
    <row r="6780" spans="1:25">
      <c r="A6780" t="s">
        <v>22792</v>
      </c>
      <c r="B6780" t="s">
        <v>22793</v>
      </c>
      <c r="D6780" t="s">
        <v>40</v>
      </c>
      <c r="E6780" t="s">
        <v>41</v>
      </c>
      <c r="J6780" t="s">
        <v>599</v>
      </c>
      <c r="K6780" t="s">
        <v>600</v>
      </c>
      <c r="L6780">
        <v>9</v>
      </c>
      <c r="M6780" t="s">
        <v>22790</v>
      </c>
      <c r="N6780" t="s">
        <v>509</v>
      </c>
      <c r="O6780" t="s">
        <v>46</v>
      </c>
      <c r="P6780" t="s">
        <v>46</v>
      </c>
      <c r="Y6780" t="s">
        <v>22794</v>
      </c>
    </row>
    <row r="6781" spans="1:25">
      <c r="A6781" t="s">
        <v>22795</v>
      </c>
      <c r="B6781" t="s">
        <v>22796</v>
      </c>
      <c r="D6781" t="s">
        <v>40</v>
      </c>
      <c r="E6781" t="s">
        <v>41</v>
      </c>
      <c r="J6781" t="s">
        <v>1554</v>
      </c>
      <c r="K6781" t="s">
        <v>1555</v>
      </c>
      <c r="L6781">
        <v>9</v>
      </c>
      <c r="M6781" t="s">
        <v>22797</v>
      </c>
      <c r="N6781" t="s">
        <v>1024</v>
      </c>
      <c r="O6781" t="s">
        <v>46</v>
      </c>
      <c r="P6781" t="s">
        <v>46</v>
      </c>
      <c r="Y6781" t="s">
        <v>22798</v>
      </c>
    </row>
    <row r="6782" spans="1:25">
      <c r="A6782" t="s">
        <v>22799</v>
      </c>
      <c r="B6782" t="s">
        <v>22800</v>
      </c>
      <c r="D6782" t="s">
        <v>40</v>
      </c>
      <c r="E6782" t="s">
        <v>41</v>
      </c>
      <c r="J6782" t="s">
        <v>139</v>
      </c>
      <c r="K6782" t="s">
        <v>140</v>
      </c>
      <c r="L6782">
        <v>10</v>
      </c>
      <c r="M6782" t="s">
        <v>22801</v>
      </c>
      <c r="N6782" t="s">
        <v>165</v>
      </c>
      <c r="O6782" t="s">
        <v>46</v>
      </c>
      <c r="P6782" t="s">
        <v>46</v>
      </c>
      <c r="Y6782" t="s">
        <v>22802</v>
      </c>
    </row>
    <row r="6783" spans="1:25">
      <c r="A6783" t="s">
        <v>22803</v>
      </c>
      <c r="B6783" t="s">
        <v>22804</v>
      </c>
      <c r="D6783" t="s">
        <v>40</v>
      </c>
      <c r="E6783" t="s">
        <v>41</v>
      </c>
      <c r="J6783" t="s">
        <v>12440</v>
      </c>
      <c r="K6783" t="s">
        <v>12441</v>
      </c>
      <c r="L6783">
        <v>10</v>
      </c>
      <c r="M6783" t="s">
        <v>22805</v>
      </c>
      <c r="N6783" t="s">
        <v>64</v>
      </c>
      <c r="O6783" t="s">
        <v>46</v>
      </c>
      <c r="P6783" t="s">
        <v>46</v>
      </c>
      <c r="Y6783" t="s">
        <v>22806</v>
      </c>
    </row>
    <row r="6784" spans="1:25">
      <c r="A6784" t="s">
        <v>22807</v>
      </c>
      <c r="B6784" t="s">
        <v>22808</v>
      </c>
      <c r="D6784" t="s">
        <v>40</v>
      </c>
      <c r="E6784" t="s">
        <v>41</v>
      </c>
      <c r="J6784" t="s">
        <v>248</v>
      </c>
      <c r="K6784" t="s">
        <v>249</v>
      </c>
      <c r="L6784">
        <v>9</v>
      </c>
      <c r="M6784" t="s">
        <v>22809</v>
      </c>
      <c r="N6784" t="s">
        <v>1189</v>
      </c>
      <c r="O6784" t="s">
        <v>46</v>
      </c>
      <c r="P6784" t="s">
        <v>46</v>
      </c>
      <c r="Y6784" t="s">
        <v>22810</v>
      </c>
    </row>
    <row r="6785" spans="1:25">
      <c r="A6785" t="s">
        <v>22811</v>
      </c>
      <c r="B6785" t="s">
        <v>22812</v>
      </c>
      <c r="D6785" t="s">
        <v>40</v>
      </c>
      <c r="E6785" t="s">
        <v>41</v>
      </c>
      <c r="J6785" t="s">
        <v>248</v>
      </c>
      <c r="K6785" t="s">
        <v>249</v>
      </c>
      <c r="L6785">
        <v>9</v>
      </c>
      <c r="M6785" t="s">
        <v>22813</v>
      </c>
      <c r="N6785" t="s">
        <v>22465</v>
      </c>
      <c r="O6785" t="s">
        <v>46</v>
      </c>
      <c r="P6785" t="s">
        <v>46</v>
      </c>
      <c r="Y6785" t="s">
        <v>22814</v>
      </c>
    </row>
    <row r="6786" spans="1:25">
      <c r="A6786" t="s">
        <v>22815</v>
      </c>
      <c r="B6786" t="s">
        <v>22816</v>
      </c>
      <c r="D6786" t="s">
        <v>40</v>
      </c>
      <c r="E6786" t="s">
        <v>41</v>
      </c>
      <c r="J6786" t="s">
        <v>1142</v>
      </c>
      <c r="K6786" t="s">
        <v>1143</v>
      </c>
      <c r="L6786">
        <v>9</v>
      </c>
      <c r="M6786" t="s">
        <v>22817</v>
      </c>
      <c r="N6786" t="s">
        <v>310</v>
      </c>
      <c r="O6786" t="s">
        <v>46</v>
      </c>
      <c r="P6786" t="s">
        <v>46</v>
      </c>
      <c r="Y6786" t="s">
        <v>22818</v>
      </c>
    </row>
    <row r="6787" spans="1:25">
      <c r="A6787" t="s">
        <v>22819</v>
      </c>
      <c r="B6787" t="s">
        <v>22820</v>
      </c>
      <c r="D6787" t="s">
        <v>40</v>
      </c>
      <c r="E6787" t="s">
        <v>41</v>
      </c>
      <c r="J6787" t="s">
        <v>248</v>
      </c>
      <c r="K6787" t="s">
        <v>249</v>
      </c>
      <c r="L6787">
        <v>9</v>
      </c>
      <c r="M6787" t="s">
        <v>22821</v>
      </c>
      <c r="N6787" t="s">
        <v>305</v>
      </c>
      <c r="O6787" t="s">
        <v>46</v>
      </c>
      <c r="P6787" t="s">
        <v>46</v>
      </c>
      <c r="Y6787" t="s">
        <v>22822</v>
      </c>
    </row>
    <row r="6788" spans="1:25">
      <c r="A6788" t="s">
        <v>22823</v>
      </c>
      <c r="B6788" t="s">
        <v>22824</v>
      </c>
      <c r="D6788" t="s">
        <v>40</v>
      </c>
      <c r="E6788" t="s">
        <v>41</v>
      </c>
      <c r="J6788" t="s">
        <v>1554</v>
      </c>
      <c r="K6788" t="s">
        <v>1555</v>
      </c>
      <c r="L6788">
        <v>9</v>
      </c>
      <c r="M6788" t="s">
        <v>22821</v>
      </c>
      <c r="N6788" t="s">
        <v>218</v>
      </c>
      <c r="O6788" t="s">
        <v>46</v>
      </c>
      <c r="P6788" t="s">
        <v>46</v>
      </c>
      <c r="Y6788" t="s">
        <v>22825</v>
      </c>
    </row>
    <row r="6789" spans="1:25">
      <c r="A6789" t="s">
        <v>22826</v>
      </c>
      <c r="B6789" t="s">
        <v>22827</v>
      </c>
      <c r="D6789" t="s">
        <v>40</v>
      </c>
      <c r="E6789" t="s">
        <v>41</v>
      </c>
      <c r="J6789" t="s">
        <v>139</v>
      </c>
      <c r="K6789" t="s">
        <v>140</v>
      </c>
      <c r="L6789">
        <v>9</v>
      </c>
      <c r="M6789" t="s">
        <v>22828</v>
      </c>
      <c r="N6789" t="s">
        <v>1258</v>
      </c>
      <c r="O6789" t="s">
        <v>46</v>
      </c>
      <c r="P6789" t="s">
        <v>46</v>
      </c>
      <c r="Y6789" t="s">
        <v>22829</v>
      </c>
    </row>
    <row r="6790" spans="1:25">
      <c r="A6790" t="s">
        <v>22830</v>
      </c>
      <c r="B6790" t="s">
        <v>22831</v>
      </c>
      <c r="D6790" t="s">
        <v>40</v>
      </c>
      <c r="E6790" t="s">
        <v>41</v>
      </c>
      <c r="J6790" t="s">
        <v>911</v>
      </c>
      <c r="K6790" t="s">
        <v>912</v>
      </c>
      <c r="L6790">
        <v>9</v>
      </c>
      <c r="M6790" t="s">
        <v>22832</v>
      </c>
      <c r="N6790" t="s">
        <v>1814</v>
      </c>
      <c r="O6790" t="s">
        <v>46</v>
      </c>
      <c r="P6790" t="s">
        <v>46</v>
      </c>
      <c r="Y6790" t="s">
        <v>22833</v>
      </c>
    </row>
    <row r="6791" spans="1:25">
      <c r="A6791" t="s">
        <v>22834</v>
      </c>
      <c r="B6791" t="s">
        <v>22835</v>
      </c>
      <c r="D6791" t="s">
        <v>40</v>
      </c>
      <c r="E6791" t="s">
        <v>41</v>
      </c>
      <c r="J6791" t="s">
        <v>599</v>
      </c>
      <c r="K6791" t="s">
        <v>600</v>
      </c>
      <c r="L6791">
        <v>9</v>
      </c>
      <c r="M6791" t="s">
        <v>22836</v>
      </c>
      <c r="N6791" t="s">
        <v>58</v>
      </c>
      <c r="O6791" t="s">
        <v>46</v>
      </c>
      <c r="P6791" t="s">
        <v>46</v>
      </c>
      <c r="Y6791" t="s">
        <v>22837</v>
      </c>
    </row>
    <row r="6792" spans="1:25">
      <c r="A6792" t="s">
        <v>22838</v>
      </c>
      <c r="B6792" t="s">
        <v>22839</v>
      </c>
      <c r="D6792" t="s">
        <v>40</v>
      </c>
      <c r="E6792" t="s">
        <v>41</v>
      </c>
      <c r="J6792" t="s">
        <v>139</v>
      </c>
      <c r="K6792" t="s">
        <v>140</v>
      </c>
      <c r="L6792">
        <v>9</v>
      </c>
      <c r="M6792" t="s">
        <v>22840</v>
      </c>
      <c r="N6792" t="s">
        <v>509</v>
      </c>
      <c r="O6792" t="s">
        <v>46</v>
      </c>
      <c r="P6792" t="s">
        <v>46</v>
      </c>
      <c r="Y6792" t="s">
        <v>22841</v>
      </c>
    </row>
    <row r="6793" spans="1:25">
      <c r="A6793" t="s">
        <v>22842</v>
      </c>
      <c r="B6793" t="s">
        <v>22843</v>
      </c>
      <c r="D6793" t="s">
        <v>40</v>
      </c>
      <c r="E6793" t="s">
        <v>41</v>
      </c>
      <c r="J6793" t="s">
        <v>248</v>
      </c>
      <c r="K6793" t="s">
        <v>249</v>
      </c>
      <c r="L6793">
        <v>9</v>
      </c>
      <c r="M6793" t="s">
        <v>22840</v>
      </c>
      <c r="N6793" t="s">
        <v>1229</v>
      </c>
      <c r="O6793" t="s">
        <v>46</v>
      </c>
      <c r="P6793" t="s">
        <v>46</v>
      </c>
      <c r="Y6793" t="s">
        <v>22844</v>
      </c>
    </row>
    <row r="6794" spans="1:25">
      <c r="A6794" t="s">
        <v>22845</v>
      </c>
      <c r="B6794" t="s">
        <v>22846</v>
      </c>
      <c r="D6794" t="s">
        <v>40</v>
      </c>
      <c r="E6794" t="s">
        <v>41</v>
      </c>
      <c r="J6794" t="s">
        <v>248</v>
      </c>
      <c r="K6794" t="s">
        <v>249</v>
      </c>
      <c r="L6794">
        <v>9</v>
      </c>
      <c r="M6794" t="s">
        <v>22847</v>
      </c>
      <c r="N6794" t="s">
        <v>752</v>
      </c>
      <c r="O6794" t="s">
        <v>46</v>
      </c>
      <c r="P6794" t="s">
        <v>46</v>
      </c>
      <c r="Y6794" t="s">
        <v>22848</v>
      </c>
    </row>
    <row r="6795" spans="1:25">
      <c r="A6795" t="s">
        <v>22849</v>
      </c>
      <c r="B6795" t="s">
        <v>22850</v>
      </c>
      <c r="D6795" t="s">
        <v>40</v>
      </c>
      <c r="E6795" t="s">
        <v>41</v>
      </c>
      <c r="J6795" t="s">
        <v>248</v>
      </c>
      <c r="K6795" t="s">
        <v>249</v>
      </c>
      <c r="L6795">
        <v>9</v>
      </c>
      <c r="M6795" t="s">
        <v>22851</v>
      </c>
      <c r="N6795" t="s">
        <v>1334</v>
      </c>
      <c r="O6795" t="s">
        <v>46</v>
      </c>
      <c r="P6795" t="s">
        <v>46</v>
      </c>
      <c r="Y6795" t="s">
        <v>22852</v>
      </c>
    </row>
    <row r="6796" spans="1:25">
      <c r="A6796" t="s">
        <v>22853</v>
      </c>
      <c r="B6796" t="s">
        <v>22854</v>
      </c>
      <c r="D6796" t="s">
        <v>40</v>
      </c>
      <c r="E6796" t="s">
        <v>41</v>
      </c>
      <c r="J6796" t="s">
        <v>248</v>
      </c>
      <c r="K6796" t="s">
        <v>249</v>
      </c>
      <c r="L6796">
        <v>9</v>
      </c>
      <c r="M6796" t="s">
        <v>22855</v>
      </c>
      <c r="N6796" t="s">
        <v>1550</v>
      </c>
      <c r="O6796" t="s">
        <v>46</v>
      </c>
      <c r="P6796" t="s">
        <v>46</v>
      </c>
      <c r="Y6796" t="s">
        <v>22856</v>
      </c>
    </row>
    <row r="6797" spans="1:25">
      <c r="A6797" t="s">
        <v>22857</v>
      </c>
      <c r="B6797" t="s">
        <v>22858</v>
      </c>
      <c r="D6797" t="s">
        <v>40</v>
      </c>
      <c r="E6797" t="s">
        <v>41</v>
      </c>
      <c r="J6797" t="s">
        <v>1142</v>
      </c>
      <c r="K6797" t="s">
        <v>1143</v>
      </c>
      <c r="L6797">
        <v>9</v>
      </c>
      <c r="M6797" t="s">
        <v>22859</v>
      </c>
      <c r="N6797" t="s">
        <v>257</v>
      </c>
      <c r="O6797" t="s">
        <v>46</v>
      </c>
      <c r="P6797" t="s">
        <v>46</v>
      </c>
      <c r="Y6797" t="s">
        <v>22860</v>
      </c>
    </row>
    <row r="6798" spans="1:25">
      <c r="A6798" t="s">
        <v>22861</v>
      </c>
      <c r="B6798" t="s">
        <v>22862</v>
      </c>
      <c r="D6798" t="s">
        <v>40</v>
      </c>
      <c r="E6798" t="s">
        <v>41</v>
      </c>
      <c r="J6798" t="s">
        <v>248</v>
      </c>
      <c r="K6798" t="s">
        <v>249</v>
      </c>
      <c r="L6798">
        <v>9</v>
      </c>
      <c r="M6798" t="s">
        <v>22863</v>
      </c>
      <c r="N6798" t="s">
        <v>1397</v>
      </c>
      <c r="O6798" t="s">
        <v>46</v>
      </c>
      <c r="P6798" t="s">
        <v>46</v>
      </c>
      <c r="Y6798" t="s">
        <v>22864</v>
      </c>
    </row>
    <row r="6799" spans="1:25">
      <c r="A6799" t="s">
        <v>22865</v>
      </c>
      <c r="B6799" t="s">
        <v>22866</v>
      </c>
      <c r="D6799" t="s">
        <v>40</v>
      </c>
      <c r="E6799" t="s">
        <v>41</v>
      </c>
      <c r="J6799" t="s">
        <v>139</v>
      </c>
      <c r="K6799" t="s">
        <v>140</v>
      </c>
      <c r="L6799">
        <v>9</v>
      </c>
      <c r="M6799" t="s">
        <v>22867</v>
      </c>
      <c r="N6799" t="s">
        <v>436</v>
      </c>
      <c r="O6799" t="s">
        <v>46</v>
      </c>
      <c r="P6799" t="s">
        <v>46</v>
      </c>
      <c r="Y6799" t="s">
        <v>22868</v>
      </c>
    </row>
    <row r="6800" spans="1:25">
      <c r="A6800" t="s">
        <v>22869</v>
      </c>
      <c r="B6800" t="s">
        <v>22870</v>
      </c>
      <c r="D6800" t="s">
        <v>40</v>
      </c>
      <c r="E6800" t="s">
        <v>41</v>
      </c>
      <c r="J6800" t="s">
        <v>1142</v>
      </c>
      <c r="K6800" t="s">
        <v>1143</v>
      </c>
      <c r="L6800">
        <v>9</v>
      </c>
      <c r="M6800" t="s">
        <v>22871</v>
      </c>
      <c r="N6800" t="s">
        <v>752</v>
      </c>
      <c r="O6800" t="s">
        <v>46</v>
      </c>
      <c r="P6800" t="s">
        <v>46</v>
      </c>
      <c r="Y6800" t="s">
        <v>22872</v>
      </c>
    </row>
    <row r="6801" spans="1:25">
      <c r="A6801" t="s">
        <v>22873</v>
      </c>
      <c r="B6801" t="s">
        <v>22874</v>
      </c>
      <c r="D6801" t="s">
        <v>40</v>
      </c>
      <c r="E6801" t="s">
        <v>41</v>
      </c>
      <c r="J6801" t="s">
        <v>139</v>
      </c>
      <c r="K6801" t="s">
        <v>140</v>
      </c>
      <c r="L6801">
        <v>9</v>
      </c>
      <c r="M6801" t="s">
        <v>22875</v>
      </c>
      <c r="N6801" t="s">
        <v>22465</v>
      </c>
      <c r="O6801" t="s">
        <v>46</v>
      </c>
      <c r="P6801" t="s">
        <v>46</v>
      </c>
      <c r="Y6801" t="s">
        <v>22876</v>
      </c>
    </row>
    <row r="6802" spans="1:25">
      <c r="A6802" t="s">
        <v>22877</v>
      </c>
      <c r="B6802" t="s">
        <v>22878</v>
      </c>
      <c r="D6802" t="s">
        <v>40</v>
      </c>
      <c r="E6802" t="s">
        <v>41</v>
      </c>
      <c r="J6802" t="s">
        <v>1554</v>
      </c>
      <c r="K6802" t="s">
        <v>1555</v>
      </c>
      <c r="L6802">
        <v>9</v>
      </c>
      <c r="M6802" t="s">
        <v>22879</v>
      </c>
      <c r="N6802" t="s">
        <v>1380</v>
      </c>
      <c r="O6802" t="s">
        <v>46</v>
      </c>
      <c r="P6802" t="s">
        <v>46</v>
      </c>
      <c r="Y6802" t="s">
        <v>22880</v>
      </c>
    </row>
    <row r="6803" spans="1:25">
      <c r="A6803" t="s">
        <v>22881</v>
      </c>
      <c r="B6803" t="s">
        <v>22882</v>
      </c>
      <c r="D6803" t="s">
        <v>40</v>
      </c>
      <c r="E6803" t="s">
        <v>41</v>
      </c>
      <c r="J6803" t="s">
        <v>11802</v>
      </c>
      <c r="K6803" t="s">
        <v>11803</v>
      </c>
      <c r="L6803">
        <v>9</v>
      </c>
      <c r="M6803" t="s">
        <v>22883</v>
      </c>
      <c r="N6803" t="s">
        <v>1024</v>
      </c>
      <c r="O6803" t="s">
        <v>46</v>
      </c>
      <c r="P6803" t="s">
        <v>46</v>
      </c>
      <c r="Y6803" t="s">
        <v>22884</v>
      </c>
    </row>
    <row r="6804" spans="1:25">
      <c r="A6804" t="s">
        <v>22885</v>
      </c>
      <c r="B6804" t="s">
        <v>22886</v>
      </c>
      <c r="D6804" t="s">
        <v>40</v>
      </c>
      <c r="E6804" t="s">
        <v>41</v>
      </c>
      <c r="J6804" t="s">
        <v>6179</v>
      </c>
      <c r="K6804" t="s">
        <v>6180</v>
      </c>
      <c r="L6804">
        <v>9</v>
      </c>
      <c r="M6804" t="s">
        <v>22887</v>
      </c>
      <c r="N6804" t="s">
        <v>142</v>
      </c>
      <c r="O6804" t="s">
        <v>46</v>
      </c>
      <c r="P6804" t="s">
        <v>46</v>
      </c>
      <c r="Y6804" t="s">
        <v>22888</v>
      </c>
    </row>
    <row r="6805" spans="1:25">
      <c r="A6805" t="s">
        <v>22889</v>
      </c>
      <c r="B6805" t="s">
        <v>22890</v>
      </c>
      <c r="D6805" t="s">
        <v>40</v>
      </c>
      <c r="E6805" t="s">
        <v>41</v>
      </c>
      <c r="J6805" t="s">
        <v>1142</v>
      </c>
      <c r="K6805" t="s">
        <v>1143</v>
      </c>
      <c r="L6805">
        <v>9</v>
      </c>
      <c r="M6805" t="s">
        <v>22891</v>
      </c>
      <c r="N6805" t="s">
        <v>310</v>
      </c>
      <c r="O6805" t="s">
        <v>46</v>
      </c>
      <c r="P6805" t="s">
        <v>46</v>
      </c>
      <c r="Y6805" t="s">
        <v>22892</v>
      </c>
    </row>
    <row r="6806" spans="1:25">
      <c r="A6806" t="s">
        <v>22893</v>
      </c>
      <c r="B6806" t="s">
        <v>22894</v>
      </c>
      <c r="D6806" t="s">
        <v>40</v>
      </c>
      <c r="E6806" t="s">
        <v>41</v>
      </c>
      <c r="J6806" t="s">
        <v>248</v>
      </c>
      <c r="K6806" t="s">
        <v>249</v>
      </c>
      <c r="L6806">
        <v>9</v>
      </c>
      <c r="M6806" t="s">
        <v>22895</v>
      </c>
      <c r="N6806" t="s">
        <v>53</v>
      </c>
      <c r="O6806" t="s">
        <v>46</v>
      </c>
      <c r="P6806" t="s">
        <v>46</v>
      </c>
      <c r="Y6806" t="s">
        <v>22896</v>
      </c>
    </row>
    <row r="6807" spans="1:25">
      <c r="A6807" t="s">
        <v>22897</v>
      </c>
      <c r="B6807" t="s">
        <v>22898</v>
      </c>
      <c r="D6807" t="s">
        <v>40</v>
      </c>
      <c r="E6807" t="s">
        <v>41</v>
      </c>
      <c r="J6807" t="s">
        <v>599</v>
      </c>
      <c r="K6807" t="s">
        <v>600</v>
      </c>
      <c r="L6807">
        <v>9</v>
      </c>
      <c r="M6807" t="s">
        <v>22899</v>
      </c>
      <c r="N6807" t="s">
        <v>1138</v>
      </c>
      <c r="O6807" t="s">
        <v>46</v>
      </c>
      <c r="P6807" t="s">
        <v>46</v>
      </c>
      <c r="Y6807" t="s">
        <v>22900</v>
      </c>
    </row>
    <row r="6808" spans="1:25">
      <c r="A6808" t="s">
        <v>22901</v>
      </c>
      <c r="B6808" t="s">
        <v>22902</v>
      </c>
      <c r="D6808" t="s">
        <v>40</v>
      </c>
      <c r="E6808" t="s">
        <v>41</v>
      </c>
      <c r="J6808" t="s">
        <v>248</v>
      </c>
      <c r="K6808" t="s">
        <v>249</v>
      </c>
      <c r="L6808">
        <v>9</v>
      </c>
      <c r="M6808" t="s">
        <v>22903</v>
      </c>
      <c r="N6808" t="s">
        <v>58</v>
      </c>
      <c r="O6808" t="s">
        <v>46</v>
      </c>
      <c r="P6808" t="s">
        <v>46</v>
      </c>
      <c r="Y6808" t="s">
        <v>22904</v>
      </c>
    </row>
    <row r="6809" spans="1:25">
      <c r="A6809" t="s">
        <v>22905</v>
      </c>
      <c r="B6809" t="s">
        <v>22906</v>
      </c>
      <c r="D6809" t="s">
        <v>40</v>
      </c>
      <c r="E6809" t="s">
        <v>41</v>
      </c>
      <c r="J6809" t="s">
        <v>6255</v>
      </c>
      <c r="K6809" t="s">
        <v>6256</v>
      </c>
      <c r="L6809">
        <v>9</v>
      </c>
      <c r="M6809" t="s">
        <v>22907</v>
      </c>
      <c r="N6809" t="s">
        <v>142</v>
      </c>
      <c r="O6809" t="s">
        <v>46</v>
      </c>
      <c r="P6809" t="s">
        <v>46</v>
      </c>
      <c r="Y6809" t="s">
        <v>22908</v>
      </c>
    </row>
    <row r="6810" spans="1:25">
      <c r="A6810" t="s">
        <v>22909</v>
      </c>
      <c r="B6810" t="s">
        <v>22910</v>
      </c>
      <c r="D6810" t="s">
        <v>40</v>
      </c>
      <c r="E6810" t="s">
        <v>41</v>
      </c>
      <c r="J6810" t="s">
        <v>139</v>
      </c>
      <c r="K6810" t="s">
        <v>140</v>
      </c>
      <c r="L6810">
        <v>9</v>
      </c>
      <c r="M6810" t="s">
        <v>22911</v>
      </c>
      <c r="N6810" t="s">
        <v>1276</v>
      </c>
      <c r="O6810" t="s">
        <v>46</v>
      </c>
      <c r="P6810" t="s">
        <v>46</v>
      </c>
      <c r="Y6810" t="s">
        <v>22912</v>
      </c>
    </row>
    <row r="6811" spans="1:25">
      <c r="A6811" t="s">
        <v>22913</v>
      </c>
      <c r="B6811" t="s">
        <v>22914</v>
      </c>
      <c r="D6811" t="s">
        <v>40</v>
      </c>
      <c r="E6811" t="s">
        <v>41</v>
      </c>
      <c r="J6811" t="s">
        <v>248</v>
      </c>
      <c r="K6811" t="s">
        <v>249</v>
      </c>
      <c r="L6811">
        <v>9</v>
      </c>
      <c r="M6811" t="s">
        <v>22915</v>
      </c>
      <c r="N6811" t="s">
        <v>509</v>
      </c>
      <c r="O6811" t="s">
        <v>46</v>
      </c>
      <c r="P6811" t="s">
        <v>46</v>
      </c>
      <c r="Y6811" t="s">
        <v>22916</v>
      </c>
    </row>
    <row r="6812" spans="1:25">
      <c r="A6812" t="s">
        <v>22917</v>
      </c>
      <c r="B6812" t="s">
        <v>22918</v>
      </c>
      <c r="D6812" t="s">
        <v>40</v>
      </c>
      <c r="E6812" t="s">
        <v>41</v>
      </c>
      <c r="J6812" t="s">
        <v>139</v>
      </c>
      <c r="K6812" t="s">
        <v>140</v>
      </c>
      <c r="L6812">
        <v>9</v>
      </c>
      <c r="M6812" t="s">
        <v>22919</v>
      </c>
      <c r="N6812" t="s">
        <v>1446</v>
      </c>
      <c r="O6812" t="s">
        <v>46</v>
      </c>
      <c r="P6812" t="s">
        <v>46</v>
      </c>
      <c r="Y6812" t="s">
        <v>22920</v>
      </c>
    </row>
    <row r="6813" spans="1:25">
      <c r="A6813" t="s">
        <v>22921</v>
      </c>
      <c r="B6813" t="s">
        <v>22922</v>
      </c>
      <c r="D6813" t="s">
        <v>40</v>
      </c>
      <c r="E6813" t="s">
        <v>41</v>
      </c>
      <c r="J6813" t="s">
        <v>1142</v>
      </c>
      <c r="K6813" t="s">
        <v>1143</v>
      </c>
      <c r="L6813">
        <v>9</v>
      </c>
      <c r="M6813" t="s">
        <v>22923</v>
      </c>
      <c r="N6813" t="s">
        <v>617</v>
      </c>
      <c r="O6813" t="s">
        <v>46</v>
      </c>
      <c r="P6813" t="s">
        <v>46</v>
      </c>
      <c r="Y6813" t="s">
        <v>22924</v>
      </c>
    </row>
    <row r="6814" spans="1:25">
      <c r="A6814" t="s">
        <v>22925</v>
      </c>
      <c r="B6814" t="s">
        <v>22926</v>
      </c>
      <c r="D6814" t="s">
        <v>40</v>
      </c>
      <c r="E6814" t="s">
        <v>41</v>
      </c>
      <c r="J6814" t="s">
        <v>139</v>
      </c>
      <c r="K6814" t="s">
        <v>140</v>
      </c>
      <c r="L6814">
        <v>9</v>
      </c>
      <c r="M6814" t="s">
        <v>22927</v>
      </c>
      <c r="N6814" t="s">
        <v>58</v>
      </c>
      <c r="O6814" t="s">
        <v>46</v>
      </c>
      <c r="P6814" t="s">
        <v>46</v>
      </c>
      <c r="Y6814" t="s">
        <v>22928</v>
      </c>
    </row>
    <row r="6815" spans="1:25">
      <c r="A6815" t="s">
        <v>22929</v>
      </c>
      <c r="B6815" t="s">
        <v>22930</v>
      </c>
      <c r="D6815" t="s">
        <v>40</v>
      </c>
      <c r="E6815" t="s">
        <v>41</v>
      </c>
      <c r="J6815" t="s">
        <v>248</v>
      </c>
      <c r="K6815" t="s">
        <v>249</v>
      </c>
      <c r="L6815">
        <v>9</v>
      </c>
      <c r="M6815" t="s">
        <v>22931</v>
      </c>
      <c r="N6815" t="s">
        <v>315</v>
      </c>
      <c r="O6815" t="s">
        <v>46</v>
      </c>
      <c r="P6815" t="s">
        <v>46</v>
      </c>
      <c r="Y6815" t="s">
        <v>22932</v>
      </c>
    </row>
    <row r="6816" spans="1:25">
      <c r="A6816" t="s">
        <v>22933</v>
      </c>
      <c r="B6816" t="s">
        <v>22934</v>
      </c>
      <c r="D6816" t="s">
        <v>40</v>
      </c>
      <c r="E6816" t="s">
        <v>41</v>
      </c>
      <c r="J6816" t="s">
        <v>248</v>
      </c>
      <c r="K6816" t="s">
        <v>249</v>
      </c>
      <c r="L6816">
        <v>8</v>
      </c>
      <c r="M6816" t="s">
        <v>22935</v>
      </c>
      <c r="N6816" t="s">
        <v>173</v>
      </c>
      <c r="O6816" t="s">
        <v>46</v>
      </c>
      <c r="P6816" t="s">
        <v>46</v>
      </c>
      <c r="Y6816" t="s">
        <v>22936</v>
      </c>
    </row>
    <row r="6817" spans="1:25">
      <c r="A6817" t="s">
        <v>22937</v>
      </c>
      <c r="B6817" t="s">
        <v>22938</v>
      </c>
      <c r="D6817" t="s">
        <v>40</v>
      </c>
      <c r="E6817" t="s">
        <v>41</v>
      </c>
      <c r="J6817" t="s">
        <v>139</v>
      </c>
      <c r="K6817" t="s">
        <v>140</v>
      </c>
      <c r="L6817">
        <v>8</v>
      </c>
      <c r="M6817" t="s">
        <v>22939</v>
      </c>
      <c r="N6817" t="s">
        <v>45</v>
      </c>
      <c r="O6817" t="s">
        <v>46</v>
      </c>
      <c r="P6817" t="s">
        <v>46</v>
      </c>
      <c r="Y6817" t="s">
        <v>22940</v>
      </c>
    </row>
    <row r="6818" spans="1:25">
      <c r="A6818" t="s">
        <v>22941</v>
      </c>
      <c r="B6818" t="s">
        <v>22942</v>
      </c>
      <c r="D6818" t="s">
        <v>40</v>
      </c>
      <c r="E6818" t="s">
        <v>41</v>
      </c>
      <c r="J6818" t="s">
        <v>248</v>
      </c>
      <c r="K6818" t="s">
        <v>249</v>
      </c>
      <c r="L6818">
        <v>8</v>
      </c>
      <c r="M6818" t="s">
        <v>22943</v>
      </c>
      <c r="N6818" t="s">
        <v>1380</v>
      </c>
      <c r="O6818" t="s">
        <v>46</v>
      </c>
      <c r="P6818" t="s">
        <v>46</v>
      </c>
      <c r="Y6818" t="s">
        <v>22944</v>
      </c>
    </row>
    <row r="6819" spans="1:25">
      <c r="A6819" t="s">
        <v>22945</v>
      </c>
      <c r="B6819" t="s">
        <v>22946</v>
      </c>
      <c r="D6819" t="s">
        <v>40</v>
      </c>
      <c r="E6819" t="s">
        <v>41</v>
      </c>
      <c r="J6819" t="s">
        <v>1142</v>
      </c>
      <c r="K6819" t="s">
        <v>1143</v>
      </c>
      <c r="L6819">
        <v>8</v>
      </c>
      <c r="M6819" t="s">
        <v>22947</v>
      </c>
      <c r="N6819" t="s">
        <v>1550</v>
      </c>
      <c r="O6819" t="s">
        <v>46</v>
      </c>
      <c r="P6819" t="s">
        <v>46</v>
      </c>
      <c r="Y6819" t="s">
        <v>22948</v>
      </c>
    </row>
    <row r="6820" spans="1:25">
      <c r="A6820" t="s">
        <v>22949</v>
      </c>
      <c r="B6820" t="s">
        <v>22950</v>
      </c>
      <c r="D6820" t="s">
        <v>40</v>
      </c>
      <c r="E6820" t="s">
        <v>41</v>
      </c>
      <c r="J6820" t="s">
        <v>248</v>
      </c>
      <c r="K6820" t="s">
        <v>249</v>
      </c>
      <c r="L6820">
        <v>8</v>
      </c>
      <c r="M6820" t="s">
        <v>22951</v>
      </c>
      <c r="N6820" t="s">
        <v>350</v>
      </c>
      <c r="O6820" t="s">
        <v>46</v>
      </c>
      <c r="P6820" t="s">
        <v>46</v>
      </c>
      <c r="Y6820" t="s">
        <v>22952</v>
      </c>
    </row>
    <row r="6821" spans="1:25">
      <c r="A6821" t="s">
        <v>22953</v>
      </c>
      <c r="B6821" t="s">
        <v>22954</v>
      </c>
      <c r="D6821" t="s">
        <v>40</v>
      </c>
      <c r="E6821" t="s">
        <v>41</v>
      </c>
      <c r="J6821" t="s">
        <v>139</v>
      </c>
      <c r="K6821" t="s">
        <v>140</v>
      </c>
      <c r="L6821">
        <v>8</v>
      </c>
      <c r="M6821" t="s">
        <v>22955</v>
      </c>
      <c r="N6821" t="s">
        <v>257</v>
      </c>
      <c r="O6821" t="s">
        <v>46</v>
      </c>
      <c r="P6821" t="s">
        <v>46</v>
      </c>
      <c r="Y6821" t="s">
        <v>22956</v>
      </c>
    </row>
    <row r="6822" spans="1:25">
      <c r="A6822" t="s">
        <v>22957</v>
      </c>
      <c r="B6822" t="s">
        <v>22958</v>
      </c>
      <c r="D6822" t="s">
        <v>40</v>
      </c>
      <c r="E6822" t="s">
        <v>41</v>
      </c>
      <c r="J6822" t="s">
        <v>139</v>
      </c>
      <c r="K6822" t="s">
        <v>140</v>
      </c>
      <c r="L6822">
        <v>8</v>
      </c>
      <c r="M6822" t="s">
        <v>22959</v>
      </c>
      <c r="N6822" t="s">
        <v>178</v>
      </c>
      <c r="O6822" t="s">
        <v>46</v>
      </c>
      <c r="P6822" t="s">
        <v>46</v>
      </c>
      <c r="Y6822" t="s">
        <v>22960</v>
      </c>
    </row>
    <row r="6823" spans="1:25">
      <c r="A6823" t="s">
        <v>22961</v>
      </c>
      <c r="B6823" t="s">
        <v>22962</v>
      </c>
      <c r="D6823" t="s">
        <v>40</v>
      </c>
      <c r="E6823" t="s">
        <v>41</v>
      </c>
      <c r="J6823" t="s">
        <v>1142</v>
      </c>
      <c r="K6823" t="s">
        <v>1143</v>
      </c>
      <c r="L6823">
        <v>8</v>
      </c>
      <c r="M6823" t="s">
        <v>22963</v>
      </c>
      <c r="N6823" t="s">
        <v>1369</v>
      </c>
      <c r="O6823" t="s">
        <v>46</v>
      </c>
      <c r="P6823" t="s">
        <v>46</v>
      </c>
      <c r="Y6823" t="s">
        <v>22964</v>
      </c>
    </row>
    <row r="6824" spans="1:25">
      <c r="A6824" t="s">
        <v>22965</v>
      </c>
      <c r="B6824" t="s">
        <v>22966</v>
      </c>
      <c r="D6824" t="s">
        <v>40</v>
      </c>
      <c r="E6824" t="s">
        <v>41</v>
      </c>
      <c r="J6824" t="s">
        <v>1554</v>
      </c>
      <c r="K6824" t="s">
        <v>1555</v>
      </c>
      <c r="L6824">
        <v>8</v>
      </c>
      <c r="M6824" t="s">
        <v>22967</v>
      </c>
      <c r="N6824" t="s">
        <v>266</v>
      </c>
      <c r="O6824" t="s">
        <v>46</v>
      </c>
      <c r="P6824" t="s">
        <v>46</v>
      </c>
      <c r="Y6824" t="s">
        <v>22968</v>
      </c>
    </row>
    <row r="6825" spans="1:25">
      <c r="A6825" t="s">
        <v>22969</v>
      </c>
      <c r="B6825" t="s">
        <v>22970</v>
      </c>
      <c r="D6825" t="s">
        <v>40</v>
      </c>
      <c r="E6825" t="s">
        <v>41</v>
      </c>
      <c r="J6825" t="s">
        <v>139</v>
      </c>
      <c r="K6825" t="s">
        <v>140</v>
      </c>
      <c r="L6825">
        <v>8</v>
      </c>
      <c r="M6825" t="s">
        <v>22971</v>
      </c>
      <c r="N6825" t="s">
        <v>310</v>
      </c>
      <c r="O6825" t="s">
        <v>46</v>
      </c>
      <c r="P6825" t="s">
        <v>46</v>
      </c>
      <c r="Y6825" t="s">
        <v>22972</v>
      </c>
    </row>
    <row r="6826" spans="1:25">
      <c r="A6826" t="s">
        <v>22973</v>
      </c>
      <c r="B6826" t="s">
        <v>22974</v>
      </c>
      <c r="D6826" t="s">
        <v>40</v>
      </c>
      <c r="E6826" t="s">
        <v>41</v>
      </c>
      <c r="J6826" t="s">
        <v>2619</v>
      </c>
      <c r="K6826" t="s">
        <v>140</v>
      </c>
      <c r="L6826">
        <v>8</v>
      </c>
      <c r="M6826" t="s">
        <v>22975</v>
      </c>
      <c r="N6826" t="s">
        <v>2621</v>
      </c>
      <c r="O6826" t="s">
        <v>46</v>
      </c>
      <c r="P6826" t="s">
        <v>46</v>
      </c>
      <c r="Y6826" t="s">
        <v>22976</v>
      </c>
    </row>
    <row r="6827" spans="1:25">
      <c r="A6827" t="s">
        <v>22977</v>
      </c>
      <c r="B6827" t="s">
        <v>22978</v>
      </c>
      <c r="D6827" t="s">
        <v>40</v>
      </c>
      <c r="E6827" t="s">
        <v>41</v>
      </c>
      <c r="J6827" t="s">
        <v>139</v>
      </c>
      <c r="K6827" t="s">
        <v>140</v>
      </c>
      <c r="L6827">
        <v>8</v>
      </c>
      <c r="M6827" t="s">
        <v>22979</v>
      </c>
      <c r="N6827" t="s">
        <v>165</v>
      </c>
      <c r="O6827" t="s">
        <v>46</v>
      </c>
      <c r="P6827" t="s">
        <v>46</v>
      </c>
      <c r="Y6827" t="s">
        <v>22980</v>
      </c>
    </row>
    <row r="6828" spans="1:25">
      <c r="A6828" t="s">
        <v>22981</v>
      </c>
      <c r="B6828" t="s">
        <v>22982</v>
      </c>
      <c r="D6828" t="s">
        <v>40</v>
      </c>
      <c r="E6828" t="s">
        <v>41</v>
      </c>
      <c r="J6828" t="s">
        <v>1554</v>
      </c>
      <c r="K6828" t="s">
        <v>1555</v>
      </c>
      <c r="L6828">
        <v>8</v>
      </c>
      <c r="M6828" t="s">
        <v>22979</v>
      </c>
      <c r="N6828" t="s">
        <v>257</v>
      </c>
      <c r="O6828" t="s">
        <v>46</v>
      </c>
      <c r="P6828" t="s">
        <v>46</v>
      </c>
      <c r="Y6828" t="s">
        <v>22983</v>
      </c>
    </row>
    <row r="6829" spans="1:25">
      <c r="A6829" t="s">
        <v>22984</v>
      </c>
      <c r="B6829" t="s">
        <v>22985</v>
      </c>
      <c r="D6829" t="s">
        <v>40</v>
      </c>
      <c r="E6829" t="s">
        <v>41</v>
      </c>
      <c r="J6829" t="s">
        <v>139</v>
      </c>
      <c r="K6829" t="s">
        <v>140</v>
      </c>
      <c r="L6829">
        <v>9</v>
      </c>
      <c r="M6829" t="s">
        <v>22986</v>
      </c>
      <c r="N6829" t="s">
        <v>1446</v>
      </c>
      <c r="O6829" t="s">
        <v>46</v>
      </c>
      <c r="P6829" t="s">
        <v>46</v>
      </c>
      <c r="Y6829" t="s">
        <v>22987</v>
      </c>
    </row>
    <row r="6830" spans="1:25">
      <c r="A6830" t="s">
        <v>22988</v>
      </c>
      <c r="B6830" t="s">
        <v>22989</v>
      </c>
      <c r="D6830" t="s">
        <v>40</v>
      </c>
      <c r="E6830" t="s">
        <v>41</v>
      </c>
      <c r="J6830" t="s">
        <v>139</v>
      </c>
      <c r="K6830" t="s">
        <v>140</v>
      </c>
      <c r="L6830">
        <v>9</v>
      </c>
      <c r="M6830" t="s">
        <v>22990</v>
      </c>
      <c r="N6830" t="s">
        <v>5995</v>
      </c>
      <c r="O6830" t="s">
        <v>46</v>
      </c>
      <c r="P6830" t="s">
        <v>46</v>
      </c>
      <c r="Y6830" t="s">
        <v>22991</v>
      </c>
    </row>
    <row r="6831" spans="1:25">
      <c r="A6831" t="s">
        <v>22992</v>
      </c>
      <c r="B6831" t="s">
        <v>22993</v>
      </c>
      <c r="D6831" t="s">
        <v>40</v>
      </c>
      <c r="E6831" t="s">
        <v>41</v>
      </c>
      <c r="J6831" t="s">
        <v>1142</v>
      </c>
      <c r="K6831" t="s">
        <v>1143</v>
      </c>
      <c r="L6831">
        <v>8</v>
      </c>
      <c r="M6831" t="s">
        <v>22994</v>
      </c>
      <c r="N6831" t="s">
        <v>296</v>
      </c>
      <c r="O6831" t="s">
        <v>46</v>
      </c>
      <c r="P6831" t="s">
        <v>46</v>
      </c>
      <c r="Y6831" t="s">
        <v>22995</v>
      </c>
    </row>
    <row r="6832" spans="1:25">
      <c r="A6832" t="s">
        <v>22996</v>
      </c>
      <c r="B6832" t="s">
        <v>22997</v>
      </c>
      <c r="D6832" t="s">
        <v>40</v>
      </c>
      <c r="E6832" t="s">
        <v>41</v>
      </c>
      <c r="J6832" t="s">
        <v>248</v>
      </c>
      <c r="K6832" t="s">
        <v>249</v>
      </c>
      <c r="L6832">
        <v>8</v>
      </c>
      <c r="M6832" t="s">
        <v>22994</v>
      </c>
      <c r="N6832" t="s">
        <v>210</v>
      </c>
      <c r="O6832" t="s">
        <v>46</v>
      </c>
      <c r="P6832" t="s">
        <v>46</v>
      </c>
      <c r="Y6832" t="s">
        <v>22998</v>
      </c>
    </row>
    <row r="6833" spans="1:25">
      <c r="A6833" t="s">
        <v>22999</v>
      </c>
      <c r="B6833" t="s">
        <v>23000</v>
      </c>
      <c r="D6833" t="s">
        <v>40</v>
      </c>
      <c r="E6833" t="s">
        <v>41</v>
      </c>
      <c r="J6833" t="s">
        <v>1142</v>
      </c>
      <c r="K6833" t="s">
        <v>1143</v>
      </c>
      <c r="L6833">
        <v>8</v>
      </c>
      <c r="M6833" t="s">
        <v>23001</v>
      </c>
      <c r="N6833" t="s">
        <v>436</v>
      </c>
      <c r="O6833" t="s">
        <v>46</v>
      </c>
      <c r="P6833" t="s">
        <v>46</v>
      </c>
      <c r="Y6833" t="s">
        <v>23002</v>
      </c>
    </row>
    <row r="6834" spans="1:25">
      <c r="A6834" t="s">
        <v>23003</v>
      </c>
      <c r="B6834" t="s">
        <v>23004</v>
      </c>
      <c r="D6834" t="s">
        <v>40</v>
      </c>
      <c r="E6834" t="s">
        <v>41</v>
      </c>
      <c r="J6834" t="s">
        <v>139</v>
      </c>
      <c r="K6834" t="s">
        <v>140</v>
      </c>
      <c r="L6834">
        <v>8</v>
      </c>
      <c r="M6834" t="s">
        <v>23005</v>
      </c>
      <c r="N6834" t="s">
        <v>3013</v>
      </c>
      <c r="O6834" t="s">
        <v>46</v>
      </c>
      <c r="P6834" t="s">
        <v>46</v>
      </c>
      <c r="Y6834" t="s">
        <v>23006</v>
      </c>
    </row>
    <row r="6835" spans="1:25">
      <c r="A6835" t="s">
        <v>23007</v>
      </c>
      <c r="B6835" t="s">
        <v>23008</v>
      </c>
      <c r="D6835" t="s">
        <v>40</v>
      </c>
      <c r="E6835" t="s">
        <v>41</v>
      </c>
      <c r="J6835" t="s">
        <v>139</v>
      </c>
      <c r="K6835" t="s">
        <v>140</v>
      </c>
      <c r="L6835">
        <v>9</v>
      </c>
      <c r="M6835" t="s">
        <v>23009</v>
      </c>
      <c r="N6835" t="s">
        <v>45</v>
      </c>
      <c r="O6835" t="s">
        <v>46</v>
      </c>
      <c r="P6835" t="s">
        <v>46</v>
      </c>
      <c r="Y6835" t="s">
        <v>23010</v>
      </c>
    </row>
    <row r="6836" spans="1:25">
      <c r="A6836" t="s">
        <v>23011</v>
      </c>
      <c r="B6836" t="s">
        <v>23012</v>
      </c>
      <c r="D6836" t="s">
        <v>40</v>
      </c>
      <c r="E6836" t="s">
        <v>41</v>
      </c>
      <c r="J6836" t="s">
        <v>12440</v>
      </c>
      <c r="K6836" t="s">
        <v>12441</v>
      </c>
      <c r="L6836">
        <v>9</v>
      </c>
      <c r="M6836" t="s">
        <v>23013</v>
      </c>
      <c r="N6836" t="s">
        <v>173</v>
      </c>
      <c r="O6836" t="s">
        <v>46</v>
      </c>
      <c r="P6836" t="s">
        <v>46</v>
      </c>
      <c r="Y6836" t="s">
        <v>23014</v>
      </c>
    </row>
    <row r="6837" spans="1:25">
      <c r="A6837" t="s">
        <v>23015</v>
      </c>
      <c r="B6837" t="s">
        <v>23016</v>
      </c>
      <c r="D6837" t="s">
        <v>40</v>
      </c>
      <c r="E6837" t="s">
        <v>41</v>
      </c>
      <c r="J6837" t="s">
        <v>139</v>
      </c>
      <c r="K6837" t="s">
        <v>140</v>
      </c>
      <c r="L6837">
        <v>8</v>
      </c>
      <c r="M6837" t="s">
        <v>23017</v>
      </c>
      <c r="N6837" t="s">
        <v>741</v>
      </c>
      <c r="O6837" t="s">
        <v>46</v>
      </c>
      <c r="P6837" t="s">
        <v>46</v>
      </c>
      <c r="Y6837" t="s">
        <v>23018</v>
      </c>
    </row>
    <row r="6838" spans="1:25">
      <c r="A6838" t="s">
        <v>23019</v>
      </c>
      <c r="B6838" t="s">
        <v>23020</v>
      </c>
      <c r="D6838" t="s">
        <v>40</v>
      </c>
      <c r="E6838" t="s">
        <v>41</v>
      </c>
      <c r="J6838" t="s">
        <v>139</v>
      </c>
      <c r="K6838" t="s">
        <v>140</v>
      </c>
      <c r="L6838">
        <v>8</v>
      </c>
      <c r="M6838" t="s">
        <v>23021</v>
      </c>
      <c r="N6838" t="s">
        <v>4037</v>
      </c>
      <c r="O6838" t="s">
        <v>46</v>
      </c>
      <c r="P6838" t="s">
        <v>46</v>
      </c>
      <c r="Y6838" t="s">
        <v>23022</v>
      </c>
    </row>
    <row r="6839" spans="1:25">
      <c r="A6839" t="s">
        <v>23023</v>
      </c>
      <c r="B6839" t="s">
        <v>23024</v>
      </c>
      <c r="D6839" t="s">
        <v>40</v>
      </c>
      <c r="E6839" t="s">
        <v>41</v>
      </c>
      <c r="J6839" t="s">
        <v>1554</v>
      </c>
      <c r="K6839" t="s">
        <v>1555</v>
      </c>
      <c r="L6839">
        <v>8</v>
      </c>
      <c r="M6839" t="s">
        <v>23021</v>
      </c>
      <c r="N6839" t="s">
        <v>218</v>
      </c>
      <c r="O6839" t="s">
        <v>46</v>
      </c>
      <c r="P6839" t="s">
        <v>46</v>
      </c>
      <c r="Y6839" t="s">
        <v>23025</v>
      </c>
    </row>
    <row r="6840" spans="1:25">
      <c r="A6840" t="s">
        <v>23026</v>
      </c>
      <c r="B6840" t="s">
        <v>23027</v>
      </c>
      <c r="D6840" t="s">
        <v>40</v>
      </c>
      <c r="E6840" t="s">
        <v>41</v>
      </c>
      <c r="J6840" t="s">
        <v>139</v>
      </c>
      <c r="K6840" t="s">
        <v>140</v>
      </c>
      <c r="L6840">
        <v>8</v>
      </c>
      <c r="M6840" t="s">
        <v>23028</v>
      </c>
      <c r="N6840" t="s">
        <v>178</v>
      </c>
      <c r="O6840" t="s">
        <v>46</v>
      </c>
      <c r="P6840" t="s">
        <v>46</v>
      </c>
      <c r="Y6840" t="s">
        <v>23029</v>
      </c>
    </row>
    <row r="6841" spans="1:25">
      <c r="A6841" t="s">
        <v>23030</v>
      </c>
      <c r="B6841" t="s">
        <v>23031</v>
      </c>
      <c r="D6841" t="s">
        <v>40</v>
      </c>
      <c r="E6841" t="s">
        <v>41</v>
      </c>
      <c r="J6841" t="s">
        <v>248</v>
      </c>
      <c r="K6841" t="s">
        <v>249</v>
      </c>
      <c r="L6841">
        <v>8</v>
      </c>
      <c r="M6841" t="s">
        <v>23032</v>
      </c>
      <c r="N6841" t="s">
        <v>1380</v>
      </c>
      <c r="O6841" t="s">
        <v>46</v>
      </c>
      <c r="P6841" t="s">
        <v>46</v>
      </c>
      <c r="Y6841" t="s">
        <v>23033</v>
      </c>
    </row>
    <row r="6842" spans="1:25">
      <c r="A6842" t="s">
        <v>23034</v>
      </c>
      <c r="B6842" t="s">
        <v>23035</v>
      </c>
      <c r="D6842" t="s">
        <v>40</v>
      </c>
      <c r="E6842" t="s">
        <v>41</v>
      </c>
      <c r="J6842" t="s">
        <v>1142</v>
      </c>
      <c r="K6842" t="s">
        <v>1143</v>
      </c>
      <c r="L6842">
        <v>8</v>
      </c>
      <c r="M6842" t="s">
        <v>23036</v>
      </c>
      <c r="N6842" t="s">
        <v>1814</v>
      </c>
      <c r="O6842" t="s">
        <v>46</v>
      </c>
      <c r="P6842" t="s">
        <v>46</v>
      </c>
      <c r="Y6842" t="s">
        <v>23037</v>
      </c>
    </row>
    <row r="6843" spans="1:25">
      <c r="A6843" t="s">
        <v>23038</v>
      </c>
      <c r="B6843" t="s">
        <v>23039</v>
      </c>
      <c r="D6843" t="s">
        <v>40</v>
      </c>
      <c r="E6843" t="s">
        <v>41</v>
      </c>
      <c r="J6843" t="s">
        <v>139</v>
      </c>
      <c r="K6843" t="s">
        <v>140</v>
      </c>
      <c r="L6843">
        <v>8</v>
      </c>
      <c r="M6843" t="s">
        <v>23040</v>
      </c>
      <c r="N6843" t="s">
        <v>165</v>
      </c>
      <c r="O6843" t="s">
        <v>46</v>
      </c>
      <c r="P6843" t="s">
        <v>46</v>
      </c>
      <c r="Y6843" t="s">
        <v>23041</v>
      </c>
    </row>
    <row r="6844" spans="1:25">
      <c r="A6844" t="s">
        <v>23042</v>
      </c>
      <c r="B6844" t="s">
        <v>23043</v>
      </c>
      <c r="D6844" t="s">
        <v>40</v>
      </c>
      <c r="E6844" t="s">
        <v>41</v>
      </c>
      <c r="J6844" t="s">
        <v>599</v>
      </c>
      <c r="K6844" t="s">
        <v>600</v>
      </c>
      <c r="L6844">
        <v>8</v>
      </c>
      <c r="M6844" t="s">
        <v>23044</v>
      </c>
      <c r="N6844" t="s">
        <v>3013</v>
      </c>
      <c r="O6844" t="s">
        <v>46</v>
      </c>
      <c r="P6844" t="s">
        <v>46</v>
      </c>
      <c r="Y6844" t="s">
        <v>23045</v>
      </c>
    </row>
    <row r="6845" spans="1:25">
      <c r="A6845" t="s">
        <v>23046</v>
      </c>
      <c r="B6845" t="s">
        <v>23047</v>
      </c>
      <c r="D6845" t="s">
        <v>40</v>
      </c>
      <c r="E6845" t="s">
        <v>41</v>
      </c>
      <c r="J6845" t="s">
        <v>248</v>
      </c>
      <c r="K6845" t="s">
        <v>249</v>
      </c>
      <c r="L6845">
        <v>8</v>
      </c>
      <c r="M6845" t="s">
        <v>23044</v>
      </c>
      <c r="N6845" t="s">
        <v>1369</v>
      </c>
      <c r="O6845" t="s">
        <v>46</v>
      </c>
      <c r="P6845" t="s">
        <v>46</v>
      </c>
      <c r="Y6845" t="s">
        <v>23048</v>
      </c>
    </row>
    <row r="6846" spans="1:25">
      <c r="A6846" t="s">
        <v>23049</v>
      </c>
      <c r="B6846" t="s">
        <v>23050</v>
      </c>
      <c r="D6846" t="s">
        <v>40</v>
      </c>
      <c r="E6846" t="s">
        <v>41</v>
      </c>
      <c r="J6846" t="s">
        <v>139</v>
      </c>
      <c r="K6846" t="s">
        <v>140</v>
      </c>
      <c r="L6846">
        <v>8</v>
      </c>
      <c r="M6846" t="s">
        <v>23051</v>
      </c>
      <c r="N6846" t="s">
        <v>178</v>
      </c>
      <c r="O6846" t="s">
        <v>46</v>
      </c>
      <c r="P6846" t="s">
        <v>46</v>
      </c>
      <c r="Y6846" t="s">
        <v>23052</v>
      </c>
    </row>
    <row r="6847" spans="1:25">
      <c r="A6847" t="s">
        <v>23053</v>
      </c>
      <c r="B6847" t="s">
        <v>23054</v>
      </c>
      <c r="D6847" t="s">
        <v>40</v>
      </c>
      <c r="E6847" t="s">
        <v>41</v>
      </c>
      <c r="J6847" t="s">
        <v>139</v>
      </c>
      <c r="K6847" t="s">
        <v>140</v>
      </c>
      <c r="L6847">
        <v>8</v>
      </c>
      <c r="M6847" t="s">
        <v>23055</v>
      </c>
      <c r="N6847" t="s">
        <v>296</v>
      </c>
      <c r="O6847" t="s">
        <v>46</v>
      </c>
      <c r="P6847" t="s">
        <v>46</v>
      </c>
      <c r="Y6847" t="s">
        <v>23056</v>
      </c>
    </row>
    <row r="6848" spans="1:25">
      <c r="A6848" t="s">
        <v>23057</v>
      </c>
      <c r="B6848" t="s">
        <v>23058</v>
      </c>
      <c r="D6848" t="s">
        <v>40</v>
      </c>
      <c r="E6848" t="s">
        <v>41</v>
      </c>
      <c r="J6848" t="s">
        <v>139</v>
      </c>
      <c r="K6848" t="s">
        <v>140</v>
      </c>
      <c r="L6848">
        <v>8</v>
      </c>
      <c r="M6848" t="s">
        <v>23059</v>
      </c>
      <c r="N6848" t="s">
        <v>1138</v>
      </c>
      <c r="O6848" t="s">
        <v>46</v>
      </c>
      <c r="P6848" t="s">
        <v>46</v>
      </c>
      <c r="Y6848" t="s">
        <v>23060</v>
      </c>
    </row>
    <row r="6849" spans="1:25">
      <c r="A6849" t="s">
        <v>23061</v>
      </c>
      <c r="B6849" t="s">
        <v>23062</v>
      </c>
      <c r="D6849" t="s">
        <v>40</v>
      </c>
      <c r="E6849" t="s">
        <v>41</v>
      </c>
      <c r="J6849" t="s">
        <v>6255</v>
      </c>
      <c r="K6849" t="s">
        <v>6256</v>
      </c>
      <c r="L6849">
        <v>8</v>
      </c>
      <c r="M6849" t="s">
        <v>23063</v>
      </c>
      <c r="N6849" t="s">
        <v>266</v>
      </c>
      <c r="O6849" t="s">
        <v>46</v>
      </c>
      <c r="P6849" t="s">
        <v>46</v>
      </c>
      <c r="Y6849" t="s">
        <v>23064</v>
      </c>
    </row>
    <row r="6850" spans="1:25">
      <c r="A6850" t="s">
        <v>23065</v>
      </c>
      <c r="B6850" t="s">
        <v>23066</v>
      </c>
      <c r="D6850" t="s">
        <v>40</v>
      </c>
      <c r="E6850" t="s">
        <v>41</v>
      </c>
      <c r="J6850" t="s">
        <v>139</v>
      </c>
      <c r="K6850" t="s">
        <v>140</v>
      </c>
      <c r="L6850">
        <v>8</v>
      </c>
      <c r="M6850" t="s">
        <v>23067</v>
      </c>
      <c r="N6850" t="s">
        <v>210</v>
      </c>
      <c r="O6850" t="s">
        <v>46</v>
      </c>
      <c r="P6850" t="s">
        <v>46</v>
      </c>
      <c r="Y6850" t="s">
        <v>23068</v>
      </c>
    </row>
    <row r="6851" spans="1:25">
      <c r="A6851" t="s">
        <v>23069</v>
      </c>
      <c r="B6851" t="s">
        <v>23070</v>
      </c>
      <c r="D6851" t="s">
        <v>40</v>
      </c>
      <c r="E6851" t="s">
        <v>41</v>
      </c>
      <c r="J6851" t="s">
        <v>23071</v>
      </c>
      <c r="K6851" t="s">
        <v>23072</v>
      </c>
      <c r="L6851">
        <v>8</v>
      </c>
      <c r="M6851" t="s">
        <v>23073</v>
      </c>
      <c r="N6851" t="s">
        <v>58</v>
      </c>
      <c r="O6851" t="s">
        <v>46</v>
      </c>
      <c r="P6851" t="s">
        <v>46</v>
      </c>
      <c r="Y6851" t="s">
        <v>23074</v>
      </c>
    </row>
    <row r="6852" spans="1:25">
      <c r="A6852" t="s">
        <v>23075</v>
      </c>
      <c r="B6852" t="s">
        <v>23076</v>
      </c>
      <c r="D6852" t="s">
        <v>40</v>
      </c>
      <c r="E6852" t="s">
        <v>41</v>
      </c>
      <c r="J6852" t="s">
        <v>248</v>
      </c>
      <c r="K6852" t="s">
        <v>249</v>
      </c>
      <c r="L6852">
        <v>8</v>
      </c>
      <c r="M6852" t="s">
        <v>23077</v>
      </c>
      <c r="N6852" t="s">
        <v>305</v>
      </c>
      <c r="O6852" t="s">
        <v>46</v>
      </c>
      <c r="P6852" t="s">
        <v>46</v>
      </c>
      <c r="Y6852" t="s">
        <v>23078</v>
      </c>
    </row>
    <row r="6853" spans="1:25">
      <c r="A6853" t="s">
        <v>23079</v>
      </c>
      <c r="B6853" t="s">
        <v>23080</v>
      </c>
      <c r="D6853" t="s">
        <v>40</v>
      </c>
      <c r="E6853" t="s">
        <v>41</v>
      </c>
      <c r="J6853" t="s">
        <v>6179</v>
      </c>
      <c r="K6853" t="s">
        <v>6180</v>
      </c>
      <c r="L6853">
        <v>8</v>
      </c>
      <c r="M6853" t="s">
        <v>23081</v>
      </c>
      <c r="N6853" t="s">
        <v>1334</v>
      </c>
      <c r="O6853" t="s">
        <v>46</v>
      </c>
      <c r="P6853" t="s">
        <v>46</v>
      </c>
      <c r="Y6853" t="s">
        <v>23082</v>
      </c>
    </row>
    <row r="6854" spans="1:25">
      <c r="A6854" t="s">
        <v>23083</v>
      </c>
      <c r="B6854" t="s">
        <v>23084</v>
      </c>
      <c r="D6854" t="s">
        <v>40</v>
      </c>
      <c r="E6854" t="s">
        <v>41</v>
      </c>
      <c r="J6854" t="s">
        <v>248</v>
      </c>
      <c r="K6854" t="s">
        <v>249</v>
      </c>
      <c r="L6854">
        <v>8</v>
      </c>
      <c r="M6854" t="s">
        <v>23085</v>
      </c>
      <c r="N6854" t="s">
        <v>310</v>
      </c>
      <c r="O6854" t="s">
        <v>46</v>
      </c>
      <c r="P6854" t="s">
        <v>46</v>
      </c>
      <c r="Y6854" t="s">
        <v>23086</v>
      </c>
    </row>
    <row r="6855" spans="1:25">
      <c r="A6855" t="s">
        <v>23087</v>
      </c>
      <c r="B6855" t="s">
        <v>23088</v>
      </c>
      <c r="D6855" t="s">
        <v>40</v>
      </c>
      <c r="E6855" t="s">
        <v>41</v>
      </c>
      <c r="J6855" t="s">
        <v>139</v>
      </c>
      <c r="K6855" t="s">
        <v>140</v>
      </c>
      <c r="L6855">
        <v>8</v>
      </c>
      <c r="M6855" t="s">
        <v>23089</v>
      </c>
      <c r="N6855" t="s">
        <v>350</v>
      </c>
      <c r="O6855" t="s">
        <v>46</v>
      </c>
      <c r="P6855" t="s">
        <v>46</v>
      </c>
      <c r="Y6855" t="s">
        <v>23090</v>
      </c>
    </row>
    <row r="6856" spans="1:25">
      <c r="A6856" t="s">
        <v>23091</v>
      </c>
      <c r="B6856" t="s">
        <v>23092</v>
      </c>
      <c r="D6856" t="s">
        <v>40</v>
      </c>
      <c r="E6856" t="s">
        <v>41</v>
      </c>
      <c r="J6856" t="s">
        <v>248</v>
      </c>
      <c r="K6856" t="s">
        <v>249</v>
      </c>
      <c r="L6856">
        <v>8</v>
      </c>
      <c r="M6856" t="s">
        <v>23093</v>
      </c>
      <c r="N6856" t="s">
        <v>1047</v>
      </c>
      <c r="O6856" t="s">
        <v>46</v>
      </c>
      <c r="P6856" t="s">
        <v>46</v>
      </c>
      <c r="Y6856" t="s">
        <v>23094</v>
      </c>
    </row>
    <row r="6857" spans="1:25">
      <c r="A6857" t="s">
        <v>23095</v>
      </c>
      <c r="B6857" t="s">
        <v>23096</v>
      </c>
      <c r="D6857" t="s">
        <v>40</v>
      </c>
      <c r="E6857" t="s">
        <v>41</v>
      </c>
      <c r="J6857" t="s">
        <v>248</v>
      </c>
      <c r="K6857" t="s">
        <v>249</v>
      </c>
      <c r="L6857">
        <v>3</v>
      </c>
      <c r="M6857" t="s">
        <v>23097</v>
      </c>
      <c r="N6857" t="s">
        <v>53</v>
      </c>
      <c r="O6857" t="s">
        <v>46</v>
      </c>
      <c r="P6857" t="s">
        <v>46</v>
      </c>
      <c r="Y6857" t="s">
        <v>23098</v>
      </c>
    </row>
    <row r="6858" spans="1:25">
      <c r="A6858" t="s">
        <v>23099</v>
      </c>
      <c r="B6858" t="s">
        <v>23100</v>
      </c>
      <c r="D6858" t="s">
        <v>40</v>
      </c>
      <c r="E6858" t="s">
        <v>41</v>
      </c>
      <c r="J6858" t="s">
        <v>6179</v>
      </c>
      <c r="K6858" t="s">
        <v>6180</v>
      </c>
      <c r="L6858">
        <v>8</v>
      </c>
      <c r="M6858" t="s">
        <v>23101</v>
      </c>
      <c r="N6858" t="s">
        <v>1138</v>
      </c>
      <c r="O6858" t="s">
        <v>46</v>
      </c>
      <c r="P6858" t="s">
        <v>46</v>
      </c>
      <c r="Y6858" t="s">
        <v>23102</v>
      </c>
    </row>
    <row r="6859" spans="1:25">
      <c r="A6859" t="s">
        <v>23103</v>
      </c>
      <c r="B6859" t="s">
        <v>23104</v>
      </c>
      <c r="D6859" t="s">
        <v>40</v>
      </c>
      <c r="E6859" t="s">
        <v>41</v>
      </c>
      <c r="J6859" t="s">
        <v>248</v>
      </c>
      <c r="K6859" t="s">
        <v>249</v>
      </c>
      <c r="L6859">
        <v>8</v>
      </c>
      <c r="M6859" t="s">
        <v>23105</v>
      </c>
      <c r="N6859" t="s">
        <v>58</v>
      </c>
      <c r="O6859" t="s">
        <v>46</v>
      </c>
      <c r="P6859" t="s">
        <v>46</v>
      </c>
      <c r="Y6859" t="s">
        <v>23106</v>
      </c>
    </row>
    <row r="6860" spans="1:25">
      <c r="A6860" t="s">
        <v>23107</v>
      </c>
      <c r="B6860" t="s">
        <v>23108</v>
      </c>
      <c r="D6860" t="s">
        <v>40</v>
      </c>
      <c r="E6860" t="s">
        <v>41</v>
      </c>
      <c r="J6860" t="s">
        <v>248</v>
      </c>
      <c r="K6860" t="s">
        <v>249</v>
      </c>
      <c r="L6860">
        <v>8</v>
      </c>
      <c r="M6860" t="s">
        <v>23109</v>
      </c>
      <c r="N6860" t="s">
        <v>257</v>
      </c>
      <c r="O6860" t="s">
        <v>46</v>
      </c>
      <c r="P6860" t="s">
        <v>46</v>
      </c>
      <c r="Y6860" t="s">
        <v>23110</v>
      </c>
    </row>
    <row r="6861" spans="1:25">
      <c r="A6861" t="s">
        <v>23111</v>
      </c>
      <c r="B6861" t="s">
        <v>23112</v>
      </c>
      <c r="D6861" t="s">
        <v>40</v>
      </c>
      <c r="E6861" t="s">
        <v>41</v>
      </c>
      <c r="J6861" t="s">
        <v>139</v>
      </c>
      <c r="K6861" t="s">
        <v>140</v>
      </c>
      <c r="L6861">
        <v>8</v>
      </c>
      <c r="M6861" t="s">
        <v>23109</v>
      </c>
      <c r="N6861" t="s">
        <v>1814</v>
      </c>
      <c r="O6861" t="s">
        <v>46</v>
      </c>
      <c r="P6861" t="s">
        <v>46</v>
      </c>
      <c r="Y6861" t="s">
        <v>23113</v>
      </c>
    </row>
    <row r="6862" spans="1:25">
      <c r="A6862" t="s">
        <v>23114</v>
      </c>
      <c r="B6862" t="s">
        <v>23115</v>
      </c>
      <c r="D6862" t="s">
        <v>40</v>
      </c>
      <c r="E6862" t="s">
        <v>41</v>
      </c>
      <c r="J6862" t="s">
        <v>16458</v>
      </c>
      <c r="K6862" t="s">
        <v>16459</v>
      </c>
      <c r="L6862">
        <v>8</v>
      </c>
      <c r="M6862" t="s">
        <v>23116</v>
      </c>
      <c r="N6862" t="s">
        <v>173</v>
      </c>
      <c r="O6862" t="s">
        <v>46</v>
      </c>
      <c r="P6862" t="s">
        <v>46</v>
      </c>
      <c r="Y6862" t="s">
        <v>23117</v>
      </c>
    </row>
    <row r="6863" spans="1:25">
      <c r="A6863" t="s">
        <v>23118</v>
      </c>
      <c r="B6863" t="s">
        <v>23119</v>
      </c>
      <c r="D6863" t="s">
        <v>40</v>
      </c>
      <c r="E6863" t="s">
        <v>41</v>
      </c>
      <c r="J6863" t="s">
        <v>599</v>
      </c>
      <c r="K6863" t="s">
        <v>600</v>
      </c>
      <c r="L6863">
        <v>8</v>
      </c>
      <c r="M6863" t="s">
        <v>23120</v>
      </c>
      <c r="N6863" t="s">
        <v>4037</v>
      </c>
      <c r="O6863" t="s">
        <v>46</v>
      </c>
      <c r="P6863" t="s">
        <v>46</v>
      </c>
      <c r="Y6863" t="s">
        <v>23121</v>
      </c>
    </row>
    <row r="6864" spans="1:25">
      <c r="A6864" t="s">
        <v>23122</v>
      </c>
      <c r="B6864" t="s">
        <v>23123</v>
      </c>
      <c r="D6864" t="s">
        <v>40</v>
      </c>
      <c r="E6864" t="s">
        <v>41</v>
      </c>
      <c r="J6864" t="s">
        <v>139</v>
      </c>
      <c r="K6864" t="s">
        <v>140</v>
      </c>
      <c r="L6864">
        <v>8</v>
      </c>
      <c r="M6864" t="s">
        <v>23124</v>
      </c>
      <c r="N6864" t="s">
        <v>310</v>
      </c>
      <c r="O6864" t="s">
        <v>46</v>
      </c>
      <c r="P6864" t="s">
        <v>46</v>
      </c>
      <c r="Y6864" t="s">
        <v>23125</v>
      </c>
    </row>
    <row r="6865" spans="1:25">
      <c r="A6865" t="s">
        <v>23126</v>
      </c>
      <c r="B6865" t="s">
        <v>23127</v>
      </c>
      <c r="D6865" t="s">
        <v>40</v>
      </c>
      <c r="E6865" t="s">
        <v>41</v>
      </c>
      <c r="J6865" t="s">
        <v>248</v>
      </c>
      <c r="K6865" t="s">
        <v>249</v>
      </c>
      <c r="L6865">
        <v>8</v>
      </c>
      <c r="M6865" t="s">
        <v>23128</v>
      </c>
      <c r="N6865" t="s">
        <v>509</v>
      </c>
      <c r="O6865" t="s">
        <v>46</v>
      </c>
      <c r="P6865" t="s">
        <v>46</v>
      </c>
      <c r="Y6865" t="s">
        <v>23129</v>
      </c>
    </row>
    <row r="6866" spans="1:25">
      <c r="A6866" t="s">
        <v>23130</v>
      </c>
      <c r="B6866" t="s">
        <v>23131</v>
      </c>
      <c r="D6866" t="s">
        <v>40</v>
      </c>
      <c r="E6866" t="s">
        <v>41</v>
      </c>
      <c r="J6866" t="s">
        <v>1142</v>
      </c>
      <c r="K6866" t="s">
        <v>1143</v>
      </c>
      <c r="L6866">
        <v>8</v>
      </c>
      <c r="M6866" t="s">
        <v>23132</v>
      </c>
      <c r="N6866" t="s">
        <v>1024</v>
      </c>
      <c r="O6866" t="s">
        <v>46</v>
      </c>
      <c r="P6866" t="s">
        <v>46</v>
      </c>
      <c r="Y6866" t="s">
        <v>23133</v>
      </c>
    </row>
    <row r="6867" spans="1:25">
      <c r="A6867" t="s">
        <v>23134</v>
      </c>
      <c r="B6867" t="s">
        <v>23135</v>
      </c>
      <c r="D6867" t="s">
        <v>40</v>
      </c>
      <c r="E6867" t="s">
        <v>41</v>
      </c>
      <c r="J6867" t="s">
        <v>248</v>
      </c>
      <c r="K6867" t="s">
        <v>249</v>
      </c>
      <c r="L6867">
        <v>8</v>
      </c>
      <c r="M6867" t="s">
        <v>23136</v>
      </c>
      <c r="N6867" t="s">
        <v>3013</v>
      </c>
      <c r="O6867" t="s">
        <v>46</v>
      </c>
      <c r="P6867" t="s">
        <v>46</v>
      </c>
      <c r="Y6867" t="s">
        <v>23137</v>
      </c>
    </row>
    <row r="6868" spans="1:25">
      <c r="A6868" t="s">
        <v>23138</v>
      </c>
      <c r="B6868" t="s">
        <v>23139</v>
      </c>
      <c r="D6868" t="s">
        <v>40</v>
      </c>
      <c r="E6868" t="s">
        <v>41</v>
      </c>
      <c r="J6868" t="s">
        <v>12440</v>
      </c>
      <c r="K6868" t="s">
        <v>12441</v>
      </c>
      <c r="L6868">
        <v>9</v>
      </c>
      <c r="M6868" t="s">
        <v>23140</v>
      </c>
      <c r="N6868" t="s">
        <v>64</v>
      </c>
      <c r="O6868" t="s">
        <v>46</v>
      </c>
      <c r="P6868" t="s">
        <v>46</v>
      </c>
      <c r="Y6868" t="s">
        <v>23141</v>
      </c>
    </row>
    <row r="6869" spans="1:25">
      <c r="A6869" t="s">
        <v>23142</v>
      </c>
      <c r="B6869" t="s">
        <v>23143</v>
      </c>
      <c r="D6869" t="s">
        <v>40</v>
      </c>
      <c r="E6869" t="s">
        <v>41</v>
      </c>
      <c r="J6869" t="s">
        <v>1554</v>
      </c>
      <c r="K6869" t="s">
        <v>1555</v>
      </c>
      <c r="L6869">
        <v>8</v>
      </c>
      <c r="M6869" t="s">
        <v>23144</v>
      </c>
      <c r="N6869" t="s">
        <v>218</v>
      </c>
      <c r="O6869" t="s">
        <v>46</v>
      </c>
      <c r="P6869" t="s">
        <v>46</v>
      </c>
      <c r="Y6869" t="s">
        <v>23145</v>
      </c>
    </row>
    <row r="6870" spans="1:25">
      <c r="A6870" t="s">
        <v>23146</v>
      </c>
      <c r="B6870" t="s">
        <v>23147</v>
      </c>
      <c r="D6870" t="s">
        <v>40</v>
      </c>
      <c r="E6870" t="s">
        <v>41</v>
      </c>
      <c r="J6870" t="s">
        <v>911</v>
      </c>
      <c r="K6870" t="s">
        <v>912</v>
      </c>
      <c r="L6870">
        <v>8</v>
      </c>
      <c r="M6870" t="s">
        <v>23148</v>
      </c>
      <c r="N6870" t="s">
        <v>1550</v>
      </c>
      <c r="O6870" t="s">
        <v>46</v>
      </c>
      <c r="P6870" t="s">
        <v>46</v>
      </c>
      <c r="Y6870" t="s">
        <v>23149</v>
      </c>
    </row>
    <row r="6871" spans="1:25">
      <c r="A6871" t="s">
        <v>23150</v>
      </c>
      <c r="B6871" t="s">
        <v>23151</v>
      </c>
      <c r="D6871" t="s">
        <v>40</v>
      </c>
      <c r="E6871" t="s">
        <v>41</v>
      </c>
      <c r="J6871" t="s">
        <v>599</v>
      </c>
      <c r="K6871" t="s">
        <v>600</v>
      </c>
      <c r="L6871">
        <v>8</v>
      </c>
      <c r="M6871" t="s">
        <v>23152</v>
      </c>
      <c r="N6871" t="s">
        <v>1814</v>
      </c>
      <c r="O6871" t="s">
        <v>46</v>
      </c>
      <c r="P6871" t="s">
        <v>46</v>
      </c>
      <c r="Y6871" t="s">
        <v>23153</v>
      </c>
    </row>
    <row r="6872" spans="1:25">
      <c r="A6872" t="s">
        <v>23154</v>
      </c>
      <c r="B6872" t="s">
        <v>23155</v>
      </c>
      <c r="D6872" t="s">
        <v>40</v>
      </c>
      <c r="E6872" t="s">
        <v>41</v>
      </c>
      <c r="J6872" t="s">
        <v>139</v>
      </c>
      <c r="K6872" t="s">
        <v>140</v>
      </c>
      <c r="L6872">
        <v>8</v>
      </c>
      <c r="M6872" t="s">
        <v>23156</v>
      </c>
      <c r="N6872" t="s">
        <v>1380</v>
      </c>
      <c r="O6872" t="s">
        <v>46</v>
      </c>
      <c r="P6872" t="s">
        <v>46</v>
      </c>
      <c r="Y6872" t="s">
        <v>23157</v>
      </c>
    </row>
    <row r="6873" spans="1:25">
      <c r="A6873" t="s">
        <v>23158</v>
      </c>
      <c r="B6873" t="s">
        <v>23159</v>
      </c>
      <c r="D6873" t="s">
        <v>40</v>
      </c>
      <c r="E6873" t="s">
        <v>41</v>
      </c>
      <c r="J6873" t="s">
        <v>1554</v>
      </c>
      <c r="K6873" t="s">
        <v>1555</v>
      </c>
      <c r="L6873">
        <v>8</v>
      </c>
      <c r="M6873" t="s">
        <v>23160</v>
      </c>
      <c r="N6873" t="s">
        <v>1446</v>
      </c>
      <c r="O6873" t="s">
        <v>46</v>
      </c>
      <c r="P6873" t="s">
        <v>46</v>
      </c>
      <c r="Y6873" t="s">
        <v>23161</v>
      </c>
    </row>
    <row r="6874" spans="1:25">
      <c r="A6874" t="s">
        <v>23162</v>
      </c>
      <c r="B6874" t="s">
        <v>23163</v>
      </c>
      <c r="D6874" t="s">
        <v>40</v>
      </c>
      <c r="E6874" t="s">
        <v>41</v>
      </c>
      <c r="J6874" t="s">
        <v>599</v>
      </c>
      <c r="K6874" t="s">
        <v>600</v>
      </c>
      <c r="L6874">
        <v>8</v>
      </c>
      <c r="M6874" t="s">
        <v>23164</v>
      </c>
      <c r="N6874" t="s">
        <v>173</v>
      </c>
      <c r="O6874" t="s">
        <v>46</v>
      </c>
      <c r="P6874" t="s">
        <v>46</v>
      </c>
      <c r="Y6874" t="s">
        <v>23165</v>
      </c>
    </row>
    <row r="6875" spans="1:25">
      <c r="A6875" t="s">
        <v>23166</v>
      </c>
      <c r="B6875" t="s">
        <v>23167</v>
      </c>
      <c r="D6875" t="s">
        <v>40</v>
      </c>
      <c r="E6875" t="s">
        <v>41</v>
      </c>
      <c r="J6875" t="s">
        <v>139</v>
      </c>
      <c r="K6875" t="s">
        <v>140</v>
      </c>
      <c r="L6875">
        <v>8</v>
      </c>
      <c r="M6875" t="s">
        <v>23168</v>
      </c>
      <c r="N6875" t="s">
        <v>509</v>
      </c>
      <c r="O6875" t="s">
        <v>46</v>
      </c>
      <c r="P6875" t="s">
        <v>46</v>
      </c>
      <c r="Y6875" t="s">
        <v>23169</v>
      </c>
    </row>
    <row r="6876" spans="1:25">
      <c r="A6876" t="s">
        <v>23170</v>
      </c>
      <c r="B6876" t="s">
        <v>23171</v>
      </c>
      <c r="D6876" t="s">
        <v>40</v>
      </c>
      <c r="E6876" t="s">
        <v>41</v>
      </c>
      <c r="J6876" t="s">
        <v>248</v>
      </c>
      <c r="K6876" t="s">
        <v>249</v>
      </c>
      <c r="L6876">
        <v>8</v>
      </c>
      <c r="M6876" t="s">
        <v>23172</v>
      </c>
      <c r="N6876" t="s">
        <v>1024</v>
      </c>
      <c r="O6876" t="s">
        <v>46</v>
      </c>
      <c r="P6876" t="s">
        <v>46</v>
      </c>
      <c r="Y6876" t="s">
        <v>23173</v>
      </c>
    </row>
    <row r="6877" spans="1:25">
      <c r="A6877" t="s">
        <v>23174</v>
      </c>
      <c r="B6877" t="s">
        <v>23175</v>
      </c>
      <c r="D6877" t="s">
        <v>40</v>
      </c>
      <c r="E6877" t="s">
        <v>41</v>
      </c>
      <c r="J6877" t="s">
        <v>892</v>
      </c>
      <c r="K6877" t="s">
        <v>893</v>
      </c>
      <c r="L6877">
        <v>14</v>
      </c>
      <c r="M6877" t="s">
        <v>23176</v>
      </c>
      <c r="N6877" t="s">
        <v>1397</v>
      </c>
      <c r="O6877" t="s">
        <v>46</v>
      </c>
      <c r="P6877" t="s">
        <v>46</v>
      </c>
      <c r="Y6877" t="s">
        <v>23177</v>
      </c>
    </row>
    <row r="6878" spans="1:25">
      <c r="A6878" t="s">
        <v>23178</v>
      </c>
      <c r="B6878" t="s">
        <v>23179</v>
      </c>
      <c r="D6878" t="s">
        <v>40</v>
      </c>
      <c r="E6878" t="s">
        <v>41</v>
      </c>
      <c r="J6878" t="s">
        <v>248</v>
      </c>
      <c r="K6878" t="s">
        <v>249</v>
      </c>
      <c r="L6878">
        <v>8</v>
      </c>
      <c r="M6878" t="s">
        <v>23180</v>
      </c>
      <c r="N6878" t="s">
        <v>257</v>
      </c>
      <c r="O6878" t="s">
        <v>46</v>
      </c>
      <c r="P6878" t="s">
        <v>46</v>
      </c>
      <c r="Y6878" t="s">
        <v>23181</v>
      </c>
    </row>
    <row r="6879" spans="1:25">
      <c r="A6879" t="s">
        <v>23182</v>
      </c>
      <c r="B6879" t="s">
        <v>23183</v>
      </c>
      <c r="D6879" t="s">
        <v>40</v>
      </c>
      <c r="E6879" t="s">
        <v>41</v>
      </c>
      <c r="J6879" t="s">
        <v>139</v>
      </c>
      <c r="K6879" t="s">
        <v>140</v>
      </c>
      <c r="L6879">
        <v>8</v>
      </c>
      <c r="M6879" t="s">
        <v>23184</v>
      </c>
      <c r="N6879" t="s">
        <v>178</v>
      </c>
      <c r="O6879" t="s">
        <v>46</v>
      </c>
      <c r="P6879" t="s">
        <v>46</v>
      </c>
      <c r="Y6879" t="s">
        <v>23185</v>
      </c>
    </row>
    <row r="6880" spans="1:25">
      <c r="A6880" t="s">
        <v>23186</v>
      </c>
      <c r="B6880" t="s">
        <v>23187</v>
      </c>
      <c r="D6880" t="s">
        <v>40</v>
      </c>
      <c r="E6880" t="s">
        <v>41</v>
      </c>
      <c r="J6880" t="s">
        <v>248</v>
      </c>
      <c r="K6880" t="s">
        <v>249</v>
      </c>
      <c r="L6880">
        <v>8</v>
      </c>
      <c r="M6880" t="s">
        <v>23188</v>
      </c>
      <c r="N6880" t="s">
        <v>310</v>
      </c>
      <c r="O6880" t="s">
        <v>46</v>
      </c>
      <c r="P6880" t="s">
        <v>46</v>
      </c>
      <c r="Y6880" t="s">
        <v>23189</v>
      </c>
    </row>
    <row r="6881" spans="1:25">
      <c r="A6881" t="s">
        <v>23190</v>
      </c>
      <c r="B6881" t="s">
        <v>23191</v>
      </c>
      <c r="D6881" t="s">
        <v>40</v>
      </c>
      <c r="E6881" t="s">
        <v>41</v>
      </c>
      <c r="J6881" t="s">
        <v>139</v>
      </c>
      <c r="K6881" t="s">
        <v>140</v>
      </c>
      <c r="L6881">
        <v>8</v>
      </c>
      <c r="M6881" t="s">
        <v>23192</v>
      </c>
      <c r="N6881" t="s">
        <v>1550</v>
      </c>
      <c r="O6881" t="s">
        <v>46</v>
      </c>
      <c r="P6881" t="s">
        <v>46</v>
      </c>
      <c r="Y6881" t="s">
        <v>23193</v>
      </c>
    </row>
    <row r="6882" spans="1:25">
      <c r="A6882" t="s">
        <v>23194</v>
      </c>
      <c r="B6882" t="s">
        <v>23195</v>
      </c>
      <c r="D6882" t="s">
        <v>40</v>
      </c>
      <c r="E6882" t="s">
        <v>41</v>
      </c>
      <c r="J6882" t="s">
        <v>139</v>
      </c>
      <c r="K6882" t="s">
        <v>140</v>
      </c>
      <c r="L6882">
        <v>8</v>
      </c>
      <c r="M6882" t="s">
        <v>23196</v>
      </c>
      <c r="N6882" t="s">
        <v>1446</v>
      </c>
      <c r="O6882" t="s">
        <v>46</v>
      </c>
      <c r="P6882" t="s">
        <v>46</v>
      </c>
      <c r="Y6882" t="s">
        <v>23197</v>
      </c>
    </row>
    <row r="6883" spans="1:25">
      <c r="A6883" t="s">
        <v>23198</v>
      </c>
      <c r="B6883" t="s">
        <v>23199</v>
      </c>
      <c r="D6883" t="s">
        <v>40</v>
      </c>
      <c r="E6883" t="s">
        <v>41</v>
      </c>
      <c r="J6883" t="s">
        <v>248</v>
      </c>
      <c r="K6883" t="s">
        <v>249</v>
      </c>
      <c r="L6883">
        <v>8</v>
      </c>
      <c r="M6883" t="s">
        <v>23196</v>
      </c>
      <c r="N6883" t="s">
        <v>1380</v>
      </c>
      <c r="O6883" t="s">
        <v>46</v>
      </c>
      <c r="P6883" t="s">
        <v>46</v>
      </c>
      <c r="Y6883" t="s">
        <v>23200</v>
      </c>
    </row>
    <row r="6884" spans="1:25">
      <c r="A6884" t="s">
        <v>23201</v>
      </c>
      <c r="B6884" t="s">
        <v>23202</v>
      </c>
      <c r="D6884" t="s">
        <v>40</v>
      </c>
      <c r="E6884" t="s">
        <v>41</v>
      </c>
      <c r="J6884" t="s">
        <v>139</v>
      </c>
      <c r="K6884" t="s">
        <v>140</v>
      </c>
      <c r="L6884">
        <v>8</v>
      </c>
      <c r="M6884" t="s">
        <v>23203</v>
      </c>
      <c r="N6884" t="s">
        <v>310</v>
      </c>
      <c r="O6884" t="s">
        <v>46</v>
      </c>
      <c r="P6884" t="s">
        <v>46</v>
      </c>
      <c r="Y6884" t="s">
        <v>23204</v>
      </c>
    </row>
    <row r="6885" spans="1:25">
      <c r="A6885" t="s">
        <v>23205</v>
      </c>
      <c r="B6885" t="s">
        <v>23206</v>
      </c>
      <c r="D6885" t="s">
        <v>40</v>
      </c>
      <c r="E6885" t="s">
        <v>41</v>
      </c>
      <c r="J6885" t="s">
        <v>248</v>
      </c>
      <c r="K6885" t="s">
        <v>249</v>
      </c>
      <c r="L6885">
        <v>8</v>
      </c>
      <c r="M6885" t="s">
        <v>23207</v>
      </c>
      <c r="N6885" t="s">
        <v>350</v>
      </c>
      <c r="O6885" t="s">
        <v>46</v>
      </c>
      <c r="P6885" t="s">
        <v>46</v>
      </c>
      <c r="Y6885" t="s">
        <v>23208</v>
      </c>
    </row>
    <row r="6886" spans="1:25">
      <c r="A6886" t="s">
        <v>23209</v>
      </c>
      <c r="B6886" t="s">
        <v>23210</v>
      </c>
      <c r="D6886" t="s">
        <v>40</v>
      </c>
      <c r="E6886" t="s">
        <v>41</v>
      </c>
      <c r="J6886" t="s">
        <v>248</v>
      </c>
      <c r="K6886" t="s">
        <v>249</v>
      </c>
      <c r="L6886">
        <v>8</v>
      </c>
      <c r="M6886" t="s">
        <v>23211</v>
      </c>
      <c r="N6886" t="s">
        <v>1397</v>
      </c>
      <c r="O6886" t="s">
        <v>46</v>
      </c>
      <c r="P6886" t="s">
        <v>46</v>
      </c>
      <c r="Y6886" t="s">
        <v>23212</v>
      </c>
    </row>
    <row r="6887" spans="1:25">
      <c r="A6887" t="s">
        <v>23213</v>
      </c>
      <c r="B6887" t="s">
        <v>23214</v>
      </c>
      <c r="D6887" t="s">
        <v>40</v>
      </c>
      <c r="E6887" t="s">
        <v>41</v>
      </c>
      <c r="J6887" t="s">
        <v>12440</v>
      </c>
      <c r="K6887" t="s">
        <v>12441</v>
      </c>
      <c r="L6887">
        <v>8</v>
      </c>
      <c r="M6887" t="s">
        <v>23215</v>
      </c>
      <c r="N6887" t="s">
        <v>64</v>
      </c>
      <c r="O6887" t="s">
        <v>46</v>
      </c>
      <c r="P6887" t="s">
        <v>46</v>
      </c>
      <c r="Y6887" t="s">
        <v>23216</v>
      </c>
    </row>
    <row r="6888" spans="1:25">
      <c r="A6888" t="s">
        <v>23217</v>
      </c>
      <c r="B6888" t="s">
        <v>23218</v>
      </c>
      <c r="D6888" t="s">
        <v>40</v>
      </c>
      <c r="E6888" t="s">
        <v>41</v>
      </c>
      <c r="J6888" t="s">
        <v>23219</v>
      </c>
      <c r="K6888" t="s">
        <v>23220</v>
      </c>
      <c r="L6888">
        <v>11</v>
      </c>
      <c r="M6888" t="s">
        <v>23221</v>
      </c>
      <c r="N6888" t="s">
        <v>218</v>
      </c>
      <c r="O6888" t="s">
        <v>46</v>
      </c>
      <c r="P6888" t="s">
        <v>46</v>
      </c>
      <c r="Y6888" t="s">
        <v>23222</v>
      </c>
    </row>
    <row r="6889" spans="1:25">
      <c r="A6889" t="s">
        <v>23223</v>
      </c>
      <c r="B6889" t="s">
        <v>23224</v>
      </c>
      <c r="D6889" t="s">
        <v>40</v>
      </c>
      <c r="E6889" t="s">
        <v>41</v>
      </c>
      <c r="J6889" t="s">
        <v>599</v>
      </c>
      <c r="K6889" t="s">
        <v>600</v>
      </c>
      <c r="L6889">
        <v>9</v>
      </c>
      <c r="M6889" t="s">
        <v>23225</v>
      </c>
      <c r="N6889" t="s">
        <v>218</v>
      </c>
      <c r="O6889" t="s">
        <v>46</v>
      </c>
      <c r="P6889" t="s">
        <v>46</v>
      </c>
      <c r="Y6889" t="s">
        <v>23226</v>
      </c>
    </row>
    <row r="6890" spans="1:25">
      <c r="A6890" t="s">
        <v>23227</v>
      </c>
      <c r="B6890" t="s">
        <v>23228</v>
      </c>
      <c r="D6890" t="s">
        <v>40</v>
      </c>
      <c r="E6890" t="s">
        <v>41</v>
      </c>
      <c r="J6890" t="s">
        <v>599</v>
      </c>
      <c r="K6890" t="s">
        <v>600</v>
      </c>
      <c r="L6890">
        <v>9</v>
      </c>
      <c r="M6890" t="s">
        <v>23229</v>
      </c>
      <c r="N6890" t="s">
        <v>1276</v>
      </c>
      <c r="O6890" t="s">
        <v>46</v>
      </c>
      <c r="P6890" t="s">
        <v>46</v>
      </c>
      <c r="Y6890" t="s">
        <v>23230</v>
      </c>
    </row>
    <row r="6891" spans="1:25">
      <c r="A6891" t="s">
        <v>23231</v>
      </c>
      <c r="B6891" t="s">
        <v>23232</v>
      </c>
      <c r="D6891" t="s">
        <v>40</v>
      </c>
      <c r="E6891" t="s">
        <v>41</v>
      </c>
      <c r="J6891" t="s">
        <v>248</v>
      </c>
      <c r="K6891" t="s">
        <v>249</v>
      </c>
      <c r="L6891">
        <v>9</v>
      </c>
      <c r="M6891" t="s">
        <v>23233</v>
      </c>
      <c r="N6891" t="s">
        <v>1369</v>
      </c>
      <c r="O6891" t="s">
        <v>46</v>
      </c>
      <c r="P6891" t="s">
        <v>46</v>
      </c>
      <c r="Y6891" t="s">
        <v>23234</v>
      </c>
    </row>
    <row r="6892" spans="1:25">
      <c r="A6892" t="s">
        <v>23235</v>
      </c>
      <c r="B6892" t="s">
        <v>23236</v>
      </c>
      <c r="D6892" t="s">
        <v>40</v>
      </c>
      <c r="E6892" t="s">
        <v>41</v>
      </c>
      <c r="J6892" t="s">
        <v>248</v>
      </c>
      <c r="K6892" t="s">
        <v>249</v>
      </c>
      <c r="L6892">
        <v>8</v>
      </c>
      <c r="M6892" t="s">
        <v>23237</v>
      </c>
      <c r="N6892" t="s">
        <v>142</v>
      </c>
      <c r="O6892" t="s">
        <v>46</v>
      </c>
      <c r="P6892" t="s">
        <v>46</v>
      </c>
      <c r="Y6892" t="s">
        <v>23238</v>
      </c>
    </row>
    <row r="6893" spans="1:25">
      <c r="A6893" t="s">
        <v>23239</v>
      </c>
      <c r="B6893" t="s">
        <v>23240</v>
      </c>
      <c r="D6893" t="s">
        <v>40</v>
      </c>
      <c r="E6893" t="s">
        <v>41</v>
      </c>
      <c r="J6893" t="s">
        <v>248</v>
      </c>
      <c r="K6893" t="s">
        <v>249</v>
      </c>
      <c r="L6893">
        <v>10</v>
      </c>
      <c r="M6893" t="s">
        <v>23241</v>
      </c>
      <c r="N6893" t="s">
        <v>142</v>
      </c>
      <c r="O6893" t="s">
        <v>46</v>
      </c>
      <c r="P6893" t="s">
        <v>46</v>
      </c>
      <c r="Y6893" t="s">
        <v>23242</v>
      </c>
    </row>
    <row r="6894" spans="1:25">
      <c r="A6894" t="s">
        <v>23243</v>
      </c>
      <c r="B6894" t="s">
        <v>23244</v>
      </c>
      <c r="D6894" t="s">
        <v>40</v>
      </c>
      <c r="E6894" t="s">
        <v>41</v>
      </c>
      <c r="J6894" t="s">
        <v>248</v>
      </c>
      <c r="K6894" t="s">
        <v>249</v>
      </c>
      <c r="L6894">
        <v>8</v>
      </c>
      <c r="M6894" t="s">
        <v>23245</v>
      </c>
      <c r="N6894" t="s">
        <v>178</v>
      </c>
      <c r="O6894" t="s">
        <v>46</v>
      </c>
      <c r="P6894" t="s">
        <v>46</v>
      </c>
      <c r="Y6894" t="s">
        <v>23246</v>
      </c>
    </row>
    <row r="6895" spans="1:25">
      <c r="A6895" t="s">
        <v>23247</v>
      </c>
      <c r="B6895" t="s">
        <v>23248</v>
      </c>
      <c r="D6895" t="s">
        <v>40</v>
      </c>
      <c r="E6895" t="s">
        <v>41</v>
      </c>
      <c r="J6895" t="s">
        <v>14558</v>
      </c>
      <c r="K6895" t="s">
        <v>14559</v>
      </c>
      <c r="L6895">
        <v>8</v>
      </c>
      <c r="M6895" t="s">
        <v>23249</v>
      </c>
      <c r="N6895" t="s">
        <v>1024</v>
      </c>
      <c r="O6895" t="s">
        <v>46</v>
      </c>
      <c r="P6895" t="s">
        <v>46</v>
      </c>
      <c r="Y6895" t="s">
        <v>23250</v>
      </c>
    </row>
    <row r="6896" spans="1:25">
      <c r="A6896" t="s">
        <v>23251</v>
      </c>
      <c r="B6896" t="s">
        <v>23252</v>
      </c>
      <c r="D6896" t="s">
        <v>40</v>
      </c>
      <c r="E6896" t="s">
        <v>41</v>
      </c>
      <c r="J6896" t="s">
        <v>1554</v>
      </c>
      <c r="K6896" t="s">
        <v>1555</v>
      </c>
      <c r="L6896">
        <v>10</v>
      </c>
      <c r="M6896" t="s">
        <v>23253</v>
      </c>
      <c r="N6896" t="s">
        <v>58</v>
      </c>
      <c r="O6896" t="s">
        <v>46</v>
      </c>
      <c r="P6896" t="s">
        <v>46</v>
      </c>
      <c r="Y6896" t="s">
        <v>23254</v>
      </c>
    </row>
    <row r="6897" spans="1:25">
      <c r="A6897" t="s">
        <v>23255</v>
      </c>
      <c r="B6897" t="s">
        <v>23256</v>
      </c>
      <c r="D6897" t="s">
        <v>40</v>
      </c>
      <c r="E6897" t="s">
        <v>41</v>
      </c>
      <c r="J6897" t="s">
        <v>12440</v>
      </c>
      <c r="K6897" t="s">
        <v>12441</v>
      </c>
      <c r="L6897">
        <v>9</v>
      </c>
      <c r="M6897" t="s">
        <v>23257</v>
      </c>
      <c r="N6897" t="s">
        <v>64</v>
      </c>
      <c r="O6897" t="s">
        <v>46</v>
      </c>
      <c r="P6897" t="s">
        <v>46</v>
      </c>
      <c r="Y6897" t="s">
        <v>23258</v>
      </c>
    </row>
    <row r="6898" spans="1:25">
      <c r="A6898" t="s">
        <v>23259</v>
      </c>
      <c r="B6898" t="s">
        <v>23260</v>
      </c>
      <c r="D6898" t="s">
        <v>40</v>
      </c>
      <c r="E6898" t="s">
        <v>41</v>
      </c>
      <c r="J6898" t="s">
        <v>9159</v>
      </c>
      <c r="K6898" t="s">
        <v>9160</v>
      </c>
      <c r="L6898">
        <v>9</v>
      </c>
      <c r="M6898" t="s">
        <v>23261</v>
      </c>
      <c r="N6898" t="s">
        <v>1369</v>
      </c>
      <c r="O6898" t="s">
        <v>46</v>
      </c>
      <c r="P6898" t="s">
        <v>46</v>
      </c>
      <c r="Y6898" t="s">
        <v>23262</v>
      </c>
    </row>
    <row r="6899" spans="1:25">
      <c r="A6899" t="s">
        <v>23263</v>
      </c>
      <c r="B6899" t="s">
        <v>23264</v>
      </c>
      <c r="D6899" t="s">
        <v>40</v>
      </c>
      <c r="E6899" t="s">
        <v>41</v>
      </c>
      <c r="J6899" t="s">
        <v>139</v>
      </c>
      <c r="K6899" t="s">
        <v>140</v>
      </c>
      <c r="L6899">
        <v>9</v>
      </c>
      <c r="M6899" t="s">
        <v>23265</v>
      </c>
      <c r="N6899" t="s">
        <v>741</v>
      </c>
      <c r="O6899" t="s">
        <v>46</v>
      </c>
      <c r="P6899" t="s">
        <v>46</v>
      </c>
      <c r="Y6899" t="s">
        <v>23266</v>
      </c>
    </row>
    <row r="6900" spans="1:25">
      <c r="A6900" t="s">
        <v>23267</v>
      </c>
      <c r="B6900" t="s">
        <v>23268</v>
      </c>
      <c r="D6900" t="s">
        <v>40</v>
      </c>
      <c r="E6900" t="s">
        <v>41</v>
      </c>
      <c r="J6900" t="s">
        <v>248</v>
      </c>
      <c r="K6900" t="s">
        <v>249</v>
      </c>
      <c r="L6900">
        <v>8</v>
      </c>
      <c r="M6900" t="s">
        <v>23269</v>
      </c>
      <c r="N6900" t="s">
        <v>310</v>
      </c>
      <c r="O6900" t="s">
        <v>46</v>
      </c>
      <c r="P6900" t="s">
        <v>46</v>
      </c>
      <c r="Y6900" t="s">
        <v>23270</v>
      </c>
    </row>
    <row r="6901" spans="1:25">
      <c r="A6901" t="s">
        <v>23271</v>
      </c>
      <c r="B6901" t="s">
        <v>23272</v>
      </c>
      <c r="D6901" t="s">
        <v>40</v>
      </c>
      <c r="E6901" t="s">
        <v>41</v>
      </c>
      <c r="J6901" t="s">
        <v>921</v>
      </c>
      <c r="K6901" t="s">
        <v>922</v>
      </c>
      <c r="L6901">
        <v>6</v>
      </c>
      <c r="M6901" t="s">
        <v>23273</v>
      </c>
      <c r="N6901" t="s">
        <v>1397</v>
      </c>
      <c r="O6901" t="s">
        <v>46</v>
      </c>
      <c r="P6901" t="s">
        <v>46</v>
      </c>
      <c r="Y6901" t="s">
        <v>23274</v>
      </c>
    </row>
    <row r="6902" spans="1:25">
      <c r="A6902" t="s">
        <v>23275</v>
      </c>
      <c r="B6902" t="s">
        <v>23276</v>
      </c>
      <c r="D6902" t="s">
        <v>40</v>
      </c>
      <c r="E6902" t="s">
        <v>41</v>
      </c>
      <c r="J6902" t="s">
        <v>248</v>
      </c>
      <c r="K6902" t="s">
        <v>249</v>
      </c>
      <c r="L6902">
        <v>9</v>
      </c>
      <c r="M6902" t="s">
        <v>23277</v>
      </c>
      <c r="N6902" t="s">
        <v>741</v>
      </c>
      <c r="O6902" t="s">
        <v>46</v>
      </c>
      <c r="P6902" t="s">
        <v>46</v>
      </c>
      <c r="Y6902" t="s">
        <v>23278</v>
      </c>
    </row>
    <row r="6903" spans="1:25">
      <c r="A6903" t="s">
        <v>23279</v>
      </c>
      <c r="B6903" t="s">
        <v>23280</v>
      </c>
      <c r="D6903" t="s">
        <v>40</v>
      </c>
      <c r="E6903" t="s">
        <v>41</v>
      </c>
      <c r="J6903" t="s">
        <v>12440</v>
      </c>
      <c r="K6903" t="s">
        <v>12441</v>
      </c>
      <c r="L6903">
        <v>10</v>
      </c>
      <c r="M6903" t="s">
        <v>23281</v>
      </c>
      <c r="N6903" t="s">
        <v>64</v>
      </c>
      <c r="O6903" t="s">
        <v>46</v>
      </c>
      <c r="P6903" t="s">
        <v>46</v>
      </c>
      <c r="Y6903" t="s">
        <v>23282</v>
      </c>
    </row>
    <row r="6904" spans="1:25">
      <c r="A6904" t="s">
        <v>23283</v>
      </c>
      <c r="B6904" t="s">
        <v>23284</v>
      </c>
      <c r="D6904" t="s">
        <v>40</v>
      </c>
      <c r="E6904" t="s">
        <v>41</v>
      </c>
      <c r="J6904" t="s">
        <v>248</v>
      </c>
      <c r="K6904" t="s">
        <v>249</v>
      </c>
      <c r="L6904">
        <v>10</v>
      </c>
      <c r="M6904" t="s">
        <v>23285</v>
      </c>
      <c r="N6904" t="s">
        <v>1024</v>
      </c>
      <c r="O6904" t="s">
        <v>46</v>
      </c>
      <c r="P6904" t="s">
        <v>46</v>
      </c>
      <c r="Y6904" t="s">
        <v>23286</v>
      </c>
    </row>
    <row r="6905" spans="1:25">
      <c r="A6905" t="s">
        <v>23287</v>
      </c>
      <c r="B6905" t="s">
        <v>23288</v>
      </c>
      <c r="D6905" t="s">
        <v>40</v>
      </c>
      <c r="E6905" t="s">
        <v>41</v>
      </c>
      <c r="J6905" t="s">
        <v>248</v>
      </c>
      <c r="K6905" t="s">
        <v>249</v>
      </c>
      <c r="L6905">
        <v>10</v>
      </c>
      <c r="M6905" t="s">
        <v>23289</v>
      </c>
      <c r="N6905" t="s">
        <v>350</v>
      </c>
      <c r="O6905" t="s">
        <v>46</v>
      </c>
      <c r="P6905" t="s">
        <v>46</v>
      </c>
      <c r="Y6905" t="s">
        <v>23290</v>
      </c>
    </row>
    <row r="6906" spans="1:25">
      <c r="A6906" t="s">
        <v>23291</v>
      </c>
      <c r="B6906" t="s">
        <v>23292</v>
      </c>
      <c r="D6906" t="s">
        <v>40</v>
      </c>
      <c r="E6906" t="s">
        <v>41</v>
      </c>
      <c r="J6906" t="s">
        <v>139</v>
      </c>
      <c r="K6906" t="s">
        <v>140</v>
      </c>
      <c r="L6906">
        <v>9</v>
      </c>
      <c r="M6906" t="s">
        <v>23289</v>
      </c>
      <c r="N6906" t="s">
        <v>178</v>
      </c>
      <c r="O6906" t="s">
        <v>46</v>
      </c>
      <c r="P6906" t="s">
        <v>46</v>
      </c>
      <c r="Y6906" t="s">
        <v>23293</v>
      </c>
    </row>
    <row r="6907" spans="1:25">
      <c r="A6907" t="s">
        <v>23294</v>
      </c>
      <c r="B6907" t="s">
        <v>23295</v>
      </c>
      <c r="D6907" t="s">
        <v>40</v>
      </c>
      <c r="E6907" t="s">
        <v>41</v>
      </c>
      <c r="J6907" t="s">
        <v>6255</v>
      </c>
      <c r="K6907" t="s">
        <v>6256</v>
      </c>
      <c r="L6907">
        <v>9</v>
      </c>
      <c r="M6907" t="s">
        <v>23296</v>
      </c>
      <c r="N6907" t="s">
        <v>1334</v>
      </c>
      <c r="O6907" t="s">
        <v>46</v>
      </c>
      <c r="P6907" t="s">
        <v>46</v>
      </c>
      <c r="Y6907" t="s">
        <v>23297</v>
      </c>
    </row>
    <row r="6908" spans="1:25">
      <c r="A6908" t="s">
        <v>23298</v>
      </c>
      <c r="B6908" t="s">
        <v>23299</v>
      </c>
      <c r="D6908" t="s">
        <v>40</v>
      </c>
      <c r="E6908" t="s">
        <v>41</v>
      </c>
      <c r="J6908" t="s">
        <v>139</v>
      </c>
      <c r="K6908" t="s">
        <v>140</v>
      </c>
      <c r="L6908">
        <v>10</v>
      </c>
      <c r="M6908" t="s">
        <v>23300</v>
      </c>
      <c r="N6908" t="s">
        <v>1369</v>
      </c>
      <c r="O6908" t="s">
        <v>46</v>
      </c>
      <c r="P6908" t="s">
        <v>46</v>
      </c>
      <c r="Y6908" t="s">
        <v>23301</v>
      </c>
    </row>
    <row r="6909" spans="1:25">
      <c r="A6909" t="s">
        <v>23302</v>
      </c>
      <c r="B6909" t="s">
        <v>23303</v>
      </c>
      <c r="D6909" t="s">
        <v>40</v>
      </c>
      <c r="E6909" t="s">
        <v>41</v>
      </c>
      <c r="J6909" t="s">
        <v>139</v>
      </c>
      <c r="K6909" t="s">
        <v>140</v>
      </c>
      <c r="L6909">
        <v>8</v>
      </c>
      <c r="M6909" t="s">
        <v>23304</v>
      </c>
      <c r="N6909" t="s">
        <v>1397</v>
      </c>
      <c r="O6909" t="s">
        <v>46</v>
      </c>
      <c r="P6909" t="s">
        <v>46</v>
      </c>
      <c r="Y6909" t="s">
        <v>23305</v>
      </c>
    </row>
    <row r="6910" spans="1:25">
      <c r="A6910" t="s">
        <v>23306</v>
      </c>
      <c r="B6910" t="s">
        <v>23307</v>
      </c>
      <c r="D6910" t="s">
        <v>40</v>
      </c>
      <c r="E6910" t="s">
        <v>41</v>
      </c>
      <c r="J6910" t="s">
        <v>1554</v>
      </c>
      <c r="K6910" t="s">
        <v>1555</v>
      </c>
      <c r="L6910">
        <v>7</v>
      </c>
      <c r="M6910" t="s">
        <v>23308</v>
      </c>
      <c r="N6910" t="s">
        <v>142</v>
      </c>
      <c r="O6910" t="s">
        <v>46</v>
      </c>
      <c r="P6910" t="s">
        <v>46</v>
      </c>
      <c r="Y6910" t="s">
        <v>23309</v>
      </c>
    </row>
    <row r="6911" spans="1:25">
      <c r="A6911" t="s">
        <v>23310</v>
      </c>
      <c r="B6911" t="s">
        <v>23311</v>
      </c>
      <c r="D6911" t="s">
        <v>40</v>
      </c>
      <c r="E6911" t="s">
        <v>41</v>
      </c>
      <c r="J6911" t="s">
        <v>50</v>
      </c>
      <c r="K6911" t="s">
        <v>51</v>
      </c>
      <c r="L6911">
        <v>24</v>
      </c>
      <c r="M6911" t="s">
        <v>23312</v>
      </c>
      <c r="N6911" t="s">
        <v>617</v>
      </c>
      <c r="O6911" t="s">
        <v>46</v>
      </c>
      <c r="P6911" t="s">
        <v>46</v>
      </c>
      <c r="Y6911" t="s">
        <v>23313</v>
      </c>
    </row>
    <row r="6912" spans="1:25">
      <c r="A6912" t="s">
        <v>23314</v>
      </c>
      <c r="B6912" t="s">
        <v>23315</v>
      </c>
      <c r="D6912" t="s">
        <v>40</v>
      </c>
      <c r="E6912" t="s">
        <v>41</v>
      </c>
      <c r="J6912" t="s">
        <v>139</v>
      </c>
      <c r="K6912" t="s">
        <v>140</v>
      </c>
      <c r="L6912">
        <v>9</v>
      </c>
      <c r="M6912" t="s">
        <v>23316</v>
      </c>
      <c r="N6912" t="s">
        <v>310</v>
      </c>
      <c r="O6912" t="s">
        <v>46</v>
      </c>
      <c r="P6912" t="s">
        <v>46</v>
      </c>
      <c r="Y6912" t="s">
        <v>23317</v>
      </c>
    </row>
    <row r="6913" spans="1:25">
      <c r="A6913" t="s">
        <v>23318</v>
      </c>
      <c r="B6913" t="s">
        <v>23319</v>
      </c>
      <c r="D6913" t="s">
        <v>40</v>
      </c>
      <c r="E6913" t="s">
        <v>41</v>
      </c>
      <c r="J6913" t="s">
        <v>248</v>
      </c>
      <c r="K6913" t="s">
        <v>249</v>
      </c>
      <c r="L6913">
        <v>9</v>
      </c>
      <c r="M6913" t="s">
        <v>23320</v>
      </c>
      <c r="N6913" t="s">
        <v>440</v>
      </c>
      <c r="O6913" t="s">
        <v>46</v>
      </c>
      <c r="P6913" t="s">
        <v>46</v>
      </c>
      <c r="Y6913" t="s">
        <v>23321</v>
      </c>
    </row>
    <row r="6914" spans="1:25">
      <c r="A6914" t="s">
        <v>23322</v>
      </c>
      <c r="B6914" t="s">
        <v>23323</v>
      </c>
      <c r="D6914" t="s">
        <v>40</v>
      </c>
      <c r="E6914" t="s">
        <v>41</v>
      </c>
      <c r="J6914" t="s">
        <v>139</v>
      </c>
      <c r="K6914" t="s">
        <v>140</v>
      </c>
      <c r="L6914">
        <v>7</v>
      </c>
      <c r="M6914" t="s">
        <v>23324</v>
      </c>
      <c r="N6914" t="s">
        <v>142</v>
      </c>
      <c r="O6914" t="s">
        <v>46</v>
      </c>
      <c r="P6914" t="s">
        <v>46</v>
      </c>
      <c r="Y6914" t="s">
        <v>23325</v>
      </c>
    </row>
    <row r="6915" spans="1:25">
      <c r="A6915" t="s">
        <v>23326</v>
      </c>
      <c r="B6915" t="s">
        <v>23327</v>
      </c>
      <c r="D6915" t="s">
        <v>40</v>
      </c>
      <c r="E6915" t="s">
        <v>41</v>
      </c>
      <c r="J6915" t="s">
        <v>248</v>
      </c>
      <c r="K6915" t="s">
        <v>249</v>
      </c>
      <c r="L6915">
        <v>11</v>
      </c>
      <c r="M6915" t="s">
        <v>23328</v>
      </c>
      <c r="N6915" t="s">
        <v>22465</v>
      </c>
      <c r="O6915" t="s">
        <v>46</v>
      </c>
      <c r="P6915" t="s">
        <v>46</v>
      </c>
      <c r="Y6915" t="s">
        <v>23329</v>
      </c>
    </row>
    <row r="6916" spans="1:25">
      <c r="A6916" t="s">
        <v>23330</v>
      </c>
      <c r="B6916" t="s">
        <v>23331</v>
      </c>
      <c r="D6916" t="s">
        <v>40</v>
      </c>
      <c r="E6916" t="s">
        <v>41</v>
      </c>
      <c r="J6916" t="s">
        <v>248</v>
      </c>
      <c r="K6916" t="s">
        <v>249</v>
      </c>
      <c r="L6916">
        <v>11</v>
      </c>
      <c r="M6916" t="s">
        <v>23332</v>
      </c>
      <c r="N6916" t="s">
        <v>142</v>
      </c>
      <c r="O6916" t="s">
        <v>46</v>
      </c>
      <c r="P6916" t="s">
        <v>46</v>
      </c>
      <c r="Y6916" t="s">
        <v>23333</v>
      </c>
    </row>
    <row r="6917" spans="1:25">
      <c r="A6917" t="s">
        <v>23334</v>
      </c>
      <c r="B6917" t="s">
        <v>23335</v>
      </c>
      <c r="D6917" t="s">
        <v>40</v>
      </c>
      <c r="E6917" t="s">
        <v>41</v>
      </c>
      <c r="J6917" t="s">
        <v>248</v>
      </c>
      <c r="K6917" t="s">
        <v>249</v>
      </c>
      <c r="L6917">
        <v>10</v>
      </c>
      <c r="M6917" t="s">
        <v>23336</v>
      </c>
      <c r="N6917" t="s">
        <v>617</v>
      </c>
      <c r="O6917" t="s">
        <v>46</v>
      </c>
      <c r="P6917" t="s">
        <v>46</v>
      </c>
      <c r="Y6917" t="s">
        <v>23337</v>
      </c>
    </row>
    <row r="6918" spans="1:25">
      <c r="A6918" t="s">
        <v>23338</v>
      </c>
      <c r="B6918" t="s">
        <v>23339</v>
      </c>
      <c r="D6918" t="s">
        <v>40</v>
      </c>
      <c r="E6918" t="s">
        <v>41</v>
      </c>
      <c r="J6918" t="s">
        <v>248</v>
      </c>
      <c r="K6918" t="s">
        <v>249</v>
      </c>
      <c r="L6918">
        <v>10</v>
      </c>
      <c r="M6918" t="s">
        <v>23340</v>
      </c>
      <c r="N6918" t="s">
        <v>2346</v>
      </c>
      <c r="O6918" t="s">
        <v>46</v>
      </c>
      <c r="P6918" t="s">
        <v>46</v>
      </c>
      <c r="Y6918" t="s">
        <v>23341</v>
      </c>
    </row>
    <row r="6919" spans="1:25">
      <c r="A6919" t="s">
        <v>23342</v>
      </c>
      <c r="B6919" t="s">
        <v>23343</v>
      </c>
      <c r="D6919" t="s">
        <v>40</v>
      </c>
      <c r="E6919" t="s">
        <v>41</v>
      </c>
      <c r="J6919" t="s">
        <v>1142</v>
      </c>
      <c r="K6919" t="s">
        <v>1143</v>
      </c>
      <c r="L6919">
        <v>10</v>
      </c>
      <c r="M6919" t="s">
        <v>23344</v>
      </c>
      <c r="N6919" t="s">
        <v>1024</v>
      </c>
      <c r="O6919" t="s">
        <v>46</v>
      </c>
      <c r="P6919" t="s">
        <v>46</v>
      </c>
      <c r="Y6919" t="s">
        <v>23345</v>
      </c>
    </row>
    <row r="6920" spans="1:25">
      <c r="A6920" t="s">
        <v>23346</v>
      </c>
      <c r="B6920" t="s">
        <v>23347</v>
      </c>
      <c r="D6920" t="s">
        <v>40</v>
      </c>
      <c r="E6920" t="s">
        <v>41</v>
      </c>
      <c r="J6920" t="s">
        <v>248</v>
      </c>
      <c r="K6920" t="s">
        <v>249</v>
      </c>
      <c r="L6920">
        <v>10</v>
      </c>
      <c r="M6920" t="s">
        <v>23348</v>
      </c>
      <c r="N6920" t="s">
        <v>440</v>
      </c>
      <c r="O6920" t="s">
        <v>46</v>
      </c>
      <c r="P6920" t="s">
        <v>46</v>
      </c>
      <c r="Y6920" t="s">
        <v>23349</v>
      </c>
    </row>
    <row r="6921" spans="1:25">
      <c r="A6921" t="s">
        <v>23350</v>
      </c>
      <c r="B6921" t="s">
        <v>23351</v>
      </c>
      <c r="D6921" t="s">
        <v>40</v>
      </c>
      <c r="E6921" t="s">
        <v>41</v>
      </c>
      <c r="J6921" t="s">
        <v>139</v>
      </c>
      <c r="K6921" t="s">
        <v>140</v>
      </c>
      <c r="L6921">
        <v>10</v>
      </c>
      <c r="M6921" t="s">
        <v>23352</v>
      </c>
      <c r="N6921" t="s">
        <v>3013</v>
      </c>
      <c r="O6921" t="s">
        <v>46</v>
      </c>
      <c r="P6921" t="s">
        <v>46</v>
      </c>
      <c r="Y6921" t="s">
        <v>23353</v>
      </c>
    </row>
    <row r="6922" spans="1:25">
      <c r="A6922" t="s">
        <v>23354</v>
      </c>
      <c r="B6922" t="s">
        <v>23355</v>
      </c>
      <c r="D6922" t="s">
        <v>40</v>
      </c>
      <c r="E6922" t="s">
        <v>41</v>
      </c>
      <c r="J6922" t="s">
        <v>248</v>
      </c>
      <c r="K6922" t="s">
        <v>249</v>
      </c>
      <c r="L6922">
        <v>9</v>
      </c>
      <c r="M6922" t="s">
        <v>23356</v>
      </c>
      <c r="N6922" t="s">
        <v>178</v>
      </c>
      <c r="O6922" t="s">
        <v>46</v>
      </c>
      <c r="P6922" t="s">
        <v>46</v>
      </c>
      <c r="Y6922" t="s">
        <v>23357</v>
      </c>
    </row>
    <row r="6923" spans="1:25">
      <c r="A6923" t="s">
        <v>23358</v>
      </c>
      <c r="B6923" t="s">
        <v>23359</v>
      </c>
      <c r="D6923" t="s">
        <v>40</v>
      </c>
      <c r="E6923" t="s">
        <v>41</v>
      </c>
      <c r="J6923" t="s">
        <v>11802</v>
      </c>
      <c r="K6923" t="s">
        <v>11803</v>
      </c>
      <c r="L6923">
        <v>9</v>
      </c>
      <c r="M6923" t="s">
        <v>23360</v>
      </c>
      <c r="N6923" t="s">
        <v>23361</v>
      </c>
      <c r="O6923" t="s">
        <v>46</v>
      </c>
      <c r="P6923" t="s">
        <v>46</v>
      </c>
      <c r="Y6923" t="s">
        <v>23362</v>
      </c>
    </row>
    <row r="6924" spans="1:25">
      <c r="A6924" t="s">
        <v>23363</v>
      </c>
      <c r="B6924" t="s">
        <v>23364</v>
      </c>
      <c r="D6924" t="s">
        <v>40</v>
      </c>
      <c r="E6924" t="s">
        <v>41</v>
      </c>
      <c r="J6924" t="s">
        <v>6179</v>
      </c>
      <c r="K6924" t="s">
        <v>6180</v>
      </c>
      <c r="L6924">
        <v>9</v>
      </c>
      <c r="M6924" t="s">
        <v>23365</v>
      </c>
      <c r="N6924" t="s">
        <v>756</v>
      </c>
      <c r="O6924" t="s">
        <v>46</v>
      </c>
      <c r="P6924" t="s">
        <v>46</v>
      </c>
      <c r="Y6924" t="s">
        <v>23366</v>
      </c>
    </row>
    <row r="6925" spans="1:25">
      <c r="A6925" t="s">
        <v>23367</v>
      </c>
      <c r="B6925" t="s">
        <v>23368</v>
      </c>
      <c r="D6925" t="s">
        <v>40</v>
      </c>
      <c r="E6925" t="s">
        <v>41</v>
      </c>
      <c r="J6925" t="s">
        <v>12440</v>
      </c>
      <c r="K6925" t="s">
        <v>12441</v>
      </c>
      <c r="L6925">
        <v>10</v>
      </c>
      <c r="M6925" t="s">
        <v>23369</v>
      </c>
      <c r="N6925" t="s">
        <v>64</v>
      </c>
      <c r="O6925" t="s">
        <v>46</v>
      </c>
      <c r="P6925" t="s">
        <v>46</v>
      </c>
      <c r="Y6925" t="s">
        <v>23370</v>
      </c>
    </row>
    <row r="6926" spans="1:25">
      <c r="A6926" t="s">
        <v>23371</v>
      </c>
      <c r="B6926" t="s">
        <v>23372</v>
      </c>
      <c r="D6926" t="s">
        <v>40</v>
      </c>
      <c r="E6926" t="s">
        <v>41</v>
      </c>
      <c r="J6926" t="s">
        <v>1214</v>
      </c>
      <c r="K6926" t="s">
        <v>1215</v>
      </c>
      <c r="L6926">
        <v>24</v>
      </c>
      <c r="M6926" t="s">
        <v>23373</v>
      </c>
      <c r="N6926" t="s">
        <v>23374</v>
      </c>
      <c r="O6926" t="s">
        <v>46</v>
      </c>
      <c r="P6926" t="s">
        <v>46</v>
      </c>
      <c r="Y6926" t="s">
        <v>23375</v>
      </c>
    </row>
    <row r="6927" spans="1:25">
      <c r="A6927" t="s">
        <v>23376</v>
      </c>
      <c r="B6927" t="s">
        <v>23377</v>
      </c>
      <c r="D6927" t="s">
        <v>40</v>
      </c>
      <c r="E6927" t="s">
        <v>41</v>
      </c>
      <c r="J6927" t="s">
        <v>248</v>
      </c>
      <c r="K6927" t="s">
        <v>249</v>
      </c>
      <c r="L6927">
        <v>9</v>
      </c>
      <c r="M6927" t="s">
        <v>23373</v>
      </c>
      <c r="N6927" t="s">
        <v>1397</v>
      </c>
      <c r="O6927" t="s">
        <v>46</v>
      </c>
      <c r="P6927" t="s">
        <v>46</v>
      </c>
      <c r="Y6927" t="s">
        <v>23378</v>
      </c>
    </row>
    <row r="6928" spans="1:25">
      <c r="A6928" t="s">
        <v>23379</v>
      </c>
      <c r="B6928" t="s">
        <v>23380</v>
      </c>
      <c r="D6928" t="s">
        <v>40</v>
      </c>
      <c r="E6928" t="s">
        <v>41</v>
      </c>
      <c r="J6928" t="s">
        <v>139</v>
      </c>
      <c r="K6928" t="s">
        <v>140</v>
      </c>
      <c r="L6928">
        <v>9</v>
      </c>
      <c r="M6928" t="s">
        <v>23381</v>
      </c>
      <c r="N6928" t="s">
        <v>22465</v>
      </c>
      <c r="O6928" t="s">
        <v>46</v>
      </c>
      <c r="P6928" t="s">
        <v>46</v>
      </c>
      <c r="Y6928" t="s">
        <v>23382</v>
      </c>
    </row>
    <row r="6929" spans="1:25">
      <c r="A6929" t="s">
        <v>23383</v>
      </c>
      <c r="B6929" t="s">
        <v>23384</v>
      </c>
      <c r="D6929" t="s">
        <v>40</v>
      </c>
      <c r="E6929" t="s">
        <v>41</v>
      </c>
      <c r="J6929" t="s">
        <v>12440</v>
      </c>
      <c r="K6929" t="s">
        <v>12441</v>
      </c>
      <c r="L6929">
        <v>10</v>
      </c>
      <c r="M6929" t="s">
        <v>23385</v>
      </c>
      <c r="N6929" t="s">
        <v>64</v>
      </c>
      <c r="O6929" t="s">
        <v>46</v>
      </c>
      <c r="P6929" t="s">
        <v>46</v>
      </c>
      <c r="Y6929" t="s">
        <v>23386</v>
      </c>
    </row>
    <row r="6930" spans="1:25">
      <c r="A6930" t="s">
        <v>23387</v>
      </c>
      <c r="B6930" t="s">
        <v>23388</v>
      </c>
      <c r="D6930" t="s">
        <v>40</v>
      </c>
      <c r="E6930" t="s">
        <v>41</v>
      </c>
      <c r="J6930" t="s">
        <v>1142</v>
      </c>
      <c r="K6930" t="s">
        <v>1143</v>
      </c>
      <c r="L6930">
        <v>9</v>
      </c>
      <c r="M6930" t="s">
        <v>23389</v>
      </c>
      <c r="N6930" t="s">
        <v>310</v>
      </c>
      <c r="O6930" t="s">
        <v>46</v>
      </c>
      <c r="P6930" t="s">
        <v>46</v>
      </c>
      <c r="Y6930" t="s">
        <v>23390</v>
      </c>
    </row>
    <row r="6931" spans="1:25">
      <c r="A6931" t="s">
        <v>23391</v>
      </c>
      <c r="B6931" t="s">
        <v>23392</v>
      </c>
      <c r="D6931" t="s">
        <v>40</v>
      </c>
      <c r="E6931" t="s">
        <v>41</v>
      </c>
      <c r="J6931" t="s">
        <v>6255</v>
      </c>
      <c r="K6931" t="s">
        <v>6256</v>
      </c>
      <c r="L6931">
        <v>9</v>
      </c>
      <c r="M6931" t="s">
        <v>23393</v>
      </c>
      <c r="N6931" t="s">
        <v>45</v>
      </c>
      <c r="O6931" t="s">
        <v>46</v>
      </c>
      <c r="P6931" t="s">
        <v>46</v>
      </c>
      <c r="Y6931" t="s">
        <v>23394</v>
      </c>
    </row>
    <row r="6932" spans="1:25">
      <c r="A6932" t="s">
        <v>23395</v>
      </c>
      <c r="B6932" t="s">
        <v>23396</v>
      </c>
      <c r="D6932" t="s">
        <v>40</v>
      </c>
      <c r="E6932" t="s">
        <v>41</v>
      </c>
      <c r="J6932" t="s">
        <v>911</v>
      </c>
      <c r="K6932" t="s">
        <v>912</v>
      </c>
      <c r="L6932">
        <v>9</v>
      </c>
      <c r="M6932" t="s">
        <v>23397</v>
      </c>
      <c r="N6932" t="s">
        <v>741</v>
      </c>
      <c r="O6932" t="s">
        <v>46</v>
      </c>
      <c r="P6932" t="s">
        <v>46</v>
      </c>
      <c r="Y6932" t="s">
        <v>23398</v>
      </c>
    </row>
    <row r="6933" spans="1:25">
      <c r="A6933" t="s">
        <v>23399</v>
      </c>
      <c r="B6933" t="s">
        <v>23400</v>
      </c>
      <c r="D6933" t="s">
        <v>40</v>
      </c>
      <c r="E6933" t="s">
        <v>41</v>
      </c>
      <c r="J6933" t="s">
        <v>248</v>
      </c>
      <c r="K6933" t="s">
        <v>249</v>
      </c>
      <c r="L6933">
        <v>9</v>
      </c>
      <c r="M6933" t="s">
        <v>23401</v>
      </c>
      <c r="N6933" t="s">
        <v>3013</v>
      </c>
      <c r="O6933" t="s">
        <v>46</v>
      </c>
      <c r="P6933" t="s">
        <v>46</v>
      </c>
      <c r="Y6933" t="s">
        <v>23402</v>
      </c>
    </row>
    <row r="6934" spans="1:25">
      <c r="A6934" t="s">
        <v>23403</v>
      </c>
      <c r="B6934" t="s">
        <v>23404</v>
      </c>
      <c r="D6934" t="s">
        <v>40</v>
      </c>
      <c r="E6934" t="s">
        <v>41</v>
      </c>
      <c r="J6934" t="s">
        <v>248</v>
      </c>
      <c r="K6934" t="s">
        <v>249</v>
      </c>
      <c r="L6934">
        <v>9</v>
      </c>
      <c r="M6934" t="s">
        <v>23405</v>
      </c>
      <c r="N6934" t="s">
        <v>1392</v>
      </c>
      <c r="O6934" t="s">
        <v>46</v>
      </c>
      <c r="P6934" t="s">
        <v>46</v>
      </c>
      <c r="Y6934" t="s">
        <v>23406</v>
      </c>
    </row>
    <row r="6935" spans="1:25">
      <c r="A6935" t="s">
        <v>23407</v>
      </c>
      <c r="B6935" t="s">
        <v>23408</v>
      </c>
      <c r="D6935" t="s">
        <v>40</v>
      </c>
      <c r="E6935" t="s">
        <v>41</v>
      </c>
      <c r="J6935" t="s">
        <v>139</v>
      </c>
      <c r="K6935" t="s">
        <v>140</v>
      </c>
      <c r="L6935">
        <v>9</v>
      </c>
      <c r="M6935" t="s">
        <v>23409</v>
      </c>
      <c r="N6935" t="s">
        <v>741</v>
      </c>
      <c r="O6935" t="s">
        <v>46</v>
      </c>
      <c r="P6935" t="s">
        <v>46</v>
      </c>
      <c r="Y6935" t="s">
        <v>23410</v>
      </c>
    </row>
    <row r="6936" spans="1:25">
      <c r="A6936" t="s">
        <v>23411</v>
      </c>
      <c r="B6936" t="s">
        <v>23412</v>
      </c>
      <c r="D6936" t="s">
        <v>40</v>
      </c>
      <c r="E6936" t="s">
        <v>41</v>
      </c>
      <c r="J6936" t="s">
        <v>248</v>
      </c>
      <c r="K6936" t="s">
        <v>249</v>
      </c>
      <c r="L6936">
        <v>9</v>
      </c>
      <c r="M6936" t="s">
        <v>23413</v>
      </c>
      <c r="N6936" t="s">
        <v>1397</v>
      </c>
      <c r="O6936" t="s">
        <v>46</v>
      </c>
      <c r="P6936" t="s">
        <v>46</v>
      </c>
      <c r="Y6936" t="s">
        <v>23414</v>
      </c>
    </row>
    <row r="6937" spans="1:25">
      <c r="A6937" t="s">
        <v>23415</v>
      </c>
      <c r="B6937" t="s">
        <v>23416</v>
      </c>
      <c r="D6937" t="s">
        <v>40</v>
      </c>
      <c r="E6937" t="s">
        <v>41</v>
      </c>
      <c r="J6937" t="s">
        <v>139</v>
      </c>
      <c r="K6937" t="s">
        <v>140</v>
      </c>
      <c r="L6937">
        <v>9</v>
      </c>
      <c r="M6937" t="s">
        <v>23417</v>
      </c>
      <c r="N6937" t="s">
        <v>756</v>
      </c>
      <c r="O6937" t="s">
        <v>46</v>
      </c>
      <c r="P6937" t="s">
        <v>46</v>
      </c>
      <c r="Y6937" t="s">
        <v>23418</v>
      </c>
    </row>
    <row r="6938" spans="1:25">
      <c r="A6938" t="s">
        <v>23419</v>
      </c>
      <c r="B6938" t="s">
        <v>23420</v>
      </c>
      <c r="D6938" t="s">
        <v>40</v>
      </c>
      <c r="E6938" t="s">
        <v>41</v>
      </c>
      <c r="J6938" t="s">
        <v>248</v>
      </c>
      <c r="K6938" t="s">
        <v>249</v>
      </c>
      <c r="L6938">
        <v>9</v>
      </c>
      <c r="M6938" t="s">
        <v>23421</v>
      </c>
      <c r="N6938" t="s">
        <v>58</v>
      </c>
      <c r="O6938" t="s">
        <v>46</v>
      </c>
      <c r="P6938" t="s">
        <v>46</v>
      </c>
      <c r="Y6938" t="s">
        <v>23422</v>
      </c>
    </row>
    <row r="6939" spans="1:25">
      <c r="A6939" t="s">
        <v>23423</v>
      </c>
      <c r="B6939" t="s">
        <v>23424</v>
      </c>
      <c r="D6939" t="s">
        <v>40</v>
      </c>
      <c r="E6939" t="s">
        <v>41</v>
      </c>
      <c r="J6939" t="s">
        <v>139</v>
      </c>
      <c r="K6939" t="s">
        <v>140</v>
      </c>
      <c r="L6939">
        <v>9</v>
      </c>
      <c r="M6939" t="s">
        <v>23425</v>
      </c>
      <c r="N6939" t="s">
        <v>23374</v>
      </c>
      <c r="O6939" t="s">
        <v>46</v>
      </c>
      <c r="P6939" t="s">
        <v>46</v>
      </c>
      <c r="Y6939" t="s">
        <v>23426</v>
      </c>
    </row>
    <row r="6940" spans="1:25">
      <c r="A6940" t="s">
        <v>23427</v>
      </c>
      <c r="B6940" t="s">
        <v>23428</v>
      </c>
      <c r="D6940" t="s">
        <v>40</v>
      </c>
      <c r="E6940" t="s">
        <v>41</v>
      </c>
      <c r="J6940" t="s">
        <v>248</v>
      </c>
      <c r="K6940" t="s">
        <v>249</v>
      </c>
      <c r="L6940">
        <v>9</v>
      </c>
      <c r="M6940" t="s">
        <v>23429</v>
      </c>
      <c r="N6940" t="s">
        <v>1369</v>
      </c>
      <c r="O6940" t="s">
        <v>46</v>
      </c>
      <c r="P6940" t="s">
        <v>46</v>
      </c>
      <c r="Y6940" t="s">
        <v>23430</v>
      </c>
    </row>
    <row r="6941" spans="1:25">
      <c r="A6941" t="s">
        <v>23431</v>
      </c>
      <c r="B6941" t="s">
        <v>23432</v>
      </c>
      <c r="D6941" t="s">
        <v>40</v>
      </c>
      <c r="E6941" t="s">
        <v>41</v>
      </c>
      <c r="J6941" t="s">
        <v>248</v>
      </c>
      <c r="K6941" t="s">
        <v>249</v>
      </c>
      <c r="L6941">
        <v>9</v>
      </c>
      <c r="M6941" t="s">
        <v>23433</v>
      </c>
      <c r="N6941" t="s">
        <v>752</v>
      </c>
      <c r="O6941" t="s">
        <v>46</v>
      </c>
      <c r="P6941" t="s">
        <v>46</v>
      </c>
      <c r="Y6941" t="s">
        <v>23434</v>
      </c>
    </row>
    <row r="6942" spans="1:25">
      <c r="A6942" t="s">
        <v>23435</v>
      </c>
      <c r="B6942" t="s">
        <v>23436</v>
      </c>
      <c r="D6942" t="s">
        <v>40</v>
      </c>
      <c r="E6942" t="s">
        <v>41</v>
      </c>
      <c r="J6942" t="s">
        <v>12440</v>
      </c>
      <c r="K6942" t="s">
        <v>12441</v>
      </c>
      <c r="L6942">
        <v>10</v>
      </c>
      <c r="M6942" t="s">
        <v>23437</v>
      </c>
      <c r="N6942" t="s">
        <v>64</v>
      </c>
      <c r="O6942" t="s">
        <v>46</v>
      </c>
      <c r="P6942" t="s">
        <v>46</v>
      </c>
      <c r="Y6942" t="s">
        <v>23438</v>
      </c>
    </row>
    <row r="6943" spans="1:25">
      <c r="A6943" t="s">
        <v>23439</v>
      </c>
      <c r="B6943" t="s">
        <v>23440</v>
      </c>
      <c r="D6943" t="s">
        <v>40</v>
      </c>
      <c r="E6943" t="s">
        <v>41</v>
      </c>
      <c r="J6943" t="s">
        <v>248</v>
      </c>
      <c r="K6943" t="s">
        <v>249</v>
      </c>
      <c r="L6943">
        <v>9</v>
      </c>
      <c r="M6943" t="s">
        <v>23441</v>
      </c>
      <c r="N6943" t="s">
        <v>741</v>
      </c>
      <c r="O6943" t="s">
        <v>46</v>
      </c>
      <c r="P6943" t="s">
        <v>46</v>
      </c>
      <c r="Y6943" t="s">
        <v>23442</v>
      </c>
    </row>
    <row r="6944" spans="1:25">
      <c r="A6944" t="s">
        <v>23443</v>
      </c>
      <c r="B6944" t="s">
        <v>23444</v>
      </c>
      <c r="D6944" t="s">
        <v>40</v>
      </c>
      <c r="E6944" t="s">
        <v>41</v>
      </c>
      <c r="J6944" t="s">
        <v>139</v>
      </c>
      <c r="K6944" t="s">
        <v>140</v>
      </c>
      <c r="L6944">
        <v>4</v>
      </c>
      <c r="M6944" t="s">
        <v>23445</v>
      </c>
      <c r="N6944" t="s">
        <v>2346</v>
      </c>
      <c r="O6944" t="s">
        <v>46</v>
      </c>
      <c r="P6944" t="s">
        <v>46</v>
      </c>
      <c r="Y6944" t="s">
        <v>23446</v>
      </c>
    </row>
    <row r="6945" spans="1:25">
      <c r="A6945" t="s">
        <v>23447</v>
      </c>
      <c r="B6945" t="s">
        <v>23448</v>
      </c>
      <c r="D6945" t="s">
        <v>40</v>
      </c>
      <c r="E6945" t="s">
        <v>41</v>
      </c>
      <c r="J6945" t="s">
        <v>16458</v>
      </c>
      <c r="K6945" t="s">
        <v>16459</v>
      </c>
      <c r="L6945">
        <v>9</v>
      </c>
      <c r="M6945" t="s">
        <v>23449</v>
      </c>
      <c r="N6945" t="s">
        <v>1397</v>
      </c>
      <c r="O6945" t="s">
        <v>46</v>
      </c>
      <c r="P6945" t="s">
        <v>46</v>
      </c>
      <c r="Y6945" t="s">
        <v>23450</v>
      </c>
    </row>
    <row r="6946" spans="1:25">
      <c r="A6946" t="s">
        <v>23451</v>
      </c>
      <c r="B6946" t="s">
        <v>23452</v>
      </c>
      <c r="D6946" t="s">
        <v>40</v>
      </c>
      <c r="E6946" t="s">
        <v>41</v>
      </c>
      <c r="J6946" t="s">
        <v>248</v>
      </c>
      <c r="K6946" t="s">
        <v>249</v>
      </c>
      <c r="L6946">
        <v>9</v>
      </c>
      <c r="M6946" t="s">
        <v>23453</v>
      </c>
      <c r="N6946" t="s">
        <v>45</v>
      </c>
      <c r="O6946" t="s">
        <v>46</v>
      </c>
      <c r="P6946" t="s">
        <v>46</v>
      </c>
      <c r="Y6946" t="s">
        <v>23454</v>
      </c>
    </row>
    <row r="6947" spans="1:25">
      <c r="A6947" t="s">
        <v>23455</v>
      </c>
      <c r="B6947" t="s">
        <v>23456</v>
      </c>
      <c r="D6947" t="s">
        <v>40</v>
      </c>
      <c r="E6947" t="s">
        <v>41</v>
      </c>
      <c r="J6947" t="s">
        <v>14558</v>
      </c>
      <c r="K6947" t="s">
        <v>14559</v>
      </c>
      <c r="L6947">
        <v>8</v>
      </c>
      <c r="M6947" t="s">
        <v>23457</v>
      </c>
      <c r="N6947" t="s">
        <v>1392</v>
      </c>
      <c r="O6947" t="s">
        <v>46</v>
      </c>
      <c r="P6947" t="s">
        <v>46</v>
      </c>
      <c r="Y6947" t="s">
        <v>23458</v>
      </c>
    </row>
    <row r="6948" spans="1:25">
      <c r="A6948" t="s">
        <v>23459</v>
      </c>
      <c r="B6948" t="s">
        <v>23460</v>
      </c>
      <c r="D6948" t="s">
        <v>40</v>
      </c>
      <c r="E6948" t="s">
        <v>41</v>
      </c>
      <c r="J6948" t="s">
        <v>248</v>
      </c>
      <c r="K6948" t="s">
        <v>249</v>
      </c>
      <c r="L6948">
        <v>8</v>
      </c>
      <c r="M6948" t="s">
        <v>23461</v>
      </c>
      <c r="N6948" t="s">
        <v>45</v>
      </c>
      <c r="O6948" t="s">
        <v>46</v>
      </c>
      <c r="P6948" t="s">
        <v>46</v>
      </c>
      <c r="Y6948" t="s">
        <v>23462</v>
      </c>
    </row>
    <row r="6949" spans="1:25">
      <c r="A6949" t="s">
        <v>23463</v>
      </c>
      <c r="B6949" t="s">
        <v>23464</v>
      </c>
      <c r="D6949" t="s">
        <v>40</v>
      </c>
      <c r="E6949" t="s">
        <v>41</v>
      </c>
      <c r="J6949" t="s">
        <v>1142</v>
      </c>
      <c r="K6949" t="s">
        <v>1143</v>
      </c>
      <c r="L6949">
        <v>8</v>
      </c>
      <c r="M6949" t="s">
        <v>23465</v>
      </c>
      <c r="N6949" t="s">
        <v>257</v>
      </c>
      <c r="O6949" t="s">
        <v>46</v>
      </c>
      <c r="P6949" t="s">
        <v>46</v>
      </c>
      <c r="Y6949" t="s">
        <v>23466</v>
      </c>
    </row>
    <row r="6950" spans="1:25">
      <c r="A6950" t="s">
        <v>23467</v>
      </c>
      <c r="B6950" t="s">
        <v>23468</v>
      </c>
      <c r="D6950" t="s">
        <v>40</v>
      </c>
      <c r="E6950" t="s">
        <v>41</v>
      </c>
      <c r="J6950" t="s">
        <v>1142</v>
      </c>
      <c r="K6950" t="s">
        <v>1143</v>
      </c>
      <c r="L6950">
        <v>8</v>
      </c>
      <c r="M6950" t="s">
        <v>23469</v>
      </c>
      <c r="N6950" t="s">
        <v>1369</v>
      </c>
      <c r="O6950" t="s">
        <v>46</v>
      </c>
      <c r="P6950" t="s">
        <v>46</v>
      </c>
      <c r="Y6950" t="s">
        <v>23470</v>
      </c>
    </row>
    <row r="6951" spans="1:25">
      <c r="A6951" t="s">
        <v>23471</v>
      </c>
      <c r="B6951" t="s">
        <v>23472</v>
      </c>
      <c r="D6951" t="s">
        <v>40</v>
      </c>
      <c r="E6951" t="s">
        <v>41</v>
      </c>
      <c r="J6951" t="s">
        <v>139</v>
      </c>
      <c r="K6951" t="s">
        <v>140</v>
      </c>
      <c r="L6951">
        <v>8</v>
      </c>
      <c r="M6951" t="s">
        <v>23473</v>
      </c>
      <c r="N6951" t="s">
        <v>1276</v>
      </c>
      <c r="O6951" t="s">
        <v>46</v>
      </c>
      <c r="P6951" t="s">
        <v>46</v>
      </c>
      <c r="Y6951" t="s">
        <v>23474</v>
      </c>
    </row>
    <row r="6952" spans="1:25">
      <c r="A6952" t="s">
        <v>23475</v>
      </c>
      <c r="B6952" t="s">
        <v>23476</v>
      </c>
      <c r="D6952" t="s">
        <v>40</v>
      </c>
      <c r="E6952" t="s">
        <v>41</v>
      </c>
      <c r="J6952" t="s">
        <v>248</v>
      </c>
      <c r="K6952" t="s">
        <v>249</v>
      </c>
      <c r="L6952">
        <v>8</v>
      </c>
      <c r="M6952" t="s">
        <v>23477</v>
      </c>
      <c r="N6952" t="s">
        <v>310</v>
      </c>
      <c r="O6952" t="s">
        <v>46</v>
      </c>
      <c r="P6952" t="s">
        <v>46</v>
      </c>
      <c r="Y6952" t="s">
        <v>23478</v>
      </c>
    </row>
    <row r="6953" spans="1:25">
      <c r="A6953" t="s">
        <v>23479</v>
      </c>
      <c r="B6953" t="s">
        <v>23480</v>
      </c>
      <c r="D6953" t="s">
        <v>40</v>
      </c>
      <c r="E6953" t="s">
        <v>41</v>
      </c>
      <c r="J6953" t="s">
        <v>248</v>
      </c>
      <c r="K6953" t="s">
        <v>249</v>
      </c>
      <c r="L6953">
        <v>8</v>
      </c>
      <c r="M6953" t="s">
        <v>23481</v>
      </c>
      <c r="N6953" t="s">
        <v>3013</v>
      </c>
      <c r="O6953" t="s">
        <v>46</v>
      </c>
      <c r="P6953" t="s">
        <v>46</v>
      </c>
      <c r="Y6953" t="s">
        <v>23482</v>
      </c>
    </row>
    <row r="6954" spans="1:25">
      <c r="A6954" t="s">
        <v>23483</v>
      </c>
      <c r="B6954" t="s">
        <v>23484</v>
      </c>
      <c r="D6954" t="s">
        <v>40</v>
      </c>
      <c r="E6954" t="s">
        <v>41</v>
      </c>
      <c r="J6954" t="s">
        <v>248</v>
      </c>
      <c r="K6954" t="s">
        <v>249</v>
      </c>
      <c r="L6954">
        <v>9</v>
      </c>
      <c r="M6954" t="s">
        <v>23485</v>
      </c>
      <c r="N6954" t="s">
        <v>23361</v>
      </c>
      <c r="O6954" t="s">
        <v>46</v>
      </c>
      <c r="P6954" t="s">
        <v>46</v>
      </c>
      <c r="Y6954" t="s">
        <v>23486</v>
      </c>
    </row>
    <row r="6955" spans="1:25">
      <c r="A6955" t="s">
        <v>23487</v>
      </c>
      <c r="B6955" t="s">
        <v>23488</v>
      </c>
      <c r="D6955" t="s">
        <v>40</v>
      </c>
      <c r="E6955" t="s">
        <v>41</v>
      </c>
      <c r="J6955" t="s">
        <v>139</v>
      </c>
      <c r="K6955" t="s">
        <v>140</v>
      </c>
      <c r="L6955">
        <v>8</v>
      </c>
      <c r="M6955" t="s">
        <v>23489</v>
      </c>
      <c r="N6955" t="s">
        <v>310</v>
      </c>
      <c r="O6955" t="s">
        <v>46</v>
      </c>
      <c r="P6955" t="s">
        <v>46</v>
      </c>
      <c r="Y6955" t="s">
        <v>23490</v>
      </c>
    </row>
    <row r="6956" spans="1:25">
      <c r="A6956" t="s">
        <v>23491</v>
      </c>
      <c r="B6956" t="s">
        <v>23492</v>
      </c>
      <c r="D6956" t="s">
        <v>40</v>
      </c>
      <c r="E6956" t="s">
        <v>41</v>
      </c>
      <c r="J6956" t="s">
        <v>599</v>
      </c>
      <c r="K6956" t="s">
        <v>600</v>
      </c>
      <c r="L6956">
        <v>8</v>
      </c>
      <c r="M6956" t="s">
        <v>23493</v>
      </c>
      <c r="N6956" t="s">
        <v>1397</v>
      </c>
      <c r="O6956" t="s">
        <v>46</v>
      </c>
      <c r="P6956" t="s">
        <v>46</v>
      </c>
      <c r="Y6956" t="s">
        <v>23494</v>
      </c>
    </row>
    <row r="6957" spans="1:25">
      <c r="A6957" t="s">
        <v>23495</v>
      </c>
      <c r="B6957" t="s">
        <v>23496</v>
      </c>
      <c r="D6957" t="s">
        <v>40</v>
      </c>
      <c r="E6957" t="s">
        <v>41</v>
      </c>
      <c r="J6957" t="s">
        <v>139</v>
      </c>
      <c r="K6957" t="s">
        <v>140</v>
      </c>
      <c r="L6957">
        <v>8</v>
      </c>
      <c r="M6957" t="s">
        <v>23497</v>
      </c>
      <c r="N6957" t="s">
        <v>22465</v>
      </c>
      <c r="O6957" t="s">
        <v>46</v>
      </c>
      <c r="P6957" t="s">
        <v>46</v>
      </c>
      <c r="Y6957" t="s">
        <v>23498</v>
      </c>
    </row>
    <row r="6958" spans="1:25">
      <c r="A6958" t="s">
        <v>23499</v>
      </c>
      <c r="B6958" t="s">
        <v>23500</v>
      </c>
      <c r="D6958" t="s">
        <v>40</v>
      </c>
      <c r="E6958" t="s">
        <v>41</v>
      </c>
      <c r="J6958" t="s">
        <v>248</v>
      </c>
      <c r="K6958" t="s">
        <v>249</v>
      </c>
      <c r="L6958">
        <v>8</v>
      </c>
      <c r="M6958" t="s">
        <v>23501</v>
      </c>
      <c r="N6958" t="s">
        <v>58</v>
      </c>
      <c r="O6958" t="s">
        <v>46</v>
      </c>
      <c r="P6958" t="s">
        <v>46</v>
      </c>
      <c r="Y6958" t="s">
        <v>23502</v>
      </c>
    </row>
    <row r="6959" spans="1:25">
      <c r="A6959" t="s">
        <v>23503</v>
      </c>
      <c r="B6959" t="s">
        <v>23504</v>
      </c>
      <c r="D6959" t="s">
        <v>40</v>
      </c>
      <c r="E6959" t="s">
        <v>41</v>
      </c>
      <c r="J6959" t="s">
        <v>248</v>
      </c>
      <c r="K6959" t="s">
        <v>249</v>
      </c>
      <c r="L6959">
        <v>8</v>
      </c>
      <c r="M6959" t="s">
        <v>23505</v>
      </c>
      <c r="N6959" t="s">
        <v>752</v>
      </c>
      <c r="O6959" t="s">
        <v>46</v>
      </c>
      <c r="P6959" t="s">
        <v>46</v>
      </c>
      <c r="Y6959" t="s">
        <v>23506</v>
      </c>
    </row>
    <row r="6960" spans="1:25">
      <c r="A6960" t="s">
        <v>23507</v>
      </c>
      <c r="B6960" t="s">
        <v>23508</v>
      </c>
      <c r="D6960" t="s">
        <v>40</v>
      </c>
      <c r="E6960" t="s">
        <v>41</v>
      </c>
      <c r="J6960" t="s">
        <v>12440</v>
      </c>
      <c r="K6960" t="s">
        <v>12441</v>
      </c>
      <c r="L6960">
        <v>9</v>
      </c>
      <c r="M6960" t="s">
        <v>23509</v>
      </c>
      <c r="N6960" t="s">
        <v>64</v>
      </c>
      <c r="O6960" t="s">
        <v>46</v>
      </c>
      <c r="P6960" t="s">
        <v>46</v>
      </c>
      <c r="Y6960" t="s">
        <v>23510</v>
      </c>
    </row>
    <row r="6961" spans="1:25">
      <c r="A6961" t="s">
        <v>23511</v>
      </c>
      <c r="B6961" t="s">
        <v>23512</v>
      </c>
      <c r="D6961" t="s">
        <v>40</v>
      </c>
      <c r="E6961" t="s">
        <v>41</v>
      </c>
      <c r="J6961" t="s">
        <v>248</v>
      </c>
      <c r="K6961" t="s">
        <v>249</v>
      </c>
      <c r="L6961">
        <v>7</v>
      </c>
      <c r="M6961" t="s">
        <v>23513</v>
      </c>
      <c r="N6961" t="s">
        <v>178</v>
      </c>
      <c r="O6961" t="s">
        <v>46</v>
      </c>
      <c r="P6961" t="s">
        <v>46</v>
      </c>
      <c r="Y6961" t="s">
        <v>23514</v>
      </c>
    </row>
    <row r="6962" spans="1:25">
      <c r="A6962" t="s">
        <v>23515</v>
      </c>
      <c r="B6962" t="s">
        <v>23516</v>
      </c>
      <c r="D6962" t="s">
        <v>40</v>
      </c>
      <c r="E6962" t="s">
        <v>41</v>
      </c>
      <c r="J6962" t="s">
        <v>1142</v>
      </c>
      <c r="K6962" t="s">
        <v>1143</v>
      </c>
      <c r="L6962">
        <v>8</v>
      </c>
      <c r="M6962" t="s">
        <v>23517</v>
      </c>
      <c r="N6962" t="s">
        <v>1024</v>
      </c>
      <c r="O6962" t="s">
        <v>46</v>
      </c>
      <c r="P6962" t="s">
        <v>46</v>
      </c>
      <c r="Y6962" t="s">
        <v>23518</v>
      </c>
    </row>
    <row r="6963" spans="1:25">
      <c r="A6963" t="s">
        <v>23519</v>
      </c>
      <c r="B6963" t="s">
        <v>23520</v>
      </c>
      <c r="D6963" t="s">
        <v>40</v>
      </c>
      <c r="E6963" t="s">
        <v>41</v>
      </c>
      <c r="J6963" t="s">
        <v>248</v>
      </c>
      <c r="K6963" t="s">
        <v>249</v>
      </c>
      <c r="L6963">
        <v>8</v>
      </c>
      <c r="M6963" t="s">
        <v>23521</v>
      </c>
      <c r="N6963" t="s">
        <v>1446</v>
      </c>
      <c r="O6963" t="s">
        <v>46</v>
      </c>
      <c r="P6963" t="s">
        <v>46</v>
      </c>
      <c r="Y6963" t="s">
        <v>23522</v>
      </c>
    </row>
    <row r="6964" spans="1:25">
      <c r="A6964" t="s">
        <v>23523</v>
      </c>
      <c r="B6964" t="s">
        <v>23524</v>
      </c>
      <c r="D6964" t="s">
        <v>40</v>
      </c>
      <c r="E6964" t="s">
        <v>41</v>
      </c>
      <c r="J6964" t="s">
        <v>12440</v>
      </c>
      <c r="K6964" t="s">
        <v>12441</v>
      </c>
      <c r="L6964">
        <v>10</v>
      </c>
      <c r="M6964" t="s">
        <v>23525</v>
      </c>
      <c r="N6964" t="s">
        <v>45</v>
      </c>
      <c r="O6964" t="s">
        <v>46</v>
      </c>
      <c r="P6964" t="s">
        <v>46</v>
      </c>
      <c r="Y6964" t="s">
        <v>23526</v>
      </c>
    </row>
    <row r="6965" spans="1:25">
      <c r="A6965" t="s">
        <v>23527</v>
      </c>
      <c r="B6965" t="s">
        <v>23528</v>
      </c>
      <c r="D6965" t="s">
        <v>40</v>
      </c>
      <c r="E6965" t="s">
        <v>41</v>
      </c>
      <c r="J6965" t="s">
        <v>6179</v>
      </c>
      <c r="K6965" t="s">
        <v>6180</v>
      </c>
      <c r="L6965">
        <v>8</v>
      </c>
      <c r="M6965" t="s">
        <v>23529</v>
      </c>
      <c r="N6965" t="s">
        <v>58</v>
      </c>
      <c r="O6965" t="s">
        <v>46</v>
      </c>
      <c r="P6965" t="s">
        <v>46</v>
      </c>
      <c r="Y6965" t="s">
        <v>23530</v>
      </c>
    </row>
    <row r="6966" spans="1:25">
      <c r="A6966" t="s">
        <v>23531</v>
      </c>
      <c r="B6966" t="s">
        <v>23532</v>
      </c>
      <c r="D6966" t="s">
        <v>40</v>
      </c>
      <c r="E6966" t="s">
        <v>41</v>
      </c>
      <c r="J6966" t="s">
        <v>1554</v>
      </c>
      <c r="K6966" t="s">
        <v>1555</v>
      </c>
      <c r="L6966">
        <v>8</v>
      </c>
      <c r="M6966" t="s">
        <v>23529</v>
      </c>
      <c r="N6966" t="s">
        <v>350</v>
      </c>
      <c r="O6966" t="s">
        <v>46</v>
      </c>
      <c r="P6966" t="s">
        <v>46</v>
      </c>
      <c r="Y6966" t="s">
        <v>23533</v>
      </c>
    </row>
    <row r="6967" spans="1:25">
      <c r="A6967" t="s">
        <v>23534</v>
      </c>
      <c r="B6967" t="s">
        <v>23535</v>
      </c>
      <c r="D6967" t="s">
        <v>40</v>
      </c>
      <c r="E6967" t="s">
        <v>41</v>
      </c>
      <c r="J6967" t="s">
        <v>248</v>
      </c>
      <c r="K6967" t="s">
        <v>249</v>
      </c>
      <c r="L6967">
        <v>8</v>
      </c>
      <c r="M6967" t="s">
        <v>23536</v>
      </c>
      <c r="N6967" t="s">
        <v>23374</v>
      </c>
      <c r="O6967" t="s">
        <v>46</v>
      </c>
      <c r="P6967" t="s">
        <v>46</v>
      </c>
      <c r="Y6967" t="s">
        <v>23537</v>
      </c>
    </row>
    <row r="6968" spans="1:25">
      <c r="A6968" t="s">
        <v>23538</v>
      </c>
      <c r="B6968" t="s">
        <v>23539</v>
      </c>
      <c r="D6968" t="s">
        <v>40</v>
      </c>
      <c r="E6968" t="s">
        <v>41</v>
      </c>
      <c r="J6968" t="s">
        <v>139</v>
      </c>
      <c r="K6968" t="s">
        <v>140</v>
      </c>
      <c r="L6968">
        <v>9</v>
      </c>
      <c r="M6968" t="s">
        <v>23540</v>
      </c>
      <c r="N6968" t="s">
        <v>22465</v>
      </c>
      <c r="O6968" t="s">
        <v>46</v>
      </c>
      <c r="P6968" t="s">
        <v>46</v>
      </c>
      <c r="Y6968" t="s">
        <v>23541</v>
      </c>
    </row>
    <row r="6969" spans="1:25">
      <c r="A6969" t="s">
        <v>23542</v>
      </c>
      <c r="B6969" t="s">
        <v>23543</v>
      </c>
      <c r="D6969" t="s">
        <v>40</v>
      </c>
      <c r="E6969" t="s">
        <v>41</v>
      </c>
      <c r="J6969" t="s">
        <v>6255</v>
      </c>
      <c r="K6969" t="s">
        <v>6256</v>
      </c>
      <c r="L6969">
        <v>8</v>
      </c>
      <c r="M6969" t="s">
        <v>23544</v>
      </c>
      <c r="N6969" t="s">
        <v>1380</v>
      </c>
      <c r="O6969" t="s">
        <v>46</v>
      </c>
      <c r="P6969" t="s">
        <v>46</v>
      </c>
      <c r="Y6969" t="s">
        <v>23545</v>
      </c>
    </row>
    <row r="6970" spans="1:25">
      <c r="A6970" t="s">
        <v>23546</v>
      </c>
      <c r="B6970" t="s">
        <v>23547</v>
      </c>
      <c r="D6970" t="s">
        <v>40</v>
      </c>
      <c r="E6970" t="s">
        <v>41</v>
      </c>
      <c r="J6970" t="s">
        <v>248</v>
      </c>
      <c r="K6970" t="s">
        <v>249</v>
      </c>
      <c r="L6970">
        <v>9</v>
      </c>
      <c r="M6970" t="s">
        <v>23548</v>
      </c>
      <c r="N6970" t="s">
        <v>1024</v>
      </c>
      <c r="O6970" t="s">
        <v>46</v>
      </c>
      <c r="P6970" t="s">
        <v>46</v>
      </c>
      <c r="Y6970" t="s">
        <v>23549</v>
      </c>
    </row>
    <row r="6971" spans="1:25">
      <c r="A6971" t="s">
        <v>23550</v>
      </c>
      <c r="B6971" t="s">
        <v>23551</v>
      </c>
      <c r="D6971" t="s">
        <v>40</v>
      </c>
      <c r="E6971" t="s">
        <v>41</v>
      </c>
      <c r="J6971" t="s">
        <v>11802</v>
      </c>
      <c r="K6971" t="s">
        <v>11803</v>
      </c>
      <c r="L6971">
        <v>8</v>
      </c>
      <c r="M6971" t="s">
        <v>23552</v>
      </c>
      <c r="N6971" t="s">
        <v>178</v>
      </c>
      <c r="O6971" t="s">
        <v>46</v>
      </c>
      <c r="P6971" t="s">
        <v>46</v>
      </c>
      <c r="Y6971" t="s">
        <v>23553</v>
      </c>
    </row>
    <row r="6972" spans="1:25">
      <c r="A6972" t="s">
        <v>23554</v>
      </c>
      <c r="B6972" t="s">
        <v>23555</v>
      </c>
      <c r="D6972" t="s">
        <v>40</v>
      </c>
      <c r="E6972" t="s">
        <v>41</v>
      </c>
      <c r="J6972" t="s">
        <v>1554</v>
      </c>
      <c r="K6972" t="s">
        <v>1555</v>
      </c>
      <c r="L6972">
        <v>8</v>
      </c>
      <c r="M6972" t="s">
        <v>23552</v>
      </c>
      <c r="N6972" t="s">
        <v>257</v>
      </c>
      <c r="O6972" t="s">
        <v>46</v>
      </c>
      <c r="P6972" t="s">
        <v>46</v>
      </c>
      <c r="Y6972" t="s">
        <v>23556</v>
      </c>
    </row>
    <row r="6973" spans="1:25">
      <c r="A6973" t="s">
        <v>23557</v>
      </c>
      <c r="B6973" t="s">
        <v>23558</v>
      </c>
      <c r="D6973" t="s">
        <v>40</v>
      </c>
      <c r="E6973" t="s">
        <v>41</v>
      </c>
      <c r="J6973" t="s">
        <v>248</v>
      </c>
      <c r="K6973" t="s">
        <v>249</v>
      </c>
      <c r="L6973">
        <v>8</v>
      </c>
      <c r="M6973" t="s">
        <v>23559</v>
      </c>
      <c r="N6973" t="s">
        <v>1392</v>
      </c>
      <c r="O6973" t="s">
        <v>46</v>
      </c>
      <c r="P6973" t="s">
        <v>46</v>
      </c>
      <c r="Y6973" t="s">
        <v>23560</v>
      </c>
    </row>
    <row r="6974" spans="1:25">
      <c r="A6974" t="s">
        <v>23561</v>
      </c>
      <c r="B6974" t="s">
        <v>23562</v>
      </c>
      <c r="D6974" t="s">
        <v>40</v>
      </c>
      <c r="E6974" t="s">
        <v>41</v>
      </c>
      <c r="J6974" t="s">
        <v>248</v>
      </c>
      <c r="K6974" t="s">
        <v>249</v>
      </c>
      <c r="L6974">
        <v>8</v>
      </c>
      <c r="M6974" t="s">
        <v>23563</v>
      </c>
      <c r="N6974" t="s">
        <v>23361</v>
      </c>
      <c r="O6974" t="s">
        <v>46</v>
      </c>
      <c r="P6974" t="s">
        <v>46</v>
      </c>
      <c r="Y6974" t="s">
        <v>23564</v>
      </c>
    </row>
    <row r="6975" spans="1:25">
      <c r="A6975" t="s">
        <v>23565</v>
      </c>
      <c r="B6975" t="s">
        <v>23566</v>
      </c>
      <c r="D6975" t="s">
        <v>40</v>
      </c>
      <c r="E6975" t="s">
        <v>41</v>
      </c>
      <c r="J6975" t="s">
        <v>139</v>
      </c>
      <c r="K6975" t="s">
        <v>140</v>
      </c>
      <c r="L6975">
        <v>9</v>
      </c>
      <c r="M6975" t="s">
        <v>23567</v>
      </c>
      <c r="N6975" t="s">
        <v>1446</v>
      </c>
      <c r="O6975" t="s">
        <v>46</v>
      </c>
      <c r="P6975" t="s">
        <v>46</v>
      </c>
      <c r="Y6975" t="s">
        <v>23568</v>
      </c>
    </row>
    <row r="6976" spans="1:25">
      <c r="A6976" t="s">
        <v>23569</v>
      </c>
      <c r="B6976" t="s">
        <v>23570</v>
      </c>
      <c r="D6976" t="s">
        <v>40</v>
      </c>
      <c r="E6976" t="s">
        <v>41</v>
      </c>
      <c r="J6976" t="s">
        <v>1554</v>
      </c>
      <c r="K6976" t="s">
        <v>1555</v>
      </c>
      <c r="L6976">
        <v>8</v>
      </c>
      <c r="M6976" t="s">
        <v>23571</v>
      </c>
      <c r="N6976" t="s">
        <v>45</v>
      </c>
      <c r="O6976" t="s">
        <v>46</v>
      </c>
      <c r="P6976" t="s">
        <v>46</v>
      </c>
      <c r="Y6976" t="s">
        <v>23572</v>
      </c>
    </row>
    <row r="6977" spans="1:25">
      <c r="A6977" t="s">
        <v>23573</v>
      </c>
      <c r="B6977" t="s">
        <v>23574</v>
      </c>
      <c r="D6977" t="s">
        <v>40</v>
      </c>
      <c r="E6977" t="s">
        <v>41</v>
      </c>
      <c r="J6977" t="s">
        <v>921</v>
      </c>
      <c r="K6977" t="s">
        <v>922</v>
      </c>
      <c r="L6977">
        <v>10</v>
      </c>
      <c r="M6977" t="s">
        <v>23575</v>
      </c>
      <c r="N6977" t="s">
        <v>1369</v>
      </c>
      <c r="O6977" t="s">
        <v>46</v>
      </c>
      <c r="P6977" t="s">
        <v>46</v>
      </c>
      <c r="Y6977" t="s">
        <v>23576</v>
      </c>
    </row>
    <row r="6978" spans="1:25">
      <c r="A6978" t="s">
        <v>23577</v>
      </c>
      <c r="B6978" t="s">
        <v>23578</v>
      </c>
      <c r="D6978" t="s">
        <v>40</v>
      </c>
      <c r="E6978" t="s">
        <v>41</v>
      </c>
      <c r="J6978" t="s">
        <v>248</v>
      </c>
      <c r="K6978" t="s">
        <v>249</v>
      </c>
      <c r="L6978">
        <v>8</v>
      </c>
      <c r="M6978" t="s">
        <v>23579</v>
      </c>
      <c r="N6978" t="s">
        <v>257</v>
      </c>
      <c r="O6978" t="s">
        <v>46</v>
      </c>
      <c r="P6978" t="s">
        <v>46</v>
      </c>
      <c r="Y6978" t="s">
        <v>23580</v>
      </c>
    </row>
    <row r="6979" spans="1:25">
      <c r="A6979" t="s">
        <v>23581</v>
      </c>
      <c r="B6979" t="s">
        <v>23582</v>
      </c>
      <c r="D6979" t="s">
        <v>40</v>
      </c>
      <c r="E6979" t="s">
        <v>41</v>
      </c>
      <c r="J6979" t="s">
        <v>248</v>
      </c>
      <c r="K6979" t="s">
        <v>249</v>
      </c>
      <c r="L6979">
        <v>8</v>
      </c>
      <c r="M6979" t="s">
        <v>23583</v>
      </c>
      <c r="N6979" t="s">
        <v>741</v>
      </c>
      <c r="O6979" t="s">
        <v>46</v>
      </c>
      <c r="P6979" t="s">
        <v>46</v>
      </c>
      <c r="Y6979" t="s">
        <v>23584</v>
      </c>
    </row>
    <row r="6980" spans="1:25">
      <c r="A6980" t="s">
        <v>23585</v>
      </c>
      <c r="B6980" t="s">
        <v>23586</v>
      </c>
      <c r="D6980" t="s">
        <v>40</v>
      </c>
      <c r="E6980" t="s">
        <v>41</v>
      </c>
      <c r="J6980" t="s">
        <v>599</v>
      </c>
      <c r="K6980" t="s">
        <v>600</v>
      </c>
      <c r="L6980">
        <v>8</v>
      </c>
      <c r="M6980" t="s">
        <v>23587</v>
      </c>
      <c r="N6980" t="s">
        <v>1334</v>
      </c>
      <c r="O6980" t="s">
        <v>46</v>
      </c>
      <c r="P6980" t="s">
        <v>46</v>
      </c>
      <c r="Y6980" t="s">
        <v>23588</v>
      </c>
    </row>
    <row r="6981" spans="1:25">
      <c r="A6981" t="s">
        <v>23589</v>
      </c>
      <c r="B6981" t="s">
        <v>23590</v>
      </c>
      <c r="D6981" t="s">
        <v>40</v>
      </c>
      <c r="E6981" t="s">
        <v>41</v>
      </c>
      <c r="J6981" t="s">
        <v>599</v>
      </c>
      <c r="K6981" t="s">
        <v>600</v>
      </c>
      <c r="L6981">
        <v>8</v>
      </c>
      <c r="M6981" t="s">
        <v>23591</v>
      </c>
      <c r="N6981" t="s">
        <v>23361</v>
      </c>
      <c r="O6981" t="s">
        <v>46</v>
      </c>
      <c r="P6981" t="s">
        <v>46</v>
      </c>
      <c r="Y6981" t="s">
        <v>23592</v>
      </c>
    </row>
    <row r="6982" spans="1:25">
      <c r="A6982" t="s">
        <v>23593</v>
      </c>
      <c r="B6982" t="s">
        <v>23594</v>
      </c>
      <c r="D6982" t="s">
        <v>40</v>
      </c>
      <c r="E6982" t="s">
        <v>41</v>
      </c>
      <c r="J6982" t="s">
        <v>248</v>
      </c>
      <c r="K6982" t="s">
        <v>249</v>
      </c>
      <c r="L6982">
        <v>8</v>
      </c>
      <c r="M6982" t="s">
        <v>23591</v>
      </c>
      <c r="N6982" t="s">
        <v>310</v>
      </c>
      <c r="O6982" t="s">
        <v>46</v>
      </c>
      <c r="P6982" t="s">
        <v>46</v>
      </c>
      <c r="Y6982" t="s">
        <v>23595</v>
      </c>
    </row>
    <row r="6983" spans="1:25">
      <c r="A6983" t="s">
        <v>23596</v>
      </c>
      <c r="B6983" t="s">
        <v>23597</v>
      </c>
      <c r="D6983" t="s">
        <v>40</v>
      </c>
      <c r="E6983" t="s">
        <v>41</v>
      </c>
      <c r="J6983" t="s">
        <v>599</v>
      </c>
      <c r="K6983" t="s">
        <v>600</v>
      </c>
      <c r="L6983">
        <v>8</v>
      </c>
      <c r="M6983" t="s">
        <v>23598</v>
      </c>
      <c r="N6983" t="s">
        <v>1478</v>
      </c>
      <c r="O6983" t="s">
        <v>46</v>
      </c>
      <c r="P6983" t="s">
        <v>46</v>
      </c>
      <c r="Y6983" t="s">
        <v>23599</v>
      </c>
    </row>
    <row r="6984" spans="1:25">
      <c r="A6984" t="s">
        <v>23600</v>
      </c>
      <c r="B6984" t="s">
        <v>23601</v>
      </c>
      <c r="D6984" t="s">
        <v>40</v>
      </c>
      <c r="E6984" t="s">
        <v>41</v>
      </c>
      <c r="J6984" t="s">
        <v>1142</v>
      </c>
      <c r="K6984" t="s">
        <v>1143</v>
      </c>
      <c r="L6984">
        <v>8</v>
      </c>
      <c r="M6984" t="s">
        <v>23602</v>
      </c>
      <c r="N6984" t="s">
        <v>310</v>
      </c>
      <c r="O6984" t="s">
        <v>46</v>
      </c>
      <c r="P6984" t="s">
        <v>46</v>
      </c>
      <c r="Y6984" t="s">
        <v>23603</v>
      </c>
    </row>
    <row r="6985" spans="1:25">
      <c r="A6985" t="s">
        <v>23604</v>
      </c>
      <c r="B6985" t="s">
        <v>23605</v>
      </c>
      <c r="D6985" t="s">
        <v>40</v>
      </c>
      <c r="E6985" t="s">
        <v>41</v>
      </c>
      <c r="J6985" t="s">
        <v>139</v>
      </c>
      <c r="K6985" t="s">
        <v>140</v>
      </c>
      <c r="L6985">
        <v>2</v>
      </c>
      <c r="M6985" t="s">
        <v>23606</v>
      </c>
      <c r="N6985" t="s">
        <v>1392</v>
      </c>
      <c r="O6985" t="s">
        <v>46</v>
      </c>
      <c r="P6985" t="s">
        <v>46</v>
      </c>
      <c r="Y6985" t="s">
        <v>23607</v>
      </c>
    </row>
    <row r="6986" spans="1:25">
      <c r="A6986" t="s">
        <v>23608</v>
      </c>
      <c r="B6986" t="s">
        <v>23609</v>
      </c>
      <c r="D6986" t="s">
        <v>40</v>
      </c>
      <c r="E6986" t="s">
        <v>41</v>
      </c>
      <c r="J6986" t="s">
        <v>921</v>
      </c>
      <c r="K6986" t="s">
        <v>922</v>
      </c>
      <c r="L6986">
        <v>9</v>
      </c>
      <c r="M6986" t="s">
        <v>23610</v>
      </c>
      <c r="N6986" t="s">
        <v>1369</v>
      </c>
      <c r="O6986" t="s">
        <v>46</v>
      </c>
      <c r="P6986" t="s">
        <v>46</v>
      </c>
      <c r="Y6986" t="s">
        <v>23611</v>
      </c>
    </row>
    <row r="6987" spans="1:25">
      <c r="A6987" t="s">
        <v>23612</v>
      </c>
      <c r="B6987" t="s">
        <v>23613</v>
      </c>
      <c r="D6987" t="s">
        <v>40</v>
      </c>
      <c r="E6987" t="s">
        <v>41</v>
      </c>
      <c r="J6987" t="s">
        <v>921</v>
      </c>
      <c r="K6987" t="s">
        <v>922</v>
      </c>
      <c r="L6987">
        <v>9</v>
      </c>
      <c r="M6987" t="s">
        <v>23614</v>
      </c>
      <c r="N6987" t="s">
        <v>436</v>
      </c>
      <c r="O6987" t="s">
        <v>46</v>
      </c>
      <c r="P6987" t="s">
        <v>46</v>
      </c>
      <c r="Y6987" t="s">
        <v>23615</v>
      </c>
    </row>
    <row r="6988" spans="1:25">
      <c r="A6988" t="s">
        <v>23616</v>
      </c>
      <c r="B6988" t="s">
        <v>23617</v>
      </c>
      <c r="D6988" t="s">
        <v>40</v>
      </c>
      <c r="E6988" t="s">
        <v>41</v>
      </c>
      <c r="J6988" t="s">
        <v>248</v>
      </c>
      <c r="K6988" t="s">
        <v>249</v>
      </c>
      <c r="L6988">
        <v>8</v>
      </c>
      <c r="M6988" t="s">
        <v>23618</v>
      </c>
      <c r="N6988" t="s">
        <v>257</v>
      </c>
      <c r="O6988" t="s">
        <v>46</v>
      </c>
      <c r="P6988" t="s">
        <v>46</v>
      </c>
      <c r="Y6988" t="s">
        <v>23619</v>
      </c>
    </row>
    <row r="6989" spans="1:25">
      <c r="A6989" t="s">
        <v>23620</v>
      </c>
      <c r="B6989" t="s">
        <v>23621</v>
      </c>
      <c r="D6989" t="s">
        <v>40</v>
      </c>
      <c r="E6989" t="s">
        <v>41</v>
      </c>
      <c r="J6989" t="s">
        <v>248</v>
      </c>
      <c r="K6989" t="s">
        <v>249</v>
      </c>
      <c r="L6989">
        <v>8</v>
      </c>
      <c r="M6989" t="s">
        <v>23622</v>
      </c>
      <c r="N6989" t="s">
        <v>3013</v>
      </c>
      <c r="O6989" t="s">
        <v>46</v>
      </c>
      <c r="P6989" t="s">
        <v>46</v>
      </c>
      <c r="Y6989" t="s">
        <v>23623</v>
      </c>
    </row>
    <row r="6990" spans="1:25">
      <c r="A6990" t="s">
        <v>23624</v>
      </c>
      <c r="B6990" t="s">
        <v>23625</v>
      </c>
      <c r="D6990" t="s">
        <v>40</v>
      </c>
      <c r="E6990" t="s">
        <v>41</v>
      </c>
      <c r="J6990" t="s">
        <v>139</v>
      </c>
      <c r="K6990" t="s">
        <v>140</v>
      </c>
      <c r="L6990">
        <v>8</v>
      </c>
      <c r="M6990" t="s">
        <v>23626</v>
      </c>
      <c r="N6990" t="s">
        <v>741</v>
      </c>
      <c r="O6990" t="s">
        <v>46</v>
      </c>
      <c r="P6990" t="s">
        <v>46</v>
      </c>
      <c r="Y6990" t="s">
        <v>23627</v>
      </c>
    </row>
    <row r="6991" spans="1:25">
      <c r="A6991" t="s">
        <v>23628</v>
      </c>
      <c r="B6991" t="s">
        <v>23629</v>
      </c>
      <c r="D6991" t="s">
        <v>40</v>
      </c>
      <c r="E6991" t="s">
        <v>41</v>
      </c>
      <c r="J6991" t="s">
        <v>139</v>
      </c>
      <c r="K6991" t="s">
        <v>140</v>
      </c>
      <c r="L6991">
        <v>8</v>
      </c>
      <c r="M6991" t="s">
        <v>23630</v>
      </c>
      <c r="N6991" t="s">
        <v>23361</v>
      </c>
      <c r="O6991" t="s">
        <v>46</v>
      </c>
      <c r="P6991" t="s">
        <v>46</v>
      </c>
      <c r="Y6991" t="s">
        <v>23631</v>
      </c>
    </row>
    <row r="6992" spans="1:25">
      <c r="A6992" t="s">
        <v>23632</v>
      </c>
      <c r="B6992" t="s">
        <v>23633</v>
      </c>
      <c r="D6992" t="s">
        <v>40</v>
      </c>
      <c r="E6992" t="s">
        <v>41</v>
      </c>
      <c r="J6992" t="s">
        <v>248</v>
      </c>
      <c r="K6992" t="s">
        <v>249</v>
      </c>
      <c r="L6992">
        <v>5</v>
      </c>
      <c r="M6992" t="s">
        <v>23634</v>
      </c>
      <c r="N6992" t="s">
        <v>310</v>
      </c>
      <c r="O6992" t="s">
        <v>46</v>
      </c>
      <c r="P6992" t="s">
        <v>46</v>
      </c>
      <c r="Y6992" t="s">
        <v>23635</v>
      </c>
    </row>
    <row r="6993" spans="1:25">
      <c r="A6993" t="s">
        <v>23636</v>
      </c>
      <c r="B6993" t="s">
        <v>23637</v>
      </c>
      <c r="D6993" t="s">
        <v>40</v>
      </c>
      <c r="E6993" t="s">
        <v>41</v>
      </c>
      <c r="J6993" t="s">
        <v>248</v>
      </c>
      <c r="K6993" t="s">
        <v>249</v>
      </c>
      <c r="L6993">
        <v>8</v>
      </c>
      <c r="M6993" t="s">
        <v>23638</v>
      </c>
      <c r="N6993" t="s">
        <v>1024</v>
      </c>
      <c r="O6993" t="s">
        <v>46</v>
      </c>
      <c r="P6993" t="s">
        <v>46</v>
      </c>
      <c r="Y6993" t="s">
        <v>23639</v>
      </c>
    </row>
    <row r="6994" spans="1:25">
      <c r="A6994" t="s">
        <v>23640</v>
      </c>
      <c r="B6994" t="s">
        <v>23641</v>
      </c>
      <c r="D6994" t="s">
        <v>40</v>
      </c>
      <c r="E6994" t="s">
        <v>41</v>
      </c>
      <c r="J6994" t="s">
        <v>139</v>
      </c>
      <c r="K6994" t="s">
        <v>140</v>
      </c>
      <c r="L6994">
        <v>3</v>
      </c>
      <c r="M6994" t="s">
        <v>23642</v>
      </c>
      <c r="N6994" t="s">
        <v>1392</v>
      </c>
      <c r="O6994" t="s">
        <v>46</v>
      </c>
      <c r="P6994" t="s">
        <v>46</v>
      </c>
      <c r="Y6994" t="s">
        <v>23643</v>
      </c>
    </row>
    <row r="6995" spans="1:25">
      <c r="A6995" t="s">
        <v>23644</v>
      </c>
      <c r="B6995" t="s">
        <v>23645</v>
      </c>
      <c r="D6995" t="s">
        <v>40</v>
      </c>
      <c r="E6995" t="s">
        <v>41</v>
      </c>
      <c r="J6995" t="s">
        <v>139</v>
      </c>
      <c r="K6995" t="s">
        <v>140</v>
      </c>
      <c r="L6995">
        <v>8</v>
      </c>
      <c r="M6995" t="s">
        <v>23646</v>
      </c>
      <c r="N6995" t="s">
        <v>1344</v>
      </c>
      <c r="O6995" t="s">
        <v>46</v>
      </c>
      <c r="P6995" t="s">
        <v>46</v>
      </c>
      <c r="Y6995" t="s">
        <v>23647</v>
      </c>
    </row>
    <row r="6996" spans="1:25">
      <c r="A6996" t="s">
        <v>23648</v>
      </c>
      <c r="B6996" t="s">
        <v>23649</v>
      </c>
      <c r="D6996" t="s">
        <v>40</v>
      </c>
      <c r="E6996" t="s">
        <v>41</v>
      </c>
      <c r="J6996" t="s">
        <v>248</v>
      </c>
      <c r="K6996" t="s">
        <v>249</v>
      </c>
      <c r="L6996">
        <v>8</v>
      </c>
      <c r="M6996" t="s">
        <v>23650</v>
      </c>
      <c r="N6996" t="s">
        <v>617</v>
      </c>
      <c r="O6996" t="s">
        <v>46</v>
      </c>
      <c r="P6996" t="s">
        <v>46</v>
      </c>
      <c r="Y6996" t="s">
        <v>23651</v>
      </c>
    </row>
    <row r="6997" spans="1:25">
      <c r="A6997" t="s">
        <v>23652</v>
      </c>
      <c r="B6997" t="s">
        <v>23653</v>
      </c>
      <c r="D6997" t="s">
        <v>40</v>
      </c>
      <c r="E6997" t="s">
        <v>41</v>
      </c>
      <c r="J6997" t="s">
        <v>248</v>
      </c>
      <c r="K6997" t="s">
        <v>249</v>
      </c>
      <c r="L6997">
        <v>8</v>
      </c>
      <c r="M6997" t="s">
        <v>23654</v>
      </c>
      <c r="N6997" t="s">
        <v>1276</v>
      </c>
      <c r="O6997" t="s">
        <v>46</v>
      </c>
      <c r="P6997" t="s">
        <v>46</v>
      </c>
      <c r="Y6997" t="s">
        <v>23655</v>
      </c>
    </row>
    <row r="6998" spans="1:25">
      <c r="A6998" t="s">
        <v>23656</v>
      </c>
      <c r="B6998" t="s">
        <v>23657</v>
      </c>
      <c r="D6998" t="s">
        <v>40</v>
      </c>
      <c r="E6998" t="s">
        <v>41</v>
      </c>
      <c r="J6998" t="s">
        <v>248</v>
      </c>
      <c r="K6998" t="s">
        <v>249</v>
      </c>
      <c r="L6998">
        <v>8</v>
      </c>
      <c r="M6998" t="s">
        <v>23658</v>
      </c>
      <c r="N6998" t="s">
        <v>1024</v>
      </c>
      <c r="O6998" t="s">
        <v>46</v>
      </c>
      <c r="P6998" t="s">
        <v>46</v>
      </c>
      <c r="Y6998" t="s">
        <v>23659</v>
      </c>
    </row>
    <row r="6999" spans="1:25">
      <c r="A6999" t="s">
        <v>23660</v>
      </c>
      <c r="B6999" t="s">
        <v>23661</v>
      </c>
      <c r="D6999" t="s">
        <v>40</v>
      </c>
      <c r="E6999" t="s">
        <v>41</v>
      </c>
      <c r="J6999" t="s">
        <v>599</v>
      </c>
      <c r="K6999" t="s">
        <v>600</v>
      </c>
      <c r="L6999">
        <v>8</v>
      </c>
      <c r="M6999" t="s">
        <v>23662</v>
      </c>
      <c r="N6999" t="s">
        <v>1397</v>
      </c>
      <c r="O6999" t="s">
        <v>46</v>
      </c>
      <c r="P6999" t="s">
        <v>46</v>
      </c>
      <c r="Y6999" t="s">
        <v>23663</v>
      </c>
    </row>
    <row r="7000" spans="1:25">
      <c r="A7000" t="s">
        <v>23664</v>
      </c>
      <c r="B7000" t="s">
        <v>23665</v>
      </c>
      <c r="D7000" t="s">
        <v>40</v>
      </c>
      <c r="E7000" t="s">
        <v>41</v>
      </c>
      <c r="J7000" t="s">
        <v>1554</v>
      </c>
      <c r="K7000" t="s">
        <v>1555</v>
      </c>
      <c r="L7000">
        <v>8</v>
      </c>
      <c r="M7000" t="s">
        <v>23666</v>
      </c>
      <c r="N7000" t="s">
        <v>1392</v>
      </c>
      <c r="O7000" t="s">
        <v>46</v>
      </c>
      <c r="P7000" t="s">
        <v>46</v>
      </c>
      <c r="Y7000" t="s">
        <v>23667</v>
      </c>
    </row>
    <row r="7001" spans="1:25">
      <c r="A7001" t="s">
        <v>23668</v>
      </c>
      <c r="B7001" t="s">
        <v>23669</v>
      </c>
      <c r="D7001" t="s">
        <v>40</v>
      </c>
      <c r="E7001" t="s">
        <v>41</v>
      </c>
      <c r="J7001" t="s">
        <v>248</v>
      </c>
      <c r="K7001" t="s">
        <v>249</v>
      </c>
      <c r="L7001">
        <v>8</v>
      </c>
      <c r="M7001" t="s">
        <v>23670</v>
      </c>
      <c r="N7001" t="s">
        <v>178</v>
      </c>
      <c r="O7001" t="s">
        <v>46</v>
      </c>
      <c r="P7001" t="s">
        <v>46</v>
      </c>
      <c r="Y7001" t="s">
        <v>23671</v>
      </c>
    </row>
    <row r="7002" spans="1:25">
      <c r="A7002" t="s">
        <v>23672</v>
      </c>
      <c r="B7002" t="s">
        <v>23673</v>
      </c>
      <c r="D7002" t="s">
        <v>40</v>
      </c>
      <c r="E7002" t="s">
        <v>41</v>
      </c>
      <c r="J7002" t="s">
        <v>1554</v>
      </c>
      <c r="K7002" t="s">
        <v>1555</v>
      </c>
      <c r="L7002">
        <v>8</v>
      </c>
      <c r="M7002" t="s">
        <v>23674</v>
      </c>
      <c r="N7002" t="s">
        <v>45</v>
      </c>
      <c r="O7002" t="s">
        <v>46</v>
      </c>
      <c r="P7002" t="s">
        <v>46</v>
      </c>
      <c r="Y7002" t="s">
        <v>23675</v>
      </c>
    </row>
    <row r="7003" spans="1:25">
      <c r="A7003" t="s">
        <v>23676</v>
      </c>
      <c r="B7003" t="s">
        <v>23677</v>
      </c>
      <c r="D7003" t="s">
        <v>40</v>
      </c>
      <c r="E7003" t="s">
        <v>41</v>
      </c>
      <c r="J7003" t="s">
        <v>248</v>
      </c>
      <c r="K7003" t="s">
        <v>249</v>
      </c>
      <c r="L7003">
        <v>8</v>
      </c>
      <c r="M7003" t="s">
        <v>23678</v>
      </c>
      <c r="N7003" t="s">
        <v>617</v>
      </c>
      <c r="O7003" t="s">
        <v>46</v>
      </c>
      <c r="P7003" t="s">
        <v>46</v>
      </c>
      <c r="Y7003" t="s">
        <v>23679</v>
      </c>
    </row>
    <row r="7004" spans="1:25">
      <c r="A7004" t="s">
        <v>23680</v>
      </c>
      <c r="B7004" t="s">
        <v>23681</v>
      </c>
      <c r="D7004" t="s">
        <v>40</v>
      </c>
      <c r="E7004" t="s">
        <v>41</v>
      </c>
      <c r="J7004" t="s">
        <v>1142</v>
      </c>
      <c r="K7004" t="s">
        <v>1143</v>
      </c>
      <c r="L7004">
        <v>8</v>
      </c>
      <c r="M7004" t="s">
        <v>23682</v>
      </c>
      <c r="N7004" t="s">
        <v>45</v>
      </c>
      <c r="O7004" t="s">
        <v>46</v>
      </c>
      <c r="P7004" t="s">
        <v>46</v>
      </c>
      <c r="Y7004" t="s">
        <v>23683</v>
      </c>
    </row>
    <row r="7005" spans="1:25">
      <c r="A7005" t="s">
        <v>23684</v>
      </c>
      <c r="B7005" t="s">
        <v>23685</v>
      </c>
      <c r="D7005" t="s">
        <v>40</v>
      </c>
      <c r="E7005" t="s">
        <v>41</v>
      </c>
      <c r="J7005" t="s">
        <v>248</v>
      </c>
      <c r="K7005" t="s">
        <v>249</v>
      </c>
      <c r="L7005">
        <v>8</v>
      </c>
      <c r="M7005" t="s">
        <v>23686</v>
      </c>
      <c r="N7005" t="s">
        <v>752</v>
      </c>
      <c r="O7005" t="s">
        <v>46</v>
      </c>
      <c r="P7005" t="s">
        <v>46</v>
      </c>
      <c r="Y7005" t="s">
        <v>23687</v>
      </c>
    </row>
    <row r="7006" spans="1:25">
      <c r="A7006" t="s">
        <v>23688</v>
      </c>
      <c r="B7006" t="s">
        <v>23689</v>
      </c>
      <c r="D7006" t="s">
        <v>40</v>
      </c>
      <c r="E7006" t="s">
        <v>41</v>
      </c>
      <c r="J7006" t="s">
        <v>248</v>
      </c>
      <c r="K7006" t="s">
        <v>249</v>
      </c>
      <c r="L7006">
        <v>8</v>
      </c>
      <c r="M7006" t="s">
        <v>23690</v>
      </c>
      <c r="N7006" t="s">
        <v>1024</v>
      </c>
      <c r="O7006" t="s">
        <v>46</v>
      </c>
      <c r="P7006" t="s">
        <v>46</v>
      </c>
      <c r="Y7006" t="s">
        <v>23691</v>
      </c>
    </row>
    <row r="7007" spans="1:25">
      <c r="A7007" t="s">
        <v>23692</v>
      </c>
      <c r="B7007" t="s">
        <v>23693</v>
      </c>
      <c r="D7007" t="s">
        <v>40</v>
      </c>
      <c r="E7007" t="s">
        <v>41</v>
      </c>
      <c r="J7007" t="s">
        <v>139</v>
      </c>
      <c r="K7007" t="s">
        <v>140</v>
      </c>
      <c r="L7007">
        <v>8</v>
      </c>
      <c r="M7007" t="s">
        <v>23694</v>
      </c>
      <c r="N7007" t="s">
        <v>350</v>
      </c>
      <c r="O7007" t="s">
        <v>46</v>
      </c>
      <c r="P7007" t="s">
        <v>46</v>
      </c>
      <c r="Y7007" t="s">
        <v>23695</v>
      </c>
    </row>
    <row r="7008" spans="1:25">
      <c r="A7008" t="s">
        <v>23696</v>
      </c>
      <c r="B7008" t="s">
        <v>23697</v>
      </c>
      <c r="D7008" t="s">
        <v>40</v>
      </c>
      <c r="E7008" t="s">
        <v>41</v>
      </c>
      <c r="J7008" t="s">
        <v>599</v>
      </c>
      <c r="K7008" t="s">
        <v>600</v>
      </c>
      <c r="L7008">
        <v>8</v>
      </c>
      <c r="M7008" t="s">
        <v>23698</v>
      </c>
      <c r="N7008" t="s">
        <v>756</v>
      </c>
      <c r="O7008" t="s">
        <v>46</v>
      </c>
      <c r="P7008" t="s">
        <v>46</v>
      </c>
      <c r="Y7008" t="s">
        <v>23699</v>
      </c>
    </row>
    <row r="7009" spans="1:25">
      <c r="A7009" t="s">
        <v>23700</v>
      </c>
      <c r="B7009" t="s">
        <v>23701</v>
      </c>
      <c r="D7009" t="s">
        <v>40</v>
      </c>
      <c r="E7009" t="s">
        <v>41</v>
      </c>
      <c r="J7009" t="s">
        <v>248</v>
      </c>
      <c r="K7009" t="s">
        <v>249</v>
      </c>
      <c r="L7009">
        <v>8</v>
      </c>
      <c r="M7009" t="s">
        <v>23702</v>
      </c>
      <c r="N7009" t="s">
        <v>752</v>
      </c>
      <c r="O7009" t="s">
        <v>46</v>
      </c>
      <c r="P7009" t="s">
        <v>46</v>
      </c>
      <c r="Y7009" t="s">
        <v>23703</v>
      </c>
    </row>
    <row r="7010" spans="1:25">
      <c r="A7010" t="s">
        <v>23704</v>
      </c>
      <c r="B7010" t="s">
        <v>23705</v>
      </c>
      <c r="D7010" t="s">
        <v>40</v>
      </c>
      <c r="E7010" t="s">
        <v>41</v>
      </c>
      <c r="J7010" t="s">
        <v>248</v>
      </c>
      <c r="K7010" t="s">
        <v>249</v>
      </c>
      <c r="L7010">
        <v>8</v>
      </c>
      <c r="M7010" t="s">
        <v>23706</v>
      </c>
      <c r="N7010" t="s">
        <v>178</v>
      </c>
      <c r="O7010" t="s">
        <v>46</v>
      </c>
      <c r="P7010" t="s">
        <v>46</v>
      </c>
      <c r="Y7010" t="s">
        <v>23707</v>
      </c>
    </row>
    <row r="7011" spans="1:25">
      <c r="A7011" t="s">
        <v>23708</v>
      </c>
      <c r="B7011" t="s">
        <v>23709</v>
      </c>
      <c r="D7011" t="s">
        <v>40</v>
      </c>
      <c r="E7011" t="s">
        <v>41</v>
      </c>
      <c r="J7011" t="s">
        <v>248</v>
      </c>
      <c r="K7011" t="s">
        <v>249</v>
      </c>
      <c r="L7011">
        <v>8</v>
      </c>
      <c r="M7011" t="s">
        <v>23710</v>
      </c>
      <c r="N7011" t="s">
        <v>310</v>
      </c>
      <c r="O7011" t="s">
        <v>46</v>
      </c>
      <c r="P7011" t="s">
        <v>46</v>
      </c>
      <c r="Y7011" t="s">
        <v>23711</v>
      </c>
    </row>
    <row r="7012" spans="1:25">
      <c r="A7012" t="s">
        <v>23712</v>
      </c>
      <c r="B7012" t="s">
        <v>23713</v>
      </c>
      <c r="D7012" t="s">
        <v>40</v>
      </c>
      <c r="E7012" t="s">
        <v>41</v>
      </c>
      <c r="J7012" t="s">
        <v>248</v>
      </c>
      <c r="K7012" t="s">
        <v>249</v>
      </c>
      <c r="L7012">
        <v>8</v>
      </c>
      <c r="M7012" t="s">
        <v>23710</v>
      </c>
      <c r="N7012" t="s">
        <v>23361</v>
      </c>
      <c r="O7012" t="s">
        <v>46</v>
      </c>
      <c r="P7012" t="s">
        <v>46</v>
      </c>
      <c r="Y7012" t="s">
        <v>23714</v>
      </c>
    </row>
    <row r="7013" spans="1:25">
      <c r="A7013" t="s">
        <v>23715</v>
      </c>
      <c r="B7013" t="s">
        <v>23716</v>
      </c>
      <c r="D7013" t="s">
        <v>40</v>
      </c>
      <c r="E7013" t="s">
        <v>41</v>
      </c>
      <c r="J7013" t="s">
        <v>248</v>
      </c>
      <c r="K7013" t="s">
        <v>249</v>
      </c>
      <c r="L7013">
        <v>3</v>
      </c>
      <c r="M7013" t="s">
        <v>23717</v>
      </c>
      <c r="N7013" t="s">
        <v>1446</v>
      </c>
      <c r="O7013" t="s">
        <v>46</v>
      </c>
      <c r="P7013" t="s">
        <v>46</v>
      </c>
      <c r="Y7013" t="s">
        <v>23718</v>
      </c>
    </row>
    <row r="7014" spans="1:25">
      <c r="A7014" t="s">
        <v>23719</v>
      </c>
      <c r="B7014" t="s">
        <v>23720</v>
      </c>
      <c r="D7014" t="s">
        <v>40</v>
      </c>
      <c r="E7014" t="s">
        <v>41</v>
      </c>
      <c r="J7014" t="s">
        <v>1554</v>
      </c>
      <c r="K7014" t="s">
        <v>1555</v>
      </c>
      <c r="L7014">
        <v>8</v>
      </c>
      <c r="M7014" t="s">
        <v>23721</v>
      </c>
      <c r="N7014" t="s">
        <v>1334</v>
      </c>
      <c r="O7014" t="s">
        <v>46</v>
      </c>
      <c r="P7014" t="s">
        <v>46</v>
      </c>
      <c r="Y7014" t="s">
        <v>23722</v>
      </c>
    </row>
    <row r="7015" spans="1:25">
      <c r="A7015" t="s">
        <v>23723</v>
      </c>
      <c r="B7015" t="s">
        <v>23724</v>
      </c>
      <c r="D7015" t="s">
        <v>40</v>
      </c>
      <c r="E7015" t="s">
        <v>41</v>
      </c>
      <c r="J7015" t="s">
        <v>139</v>
      </c>
      <c r="K7015" t="s">
        <v>140</v>
      </c>
      <c r="L7015">
        <v>8</v>
      </c>
      <c r="M7015" t="s">
        <v>23725</v>
      </c>
      <c r="N7015" t="s">
        <v>3013</v>
      </c>
      <c r="O7015" t="s">
        <v>46</v>
      </c>
      <c r="P7015" t="s">
        <v>46</v>
      </c>
      <c r="Y7015" t="s">
        <v>23726</v>
      </c>
    </row>
    <row r="7016" spans="1:25">
      <c r="A7016" t="s">
        <v>23727</v>
      </c>
      <c r="B7016" t="s">
        <v>23728</v>
      </c>
      <c r="D7016" t="s">
        <v>40</v>
      </c>
      <c r="E7016" t="s">
        <v>41</v>
      </c>
      <c r="J7016" t="s">
        <v>921</v>
      </c>
      <c r="K7016" t="s">
        <v>922</v>
      </c>
      <c r="L7016">
        <v>8</v>
      </c>
      <c r="M7016" t="s">
        <v>23729</v>
      </c>
      <c r="N7016" t="s">
        <v>218</v>
      </c>
      <c r="O7016" t="s">
        <v>46</v>
      </c>
      <c r="P7016" t="s">
        <v>46</v>
      </c>
      <c r="Y7016" t="s">
        <v>23730</v>
      </c>
    </row>
    <row r="7017" spans="1:25">
      <c r="A7017" t="s">
        <v>23731</v>
      </c>
      <c r="B7017" t="s">
        <v>23732</v>
      </c>
      <c r="D7017" t="s">
        <v>40</v>
      </c>
      <c r="E7017" t="s">
        <v>41</v>
      </c>
      <c r="J7017" t="s">
        <v>248</v>
      </c>
      <c r="K7017" t="s">
        <v>249</v>
      </c>
      <c r="L7017">
        <v>8</v>
      </c>
      <c r="M7017" t="s">
        <v>23733</v>
      </c>
      <c r="N7017" t="s">
        <v>305</v>
      </c>
      <c r="O7017" t="s">
        <v>46</v>
      </c>
      <c r="P7017" t="s">
        <v>46</v>
      </c>
      <c r="Y7017" t="s">
        <v>23734</v>
      </c>
    </row>
    <row r="7018" spans="1:25">
      <c r="A7018" t="s">
        <v>23735</v>
      </c>
      <c r="B7018" t="s">
        <v>23736</v>
      </c>
      <c r="D7018" t="s">
        <v>40</v>
      </c>
      <c r="E7018" t="s">
        <v>41</v>
      </c>
      <c r="J7018" t="s">
        <v>599</v>
      </c>
      <c r="K7018" t="s">
        <v>600</v>
      </c>
      <c r="L7018">
        <v>8</v>
      </c>
      <c r="M7018" t="s">
        <v>23737</v>
      </c>
      <c r="N7018" t="s">
        <v>1446</v>
      </c>
      <c r="O7018" t="s">
        <v>46</v>
      </c>
      <c r="P7018" t="s">
        <v>46</v>
      </c>
      <c r="Y7018" t="s">
        <v>23738</v>
      </c>
    </row>
    <row r="7019" spans="1:25">
      <c r="A7019" t="s">
        <v>23739</v>
      </c>
      <c r="B7019" t="s">
        <v>23740</v>
      </c>
      <c r="D7019" t="s">
        <v>40</v>
      </c>
      <c r="E7019" t="s">
        <v>41</v>
      </c>
      <c r="J7019" t="s">
        <v>139</v>
      </c>
      <c r="K7019" t="s">
        <v>140</v>
      </c>
      <c r="L7019">
        <v>8</v>
      </c>
      <c r="M7019" t="s">
        <v>23741</v>
      </c>
      <c r="N7019" t="s">
        <v>310</v>
      </c>
      <c r="O7019" t="s">
        <v>46</v>
      </c>
      <c r="P7019" t="s">
        <v>46</v>
      </c>
      <c r="Y7019" t="s">
        <v>23742</v>
      </c>
    </row>
    <row r="7020" spans="1:25">
      <c r="A7020" t="s">
        <v>23743</v>
      </c>
      <c r="B7020" t="s">
        <v>23744</v>
      </c>
      <c r="D7020" t="s">
        <v>40</v>
      </c>
      <c r="E7020" t="s">
        <v>41</v>
      </c>
      <c r="J7020" t="s">
        <v>248</v>
      </c>
      <c r="K7020" t="s">
        <v>249</v>
      </c>
      <c r="L7020">
        <v>8</v>
      </c>
      <c r="M7020" t="s">
        <v>23745</v>
      </c>
      <c r="N7020" t="s">
        <v>1334</v>
      </c>
      <c r="O7020" t="s">
        <v>46</v>
      </c>
      <c r="P7020" t="s">
        <v>46</v>
      </c>
      <c r="Y7020" t="s">
        <v>23746</v>
      </c>
    </row>
    <row r="7021" spans="1:25">
      <c r="A7021" t="s">
        <v>23747</v>
      </c>
      <c r="B7021" t="s">
        <v>23748</v>
      </c>
      <c r="D7021" t="s">
        <v>40</v>
      </c>
      <c r="E7021" t="s">
        <v>41</v>
      </c>
      <c r="J7021" t="s">
        <v>16458</v>
      </c>
      <c r="K7021" t="s">
        <v>16459</v>
      </c>
      <c r="L7021">
        <v>8</v>
      </c>
      <c r="M7021" t="s">
        <v>23749</v>
      </c>
      <c r="N7021" t="s">
        <v>178</v>
      </c>
      <c r="O7021" t="s">
        <v>46</v>
      </c>
      <c r="P7021" t="s">
        <v>46</v>
      </c>
      <c r="Y7021" t="s">
        <v>23750</v>
      </c>
    </row>
    <row r="7022" spans="1:25">
      <c r="A7022" t="s">
        <v>23751</v>
      </c>
      <c r="B7022" t="s">
        <v>23752</v>
      </c>
      <c r="D7022" t="s">
        <v>40</v>
      </c>
      <c r="E7022" t="s">
        <v>41</v>
      </c>
      <c r="J7022" t="s">
        <v>599</v>
      </c>
      <c r="K7022" t="s">
        <v>600</v>
      </c>
      <c r="L7022">
        <v>8</v>
      </c>
      <c r="M7022" t="s">
        <v>23753</v>
      </c>
      <c r="N7022" t="s">
        <v>218</v>
      </c>
      <c r="O7022" t="s">
        <v>46</v>
      </c>
      <c r="P7022" t="s">
        <v>46</v>
      </c>
      <c r="Y7022" t="s">
        <v>23754</v>
      </c>
    </row>
    <row r="7023" spans="1:25">
      <c r="A7023" t="s">
        <v>23755</v>
      </c>
      <c r="B7023" t="s">
        <v>23756</v>
      </c>
      <c r="D7023" t="s">
        <v>40</v>
      </c>
      <c r="E7023" t="s">
        <v>41</v>
      </c>
      <c r="J7023" t="s">
        <v>12440</v>
      </c>
      <c r="K7023" t="s">
        <v>12441</v>
      </c>
      <c r="L7023">
        <v>9</v>
      </c>
      <c r="M7023" t="s">
        <v>23757</v>
      </c>
      <c r="N7023" t="s">
        <v>1380</v>
      </c>
      <c r="O7023" t="s">
        <v>46</v>
      </c>
      <c r="P7023" t="s">
        <v>46</v>
      </c>
      <c r="Y7023" t="s">
        <v>23758</v>
      </c>
    </row>
    <row r="7024" spans="1:25">
      <c r="A7024" t="s">
        <v>23759</v>
      </c>
      <c r="B7024" t="s">
        <v>23760</v>
      </c>
      <c r="D7024" t="s">
        <v>40</v>
      </c>
      <c r="E7024" t="s">
        <v>41</v>
      </c>
      <c r="J7024" t="s">
        <v>921</v>
      </c>
      <c r="K7024" t="s">
        <v>922</v>
      </c>
      <c r="L7024">
        <v>9</v>
      </c>
      <c r="M7024" t="s">
        <v>23761</v>
      </c>
      <c r="N7024" t="s">
        <v>22465</v>
      </c>
      <c r="O7024" t="s">
        <v>46</v>
      </c>
      <c r="P7024" t="s">
        <v>46</v>
      </c>
      <c r="Y7024" t="s">
        <v>23762</v>
      </c>
    </row>
    <row r="7025" spans="1:25">
      <c r="A7025" t="s">
        <v>23763</v>
      </c>
      <c r="B7025" t="s">
        <v>23764</v>
      </c>
      <c r="D7025" t="s">
        <v>40</v>
      </c>
      <c r="E7025" t="s">
        <v>41</v>
      </c>
      <c r="J7025" t="s">
        <v>12440</v>
      </c>
      <c r="K7025" t="s">
        <v>12441</v>
      </c>
      <c r="L7025">
        <v>9</v>
      </c>
      <c r="M7025" t="s">
        <v>23765</v>
      </c>
      <c r="N7025" t="s">
        <v>64</v>
      </c>
      <c r="O7025" t="s">
        <v>46</v>
      </c>
      <c r="P7025" t="s">
        <v>46</v>
      </c>
      <c r="Y7025" t="s">
        <v>23766</v>
      </c>
    </row>
    <row r="7026" spans="1:25">
      <c r="A7026" t="s">
        <v>23767</v>
      </c>
      <c r="B7026" t="s">
        <v>23768</v>
      </c>
      <c r="D7026" t="s">
        <v>40</v>
      </c>
      <c r="E7026" t="s">
        <v>41</v>
      </c>
      <c r="J7026" t="s">
        <v>1554</v>
      </c>
      <c r="K7026" t="s">
        <v>1555</v>
      </c>
      <c r="L7026">
        <v>8</v>
      </c>
      <c r="M7026" t="s">
        <v>23769</v>
      </c>
      <c r="N7026" t="s">
        <v>257</v>
      </c>
      <c r="O7026" t="s">
        <v>46</v>
      </c>
      <c r="P7026" t="s">
        <v>46</v>
      </c>
      <c r="Y7026" t="s">
        <v>23770</v>
      </c>
    </row>
    <row r="7027" spans="1:25">
      <c r="A7027" t="s">
        <v>23771</v>
      </c>
      <c r="B7027" t="s">
        <v>23772</v>
      </c>
      <c r="D7027" t="s">
        <v>40</v>
      </c>
      <c r="E7027" t="s">
        <v>41</v>
      </c>
      <c r="J7027" t="s">
        <v>248</v>
      </c>
      <c r="K7027" t="s">
        <v>249</v>
      </c>
      <c r="L7027">
        <v>8</v>
      </c>
      <c r="M7027" t="s">
        <v>23773</v>
      </c>
      <c r="N7027" t="s">
        <v>310</v>
      </c>
      <c r="O7027" t="s">
        <v>46</v>
      </c>
      <c r="P7027" t="s">
        <v>46</v>
      </c>
      <c r="Y7027" t="s">
        <v>23774</v>
      </c>
    </row>
    <row r="7028" spans="1:25">
      <c r="A7028" t="s">
        <v>23775</v>
      </c>
      <c r="B7028" t="s">
        <v>23776</v>
      </c>
      <c r="D7028" t="s">
        <v>40</v>
      </c>
      <c r="E7028" t="s">
        <v>41</v>
      </c>
      <c r="J7028" t="s">
        <v>248</v>
      </c>
      <c r="K7028" t="s">
        <v>249</v>
      </c>
      <c r="L7028">
        <v>8</v>
      </c>
      <c r="M7028" t="s">
        <v>23777</v>
      </c>
      <c r="N7028" t="s">
        <v>752</v>
      </c>
      <c r="O7028" t="s">
        <v>46</v>
      </c>
      <c r="P7028" t="s">
        <v>46</v>
      </c>
      <c r="Y7028" t="s">
        <v>23778</v>
      </c>
    </row>
    <row r="7029" spans="1:25">
      <c r="A7029" t="s">
        <v>23779</v>
      </c>
      <c r="B7029" t="s">
        <v>23780</v>
      </c>
      <c r="D7029" t="s">
        <v>40</v>
      </c>
      <c r="E7029" t="s">
        <v>41</v>
      </c>
      <c r="J7029" t="s">
        <v>1554</v>
      </c>
      <c r="K7029" t="s">
        <v>1555</v>
      </c>
      <c r="L7029">
        <v>8</v>
      </c>
      <c r="M7029" t="s">
        <v>23781</v>
      </c>
      <c r="N7029" t="s">
        <v>1392</v>
      </c>
      <c r="O7029" t="s">
        <v>46</v>
      </c>
      <c r="P7029" t="s">
        <v>46</v>
      </c>
      <c r="Y7029" t="s">
        <v>23782</v>
      </c>
    </row>
    <row r="7030" spans="1:25">
      <c r="A7030" t="s">
        <v>23783</v>
      </c>
      <c r="B7030" t="s">
        <v>23784</v>
      </c>
      <c r="D7030" t="s">
        <v>40</v>
      </c>
      <c r="E7030" t="s">
        <v>41</v>
      </c>
      <c r="J7030" t="s">
        <v>248</v>
      </c>
      <c r="K7030" t="s">
        <v>249</v>
      </c>
      <c r="L7030">
        <v>8</v>
      </c>
      <c r="M7030" t="s">
        <v>23785</v>
      </c>
      <c r="N7030" t="s">
        <v>3013</v>
      </c>
      <c r="O7030" t="s">
        <v>46</v>
      </c>
      <c r="P7030" t="s">
        <v>46</v>
      </c>
      <c r="Y7030" t="s">
        <v>23786</v>
      </c>
    </row>
    <row r="7031" spans="1:25">
      <c r="A7031" t="s">
        <v>23787</v>
      </c>
      <c r="B7031" t="s">
        <v>23788</v>
      </c>
      <c r="D7031" t="s">
        <v>40</v>
      </c>
      <c r="E7031" t="s">
        <v>41</v>
      </c>
      <c r="J7031" t="s">
        <v>14558</v>
      </c>
      <c r="K7031" t="s">
        <v>14559</v>
      </c>
      <c r="L7031">
        <v>8</v>
      </c>
      <c r="M7031" t="s">
        <v>23789</v>
      </c>
      <c r="N7031" t="s">
        <v>1446</v>
      </c>
      <c r="O7031" t="s">
        <v>46</v>
      </c>
      <c r="P7031" t="s">
        <v>46</v>
      </c>
      <c r="Y7031" t="s">
        <v>23790</v>
      </c>
    </row>
    <row r="7032" spans="1:25">
      <c r="A7032" t="s">
        <v>23791</v>
      </c>
      <c r="B7032" t="s">
        <v>23792</v>
      </c>
      <c r="D7032" t="s">
        <v>40</v>
      </c>
      <c r="E7032" t="s">
        <v>41</v>
      </c>
      <c r="J7032" t="s">
        <v>139</v>
      </c>
      <c r="K7032" t="s">
        <v>140</v>
      </c>
      <c r="L7032">
        <v>8</v>
      </c>
      <c r="M7032" t="s">
        <v>23793</v>
      </c>
      <c r="N7032" t="s">
        <v>350</v>
      </c>
      <c r="O7032" t="s">
        <v>46</v>
      </c>
      <c r="P7032" t="s">
        <v>46</v>
      </c>
      <c r="Y7032" t="s">
        <v>23794</v>
      </c>
    </row>
    <row r="7033" spans="1:25">
      <c r="A7033" t="s">
        <v>23795</v>
      </c>
      <c r="B7033" t="s">
        <v>23796</v>
      </c>
      <c r="D7033" t="s">
        <v>40</v>
      </c>
      <c r="E7033" t="s">
        <v>41</v>
      </c>
      <c r="J7033" t="s">
        <v>1142</v>
      </c>
      <c r="K7033" t="s">
        <v>1143</v>
      </c>
      <c r="L7033">
        <v>8</v>
      </c>
      <c r="M7033" t="s">
        <v>23797</v>
      </c>
      <c r="N7033" t="s">
        <v>1024</v>
      </c>
      <c r="O7033" t="s">
        <v>46</v>
      </c>
      <c r="P7033" t="s">
        <v>46</v>
      </c>
      <c r="Y7033" t="s">
        <v>23798</v>
      </c>
    </row>
    <row r="7034" spans="1:25">
      <c r="A7034" t="s">
        <v>23799</v>
      </c>
      <c r="B7034" t="s">
        <v>23800</v>
      </c>
      <c r="D7034" t="s">
        <v>40</v>
      </c>
      <c r="E7034" t="s">
        <v>41</v>
      </c>
      <c r="J7034" t="s">
        <v>1142</v>
      </c>
      <c r="K7034" t="s">
        <v>1143</v>
      </c>
      <c r="L7034">
        <v>8</v>
      </c>
      <c r="M7034" t="s">
        <v>23801</v>
      </c>
      <c r="N7034" t="s">
        <v>756</v>
      </c>
      <c r="O7034" t="s">
        <v>46</v>
      </c>
      <c r="P7034" t="s">
        <v>46</v>
      </c>
      <c r="Y7034" t="s">
        <v>23802</v>
      </c>
    </row>
    <row r="7035" spans="1:25">
      <c r="A7035" t="s">
        <v>23803</v>
      </c>
      <c r="B7035" t="s">
        <v>23804</v>
      </c>
      <c r="D7035" t="s">
        <v>40</v>
      </c>
      <c r="E7035" t="s">
        <v>41</v>
      </c>
      <c r="J7035" t="s">
        <v>248</v>
      </c>
      <c r="K7035" t="s">
        <v>249</v>
      </c>
      <c r="L7035">
        <v>8</v>
      </c>
      <c r="M7035" t="s">
        <v>23805</v>
      </c>
      <c r="N7035" t="s">
        <v>305</v>
      </c>
      <c r="O7035" t="s">
        <v>46</v>
      </c>
      <c r="P7035" t="s">
        <v>46</v>
      </c>
      <c r="Y7035" t="s">
        <v>23806</v>
      </c>
    </row>
    <row r="7036" spans="1:25">
      <c r="A7036" t="s">
        <v>23807</v>
      </c>
      <c r="B7036" t="s">
        <v>23808</v>
      </c>
      <c r="D7036" t="s">
        <v>40</v>
      </c>
      <c r="E7036" t="s">
        <v>41</v>
      </c>
      <c r="J7036" t="s">
        <v>6179</v>
      </c>
      <c r="K7036" t="s">
        <v>6180</v>
      </c>
      <c r="L7036">
        <v>8</v>
      </c>
      <c r="M7036" t="s">
        <v>23809</v>
      </c>
      <c r="N7036" t="s">
        <v>4037</v>
      </c>
      <c r="O7036" t="s">
        <v>46</v>
      </c>
      <c r="P7036" t="s">
        <v>46</v>
      </c>
      <c r="Y7036" t="s">
        <v>23810</v>
      </c>
    </row>
    <row r="7037" spans="1:25">
      <c r="A7037" t="s">
        <v>23811</v>
      </c>
      <c r="B7037" t="s">
        <v>23812</v>
      </c>
      <c r="D7037" t="s">
        <v>40</v>
      </c>
      <c r="E7037" t="s">
        <v>41</v>
      </c>
      <c r="J7037" t="s">
        <v>599</v>
      </c>
      <c r="K7037" t="s">
        <v>600</v>
      </c>
      <c r="L7037">
        <v>8</v>
      </c>
      <c r="M7037" t="s">
        <v>23813</v>
      </c>
      <c r="N7037" t="s">
        <v>310</v>
      </c>
      <c r="O7037" t="s">
        <v>46</v>
      </c>
      <c r="P7037" t="s">
        <v>46</v>
      </c>
      <c r="Y7037" t="s">
        <v>23814</v>
      </c>
    </row>
    <row r="7038" spans="1:25">
      <c r="A7038" t="s">
        <v>23815</v>
      </c>
      <c r="B7038" t="s">
        <v>23816</v>
      </c>
      <c r="D7038" t="s">
        <v>40</v>
      </c>
      <c r="E7038" t="s">
        <v>41</v>
      </c>
      <c r="J7038" t="s">
        <v>139</v>
      </c>
      <c r="K7038" t="s">
        <v>140</v>
      </c>
      <c r="L7038">
        <v>9</v>
      </c>
      <c r="M7038" t="s">
        <v>23817</v>
      </c>
      <c r="N7038" t="s">
        <v>218</v>
      </c>
      <c r="O7038" t="s">
        <v>46</v>
      </c>
      <c r="P7038" t="s">
        <v>46</v>
      </c>
      <c r="Y7038" t="s">
        <v>23818</v>
      </c>
    </row>
    <row r="7039" spans="1:25">
      <c r="A7039" t="s">
        <v>23819</v>
      </c>
      <c r="B7039" t="s">
        <v>23820</v>
      </c>
      <c r="D7039" t="s">
        <v>40</v>
      </c>
      <c r="E7039" t="s">
        <v>41</v>
      </c>
      <c r="J7039" t="s">
        <v>599</v>
      </c>
      <c r="K7039" t="s">
        <v>600</v>
      </c>
      <c r="L7039">
        <v>8</v>
      </c>
      <c r="M7039" t="s">
        <v>23821</v>
      </c>
      <c r="N7039" t="s">
        <v>45</v>
      </c>
      <c r="O7039" t="s">
        <v>46</v>
      </c>
      <c r="P7039" t="s">
        <v>46</v>
      </c>
      <c r="Y7039" t="s">
        <v>23822</v>
      </c>
    </row>
    <row r="7040" spans="1:25">
      <c r="A7040" t="s">
        <v>23823</v>
      </c>
      <c r="B7040" t="s">
        <v>23824</v>
      </c>
      <c r="D7040" t="s">
        <v>40</v>
      </c>
      <c r="E7040" t="s">
        <v>41</v>
      </c>
      <c r="J7040" t="s">
        <v>12440</v>
      </c>
      <c r="K7040" t="s">
        <v>12441</v>
      </c>
      <c r="L7040">
        <v>9</v>
      </c>
      <c r="M7040" t="s">
        <v>23821</v>
      </c>
      <c r="N7040" t="s">
        <v>64</v>
      </c>
      <c r="O7040" t="s">
        <v>46</v>
      </c>
      <c r="P7040" t="s">
        <v>46</v>
      </c>
      <c r="Y7040" t="s">
        <v>23825</v>
      </c>
    </row>
    <row r="7041" spans="1:25">
      <c r="A7041" t="s">
        <v>23826</v>
      </c>
      <c r="B7041" t="s">
        <v>23827</v>
      </c>
      <c r="D7041" t="s">
        <v>40</v>
      </c>
      <c r="E7041" t="s">
        <v>41</v>
      </c>
      <c r="J7041" t="s">
        <v>1554</v>
      </c>
      <c r="K7041" t="s">
        <v>1555</v>
      </c>
      <c r="L7041">
        <v>8</v>
      </c>
      <c r="M7041" t="s">
        <v>23828</v>
      </c>
      <c r="N7041" t="s">
        <v>1024</v>
      </c>
      <c r="O7041" t="s">
        <v>46</v>
      </c>
      <c r="P7041" t="s">
        <v>46</v>
      </c>
      <c r="Y7041" t="s">
        <v>23829</v>
      </c>
    </row>
    <row r="7042" spans="1:25">
      <c r="A7042" t="s">
        <v>23830</v>
      </c>
      <c r="B7042" t="s">
        <v>23831</v>
      </c>
      <c r="D7042" t="s">
        <v>40</v>
      </c>
      <c r="E7042" t="s">
        <v>41</v>
      </c>
      <c r="J7042" t="s">
        <v>248</v>
      </c>
      <c r="K7042" t="s">
        <v>249</v>
      </c>
      <c r="L7042">
        <v>8</v>
      </c>
      <c r="M7042" t="s">
        <v>23832</v>
      </c>
      <c r="N7042" t="s">
        <v>45</v>
      </c>
      <c r="O7042" t="s">
        <v>46</v>
      </c>
      <c r="P7042" t="s">
        <v>46</v>
      </c>
      <c r="Y7042" t="s">
        <v>23833</v>
      </c>
    </row>
    <row r="7043" spans="1:25">
      <c r="A7043" t="s">
        <v>23834</v>
      </c>
      <c r="B7043" t="s">
        <v>23835</v>
      </c>
      <c r="D7043" t="s">
        <v>40</v>
      </c>
      <c r="E7043" t="s">
        <v>41</v>
      </c>
      <c r="J7043" t="s">
        <v>139</v>
      </c>
      <c r="K7043" t="s">
        <v>140</v>
      </c>
      <c r="L7043">
        <v>8</v>
      </c>
      <c r="M7043" t="s">
        <v>23836</v>
      </c>
      <c r="N7043" t="s">
        <v>741</v>
      </c>
      <c r="O7043" t="s">
        <v>46</v>
      </c>
      <c r="P7043" t="s">
        <v>46</v>
      </c>
      <c r="Y7043" t="s">
        <v>23837</v>
      </c>
    </row>
    <row r="7044" spans="1:25">
      <c r="A7044" t="s">
        <v>23838</v>
      </c>
      <c r="B7044" t="s">
        <v>23839</v>
      </c>
      <c r="D7044" t="s">
        <v>40</v>
      </c>
      <c r="E7044" t="s">
        <v>41</v>
      </c>
      <c r="J7044" t="s">
        <v>248</v>
      </c>
      <c r="K7044" t="s">
        <v>249</v>
      </c>
      <c r="L7044">
        <v>8</v>
      </c>
      <c r="M7044" t="s">
        <v>23840</v>
      </c>
      <c r="N7044" t="s">
        <v>1024</v>
      </c>
      <c r="O7044" t="s">
        <v>46</v>
      </c>
      <c r="P7044" t="s">
        <v>46</v>
      </c>
      <c r="Y7044" t="s">
        <v>23841</v>
      </c>
    </row>
    <row r="7045" spans="1:25">
      <c r="A7045" t="s">
        <v>23842</v>
      </c>
      <c r="B7045" t="s">
        <v>23843</v>
      </c>
      <c r="D7045" t="s">
        <v>40</v>
      </c>
      <c r="E7045" t="s">
        <v>41</v>
      </c>
      <c r="J7045" t="s">
        <v>248</v>
      </c>
      <c r="K7045" t="s">
        <v>249</v>
      </c>
      <c r="L7045">
        <v>8</v>
      </c>
      <c r="M7045" t="s">
        <v>23844</v>
      </c>
      <c r="N7045" t="s">
        <v>1334</v>
      </c>
      <c r="O7045" t="s">
        <v>46</v>
      </c>
      <c r="P7045" t="s">
        <v>46</v>
      </c>
      <c r="Y7045" t="s">
        <v>23845</v>
      </c>
    </row>
    <row r="7046" spans="1:25">
      <c r="A7046" t="s">
        <v>23846</v>
      </c>
      <c r="B7046" t="s">
        <v>23847</v>
      </c>
      <c r="D7046" t="s">
        <v>40</v>
      </c>
      <c r="E7046" t="s">
        <v>41</v>
      </c>
      <c r="J7046" t="s">
        <v>248</v>
      </c>
      <c r="K7046" t="s">
        <v>249</v>
      </c>
      <c r="L7046">
        <v>8</v>
      </c>
      <c r="M7046" t="s">
        <v>23848</v>
      </c>
      <c r="N7046" t="s">
        <v>305</v>
      </c>
      <c r="O7046" t="s">
        <v>46</v>
      </c>
      <c r="P7046" t="s">
        <v>46</v>
      </c>
      <c r="Y7046" t="s">
        <v>23849</v>
      </c>
    </row>
    <row r="7047" spans="1:25">
      <c r="A7047" t="s">
        <v>23850</v>
      </c>
      <c r="B7047" t="s">
        <v>23851</v>
      </c>
      <c r="D7047" t="s">
        <v>40</v>
      </c>
      <c r="E7047" t="s">
        <v>41</v>
      </c>
      <c r="J7047" t="s">
        <v>11802</v>
      </c>
      <c r="K7047" t="s">
        <v>11803</v>
      </c>
      <c r="L7047">
        <v>8</v>
      </c>
      <c r="M7047" t="s">
        <v>23852</v>
      </c>
      <c r="N7047" t="s">
        <v>45</v>
      </c>
      <c r="O7047" t="s">
        <v>46</v>
      </c>
      <c r="P7047" t="s">
        <v>46</v>
      </c>
      <c r="Y7047" t="s">
        <v>23853</v>
      </c>
    </row>
    <row r="7048" spans="1:25">
      <c r="A7048" t="s">
        <v>23854</v>
      </c>
      <c r="B7048" t="s">
        <v>23855</v>
      </c>
      <c r="D7048" t="s">
        <v>40</v>
      </c>
      <c r="E7048" t="s">
        <v>41</v>
      </c>
      <c r="J7048" t="s">
        <v>248</v>
      </c>
      <c r="K7048" t="s">
        <v>249</v>
      </c>
      <c r="L7048">
        <v>8</v>
      </c>
      <c r="M7048" t="s">
        <v>23856</v>
      </c>
      <c r="N7048" t="s">
        <v>310</v>
      </c>
      <c r="O7048" t="s">
        <v>46</v>
      </c>
      <c r="P7048" t="s">
        <v>46</v>
      </c>
      <c r="Y7048" t="s">
        <v>23857</v>
      </c>
    </row>
    <row r="7049" spans="1:25">
      <c r="A7049" t="s">
        <v>23858</v>
      </c>
      <c r="B7049" t="s">
        <v>23859</v>
      </c>
      <c r="D7049" t="s">
        <v>40</v>
      </c>
      <c r="E7049" t="s">
        <v>41</v>
      </c>
      <c r="J7049" t="s">
        <v>599</v>
      </c>
      <c r="K7049" t="s">
        <v>600</v>
      </c>
      <c r="L7049">
        <v>8</v>
      </c>
      <c r="M7049" t="s">
        <v>23860</v>
      </c>
      <c r="N7049" t="s">
        <v>1478</v>
      </c>
      <c r="O7049" t="s">
        <v>46</v>
      </c>
      <c r="P7049" t="s">
        <v>46</v>
      </c>
      <c r="Y7049" t="s">
        <v>23861</v>
      </c>
    </row>
    <row r="7050" spans="1:25">
      <c r="A7050" t="s">
        <v>23862</v>
      </c>
      <c r="B7050" t="s">
        <v>23863</v>
      </c>
      <c r="D7050" t="s">
        <v>40</v>
      </c>
      <c r="E7050" t="s">
        <v>41</v>
      </c>
      <c r="J7050" t="s">
        <v>248</v>
      </c>
      <c r="K7050" t="s">
        <v>249</v>
      </c>
      <c r="L7050">
        <v>8</v>
      </c>
      <c r="M7050" t="s">
        <v>23864</v>
      </c>
      <c r="N7050" t="s">
        <v>1024</v>
      </c>
      <c r="O7050" t="s">
        <v>46</v>
      </c>
      <c r="P7050" t="s">
        <v>46</v>
      </c>
      <c r="Y7050" t="s">
        <v>23865</v>
      </c>
    </row>
    <row r="7051" spans="1:25">
      <c r="A7051" t="s">
        <v>23866</v>
      </c>
      <c r="B7051" t="s">
        <v>23867</v>
      </c>
      <c r="D7051" t="s">
        <v>40</v>
      </c>
      <c r="E7051" t="s">
        <v>41</v>
      </c>
      <c r="J7051" t="s">
        <v>248</v>
      </c>
      <c r="K7051" t="s">
        <v>249</v>
      </c>
      <c r="L7051">
        <v>8</v>
      </c>
      <c r="M7051" t="s">
        <v>23868</v>
      </c>
      <c r="N7051" t="s">
        <v>310</v>
      </c>
      <c r="O7051" t="s">
        <v>46</v>
      </c>
      <c r="P7051" t="s">
        <v>46</v>
      </c>
      <c r="Y7051" t="s">
        <v>23869</v>
      </c>
    </row>
    <row r="7052" spans="1:25">
      <c r="A7052" t="s">
        <v>23870</v>
      </c>
      <c r="B7052" t="s">
        <v>23871</v>
      </c>
      <c r="D7052" t="s">
        <v>40</v>
      </c>
      <c r="E7052" t="s">
        <v>41</v>
      </c>
      <c r="J7052" t="s">
        <v>248</v>
      </c>
      <c r="K7052" t="s">
        <v>249</v>
      </c>
      <c r="L7052">
        <v>8</v>
      </c>
      <c r="M7052" t="s">
        <v>23872</v>
      </c>
      <c r="N7052" t="s">
        <v>178</v>
      </c>
      <c r="O7052" t="s">
        <v>46</v>
      </c>
      <c r="P7052" t="s">
        <v>46</v>
      </c>
      <c r="Y7052" t="s">
        <v>23873</v>
      </c>
    </row>
    <row r="7053" spans="1:25">
      <c r="A7053" t="s">
        <v>23874</v>
      </c>
      <c r="B7053" t="s">
        <v>23875</v>
      </c>
      <c r="D7053" t="s">
        <v>40</v>
      </c>
      <c r="E7053" t="s">
        <v>41</v>
      </c>
      <c r="J7053" t="s">
        <v>1554</v>
      </c>
      <c r="K7053" t="s">
        <v>1555</v>
      </c>
      <c r="L7053">
        <v>8</v>
      </c>
      <c r="M7053" t="s">
        <v>23876</v>
      </c>
      <c r="N7053" t="s">
        <v>752</v>
      </c>
      <c r="O7053" t="s">
        <v>46</v>
      </c>
      <c r="P7053" t="s">
        <v>46</v>
      </c>
      <c r="Y7053" t="s">
        <v>23877</v>
      </c>
    </row>
    <row r="7054" spans="1:25">
      <c r="A7054" t="s">
        <v>23878</v>
      </c>
      <c r="B7054" t="s">
        <v>23879</v>
      </c>
      <c r="D7054" t="s">
        <v>40</v>
      </c>
      <c r="E7054" t="s">
        <v>41</v>
      </c>
      <c r="J7054" t="s">
        <v>248</v>
      </c>
      <c r="K7054" t="s">
        <v>249</v>
      </c>
      <c r="L7054">
        <v>8</v>
      </c>
      <c r="M7054" t="s">
        <v>23880</v>
      </c>
      <c r="N7054" t="s">
        <v>310</v>
      </c>
      <c r="O7054" t="s">
        <v>46</v>
      </c>
      <c r="P7054" t="s">
        <v>46</v>
      </c>
      <c r="Y7054" t="s">
        <v>23881</v>
      </c>
    </row>
    <row r="7055" spans="1:25">
      <c r="A7055" t="s">
        <v>23882</v>
      </c>
      <c r="B7055" t="s">
        <v>23883</v>
      </c>
      <c r="D7055" t="s">
        <v>40</v>
      </c>
      <c r="E7055" t="s">
        <v>41</v>
      </c>
      <c r="J7055" t="s">
        <v>248</v>
      </c>
      <c r="K7055" t="s">
        <v>249</v>
      </c>
      <c r="L7055">
        <v>8</v>
      </c>
      <c r="M7055" t="s">
        <v>23884</v>
      </c>
      <c r="N7055" t="s">
        <v>1392</v>
      </c>
      <c r="O7055" t="s">
        <v>46</v>
      </c>
      <c r="P7055" t="s">
        <v>46</v>
      </c>
      <c r="Y7055" t="s">
        <v>23885</v>
      </c>
    </row>
    <row r="7056" spans="1:25">
      <c r="A7056" t="s">
        <v>23886</v>
      </c>
      <c r="B7056" t="s">
        <v>23887</v>
      </c>
      <c r="D7056" t="s">
        <v>40</v>
      </c>
      <c r="E7056" t="s">
        <v>41</v>
      </c>
      <c r="J7056" t="s">
        <v>248</v>
      </c>
      <c r="K7056" t="s">
        <v>249</v>
      </c>
      <c r="L7056">
        <v>8</v>
      </c>
      <c r="M7056" t="s">
        <v>23888</v>
      </c>
      <c r="N7056" t="s">
        <v>1024</v>
      </c>
      <c r="O7056" t="s">
        <v>46</v>
      </c>
      <c r="P7056" t="s">
        <v>46</v>
      </c>
      <c r="Y7056" t="s">
        <v>23889</v>
      </c>
    </row>
    <row r="7057" spans="1:25">
      <c r="A7057" t="s">
        <v>23890</v>
      </c>
      <c r="B7057" t="s">
        <v>23891</v>
      </c>
      <c r="D7057" t="s">
        <v>40</v>
      </c>
      <c r="E7057" t="s">
        <v>41</v>
      </c>
      <c r="J7057" t="s">
        <v>599</v>
      </c>
      <c r="K7057" t="s">
        <v>600</v>
      </c>
      <c r="L7057">
        <v>8</v>
      </c>
      <c r="M7057" t="s">
        <v>23892</v>
      </c>
      <c r="N7057" t="s">
        <v>218</v>
      </c>
      <c r="O7057" t="s">
        <v>46</v>
      </c>
      <c r="P7057" t="s">
        <v>46</v>
      </c>
      <c r="Y7057" t="s">
        <v>23893</v>
      </c>
    </row>
    <row r="7058" spans="1:25">
      <c r="A7058" t="s">
        <v>23894</v>
      </c>
      <c r="B7058" t="s">
        <v>23895</v>
      </c>
      <c r="D7058" t="s">
        <v>40</v>
      </c>
      <c r="E7058" t="s">
        <v>41</v>
      </c>
      <c r="J7058" t="s">
        <v>248</v>
      </c>
      <c r="K7058" t="s">
        <v>249</v>
      </c>
      <c r="L7058">
        <v>8</v>
      </c>
      <c r="M7058" t="s">
        <v>23896</v>
      </c>
      <c r="N7058" t="s">
        <v>23374</v>
      </c>
      <c r="O7058" t="s">
        <v>46</v>
      </c>
      <c r="P7058" t="s">
        <v>46</v>
      </c>
      <c r="Y7058" t="s">
        <v>23897</v>
      </c>
    </row>
    <row r="7059" spans="1:25">
      <c r="A7059" t="s">
        <v>23898</v>
      </c>
      <c r="B7059" t="s">
        <v>23899</v>
      </c>
      <c r="D7059" t="s">
        <v>40</v>
      </c>
      <c r="E7059" t="s">
        <v>41</v>
      </c>
      <c r="J7059" t="s">
        <v>599</v>
      </c>
      <c r="K7059" t="s">
        <v>600</v>
      </c>
      <c r="L7059">
        <v>8</v>
      </c>
      <c r="M7059" t="s">
        <v>23900</v>
      </c>
      <c r="N7059" t="s">
        <v>1334</v>
      </c>
      <c r="O7059" t="s">
        <v>46</v>
      </c>
      <c r="P7059" t="s">
        <v>46</v>
      </c>
      <c r="Y7059" t="s">
        <v>23901</v>
      </c>
    </row>
    <row r="7060" spans="1:25">
      <c r="A7060" t="s">
        <v>23902</v>
      </c>
      <c r="B7060" t="s">
        <v>23903</v>
      </c>
      <c r="D7060" t="s">
        <v>40</v>
      </c>
      <c r="E7060" t="s">
        <v>41</v>
      </c>
      <c r="J7060" t="s">
        <v>1142</v>
      </c>
      <c r="K7060" t="s">
        <v>1143</v>
      </c>
      <c r="L7060">
        <v>8</v>
      </c>
      <c r="M7060" t="s">
        <v>23904</v>
      </c>
      <c r="N7060" t="s">
        <v>1276</v>
      </c>
      <c r="O7060" t="s">
        <v>46</v>
      </c>
      <c r="P7060" t="s">
        <v>46</v>
      </c>
      <c r="Y7060" t="s">
        <v>23905</v>
      </c>
    </row>
    <row r="7061" spans="1:25">
      <c r="A7061" t="s">
        <v>23906</v>
      </c>
      <c r="B7061" t="s">
        <v>23907</v>
      </c>
      <c r="D7061" t="s">
        <v>40</v>
      </c>
      <c r="E7061" t="s">
        <v>41</v>
      </c>
      <c r="J7061" t="s">
        <v>248</v>
      </c>
      <c r="K7061" t="s">
        <v>249</v>
      </c>
      <c r="L7061">
        <v>8</v>
      </c>
      <c r="M7061" t="s">
        <v>23908</v>
      </c>
      <c r="N7061" t="s">
        <v>756</v>
      </c>
      <c r="O7061" t="s">
        <v>46</v>
      </c>
      <c r="P7061" t="s">
        <v>46</v>
      </c>
      <c r="Y7061" t="s">
        <v>23909</v>
      </c>
    </row>
    <row r="7062" spans="1:25">
      <c r="A7062" t="s">
        <v>23910</v>
      </c>
      <c r="B7062" t="s">
        <v>23911</v>
      </c>
      <c r="D7062" t="s">
        <v>40</v>
      </c>
      <c r="E7062" t="s">
        <v>41</v>
      </c>
      <c r="J7062" t="s">
        <v>6255</v>
      </c>
      <c r="K7062" t="s">
        <v>6256</v>
      </c>
      <c r="L7062">
        <v>8</v>
      </c>
      <c r="M7062" t="s">
        <v>23912</v>
      </c>
      <c r="N7062" t="s">
        <v>45</v>
      </c>
      <c r="O7062" t="s">
        <v>46</v>
      </c>
      <c r="P7062" t="s">
        <v>46</v>
      </c>
      <c r="Y7062" t="s">
        <v>23913</v>
      </c>
    </row>
    <row r="7063" spans="1:25">
      <c r="A7063" t="s">
        <v>23914</v>
      </c>
      <c r="B7063" t="s">
        <v>23915</v>
      </c>
      <c r="D7063" t="s">
        <v>40</v>
      </c>
      <c r="E7063" t="s">
        <v>41</v>
      </c>
      <c r="J7063" t="s">
        <v>599</v>
      </c>
      <c r="K7063" t="s">
        <v>600</v>
      </c>
      <c r="L7063">
        <v>8</v>
      </c>
      <c r="M7063" t="s">
        <v>23916</v>
      </c>
      <c r="N7063" t="s">
        <v>1334</v>
      </c>
      <c r="O7063" t="s">
        <v>46</v>
      </c>
      <c r="P7063" t="s">
        <v>46</v>
      </c>
      <c r="Y7063" t="s">
        <v>23917</v>
      </c>
    </row>
    <row r="7064" spans="1:25">
      <c r="A7064" t="s">
        <v>23918</v>
      </c>
      <c r="B7064" t="s">
        <v>23919</v>
      </c>
      <c r="D7064" t="s">
        <v>40</v>
      </c>
      <c r="E7064" t="s">
        <v>41</v>
      </c>
      <c r="J7064" t="s">
        <v>248</v>
      </c>
      <c r="K7064" t="s">
        <v>249</v>
      </c>
      <c r="L7064">
        <v>8</v>
      </c>
      <c r="M7064" t="s">
        <v>23920</v>
      </c>
      <c r="N7064" t="s">
        <v>756</v>
      </c>
      <c r="O7064" t="s">
        <v>46</v>
      </c>
      <c r="P7064" t="s">
        <v>46</v>
      </c>
      <c r="Y7064" t="s">
        <v>23921</v>
      </c>
    </row>
    <row r="7065" spans="1:25">
      <c r="A7065" t="s">
        <v>23922</v>
      </c>
      <c r="B7065" t="s">
        <v>23923</v>
      </c>
      <c r="D7065" t="s">
        <v>40</v>
      </c>
      <c r="E7065" t="s">
        <v>41</v>
      </c>
      <c r="J7065" t="s">
        <v>14558</v>
      </c>
      <c r="K7065" t="s">
        <v>14559</v>
      </c>
      <c r="L7065">
        <v>8</v>
      </c>
      <c r="M7065" t="s">
        <v>23924</v>
      </c>
      <c r="N7065" t="s">
        <v>1446</v>
      </c>
      <c r="O7065" t="s">
        <v>46</v>
      </c>
      <c r="P7065" t="s">
        <v>46</v>
      </c>
      <c r="Y7065" t="s">
        <v>23925</v>
      </c>
    </row>
    <row r="7066" spans="1:25">
      <c r="A7066" t="s">
        <v>23926</v>
      </c>
      <c r="B7066" t="s">
        <v>23927</v>
      </c>
      <c r="D7066" t="s">
        <v>40</v>
      </c>
      <c r="E7066" t="s">
        <v>41</v>
      </c>
      <c r="J7066" t="s">
        <v>1142</v>
      </c>
      <c r="K7066" t="s">
        <v>1143</v>
      </c>
      <c r="L7066">
        <v>8</v>
      </c>
      <c r="M7066" t="s">
        <v>23928</v>
      </c>
      <c r="N7066" t="s">
        <v>257</v>
      </c>
      <c r="O7066" t="s">
        <v>46</v>
      </c>
      <c r="P7066" t="s">
        <v>46</v>
      </c>
      <c r="Y7066" t="s">
        <v>23929</v>
      </c>
    </row>
    <row r="7067" spans="1:25">
      <c r="A7067" t="s">
        <v>23930</v>
      </c>
      <c r="B7067" t="s">
        <v>23931</v>
      </c>
      <c r="D7067" t="s">
        <v>40</v>
      </c>
      <c r="E7067" t="s">
        <v>41</v>
      </c>
      <c r="J7067" t="s">
        <v>248</v>
      </c>
      <c r="K7067" t="s">
        <v>249</v>
      </c>
      <c r="L7067">
        <v>8</v>
      </c>
      <c r="M7067" t="s">
        <v>23932</v>
      </c>
      <c r="N7067" t="s">
        <v>1380</v>
      </c>
      <c r="O7067" t="s">
        <v>46</v>
      </c>
      <c r="P7067" t="s">
        <v>46</v>
      </c>
      <c r="Y7067" t="s">
        <v>23933</v>
      </c>
    </row>
    <row r="7068" spans="1:25">
      <c r="A7068" t="s">
        <v>23934</v>
      </c>
      <c r="B7068" t="s">
        <v>23935</v>
      </c>
      <c r="D7068" t="s">
        <v>40</v>
      </c>
      <c r="E7068" t="s">
        <v>41</v>
      </c>
      <c r="J7068" t="s">
        <v>248</v>
      </c>
      <c r="K7068" t="s">
        <v>249</v>
      </c>
      <c r="L7068">
        <v>8</v>
      </c>
      <c r="M7068" t="s">
        <v>23936</v>
      </c>
      <c r="N7068" t="s">
        <v>1024</v>
      </c>
      <c r="O7068" t="s">
        <v>46</v>
      </c>
      <c r="P7068" t="s">
        <v>46</v>
      </c>
      <c r="Y7068" t="s">
        <v>23937</v>
      </c>
    </row>
    <row r="7069" spans="1:25">
      <c r="A7069" t="s">
        <v>23938</v>
      </c>
      <c r="B7069" t="s">
        <v>23939</v>
      </c>
      <c r="D7069" t="s">
        <v>40</v>
      </c>
      <c r="E7069" t="s">
        <v>41</v>
      </c>
      <c r="J7069" t="s">
        <v>139</v>
      </c>
      <c r="K7069" t="s">
        <v>140</v>
      </c>
      <c r="L7069">
        <v>8</v>
      </c>
      <c r="M7069" t="s">
        <v>23940</v>
      </c>
      <c r="N7069" t="s">
        <v>1397</v>
      </c>
      <c r="O7069" t="s">
        <v>46</v>
      </c>
      <c r="P7069" t="s">
        <v>46</v>
      </c>
      <c r="Y7069" t="s">
        <v>23941</v>
      </c>
    </row>
    <row r="7070" spans="1:25">
      <c r="A7070" t="s">
        <v>23942</v>
      </c>
      <c r="B7070" t="s">
        <v>23943</v>
      </c>
      <c r="D7070" t="s">
        <v>40</v>
      </c>
      <c r="E7070" t="s">
        <v>41</v>
      </c>
      <c r="J7070" t="s">
        <v>248</v>
      </c>
      <c r="K7070" t="s">
        <v>249</v>
      </c>
      <c r="L7070">
        <v>8</v>
      </c>
      <c r="M7070" t="s">
        <v>23944</v>
      </c>
      <c r="N7070" t="s">
        <v>440</v>
      </c>
      <c r="O7070" t="s">
        <v>46</v>
      </c>
      <c r="P7070" t="s">
        <v>46</v>
      </c>
      <c r="Y7070" t="s">
        <v>23945</v>
      </c>
    </row>
    <row r="7071" spans="1:25">
      <c r="A7071" t="s">
        <v>23946</v>
      </c>
      <c r="B7071" t="s">
        <v>23947</v>
      </c>
      <c r="D7071" t="s">
        <v>40</v>
      </c>
      <c r="E7071" t="s">
        <v>41</v>
      </c>
      <c r="J7071" t="s">
        <v>139</v>
      </c>
      <c r="K7071" t="s">
        <v>140</v>
      </c>
      <c r="L7071">
        <v>8</v>
      </c>
      <c r="M7071" t="s">
        <v>23948</v>
      </c>
      <c r="N7071" t="s">
        <v>1397</v>
      </c>
      <c r="O7071" t="s">
        <v>46</v>
      </c>
      <c r="P7071" t="s">
        <v>46</v>
      </c>
      <c r="Y7071" t="s">
        <v>23949</v>
      </c>
    </row>
    <row r="7072" spans="1:25">
      <c r="A7072" t="s">
        <v>23950</v>
      </c>
      <c r="B7072" t="s">
        <v>23951</v>
      </c>
      <c r="D7072" t="s">
        <v>40</v>
      </c>
      <c r="E7072" t="s">
        <v>41</v>
      </c>
      <c r="J7072" t="s">
        <v>248</v>
      </c>
      <c r="K7072" t="s">
        <v>249</v>
      </c>
      <c r="L7072">
        <v>7</v>
      </c>
      <c r="M7072" t="s">
        <v>23952</v>
      </c>
      <c r="N7072" t="s">
        <v>350</v>
      </c>
      <c r="O7072" t="s">
        <v>46</v>
      </c>
      <c r="P7072" t="s">
        <v>46</v>
      </c>
      <c r="Y7072" t="s">
        <v>23953</v>
      </c>
    </row>
    <row r="7073" spans="1:25">
      <c r="A7073" t="s">
        <v>23954</v>
      </c>
      <c r="B7073" t="s">
        <v>23955</v>
      </c>
      <c r="D7073" t="s">
        <v>40</v>
      </c>
      <c r="E7073" t="s">
        <v>41</v>
      </c>
      <c r="J7073" t="s">
        <v>11802</v>
      </c>
      <c r="K7073" t="s">
        <v>11803</v>
      </c>
      <c r="L7073">
        <v>7</v>
      </c>
      <c r="M7073" t="s">
        <v>23956</v>
      </c>
      <c r="N7073" t="s">
        <v>45</v>
      </c>
      <c r="O7073" t="s">
        <v>46</v>
      </c>
      <c r="P7073" t="s">
        <v>46</v>
      </c>
      <c r="Y7073" t="s">
        <v>23957</v>
      </c>
    </row>
    <row r="7074" spans="1:25">
      <c r="A7074" t="s">
        <v>23958</v>
      </c>
      <c r="B7074" t="s">
        <v>23959</v>
      </c>
      <c r="D7074" t="s">
        <v>40</v>
      </c>
      <c r="E7074" t="s">
        <v>41</v>
      </c>
      <c r="J7074" t="s">
        <v>248</v>
      </c>
      <c r="K7074" t="s">
        <v>249</v>
      </c>
      <c r="L7074">
        <v>7</v>
      </c>
      <c r="M7074" t="s">
        <v>23956</v>
      </c>
      <c r="N7074" t="s">
        <v>310</v>
      </c>
      <c r="O7074" t="s">
        <v>46</v>
      </c>
      <c r="P7074" t="s">
        <v>46</v>
      </c>
      <c r="Y7074" t="s">
        <v>23960</v>
      </c>
    </row>
    <row r="7075" spans="1:25">
      <c r="A7075" t="s">
        <v>23961</v>
      </c>
      <c r="B7075" t="s">
        <v>23962</v>
      </c>
      <c r="D7075" t="s">
        <v>40</v>
      </c>
      <c r="E7075" t="s">
        <v>41</v>
      </c>
      <c r="J7075" t="s">
        <v>139</v>
      </c>
      <c r="K7075" t="s">
        <v>140</v>
      </c>
      <c r="L7075">
        <v>7</v>
      </c>
      <c r="M7075" t="s">
        <v>23963</v>
      </c>
      <c r="N7075" t="s">
        <v>3013</v>
      </c>
      <c r="O7075" t="s">
        <v>46</v>
      </c>
      <c r="P7075" t="s">
        <v>46</v>
      </c>
      <c r="Y7075" t="s">
        <v>23964</v>
      </c>
    </row>
    <row r="7076" spans="1:25">
      <c r="A7076" t="s">
        <v>23965</v>
      </c>
      <c r="B7076" t="s">
        <v>23966</v>
      </c>
      <c r="D7076" t="s">
        <v>40</v>
      </c>
      <c r="E7076" t="s">
        <v>41</v>
      </c>
      <c r="J7076" t="s">
        <v>139</v>
      </c>
      <c r="K7076" t="s">
        <v>140</v>
      </c>
      <c r="L7076">
        <v>7</v>
      </c>
      <c r="M7076" t="s">
        <v>23967</v>
      </c>
      <c r="N7076" t="s">
        <v>257</v>
      </c>
      <c r="O7076" t="s">
        <v>46</v>
      </c>
      <c r="P7076" t="s">
        <v>46</v>
      </c>
      <c r="Y7076" t="s">
        <v>23968</v>
      </c>
    </row>
    <row r="7077" spans="1:25">
      <c r="A7077" t="s">
        <v>23969</v>
      </c>
      <c r="B7077" t="s">
        <v>23970</v>
      </c>
      <c r="D7077" t="s">
        <v>40</v>
      </c>
      <c r="E7077" t="s">
        <v>41</v>
      </c>
      <c r="J7077" t="s">
        <v>248</v>
      </c>
      <c r="K7077" t="s">
        <v>249</v>
      </c>
      <c r="L7077">
        <v>7</v>
      </c>
      <c r="M7077" t="s">
        <v>23971</v>
      </c>
      <c r="N7077" t="s">
        <v>752</v>
      </c>
      <c r="O7077" t="s">
        <v>46</v>
      </c>
      <c r="P7077" t="s">
        <v>46</v>
      </c>
      <c r="Y7077" t="s">
        <v>23972</v>
      </c>
    </row>
    <row r="7078" spans="1:25">
      <c r="A7078" t="s">
        <v>23973</v>
      </c>
      <c r="B7078" t="s">
        <v>23974</v>
      </c>
      <c r="D7078" t="s">
        <v>40</v>
      </c>
      <c r="E7078" t="s">
        <v>41</v>
      </c>
      <c r="J7078" t="s">
        <v>248</v>
      </c>
      <c r="K7078" t="s">
        <v>249</v>
      </c>
      <c r="L7078">
        <v>7</v>
      </c>
      <c r="M7078" t="s">
        <v>23975</v>
      </c>
      <c r="N7078" t="s">
        <v>436</v>
      </c>
      <c r="O7078" t="s">
        <v>46</v>
      </c>
      <c r="P7078" t="s">
        <v>46</v>
      </c>
      <c r="Y7078" t="s">
        <v>23976</v>
      </c>
    </row>
    <row r="7079" spans="1:25">
      <c r="A7079" t="s">
        <v>23977</v>
      </c>
      <c r="B7079" t="s">
        <v>23978</v>
      </c>
      <c r="D7079" t="s">
        <v>40</v>
      </c>
      <c r="E7079" t="s">
        <v>41</v>
      </c>
      <c r="J7079" t="s">
        <v>248</v>
      </c>
      <c r="K7079" t="s">
        <v>249</v>
      </c>
      <c r="L7079">
        <v>7</v>
      </c>
      <c r="M7079" t="s">
        <v>23979</v>
      </c>
      <c r="N7079" t="s">
        <v>2346</v>
      </c>
      <c r="O7079" t="s">
        <v>46</v>
      </c>
      <c r="P7079" t="s">
        <v>46</v>
      </c>
      <c r="Y7079" t="s">
        <v>23980</v>
      </c>
    </row>
    <row r="7080" spans="1:25">
      <c r="A7080" t="s">
        <v>23981</v>
      </c>
      <c r="B7080" t="s">
        <v>23982</v>
      </c>
      <c r="D7080" t="s">
        <v>40</v>
      </c>
      <c r="E7080" t="s">
        <v>41</v>
      </c>
      <c r="J7080" t="s">
        <v>139</v>
      </c>
      <c r="K7080" t="s">
        <v>140</v>
      </c>
      <c r="L7080">
        <v>7</v>
      </c>
      <c r="M7080" t="s">
        <v>23983</v>
      </c>
      <c r="N7080" t="s">
        <v>22465</v>
      </c>
      <c r="O7080" t="s">
        <v>46</v>
      </c>
      <c r="P7080" t="s">
        <v>46</v>
      </c>
      <c r="Y7080" t="s">
        <v>23984</v>
      </c>
    </row>
    <row r="7081" spans="1:25">
      <c r="A7081" t="s">
        <v>23985</v>
      </c>
      <c r="B7081" t="s">
        <v>23986</v>
      </c>
      <c r="D7081" t="s">
        <v>40</v>
      </c>
      <c r="E7081" t="s">
        <v>41</v>
      </c>
      <c r="J7081" t="s">
        <v>248</v>
      </c>
      <c r="K7081" t="s">
        <v>249</v>
      </c>
      <c r="L7081">
        <v>7</v>
      </c>
      <c r="M7081" t="s">
        <v>23987</v>
      </c>
      <c r="N7081" t="s">
        <v>3013</v>
      </c>
      <c r="O7081" t="s">
        <v>46</v>
      </c>
      <c r="P7081" t="s">
        <v>46</v>
      </c>
      <c r="Y7081" t="s">
        <v>23988</v>
      </c>
    </row>
    <row r="7082" spans="1:25">
      <c r="A7082" t="s">
        <v>23989</v>
      </c>
      <c r="B7082" t="s">
        <v>23990</v>
      </c>
      <c r="D7082" t="s">
        <v>40</v>
      </c>
      <c r="E7082" t="s">
        <v>41</v>
      </c>
      <c r="J7082" t="s">
        <v>248</v>
      </c>
      <c r="K7082" t="s">
        <v>249</v>
      </c>
      <c r="L7082">
        <v>7</v>
      </c>
      <c r="M7082" t="s">
        <v>23991</v>
      </c>
      <c r="N7082" t="s">
        <v>257</v>
      </c>
      <c r="O7082" t="s">
        <v>46</v>
      </c>
      <c r="P7082" t="s">
        <v>46</v>
      </c>
      <c r="Y7082" t="s">
        <v>23992</v>
      </c>
    </row>
    <row r="7083" spans="1:25">
      <c r="A7083" t="s">
        <v>23993</v>
      </c>
      <c r="B7083" t="s">
        <v>23994</v>
      </c>
      <c r="D7083" t="s">
        <v>40</v>
      </c>
      <c r="E7083" t="s">
        <v>41</v>
      </c>
      <c r="J7083" t="s">
        <v>139</v>
      </c>
      <c r="K7083" t="s">
        <v>140</v>
      </c>
      <c r="L7083">
        <v>8</v>
      </c>
      <c r="M7083" t="s">
        <v>23995</v>
      </c>
      <c r="N7083" t="s">
        <v>1478</v>
      </c>
      <c r="O7083" t="s">
        <v>46</v>
      </c>
      <c r="P7083" t="s">
        <v>46</v>
      </c>
      <c r="Y7083" t="s">
        <v>23996</v>
      </c>
    </row>
    <row r="7084" spans="1:25">
      <c r="A7084" t="s">
        <v>23997</v>
      </c>
      <c r="B7084" t="s">
        <v>23998</v>
      </c>
      <c r="D7084" t="s">
        <v>40</v>
      </c>
      <c r="E7084" t="s">
        <v>41</v>
      </c>
      <c r="J7084" t="s">
        <v>921</v>
      </c>
      <c r="K7084" t="s">
        <v>922</v>
      </c>
      <c r="L7084">
        <v>8</v>
      </c>
      <c r="M7084" t="s">
        <v>23999</v>
      </c>
      <c r="N7084" t="s">
        <v>315</v>
      </c>
      <c r="O7084" t="s">
        <v>46</v>
      </c>
      <c r="P7084" t="s">
        <v>46</v>
      </c>
      <c r="Y7084" t="s">
        <v>24000</v>
      </c>
    </row>
    <row r="7085" spans="1:25">
      <c r="A7085" t="s">
        <v>24001</v>
      </c>
      <c r="B7085" t="s">
        <v>24002</v>
      </c>
      <c r="D7085" t="s">
        <v>40</v>
      </c>
      <c r="E7085" t="s">
        <v>41</v>
      </c>
      <c r="J7085" t="s">
        <v>248</v>
      </c>
      <c r="K7085" t="s">
        <v>249</v>
      </c>
      <c r="L7085">
        <v>7</v>
      </c>
      <c r="M7085" t="s">
        <v>24003</v>
      </c>
      <c r="N7085" t="s">
        <v>1392</v>
      </c>
      <c r="O7085" t="s">
        <v>46</v>
      </c>
      <c r="P7085" t="s">
        <v>46</v>
      </c>
      <c r="Y7085" t="s">
        <v>24004</v>
      </c>
    </row>
    <row r="7086" spans="1:25">
      <c r="A7086" t="s">
        <v>24005</v>
      </c>
      <c r="B7086" t="s">
        <v>24006</v>
      </c>
      <c r="D7086" t="s">
        <v>40</v>
      </c>
      <c r="E7086" t="s">
        <v>41</v>
      </c>
      <c r="J7086" t="s">
        <v>248</v>
      </c>
      <c r="K7086" t="s">
        <v>249</v>
      </c>
      <c r="L7086">
        <v>7</v>
      </c>
      <c r="M7086" t="s">
        <v>24007</v>
      </c>
      <c r="N7086" t="s">
        <v>23374</v>
      </c>
      <c r="O7086" t="s">
        <v>46</v>
      </c>
      <c r="P7086" t="s">
        <v>46</v>
      </c>
      <c r="Y7086" t="s">
        <v>24008</v>
      </c>
    </row>
    <row r="7087" spans="1:25">
      <c r="A7087" t="s">
        <v>24009</v>
      </c>
      <c r="B7087" t="s">
        <v>24010</v>
      </c>
      <c r="D7087" t="s">
        <v>40</v>
      </c>
      <c r="E7087" t="s">
        <v>41</v>
      </c>
      <c r="J7087" t="s">
        <v>248</v>
      </c>
      <c r="K7087" t="s">
        <v>249</v>
      </c>
      <c r="L7087">
        <v>7</v>
      </c>
      <c r="M7087" t="s">
        <v>24011</v>
      </c>
      <c r="N7087" t="s">
        <v>1334</v>
      </c>
      <c r="O7087" t="s">
        <v>46</v>
      </c>
      <c r="P7087" t="s">
        <v>46</v>
      </c>
      <c r="Y7087" t="s">
        <v>24012</v>
      </c>
    </row>
    <row r="7088" spans="1:25">
      <c r="A7088" t="s">
        <v>24013</v>
      </c>
      <c r="B7088" t="s">
        <v>24014</v>
      </c>
      <c r="D7088" t="s">
        <v>40</v>
      </c>
      <c r="E7088" t="s">
        <v>41</v>
      </c>
      <c r="J7088" t="s">
        <v>248</v>
      </c>
      <c r="K7088" t="s">
        <v>249</v>
      </c>
      <c r="L7088">
        <v>7</v>
      </c>
      <c r="M7088" t="s">
        <v>24015</v>
      </c>
      <c r="N7088" t="s">
        <v>310</v>
      </c>
      <c r="O7088" t="s">
        <v>46</v>
      </c>
      <c r="P7088" t="s">
        <v>46</v>
      </c>
      <c r="Y7088" t="s">
        <v>24016</v>
      </c>
    </row>
    <row r="7089" spans="1:25">
      <c r="A7089" t="s">
        <v>24017</v>
      </c>
      <c r="B7089" t="s">
        <v>24018</v>
      </c>
      <c r="D7089" t="s">
        <v>40</v>
      </c>
      <c r="E7089" t="s">
        <v>41</v>
      </c>
      <c r="J7089" t="s">
        <v>248</v>
      </c>
      <c r="K7089" t="s">
        <v>249</v>
      </c>
      <c r="L7089">
        <v>7</v>
      </c>
      <c r="M7089" t="s">
        <v>24019</v>
      </c>
      <c r="N7089" t="s">
        <v>23374</v>
      </c>
      <c r="O7089" t="s">
        <v>46</v>
      </c>
      <c r="P7089" t="s">
        <v>46</v>
      </c>
      <c r="Y7089" t="s">
        <v>24020</v>
      </c>
    </row>
    <row r="7090" spans="1:25">
      <c r="A7090" t="s">
        <v>24021</v>
      </c>
      <c r="B7090" t="s">
        <v>24022</v>
      </c>
      <c r="D7090" t="s">
        <v>40</v>
      </c>
      <c r="E7090" t="s">
        <v>41</v>
      </c>
      <c r="J7090" t="s">
        <v>248</v>
      </c>
      <c r="K7090" t="s">
        <v>249</v>
      </c>
      <c r="L7090">
        <v>8</v>
      </c>
      <c r="M7090" t="s">
        <v>24023</v>
      </c>
      <c r="N7090" t="s">
        <v>2346</v>
      </c>
      <c r="O7090" t="s">
        <v>46</v>
      </c>
      <c r="P7090" t="s">
        <v>46</v>
      </c>
      <c r="Y7090" t="s">
        <v>24024</v>
      </c>
    </row>
    <row r="7091" spans="1:25">
      <c r="A7091" t="s">
        <v>24025</v>
      </c>
      <c r="B7091" t="s">
        <v>24026</v>
      </c>
      <c r="D7091" t="s">
        <v>40</v>
      </c>
      <c r="E7091" t="s">
        <v>41</v>
      </c>
      <c r="J7091" t="s">
        <v>248</v>
      </c>
      <c r="K7091" t="s">
        <v>249</v>
      </c>
      <c r="L7091">
        <v>7</v>
      </c>
      <c r="M7091" t="s">
        <v>24027</v>
      </c>
      <c r="N7091" t="s">
        <v>617</v>
      </c>
      <c r="O7091" t="s">
        <v>46</v>
      </c>
      <c r="P7091" t="s">
        <v>46</v>
      </c>
      <c r="Y7091" t="s">
        <v>24028</v>
      </c>
    </row>
    <row r="7092" spans="1:25">
      <c r="A7092" t="s">
        <v>24029</v>
      </c>
      <c r="B7092" t="s">
        <v>24030</v>
      </c>
      <c r="D7092" t="s">
        <v>40</v>
      </c>
      <c r="E7092" t="s">
        <v>41</v>
      </c>
      <c r="J7092" t="s">
        <v>12440</v>
      </c>
      <c r="K7092" t="s">
        <v>12441</v>
      </c>
      <c r="L7092">
        <v>9</v>
      </c>
      <c r="M7092" t="s">
        <v>24031</v>
      </c>
      <c r="N7092" t="s">
        <v>64</v>
      </c>
      <c r="O7092" t="s">
        <v>46</v>
      </c>
      <c r="P7092" t="s">
        <v>46</v>
      </c>
      <c r="Y7092" t="s">
        <v>24032</v>
      </c>
    </row>
    <row r="7093" spans="1:25">
      <c r="A7093" t="s">
        <v>24033</v>
      </c>
      <c r="B7093" t="s">
        <v>24034</v>
      </c>
      <c r="D7093" t="s">
        <v>40</v>
      </c>
      <c r="E7093" t="s">
        <v>41</v>
      </c>
      <c r="J7093" t="s">
        <v>248</v>
      </c>
      <c r="K7093" t="s">
        <v>249</v>
      </c>
      <c r="L7093">
        <v>8</v>
      </c>
      <c r="M7093" t="s">
        <v>24031</v>
      </c>
      <c r="N7093" t="s">
        <v>1334</v>
      </c>
      <c r="O7093" t="s">
        <v>46</v>
      </c>
      <c r="P7093" t="s">
        <v>46</v>
      </c>
      <c r="Y7093" t="s">
        <v>24035</v>
      </c>
    </row>
    <row r="7094" spans="1:25">
      <c r="A7094" t="s">
        <v>24036</v>
      </c>
      <c r="B7094" t="s">
        <v>24037</v>
      </c>
      <c r="D7094" t="s">
        <v>40</v>
      </c>
      <c r="E7094" t="s">
        <v>41</v>
      </c>
      <c r="J7094" t="s">
        <v>248</v>
      </c>
      <c r="K7094" t="s">
        <v>249</v>
      </c>
      <c r="L7094">
        <v>8</v>
      </c>
      <c r="M7094" t="s">
        <v>24038</v>
      </c>
      <c r="N7094" t="s">
        <v>257</v>
      </c>
      <c r="O7094" t="s">
        <v>46</v>
      </c>
      <c r="P7094" t="s">
        <v>46</v>
      </c>
      <c r="Y7094" t="s">
        <v>24039</v>
      </c>
    </row>
    <row r="7095" spans="1:25">
      <c r="A7095" t="s">
        <v>24040</v>
      </c>
      <c r="B7095" t="s">
        <v>24041</v>
      </c>
      <c r="D7095" t="s">
        <v>40</v>
      </c>
      <c r="E7095" t="s">
        <v>41</v>
      </c>
      <c r="J7095" t="s">
        <v>139</v>
      </c>
      <c r="K7095" t="s">
        <v>140</v>
      </c>
      <c r="L7095">
        <v>7</v>
      </c>
      <c r="M7095" t="s">
        <v>24042</v>
      </c>
      <c r="N7095" t="s">
        <v>1478</v>
      </c>
      <c r="O7095" t="s">
        <v>46</v>
      </c>
      <c r="P7095" t="s">
        <v>46</v>
      </c>
      <c r="Y7095" t="s">
        <v>24043</v>
      </c>
    </row>
    <row r="7096" spans="1:25">
      <c r="A7096" t="s">
        <v>24044</v>
      </c>
      <c r="B7096" t="s">
        <v>24045</v>
      </c>
      <c r="D7096" t="s">
        <v>40</v>
      </c>
      <c r="E7096" t="s">
        <v>41</v>
      </c>
      <c r="J7096" t="s">
        <v>248</v>
      </c>
      <c r="K7096" t="s">
        <v>249</v>
      </c>
      <c r="L7096">
        <v>7</v>
      </c>
      <c r="M7096" t="s">
        <v>24046</v>
      </c>
      <c r="N7096" t="s">
        <v>45</v>
      </c>
      <c r="O7096" t="s">
        <v>46</v>
      </c>
      <c r="P7096" t="s">
        <v>46</v>
      </c>
      <c r="Y7096" t="s">
        <v>24047</v>
      </c>
    </row>
    <row r="7097" spans="1:25">
      <c r="A7097" t="s">
        <v>24048</v>
      </c>
      <c r="B7097" t="s">
        <v>24049</v>
      </c>
      <c r="D7097" t="s">
        <v>40</v>
      </c>
      <c r="E7097" t="s">
        <v>41</v>
      </c>
      <c r="J7097" t="s">
        <v>139</v>
      </c>
      <c r="K7097" t="s">
        <v>140</v>
      </c>
      <c r="L7097">
        <v>7</v>
      </c>
      <c r="M7097" t="s">
        <v>24050</v>
      </c>
      <c r="N7097" t="s">
        <v>310</v>
      </c>
      <c r="O7097" t="s">
        <v>46</v>
      </c>
      <c r="P7097" t="s">
        <v>46</v>
      </c>
      <c r="Y7097" t="s">
        <v>24051</v>
      </c>
    </row>
    <row r="7098" spans="1:25">
      <c r="A7098" t="s">
        <v>24052</v>
      </c>
      <c r="B7098" t="s">
        <v>24053</v>
      </c>
      <c r="D7098" t="s">
        <v>40</v>
      </c>
      <c r="E7098" t="s">
        <v>41</v>
      </c>
      <c r="J7098" t="s">
        <v>139</v>
      </c>
      <c r="K7098" t="s">
        <v>140</v>
      </c>
      <c r="L7098">
        <v>7</v>
      </c>
      <c r="M7098" t="s">
        <v>24054</v>
      </c>
      <c r="N7098" t="s">
        <v>1397</v>
      </c>
      <c r="O7098" t="s">
        <v>46</v>
      </c>
      <c r="P7098" t="s">
        <v>46</v>
      </c>
      <c r="Y7098" t="s">
        <v>24055</v>
      </c>
    </row>
    <row r="7099" spans="1:25">
      <c r="A7099" t="s">
        <v>24056</v>
      </c>
      <c r="B7099" t="s">
        <v>24057</v>
      </c>
      <c r="D7099" t="s">
        <v>40</v>
      </c>
      <c r="E7099" t="s">
        <v>41</v>
      </c>
      <c r="J7099" t="s">
        <v>139</v>
      </c>
      <c r="K7099" t="s">
        <v>140</v>
      </c>
      <c r="L7099">
        <v>8</v>
      </c>
      <c r="M7099" t="s">
        <v>24058</v>
      </c>
      <c r="N7099" t="s">
        <v>350</v>
      </c>
      <c r="O7099" t="s">
        <v>46</v>
      </c>
      <c r="P7099" t="s">
        <v>46</v>
      </c>
      <c r="Y7099" t="s">
        <v>24059</v>
      </c>
    </row>
    <row r="7100" spans="1:25">
      <c r="A7100" t="s">
        <v>24060</v>
      </c>
      <c r="B7100" t="s">
        <v>24061</v>
      </c>
      <c r="D7100" t="s">
        <v>40</v>
      </c>
      <c r="E7100" t="s">
        <v>41</v>
      </c>
      <c r="J7100" t="s">
        <v>248</v>
      </c>
      <c r="K7100" t="s">
        <v>249</v>
      </c>
      <c r="L7100">
        <v>7</v>
      </c>
      <c r="M7100" t="s">
        <v>24062</v>
      </c>
      <c r="N7100" t="s">
        <v>257</v>
      </c>
      <c r="O7100" t="s">
        <v>46</v>
      </c>
      <c r="P7100" t="s">
        <v>46</v>
      </c>
      <c r="Y7100" t="s">
        <v>24063</v>
      </c>
    </row>
    <row r="7101" spans="1:25">
      <c r="A7101" t="s">
        <v>24064</v>
      </c>
      <c r="B7101" t="s">
        <v>24065</v>
      </c>
      <c r="D7101" t="s">
        <v>40</v>
      </c>
      <c r="E7101" t="s">
        <v>41</v>
      </c>
      <c r="J7101" t="s">
        <v>248</v>
      </c>
      <c r="K7101" t="s">
        <v>249</v>
      </c>
      <c r="L7101">
        <v>8</v>
      </c>
      <c r="M7101" t="s">
        <v>24066</v>
      </c>
      <c r="N7101" t="s">
        <v>310</v>
      </c>
      <c r="O7101" t="s">
        <v>46</v>
      </c>
      <c r="P7101" t="s">
        <v>46</v>
      </c>
      <c r="Y7101" t="s">
        <v>24067</v>
      </c>
    </row>
    <row r="7102" spans="1:25">
      <c r="A7102" t="s">
        <v>24068</v>
      </c>
      <c r="B7102" t="s">
        <v>24069</v>
      </c>
      <c r="D7102" t="s">
        <v>40</v>
      </c>
      <c r="E7102" t="s">
        <v>41</v>
      </c>
      <c r="J7102" t="s">
        <v>248</v>
      </c>
      <c r="K7102" t="s">
        <v>249</v>
      </c>
      <c r="L7102">
        <v>7</v>
      </c>
      <c r="M7102" t="s">
        <v>24070</v>
      </c>
      <c r="N7102" t="s">
        <v>1392</v>
      </c>
      <c r="O7102" t="s">
        <v>46</v>
      </c>
      <c r="P7102" t="s">
        <v>46</v>
      </c>
      <c r="Y7102" t="s">
        <v>24071</v>
      </c>
    </row>
    <row r="7103" spans="1:25">
      <c r="A7103" t="s">
        <v>24072</v>
      </c>
      <c r="B7103" t="s">
        <v>24073</v>
      </c>
      <c r="D7103" t="s">
        <v>40</v>
      </c>
      <c r="E7103" t="s">
        <v>41</v>
      </c>
      <c r="J7103" t="s">
        <v>1554</v>
      </c>
      <c r="K7103" t="s">
        <v>1555</v>
      </c>
      <c r="L7103">
        <v>7</v>
      </c>
      <c r="M7103" t="s">
        <v>24074</v>
      </c>
      <c r="N7103" t="s">
        <v>45</v>
      </c>
      <c r="O7103" t="s">
        <v>46</v>
      </c>
      <c r="P7103" t="s">
        <v>46</v>
      </c>
      <c r="Y7103" t="s">
        <v>24075</v>
      </c>
    </row>
    <row r="7104" spans="1:25">
      <c r="A7104" t="s">
        <v>24076</v>
      </c>
      <c r="B7104" t="s">
        <v>24077</v>
      </c>
      <c r="D7104" t="s">
        <v>40</v>
      </c>
      <c r="E7104" t="s">
        <v>41</v>
      </c>
      <c r="J7104" t="s">
        <v>248</v>
      </c>
      <c r="K7104" t="s">
        <v>249</v>
      </c>
      <c r="L7104">
        <v>7</v>
      </c>
      <c r="M7104" t="s">
        <v>24078</v>
      </c>
      <c r="N7104" t="s">
        <v>741</v>
      </c>
      <c r="O7104" t="s">
        <v>46</v>
      </c>
      <c r="P7104" t="s">
        <v>46</v>
      </c>
      <c r="Y7104" t="s">
        <v>24079</v>
      </c>
    </row>
    <row r="7105" spans="1:25">
      <c r="A7105" t="s">
        <v>24080</v>
      </c>
      <c r="B7105" t="s">
        <v>24081</v>
      </c>
      <c r="D7105" t="s">
        <v>40</v>
      </c>
      <c r="E7105" t="s">
        <v>41</v>
      </c>
      <c r="J7105" t="s">
        <v>139</v>
      </c>
      <c r="K7105" t="s">
        <v>140</v>
      </c>
      <c r="L7105">
        <v>7</v>
      </c>
      <c r="M7105" t="s">
        <v>24082</v>
      </c>
      <c r="N7105" t="s">
        <v>178</v>
      </c>
      <c r="O7105" t="s">
        <v>46</v>
      </c>
      <c r="P7105" t="s">
        <v>46</v>
      </c>
      <c r="Y7105" t="s">
        <v>24083</v>
      </c>
    </row>
    <row r="7106" spans="1:25">
      <c r="A7106" t="s">
        <v>24084</v>
      </c>
      <c r="B7106" t="s">
        <v>24085</v>
      </c>
      <c r="D7106" t="s">
        <v>40</v>
      </c>
      <c r="E7106" t="s">
        <v>41</v>
      </c>
      <c r="J7106" t="s">
        <v>1554</v>
      </c>
      <c r="K7106" t="s">
        <v>1555</v>
      </c>
      <c r="L7106">
        <v>7</v>
      </c>
      <c r="M7106" t="s">
        <v>24086</v>
      </c>
      <c r="N7106" t="s">
        <v>1334</v>
      </c>
      <c r="O7106" t="s">
        <v>46</v>
      </c>
      <c r="P7106" t="s">
        <v>46</v>
      </c>
      <c r="Y7106" t="s">
        <v>24087</v>
      </c>
    </row>
    <row r="7107" spans="1:25">
      <c r="A7107" t="s">
        <v>24088</v>
      </c>
      <c r="B7107" t="s">
        <v>24089</v>
      </c>
      <c r="D7107" t="s">
        <v>40</v>
      </c>
      <c r="E7107" t="s">
        <v>41</v>
      </c>
      <c r="J7107" t="s">
        <v>139</v>
      </c>
      <c r="K7107" t="s">
        <v>140</v>
      </c>
      <c r="L7107">
        <v>7</v>
      </c>
      <c r="M7107" t="s">
        <v>24090</v>
      </c>
      <c r="N7107" t="s">
        <v>1446</v>
      </c>
      <c r="O7107" t="s">
        <v>46</v>
      </c>
      <c r="P7107" t="s">
        <v>46</v>
      </c>
      <c r="Y7107" t="s">
        <v>24091</v>
      </c>
    </row>
    <row r="7108" spans="1:25">
      <c r="A7108" t="s">
        <v>24092</v>
      </c>
      <c r="B7108" t="s">
        <v>24093</v>
      </c>
      <c r="D7108" t="s">
        <v>40</v>
      </c>
      <c r="E7108" t="s">
        <v>41</v>
      </c>
      <c r="J7108" t="s">
        <v>1554</v>
      </c>
      <c r="K7108" t="s">
        <v>1555</v>
      </c>
      <c r="L7108">
        <v>8</v>
      </c>
      <c r="M7108" t="s">
        <v>24094</v>
      </c>
      <c r="N7108" t="s">
        <v>23374</v>
      </c>
      <c r="O7108" t="s">
        <v>46</v>
      </c>
      <c r="P7108" t="s">
        <v>46</v>
      </c>
      <c r="Y7108" t="s">
        <v>24095</v>
      </c>
    </row>
    <row r="7109" spans="1:25">
      <c r="A7109" t="s">
        <v>24096</v>
      </c>
      <c r="B7109" t="s">
        <v>24097</v>
      </c>
      <c r="D7109" t="s">
        <v>40</v>
      </c>
      <c r="E7109" t="s">
        <v>41</v>
      </c>
      <c r="J7109" t="s">
        <v>248</v>
      </c>
      <c r="K7109" t="s">
        <v>249</v>
      </c>
      <c r="L7109">
        <v>7</v>
      </c>
      <c r="M7109" t="s">
        <v>24098</v>
      </c>
      <c r="N7109" t="s">
        <v>310</v>
      </c>
      <c r="O7109" t="s">
        <v>46</v>
      </c>
      <c r="P7109" t="s">
        <v>46</v>
      </c>
      <c r="Y7109" t="s">
        <v>24099</v>
      </c>
    </row>
    <row r="7110" spans="1:25">
      <c r="A7110" t="s">
        <v>24100</v>
      </c>
      <c r="B7110" t="s">
        <v>24101</v>
      </c>
      <c r="D7110" t="s">
        <v>40</v>
      </c>
      <c r="E7110" t="s">
        <v>41</v>
      </c>
      <c r="J7110" t="s">
        <v>248</v>
      </c>
      <c r="K7110" t="s">
        <v>249</v>
      </c>
      <c r="L7110">
        <v>7</v>
      </c>
      <c r="M7110" t="s">
        <v>24102</v>
      </c>
      <c r="N7110" t="s">
        <v>1369</v>
      </c>
      <c r="O7110" t="s">
        <v>46</v>
      </c>
      <c r="P7110" t="s">
        <v>46</v>
      </c>
      <c r="Y7110" t="s">
        <v>24103</v>
      </c>
    </row>
    <row r="7111" spans="1:25">
      <c r="A7111" t="s">
        <v>24104</v>
      </c>
      <c r="B7111" t="s">
        <v>24105</v>
      </c>
      <c r="D7111" t="s">
        <v>40</v>
      </c>
      <c r="E7111" t="s">
        <v>41</v>
      </c>
      <c r="J7111" t="s">
        <v>139</v>
      </c>
      <c r="K7111" t="s">
        <v>140</v>
      </c>
      <c r="L7111">
        <v>7</v>
      </c>
      <c r="M7111" t="s">
        <v>24106</v>
      </c>
      <c r="N7111" t="s">
        <v>3013</v>
      </c>
      <c r="O7111" t="s">
        <v>46</v>
      </c>
      <c r="P7111" t="s">
        <v>46</v>
      </c>
      <c r="Y7111" t="s">
        <v>24107</v>
      </c>
    </row>
    <row r="7112" spans="1:25">
      <c r="A7112" t="s">
        <v>24108</v>
      </c>
      <c r="B7112" t="s">
        <v>24109</v>
      </c>
      <c r="D7112" t="s">
        <v>40</v>
      </c>
      <c r="E7112" t="s">
        <v>41</v>
      </c>
      <c r="J7112" t="s">
        <v>1554</v>
      </c>
      <c r="K7112" t="s">
        <v>1555</v>
      </c>
      <c r="L7112">
        <v>7</v>
      </c>
      <c r="M7112" t="s">
        <v>24110</v>
      </c>
      <c r="N7112" t="s">
        <v>1380</v>
      </c>
      <c r="O7112" t="s">
        <v>46</v>
      </c>
      <c r="P7112" t="s">
        <v>46</v>
      </c>
      <c r="Y7112" t="s">
        <v>24111</v>
      </c>
    </row>
    <row r="7113" spans="1:25">
      <c r="A7113" t="s">
        <v>24112</v>
      </c>
      <c r="B7113" t="s">
        <v>24113</v>
      </c>
      <c r="D7113" t="s">
        <v>40</v>
      </c>
      <c r="E7113" t="s">
        <v>41</v>
      </c>
      <c r="J7113" t="s">
        <v>248</v>
      </c>
      <c r="K7113" t="s">
        <v>249</v>
      </c>
      <c r="L7113">
        <v>7</v>
      </c>
      <c r="M7113" t="s">
        <v>24114</v>
      </c>
      <c r="N7113" t="s">
        <v>310</v>
      </c>
      <c r="O7113" t="s">
        <v>46</v>
      </c>
      <c r="P7113" t="s">
        <v>46</v>
      </c>
      <c r="Y7113" t="s">
        <v>24115</v>
      </c>
    </row>
    <row r="7114" spans="1:25">
      <c r="A7114" t="s">
        <v>24116</v>
      </c>
      <c r="B7114" t="s">
        <v>24117</v>
      </c>
      <c r="D7114" t="s">
        <v>40</v>
      </c>
      <c r="E7114" t="s">
        <v>41</v>
      </c>
      <c r="J7114" t="s">
        <v>139</v>
      </c>
      <c r="K7114" t="s">
        <v>140</v>
      </c>
      <c r="L7114">
        <v>7</v>
      </c>
      <c r="M7114" t="s">
        <v>24118</v>
      </c>
      <c r="N7114" t="s">
        <v>178</v>
      </c>
      <c r="O7114" t="s">
        <v>46</v>
      </c>
      <c r="P7114" t="s">
        <v>46</v>
      </c>
      <c r="Y7114" t="s">
        <v>24119</v>
      </c>
    </row>
    <row r="7115" spans="1:25">
      <c r="A7115" t="s">
        <v>24120</v>
      </c>
      <c r="B7115" t="s">
        <v>24121</v>
      </c>
      <c r="D7115" t="s">
        <v>40</v>
      </c>
      <c r="E7115" t="s">
        <v>41</v>
      </c>
      <c r="J7115" t="s">
        <v>248</v>
      </c>
      <c r="K7115" t="s">
        <v>249</v>
      </c>
      <c r="L7115">
        <v>7</v>
      </c>
      <c r="M7115" t="s">
        <v>24122</v>
      </c>
      <c r="N7115" t="s">
        <v>1024</v>
      </c>
      <c r="O7115" t="s">
        <v>46</v>
      </c>
      <c r="P7115" t="s">
        <v>46</v>
      </c>
      <c r="Y7115" t="s">
        <v>24123</v>
      </c>
    </row>
    <row r="7116" spans="1:25">
      <c r="A7116" t="s">
        <v>24124</v>
      </c>
      <c r="B7116" t="s">
        <v>24125</v>
      </c>
      <c r="D7116" t="s">
        <v>40</v>
      </c>
      <c r="E7116" t="s">
        <v>41</v>
      </c>
      <c r="J7116" t="s">
        <v>1554</v>
      </c>
      <c r="K7116" t="s">
        <v>1555</v>
      </c>
      <c r="L7116">
        <v>7</v>
      </c>
      <c r="M7116" t="s">
        <v>24126</v>
      </c>
      <c r="N7116" t="s">
        <v>1334</v>
      </c>
      <c r="O7116" t="s">
        <v>46</v>
      </c>
      <c r="P7116" t="s">
        <v>46</v>
      </c>
      <c r="Y7116" t="s">
        <v>24127</v>
      </c>
    </row>
    <row r="7117" spans="1:25">
      <c r="A7117" t="s">
        <v>24128</v>
      </c>
      <c r="B7117" t="s">
        <v>24129</v>
      </c>
      <c r="D7117" t="s">
        <v>40</v>
      </c>
      <c r="E7117" t="s">
        <v>41</v>
      </c>
      <c r="J7117" t="s">
        <v>1554</v>
      </c>
      <c r="K7117" t="s">
        <v>1555</v>
      </c>
      <c r="L7117">
        <v>7</v>
      </c>
      <c r="M7117" t="s">
        <v>24130</v>
      </c>
      <c r="N7117" t="s">
        <v>4037</v>
      </c>
      <c r="O7117" t="s">
        <v>46</v>
      </c>
      <c r="P7117" t="s">
        <v>46</v>
      </c>
      <c r="Y7117" t="s">
        <v>24131</v>
      </c>
    </row>
    <row r="7118" spans="1:25">
      <c r="A7118" t="s">
        <v>24132</v>
      </c>
      <c r="B7118" t="s">
        <v>24133</v>
      </c>
      <c r="D7118" t="s">
        <v>40</v>
      </c>
      <c r="E7118" t="s">
        <v>41</v>
      </c>
      <c r="J7118" t="s">
        <v>14558</v>
      </c>
      <c r="K7118" t="s">
        <v>14559</v>
      </c>
      <c r="L7118">
        <v>7</v>
      </c>
      <c r="M7118" t="s">
        <v>24134</v>
      </c>
      <c r="N7118" t="s">
        <v>3013</v>
      </c>
      <c r="O7118" t="s">
        <v>46</v>
      </c>
      <c r="P7118" t="s">
        <v>46</v>
      </c>
      <c r="Y7118" t="s">
        <v>24135</v>
      </c>
    </row>
    <row r="7119" spans="1:25">
      <c r="A7119" t="s">
        <v>24136</v>
      </c>
      <c r="B7119" t="s">
        <v>24137</v>
      </c>
      <c r="D7119" t="s">
        <v>40</v>
      </c>
      <c r="E7119" t="s">
        <v>41</v>
      </c>
      <c r="J7119" t="s">
        <v>248</v>
      </c>
      <c r="K7119" t="s">
        <v>249</v>
      </c>
      <c r="L7119">
        <v>7</v>
      </c>
      <c r="M7119" t="s">
        <v>24138</v>
      </c>
      <c r="N7119" t="s">
        <v>617</v>
      </c>
      <c r="O7119" t="s">
        <v>46</v>
      </c>
      <c r="P7119" t="s">
        <v>46</v>
      </c>
      <c r="Y7119" t="s">
        <v>24139</v>
      </c>
    </row>
    <row r="7120" spans="1:25">
      <c r="A7120" t="s">
        <v>24140</v>
      </c>
      <c r="B7120" t="s">
        <v>24141</v>
      </c>
      <c r="D7120" t="s">
        <v>40</v>
      </c>
      <c r="E7120" t="s">
        <v>41</v>
      </c>
      <c r="J7120" t="s">
        <v>12440</v>
      </c>
      <c r="K7120" t="s">
        <v>12441</v>
      </c>
      <c r="L7120">
        <v>8</v>
      </c>
      <c r="M7120" t="s">
        <v>24142</v>
      </c>
      <c r="N7120" t="s">
        <v>64</v>
      </c>
      <c r="O7120" t="s">
        <v>46</v>
      </c>
      <c r="P7120" t="s">
        <v>46</v>
      </c>
      <c r="Y7120" t="s">
        <v>24143</v>
      </c>
    </row>
    <row r="7121" spans="1:25">
      <c r="A7121" t="s">
        <v>24144</v>
      </c>
      <c r="B7121" t="s">
        <v>24145</v>
      </c>
      <c r="D7121" t="s">
        <v>40</v>
      </c>
      <c r="E7121" t="s">
        <v>41</v>
      </c>
      <c r="J7121" t="s">
        <v>599</v>
      </c>
      <c r="K7121" t="s">
        <v>600</v>
      </c>
      <c r="L7121">
        <v>7</v>
      </c>
      <c r="M7121" t="s">
        <v>24146</v>
      </c>
      <c r="N7121" t="s">
        <v>218</v>
      </c>
      <c r="O7121" t="s">
        <v>46</v>
      </c>
      <c r="P7121" t="s">
        <v>46</v>
      </c>
      <c r="Y7121" t="s">
        <v>24147</v>
      </c>
    </row>
    <row r="7122" spans="1:25">
      <c r="A7122" t="s">
        <v>24148</v>
      </c>
      <c r="B7122" t="s">
        <v>24149</v>
      </c>
      <c r="D7122" t="s">
        <v>40</v>
      </c>
      <c r="E7122" t="s">
        <v>41</v>
      </c>
      <c r="J7122" t="s">
        <v>248</v>
      </c>
      <c r="K7122" t="s">
        <v>249</v>
      </c>
      <c r="L7122">
        <v>7</v>
      </c>
      <c r="M7122" t="s">
        <v>24150</v>
      </c>
      <c r="N7122" t="s">
        <v>1276</v>
      </c>
      <c r="O7122" t="s">
        <v>46</v>
      </c>
      <c r="P7122" t="s">
        <v>46</v>
      </c>
      <c r="Y7122" t="s">
        <v>24151</v>
      </c>
    </row>
    <row r="7123" spans="1:25">
      <c r="A7123" t="s">
        <v>24152</v>
      </c>
      <c r="B7123" t="s">
        <v>24153</v>
      </c>
      <c r="D7123" t="s">
        <v>40</v>
      </c>
      <c r="E7123" t="s">
        <v>41</v>
      </c>
      <c r="J7123" t="s">
        <v>139</v>
      </c>
      <c r="K7123" t="s">
        <v>140</v>
      </c>
      <c r="L7123">
        <v>7</v>
      </c>
      <c r="M7123" t="s">
        <v>24154</v>
      </c>
      <c r="N7123" t="s">
        <v>1189</v>
      </c>
      <c r="O7123" t="s">
        <v>46</v>
      </c>
      <c r="P7123" t="s">
        <v>46</v>
      </c>
      <c r="Y7123" t="s">
        <v>24155</v>
      </c>
    </row>
    <row r="7124" spans="1:25">
      <c r="A7124" t="s">
        <v>24156</v>
      </c>
      <c r="B7124" t="s">
        <v>24157</v>
      </c>
      <c r="D7124" t="s">
        <v>40</v>
      </c>
      <c r="E7124" t="s">
        <v>41</v>
      </c>
      <c r="J7124" t="s">
        <v>248</v>
      </c>
      <c r="K7124" t="s">
        <v>249</v>
      </c>
      <c r="L7124">
        <v>7</v>
      </c>
      <c r="M7124" t="s">
        <v>24158</v>
      </c>
      <c r="N7124" t="s">
        <v>350</v>
      </c>
      <c r="O7124" t="s">
        <v>46</v>
      </c>
      <c r="P7124" t="s">
        <v>46</v>
      </c>
      <c r="Y7124" t="s">
        <v>24159</v>
      </c>
    </row>
    <row r="7125" spans="1:25">
      <c r="A7125" t="s">
        <v>24160</v>
      </c>
      <c r="B7125" t="s">
        <v>24161</v>
      </c>
      <c r="D7125" t="s">
        <v>40</v>
      </c>
      <c r="E7125" t="s">
        <v>41</v>
      </c>
      <c r="J7125" t="s">
        <v>139</v>
      </c>
      <c r="K7125" t="s">
        <v>140</v>
      </c>
      <c r="L7125">
        <v>7</v>
      </c>
      <c r="M7125" t="s">
        <v>24162</v>
      </c>
      <c r="N7125" t="s">
        <v>178</v>
      </c>
      <c r="O7125" t="s">
        <v>46</v>
      </c>
      <c r="P7125" t="s">
        <v>46</v>
      </c>
      <c r="Y7125" t="s">
        <v>24163</v>
      </c>
    </row>
    <row r="7126" spans="1:25">
      <c r="A7126" t="s">
        <v>24164</v>
      </c>
      <c r="B7126" t="s">
        <v>24165</v>
      </c>
      <c r="D7126" t="s">
        <v>40</v>
      </c>
      <c r="E7126" t="s">
        <v>41</v>
      </c>
      <c r="J7126" t="s">
        <v>599</v>
      </c>
      <c r="K7126" t="s">
        <v>600</v>
      </c>
      <c r="L7126">
        <v>7</v>
      </c>
      <c r="M7126" t="s">
        <v>24166</v>
      </c>
      <c r="N7126" t="s">
        <v>45</v>
      </c>
      <c r="O7126" t="s">
        <v>46</v>
      </c>
      <c r="P7126" t="s">
        <v>46</v>
      </c>
      <c r="Y7126" t="s">
        <v>24167</v>
      </c>
    </row>
    <row r="7127" spans="1:25">
      <c r="A7127" t="s">
        <v>24168</v>
      </c>
      <c r="B7127" t="s">
        <v>24169</v>
      </c>
      <c r="D7127" t="s">
        <v>40</v>
      </c>
      <c r="E7127" t="s">
        <v>41</v>
      </c>
      <c r="J7127" t="s">
        <v>1142</v>
      </c>
      <c r="K7127" t="s">
        <v>1143</v>
      </c>
      <c r="L7127">
        <v>7</v>
      </c>
      <c r="M7127" t="s">
        <v>24170</v>
      </c>
      <c r="N7127" t="s">
        <v>23374</v>
      </c>
      <c r="O7127" t="s">
        <v>46</v>
      </c>
      <c r="P7127" t="s">
        <v>46</v>
      </c>
      <c r="Y7127" t="s">
        <v>24171</v>
      </c>
    </row>
    <row r="7128" spans="1:25">
      <c r="A7128" t="s">
        <v>24172</v>
      </c>
      <c r="B7128" t="s">
        <v>24173</v>
      </c>
      <c r="D7128" t="s">
        <v>40</v>
      </c>
      <c r="E7128" t="s">
        <v>41</v>
      </c>
      <c r="J7128" t="s">
        <v>599</v>
      </c>
      <c r="K7128" t="s">
        <v>600</v>
      </c>
      <c r="L7128">
        <v>7</v>
      </c>
      <c r="M7128" t="s">
        <v>24174</v>
      </c>
      <c r="N7128" t="s">
        <v>2346</v>
      </c>
      <c r="O7128" t="s">
        <v>46</v>
      </c>
      <c r="P7128" t="s">
        <v>46</v>
      </c>
      <c r="Y7128" t="s">
        <v>24175</v>
      </c>
    </row>
    <row r="7129" spans="1:25">
      <c r="A7129" t="s">
        <v>24176</v>
      </c>
      <c r="B7129" t="s">
        <v>24177</v>
      </c>
      <c r="D7129" t="s">
        <v>40</v>
      </c>
      <c r="E7129" t="s">
        <v>41</v>
      </c>
      <c r="J7129" t="s">
        <v>16458</v>
      </c>
      <c r="K7129" t="s">
        <v>16459</v>
      </c>
      <c r="L7129">
        <v>7</v>
      </c>
      <c r="M7129" t="s">
        <v>24178</v>
      </c>
      <c r="N7129" t="s">
        <v>1024</v>
      </c>
      <c r="O7129" t="s">
        <v>46</v>
      </c>
      <c r="P7129" t="s">
        <v>46</v>
      </c>
      <c r="Y7129" t="s">
        <v>24179</v>
      </c>
    </row>
    <row r="7130" spans="1:25">
      <c r="A7130" t="s">
        <v>24180</v>
      </c>
      <c r="B7130" t="s">
        <v>24181</v>
      </c>
      <c r="D7130" t="s">
        <v>40</v>
      </c>
      <c r="E7130" t="s">
        <v>41</v>
      </c>
      <c r="J7130" t="s">
        <v>248</v>
      </c>
      <c r="K7130" t="s">
        <v>249</v>
      </c>
      <c r="L7130">
        <v>7</v>
      </c>
      <c r="M7130" t="s">
        <v>24182</v>
      </c>
      <c r="N7130" t="s">
        <v>1446</v>
      </c>
      <c r="O7130" t="s">
        <v>46</v>
      </c>
      <c r="P7130" t="s">
        <v>46</v>
      </c>
      <c r="Y7130" t="s">
        <v>24183</v>
      </c>
    </row>
    <row r="7131" spans="1:25">
      <c r="A7131" t="s">
        <v>24184</v>
      </c>
      <c r="B7131" t="s">
        <v>24185</v>
      </c>
      <c r="D7131" t="s">
        <v>40</v>
      </c>
      <c r="E7131" t="s">
        <v>41</v>
      </c>
      <c r="J7131" t="s">
        <v>248</v>
      </c>
      <c r="K7131" t="s">
        <v>249</v>
      </c>
      <c r="L7131">
        <v>7</v>
      </c>
      <c r="M7131" t="s">
        <v>24186</v>
      </c>
      <c r="N7131" t="s">
        <v>1369</v>
      </c>
      <c r="O7131" t="s">
        <v>46</v>
      </c>
      <c r="P7131" t="s">
        <v>46</v>
      </c>
      <c r="Y7131" t="s">
        <v>24187</v>
      </c>
    </row>
    <row r="7132" spans="1:25">
      <c r="A7132" t="s">
        <v>24188</v>
      </c>
      <c r="B7132" t="s">
        <v>24189</v>
      </c>
      <c r="D7132" t="s">
        <v>40</v>
      </c>
      <c r="E7132" t="s">
        <v>41</v>
      </c>
      <c r="J7132" t="s">
        <v>1142</v>
      </c>
      <c r="K7132" t="s">
        <v>1143</v>
      </c>
      <c r="L7132">
        <v>6</v>
      </c>
      <c r="M7132" t="s">
        <v>24190</v>
      </c>
      <c r="N7132" t="s">
        <v>3013</v>
      </c>
      <c r="O7132" t="s">
        <v>46</v>
      </c>
      <c r="P7132" t="s">
        <v>46</v>
      </c>
      <c r="Y7132" t="s">
        <v>24191</v>
      </c>
    </row>
    <row r="7133" spans="1:25">
      <c r="A7133" t="s">
        <v>24192</v>
      </c>
      <c r="B7133" t="s">
        <v>24193</v>
      </c>
      <c r="D7133" t="s">
        <v>40</v>
      </c>
      <c r="E7133" t="s">
        <v>41</v>
      </c>
      <c r="J7133" t="s">
        <v>12440</v>
      </c>
      <c r="K7133" t="s">
        <v>12441</v>
      </c>
      <c r="L7133">
        <v>7</v>
      </c>
      <c r="M7133" t="s">
        <v>24194</v>
      </c>
      <c r="N7133" t="s">
        <v>64</v>
      </c>
      <c r="O7133" t="s">
        <v>46</v>
      </c>
      <c r="P7133" t="s">
        <v>46</v>
      </c>
      <c r="Y7133" t="s">
        <v>24195</v>
      </c>
    </row>
    <row r="7134" spans="1:25">
      <c r="A7134" t="s">
        <v>24196</v>
      </c>
      <c r="B7134" t="s">
        <v>24197</v>
      </c>
      <c r="D7134" t="s">
        <v>40</v>
      </c>
      <c r="E7134" t="s">
        <v>41</v>
      </c>
      <c r="J7134" t="s">
        <v>139</v>
      </c>
      <c r="K7134" t="s">
        <v>140</v>
      </c>
      <c r="L7134">
        <v>3</v>
      </c>
      <c r="M7134" t="s">
        <v>24198</v>
      </c>
      <c r="N7134" t="s">
        <v>291</v>
      </c>
      <c r="O7134" t="s">
        <v>46</v>
      </c>
      <c r="P7134" t="s">
        <v>46</v>
      </c>
      <c r="Y7134" t="s">
        <v>24199</v>
      </c>
    </row>
    <row r="7135" spans="1:25">
      <c r="A7135" t="s">
        <v>24200</v>
      </c>
      <c r="B7135" t="s">
        <v>24201</v>
      </c>
      <c r="D7135" t="s">
        <v>40</v>
      </c>
      <c r="E7135" t="s">
        <v>41</v>
      </c>
      <c r="J7135" t="s">
        <v>921</v>
      </c>
      <c r="K7135" t="s">
        <v>922</v>
      </c>
      <c r="L7135">
        <v>9</v>
      </c>
      <c r="M7135" t="s">
        <v>24202</v>
      </c>
      <c r="N7135" t="s">
        <v>165</v>
      </c>
      <c r="O7135" t="s">
        <v>46</v>
      </c>
      <c r="P7135" t="s">
        <v>46</v>
      </c>
      <c r="Y7135" t="s">
        <v>24203</v>
      </c>
    </row>
    <row r="7136" spans="1:25">
      <c r="A7136" t="s">
        <v>24204</v>
      </c>
      <c r="B7136" t="s">
        <v>24205</v>
      </c>
      <c r="D7136" t="s">
        <v>40</v>
      </c>
      <c r="E7136" t="s">
        <v>41</v>
      </c>
      <c r="J7136" t="s">
        <v>911</v>
      </c>
      <c r="K7136" t="s">
        <v>912</v>
      </c>
      <c r="L7136">
        <v>8</v>
      </c>
      <c r="M7136" t="s">
        <v>24206</v>
      </c>
      <c r="N7136" t="s">
        <v>756</v>
      </c>
      <c r="O7136" t="s">
        <v>46</v>
      </c>
      <c r="P7136" t="s">
        <v>46</v>
      </c>
      <c r="Y7136" t="s">
        <v>24207</v>
      </c>
    </row>
    <row r="7137" spans="1:25">
      <c r="A7137" t="s">
        <v>24208</v>
      </c>
      <c r="B7137" t="s">
        <v>24209</v>
      </c>
      <c r="D7137" t="s">
        <v>40</v>
      </c>
      <c r="E7137" t="s">
        <v>41</v>
      </c>
      <c r="J7137" t="s">
        <v>139</v>
      </c>
      <c r="K7137" t="s">
        <v>140</v>
      </c>
      <c r="L7137">
        <v>8</v>
      </c>
      <c r="M7137" t="s">
        <v>24210</v>
      </c>
      <c r="N7137" t="s">
        <v>165</v>
      </c>
      <c r="O7137" t="s">
        <v>46</v>
      </c>
      <c r="P7137" t="s">
        <v>46</v>
      </c>
      <c r="Y7137" t="s">
        <v>24211</v>
      </c>
    </row>
    <row r="7138" spans="1:25">
      <c r="A7138" t="s">
        <v>24212</v>
      </c>
      <c r="B7138" t="s">
        <v>24213</v>
      </c>
      <c r="D7138" t="s">
        <v>40</v>
      </c>
      <c r="E7138" t="s">
        <v>41</v>
      </c>
      <c r="J7138" t="s">
        <v>1142</v>
      </c>
      <c r="K7138" t="s">
        <v>1143</v>
      </c>
      <c r="L7138">
        <v>8</v>
      </c>
      <c r="M7138" t="s">
        <v>24214</v>
      </c>
      <c r="N7138" t="s">
        <v>142</v>
      </c>
      <c r="O7138" t="s">
        <v>46</v>
      </c>
      <c r="P7138" t="s">
        <v>46</v>
      </c>
      <c r="Y7138" t="s">
        <v>24215</v>
      </c>
    </row>
    <row r="7139" spans="1:25">
      <c r="A7139" t="s">
        <v>24216</v>
      </c>
      <c r="B7139" t="s">
        <v>24217</v>
      </c>
      <c r="D7139" t="s">
        <v>40</v>
      </c>
      <c r="E7139" t="s">
        <v>41</v>
      </c>
      <c r="J7139" t="s">
        <v>139</v>
      </c>
      <c r="K7139" t="s">
        <v>140</v>
      </c>
      <c r="L7139">
        <v>9</v>
      </c>
      <c r="M7139" t="s">
        <v>24218</v>
      </c>
      <c r="N7139" t="s">
        <v>310</v>
      </c>
      <c r="O7139" t="s">
        <v>46</v>
      </c>
      <c r="P7139" t="s">
        <v>46</v>
      </c>
      <c r="Y7139" t="s">
        <v>24219</v>
      </c>
    </row>
    <row r="7140" spans="1:25">
      <c r="A7140" t="s">
        <v>24220</v>
      </c>
      <c r="B7140" t="s">
        <v>24221</v>
      </c>
      <c r="D7140" t="s">
        <v>40</v>
      </c>
      <c r="E7140" t="s">
        <v>41</v>
      </c>
      <c r="J7140" t="s">
        <v>248</v>
      </c>
      <c r="K7140" t="s">
        <v>249</v>
      </c>
      <c r="L7140">
        <v>8</v>
      </c>
      <c r="M7140" t="s">
        <v>24222</v>
      </c>
      <c r="N7140" t="s">
        <v>310</v>
      </c>
      <c r="O7140" t="s">
        <v>46</v>
      </c>
      <c r="P7140" t="s">
        <v>46</v>
      </c>
      <c r="Y7140" t="s">
        <v>24223</v>
      </c>
    </row>
    <row r="7141" spans="1:25">
      <c r="A7141" t="s">
        <v>24224</v>
      </c>
      <c r="B7141" t="s">
        <v>24225</v>
      </c>
      <c r="D7141" t="s">
        <v>40</v>
      </c>
      <c r="E7141" t="s">
        <v>41</v>
      </c>
      <c r="J7141" t="s">
        <v>14558</v>
      </c>
      <c r="K7141" t="s">
        <v>14559</v>
      </c>
      <c r="L7141">
        <v>8</v>
      </c>
      <c r="M7141" t="s">
        <v>24226</v>
      </c>
      <c r="N7141" t="s">
        <v>24227</v>
      </c>
      <c r="O7141" t="s">
        <v>46</v>
      </c>
      <c r="P7141" t="s">
        <v>46</v>
      </c>
      <c r="Y7141" t="s">
        <v>24228</v>
      </c>
    </row>
    <row r="7142" spans="1:25">
      <c r="A7142" t="s">
        <v>24229</v>
      </c>
      <c r="B7142" t="s">
        <v>24230</v>
      </c>
      <c r="D7142" t="s">
        <v>40</v>
      </c>
      <c r="E7142" t="s">
        <v>41</v>
      </c>
      <c r="J7142" t="s">
        <v>139</v>
      </c>
      <c r="K7142" t="s">
        <v>140</v>
      </c>
      <c r="L7142">
        <v>8</v>
      </c>
      <c r="M7142" t="s">
        <v>24231</v>
      </c>
      <c r="N7142" t="s">
        <v>310</v>
      </c>
      <c r="O7142" t="s">
        <v>46</v>
      </c>
      <c r="P7142" t="s">
        <v>46</v>
      </c>
      <c r="Y7142" t="s">
        <v>24232</v>
      </c>
    </row>
    <row r="7143" spans="1:25">
      <c r="A7143" t="s">
        <v>24233</v>
      </c>
      <c r="B7143" t="s">
        <v>24234</v>
      </c>
      <c r="D7143" t="s">
        <v>40</v>
      </c>
      <c r="E7143" t="s">
        <v>41</v>
      </c>
      <c r="J7143" t="s">
        <v>14558</v>
      </c>
      <c r="K7143" t="s">
        <v>14559</v>
      </c>
      <c r="L7143">
        <v>8</v>
      </c>
      <c r="M7143" t="s">
        <v>24235</v>
      </c>
      <c r="N7143" t="s">
        <v>2621</v>
      </c>
      <c r="O7143" t="s">
        <v>46</v>
      </c>
      <c r="P7143" t="s">
        <v>46</v>
      </c>
      <c r="Y7143" t="s">
        <v>24236</v>
      </c>
    </row>
    <row r="7144" spans="1:25">
      <c r="A7144" t="s">
        <v>24237</v>
      </c>
      <c r="B7144" t="s">
        <v>24238</v>
      </c>
      <c r="D7144" t="s">
        <v>40</v>
      </c>
      <c r="E7144" t="s">
        <v>41</v>
      </c>
      <c r="J7144" t="s">
        <v>248</v>
      </c>
      <c r="K7144" t="s">
        <v>249</v>
      </c>
      <c r="L7144">
        <v>8</v>
      </c>
      <c r="M7144" t="s">
        <v>24239</v>
      </c>
      <c r="N7144" t="s">
        <v>24240</v>
      </c>
      <c r="O7144" t="s">
        <v>46</v>
      </c>
      <c r="P7144" t="s">
        <v>46</v>
      </c>
      <c r="Y7144" t="s">
        <v>24241</v>
      </c>
    </row>
    <row r="7145" spans="1:25">
      <c r="A7145" t="s">
        <v>24242</v>
      </c>
      <c r="B7145" t="s">
        <v>24243</v>
      </c>
      <c r="D7145" t="s">
        <v>40</v>
      </c>
      <c r="E7145" t="s">
        <v>41</v>
      </c>
      <c r="J7145" t="s">
        <v>139</v>
      </c>
      <c r="K7145" t="s">
        <v>140</v>
      </c>
      <c r="L7145">
        <v>7</v>
      </c>
      <c r="M7145" t="s">
        <v>24244</v>
      </c>
      <c r="N7145" t="s">
        <v>24245</v>
      </c>
      <c r="O7145" t="s">
        <v>46</v>
      </c>
      <c r="P7145" t="s">
        <v>46</v>
      </c>
      <c r="Y7145" t="s">
        <v>24246</v>
      </c>
    </row>
    <row r="7146" spans="1:25">
      <c r="A7146" t="s">
        <v>24247</v>
      </c>
      <c r="B7146" t="s">
        <v>24248</v>
      </c>
      <c r="D7146" t="s">
        <v>40</v>
      </c>
      <c r="E7146" t="s">
        <v>41</v>
      </c>
      <c r="J7146" t="s">
        <v>248</v>
      </c>
      <c r="K7146" t="s">
        <v>249</v>
      </c>
      <c r="L7146">
        <v>8</v>
      </c>
      <c r="M7146" t="s">
        <v>24249</v>
      </c>
      <c r="N7146" t="s">
        <v>350</v>
      </c>
      <c r="O7146" t="s">
        <v>46</v>
      </c>
      <c r="P7146" t="s">
        <v>46</v>
      </c>
      <c r="Y7146" t="s">
        <v>24250</v>
      </c>
    </row>
    <row r="7147" spans="1:25">
      <c r="A7147" t="s">
        <v>24251</v>
      </c>
      <c r="B7147" t="s">
        <v>24252</v>
      </c>
      <c r="D7147" t="s">
        <v>40</v>
      </c>
      <c r="E7147" t="s">
        <v>41</v>
      </c>
      <c r="J7147" t="s">
        <v>248</v>
      </c>
      <c r="K7147" t="s">
        <v>249</v>
      </c>
      <c r="L7147">
        <v>7</v>
      </c>
      <c r="M7147" t="s">
        <v>24253</v>
      </c>
      <c r="N7147" t="s">
        <v>1024</v>
      </c>
      <c r="O7147" t="s">
        <v>46</v>
      </c>
      <c r="P7147" t="s">
        <v>46</v>
      </c>
      <c r="Y7147" t="s">
        <v>24254</v>
      </c>
    </row>
    <row r="7148" spans="1:25">
      <c r="A7148" t="s">
        <v>24255</v>
      </c>
      <c r="B7148" t="s">
        <v>24256</v>
      </c>
      <c r="D7148" t="s">
        <v>40</v>
      </c>
      <c r="E7148" t="s">
        <v>41</v>
      </c>
      <c r="J7148" t="s">
        <v>6179</v>
      </c>
      <c r="K7148" t="s">
        <v>6180</v>
      </c>
      <c r="L7148">
        <v>6</v>
      </c>
      <c r="M7148" t="s">
        <v>24257</v>
      </c>
      <c r="N7148" t="s">
        <v>2621</v>
      </c>
      <c r="O7148" t="s">
        <v>46</v>
      </c>
      <c r="P7148" t="s">
        <v>46</v>
      </c>
      <c r="Y7148" t="s">
        <v>24258</v>
      </c>
    </row>
    <row r="7149" spans="1:25">
      <c r="A7149" t="s">
        <v>24259</v>
      </c>
      <c r="B7149" t="s">
        <v>24260</v>
      </c>
      <c r="D7149" t="s">
        <v>40</v>
      </c>
      <c r="E7149" t="s">
        <v>41</v>
      </c>
      <c r="J7149" t="s">
        <v>139</v>
      </c>
      <c r="K7149" t="s">
        <v>140</v>
      </c>
      <c r="L7149">
        <v>7</v>
      </c>
      <c r="M7149" t="s">
        <v>24261</v>
      </c>
      <c r="N7149" t="s">
        <v>924</v>
      </c>
      <c r="O7149" t="s">
        <v>46</v>
      </c>
      <c r="P7149" t="s">
        <v>46</v>
      </c>
      <c r="Y7149" t="s">
        <v>24262</v>
      </c>
    </row>
    <row r="7150" spans="1:25">
      <c r="A7150" t="s">
        <v>24263</v>
      </c>
      <c r="B7150" t="s">
        <v>24264</v>
      </c>
      <c r="D7150" t="s">
        <v>40</v>
      </c>
      <c r="E7150" t="s">
        <v>41</v>
      </c>
      <c r="J7150" t="s">
        <v>248</v>
      </c>
      <c r="K7150" t="s">
        <v>249</v>
      </c>
      <c r="L7150">
        <v>8</v>
      </c>
      <c r="M7150" t="s">
        <v>24261</v>
      </c>
      <c r="N7150" t="s">
        <v>1446</v>
      </c>
      <c r="O7150" t="s">
        <v>46</v>
      </c>
      <c r="P7150" t="s">
        <v>46</v>
      </c>
      <c r="Y7150" t="s">
        <v>24265</v>
      </c>
    </row>
    <row r="7151" spans="1:25">
      <c r="A7151" t="s">
        <v>24266</v>
      </c>
      <c r="B7151" t="s">
        <v>24267</v>
      </c>
      <c r="D7151" t="s">
        <v>40</v>
      </c>
      <c r="E7151" t="s">
        <v>41</v>
      </c>
      <c r="J7151" t="s">
        <v>14558</v>
      </c>
      <c r="K7151" t="s">
        <v>14559</v>
      </c>
      <c r="L7151">
        <v>8</v>
      </c>
      <c r="M7151" t="s">
        <v>24268</v>
      </c>
      <c r="N7151" t="s">
        <v>756</v>
      </c>
      <c r="O7151" t="s">
        <v>46</v>
      </c>
      <c r="P7151" t="s">
        <v>46</v>
      </c>
      <c r="Y7151" t="s">
        <v>24269</v>
      </c>
    </row>
    <row r="7152" spans="1:25">
      <c r="A7152" t="s">
        <v>24270</v>
      </c>
      <c r="B7152" t="s">
        <v>24271</v>
      </c>
      <c r="D7152" t="s">
        <v>40</v>
      </c>
      <c r="E7152" t="s">
        <v>41</v>
      </c>
      <c r="J7152" t="s">
        <v>248</v>
      </c>
      <c r="K7152" t="s">
        <v>249</v>
      </c>
      <c r="L7152">
        <v>8</v>
      </c>
      <c r="M7152" t="s">
        <v>24272</v>
      </c>
      <c r="N7152" t="s">
        <v>257</v>
      </c>
      <c r="O7152" t="s">
        <v>46</v>
      </c>
      <c r="P7152" t="s">
        <v>46</v>
      </c>
      <c r="Y7152" t="s">
        <v>24273</v>
      </c>
    </row>
    <row r="7153" spans="1:25">
      <c r="A7153" t="s">
        <v>24274</v>
      </c>
      <c r="B7153" t="s">
        <v>24275</v>
      </c>
      <c r="D7153" t="s">
        <v>40</v>
      </c>
      <c r="E7153" t="s">
        <v>41</v>
      </c>
      <c r="J7153" t="s">
        <v>1142</v>
      </c>
      <c r="K7153" t="s">
        <v>1143</v>
      </c>
      <c r="L7153">
        <v>6</v>
      </c>
      <c r="M7153" t="s">
        <v>24276</v>
      </c>
      <c r="N7153" t="s">
        <v>24227</v>
      </c>
      <c r="O7153" t="s">
        <v>46</v>
      </c>
      <c r="P7153" t="s">
        <v>46</v>
      </c>
      <c r="Y7153" t="s">
        <v>24277</v>
      </c>
    </row>
    <row r="7154" spans="1:25">
      <c r="A7154" t="s">
        <v>24278</v>
      </c>
      <c r="B7154" t="s">
        <v>24279</v>
      </c>
      <c r="D7154" t="s">
        <v>40</v>
      </c>
      <c r="E7154" t="s">
        <v>41</v>
      </c>
      <c r="J7154" t="s">
        <v>139</v>
      </c>
      <c r="K7154" t="s">
        <v>140</v>
      </c>
      <c r="L7154">
        <v>7</v>
      </c>
      <c r="M7154" t="s">
        <v>24280</v>
      </c>
      <c r="N7154" t="s">
        <v>1478</v>
      </c>
      <c r="O7154" t="s">
        <v>46</v>
      </c>
      <c r="P7154" t="s">
        <v>46</v>
      </c>
      <c r="Y7154" t="s">
        <v>24281</v>
      </c>
    </row>
    <row r="7155" spans="1:25">
      <c r="A7155" t="s">
        <v>24282</v>
      </c>
      <c r="B7155" t="s">
        <v>24283</v>
      </c>
      <c r="D7155" t="s">
        <v>40</v>
      </c>
      <c r="E7155" t="s">
        <v>41</v>
      </c>
      <c r="J7155" t="s">
        <v>12440</v>
      </c>
      <c r="K7155" t="s">
        <v>12441</v>
      </c>
      <c r="L7155">
        <v>10</v>
      </c>
      <c r="M7155" t="s">
        <v>24284</v>
      </c>
      <c r="N7155" t="s">
        <v>1478</v>
      </c>
      <c r="O7155" t="s">
        <v>46</v>
      </c>
      <c r="P7155" t="s">
        <v>46</v>
      </c>
      <c r="Y7155" t="s">
        <v>24285</v>
      </c>
    </row>
    <row r="7156" spans="1:25">
      <c r="A7156" t="s">
        <v>24286</v>
      </c>
      <c r="B7156" t="s">
        <v>24287</v>
      </c>
      <c r="D7156" t="s">
        <v>40</v>
      </c>
      <c r="E7156" t="s">
        <v>41</v>
      </c>
      <c r="J7156" t="s">
        <v>139</v>
      </c>
      <c r="K7156" t="s">
        <v>140</v>
      </c>
      <c r="L7156">
        <v>7</v>
      </c>
      <c r="M7156" t="s">
        <v>24288</v>
      </c>
      <c r="N7156" t="s">
        <v>1550</v>
      </c>
      <c r="O7156" t="s">
        <v>46</v>
      </c>
      <c r="P7156" t="s">
        <v>46</v>
      </c>
      <c r="Y7156" t="s">
        <v>24289</v>
      </c>
    </row>
    <row r="7157" spans="1:25">
      <c r="A7157" t="s">
        <v>24290</v>
      </c>
      <c r="B7157" t="s">
        <v>24291</v>
      </c>
      <c r="D7157" t="s">
        <v>40</v>
      </c>
      <c r="E7157" t="s">
        <v>41</v>
      </c>
      <c r="J7157" t="s">
        <v>248</v>
      </c>
      <c r="K7157" t="s">
        <v>249</v>
      </c>
      <c r="L7157">
        <v>7</v>
      </c>
      <c r="M7157" t="s">
        <v>24288</v>
      </c>
      <c r="N7157" t="s">
        <v>310</v>
      </c>
      <c r="O7157" t="s">
        <v>46</v>
      </c>
      <c r="P7157" t="s">
        <v>46</v>
      </c>
      <c r="Y7157" t="s">
        <v>24292</v>
      </c>
    </row>
    <row r="7158" spans="1:25">
      <c r="A7158" t="s">
        <v>24293</v>
      </c>
      <c r="B7158" t="s">
        <v>24294</v>
      </c>
      <c r="D7158" t="s">
        <v>40</v>
      </c>
      <c r="E7158" t="s">
        <v>41</v>
      </c>
      <c r="J7158" t="s">
        <v>139</v>
      </c>
      <c r="K7158" t="s">
        <v>140</v>
      </c>
      <c r="L7158">
        <v>8</v>
      </c>
      <c r="M7158" t="s">
        <v>24295</v>
      </c>
      <c r="N7158" t="s">
        <v>1024</v>
      </c>
      <c r="O7158" t="s">
        <v>46</v>
      </c>
      <c r="P7158" t="s">
        <v>46</v>
      </c>
      <c r="Y7158" t="s">
        <v>24296</v>
      </c>
    </row>
    <row r="7159" spans="1:25">
      <c r="A7159" t="s">
        <v>24297</v>
      </c>
      <c r="B7159" t="s">
        <v>24298</v>
      </c>
      <c r="D7159" t="s">
        <v>40</v>
      </c>
      <c r="E7159" t="s">
        <v>41</v>
      </c>
      <c r="J7159" t="s">
        <v>6255</v>
      </c>
      <c r="K7159" t="s">
        <v>6256</v>
      </c>
      <c r="L7159">
        <v>6</v>
      </c>
      <c r="M7159" t="s">
        <v>24299</v>
      </c>
      <c r="N7159" t="s">
        <v>1369</v>
      </c>
      <c r="O7159" t="s">
        <v>46</v>
      </c>
      <c r="P7159" t="s">
        <v>46</v>
      </c>
      <c r="Y7159" t="s">
        <v>24300</v>
      </c>
    </row>
    <row r="7160" spans="1:25">
      <c r="A7160" t="s">
        <v>24301</v>
      </c>
      <c r="B7160" t="s">
        <v>24302</v>
      </c>
      <c r="D7160" t="s">
        <v>40</v>
      </c>
      <c r="E7160" t="s">
        <v>41</v>
      </c>
      <c r="J7160" t="s">
        <v>139</v>
      </c>
      <c r="K7160" t="s">
        <v>140</v>
      </c>
      <c r="L7160">
        <v>9</v>
      </c>
      <c r="M7160" t="s">
        <v>24303</v>
      </c>
      <c r="N7160" t="s">
        <v>1392</v>
      </c>
      <c r="O7160" t="s">
        <v>46</v>
      </c>
      <c r="P7160" t="s">
        <v>46</v>
      </c>
      <c r="Y7160" t="s">
        <v>24304</v>
      </c>
    </row>
    <row r="7161" spans="1:25">
      <c r="A7161" t="s">
        <v>24305</v>
      </c>
      <c r="B7161" t="s">
        <v>24306</v>
      </c>
      <c r="D7161" t="s">
        <v>40</v>
      </c>
      <c r="E7161" t="s">
        <v>41</v>
      </c>
      <c r="J7161" t="s">
        <v>599</v>
      </c>
      <c r="K7161" t="s">
        <v>600</v>
      </c>
      <c r="L7161">
        <v>8</v>
      </c>
      <c r="M7161" t="s">
        <v>24307</v>
      </c>
      <c r="N7161" t="s">
        <v>436</v>
      </c>
      <c r="O7161" t="s">
        <v>46</v>
      </c>
      <c r="P7161" t="s">
        <v>46</v>
      </c>
      <c r="Y7161" t="s">
        <v>24308</v>
      </c>
    </row>
    <row r="7162" spans="1:25">
      <c r="A7162" t="s">
        <v>24309</v>
      </c>
      <c r="B7162" t="s">
        <v>24310</v>
      </c>
      <c r="D7162" t="s">
        <v>40</v>
      </c>
      <c r="E7162" t="s">
        <v>41</v>
      </c>
      <c r="J7162" t="s">
        <v>11802</v>
      </c>
      <c r="K7162" t="s">
        <v>11803</v>
      </c>
      <c r="L7162">
        <v>8</v>
      </c>
      <c r="M7162" t="s">
        <v>24311</v>
      </c>
      <c r="N7162" t="s">
        <v>142</v>
      </c>
      <c r="O7162" t="s">
        <v>46</v>
      </c>
      <c r="P7162" t="s">
        <v>46</v>
      </c>
      <c r="Y7162" t="s">
        <v>24312</v>
      </c>
    </row>
    <row r="7163" spans="1:25">
      <c r="A7163" t="s">
        <v>24313</v>
      </c>
      <c r="B7163" t="s">
        <v>24314</v>
      </c>
      <c r="D7163" t="s">
        <v>40</v>
      </c>
      <c r="E7163" t="s">
        <v>41</v>
      </c>
      <c r="J7163" t="s">
        <v>139</v>
      </c>
      <c r="K7163" t="s">
        <v>140</v>
      </c>
      <c r="L7163">
        <v>9</v>
      </c>
      <c r="M7163" t="s">
        <v>24315</v>
      </c>
      <c r="N7163" t="s">
        <v>509</v>
      </c>
      <c r="O7163" t="s">
        <v>46</v>
      </c>
      <c r="P7163" t="s">
        <v>46</v>
      </c>
      <c r="Y7163" t="s">
        <v>24316</v>
      </c>
    </row>
    <row r="7164" spans="1:25">
      <c r="A7164" t="s">
        <v>24317</v>
      </c>
      <c r="B7164" t="s">
        <v>24318</v>
      </c>
      <c r="D7164" t="s">
        <v>40</v>
      </c>
      <c r="E7164" t="s">
        <v>41</v>
      </c>
      <c r="J7164" t="s">
        <v>1554</v>
      </c>
      <c r="K7164" t="s">
        <v>1555</v>
      </c>
      <c r="L7164">
        <v>8</v>
      </c>
      <c r="M7164" t="s">
        <v>24319</v>
      </c>
      <c r="N7164" t="s">
        <v>24245</v>
      </c>
      <c r="O7164" t="s">
        <v>46</v>
      </c>
      <c r="P7164" t="s">
        <v>46</v>
      </c>
      <c r="Y7164" t="s">
        <v>24320</v>
      </c>
    </row>
    <row r="7165" spans="1:25">
      <c r="A7165" t="s">
        <v>24321</v>
      </c>
      <c r="B7165" t="s">
        <v>24322</v>
      </c>
      <c r="D7165" t="s">
        <v>40</v>
      </c>
      <c r="E7165" t="s">
        <v>41</v>
      </c>
      <c r="J7165" t="s">
        <v>1142</v>
      </c>
      <c r="K7165" t="s">
        <v>1143</v>
      </c>
      <c r="L7165">
        <v>8</v>
      </c>
      <c r="M7165" t="s">
        <v>24323</v>
      </c>
      <c r="N7165" t="s">
        <v>310</v>
      </c>
      <c r="O7165" t="s">
        <v>46</v>
      </c>
      <c r="P7165" t="s">
        <v>46</v>
      </c>
      <c r="Y7165" t="s">
        <v>24324</v>
      </c>
    </row>
    <row r="7166" spans="1:25">
      <c r="A7166" t="s">
        <v>24325</v>
      </c>
      <c r="B7166" t="s">
        <v>24326</v>
      </c>
      <c r="D7166" t="s">
        <v>40</v>
      </c>
      <c r="E7166" t="s">
        <v>41</v>
      </c>
      <c r="J7166" t="s">
        <v>139</v>
      </c>
      <c r="K7166" t="s">
        <v>140</v>
      </c>
      <c r="L7166">
        <v>8</v>
      </c>
      <c r="M7166" t="s">
        <v>24327</v>
      </c>
      <c r="N7166" t="s">
        <v>178</v>
      </c>
      <c r="O7166" t="s">
        <v>46</v>
      </c>
      <c r="P7166" t="s">
        <v>46</v>
      </c>
      <c r="Y7166" t="s">
        <v>24328</v>
      </c>
    </row>
    <row r="7167" spans="1:25">
      <c r="A7167" t="s">
        <v>24329</v>
      </c>
      <c r="B7167" t="s">
        <v>24330</v>
      </c>
      <c r="D7167" t="s">
        <v>40</v>
      </c>
      <c r="E7167" t="s">
        <v>41</v>
      </c>
      <c r="J7167" t="s">
        <v>248</v>
      </c>
      <c r="K7167" t="s">
        <v>249</v>
      </c>
      <c r="L7167">
        <v>8</v>
      </c>
      <c r="M7167" t="s">
        <v>24331</v>
      </c>
      <c r="N7167" t="s">
        <v>4037</v>
      </c>
      <c r="O7167" t="s">
        <v>46</v>
      </c>
      <c r="P7167" t="s">
        <v>46</v>
      </c>
      <c r="Y7167" t="s">
        <v>24332</v>
      </c>
    </row>
    <row r="7168" spans="1:25">
      <c r="A7168" t="s">
        <v>24333</v>
      </c>
      <c r="B7168" t="s">
        <v>24334</v>
      </c>
      <c r="D7168" t="s">
        <v>40</v>
      </c>
      <c r="E7168" t="s">
        <v>41</v>
      </c>
      <c r="J7168" t="s">
        <v>599</v>
      </c>
      <c r="K7168" t="s">
        <v>600</v>
      </c>
      <c r="L7168">
        <v>8</v>
      </c>
      <c r="M7168" t="s">
        <v>24335</v>
      </c>
      <c r="N7168" t="s">
        <v>1478</v>
      </c>
      <c r="O7168" t="s">
        <v>46</v>
      </c>
      <c r="P7168" t="s">
        <v>46</v>
      </c>
      <c r="Y7168" t="s">
        <v>24336</v>
      </c>
    </row>
    <row r="7169" spans="1:25">
      <c r="A7169" t="s">
        <v>24337</v>
      </c>
      <c r="B7169" t="s">
        <v>24338</v>
      </c>
      <c r="D7169" t="s">
        <v>40</v>
      </c>
      <c r="E7169" t="s">
        <v>41</v>
      </c>
      <c r="J7169" t="s">
        <v>6255</v>
      </c>
      <c r="K7169" t="s">
        <v>6256</v>
      </c>
      <c r="L7169">
        <v>8</v>
      </c>
      <c r="M7169" t="s">
        <v>24339</v>
      </c>
      <c r="N7169" t="s">
        <v>24245</v>
      </c>
      <c r="O7169" t="s">
        <v>46</v>
      </c>
      <c r="P7169" t="s">
        <v>46</v>
      </c>
      <c r="Y7169" t="s">
        <v>24340</v>
      </c>
    </row>
    <row r="7170" spans="1:25">
      <c r="A7170" t="s">
        <v>24341</v>
      </c>
      <c r="B7170" t="s">
        <v>24342</v>
      </c>
      <c r="D7170" t="s">
        <v>40</v>
      </c>
      <c r="E7170" t="s">
        <v>41</v>
      </c>
      <c r="J7170" t="s">
        <v>12440</v>
      </c>
      <c r="K7170" t="s">
        <v>12441</v>
      </c>
      <c r="L7170">
        <v>9</v>
      </c>
      <c r="M7170" t="s">
        <v>24343</v>
      </c>
      <c r="N7170" t="s">
        <v>64</v>
      </c>
      <c r="O7170" t="s">
        <v>46</v>
      </c>
      <c r="P7170" t="s">
        <v>46</v>
      </c>
      <c r="Y7170" t="s">
        <v>24344</v>
      </c>
    </row>
    <row r="7171" spans="1:25">
      <c r="A7171" t="s">
        <v>24345</v>
      </c>
      <c r="B7171" t="s">
        <v>24346</v>
      </c>
      <c r="D7171" t="s">
        <v>40</v>
      </c>
      <c r="E7171" t="s">
        <v>41</v>
      </c>
      <c r="J7171" t="s">
        <v>248</v>
      </c>
      <c r="K7171" t="s">
        <v>249</v>
      </c>
      <c r="L7171">
        <v>8</v>
      </c>
      <c r="M7171" t="s">
        <v>24347</v>
      </c>
      <c r="N7171" t="s">
        <v>1024</v>
      </c>
      <c r="O7171" t="s">
        <v>46</v>
      </c>
      <c r="P7171" t="s">
        <v>46</v>
      </c>
      <c r="Y7171" t="s">
        <v>24348</v>
      </c>
    </row>
    <row r="7172" spans="1:25">
      <c r="A7172" t="s">
        <v>24349</v>
      </c>
      <c r="B7172" t="s">
        <v>24350</v>
      </c>
      <c r="D7172" t="s">
        <v>40</v>
      </c>
      <c r="E7172" t="s">
        <v>41</v>
      </c>
      <c r="J7172" t="s">
        <v>248</v>
      </c>
      <c r="K7172" t="s">
        <v>249</v>
      </c>
      <c r="L7172">
        <v>8</v>
      </c>
      <c r="M7172" t="s">
        <v>24347</v>
      </c>
      <c r="N7172" t="s">
        <v>173</v>
      </c>
      <c r="O7172" t="s">
        <v>46</v>
      </c>
      <c r="P7172" t="s">
        <v>46</v>
      </c>
      <c r="Y7172" t="s">
        <v>24351</v>
      </c>
    </row>
    <row r="7173" spans="1:25">
      <c r="A7173" t="s">
        <v>24352</v>
      </c>
      <c r="B7173" t="s">
        <v>24353</v>
      </c>
      <c r="D7173" t="s">
        <v>40</v>
      </c>
      <c r="E7173" t="s">
        <v>41</v>
      </c>
      <c r="J7173" t="s">
        <v>248</v>
      </c>
      <c r="K7173" t="s">
        <v>249</v>
      </c>
      <c r="L7173">
        <v>8</v>
      </c>
      <c r="M7173" t="s">
        <v>24354</v>
      </c>
      <c r="N7173" t="s">
        <v>24240</v>
      </c>
      <c r="O7173" t="s">
        <v>46</v>
      </c>
      <c r="P7173" t="s">
        <v>46</v>
      </c>
      <c r="Y7173" t="s">
        <v>24355</v>
      </c>
    </row>
    <row r="7174" spans="1:25">
      <c r="A7174" t="s">
        <v>24356</v>
      </c>
      <c r="B7174" t="s">
        <v>24357</v>
      </c>
      <c r="D7174" t="s">
        <v>40</v>
      </c>
      <c r="E7174" t="s">
        <v>41</v>
      </c>
      <c r="J7174" t="s">
        <v>248</v>
      </c>
      <c r="K7174" t="s">
        <v>249</v>
      </c>
      <c r="L7174">
        <v>8</v>
      </c>
      <c r="M7174" t="s">
        <v>24358</v>
      </c>
      <c r="N7174" t="s">
        <v>24227</v>
      </c>
      <c r="O7174" t="s">
        <v>46</v>
      </c>
      <c r="P7174" t="s">
        <v>46</v>
      </c>
      <c r="Y7174" t="s">
        <v>24359</v>
      </c>
    </row>
    <row r="7175" spans="1:25">
      <c r="A7175" t="s">
        <v>24360</v>
      </c>
      <c r="B7175" t="s">
        <v>24361</v>
      </c>
      <c r="D7175" t="s">
        <v>40</v>
      </c>
      <c r="E7175" t="s">
        <v>41</v>
      </c>
      <c r="J7175" t="s">
        <v>1142</v>
      </c>
      <c r="K7175" t="s">
        <v>1143</v>
      </c>
      <c r="L7175">
        <v>8</v>
      </c>
      <c r="M7175" t="s">
        <v>24362</v>
      </c>
      <c r="N7175" t="s">
        <v>1550</v>
      </c>
      <c r="O7175" t="s">
        <v>46</v>
      </c>
      <c r="P7175" t="s">
        <v>46</v>
      </c>
      <c r="Y7175" t="s">
        <v>24363</v>
      </c>
    </row>
    <row r="7176" spans="1:25">
      <c r="A7176" t="s">
        <v>24364</v>
      </c>
      <c r="B7176" t="s">
        <v>24365</v>
      </c>
      <c r="D7176" t="s">
        <v>40</v>
      </c>
      <c r="E7176" t="s">
        <v>41</v>
      </c>
      <c r="J7176" t="s">
        <v>1142</v>
      </c>
      <c r="K7176" t="s">
        <v>1143</v>
      </c>
      <c r="L7176">
        <v>8</v>
      </c>
      <c r="M7176" t="s">
        <v>24366</v>
      </c>
      <c r="N7176" t="s">
        <v>924</v>
      </c>
      <c r="O7176" t="s">
        <v>46</v>
      </c>
      <c r="P7176" t="s">
        <v>46</v>
      </c>
      <c r="Y7176" t="s">
        <v>24367</v>
      </c>
    </row>
    <row r="7177" spans="1:25">
      <c r="A7177" t="s">
        <v>24368</v>
      </c>
      <c r="B7177" t="s">
        <v>24369</v>
      </c>
      <c r="D7177" t="s">
        <v>40</v>
      </c>
      <c r="E7177" t="s">
        <v>41</v>
      </c>
      <c r="J7177" t="s">
        <v>139</v>
      </c>
      <c r="K7177" t="s">
        <v>140</v>
      </c>
      <c r="L7177">
        <v>8</v>
      </c>
      <c r="M7177" t="s">
        <v>24370</v>
      </c>
      <c r="N7177" t="s">
        <v>24245</v>
      </c>
      <c r="O7177" t="s">
        <v>46</v>
      </c>
      <c r="P7177" t="s">
        <v>46</v>
      </c>
      <c r="Y7177" t="s">
        <v>24371</v>
      </c>
    </row>
    <row r="7178" spans="1:25">
      <c r="A7178" t="s">
        <v>24372</v>
      </c>
      <c r="B7178" t="s">
        <v>24373</v>
      </c>
      <c r="D7178" t="s">
        <v>40</v>
      </c>
      <c r="E7178" t="s">
        <v>41</v>
      </c>
      <c r="J7178" t="s">
        <v>248</v>
      </c>
      <c r="K7178" t="s">
        <v>249</v>
      </c>
      <c r="L7178">
        <v>8</v>
      </c>
      <c r="M7178" t="s">
        <v>24374</v>
      </c>
      <c r="N7178" t="s">
        <v>53</v>
      </c>
      <c r="O7178" t="s">
        <v>46</v>
      </c>
      <c r="P7178" t="s">
        <v>46</v>
      </c>
      <c r="Y7178" t="s">
        <v>24375</v>
      </c>
    </row>
    <row r="7179" spans="1:25">
      <c r="A7179" t="s">
        <v>24376</v>
      </c>
      <c r="B7179" t="s">
        <v>24377</v>
      </c>
      <c r="D7179" t="s">
        <v>40</v>
      </c>
      <c r="E7179" t="s">
        <v>41</v>
      </c>
      <c r="J7179" t="s">
        <v>248</v>
      </c>
      <c r="K7179" t="s">
        <v>249</v>
      </c>
      <c r="L7179">
        <v>8</v>
      </c>
      <c r="M7179" t="s">
        <v>24378</v>
      </c>
      <c r="N7179" t="s">
        <v>3013</v>
      </c>
      <c r="O7179" t="s">
        <v>46</v>
      </c>
      <c r="P7179" t="s">
        <v>46</v>
      </c>
      <c r="Y7179" t="s">
        <v>24379</v>
      </c>
    </row>
    <row r="7180" spans="1:25">
      <c r="A7180" t="s">
        <v>24380</v>
      </c>
      <c r="B7180" t="s">
        <v>24381</v>
      </c>
      <c r="D7180" t="s">
        <v>40</v>
      </c>
      <c r="E7180" t="s">
        <v>41</v>
      </c>
      <c r="J7180" t="s">
        <v>139</v>
      </c>
      <c r="K7180" t="s">
        <v>140</v>
      </c>
      <c r="L7180">
        <v>8</v>
      </c>
      <c r="M7180" t="s">
        <v>24382</v>
      </c>
      <c r="N7180" t="s">
        <v>1446</v>
      </c>
      <c r="O7180" t="s">
        <v>46</v>
      </c>
      <c r="P7180" t="s">
        <v>46</v>
      </c>
      <c r="Y7180" t="s">
        <v>24383</v>
      </c>
    </row>
    <row r="7181" spans="1:25">
      <c r="A7181" t="s">
        <v>24384</v>
      </c>
      <c r="B7181" t="s">
        <v>24385</v>
      </c>
      <c r="D7181" t="s">
        <v>40</v>
      </c>
      <c r="E7181" t="s">
        <v>41</v>
      </c>
      <c r="J7181" t="s">
        <v>921</v>
      </c>
      <c r="K7181" t="s">
        <v>922</v>
      </c>
      <c r="L7181">
        <v>8</v>
      </c>
      <c r="M7181" t="s">
        <v>24386</v>
      </c>
      <c r="N7181" t="s">
        <v>24387</v>
      </c>
      <c r="O7181" t="s">
        <v>46</v>
      </c>
      <c r="P7181" t="s">
        <v>46</v>
      </c>
      <c r="Y7181" t="s">
        <v>24388</v>
      </c>
    </row>
    <row r="7182" spans="1:25">
      <c r="A7182" t="s">
        <v>24389</v>
      </c>
      <c r="B7182" t="s">
        <v>24390</v>
      </c>
      <c r="D7182" t="s">
        <v>40</v>
      </c>
      <c r="E7182" t="s">
        <v>41</v>
      </c>
      <c r="J7182" t="s">
        <v>248</v>
      </c>
      <c r="K7182" t="s">
        <v>249</v>
      </c>
      <c r="L7182">
        <v>8</v>
      </c>
      <c r="M7182" t="s">
        <v>24386</v>
      </c>
      <c r="N7182" t="s">
        <v>24240</v>
      </c>
      <c r="O7182" t="s">
        <v>46</v>
      </c>
      <c r="P7182" t="s">
        <v>46</v>
      </c>
      <c r="Y7182" t="s">
        <v>24391</v>
      </c>
    </row>
    <row r="7183" spans="1:25">
      <c r="A7183" t="s">
        <v>24392</v>
      </c>
      <c r="B7183" t="s">
        <v>24393</v>
      </c>
      <c r="D7183" t="s">
        <v>40</v>
      </c>
      <c r="E7183" t="s">
        <v>41</v>
      </c>
      <c r="J7183" t="s">
        <v>139</v>
      </c>
      <c r="K7183" t="s">
        <v>140</v>
      </c>
      <c r="L7183">
        <v>8</v>
      </c>
      <c r="M7183" t="s">
        <v>24394</v>
      </c>
      <c r="N7183" t="s">
        <v>440</v>
      </c>
      <c r="O7183" t="s">
        <v>46</v>
      </c>
      <c r="P7183" t="s">
        <v>46</v>
      </c>
      <c r="Y7183" t="s">
        <v>24395</v>
      </c>
    </row>
    <row r="7184" spans="1:25">
      <c r="A7184" t="s">
        <v>24396</v>
      </c>
      <c r="B7184" t="s">
        <v>24397</v>
      </c>
      <c r="D7184" t="s">
        <v>40</v>
      </c>
      <c r="E7184" t="s">
        <v>41</v>
      </c>
      <c r="J7184" t="s">
        <v>1554</v>
      </c>
      <c r="K7184" t="s">
        <v>1555</v>
      </c>
      <c r="L7184">
        <v>8</v>
      </c>
      <c r="M7184" t="s">
        <v>24398</v>
      </c>
      <c r="N7184" t="s">
        <v>1024</v>
      </c>
      <c r="O7184" t="s">
        <v>46</v>
      </c>
      <c r="P7184" t="s">
        <v>46</v>
      </c>
      <c r="Y7184" t="s">
        <v>24399</v>
      </c>
    </row>
    <row r="7185" spans="1:25">
      <c r="A7185" t="s">
        <v>24400</v>
      </c>
      <c r="B7185" t="s">
        <v>24401</v>
      </c>
      <c r="D7185" t="s">
        <v>40</v>
      </c>
      <c r="E7185" t="s">
        <v>41</v>
      </c>
      <c r="J7185" t="s">
        <v>1142</v>
      </c>
      <c r="K7185" t="s">
        <v>1143</v>
      </c>
      <c r="L7185">
        <v>7</v>
      </c>
      <c r="M7185" t="s">
        <v>24402</v>
      </c>
      <c r="N7185" t="s">
        <v>3013</v>
      </c>
      <c r="O7185" t="s">
        <v>46</v>
      </c>
      <c r="P7185" t="s">
        <v>46</v>
      </c>
      <c r="Y7185" t="s">
        <v>24403</v>
      </c>
    </row>
    <row r="7186" spans="1:25">
      <c r="A7186" t="s">
        <v>24404</v>
      </c>
      <c r="B7186" t="s">
        <v>24405</v>
      </c>
      <c r="D7186" t="s">
        <v>40</v>
      </c>
      <c r="E7186" t="s">
        <v>41</v>
      </c>
      <c r="J7186" t="s">
        <v>248</v>
      </c>
      <c r="K7186" t="s">
        <v>249</v>
      </c>
      <c r="L7186">
        <v>7</v>
      </c>
      <c r="M7186" t="s">
        <v>24406</v>
      </c>
      <c r="N7186" t="s">
        <v>53</v>
      </c>
      <c r="O7186" t="s">
        <v>46</v>
      </c>
      <c r="P7186" t="s">
        <v>46</v>
      </c>
      <c r="Y7186" t="s">
        <v>24407</v>
      </c>
    </row>
    <row r="7187" spans="1:25">
      <c r="A7187" t="s">
        <v>24408</v>
      </c>
      <c r="B7187" t="s">
        <v>24409</v>
      </c>
      <c r="D7187" t="s">
        <v>40</v>
      </c>
      <c r="E7187" t="s">
        <v>41</v>
      </c>
      <c r="J7187" t="s">
        <v>248</v>
      </c>
      <c r="K7187" t="s">
        <v>249</v>
      </c>
      <c r="L7187">
        <v>7</v>
      </c>
      <c r="M7187" t="s">
        <v>24410</v>
      </c>
      <c r="N7187" t="s">
        <v>1446</v>
      </c>
      <c r="O7187" t="s">
        <v>46</v>
      </c>
      <c r="P7187" t="s">
        <v>46</v>
      </c>
      <c r="Y7187" t="s">
        <v>24411</v>
      </c>
    </row>
    <row r="7188" spans="1:25">
      <c r="A7188" t="s">
        <v>24412</v>
      </c>
      <c r="B7188" t="s">
        <v>24413</v>
      </c>
      <c r="D7188" t="s">
        <v>40</v>
      </c>
      <c r="E7188" t="s">
        <v>41</v>
      </c>
      <c r="J7188" t="s">
        <v>248</v>
      </c>
      <c r="K7188" t="s">
        <v>249</v>
      </c>
      <c r="L7188">
        <v>7</v>
      </c>
      <c r="M7188" t="s">
        <v>24414</v>
      </c>
      <c r="N7188" t="s">
        <v>58</v>
      </c>
      <c r="O7188" t="s">
        <v>46</v>
      </c>
      <c r="P7188" t="s">
        <v>46</v>
      </c>
      <c r="Y7188" t="s">
        <v>24415</v>
      </c>
    </row>
    <row r="7189" spans="1:25">
      <c r="A7189" t="s">
        <v>24416</v>
      </c>
      <c r="B7189" t="s">
        <v>24417</v>
      </c>
      <c r="D7189" t="s">
        <v>40</v>
      </c>
      <c r="E7189" t="s">
        <v>41</v>
      </c>
      <c r="J7189" t="s">
        <v>1142</v>
      </c>
      <c r="K7189" t="s">
        <v>1143</v>
      </c>
      <c r="L7189">
        <v>7</v>
      </c>
      <c r="M7189" t="s">
        <v>24418</v>
      </c>
      <c r="N7189" t="s">
        <v>310</v>
      </c>
      <c r="O7189" t="s">
        <v>46</v>
      </c>
      <c r="P7189" t="s">
        <v>46</v>
      </c>
      <c r="Y7189" t="s">
        <v>24419</v>
      </c>
    </row>
    <row r="7190" spans="1:25">
      <c r="A7190" t="s">
        <v>24420</v>
      </c>
      <c r="B7190" t="s">
        <v>24421</v>
      </c>
      <c r="D7190" t="s">
        <v>40</v>
      </c>
      <c r="E7190" t="s">
        <v>41</v>
      </c>
      <c r="J7190" t="s">
        <v>2619</v>
      </c>
      <c r="K7190" t="s">
        <v>140</v>
      </c>
      <c r="L7190">
        <v>7</v>
      </c>
      <c r="M7190" t="s">
        <v>24422</v>
      </c>
      <c r="N7190" t="s">
        <v>24245</v>
      </c>
      <c r="O7190" t="s">
        <v>46</v>
      </c>
      <c r="P7190" t="s">
        <v>46</v>
      </c>
      <c r="Y7190" t="s">
        <v>24423</v>
      </c>
    </row>
    <row r="7191" spans="1:25">
      <c r="A7191" t="s">
        <v>24424</v>
      </c>
      <c r="B7191" t="s">
        <v>24425</v>
      </c>
      <c r="D7191" t="s">
        <v>40</v>
      </c>
      <c r="E7191" t="s">
        <v>41</v>
      </c>
      <c r="G7191" t="s">
        <v>24426</v>
      </c>
      <c r="H7191" t="s">
        <v>24427</v>
      </c>
      <c r="J7191" t="s">
        <v>911</v>
      </c>
      <c r="K7191" t="s">
        <v>912</v>
      </c>
      <c r="L7191">
        <v>7</v>
      </c>
      <c r="M7191" t="s">
        <v>24428</v>
      </c>
      <c r="N7191" t="s">
        <v>1814</v>
      </c>
      <c r="O7191" t="s">
        <v>46</v>
      </c>
      <c r="P7191" t="s">
        <v>24429</v>
      </c>
      <c r="Y7191" t="s">
        <v>24430</v>
      </c>
    </row>
    <row r="7192" spans="1:25">
      <c r="A7192" t="s">
        <v>24431</v>
      </c>
      <c r="B7192" t="s">
        <v>24432</v>
      </c>
      <c r="D7192" t="s">
        <v>40</v>
      </c>
      <c r="E7192" t="s">
        <v>41</v>
      </c>
      <c r="J7192" t="s">
        <v>139</v>
      </c>
      <c r="K7192" t="s">
        <v>140</v>
      </c>
      <c r="L7192">
        <v>7</v>
      </c>
      <c r="M7192" t="s">
        <v>24433</v>
      </c>
      <c r="N7192" t="s">
        <v>24245</v>
      </c>
      <c r="O7192" t="s">
        <v>46</v>
      </c>
      <c r="P7192" t="s">
        <v>46</v>
      </c>
      <c r="Y7192" t="s">
        <v>24434</v>
      </c>
    </row>
    <row r="7193" spans="1:25">
      <c r="A7193" t="s">
        <v>24435</v>
      </c>
      <c r="B7193" t="s">
        <v>24436</v>
      </c>
      <c r="D7193" t="s">
        <v>40</v>
      </c>
      <c r="E7193" t="s">
        <v>41</v>
      </c>
      <c r="J7193" t="s">
        <v>248</v>
      </c>
      <c r="K7193" t="s">
        <v>249</v>
      </c>
      <c r="L7193">
        <v>7</v>
      </c>
      <c r="M7193" t="s">
        <v>24433</v>
      </c>
      <c r="N7193" t="s">
        <v>310</v>
      </c>
      <c r="O7193" t="s">
        <v>46</v>
      </c>
      <c r="P7193" t="s">
        <v>46</v>
      </c>
      <c r="Y7193" t="s">
        <v>24437</v>
      </c>
    </row>
    <row r="7194" spans="1:25">
      <c r="A7194" t="s">
        <v>24438</v>
      </c>
      <c r="B7194" t="s">
        <v>24439</v>
      </c>
      <c r="D7194" t="s">
        <v>40</v>
      </c>
      <c r="E7194" t="s">
        <v>41</v>
      </c>
      <c r="J7194" t="s">
        <v>139</v>
      </c>
      <c r="K7194" t="s">
        <v>140</v>
      </c>
      <c r="L7194">
        <v>7</v>
      </c>
      <c r="M7194" t="s">
        <v>24433</v>
      </c>
      <c r="N7194" t="s">
        <v>1276</v>
      </c>
      <c r="O7194" t="s">
        <v>46</v>
      </c>
      <c r="P7194" t="s">
        <v>46</v>
      </c>
      <c r="Y7194" t="s">
        <v>24440</v>
      </c>
    </row>
    <row r="7195" spans="1:25">
      <c r="A7195" t="s">
        <v>24441</v>
      </c>
      <c r="B7195" t="s">
        <v>24442</v>
      </c>
      <c r="D7195" t="s">
        <v>40</v>
      </c>
      <c r="E7195" t="s">
        <v>41</v>
      </c>
      <c r="J7195" t="s">
        <v>1142</v>
      </c>
      <c r="K7195" t="s">
        <v>1143</v>
      </c>
      <c r="L7195">
        <v>7</v>
      </c>
      <c r="M7195" t="s">
        <v>24443</v>
      </c>
      <c r="N7195" t="s">
        <v>1550</v>
      </c>
      <c r="O7195" t="s">
        <v>46</v>
      </c>
      <c r="P7195" t="s">
        <v>46</v>
      </c>
      <c r="Y7195" t="s">
        <v>24444</v>
      </c>
    </row>
    <row r="7196" spans="1:25">
      <c r="A7196" t="s">
        <v>24445</v>
      </c>
      <c r="B7196" t="s">
        <v>24446</v>
      </c>
      <c r="D7196" t="s">
        <v>40</v>
      </c>
      <c r="E7196" t="s">
        <v>41</v>
      </c>
      <c r="J7196" t="s">
        <v>1142</v>
      </c>
      <c r="K7196" t="s">
        <v>1143</v>
      </c>
      <c r="L7196">
        <v>6</v>
      </c>
      <c r="M7196" t="s">
        <v>24447</v>
      </c>
      <c r="N7196" t="s">
        <v>2346</v>
      </c>
      <c r="O7196" t="s">
        <v>46</v>
      </c>
      <c r="P7196" t="s">
        <v>46</v>
      </c>
      <c r="Y7196" t="s">
        <v>24448</v>
      </c>
    </row>
    <row r="7197" spans="1:25">
      <c r="A7197" t="s">
        <v>24449</v>
      </c>
      <c r="B7197" t="s">
        <v>24450</v>
      </c>
      <c r="D7197" t="s">
        <v>40</v>
      </c>
      <c r="E7197" t="s">
        <v>41</v>
      </c>
      <c r="J7197" t="s">
        <v>248</v>
      </c>
      <c r="K7197" t="s">
        <v>249</v>
      </c>
      <c r="L7197">
        <v>7</v>
      </c>
      <c r="M7197" t="s">
        <v>24451</v>
      </c>
      <c r="N7197" t="s">
        <v>1024</v>
      </c>
      <c r="O7197" t="s">
        <v>46</v>
      </c>
      <c r="P7197" t="s">
        <v>46</v>
      </c>
      <c r="Y7197" t="s">
        <v>24452</v>
      </c>
    </row>
    <row r="7198" spans="1:25">
      <c r="A7198" t="s">
        <v>24453</v>
      </c>
      <c r="B7198" t="s">
        <v>24454</v>
      </c>
      <c r="D7198" t="s">
        <v>40</v>
      </c>
      <c r="E7198" t="s">
        <v>41</v>
      </c>
      <c r="J7198" t="s">
        <v>1142</v>
      </c>
      <c r="K7198" t="s">
        <v>1143</v>
      </c>
      <c r="L7198">
        <v>7</v>
      </c>
      <c r="M7198" t="s">
        <v>24455</v>
      </c>
      <c r="N7198" t="s">
        <v>440</v>
      </c>
      <c r="O7198" t="s">
        <v>46</v>
      </c>
      <c r="P7198" t="s">
        <v>46</v>
      </c>
      <c r="Y7198" t="s">
        <v>24456</v>
      </c>
    </row>
    <row r="7199" spans="1:25">
      <c r="A7199" t="s">
        <v>24457</v>
      </c>
      <c r="B7199" t="s">
        <v>24458</v>
      </c>
      <c r="D7199" t="s">
        <v>40</v>
      </c>
      <c r="E7199" t="s">
        <v>41</v>
      </c>
      <c r="J7199" t="s">
        <v>248</v>
      </c>
      <c r="K7199" t="s">
        <v>249</v>
      </c>
      <c r="L7199">
        <v>7</v>
      </c>
      <c r="M7199" t="s">
        <v>24459</v>
      </c>
      <c r="N7199" t="s">
        <v>924</v>
      </c>
      <c r="O7199" t="s">
        <v>46</v>
      </c>
      <c r="P7199" t="s">
        <v>46</v>
      </c>
      <c r="Y7199" t="s">
        <v>24460</v>
      </c>
    </row>
    <row r="7200" spans="1:25">
      <c r="A7200" t="s">
        <v>24461</v>
      </c>
      <c r="B7200" t="s">
        <v>24462</v>
      </c>
      <c r="D7200" t="s">
        <v>40</v>
      </c>
      <c r="E7200" t="s">
        <v>41</v>
      </c>
      <c r="J7200" t="s">
        <v>248</v>
      </c>
      <c r="K7200" t="s">
        <v>249</v>
      </c>
      <c r="L7200">
        <v>7</v>
      </c>
      <c r="M7200" t="s">
        <v>24463</v>
      </c>
      <c r="N7200" t="s">
        <v>1369</v>
      </c>
      <c r="O7200" t="s">
        <v>46</v>
      </c>
      <c r="P7200" t="s">
        <v>46</v>
      </c>
      <c r="Y7200" t="s">
        <v>24464</v>
      </c>
    </row>
    <row r="7201" spans="1:25">
      <c r="A7201" t="s">
        <v>24465</v>
      </c>
      <c r="B7201" t="s">
        <v>24466</v>
      </c>
      <c r="D7201" t="s">
        <v>40</v>
      </c>
      <c r="E7201" t="s">
        <v>41</v>
      </c>
      <c r="J7201" t="s">
        <v>248</v>
      </c>
      <c r="K7201" t="s">
        <v>249</v>
      </c>
      <c r="L7201">
        <v>7</v>
      </c>
      <c r="M7201" t="s">
        <v>24467</v>
      </c>
      <c r="N7201" t="s">
        <v>310</v>
      </c>
      <c r="O7201" t="s">
        <v>46</v>
      </c>
      <c r="P7201" t="s">
        <v>46</v>
      </c>
      <c r="Y7201" t="s">
        <v>24468</v>
      </c>
    </row>
    <row r="7202" spans="1:25">
      <c r="A7202" t="s">
        <v>24469</v>
      </c>
      <c r="B7202" t="s">
        <v>24470</v>
      </c>
      <c r="D7202" t="s">
        <v>40</v>
      </c>
      <c r="E7202" t="s">
        <v>41</v>
      </c>
      <c r="J7202" t="s">
        <v>139</v>
      </c>
      <c r="K7202" t="s">
        <v>140</v>
      </c>
      <c r="L7202">
        <v>7</v>
      </c>
      <c r="M7202" t="s">
        <v>24471</v>
      </c>
      <c r="N7202" t="s">
        <v>24387</v>
      </c>
      <c r="O7202" t="s">
        <v>46</v>
      </c>
      <c r="P7202" t="s">
        <v>46</v>
      </c>
      <c r="Y7202" t="s">
        <v>24472</v>
      </c>
    </row>
    <row r="7203" spans="1:25">
      <c r="A7203" t="s">
        <v>24473</v>
      </c>
      <c r="B7203" t="s">
        <v>24474</v>
      </c>
      <c r="D7203" t="s">
        <v>40</v>
      </c>
      <c r="E7203" t="s">
        <v>41</v>
      </c>
      <c r="J7203" t="s">
        <v>248</v>
      </c>
      <c r="K7203" t="s">
        <v>249</v>
      </c>
      <c r="L7203">
        <v>7</v>
      </c>
      <c r="M7203" t="s">
        <v>24475</v>
      </c>
      <c r="N7203" t="s">
        <v>53</v>
      </c>
      <c r="O7203" t="s">
        <v>46</v>
      </c>
      <c r="P7203" t="s">
        <v>46</v>
      </c>
      <c r="Y7203" t="s">
        <v>24476</v>
      </c>
    </row>
    <row r="7204" spans="1:25">
      <c r="A7204" t="s">
        <v>24477</v>
      </c>
      <c r="B7204" t="s">
        <v>24478</v>
      </c>
      <c r="D7204" t="s">
        <v>40</v>
      </c>
      <c r="E7204" t="s">
        <v>41</v>
      </c>
      <c r="J7204" t="s">
        <v>248</v>
      </c>
      <c r="K7204" t="s">
        <v>249</v>
      </c>
      <c r="L7204">
        <v>7</v>
      </c>
      <c r="M7204" t="s">
        <v>24479</v>
      </c>
      <c r="N7204" t="s">
        <v>350</v>
      </c>
      <c r="O7204" t="s">
        <v>46</v>
      </c>
      <c r="P7204" t="s">
        <v>46</v>
      </c>
      <c r="Y7204" t="s">
        <v>24480</v>
      </c>
    </row>
    <row r="7205" spans="1:25">
      <c r="A7205" t="s">
        <v>24481</v>
      </c>
      <c r="B7205" t="s">
        <v>24482</v>
      </c>
      <c r="D7205" t="s">
        <v>40</v>
      </c>
      <c r="E7205" t="s">
        <v>41</v>
      </c>
      <c r="J7205" t="s">
        <v>248</v>
      </c>
      <c r="K7205" t="s">
        <v>249</v>
      </c>
      <c r="L7205">
        <v>7</v>
      </c>
      <c r="M7205" t="s">
        <v>24483</v>
      </c>
      <c r="N7205" t="s">
        <v>291</v>
      </c>
      <c r="O7205" t="s">
        <v>46</v>
      </c>
      <c r="P7205" t="s">
        <v>46</v>
      </c>
      <c r="Y7205" t="s">
        <v>24484</v>
      </c>
    </row>
    <row r="7206" spans="1:25">
      <c r="A7206" t="s">
        <v>24485</v>
      </c>
      <c r="B7206" t="s">
        <v>24486</v>
      </c>
      <c r="D7206" t="s">
        <v>40</v>
      </c>
      <c r="E7206" t="s">
        <v>41</v>
      </c>
      <c r="J7206" t="s">
        <v>248</v>
      </c>
      <c r="K7206" t="s">
        <v>249</v>
      </c>
      <c r="L7206">
        <v>7</v>
      </c>
      <c r="M7206" t="s">
        <v>24487</v>
      </c>
      <c r="N7206" t="s">
        <v>310</v>
      </c>
      <c r="O7206" t="s">
        <v>46</v>
      </c>
      <c r="P7206" t="s">
        <v>46</v>
      </c>
      <c r="Y7206" t="s">
        <v>24488</v>
      </c>
    </row>
    <row r="7207" spans="1:25">
      <c r="A7207" t="s">
        <v>24489</v>
      </c>
      <c r="B7207" t="s">
        <v>24490</v>
      </c>
      <c r="D7207" t="s">
        <v>40</v>
      </c>
      <c r="E7207" t="s">
        <v>41</v>
      </c>
      <c r="J7207" t="s">
        <v>248</v>
      </c>
      <c r="K7207" t="s">
        <v>249</v>
      </c>
      <c r="L7207">
        <v>7</v>
      </c>
      <c r="M7207" t="s">
        <v>24487</v>
      </c>
      <c r="N7207" t="s">
        <v>440</v>
      </c>
      <c r="O7207" t="s">
        <v>46</v>
      </c>
      <c r="P7207" t="s">
        <v>46</v>
      </c>
      <c r="Y7207" t="s">
        <v>24491</v>
      </c>
    </row>
    <row r="7208" spans="1:25">
      <c r="A7208" t="s">
        <v>24492</v>
      </c>
      <c r="B7208" t="s">
        <v>24493</v>
      </c>
      <c r="D7208" t="s">
        <v>40</v>
      </c>
      <c r="E7208" t="s">
        <v>41</v>
      </c>
      <c r="J7208" t="s">
        <v>248</v>
      </c>
      <c r="K7208" t="s">
        <v>249</v>
      </c>
      <c r="L7208">
        <v>7</v>
      </c>
      <c r="M7208" t="s">
        <v>24494</v>
      </c>
      <c r="N7208" t="s">
        <v>53</v>
      </c>
      <c r="O7208" t="s">
        <v>46</v>
      </c>
      <c r="P7208" t="s">
        <v>46</v>
      </c>
      <c r="Y7208" t="s">
        <v>24495</v>
      </c>
    </row>
    <row r="7209" spans="1:25">
      <c r="A7209" t="s">
        <v>24496</v>
      </c>
      <c r="B7209" t="s">
        <v>24497</v>
      </c>
      <c r="D7209" t="s">
        <v>40</v>
      </c>
      <c r="E7209" t="s">
        <v>41</v>
      </c>
      <c r="J7209" t="s">
        <v>248</v>
      </c>
      <c r="K7209" t="s">
        <v>249</v>
      </c>
      <c r="L7209">
        <v>8</v>
      </c>
      <c r="M7209" t="s">
        <v>24498</v>
      </c>
      <c r="N7209" t="s">
        <v>1446</v>
      </c>
      <c r="O7209" t="s">
        <v>46</v>
      </c>
      <c r="P7209" t="s">
        <v>46</v>
      </c>
      <c r="Y7209" t="s">
        <v>24499</v>
      </c>
    </row>
    <row r="7210" spans="1:25">
      <c r="A7210" t="s">
        <v>24500</v>
      </c>
      <c r="B7210" t="s">
        <v>24501</v>
      </c>
      <c r="D7210" t="s">
        <v>40</v>
      </c>
      <c r="E7210" t="s">
        <v>41</v>
      </c>
      <c r="J7210" t="s">
        <v>139</v>
      </c>
      <c r="K7210" t="s">
        <v>140</v>
      </c>
      <c r="L7210">
        <v>7</v>
      </c>
      <c r="M7210" t="s">
        <v>24502</v>
      </c>
      <c r="N7210" t="s">
        <v>350</v>
      </c>
      <c r="O7210" t="s">
        <v>46</v>
      </c>
      <c r="P7210" t="s">
        <v>46</v>
      </c>
      <c r="Y7210" t="s">
        <v>24503</v>
      </c>
    </row>
    <row r="7211" spans="1:25">
      <c r="A7211" t="s">
        <v>24504</v>
      </c>
      <c r="B7211" t="s">
        <v>24505</v>
      </c>
      <c r="D7211" t="s">
        <v>40</v>
      </c>
      <c r="E7211" t="s">
        <v>41</v>
      </c>
      <c r="J7211" t="s">
        <v>248</v>
      </c>
      <c r="K7211" t="s">
        <v>249</v>
      </c>
      <c r="L7211">
        <v>7</v>
      </c>
      <c r="M7211" t="s">
        <v>24506</v>
      </c>
      <c r="N7211" t="s">
        <v>291</v>
      </c>
      <c r="O7211" t="s">
        <v>46</v>
      </c>
      <c r="P7211" t="s">
        <v>46</v>
      </c>
      <c r="Y7211" t="s">
        <v>24507</v>
      </c>
    </row>
    <row r="7212" spans="1:25">
      <c r="A7212" t="s">
        <v>24508</v>
      </c>
      <c r="B7212" t="s">
        <v>24509</v>
      </c>
      <c r="D7212" t="s">
        <v>40</v>
      </c>
      <c r="E7212" t="s">
        <v>41</v>
      </c>
      <c r="J7212" t="s">
        <v>1142</v>
      </c>
      <c r="K7212" t="s">
        <v>1143</v>
      </c>
      <c r="L7212">
        <v>7</v>
      </c>
      <c r="M7212" t="s">
        <v>24510</v>
      </c>
      <c r="N7212" t="s">
        <v>53</v>
      </c>
      <c r="O7212" t="s">
        <v>46</v>
      </c>
      <c r="P7212" t="s">
        <v>46</v>
      </c>
      <c r="Y7212" t="s">
        <v>24511</v>
      </c>
    </row>
    <row r="7213" spans="1:25">
      <c r="A7213" t="s">
        <v>24512</v>
      </c>
      <c r="B7213" t="s">
        <v>24513</v>
      </c>
      <c r="D7213" t="s">
        <v>40</v>
      </c>
      <c r="E7213" t="s">
        <v>41</v>
      </c>
      <c r="J7213" t="s">
        <v>248</v>
      </c>
      <c r="K7213" t="s">
        <v>249</v>
      </c>
      <c r="L7213">
        <v>7</v>
      </c>
      <c r="M7213" t="s">
        <v>24514</v>
      </c>
      <c r="N7213" t="s">
        <v>1258</v>
      </c>
      <c r="O7213" t="s">
        <v>46</v>
      </c>
      <c r="P7213" t="s">
        <v>46</v>
      </c>
      <c r="Y7213" t="s">
        <v>24515</v>
      </c>
    </row>
    <row r="7214" spans="1:25">
      <c r="A7214" t="s">
        <v>24516</v>
      </c>
      <c r="B7214" t="s">
        <v>24517</v>
      </c>
      <c r="D7214" t="s">
        <v>40</v>
      </c>
      <c r="E7214" t="s">
        <v>41</v>
      </c>
      <c r="J7214" t="s">
        <v>248</v>
      </c>
      <c r="K7214" t="s">
        <v>249</v>
      </c>
      <c r="L7214">
        <v>7</v>
      </c>
      <c r="M7214" t="s">
        <v>24518</v>
      </c>
      <c r="N7214" t="s">
        <v>310</v>
      </c>
      <c r="O7214" t="s">
        <v>46</v>
      </c>
      <c r="P7214" t="s">
        <v>46</v>
      </c>
      <c r="Y7214" t="s">
        <v>24519</v>
      </c>
    </row>
    <row r="7215" spans="1:25">
      <c r="A7215" t="s">
        <v>24520</v>
      </c>
      <c r="B7215" t="s">
        <v>24521</v>
      </c>
      <c r="D7215" t="s">
        <v>40</v>
      </c>
      <c r="E7215" t="s">
        <v>41</v>
      </c>
      <c r="J7215" t="s">
        <v>248</v>
      </c>
      <c r="K7215" t="s">
        <v>249</v>
      </c>
      <c r="L7215">
        <v>7</v>
      </c>
      <c r="M7215" t="s">
        <v>24522</v>
      </c>
      <c r="N7215" t="s">
        <v>315</v>
      </c>
      <c r="O7215" t="s">
        <v>46</v>
      </c>
      <c r="P7215" t="s">
        <v>46</v>
      </c>
      <c r="Y7215" t="s">
        <v>24523</v>
      </c>
    </row>
    <row r="7216" spans="1:25">
      <c r="A7216" t="s">
        <v>24524</v>
      </c>
      <c r="B7216" t="s">
        <v>24525</v>
      </c>
      <c r="D7216" t="s">
        <v>40</v>
      </c>
      <c r="E7216" t="s">
        <v>41</v>
      </c>
      <c r="J7216" t="s">
        <v>248</v>
      </c>
      <c r="K7216" t="s">
        <v>249</v>
      </c>
      <c r="L7216">
        <v>7</v>
      </c>
      <c r="M7216" t="s">
        <v>24526</v>
      </c>
      <c r="N7216" t="s">
        <v>305</v>
      </c>
      <c r="O7216" t="s">
        <v>46</v>
      </c>
      <c r="P7216" t="s">
        <v>46</v>
      </c>
      <c r="Y7216" t="s">
        <v>24527</v>
      </c>
    </row>
    <row r="7217" spans="1:25">
      <c r="A7217" t="s">
        <v>24528</v>
      </c>
      <c r="B7217" t="s">
        <v>24529</v>
      </c>
      <c r="D7217" t="s">
        <v>40</v>
      </c>
      <c r="E7217" t="s">
        <v>41</v>
      </c>
      <c r="J7217" t="s">
        <v>1554</v>
      </c>
      <c r="K7217" t="s">
        <v>1555</v>
      </c>
      <c r="L7217">
        <v>7</v>
      </c>
      <c r="M7217" t="s">
        <v>24530</v>
      </c>
      <c r="N7217" t="s">
        <v>24245</v>
      </c>
      <c r="O7217" t="s">
        <v>46</v>
      </c>
      <c r="P7217" t="s">
        <v>46</v>
      </c>
      <c r="Y7217" t="s">
        <v>24531</v>
      </c>
    </row>
    <row r="7218" spans="1:25">
      <c r="A7218" t="s">
        <v>24532</v>
      </c>
      <c r="B7218" t="s">
        <v>24533</v>
      </c>
      <c r="D7218" t="s">
        <v>40</v>
      </c>
      <c r="E7218" t="s">
        <v>41</v>
      </c>
      <c r="J7218" t="s">
        <v>248</v>
      </c>
      <c r="K7218" t="s">
        <v>249</v>
      </c>
      <c r="L7218">
        <v>7</v>
      </c>
      <c r="M7218" t="s">
        <v>24534</v>
      </c>
      <c r="N7218" t="s">
        <v>310</v>
      </c>
      <c r="O7218" t="s">
        <v>46</v>
      </c>
      <c r="P7218" t="s">
        <v>46</v>
      </c>
      <c r="Y7218" t="s">
        <v>24535</v>
      </c>
    </row>
    <row r="7219" spans="1:25">
      <c r="A7219" t="s">
        <v>24536</v>
      </c>
      <c r="B7219" t="s">
        <v>24537</v>
      </c>
      <c r="D7219" t="s">
        <v>40</v>
      </c>
      <c r="E7219" t="s">
        <v>41</v>
      </c>
      <c r="J7219" t="s">
        <v>248</v>
      </c>
      <c r="K7219" t="s">
        <v>249</v>
      </c>
      <c r="L7219">
        <v>7</v>
      </c>
      <c r="M7219" t="s">
        <v>24538</v>
      </c>
      <c r="N7219" t="s">
        <v>3013</v>
      </c>
      <c r="O7219" t="s">
        <v>46</v>
      </c>
      <c r="P7219" t="s">
        <v>46</v>
      </c>
      <c r="Y7219" t="s">
        <v>24539</v>
      </c>
    </row>
    <row r="7220" spans="1:25">
      <c r="A7220" t="s">
        <v>24540</v>
      </c>
      <c r="B7220" t="s">
        <v>24541</v>
      </c>
      <c r="D7220" t="s">
        <v>40</v>
      </c>
      <c r="E7220" t="s">
        <v>41</v>
      </c>
      <c r="J7220" t="s">
        <v>23071</v>
      </c>
      <c r="K7220" t="s">
        <v>23072</v>
      </c>
      <c r="L7220">
        <v>7</v>
      </c>
      <c r="M7220" t="s">
        <v>24542</v>
      </c>
      <c r="N7220" t="s">
        <v>24240</v>
      </c>
      <c r="O7220" t="s">
        <v>46</v>
      </c>
      <c r="P7220" t="s">
        <v>46</v>
      </c>
      <c r="Y7220" t="s">
        <v>24543</v>
      </c>
    </row>
    <row r="7221" spans="1:25">
      <c r="A7221" t="s">
        <v>24544</v>
      </c>
      <c r="B7221" t="s">
        <v>24545</v>
      </c>
      <c r="D7221" t="s">
        <v>40</v>
      </c>
      <c r="E7221" t="s">
        <v>41</v>
      </c>
      <c r="J7221" t="s">
        <v>248</v>
      </c>
      <c r="K7221" t="s">
        <v>249</v>
      </c>
      <c r="L7221">
        <v>7</v>
      </c>
      <c r="M7221" t="s">
        <v>24546</v>
      </c>
      <c r="N7221" t="s">
        <v>1024</v>
      </c>
      <c r="O7221" t="s">
        <v>46</v>
      </c>
      <c r="P7221" t="s">
        <v>46</v>
      </c>
      <c r="Y7221" t="s">
        <v>24547</v>
      </c>
    </row>
    <row r="7222" spans="1:25">
      <c r="A7222" t="s">
        <v>24548</v>
      </c>
      <c r="B7222" t="s">
        <v>24549</v>
      </c>
      <c r="D7222" t="s">
        <v>40</v>
      </c>
      <c r="E7222" t="s">
        <v>41</v>
      </c>
      <c r="J7222" t="s">
        <v>599</v>
      </c>
      <c r="K7222" t="s">
        <v>600</v>
      </c>
      <c r="L7222">
        <v>7</v>
      </c>
      <c r="M7222" t="s">
        <v>24550</v>
      </c>
      <c r="N7222" t="s">
        <v>218</v>
      </c>
      <c r="O7222" t="s">
        <v>46</v>
      </c>
      <c r="P7222" t="s">
        <v>46</v>
      </c>
      <c r="Y7222" t="s">
        <v>24551</v>
      </c>
    </row>
    <row r="7223" spans="1:25">
      <c r="A7223" t="s">
        <v>24552</v>
      </c>
      <c r="B7223" t="s">
        <v>24553</v>
      </c>
      <c r="D7223" t="s">
        <v>40</v>
      </c>
      <c r="E7223" t="s">
        <v>41</v>
      </c>
      <c r="J7223" t="s">
        <v>248</v>
      </c>
      <c r="K7223" t="s">
        <v>249</v>
      </c>
      <c r="L7223">
        <v>7</v>
      </c>
      <c r="M7223" t="s">
        <v>24554</v>
      </c>
      <c r="N7223" t="s">
        <v>1550</v>
      </c>
      <c r="O7223" t="s">
        <v>46</v>
      </c>
      <c r="P7223" t="s">
        <v>46</v>
      </c>
      <c r="Y7223" t="s">
        <v>24555</v>
      </c>
    </row>
    <row r="7224" spans="1:25">
      <c r="A7224" t="s">
        <v>24556</v>
      </c>
      <c r="B7224" t="s">
        <v>24557</v>
      </c>
      <c r="D7224" t="s">
        <v>40</v>
      </c>
      <c r="E7224" t="s">
        <v>41</v>
      </c>
      <c r="J7224" t="s">
        <v>11802</v>
      </c>
      <c r="K7224" t="s">
        <v>11803</v>
      </c>
      <c r="L7224">
        <v>7</v>
      </c>
      <c r="M7224" t="s">
        <v>24558</v>
      </c>
      <c r="N7224" t="s">
        <v>1446</v>
      </c>
      <c r="O7224" t="s">
        <v>46</v>
      </c>
      <c r="P7224" t="s">
        <v>46</v>
      </c>
      <c r="Y7224" t="s">
        <v>24559</v>
      </c>
    </row>
    <row r="7225" spans="1:25">
      <c r="A7225" t="s">
        <v>24560</v>
      </c>
      <c r="B7225" t="s">
        <v>24561</v>
      </c>
      <c r="D7225" t="s">
        <v>40</v>
      </c>
      <c r="E7225" t="s">
        <v>41</v>
      </c>
      <c r="J7225" t="s">
        <v>139</v>
      </c>
      <c r="K7225" t="s">
        <v>140</v>
      </c>
      <c r="L7225">
        <v>7</v>
      </c>
      <c r="M7225" t="s">
        <v>24562</v>
      </c>
      <c r="N7225" t="s">
        <v>310</v>
      </c>
      <c r="O7225" t="s">
        <v>46</v>
      </c>
      <c r="P7225" t="s">
        <v>46</v>
      </c>
      <c r="Y7225" t="s">
        <v>24563</v>
      </c>
    </row>
    <row r="7226" spans="1:25">
      <c r="A7226" t="s">
        <v>24564</v>
      </c>
      <c r="B7226" t="s">
        <v>24565</v>
      </c>
      <c r="D7226" t="s">
        <v>40</v>
      </c>
      <c r="E7226" t="s">
        <v>41</v>
      </c>
      <c r="J7226" t="s">
        <v>139</v>
      </c>
      <c r="K7226" t="s">
        <v>140</v>
      </c>
      <c r="L7226">
        <v>7</v>
      </c>
      <c r="M7226" t="s">
        <v>24566</v>
      </c>
      <c r="N7226" t="s">
        <v>24245</v>
      </c>
      <c r="O7226" t="s">
        <v>46</v>
      </c>
      <c r="P7226" t="s">
        <v>46</v>
      </c>
      <c r="Y7226" t="s">
        <v>24567</v>
      </c>
    </row>
    <row r="7227" spans="1:25">
      <c r="A7227" t="s">
        <v>24568</v>
      </c>
      <c r="B7227" t="s">
        <v>24569</v>
      </c>
      <c r="D7227" t="s">
        <v>40</v>
      </c>
      <c r="E7227" t="s">
        <v>41</v>
      </c>
      <c r="J7227" t="s">
        <v>248</v>
      </c>
      <c r="K7227" t="s">
        <v>249</v>
      </c>
      <c r="L7227">
        <v>7</v>
      </c>
      <c r="M7227" t="s">
        <v>24570</v>
      </c>
      <c r="N7227" t="s">
        <v>1258</v>
      </c>
      <c r="O7227" t="s">
        <v>46</v>
      </c>
      <c r="P7227" t="s">
        <v>46</v>
      </c>
      <c r="Y7227" t="s">
        <v>24571</v>
      </c>
    </row>
    <row r="7228" spans="1:25">
      <c r="A7228" t="s">
        <v>24572</v>
      </c>
      <c r="B7228" t="s">
        <v>24573</v>
      </c>
      <c r="D7228" t="s">
        <v>40</v>
      </c>
      <c r="E7228" t="s">
        <v>41</v>
      </c>
      <c r="J7228" t="s">
        <v>248</v>
      </c>
      <c r="K7228" t="s">
        <v>249</v>
      </c>
      <c r="L7228">
        <v>7</v>
      </c>
      <c r="M7228" t="s">
        <v>24574</v>
      </c>
      <c r="N7228" t="s">
        <v>3013</v>
      </c>
      <c r="O7228" t="s">
        <v>46</v>
      </c>
      <c r="P7228" t="s">
        <v>46</v>
      </c>
      <c r="Y7228" t="s">
        <v>24575</v>
      </c>
    </row>
    <row r="7229" spans="1:25">
      <c r="A7229" t="s">
        <v>24576</v>
      </c>
      <c r="B7229" t="s">
        <v>24577</v>
      </c>
      <c r="D7229" t="s">
        <v>40</v>
      </c>
      <c r="E7229" t="s">
        <v>41</v>
      </c>
      <c r="J7229" t="s">
        <v>12440</v>
      </c>
      <c r="K7229" t="s">
        <v>12441</v>
      </c>
      <c r="L7229">
        <v>8</v>
      </c>
      <c r="M7229" t="s">
        <v>24578</v>
      </c>
      <c r="N7229" t="s">
        <v>53</v>
      </c>
      <c r="O7229" t="s">
        <v>46</v>
      </c>
      <c r="P7229" t="s">
        <v>46</v>
      </c>
      <c r="Y7229" t="s">
        <v>24579</v>
      </c>
    </row>
    <row r="7230" spans="1:25">
      <c r="A7230" t="s">
        <v>24580</v>
      </c>
      <c r="B7230" t="s">
        <v>24581</v>
      </c>
      <c r="D7230" t="s">
        <v>40</v>
      </c>
      <c r="E7230" t="s">
        <v>41</v>
      </c>
      <c r="J7230" t="s">
        <v>1142</v>
      </c>
      <c r="K7230" t="s">
        <v>1143</v>
      </c>
      <c r="L7230">
        <v>7</v>
      </c>
      <c r="M7230" t="s">
        <v>24582</v>
      </c>
      <c r="N7230" t="s">
        <v>24245</v>
      </c>
      <c r="O7230" t="s">
        <v>46</v>
      </c>
      <c r="P7230" t="s">
        <v>46</v>
      </c>
      <c r="Y7230" t="s">
        <v>24583</v>
      </c>
    </row>
    <row r="7231" spans="1:25">
      <c r="A7231" t="s">
        <v>24584</v>
      </c>
      <c r="B7231" t="s">
        <v>24585</v>
      </c>
      <c r="D7231" t="s">
        <v>40</v>
      </c>
      <c r="E7231" t="s">
        <v>41</v>
      </c>
      <c r="J7231" t="s">
        <v>12440</v>
      </c>
      <c r="K7231" t="s">
        <v>12441</v>
      </c>
      <c r="L7231">
        <v>8</v>
      </c>
      <c r="M7231" t="s">
        <v>24582</v>
      </c>
      <c r="N7231" t="s">
        <v>64</v>
      </c>
      <c r="O7231" t="s">
        <v>46</v>
      </c>
      <c r="P7231" t="s">
        <v>46</v>
      </c>
      <c r="Y7231" t="s">
        <v>24586</v>
      </c>
    </row>
    <row r="7232" spans="1:25">
      <c r="A7232" t="s">
        <v>24587</v>
      </c>
      <c r="B7232" t="s">
        <v>24588</v>
      </c>
      <c r="D7232" t="s">
        <v>40</v>
      </c>
      <c r="E7232" t="s">
        <v>41</v>
      </c>
      <c r="J7232" t="s">
        <v>139</v>
      </c>
      <c r="K7232" t="s">
        <v>140</v>
      </c>
      <c r="L7232">
        <v>7</v>
      </c>
      <c r="M7232" t="s">
        <v>24589</v>
      </c>
      <c r="N7232" t="s">
        <v>310</v>
      </c>
      <c r="O7232" t="s">
        <v>46</v>
      </c>
      <c r="P7232" t="s">
        <v>46</v>
      </c>
      <c r="Y7232" t="s">
        <v>24590</v>
      </c>
    </row>
    <row r="7233" spans="1:25">
      <c r="A7233" t="s">
        <v>24591</v>
      </c>
      <c r="B7233" t="s">
        <v>24592</v>
      </c>
      <c r="D7233" t="s">
        <v>40</v>
      </c>
      <c r="E7233" t="s">
        <v>41</v>
      </c>
      <c r="J7233" t="s">
        <v>12440</v>
      </c>
      <c r="K7233" t="s">
        <v>12441</v>
      </c>
      <c r="L7233">
        <v>8</v>
      </c>
      <c r="M7233" t="s">
        <v>24593</v>
      </c>
      <c r="N7233" t="s">
        <v>64</v>
      </c>
      <c r="O7233" t="s">
        <v>46</v>
      </c>
      <c r="P7233" t="s">
        <v>46</v>
      </c>
      <c r="Y7233" t="s">
        <v>24594</v>
      </c>
    </row>
    <row r="7234" spans="1:25">
      <c r="A7234" t="s">
        <v>24595</v>
      </c>
      <c r="B7234" t="s">
        <v>24596</v>
      </c>
      <c r="D7234" t="s">
        <v>40</v>
      </c>
      <c r="E7234" t="s">
        <v>41</v>
      </c>
      <c r="J7234" t="s">
        <v>248</v>
      </c>
      <c r="K7234" t="s">
        <v>249</v>
      </c>
      <c r="L7234">
        <v>7</v>
      </c>
      <c r="M7234" t="s">
        <v>24597</v>
      </c>
      <c r="N7234" t="s">
        <v>350</v>
      </c>
      <c r="O7234" t="s">
        <v>46</v>
      </c>
      <c r="P7234" t="s">
        <v>46</v>
      </c>
      <c r="Y7234" t="s">
        <v>24598</v>
      </c>
    </row>
    <row r="7235" spans="1:25">
      <c r="A7235" t="s">
        <v>24599</v>
      </c>
      <c r="B7235" t="s">
        <v>24600</v>
      </c>
      <c r="D7235" t="s">
        <v>40</v>
      </c>
      <c r="E7235" t="s">
        <v>41</v>
      </c>
      <c r="J7235" t="s">
        <v>248</v>
      </c>
      <c r="K7235" t="s">
        <v>249</v>
      </c>
      <c r="L7235">
        <v>7</v>
      </c>
      <c r="M7235" t="s">
        <v>24601</v>
      </c>
      <c r="N7235" t="s">
        <v>53</v>
      </c>
      <c r="O7235" t="s">
        <v>46</v>
      </c>
      <c r="P7235" t="s">
        <v>46</v>
      </c>
      <c r="Y7235" t="s">
        <v>24602</v>
      </c>
    </row>
    <row r="7236" spans="1:25">
      <c r="A7236" t="s">
        <v>24603</v>
      </c>
      <c r="B7236" t="s">
        <v>24604</v>
      </c>
      <c r="D7236" t="s">
        <v>40</v>
      </c>
      <c r="E7236" t="s">
        <v>41</v>
      </c>
      <c r="J7236" t="s">
        <v>248</v>
      </c>
      <c r="K7236" t="s">
        <v>249</v>
      </c>
      <c r="L7236">
        <v>7</v>
      </c>
      <c r="M7236" t="s">
        <v>24605</v>
      </c>
      <c r="N7236" t="s">
        <v>291</v>
      </c>
      <c r="O7236" t="s">
        <v>46</v>
      </c>
      <c r="P7236" t="s">
        <v>46</v>
      </c>
      <c r="Y7236" t="s">
        <v>24606</v>
      </c>
    </row>
    <row r="7237" spans="1:25">
      <c r="A7237" t="s">
        <v>24607</v>
      </c>
      <c r="B7237" t="s">
        <v>24608</v>
      </c>
      <c r="D7237" t="s">
        <v>40</v>
      </c>
      <c r="E7237" t="s">
        <v>41</v>
      </c>
      <c r="J7237" t="s">
        <v>139</v>
      </c>
      <c r="K7237" t="s">
        <v>140</v>
      </c>
      <c r="L7237">
        <v>7</v>
      </c>
      <c r="M7237" t="s">
        <v>24609</v>
      </c>
      <c r="N7237" t="s">
        <v>1550</v>
      </c>
      <c r="O7237" t="s">
        <v>46</v>
      </c>
      <c r="P7237" t="s">
        <v>46</v>
      </c>
      <c r="Y7237" t="s">
        <v>24610</v>
      </c>
    </row>
    <row r="7238" spans="1:25">
      <c r="A7238" t="s">
        <v>24611</v>
      </c>
      <c r="B7238" t="s">
        <v>24612</v>
      </c>
      <c r="D7238" t="s">
        <v>40</v>
      </c>
      <c r="E7238" t="s">
        <v>41</v>
      </c>
      <c r="J7238" t="s">
        <v>1142</v>
      </c>
      <c r="K7238" t="s">
        <v>1143</v>
      </c>
      <c r="L7238">
        <v>7</v>
      </c>
      <c r="M7238" t="s">
        <v>24613</v>
      </c>
      <c r="N7238" t="s">
        <v>1047</v>
      </c>
      <c r="O7238" t="s">
        <v>46</v>
      </c>
      <c r="P7238" t="s">
        <v>46</v>
      </c>
      <c r="Y7238" t="s">
        <v>24614</v>
      </c>
    </row>
    <row r="7239" spans="1:25">
      <c r="A7239" t="s">
        <v>24615</v>
      </c>
      <c r="B7239" t="s">
        <v>24616</v>
      </c>
      <c r="D7239" t="s">
        <v>40</v>
      </c>
      <c r="E7239" t="s">
        <v>41</v>
      </c>
      <c r="J7239" t="s">
        <v>248</v>
      </c>
      <c r="K7239" t="s">
        <v>249</v>
      </c>
      <c r="L7239">
        <v>7</v>
      </c>
      <c r="M7239" t="s">
        <v>24617</v>
      </c>
      <c r="N7239" t="s">
        <v>2154</v>
      </c>
      <c r="O7239" t="s">
        <v>46</v>
      </c>
      <c r="P7239" t="s">
        <v>46</v>
      </c>
      <c r="Y7239" t="s">
        <v>24618</v>
      </c>
    </row>
    <row r="7240" spans="1:25">
      <c r="A7240" t="s">
        <v>24619</v>
      </c>
      <c r="B7240" t="s">
        <v>24620</v>
      </c>
      <c r="D7240" t="s">
        <v>40</v>
      </c>
      <c r="E7240" t="s">
        <v>41</v>
      </c>
      <c r="J7240" t="s">
        <v>248</v>
      </c>
      <c r="K7240" t="s">
        <v>249</v>
      </c>
      <c r="L7240">
        <v>7</v>
      </c>
      <c r="M7240" t="s">
        <v>24621</v>
      </c>
      <c r="N7240" t="s">
        <v>142</v>
      </c>
      <c r="O7240" t="s">
        <v>46</v>
      </c>
      <c r="P7240" t="s">
        <v>46</v>
      </c>
      <c r="Y7240" t="s">
        <v>24622</v>
      </c>
    </row>
    <row r="7241" spans="1:25">
      <c r="A7241" t="s">
        <v>24623</v>
      </c>
      <c r="B7241" t="s">
        <v>24624</v>
      </c>
      <c r="D7241" t="s">
        <v>40</v>
      </c>
      <c r="E7241" t="s">
        <v>41</v>
      </c>
      <c r="J7241" t="s">
        <v>12440</v>
      </c>
      <c r="K7241" t="s">
        <v>12441</v>
      </c>
      <c r="L7241">
        <v>8</v>
      </c>
      <c r="M7241" t="s">
        <v>24625</v>
      </c>
      <c r="N7241" t="s">
        <v>64</v>
      </c>
      <c r="O7241" t="s">
        <v>46</v>
      </c>
      <c r="P7241" t="s">
        <v>46</v>
      </c>
      <c r="Y7241" t="s">
        <v>24626</v>
      </c>
    </row>
    <row r="7242" spans="1:25">
      <c r="A7242" t="s">
        <v>24627</v>
      </c>
      <c r="B7242" t="s">
        <v>24628</v>
      </c>
      <c r="D7242" t="s">
        <v>40</v>
      </c>
      <c r="E7242" t="s">
        <v>41</v>
      </c>
      <c r="J7242" t="s">
        <v>1554</v>
      </c>
      <c r="K7242" t="s">
        <v>1555</v>
      </c>
      <c r="L7242">
        <v>7</v>
      </c>
      <c r="M7242" t="s">
        <v>24629</v>
      </c>
      <c r="N7242" t="s">
        <v>24240</v>
      </c>
      <c r="O7242" t="s">
        <v>46</v>
      </c>
      <c r="P7242" t="s">
        <v>46</v>
      </c>
      <c r="Y7242" t="s">
        <v>24630</v>
      </c>
    </row>
    <row r="7243" spans="1:25">
      <c r="A7243" t="s">
        <v>24631</v>
      </c>
      <c r="B7243" t="s">
        <v>24632</v>
      </c>
      <c r="D7243" t="s">
        <v>40</v>
      </c>
      <c r="E7243" t="s">
        <v>41</v>
      </c>
      <c r="J7243" t="s">
        <v>1554</v>
      </c>
      <c r="K7243" t="s">
        <v>1555</v>
      </c>
      <c r="L7243">
        <v>7</v>
      </c>
      <c r="M7243" t="s">
        <v>24633</v>
      </c>
      <c r="N7243" t="s">
        <v>1138</v>
      </c>
      <c r="O7243" t="s">
        <v>46</v>
      </c>
      <c r="P7243" t="s">
        <v>46</v>
      </c>
      <c r="Y7243" t="s">
        <v>24634</v>
      </c>
    </row>
    <row r="7244" spans="1:25">
      <c r="A7244" t="s">
        <v>24635</v>
      </c>
      <c r="B7244" t="s">
        <v>24636</v>
      </c>
      <c r="D7244" t="s">
        <v>40</v>
      </c>
      <c r="E7244" t="s">
        <v>41</v>
      </c>
      <c r="J7244" t="s">
        <v>139</v>
      </c>
      <c r="K7244" t="s">
        <v>140</v>
      </c>
      <c r="L7244">
        <v>7</v>
      </c>
      <c r="M7244" t="s">
        <v>24637</v>
      </c>
      <c r="N7244" t="s">
        <v>1550</v>
      </c>
      <c r="O7244" t="s">
        <v>46</v>
      </c>
      <c r="P7244" t="s">
        <v>46</v>
      </c>
      <c r="Y7244" t="s">
        <v>24638</v>
      </c>
    </row>
    <row r="7245" spans="1:25">
      <c r="A7245" t="s">
        <v>24639</v>
      </c>
      <c r="B7245" t="s">
        <v>24640</v>
      </c>
      <c r="D7245" t="s">
        <v>40</v>
      </c>
      <c r="E7245" t="s">
        <v>41</v>
      </c>
      <c r="J7245" t="s">
        <v>1142</v>
      </c>
      <c r="K7245" t="s">
        <v>1143</v>
      </c>
      <c r="L7245">
        <v>7</v>
      </c>
      <c r="M7245" t="s">
        <v>24641</v>
      </c>
      <c r="N7245" t="s">
        <v>5995</v>
      </c>
      <c r="O7245" t="s">
        <v>46</v>
      </c>
      <c r="P7245" t="s">
        <v>46</v>
      </c>
      <c r="Y7245" t="s">
        <v>24642</v>
      </c>
    </row>
    <row r="7246" spans="1:25">
      <c r="A7246" t="s">
        <v>24643</v>
      </c>
      <c r="B7246" t="s">
        <v>24644</v>
      </c>
      <c r="D7246" t="s">
        <v>40</v>
      </c>
      <c r="E7246" t="s">
        <v>41</v>
      </c>
      <c r="J7246" t="s">
        <v>139</v>
      </c>
      <c r="K7246" t="s">
        <v>140</v>
      </c>
      <c r="L7246">
        <v>7</v>
      </c>
      <c r="M7246" t="s">
        <v>24645</v>
      </c>
      <c r="N7246" t="s">
        <v>1550</v>
      </c>
      <c r="O7246" t="s">
        <v>46</v>
      </c>
      <c r="P7246" t="s">
        <v>46</v>
      </c>
      <c r="Y7246" t="s">
        <v>24646</v>
      </c>
    </row>
    <row r="7247" spans="1:25">
      <c r="A7247" t="s">
        <v>24647</v>
      </c>
      <c r="B7247" t="s">
        <v>24648</v>
      </c>
      <c r="D7247" t="s">
        <v>40</v>
      </c>
      <c r="E7247" t="s">
        <v>41</v>
      </c>
      <c r="J7247" t="s">
        <v>248</v>
      </c>
      <c r="K7247" t="s">
        <v>249</v>
      </c>
      <c r="L7247">
        <v>7</v>
      </c>
      <c r="M7247" t="s">
        <v>24649</v>
      </c>
      <c r="N7247" t="s">
        <v>924</v>
      </c>
      <c r="O7247" t="s">
        <v>46</v>
      </c>
      <c r="P7247" t="s">
        <v>46</v>
      </c>
      <c r="Y7247" t="s">
        <v>24650</v>
      </c>
    </row>
    <row r="7248" spans="1:25">
      <c r="A7248" t="s">
        <v>24651</v>
      </c>
      <c r="B7248" t="s">
        <v>24652</v>
      </c>
      <c r="D7248" t="s">
        <v>40</v>
      </c>
      <c r="E7248" t="s">
        <v>41</v>
      </c>
      <c r="J7248" t="s">
        <v>1554</v>
      </c>
      <c r="K7248" t="s">
        <v>1555</v>
      </c>
      <c r="L7248">
        <v>7</v>
      </c>
      <c r="M7248" t="s">
        <v>24653</v>
      </c>
      <c r="N7248" t="s">
        <v>1334</v>
      </c>
      <c r="O7248" t="s">
        <v>46</v>
      </c>
      <c r="P7248" t="s">
        <v>46</v>
      </c>
      <c r="Y7248" t="s">
        <v>24654</v>
      </c>
    </row>
    <row r="7249" spans="1:25">
      <c r="A7249" t="s">
        <v>24655</v>
      </c>
      <c r="B7249" t="s">
        <v>24656</v>
      </c>
      <c r="D7249" t="s">
        <v>40</v>
      </c>
      <c r="E7249" t="s">
        <v>41</v>
      </c>
      <c r="J7249" t="s">
        <v>139</v>
      </c>
      <c r="K7249" t="s">
        <v>140</v>
      </c>
      <c r="L7249">
        <v>7</v>
      </c>
      <c r="M7249" t="s">
        <v>24657</v>
      </c>
      <c r="N7249" t="s">
        <v>1258</v>
      </c>
      <c r="O7249" t="s">
        <v>46</v>
      </c>
      <c r="P7249" t="s">
        <v>46</v>
      </c>
      <c r="Y7249" t="s">
        <v>24658</v>
      </c>
    </row>
    <row r="7250" spans="1:25">
      <c r="A7250" t="s">
        <v>24659</v>
      </c>
      <c r="B7250" t="s">
        <v>24660</v>
      </c>
      <c r="D7250" t="s">
        <v>40</v>
      </c>
      <c r="E7250" t="s">
        <v>41</v>
      </c>
      <c r="J7250" t="s">
        <v>248</v>
      </c>
      <c r="K7250" t="s">
        <v>249</v>
      </c>
      <c r="L7250">
        <v>7</v>
      </c>
      <c r="M7250" t="s">
        <v>24661</v>
      </c>
      <c r="N7250" t="s">
        <v>350</v>
      </c>
      <c r="O7250" t="s">
        <v>46</v>
      </c>
      <c r="P7250" t="s">
        <v>46</v>
      </c>
      <c r="Y7250" t="s">
        <v>24662</v>
      </c>
    </row>
    <row r="7251" spans="1:25">
      <c r="A7251" t="s">
        <v>24663</v>
      </c>
      <c r="B7251" t="s">
        <v>24664</v>
      </c>
      <c r="D7251" t="s">
        <v>40</v>
      </c>
      <c r="E7251" t="s">
        <v>41</v>
      </c>
      <c r="J7251" t="s">
        <v>248</v>
      </c>
      <c r="K7251" t="s">
        <v>249</v>
      </c>
      <c r="L7251">
        <v>7</v>
      </c>
      <c r="M7251" t="s">
        <v>24665</v>
      </c>
      <c r="N7251" t="s">
        <v>58</v>
      </c>
      <c r="O7251" t="s">
        <v>46</v>
      </c>
      <c r="P7251" t="s">
        <v>46</v>
      </c>
      <c r="Y7251" t="s">
        <v>24666</v>
      </c>
    </row>
    <row r="7252" spans="1:25">
      <c r="A7252" t="s">
        <v>24667</v>
      </c>
      <c r="B7252" t="s">
        <v>24668</v>
      </c>
      <c r="D7252" t="s">
        <v>40</v>
      </c>
      <c r="E7252" t="s">
        <v>41</v>
      </c>
      <c r="J7252" t="s">
        <v>248</v>
      </c>
      <c r="K7252" t="s">
        <v>249</v>
      </c>
      <c r="L7252">
        <v>7</v>
      </c>
      <c r="M7252" t="s">
        <v>24669</v>
      </c>
      <c r="N7252" t="s">
        <v>142</v>
      </c>
      <c r="O7252" t="s">
        <v>46</v>
      </c>
      <c r="P7252" t="s">
        <v>46</v>
      </c>
      <c r="Y7252" t="s">
        <v>24670</v>
      </c>
    </row>
    <row r="7253" spans="1:25">
      <c r="A7253" t="s">
        <v>24671</v>
      </c>
      <c r="B7253" t="s">
        <v>24672</v>
      </c>
      <c r="D7253" t="s">
        <v>40</v>
      </c>
      <c r="E7253" t="s">
        <v>41</v>
      </c>
      <c r="J7253" t="s">
        <v>1142</v>
      </c>
      <c r="K7253" t="s">
        <v>1143</v>
      </c>
      <c r="L7253">
        <v>7</v>
      </c>
      <c r="M7253" t="s">
        <v>24673</v>
      </c>
      <c r="N7253" t="s">
        <v>24245</v>
      </c>
      <c r="O7253" t="s">
        <v>46</v>
      </c>
      <c r="P7253" t="s">
        <v>46</v>
      </c>
      <c r="Y7253" t="s">
        <v>24674</v>
      </c>
    </row>
    <row r="7254" spans="1:25">
      <c r="A7254" t="s">
        <v>24675</v>
      </c>
      <c r="B7254" t="s">
        <v>24676</v>
      </c>
      <c r="D7254" t="s">
        <v>40</v>
      </c>
      <c r="E7254" t="s">
        <v>41</v>
      </c>
      <c r="J7254" t="s">
        <v>248</v>
      </c>
      <c r="K7254" t="s">
        <v>249</v>
      </c>
      <c r="L7254">
        <v>7</v>
      </c>
      <c r="M7254" t="s">
        <v>24677</v>
      </c>
      <c r="N7254" t="s">
        <v>310</v>
      </c>
      <c r="O7254" t="s">
        <v>46</v>
      </c>
      <c r="P7254" t="s">
        <v>46</v>
      </c>
      <c r="Y7254" t="s">
        <v>24678</v>
      </c>
    </row>
    <row r="7255" spans="1:25">
      <c r="A7255" t="s">
        <v>24679</v>
      </c>
      <c r="B7255" t="s">
        <v>24680</v>
      </c>
      <c r="D7255" t="s">
        <v>40</v>
      </c>
      <c r="E7255" t="s">
        <v>41</v>
      </c>
      <c r="J7255" t="s">
        <v>1142</v>
      </c>
      <c r="K7255" t="s">
        <v>1143</v>
      </c>
      <c r="L7255">
        <v>7</v>
      </c>
      <c r="M7255" t="s">
        <v>24681</v>
      </c>
      <c r="N7255" t="s">
        <v>2621</v>
      </c>
      <c r="O7255" t="s">
        <v>46</v>
      </c>
      <c r="P7255" t="s">
        <v>46</v>
      </c>
      <c r="Y7255" t="s">
        <v>24682</v>
      </c>
    </row>
    <row r="7256" spans="1:25">
      <c r="A7256" t="s">
        <v>24683</v>
      </c>
      <c r="B7256" t="s">
        <v>24684</v>
      </c>
      <c r="D7256" t="s">
        <v>40</v>
      </c>
      <c r="E7256" t="s">
        <v>41</v>
      </c>
      <c r="J7256" t="s">
        <v>1554</v>
      </c>
      <c r="K7256" t="s">
        <v>1555</v>
      </c>
      <c r="L7256">
        <v>7</v>
      </c>
      <c r="M7256" t="s">
        <v>24681</v>
      </c>
      <c r="N7256" t="s">
        <v>1189</v>
      </c>
      <c r="O7256" t="s">
        <v>46</v>
      </c>
      <c r="P7256" t="s">
        <v>46</v>
      </c>
      <c r="Y7256" t="s">
        <v>24685</v>
      </c>
    </row>
    <row r="7257" spans="1:25">
      <c r="A7257" t="s">
        <v>24686</v>
      </c>
      <c r="B7257" t="s">
        <v>24687</v>
      </c>
      <c r="D7257" t="s">
        <v>40</v>
      </c>
      <c r="E7257" t="s">
        <v>41</v>
      </c>
      <c r="J7257" t="s">
        <v>248</v>
      </c>
      <c r="K7257" t="s">
        <v>249</v>
      </c>
      <c r="L7257">
        <v>7</v>
      </c>
      <c r="M7257" t="s">
        <v>24688</v>
      </c>
      <c r="N7257" t="s">
        <v>315</v>
      </c>
      <c r="O7257" t="s">
        <v>46</v>
      </c>
      <c r="P7257" t="s">
        <v>46</v>
      </c>
      <c r="Y7257" t="s">
        <v>24689</v>
      </c>
    </row>
    <row r="7258" spans="1:25">
      <c r="A7258" t="s">
        <v>24690</v>
      </c>
      <c r="B7258" t="s">
        <v>24691</v>
      </c>
      <c r="D7258" t="s">
        <v>40</v>
      </c>
      <c r="E7258" t="s">
        <v>41</v>
      </c>
      <c r="J7258" t="s">
        <v>248</v>
      </c>
      <c r="K7258" t="s">
        <v>249</v>
      </c>
      <c r="L7258">
        <v>7</v>
      </c>
      <c r="M7258" t="s">
        <v>24692</v>
      </c>
      <c r="N7258" t="s">
        <v>1024</v>
      </c>
      <c r="O7258" t="s">
        <v>46</v>
      </c>
      <c r="P7258" t="s">
        <v>46</v>
      </c>
      <c r="Y7258" t="s">
        <v>24693</v>
      </c>
    </row>
    <row r="7259" spans="1:25">
      <c r="A7259" t="s">
        <v>24694</v>
      </c>
      <c r="B7259" t="s">
        <v>24695</v>
      </c>
      <c r="D7259" t="s">
        <v>40</v>
      </c>
      <c r="E7259" t="s">
        <v>41</v>
      </c>
      <c r="J7259" t="s">
        <v>6179</v>
      </c>
      <c r="K7259" t="s">
        <v>6180</v>
      </c>
      <c r="L7259">
        <v>7</v>
      </c>
      <c r="M7259" t="s">
        <v>24696</v>
      </c>
      <c r="N7259" t="s">
        <v>1334</v>
      </c>
      <c r="O7259" t="s">
        <v>46</v>
      </c>
      <c r="P7259" t="s">
        <v>46</v>
      </c>
      <c r="Y7259" t="s">
        <v>24697</v>
      </c>
    </row>
    <row r="7260" spans="1:25">
      <c r="A7260" t="s">
        <v>24698</v>
      </c>
      <c r="B7260" t="s">
        <v>24699</v>
      </c>
      <c r="D7260" t="s">
        <v>40</v>
      </c>
      <c r="E7260" t="s">
        <v>41</v>
      </c>
      <c r="J7260" t="s">
        <v>248</v>
      </c>
      <c r="K7260" t="s">
        <v>249</v>
      </c>
      <c r="L7260">
        <v>7</v>
      </c>
      <c r="M7260" t="s">
        <v>24700</v>
      </c>
      <c r="N7260" t="s">
        <v>142</v>
      </c>
      <c r="O7260" t="s">
        <v>46</v>
      </c>
      <c r="P7260" t="s">
        <v>46</v>
      </c>
      <c r="Y7260" t="s">
        <v>24701</v>
      </c>
    </row>
    <row r="7261" spans="1:25">
      <c r="A7261" t="s">
        <v>24702</v>
      </c>
      <c r="B7261" t="s">
        <v>24703</v>
      </c>
      <c r="D7261" t="s">
        <v>40</v>
      </c>
      <c r="E7261" t="s">
        <v>41</v>
      </c>
      <c r="J7261" t="s">
        <v>6255</v>
      </c>
      <c r="K7261" t="s">
        <v>6256</v>
      </c>
      <c r="L7261">
        <v>7</v>
      </c>
      <c r="M7261" t="s">
        <v>24704</v>
      </c>
      <c r="N7261" t="s">
        <v>1189</v>
      </c>
      <c r="O7261" t="s">
        <v>46</v>
      </c>
      <c r="P7261" t="s">
        <v>46</v>
      </c>
      <c r="Y7261" t="s">
        <v>24705</v>
      </c>
    </row>
    <row r="7262" spans="1:25">
      <c r="A7262" t="s">
        <v>24706</v>
      </c>
      <c r="B7262" t="s">
        <v>24707</v>
      </c>
      <c r="D7262" t="s">
        <v>40</v>
      </c>
      <c r="E7262" t="s">
        <v>41</v>
      </c>
      <c r="J7262" t="s">
        <v>248</v>
      </c>
      <c r="K7262" t="s">
        <v>249</v>
      </c>
      <c r="L7262">
        <v>7</v>
      </c>
      <c r="M7262" t="s">
        <v>24708</v>
      </c>
      <c r="N7262" t="s">
        <v>315</v>
      </c>
      <c r="O7262" t="s">
        <v>46</v>
      </c>
      <c r="P7262" t="s">
        <v>46</v>
      </c>
      <c r="Y7262" t="s">
        <v>24709</v>
      </c>
    </row>
    <row r="7263" spans="1:25">
      <c r="A7263" t="s">
        <v>24710</v>
      </c>
      <c r="B7263" t="s">
        <v>24711</v>
      </c>
      <c r="D7263" t="s">
        <v>40</v>
      </c>
      <c r="E7263" t="s">
        <v>41</v>
      </c>
      <c r="J7263" t="s">
        <v>139</v>
      </c>
      <c r="K7263" t="s">
        <v>140</v>
      </c>
      <c r="L7263">
        <v>7</v>
      </c>
      <c r="M7263" t="s">
        <v>24712</v>
      </c>
      <c r="N7263" t="s">
        <v>24245</v>
      </c>
      <c r="O7263" t="s">
        <v>46</v>
      </c>
      <c r="P7263" t="s">
        <v>46</v>
      </c>
      <c r="Y7263" t="s">
        <v>24713</v>
      </c>
    </row>
    <row r="7264" spans="1:25">
      <c r="A7264" t="s">
        <v>24714</v>
      </c>
      <c r="B7264" t="s">
        <v>24715</v>
      </c>
      <c r="D7264" t="s">
        <v>40</v>
      </c>
      <c r="E7264" t="s">
        <v>41</v>
      </c>
      <c r="J7264" t="s">
        <v>248</v>
      </c>
      <c r="K7264" t="s">
        <v>249</v>
      </c>
      <c r="L7264">
        <v>7</v>
      </c>
      <c r="M7264" t="s">
        <v>24716</v>
      </c>
      <c r="N7264" t="s">
        <v>23374</v>
      </c>
      <c r="O7264" t="s">
        <v>46</v>
      </c>
      <c r="P7264" t="s">
        <v>46</v>
      </c>
      <c r="Y7264" t="s">
        <v>24717</v>
      </c>
    </row>
    <row r="7265" spans="1:25">
      <c r="A7265" t="s">
        <v>24718</v>
      </c>
      <c r="B7265" t="s">
        <v>24719</v>
      </c>
      <c r="D7265" t="s">
        <v>40</v>
      </c>
      <c r="E7265" t="s">
        <v>41</v>
      </c>
      <c r="J7265" t="s">
        <v>248</v>
      </c>
      <c r="K7265" t="s">
        <v>249</v>
      </c>
      <c r="L7265">
        <v>7</v>
      </c>
      <c r="M7265" t="s">
        <v>24720</v>
      </c>
      <c r="N7265" t="s">
        <v>924</v>
      </c>
      <c r="O7265" t="s">
        <v>46</v>
      </c>
      <c r="P7265" t="s">
        <v>46</v>
      </c>
      <c r="Y7265" t="s">
        <v>24721</v>
      </c>
    </row>
    <row r="7266" spans="1:25">
      <c r="A7266" t="s">
        <v>24722</v>
      </c>
      <c r="B7266" t="s">
        <v>24723</v>
      </c>
      <c r="D7266" t="s">
        <v>40</v>
      </c>
      <c r="E7266" t="s">
        <v>41</v>
      </c>
      <c r="J7266" t="s">
        <v>6179</v>
      </c>
      <c r="K7266" t="s">
        <v>6180</v>
      </c>
      <c r="L7266">
        <v>7</v>
      </c>
      <c r="M7266" t="s">
        <v>24724</v>
      </c>
      <c r="N7266" t="s">
        <v>24245</v>
      </c>
      <c r="O7266" t="s">
        <v>46</v>
      </c>
      <c r="P7266" t="s">
        <v>46</v>
      </c>
      <c r="Y7266" t="s">
        <v>24725</v>
      </c>
    </row>
    <row r="7267" spans="1:25">
      <c r="A7267" t="s">
        <v>24726</v>
      </c>
      <c r="B7267" t="s">
        <v>24727</v>
      </c>
      <c r="D7267" t="s">
        <v>40</v>
      </c>
      <c r="E7267" t="s">
        <v>41</v>
      </c>
      <c r="J7267" t="s">
        <v>248</v>
      </c>
      <c r="K7267" t="s">
        <v>249</v>
      </c>
      <c r="L7267">
        <v>7</v>
      </c>
      <c r="M7267" t="s">
        <v>24728</v>
      </c>
      <c r="N7267" t="s">
        <v>310</v>
      </c>
      <c r="O7267" t="s">
        <v>46</v>
      </c>
      <c r="P7267" t="s">
        <v>46</v>
      </c>
      <c r="Y7267" t="s">
        <v>24729</v>
      </c>
    </row>
    <row r="7268" spans="1:25">
      <c r="A7268" t="s">
        <v>24730</v>
      </c>
      <c r="B7268" t="s">
        <v>24731</v>
      </c>
      <c r="D7268" t="s">
        <v>40</v>
      </c>
      <c r="E7268" t="s">
        <v>41</v>
      </c>
      <c r="J7268" t="s">
        <v>248</v>
      </c>
      <c r="K7268" t="s">
        <v>249</v>
      </c>
      <c r="L7268">
        <v>7</v>
      </c>
      <c r="M7268" t="s">
        <v>24732</v>
      </c>
      <c r="N7268" t="s">
        <v>1024</v>
      </c>
      <c r="O7268" t="s">
        <v>46</v>
      </c>
      <c r="P7268" t="s">
        <v>46</v>
      </c>
      <c r="Y7268" t="s">
        <v>24733</v>
      </c>
    </row>
    <row r="7269" spans="1:25">
      <c r="A7269" t="s">
        <v>24734</v>
      </c>
      <c r="B7269" t="s">
        <v>24735</v>
      </c>
      <c r="D7269" t="s">
        <v>40</v>
      </c>
      <c r="E7269" t="s">
        <v>41</v>
      </c>
      <c r="J7269" t="s">
        <v>1554</v>
      </c>
      <c r="K7269" t="s">
        <v>1555</v>
      </c>
      <c r="L7269">
        <v>7</v>
      </c>
      <c r="M7269" t="s">
        <v>24736</v>
      </c>
      <c r="N7269" t="s">
        <v>350</v>
      </c>
      <c r="O7269" t="s">
        <v>46</v>
      </c>
      <c r="P7269" t="s">
        <v>46</v>
      </c>
      <c r="Y7269" t="s">
        <v>24737</v>
      </c>
    </row>
    <row r="7270" spans="1:25">
      <c r="A7270" t="s">
        <v>24738</v>
      </c>
      <c r="B7270" t="s">
        <v>24739</v>
      </c>
      <c r="D7270" t="s">
        <v>40</v>
      </c>
      <c r="E7270" t="s">
        <v>41</v>
      </c>
      <c r="J7270" t="s">
        <v>248</v>
      </c>
      <c r="K7270" t="s">
        <v>249</v>
      </c>
      <c r="L7270">
        <v>7</v>
      </c>
      <c r="M7270" t="s">
        <v>24736</v>
      </c>
      <c r="N7270" t="s">
        <v>142</v>
      </c>
      <c r="O7270" t="s">
        <v>46</v>
      </c>
      <c r="P7270" t="s">
        <v>46</v>
      </c>
      <c r="Y7270" t="s">
        <v>24740</v>
      </c>
    </row>
    <row r="7271" spans="1:25">
      <c r="A7271" t="s">
        <v>24741</v>
      </c>
      <c r="B7271" t="s">
        <v>24742</v>
      </c>
      <c r="D7271" t="s">
        <v>40</v>
      </c>
      <c r="E7271" t="s">
        <v>41</v>
      </c>
      <c r="J7271" t="s">
        <v>1142</v>
      </c>
      <c r="K7271" t="s">
        <v>1143</v>
      </c>
      <c r="L7271">
        <v>7</v>
      </c>
      <c r="M7271" t="s">
        <v>24743</v>
      </c>
      <c r="N7271" t="s">
        <v>1446</v>
      </c>
      <c r="O7271" t="s">
        <v>46</v>
      </c>
      <c r="P7271" t="s">
        <v>46</v>
      </c>
      <c r="Y7271" t="s">
        <v>24744</v>
      </c>
    </row>
    <row r="7272" spans="1:25">
      <c r="A7272" t="s">
        <v>24745</v>
      </c>
      <c r="B7272" t="s">
        <v>24746</v>
      </c>
      <c r="D7272" t="s">
        <v>40</v>
      </c>
      <c r="E7272" t="s">
        <v>41</v>
      </c>
      <c r="J7272" t="s">
        <v>248</v>
      </c>
      <c r="K7272" t="s">
        <v>249</v>
      </c>
      <c r="L7272">
        <v>7</v>
      </c>
      <c r="M7272" t="s">
        <v>24747</v>
      </c>
      <c r="N7272" t="s">
        <v>1550</v>
      </c>
      <c r="O7272" t="s">
        <v>46</v>
      </c>
      <c r="P7272" t="s">
        <v>46</v>
      </c>
      <c r="Y7272" t="s">
        <v>24748</v>
      </c>
    </row>
    <row r="7273" spans="1:25">
      <c r="A7273" t="s">
        <v>24749</v>
      </c>
      <c r="B7273" t="s">
        <v>24750</v>
      </c>
      <c r="D7273" t="s">
        <v>40</v>
      </c>
      <c r="E7273" t="s">
        <v>41</v>
      </c>
      <c r="J7273" t="s">
        <v>248</v>
      </c>
      <c r="K7273" t="s">
        <v>249</v>
      </c>
      <c r="L7273">
        <v>7</v>
      </c>
      <c r="M7273" t="s">
        <v>24751</v>
      </c>
      <c r="N7273" t="s">
        <v>310</v>
      </c>
      <c r="O7273" t="s">
        <v>46</v>
      </c>
      <c r="P7273" t="s">
        <v>46</v>
      </c>
      <c r="Y7273" t="s">
        <v>24752</v>
      </c>
    </row>
    <row r="7274" spans="1:25">
      <c r="A7274" t="s">
        <v>24753</v>
      </c>
      <c r="B7274" t="s">
        <v>24754</v>
      </c>
      <c r="D7274" t="s">
        <v>40</v>
      </c>
      <c r="E7274" t="s">
        <v>41</v>
      </c>
      <c r="J7274" t="s">
        <v>248</v>
      </c>
      <c r="K7274" t="s">
        <v>249</v>
      </c>
      <c r="L7274">
        <v>7</v>
      </c>
      <c r="M7274" t="s">
        <v>24755</v>
      </c>
      <c r="N7274" t="s">
        <v>350</v>
      </c>
      <c r="O7274" t="s">
        <v>46</v>
      </c>
      <c r="P7274" t="s">
        <v>46</v>
      </c>
      <c r="Y7274" t="s">
        <v>24756</v>
      </c>
    </row>
    <row r="7275" spans="1:25">
      <c r="A7275" t="s">
        <v>24757</v>
      </c>
      <c r="B7275" t="s">
        <v>24758</v>
      </c>
      <c r="D7275" t="s">
        <v>40</v>
      </c>
      <c r="E7275" t="s">
        <v>41</v>
      </c>
      <c r="J7275" t="s">
        <v>139</v>
      </c>
      <c r="K7275" t="s">
        <v>140</v>
      </c>
      <c r="L7275">
        <v>7</v>
      </c>
      <c r="M7275" t="s">
        <v>24759</v>
      </c>
      <c r="N7275" t="s">
        <v>305</v>
      </c>
      <c r="O7275" t="s">
        <v>46</v>
      </c>
      <c r="P7275" t="s">
        <v>46</v>
      </c>
      <c r="Y7275" t="s">
        <v>24760</v>
      </c>
    </row>
    <row r="7276" spans="1:25">
      <c r="A7276" t="s">
        <v>24761</v>
      </c>
      <c r="B7276" t="s">
        <v>24762</v>
      </c>
      <c r="D7276" t="s">
        <v>40</v>
      </c>
      <c r="E7276" t="s">
        <v>41</v>
      </c>
      <c r="J7276" t="s">
        <v>139</v>
      </c>
      <c r="K7276" t="s">
        <v>140</v>
      </c>
      <c r="L7276">
        <v>7</v>
      </c>
      <c r="M7276" t="s">
        <v>24763</v>
      </c>
      <c r="N7276" t="s">
        <v>924</v>
      </c>
      <c r="O7276" t="s">
        <v>46</v>
      </c>
      <c r="P7276" t="s">
        <v>46</v>
      </c>
      <c r="Y7276" t="s">
        <v>24764</v>
      </c>
    </row>
    <row r="7277" spans="1:25">
      <c r="A7277" t="s">
        <v>24765</v>
      </c>
      <c r="B7277" t="s">
        <v>24766</v>
      </c>
      <c r="D7277" t="s">
        <v>40</v>
      </c>
      <c r="E7277" t="s">
        <v>41</v>
      </c>
      <c r="J7277" t="s">
        <v>6255</v>
      </c>
      <c r="K7277" t="s">
        <v>6256</v>
      </c>
      <c r="L7277">
        <v>7</v>
      </c>
      <c r="M7277" t="s">
        <v>24767</v>
      </c>
      <c r="N7277" t="s">
        <v>24245</v>
      </c>
      <c r="O7277" t="s">
        <v>46</v>
      </c>
      <c r="P7277" t="s">
        <v>46</v>
      </c>
      <c r="Y7277" t="s">
        <v>24768</v>
      </c>
    </row>
    <row r="7278" spans="1:25">
      <c r="A7278" t="s">
        <v>24769</v>
      </c>
      <c r="B7278" t="s">
        <v>24770</v>
      </c>
      <c r="D7278" t="s">
        <v>40</v>
      </c>
      <c r="E7278" t="s">
        <v>41</v>
      </c>
      <c r="J7278" t="s">
        <v>1142</v>
      </c>
      <c r="K7278" t="s">
        <v>1143</v>
      </c>
      <c r="L7278">
        <v>7</v>
      </c>
      <c r="M7278" t="s">
        <v>24771</v>
      </c>
      <c r="N7278" t="s">
        <v>142</v>
      </c>
      <c r="O7278" t="s">
        <v>46</v>
      </c>
      <c r="P7278" t="s">
        <v>46</v>
      </c>
      <c r="Y7278" t="s">
        <v>24772</v>
      </c>
    </row>
    <row r="7279" spans="1:25">
      <c r="A7279" t="s">
        <v>24773</v>
      </c>
      <c r="B7279" t="s">
        <v>24774</v>
      </c>
      <c r="D7279" t="s">
        <v>40</v>
      </c>
      <c r="E7279" t="s">
        <v>41</v>
      </c>
      <c r="J7279" t="s">
        <v>6255</v>
      </c>
      <c r="K7279" t="s">
        <v>6256</v>
      </c>
      <c r="L7279">
        <v>7</v>
      </c>
      <c r="M7279" t="s">
        <v>24775</v>
      </c>
      <c r="N7279" t="s">
        <v>291</v>
      </c>
      <c r="O7279" t="s">
        <v>46</v>
      </c>
      <c r="P7279" t="s">
        <v>46</v>
      </c>
      <c r="Y7279" t="s">
        <v>24776</v>
      </c>
    </row>
    <row r="7280" spans="1:25">
      <c r="A7280" t="s">
        <v>24777</v>
      </c>
      <c r="B7280" t="s">
        <v>24778</v>
      </c>
      <c r="D7280" t="s">
        <v>40</v>
      </c>
      <c r="E7280" t="s">
        <v>41</v>
      </c>
      <c r="J7280" t="s">
        <v>139</v>
      </c>
      <c r="K7280" t="s">
        <v>140</v>
      </c>
      <c r="L7280">
        <v>7</v>
      </c>
      <c r="M7280" t="s">
        <v>24779</v>
      </c>
      <c r="N7280" t="s">
        <v>24245</v>
      </c>
      <c r="O7280" t="s">
        <v>46</v>
      </c>
      <c r="P7280" t="s">
        <v>46</v>
      </c>
      <c r="Y7280" t="s">
        <v>24780</v>
      </c>
    </row>
    <row r="7281" spans="1:25">
      <c r="A7281" t="s">
        <v>24781</v>
      </c>
      <c r="B7281" t="s">
        <v>24782</v>
      </c>
      <c r="D7281" t="s">
        <v>40</v>
      </c>
      <c r="E7281" t="s">
        <v>41</v>
      </c>
      <c r="J7281" t="s">
        <v>248</v>
      </c>
      <c r="K7281" t="s">
        <v>249</v>
      </c>
      <c r="L7281">
        <v>7</v>
      </c>
      <c r="M7281" t="s">
        <v>24783</v>
      </c>
      <c r="N7281" t="s">
        <v>142</v>
      </c>
      <c r="O7281" t="s">
        <v>46</v>
      </c>
      <c r="P7281" t="s">
        <v>46</v>
      </c>
      <c r="Y7281" t="s">
        <v>24784</v>
      </c>
    </row>
    <row r="7282" spans="1:25">
      <c r="A7282" t="s">
        <v>24785</v>
      </c>
      <c r="B7282" t="s">
        <v>24786</v>
      </c>
      <c r="D7282" t="s">
        <v>40</v>
      </c>
      <c r="E7282" t="s">
        <v>41</v>
      </c>
      <c r="J7282" t="s">
        <v>139</v>
      </c>
      <c r="K7282" t="s">
        <v>140</v>
      </c>
      <c r="L7282">
        <v>7</v>
      </c>
      <c r="M7282" t="s">
        <v>24787</v>
      </c>
      <c r="N7282" t="s">
        <v>305</v>
      </c>
      <c r="O7282" t="s">
        <v>46</v>
      </c>
      <c r="P7282" t="s">
        <v>46</v>
      </c>
      <c r="Y7282" t="s">
        <v>24788</v>
      </c>
    </row>
    <row r="7283" spans="1:25">
      <c r="A7283" t="s">
        <v>24789</v>
      </c>
      <c r="B7283" t="s">
        <v>24790</v>
      </c>
      <c r="D7283" t="s">
        <v>40</v>
      </c>
      <c r="E7283" t="s">
        <v>41</v>
      </c>
      <c r="J7283" t="s">
        <v>248</v>
      </c>
      <c r="K7283" t="s">
        <v>249</v>
      </c>
      <c r="L7283">
        <v>7</v>
      </c>
      <c r="M7283" t="s">
        <v>24791</v>
      </c>
      <c r="N7283" t="s">
        <v>1550</v>
      </c>
      <c r="O7283" t="s">
        <v>46</v>
      </c>
      <c r="P7283" t="s">
        <v>46</v>
      </c>
      <c r="Y7283" t="s">
        <v>24792</v>
      </c>
    </row>
    <row r="7284" spans="1:25">
      <c r="A7284" t="s">
        <v>24793</v>
      </c>
      <c r="B7284" t="s">
        <v>24794</v>
      </c>
      <c r="D7284" t="s">
        <v>40</v>
      </c>
      <c r="E7284" t="s">
        <v>41</v>
      </c>
      <c r="J7284" t="s">
        <v>1554</v>
      </c>
      <c r="K7284" t="s">
        <v>1555</v>
      </c>
      <c r="L7284">
        <v>7</v>
      </c>
      <c r="M7284" t="s">
        <v>24795</v>
      </c>
      <c r="N7284" t="s">
        <v>1138</v>
      </c>
      <c r="O7284" t="s">
        <v>46</v>
      </c>
      <c r="P7284" t="s">
        <v>46</v>
      </c>
      <c r="Y7284" t="s">
        <v>24796</v>
      </c>
    </row>
    <row r="7285" spans="1:25">
      <c r="A7285" t="s">
        <v>24797</v>
      </c>
      <c r="B7285" t="s">
        <v>24798</v>
      </c>
      <c r="D7285" t="s">
        <v>40</v>
      </c>
      <c r="E7285" t="s">
        <v>41</v>
      </c>
      <c r="J7285" t="s">
        <v>248</v>
      </c>
      <c r="K7285" t="s">
        <v>249</v>
      </c>
      <c r="L7285">
        <v>7</v>
      </c>
      <c r="M7285" t="s">
        <v>24799</v>
      </c>
      <c r="N7285" t="s">
        <v>24245</v>
      </c>
      <c r="O7285" t="s">
        <v>46</v>
      </c>
      <c r="P7285" t="s">
        <v>46</v>
      </c>
      <c r="Y7285" t="s">
        <v>24800</v>
      </c>
    </row>
    <row r="7286" spans="1:25">
      <c r="A7286" t="s">
        <v>24801</v>
      </c>
      <c r="B7286" t="s">
        <v>24802</v>
      </c>
      <c r="D7286" t="s">
        <v>40</v>
      </c>
      <c r="E7286" t="s">
        <v>41</v>
      </c>
      <c r="J7286" t="s">
        <v>248</v>
      </c>
      <c r="K7286" t="s">
        <v>249</v>
      </c>
      <c r="L7286">
        <v>7</v>
      </c>
      <c r="M7286" t="s">
        <v>24803</v>
      </c>
      <c r="N7286" t="s">
        <v>305</v>
      </c>
      <c r="O7286" t="s">
        <v>46</v>
      </c>
      <c r="P7286" t="s">
        <v>46</v>
      </c>
      <c r="Y7286" t="s">
        <v>24804</v>
      </c>
    </row>
    <row r="7287" spans="1:25">
      <c r="A7287" t="s">
        <v>24805</v>
      </c>
      <c r="B7287" t="s">
        <v>24806</v>
      </c>
      <c r="D7287" t="s">
        <v>40</v>
      </c>
      <c r="E7287" t="s">
        <v>41</v>
      </c>
      <c r="J7287" t="s">
        <v>12440</v>
      </c>
      <c r="K7287" t="s">
        <v>12441</v>
      </c>
      <c r="L7287">
        <v>8</v>
      </c>
      <c r="M7287" t="s">
        <v>24807</v>
      </c>
      <c r="N7287" t="s">
        <v>64</v>
      </c>
      <c r="O7287" t="s">
        <v>46</v>
      </c>
      <c r="P7287" t="s">
        <v>46</v>
      </c>
      <c r="Y7287" t="s">
        <v>24808</v>
      </c>
    </row>
    <row r="7288" spans="1:25">
      <c r="A7288" t="s">
        <v>24809</v>
      </c>
      <c r="B7288" t="s">
        <v>24810</v>
      </c>
      <c r="D7288" t="s">
        <v>40</v>
      </c>
      <c r="E7288" t="s">
        <v>41</v>
      </c>
      <c r="J7288" t="s">
        <v>139</v>
      </c>
      <c r="K7288" t="s">
        <v>140</v>
      </c>
      <c r="L7288">
        <v>7</v>
      </c>
      <c r="M7288" t="s">
        <v>24811</v>
      </c>
      <c r="N7288" t="s">
        <v>310</v>
      </c>
      <c r="O7288" t="s">
        <v>46</v>
      </c>
      <c r="P7288" t="s">
        <v>46</v>
      </c>
      <c r="Y7288" t="s">
        <v>24812</v>
      </c>
    </row>
    <row r="7289" spans="1:25">
      <c r="A7289" t="s">
        <v>24813</v>
      </c>
      <c r="B7289" t="s">
        <v>24814</v>
      </c>
      <c r="D7289" t="s">
        <v>40</v>
      </c>
      <c r="E7289" t="s">
        <v>41</v>
      </c>
      <c r="J7289" t="s">
        <v>248</v>
      </c>
      <c r="K7289" t="s">
        <v>249</v>
      </c>
      <c r="L7289">
        <v>8</v>
      </c>
      <c r="M7289" t="s">
        <v>24815</v>
      </c>
      <c r="N7289" t="s">
        <v>291</v>
      </c>
      <c r="O7289" t="s">
        <v>46</v>
      </c>
      <c r="P7289" t="s">
        <v>46</v>
      </c>
      <c r="Y7289" t="s">
        <v>24816</v>
      </c>
    </row>
    <row r="7290" spans="1:25">
      <c r="A7290" t="s">
        <v>24817</v>
      </c>
      <c r="B7290" t="s">
        <v>24818</v>
      </c>
      <c r="D7290" t="s">
        <v>40</v>
      </c>
      <c r="E7290" t="s">
        <v>41</v>
      </c>
      <c r="J7290" t="s">
        <v>921</v>
      </c>
      <c r="K7290" t="s">
        <v>922</v>
      </c>
      <c r="L7290">
        <v>8</v>
      </c>
      <c r="M7290" t="s">
        <v>24819</v>
      </c>
      <c r="N7290" t="s">
        <v>178</v>
      </c>
      <c r="O7290" t="s">
        <v>46</v>
      </c>
      <c r="P7290" t="s">
        <v>46</v>
      </c>
      <c r="Y7290" t="s">
        <v>24820</v>
      </c>
    </row>
    <row r="7291" spans="1:25">
      <c r="A7291" t="s">
        <v>24821</v>
      </c>
      <c r="B7291" t="s">
        <v>24822</v>
      </c>
      <c r="D7291" t="s">
        <v>40</v>
      </c>
      <c r="E7291" t="s">
        <v>41</v>
      </c>
      <c r="J7291" t="s">
        <v>139</v>
      </c>
      <c r="K7291" t="s">
        <v>140</v>
      </c>
      <c r="L7291">
        <v>7</v>
      </c>
      <c r="M7291" t="s">
        <v>24823</v>
      </c>
      <c r="N7291" t="s">
        <v>1369</v>
      </c>
      <c r="O7291" t="s">
        <v>46</v>
      </c>
      <c r="P7291" t="s">
        <v>46</v>
      </c>
      <c r="Y7291" t="s">
        <v>24824</v>
      </c>
    </row>
    <row r="7292" spans="1:25">
      <c r="A7292" t="s">
        <v>24825</v>
      </c>
      <c r="B7292" t="s">
        <v>24826</v>
      </c>
      <c r="D7292" t="s">
        <v>40</v>
      </c>
      <c r="E7292" t="s">
        <v>41</v>
      </c>
      <c r="J7292" t="s">
        <v>1554</v>
      </c>
      <c r="K7292" t="s">
        <v>1555</v>
      </c>
      <c r="L7292">
        <v>7</v>
      </c>
      <c r="M7292" t="s">
        <v>24827</v>
      </c>
      <c r="N7292" t="s">
        <v>296</v>
      </c>
      <c r="O7292" t="s">
        <v>46</v>
      </c>
      <c r="P7292" t="s">
        <v>46</v>
      </c>
      <c r="Y7292" t="s">
        <v>24828</v>
      </c>
    </row>
    <row r="7293" spans="1:25">
      <c r="A7293" t="s">
        <v>24829</v>
      </c>
      <c r="B7293" t="s">
        <v>24830</v>
      </c>
      <c r="D7293" t="s">
        <v>40</v>
      </c>
      <c r="E7293" t="s">
        <v>41</v>
      </c>
      <c r="J7293" t="s">
        <v>1554</v>
      </c>
      <c r="K7293" t="s">
        <v>1555</v>
      </c>
      <c r="L7293">
        <v>5</v>
      </c>
      <c r="M7293" t="s">
        <v>24831</v>
      </c>
      <c r="N7293" t="s">
        <v>296</v>
      </c>
      <c r="O7293" t="s">
        <v>46</v>
      </c>
      <c r="P7293" t="s">
        <v>46</v>
      </c>
      <c r="Y7293" t="s">
        <v>24832</v>
      </c>
    </row>
    <row r="7294" spans="1:25">
      <c r="A7294" t="s">
        <v>24833</v>
      </c>
      <c r="B7294" t="s">
        <v>24834</v>
      </c>
      <c r="D7294" t="s">
        <v>40</v>
      </c>
      <c r="E7294" t="s">
        <v>41</v>
      </c>
      <c r="J7294" t="s">
        <v>12440</v>
      </c>
      <c r="K7294" t="s">
        <v>12441</v>
      </c>
      <c r="L7294">
        <v>8</v>
      </c>
      <c r="M7294" t="s">
        <v>24835</v>
      </c>
      <c r="N7294" t="s">
        <v>64</v>
      </c>
      <c r="O7294" t="s">
        <v>46</v>
      </c>
      <c r="P7294" t="s">
        <v>46</v>
      </c>
      <c r="Y7294" t="s">
        <v>24836</v>
      </c>
    </row>
    <row r="7295" spans="1:25">
      <c r="A7295" t="s">
        <v>24837</v>
      </c>
      <c r="B7295" t="s">
        <v>24838</v>
      </c>
      <c r="D7295" t="s">
        <v>40</v>
      </c>
      <c r="E7295" t="s">
        <v>41</v>
      </c>
      <c r="J7295" t="s">
        <v>248</v>
      </c>
      <c r="K7295" t="s">
        <v>249</v>
      </c>
      <c r="L7295">
        <v>7</v>
      </c>
      <c r="M7295" t="s">
        <v>24839</v>
      </c>
      <c r="N7295" t="s">
        <v>1369</v>
      </c>
      <c r="O7295" t="s">
        <v>46</v>
      </c>
      <c r="P7295" t="s">
        <v>46</v>
      </c>
      <c r="Y7295" t="s">
        <v>24840</v>
      </c>
    </row>
    <row r="7296" spans="1:25">
      <c r="A7296" t="s">
        <v>24841</v>
      </c>
      <c r="B7296" t="s">
        <v>24842</v>
      </c>
      <c r="D7296" t="s">
        <v>40</v>
      </c>
      <c r="E7296" t="s">
        <v>41</v>
      </c>
      <c r="J7296" t="s">
        <v>12440</v>
      </c>
      <c r="K7296" t="s">
        <v>12441</v>
      </c>
      <c r="L7296">
        <v>8</v>
      </c>
      <c r="M7296" t="s">
        <v>24843</v>
      </c>
      <c r="N7296" t="s">
        <v>64</v>
      </c>
      <c r="O7296" t="s">
        <v>46</v>
      </c>
      <c r="P7296" t="s">
        <v>46</v>
      </c>
      <c r="Y7296" t="s">
        <v>24844</v>
      </c>
    </row>
    <row r="7297" spans="1:25">
      <c r="A7297" t="s">
        <v>24845</v>
      </c>
      <c r="B7297" t="s">
        <v>24846</v>
      </c>
      <c r="D7297" t="s">
        <v>40</v>
      </c>
      <c r="E7297" t="s">
        <v>41</v>
      </c>
      <c r="J7297" t="s">
        <v>248</v>
      </c>
      <c r="K7297" t="s">
        <v>249</v>
      </c>
      <c r="L7297">
        <v>7</v>
      </c>
      <c r="M7297" t="s">
        <v>24847</v>
      </c>
      <c r="N7297" t="s">
        <v>1369</v>
      </c>
      <c r="O7297" t="s">
        <v>46</v>
      </c>
      <c r="P7297" t="s">
        <v>46</v>
      </c>
      <c r="Y7297" t="s">
        <v>24848</v>
      </c>
    </row>
    <row r="7298" spans="1:25">
      <c r="A7298" t="s">
        <v>24849</v>
      </c>
      <c r="B7298" t="s">
        <v>24850</v>
      </c>
      <c r="D7298" t="s">
        <v>40</v>
      </c>
      <c r="E7298" t="s">
        <v>41</v>
      </c>
      <c r="J7298" t="s">
        <v>9159</v>
      </c>
      <c r="K7298" t="s">
        <v>9160</v>
      </c>
      <c r="L7298">
        <v>6</v>
      </c>
      <c r="M7298" t="s">
        <v>24851</v>
      </c>
      <c r="N7298" t="s">
        <v>1369</v>
      </c>
      <c r="O7298" t="s">
        <v>46</v>
      </c>
      <c r="P7298" t="s">
        <v>46</v>
      </c>
      <c r="Y7298" t="s">
        <v>24852</v>
      </c>
    </row>
    <row r="7299" spans="1:25">
      <c r="A7299" t="s">
        <v>24853</v>
      </c>
      <c r="B7299" t="s">
        <v>24854</v>
      </c>
      <c r="D7299" t="s">
        <v>40</v>
      </c>
      <c r="E7299" t="s">
        <v>41</v>
      </c>
      <c r="J7299" t="s">
        <v>139</v>
      </c>
      <c r="K7299" t="s">
        <v>140</v>
      </c>
      <c r="L7299">
        <v>7</v>
      </c>
      <c r="M7299" t="s">
        <v>24855</v>
      </c>
      <c r="N7299" t="s">
        <v>1380</v>
      </c>
      <c r="O7299" t="s">
        <v>46</v>
      </c>
      <c r="P7299" t="s">
        <v>46</v>
      </c>
      <c r="Y7299" t="s">
        <v>24856</v>
      </c>
    </row>
    <row r="7300" spans="1:25">
      <c r="A7300" t="s">
        <v>24857</v>
      </c>
      <c r="B7300" t="s">
        <v>24858</v>
      </c>
      <c r="D7300" t="s">
        <v>40</v>
      </c>
      <c r="E7300" t="s">
        <v>41</v>
      </c>
      <c r="J7300" t="s">
        <v>248</v>
      </c>
      <c r="K7300" t="s">
        <v>249</v>
      </c>
      <c r="L7300">
        <v>7</v>
      </c>
      <c r="M7300" t="s">
        <v>24859</v>
      </c>
      <c r="N7300" t="s">
        <v>1369</v>
      </c>
      <c r="O7300" t="s">
        <v>46</v>
      </c>
      <c r="P7300" t="s">
        <v>46</v>
      </c>
      <c r="Y7300" t="s">
        <v>24860</v>
      </c>
    </row>
    <row r="7301" spans="1:25">
      <c r="A7301" t="s">
        <v>24861</v>
      </c>
      <c r="B7301" t="s">
        <v>24862</v>
      </c>
      <c r="D7301" t="s">
        <v>40</v>
      </c>
      <c r="E7301" t="s">
        <v>41</v>
      </c>
      <c r="J7301" t="s">
        <v>248</v>
      </c>
      <c r="K7301" t="s">
        <v>249</v>
      </c>
      <c r="L7301">
        <v>6</v>
      </c>
      <c r="M7301" t="s">
        <v>24863</v>
      </c>
      <c r="N7301" t="s">
        <v>2154</v>
      </c>
      <c r="O7301" t="s">
        <v>46</v>
      </c>
      <c r="P7301" t="s">
        <v>46</v>
      </c>
      <c r="Y7301" t="s">
        <v>24864</v>
      </c>
    </row>
    <row r="7302" spans="1:25">
      <c r="A7302" t="s">
        <v>24865</v>
      </c>
      <c r="B7302" t="s">
        <v>24866</v>
      </c>
      <c r="D7302" t="s">
        <v>40</v>
      </c>
      <c r="E7302" t="s">
        <v>41</v>
      </c>
      <c r="J7302" t="s">
        <v>599</v>
      </c>
      <c r="K7302" t="s">
        <v>600</v>
      </c>
      <c r="L7302">
        <v>7</v>
      </c>
      <c r="M7302" t="s">
        <v>24867</v>
      </c>
      <c r="N7302" t="s">
        <v>218</v>
      </c>
      <c r="O7302" t="s">
        <v>46</v>
      </c>
      <c r="P7302" t="s">
        <v>46</v>
      </c>
      <c r="Y7302" t="s">
        <v>24868</v>
      </c>
    </row>
    <row r="7303" spans="1:25">
      <c r="A7303" t="s">
        <v>24869</v>
      </c>
      <c r="B7303" t="s">
        <v>24870</v>
      </c>
      <c r="D7303" t="s">
        <v>40</v>
      </c>
      <c r="E7303" t="s">
        <v>41</v>
      </c>
      <c r="J7303" t="s">
        <v>248</v>
      </c>
      <c r="K7303" t="s">
        <v>249</v>
      </c>
      <c r="L7303">
        <v>7</v>
      </c>
      <c r="M7303" t="s">
        <v>24871</v>
      </c>
      <c r="N7303" t="s">
        <v>1369</v>
      </c>
      <c r="O7303" t="s">
        <v>46</v>
      </c>
      <c r="P7303" t="s">
        <v>46</v>
      </c>
      <c r="Y7303" t="s">
        <v>24872</v>
      </c>
    </row>
    <row r="7304" spans="1:25">
      <c r="A7304" t="s">
        <v>24873</v>
      </c>
      <c r="B7304" t="s">
        <v>24874</v>
      </c>
      <c r="D7304" t="s">
        <v>40</v>
      </c>
      <c r="E7304" t="s">
        <v>41</v>
      </c>
      <c r="J7304" t="s">
        <v>248</v>
      </c>
      <c r="K7304" t="s">
        <v>249</v>
      </c>
      <c r="L7304">
        <v>6</v>
      </c>
      <c r="M7304" t="s">
        <v>24875</v>
      </c>
      <c r="N7304" t="s">
        <v>5995</v>
      </c>
      <c r="O7304" t="s">
        <v>46</v>
      </c>
      <c r="P7304" t="s">
        <v>46</v>
      </c>
      <c r="Y7304" t="s">
        <v>24876</v>
      </c>
    </row>
    <row r="7305" spans="1:25">
      <c r="A7305" t="s">
        <v>24877</v>
      </c>
      <c r="B7305" t="s">
        <v>24878</v>
      </c>
      <c r="D7305" t="s">
        <v>40</v>
      </c>
      <c r="E7305" t="s">
        <v>41</v>
      </c>
      <c r="J7305" t="s">
        <v>248</v>
      </c>
      <c r="K7305" t="s">
        <v>249</v>
      </c>
      <c r="L7305">
        <v>6</v>
      </c>
      <c r="M7305" t="s">
        <v>24879</v>
      </c>
      <c r="N7305" t="s">
        <v>1024</v>
      </c>
      <c r="O7305" t="s">
        <v>46</v>
      </c>
      <c r="P7305" t="s">
        <v>46</v>
      </c>
      <c r="Y7305" t="s">
        <v>24880</v>
      </c>
    </row>
    <row r="7306" spans="1:25">
      <c r="A7306" t="s">
        <v>24881</v>
      </c>
      <c r="B7306" t="s">
        <v>24882</v>
      </c>
      <c r="D7306" t="s">
        <v>40</v>
      </c>
      <c r="E7306" t="s">
        <v>41</v>
      </c>
      <c r="J7306" t="s">
        <v>6255</v>
      </c>
      <c r="K7306" t="s">
        <v>6256</v>
      </c>
      <c r="L7306">
        <v>6</v>
      </c>
      <c r="M7306" t="s">
        <v>24883</v>
      </c>
      <c r="N7306" t="s">
        <v>1189</v>
      </c>
      <c r="O7306" t="s">
        <v>46</v>
      </c>
      <c r="P7306" t="s">
        <v>46</v>
      </c>
      <c r="Y7306" t="s">
        <v>24884</v>
      </c>
    </row>
    <row r="7307" spans="1:25">
      <c r="A7307" t="s">
        <v>24885</v>
      </c>
      <c r="B7307" t="s">
        <v>24886</v>
      </c>
      <c r="D7307" t="s">
        <v>40</v>
      </c>
      <c r="E7307" t="s">
        <v>41</v>
      </c>
      <c r="J7307" t="s">
        <v>139</v>
      </c>
      <c r="K7307" t="s">
        <v>140</v>
      </c>
      <c r="L7307">
        <v>6</v>
      </c>
      <c r="M7307" t="s">
        <v>24887</v>
      </c>
      <c r="N7307" t="s">
        <v>310</v>
      </c>
      <c r="O7307" t="s">
        <v>46</v>
      </c>
      <c r="P7307" t="s">
        <v>46</v>
      </c>
      <c r="Y7307" t="s">
        <v>24888</v>
      </c>
    </row>
    <row r="7308" spans="1:25">
      <c r="A7308" t="s">
        <v>24889</v>
      </c>
      <c r="B7308" t="s">
        <v>24890</v>
      </c>
      <c r="D7308" t="s">
        <v>40</v>
      </c>
      <c r="E7308" t="s">
        <v>41</v>
      </c>
      <c r="J7308" t="s">
        <v>1142</v>
      </c>
      <c r="K7308" t="s">
        <v>1143</v>
      </c>
      <c r="L7308">
        <v>6</v>
      </c>
      <c r="M7308" t="s">
        <v>24891</v>
      </c>
      <c r="N7308" t="s">
        <v>1550</v>
      </c>
      <c r="O7308" t="s">
        <v>46</v>
      </c>
      <c r="P7308" t="s">
        <v>46</v>
      </c>
      <c r="Y7308" t="s">
        <v>24892</v>
      </c>
    </row>
    <row r="7309" spans="1:25">
      <c r="A7309" t="s">
        <v>24893</v>
      </c>
      <c r="B7309" t="s">
        <v>24894</v>
      </c>
      <c r="D7309" t="s">
        <v>40</v>
      </c>
      <c r="E7309" t="s">
        <v>41</v>
      </c>
      <c r="J7309" t="s">
        <v>248</v>
      </c>
      <c r="K7309" t="s">
        <v>249</v>
      </c>
      <c r="L7309">
        <v>6</v>
      </c>
      <c r="M7309" t="s">
        <v>24895</v>
      </c>
      <c r="N7309" t="s">
        <v>1369</v>
      </c>
      <c r="O7309" t="s">
        <v>46</v>
      </c>
      <c r="P7309" t="s">
        <v>46</v>
      </c>
      <c r="Y7309" t="s">
        <v>24896</v>
      </c>
    </row>
    <row r="7310" spans="1:25">
      <c r="A7310" t="s">
        <v>24897</v>
      </c>
      <c r="B7310" t="s">
        <v>24898</v>
      </c>
      <c r="D7310" t="s">
        <v>40</v>
      </c>
      <c r="E7310" t="s">
        <v>41</v>
      </c>
      <c r="J7310" t="s">
        <v>139</v>
      </c>
      <c r="K7310" t="s">
        <v>140</v>
      </c>
      <c r="L7310">
        <v>6</v>
      </c>
      <c r="M7310" t="s">
        <v>24899</v>
      </c>
      <c r="N7310" t="s">
        <v>1276</v>
      </c>
      <c r="O7310" t="s">
        <v>46</v>
      </c>
      <c r="P7310" t="s">
        <v>46</v>
      </c>
      <c r="Y7310" t="s">
        <v>24900</v>
      </c>
    </row>
    <row r="7311" spans="1:25">
      <c r="A7311" t="s">
        <v>24901</v>
      </c>
      <c r="B7311" t="s">
        <v>24902</v>
      </c>
      <c r="D7311" t="s">
        <v>40</v>
      </c>
      <c r="E7311" t="s">
        <v>41</v>
      </c>
      <c r="J7311" t="s">
        <v>139</v>
      </c>
      <c r="K7311" t="s">
        <v>140</v>
      </c>
      <c r="L7311">
        <v>6</v>
      </c>
      <c r="M7311" t="s">
        <v>24899</v>
      </c>
      <c r="N7311" t="s">
        <v>142</v>
      </c>
      <c r="O7311" t="s">
        <v>46</v>
      </c>
      <c r="P7311" t="s">
        <v>46</v>
      </c>
      <c r="Y7311" t="s">
        <v>24903</v>
      </c>
    </row>
    <row r="7312" spans="1:25">
      <c r="A7312" t="s">
        <v>24904</v>
      </c>
      <c r="B7312" t="s">
        <v>24905</v>
      </c>
      <c r="D7312" t="s">
        <v>40</v>
      </c>
      <c r="E7312" t="s">
        <v>41</v>
      </c>
      <c r="J7312" t="s">
        <v>139</v>
      </c>
      <c r="K7312" t="s">
        <v>140</v>
      </c>
      <c r="L7312">
        <v>6</v>
      </c>
      <c r="M7312" t="s">
        <v>24906</v>
      </c>
      <c r="N7312" t="s">
        <v>305</v>
      </c>
      <c r="O7312" t="s">
        <v>46</v>
      </c>
      <c r="P7312" t="s">
        <v>46</v>
      </c>
      <c r="Y7312" t="s">
        <v>24907</v>
      </c>
    </row>
    <row r="7313" spans="1:25">
      <c r="A7313" t="s">
        <v>24908</v>
      </c>
      <c r="B7313" t="s">
        <v>24909</v>
      </c>
      <c r="D7313" t="s">
        <v>40</v>
      </c>
      <c r="E7313" t="s">
        <v>41</v>
      </c>
      <c r="J7313" t="s">
        <v>248</v>
      </c>
      <c r="K7313" t="s">
        <v>249</v>
      </c>
      <c r="L7313">
        <v>6</v>
      </c>
      <c r="M7313" t="s">
        <v>24910</v>
      </c>
      <c r="N7313" t="s">
        <v>1258</v>
      </c>
      <c r="O7313" t="s">
        <v>46</v>
      </c>
      <c r="P7313" t="s">
        <v>46</v>
      </c>
      <c r="Y7313" t="s">
        <v>24911</v>
      </c>
    </row>
    <row r="7314" spans="1:25">
      <c r="A7314" t="s">
        <v>24912</v>
      </c>
      <c r="B7314" t="s">
        <v>24913</v>
      </c>
      <c r="D7314" t="s">
        <v>40</v>
      </c>
      <c r="E7314" t="s">
        <v>41</v>
      </c>
      <c r="J7314" t="s">
        <v>248</v>
      </c>
      <c r="K7314" t="s">
        <v>249</v>
      </c>
      <c r="L7314">
        <v>6</v>
      </c>
      <c r="M7314" t="s">
        <v>24914</v>
      </c>
      <c r="N7314" t="s">
        <v>1446</v>
      </c>
      <c r="O7314" t="s">
        <v>46</v>
      </c>
      <c r="P7314" t="s">
        <v>46</v>
      </c>
      <c r="Y7314" t="s">
        <v>24915</v>
      </c>
    </row>
    <row r="7315" spans="1:25">
      <c r="A7315" t="s">
        <v>24916</v>
      </c>
      <c r="B7315" t="s">
        <v>24917</v>
      </c>
      <c r="D7315" t="s">
        <v>40</v>
      </c>
      <c r="E7315" t="s">
        <v>41</v>
      </c>
      <c r="J7315" t="s">
        <v>248</v>
      </c>
      <c r="K7315" t="s">
        <v>249</v>
      </c>
      <c r="L7315">
        <v>6</v>
      </c>
      <c r="M7315" t="s">
        <v>24918</v>
      </c>
      <c r="N7315" t="s">
        <v>1024</v>
      </c>
      <c r="O7315" t="s">
        <v>46</v>
      </c>
      <c r="P7315" t="s">
        <v>46</v>
      </c>
      <c r="Y7315" t="s">
        <v>24919</v>
      </c>
    </row>
    <row r="7316" spans="1:25">
      <c r="A7316" t="s">
        <v>24920</v>
      </c>
      <c r="B7316" t="s">
        <v>24921</v>
      </c>
      <c r="D7316" t="s">
        <v>40</v>
      </c>
      <c r="E7316" t="s">
        <v>41</v>
      </c>
      <c r="J7316" t="s">
        <v>248</v>
      </c>
      <c r="K7316" t="s">
        <v>249</v>
      </c>
      <c r="L7316">
        <v>6</v>
      </c>
      <c r="M7316" t="s">
        <v>24922</v>
      </c>
      <c r="N7316" t="s">
        <v>310</v>
      </c>
      <c r="O7316" t="s">
        <v>46</v>
      </c>
      <c r="P7316" t="s">
        <v>46</v>
      </c>
      <c r="Y7316" t="s">
        <v>24923</v>
      </c>
    </row>
    <row r="7317" spans="1:25">
      <c r="A7317" t="s">
        <v>24924</v>
      </c>
      <c r="B7317" t="s">
        <v>24925</v>
      </c>
      <c r="D7317" t="s">
        <v>40</v>
      </c>
      <c r="E7317" t="s">
        <v>41</v>
      </c>
      <c r="J7317" t="s">
        <v>139</v>
      </c>
      <c r="K7317" t="s">
        <v>140</v>
      </c>
      <c r="L7317">
        <v>6</v>
      </c>
      <c r="M7317" t="s">
        <v>24926</v>
      </c>
      <c r="N7317" t="s">
        <v>305</v>
      </c>
      <c r="O7317" t="s">
        <v>46</v>
      </c>
      <c r="P7317" t="s">
        <v>46</v>
      </c>
      <c r="Y7317" t="s">
        <v>24927</v>
      </c>
    </row>
    <row r="7318" spans="1:25">
      <c r="A7318" t="s">
        <v>24928</v>
      </c>
      <c r="B7318" t="s">
        <v>24929</v>
      </c>
      <c r="D7318" t="s">
        <v>40</v>
      </c>
      <c r="E7318" t="s">
        <v>41</v>
      </c>
      <c r="J7318" t="s">
        <v>139</v>
      </c>
      <c r="K7318" t="s">
        <v>140</v>
      </c>
      <c r="L7318">
        <v>6</v>
      </c>
      <c r="M7318" t="s">
        <v>24930</v>
      </c>
      <c r="N7318" t="s">
        <v>1550</v>
      </c>
      <c r="O7318" t="s">
        <v>46</v>
      </c>
      <c r="P7318" t="s">
        <v>46</v>
      </c>
      <c r="Y7318" t="s">
        <v>24931</v>
      </c>
    </row>
    <row r="7319" spans="1:25">
      <c r="A7319" t="s">
        <v>24932</v>
      </c>
      <c r="B7319" t="s">
        <v>24933</v>
      </c>
      <c r="D7319" t="s">
        <v>40</v>
      </c>
      <c r="E7319" t="s">
        <v>41</v>
      </c>
      <c r="J7319" t="s">
        <v>139</v>
      </c>
      <c r="K7319" t="s">
        <v>140</v>
      </c>
      <c r="L7319">
        <v>6</v>
      </c>
      <c r="M7319" t="s">
        <v>24934</v>
      </c>
      <c r="N7319" t="s">
        <v>1047</v>
      </c>
      <c r="O7319" t="s">
        <v>46</v>
      </c>
      <c r="P7319" t="s">
        <v>46</v>
      </c>
      <c r="Y7319" t="s">
        <v>24935</v>
      </c>
    </row>
    <row r="7320" spans="1:25">
      <c r="A7320" t="s">
        <v>24936</v>
      </c>
      <c r="B7320" t="s">
        <v>24937</v>
      </c>
      <c r="D7320" t="s">
        <v>40</v>
      </c>
      <c r="E7320" t="s">
        <v>41</v>
      </c>
      <c r="J7320" t="s">
        <v>12440</v>
      </c>
      <c r="K7320" t="s">
        <v>12441</v>
      </c>
      <c r="L7320">
        <v>7</v>
      </c>
      <c r="M7320" t="s">
        <v>24938</v>
      </c>
      <c r="N7320" t="s">
        <v>64</v>
      </c>
      <c r="O7320" t="s">
        <v>46</v>
      </c>
      <c r="P7320" t="s">
        <v>46</v>
      </c>
      <c r="Y7320" t="s">
        <v>24939</v>
      </c>
    </row>
    <row r="7321" spans="1:25">
      <c r="A7321" t="s">
        <v>24940</v>
      </c>
      <c r="B7321" t="s">
        <v>24941</v>
      </c>
      <c r="D7321" t="s">
        <v>40</v>
      </c>
      <c r="E7321" t="s">
        <v>41</v>
      </c>
      <c r="J7321" t="s">
        <v>12440</v>
      </c>
      <c r="K7321" t="s">
        <v>12441</v>
      </c>
      <c r="L7321">
        <v>7</v>
      </c>
      <c r="M7321" t="s">
        <v>24942</v>
      </c>
      <c r="N7321" t="s">
        <v>64</v>
      </c>
      <c r="O7321" t="s">
        <v>46</v>
      </c>
      <c r="P7321" t="s">
        <v>46</v>
      </c>
      <c r="Y7321" t="s">
        <v>24943</v>
      </c>
    </row>
    <row r="7322" spans="1:25">
      <c r="A7322" t="s">
        <v>24944</v>
      </c>
      <c r="B7322" t="s">
        <v>24945</v>
      </c>
      <c r="D7322" t="s">
        <v>40</v>
      </c>
      <c r="E7322" t="s">
        <v>41</v>
      </c>
      <c r="J7322" t="s">
        <v>1554</v>
      </c>
      <c r="K7322" t="s">
        <v>1555</v>
      </c>
      <c r="L7322">
        <v>6</v>
      </c>
      <c r="M7322" t="s">
        <v>24946</v>
      </c>
      <c r="N7322" t="s">
        <v>1138</v>
      </c>
      <c r="O7322" t="s">
        <v>46</v>
      </c>
      <c r="P7322" t="s">
        <v>46</v>
      </c>
      <c r="Y7322" t="s">
        <v>24947</v>
      </c>
    </row>
    <row r="7323" spans="1:25">
      <c r="A7323" t="s">
        <v>24948</v>
      </c>
      <c r="B7323" t="s">
        <v>24949</v>
      </c>
      <c r="D7323" t="s">
        <v>40</v>
      </c>
      <c r="E7323" t="s">
        <v>41</v>
      </c>
      <c r="J7323" t="s">
        <v>24950</v>
      </c>
      <c r="K7323" t="s">
        <v>24951</v>
      </c>
      <c r="L7323">
        <v>6</v>
      </c>
      <c r="M7323" t="s">
        <v>24952</v>
      </c>
      <c r="N7323" t="s">
        <v>305</v>
      </c>
      <c r="O7323" t="s">
        <v>46</v>
      </c>
      <c r="P7323" t="s">
        <v>46</v>
      </c>
      <c r="Y7323" t="s">
        <v>24953</v>
      </c>
    </row>
    <row r="7324" spans="1:25">
      <c r="A7324" t="s">
        <v>24954</v>
      </c>
      <c r="B7324" t="s">
        <v>24955</v>
      </c>
      <c r="D7324" t="s">
        <v>40</v>
      </c>
      <c r="E7324" t="s">
        <v>41</v>
      </c>
      <c r="J7324" t="s">
        <v>1142</v>
      </c>
      <c r="K7324" t="s">
        <v>1143</v>
      </c>
      <c r="L7324">
        <v>6</v>
      </c>
      <c r="M7324" t="s">
        <v>24956</v>
      </c>
      <c r="N7324" t="s">
        <v>2621</v>
      </c>
      <c r="O7324" t="s">
        <v>46</v>
      </c>
      <c r="P7324" t="s">
        <v>46</v>
      </c>
      <c r="Y7324" t="s">
        <v>24957</v>
      </c>
    </row>
    <row r="7325" spans="1:25">
      <c r="A7325" t="s">
        <v>24958</v>
      </c>
      <c r="B7325" t="s">
        <v>24959</v>
      </c>
      <c r="D7325" t="s">
        <v>40</v>
      </c>
      <c r="E7325" t="s">
        <v>41</v>
      </c>
      <c r="J7325" t="s">
        <v>1142</v>
      </c>
      <c r="K7325" t="s">
        <v>1143</v>
      </c>
      <c r="L7325">
        <v>6</v>
      </c>
      <c r="M7325" t="s">
        <v>24960</v>
      </c>
      <c r="N7325" t="s">
        <v>310</v>
      </c>
      <c r="O7325" t="s">
        <v>46</v>
      </c>
      <c r="P7325" t="s">
        <v>46</v>
      </c>
      <c r="Y7325" t="s">
        <v>24961</v>
      </c>
    </row>
    <row r="7326" spans="1:25">
      <c r="A7326" t="s">
        <v>24962</v>
      </c>
      <c r="B7326" t="s">
        <v>24963</v>
      </c>
      <c r="D7326" t="s">
        <v>40</v>
      </c>
      <c r="E7326" t="s">
        <v>41</v>
      </c>
      <c r="J7326" t="s">
        <v>248</v>
      </c>
      <c r="K7326" t="s">
        <v>249</v>
      </c>
      <c r="L7326">
        <v>6</v>
      </c>
      <c r="M7326" t="s">
        <v>24960</v>
      </c>
      <c r="N7326" t="s">
        <v>315</v>
      </c>
      <c r="O7326" t="s">
        <v>46</v>
      </c>
      <c r="P7326" t="s">
        <v>46</v>
      </c>
      <c r="Y7326" t="s">
        <v>24964</v>
      </c>
    </row>
    <row r="7327" spans="1:25">
      <c r="A7327" t="s">
        <v>24965</v>
      </c>
      <c r="B7327" t="s">
        <v>24966</v>
      </c>
      <c r="D7327" t="s">
        <v>40</v>
      </c>
      <c r="E7327" t="s">
        <v>41</v>
      </c>
      <c r="J7327" t="s">
        <v>248</v>
      </c>
      <c r="K7327" t="s">
        <v>249</v>
      </c>
      <c r="L7327">
        <v>6</v>
      </c>
      <c r="M7327" t="s">
        <v>24967</v>
      </c>
      <c r="N7327" t="s">
        <v>2154</v>
      </c>
      <c r="O7327" t="s">
        <v>46</v>
      </c>
      <c r="P7327" t="s">
        <v>46</v>
      </c>
      <c r="Y7327" t="s">
        <v>24968</v>
      </c>
    </row>
    <row r="7328" spans="1:25">
      <c r="A7328" t="s">
        <v>24969</v>
      </c>
      <c r="B7328" t="s">
        <v>24970</v>
      </c>
      <c r="D7328" t="s">
        <v>40</v>
      </c>
      <c r="E7328" t="s">
        <v>41</v>
      </c>
      <c r="J7328" t="s">
        <v>248</v>
      </c>
      <c r="K7328" t="s">
        <v>249</v>
      </c>
      <c r="L7328">
        <v>6</v>
      </c>
      <c r="M7328" t="s">
        <v>24971</v>
      </c>
      <c r="N7328" t="s">
        <v>310</v>
      </c>
      <c r="O7328" t="s">
        <v>46</v>
      </c>
      <c r="P7328" t="s">
        <v>46</v>
      </c>
      <c r="Y7328" t="s">
        <v>24972</v>
      </c>
    </row>
    <row r="7329" spans="1:25">
      <c r="A7329" t="s">
        <v>24973</v>
      </c>
      <c r="B7329" t="s">
        <v>24974</v>
      </c>
      <c r="D7329" t="s">
        <v>40</v>
      </c>
      <c r="E7329" t="s">
        <v>41</v>
      </c>
      <c r="J7329" t="s">
        <v>139</v>
      </c>
      <c r="K7329" t="s">
        <v>140</v>
      </c>
      <c r="L7329">
        <v>6</v>
      </c>
      <c r="M7329" t="s">
        <v>24975</v>
      </c>
      <c r="N7329" t="s">
        <v>24245</v>
      </c>
      <c r="O7329" t="s">
        <v>46</v>
      </c>
      <c r="P7329" t="s">
        <v>46</v>
      </c>
      <c r="Y7329" t="s">
        <v>24976</v>
      </c>
    </row>
    <row r="7330" spans="1:25">
      <c r="A7330" t="s">
        <v>24977</v>
      </c>
      <c r="B7330" t="s">
        <v>24978</v>
      </c>
      <c r="D7330" t="s">
        <v>40</v>
      </c>
      <c r="E7330" t="s">
        <v>41</v>
      </c>
      <c r="J7330" t="s">
        <v>1142</v>
      </c>
      <c r="K7330" t="s">
        <v>1143</v>
      </c>
      <c r="L7330">
        <v>6</v>
      </c>
      <c r="M7330" t="s">
        <v>24979</v>
      </c>
      <c r="N7330" t="s">
        <v>315</v>
      </c>
      <c r="O7330" t="s">
        <v>46</v>
      </c>
      <c r="P7330" t="s">
        <v>46</v>
      </c>
      <c r="Y7330" t="s">
        <v>24980</v>
      </c>
    </row>
    <row r="7331" spans="1:25">
      <c r="A7331" t="s">
        <v>24981</v>
      </c>
      <c r="B7331" t="s">
        <v>24982</v>
      </c>
      <c r="D7331" t="s">
        <v>40</v>
      </c>
      <c r="E7331" t="s">
        <v>41</v>
      </c>
      <c r="J7331" t="s">
        <v>1554</v>
      </c>
      <c r="K7331" t="s">
        <v>1555</v>
      </c>
      <c r="L7331">
        <v>6</v>
      </c>
      <c r="M7331" t="s">
        <v>24983</v>
      </c>
      <c r="N7331" t="s">
        <v>24240</v>
      </c>
      <c r="O7331" t="s">
        <v>46</v>
      </c>
      <c r="P7331" t="s">
        <v>46</v>
      </c>
      <c r="Y7331" t="s">
        <v>24984</v>
      </c>
    </row>
    <row r="7332" spans="1:25">
      <c r="A7332" t="s">
        <v>24985</v>
      </c>
      <c r="B7332" t="s">
        <v>24986</v>
      </c>
      <c r="D7332" t="s">
        <v>40</v>
      </c>
      <c r="E7332" t="s">
        <v>41</v>
      </c>
      <c r="J7332" t="s">
        <v>1142</v>
      </c>
      <c r="K7332" t="s">
        <v>1143</v>
      </c>
      <c r="L7332">
        <v>6</v>
      </c>
      <c r="M7332" t="s">
        <v>24983</v>
      </c>
      <c r="N7332" t="s">
        <v>1047</v>
      </c>
      <c r="O7332" t="s">
        <v>46</v>
      </c>
      <c r="P7332" t="s">
        <v>46</v>
      </c>
      <c r="Y7332" t="s">
        <v>24987</v>
      </c>
    </row>
    <row r="7333" spans="1:25">
      <c r="A7333" t="s">
        <v>24988</v>
      </c>
      <c r="B7333" t="s">
        <v>24989</v>
      </c>
      <c r="D7333" t="s">
        <v>40</v>
      </c>
      <c r="E7333" t="s">
        <v>41</v>
      </c>
      <c r="J7333" t="s">
        <v>139</v>
      </c>
      <c r="K7333" t="s">
        <v>140</v>
      </c>
      <c r="L7333">
        <v>6</v>
      </c>
      <c r="M7333" t="s">
        <v>24983</v>
      </c>
      <c r="N7333" t="s">
        <v>24245</v>
      </c>
      <c r="O7333" t="s">
        <v>46</v>
      </c>
      <c r="P7333" t="s">
        <v>46</v>
      </c>
      <c r="Y7333" t="s">
        <v>24990</v>
      </c>
    </row>
    <row r="7334" spans="1:25">
      <c r="A7334" t="s">
        <v>24991</v>
      </c>
      <c r="B7334" t="s">
        <v>24992</v>
      </c>
      <c r="D7334" t="s">
        <v>40</v>
      </c>
      <c r="E7334" t="s">
        <v>41</v>
      </c>
      <c r="J7334" t="s">
        <v>139</v>
      </c>
      <c r="K7334" t="s">
        <v>140</v>
      </c>
      <c r="L7334">
        <v>6</v>
      </c>
      <c r="M7334" t="s">
        <v>24993</v>
      </c>
      <c r="N7334" t="s">
        <v>1024</v>
      </c>
      <c r="O7334" t="s">
        <v>46</v>
      </c>
      <c r="P7334" t="s">
        <v>46</v>
      </c>
      <c r="Y7334" t="s">
        <v>24994</v>
      </c>
    </row>
    <row r="7335" spans="1:25">
      <c r="A7335" t="s">
        <v>24995</v>
      </c>
      <c r="B7335" t="s">
        <v>24996</v>
      </c>
      <c r="D7335" t="s">
        <v>40</v>
      </c>
      <c r="E7335" t="s">
        <v>41</v>
      </c>
      <c r="J7335" t="s">
        <v>248</v>
      </c>
      <c r="K7335" t="s">
        <v>249</v>
      </c>
      <c r="L7335">
        <v>6</v>
      </c>
      <c r="M7335" t="s">
        <v>24997</v>
      </c>
      <c r="N7335" t="s">
        <v>58</v>
      </c>
      <c r="O7335" t="s">
        <v>46</v>
      </c>
      <c r="P7335" t="s">
        <v>46</v>
      </c>
      <c r="Y7335" t="s">
        <v>24998</v>
      </c>
    </row>
    <row r="7336" spans="1:25">
      <c r="A7336" t="s">
        <v>24999</v>
      </c>
      <c r="B7336" t="s">
        <v>25000</v>
      </c>
      <c r="D7336" t="s">
        <v>40</v>
      </c>
      <c r="E7336" t="s">
        <v>41</v>
      </c>
      <c r="J7336" t="s">
        <v>599</v>
      </c>
      <c r="K7336" t="s">
        <v>600</v>
      </c>
      <c r="L7336">
        <v>6</v>
      </c>
      <c r="M7336" t="s">
        <v>25001</v>
      </c>
      <c r="N7336" t="s">
        <v>24240</v>
      </c>
      <c r="O7336" t="s">
        <v>46</v>
      </c>
      <c r="P7336" t="s">
        <v>46</v>
      </c>
      <c r="Y7336" t="s">
        <v>25002</v>
      </c>
    </row>
    <row r="7337" spans="1:25">
      <c r="A7337" t="s">
        <v>25003</v>
      </c>
      <c r="B7337" t="s">
        <v>25004</v>
      </c>
      <c r="D7337" t="s">
        <v>40</v>
      </c>
      <c r="E7337" t="s">
        <v>41</v>
      </c>
      <c r="J7337" t="s">
        <v>139</v>
      </c>
      <c r="K7337" t="s">
        <v>140</v>
      </c>
      <c r="L7337">
        <v>6</v>
      </c>
      <c r="M7337" t="s">
        <v>25005</v>
      </c>
      <c r="N7337" t="s">
        <v>218</v>
      </c>
      <c r="O7337" t="s">
        <v>46</v>
      </c>
      <c r="P7337" t="s">
        <v>46</v>
      </c>
      <c r="Y7337" t="s">
        <v>25006</v>
      </c>
    </row>
    <row r="7338" spans="1:25">
      <c r="A7338" t="s">
        <v>25007</v>
      </c>
      <c r="B7338" t="s">
        <v>25008</v>
      </c>
      <c r="D7338" t="s">
        <v>40</v>
      </c>
      <c r="E7338" t="s">
        <v>41</v>
      </c>
      <c r="J7338" t="s">
        <v>1554</v>
      </c>
      <c r="K7338" t="s">
        <v>1555</v>
      </c>
      <c r="L7338">
        <v>6</v>
      </c>
      <c r="M7338" t="s">
        <v>25009</v>
      </c>
      <c r="N7338" t="s">
        <v>1138</v>
      </c>
      <c r="O7338" t="s">
        <v>46</v>
      </c>
      <c r="P7338" t="s">
        <v>46</v>
      </c>
      <c r="Y7338" t="s">
        <v>25010</v>
      </c>
    </row>
    <row r="7339" spans="1:25">
      <c r="A7339" t="s">
        <v>25011</v>
      </c>
      <c r="B7339" t="s">
        <v>25012</v>
      </c>
      <c r="D7339" t="s">
        <v>40</v>
      </c>
      <c r="E7339" t="s">
        <v>41</v>
      </c>
      <c r="J7339" t="s">
        <v>248</v>
      </c>
      <c r="K7339" t="s">
        <v>249</v>
      </c>
      <c r="L7339">
        <v>6</v>
      </c>
      <c r="M7339" t="s">
        <v>25013</v>
      </c>
      <c r="N7339" t="s">
        <v>1276</v>
      </c>
      <c r="O7339" t="s">
        <v>46</v>
      </c>
      <c r="P7339" t="s">
        <v>46</v>
      </c>
      <c r="Y7339" t="s">
        <v>25014</v>
      </c>
    </row>
    <row r="7340" spans="1:25">
      <c r="A7340" t="s">
        <v>25015</v>
      </c>
      <c r="B7340" t="s">
        <v>25016</v>
      </c>
      <c r="D7340" t="s">
        <v>40</v>
      </c>
      <c r="E7340" t="s">
        <v>41</v>
      </c>
      <c r="J7340" t="s">
        <v>248</v>
      </c>
      <c r="K7340" t="s">
        <v>249</v>
      </c>
      <c r="L7340">
        <v>6</v>
      </c>
      <c r="M7340" t="s">
        <v>25017</v>
      </c>
      <c r="N7340" t="s">
        <v>142</v>
      </c>
      <c r="O7340" t="s">
        <v>46</v>
      </c>
      <c r="P7340" t="s">
        <v>46</v>
      </c>
      <c r="Y7340" t="s">
        <v>25018</v>
      </c>
    </row>
    <row r="7341" spans="1:25">
      <c r="A7341" t="s">
        <v>25019</v>
      </c>
      <c r="B7341" t="s">
        <v>25020</v>
      </c>
      <c r="D7341" t="s">
        <v>40</v>
      </c>
      <c r="E7341" t="s">
        <v>41</v>
      </c>
      <c r="J7341" t="s">
        <v>892</v>
      </c>
      <c r="K7341" t="s">
        <v>893</v>
      </c>
      <c r="L7341">
        <v>6</v>
      </c>
      <c r="M7341" t="s">
        <v>25021</v>
      </c>
      <c r="N7341" t="s">
        <v>1814</v>
      </c>
      <c r="O7341" t="s">
        <v>46</v>
      </c>
      <c r="P7341" t="s">
        <v>46</v>
      </c>
      <c r="Y7341" t="s">
        <v>25022</v>
      </c>
    </row>
    <row r="7342" spans="1:25">
      <c r="A7342" t="s">
        <v>25023</v>
      </c>
      <c r="B7342" t="s">
        <v>25024</v>
      </c>
      <c r="D7342" t="s">
        <v>40</v>
      </c>
      <c r="E7342" t="s">
        <v>41</v>
      </c>
      <c r="J7342" t="s">
        <v>248</v>
      </c>
      <c r="K7342" t="s">
        <v>249</v>
      </c>
      <c r="L7342">
        <v>6</v>
      </c>
      <c r="M7342" t="s">
        <v>25025</v>
      </c>
      <c r="N7342" t="s">
        <v>310</v>
      </c>
      <c r="O7342" t="s">
        <v>46</v>
      </c>
      <c r="P7342" t="s">
        <v>46</v>
      </c>
      <c r="Y7342" t="s">
        <v>25026</v>
      </c>
    </row>
    <row r="7343" spans="1:25">
      <c r="A7343" t="s">
        <v>25027</v>
      </c>
      <c r="B7343" t="s">
        <v>25028</v>
      </c>
      <c r="D7343" t="s">
        <v>40</v>
      </c>
      <c r="E7343" t="s">
        <v>41</v>
      </c>
      <c r="J7343" t="s">
        <v>911</v>
      </c>
      <c r="K7343" t="s">
        <v>912</v>
      </c>
      <c r="L7343">
        <v>6</v>
      </c>
      <c r="M7343" t="s">
        <v>25029</v>
      </c>
      <c r="N7343" t="s">
        <v>142</v>
      </c>
      <c r="O7343" t="s">
        <v>46</v>
      </c>
      <c r="P7343" t="s">
        <v>46</v>
      </c>
      <c r="Y7343" t="s">
        <v>25030</v>
      </c>
    </row>
    <row r="7344" spans="1:25">
      <c r="A7344" t="s">
        <v>25031</v>
      </c>
      <c r="B7344" t="s">
        <v>25032</v>
      </c>
      <c r="D7344" t="s">
        <v>40</v>
      </c>
      <c r="E7344" t="s">
        <v>41</v>
      </c>
      <c r="J7344" t="s">
        <v>24950</v>
      </c>
      <c r="K7344" t="s">
        <v>24951</v>
      </c>
      <c r="L7344">
        <v>6</v>
      </c>
      <c r="M7344" t="s">
        <v>25029</v>
      </c>
      <c r="N7344" t="s">
        <v>305</v>
      </c>
      <c r="O7344" t="s">
        <v>46</v>
      </c>
      <c r="P7344" t="s">
        <v>46</v>
      </c>
      <c r="Y7344" t="s">
        <v>25033</v>
      </c>
    </row>
    <row r="7345" spans="1:25">
      <c r="A7345" t="s">
        <v>25034</v>
      </c>
      <c r="B7345" t="s">
        <v>25035</v>
      </c>
      <c r="D7345" t="s">
        <v>40</v>
      </c>
      <c r="E7345" t="s">
        <v>41</v>
      </c>
      <c r="J7345" t="s">
        <v>23071</v>
      </c>
      <c r="K7345" t="s">
        <v>23072</v>
      </c>
      <c r="L7345">
        <v>6</v>
      </c>
      <c r="M7345" t="s">
        <v>25036</v>
      </c>
      <c r="N7345" t="s">
        <v>1814</v>
      </c>
      <c r="O7345" t="s">
        <v>46</v>
      </c>
      <c r="P7345" t="s">
        <v>46</v>
      </c>
      <c r="Y7345" t="s">
        <v>25037</v>
      </c>
    </row>
    <row r="7346" spans="1:25">
      <c r="A7346" t="s">
        <v>25038</v>
      </c>
      <c r="B7346" t="s">
        <v>25039</v>
      </c>
      <c r="D7346" t="s">
        <v>40</v>
      </c>
      <c r="E7346" t="s">
        <v>41</v>
      </c>
      <c r="J7346" t="s">
        <v>6255</v>
      </c>
      <c r="K7346" t="s">
        <v>6256</v>
      </c>
      <c r="L7346">
        <v>6</v>
      </c>
      <c r="M7346" t="s">
        <v>25040</v>
      </c>
      <c r="N7346" t="s">
        <v>24240</v>
      </c>
      <c r="O7346" t="s">
        <v>46</v>
      </c>
      <c r="P7346" t="s">
        <v>46</v>
      </c>
      <c r="Y7346" t="s">
        <v>25041</v>
      </c>
    </row>
    <row r="7347" spans="1:25">
      <c r="A7347" t="s">
        <v>25042</v>
      </c>
      <c r="B7347" t="s">
        <v>25043</v>
      </c>
      <c r="D7347" t="s">
        <v>40</v>
      </c>
      <c r="E7347" t="s">
        <v>41</v>
      </c>
      <c r="J7347" t="s">
        <v>139</v>
      </c>
      <c r="K7347" t="s">
        <v>140</v>
      </c>
      <c r="L7347">
        <v>6</v>
      </c>
      <c r="M7347" t="s">
        <v>25044</v>
      </c>
      <c r="N7347" t="s">
        <v>142</v>
      </c>
      <c r="O7347" t="s">
        <v>46</v>
      </c>
      <c r="P7347" t="s">
        <v>46</v>
      </c>
      <c r="Y7347" t="s">
        <v>25045</v>
      </c>
    </row>
    <row r="7348" spans="1:25">
      <c r="A7348" t="s">
        <v>25046</v>
      </c>
      <c r="B7348" t="s">
        <v>25047</v>
      </c>
      <c r="D7348" t="s">
        <v>40</v>
      </c>
      <c r="E7348" t="s">
        <v>41</v>
      </c>
      <c r="J7348" t="s">
        <v>1142</v>
      </c>
      <c r="K7348" t="s">
        <v>1143</v>
      </c>
      <c r="L7348">
        <v>6</v>
      </c>
      <c r="M7348" t="s">
        <v>25048</v>
      </c>
      <c r="N7348" t="s">
        <v>2621</v>
      </c>
      <c r="O7348" t="s">
        <v>46</v>
      </c>
      <c r="P7348" t="s">
        <v>46</v>
      </c>
      <c r="Y7348" t="s">
        <v>25049</v>
      </c>
    </row>
    <row r="7349" spans="1:25">
      <c r="A7349" t="s">
        <v>25050</v>
      </c>
      <c r="B7349" t="s">
        <v>25051</v>
      </c>
      <c r="D7349" t="s">
        <v>40</v>
      </c>
      <c r="E7349" t="s">
        <v>41</v>
      </c>
      <c r="J7349" t="s">
        <v>248</v>
      </c>
      <c r="K7349" t="s">
        <v>249</v>
      </c>
      <c r="L7349">
        <v>6</v>
      </c>
      <c r="M7349" t="s">
        <v>25052</v>
      </c>
      <c r="N7349" t="s">
        <v>1276</v>
      </c>
      <c r="O7349" t="s">
        <v>46</v>
      </c>
      <c r="P7349" t="s">
        <v>46</v>
      </c>
      <c r="Y7349" t="s">
        <v>25053</v>
      </c>
    </row>
    <row r="7350" spans="1:25">
      <c r="A7350" t="s">
        <v>25054</v>
      </c>
      <c r="B7350" t="s">
        <v>25055</v>
      </c>
      <c r="D7350" t="s">
        <v>40</v>
      </c>
      <c r="E7350" t="s">
        <v>41</v>
      </c>
      <c r="J7350" t="s">
        <v>6255</v>
      </c>
      <c r="K7350" t="s">
        <v>6256</v>
      </c>
      <c r="L7350">
        <v>6</v>
      </c>
      <c r="M7350" t="s">
        <v>25056</v>
      </c>
      <c r="N7350" t="s">
        <v>142</v>
      </c>
      <c r="O7350" t="s">
        <v>46</v>
      </c>
      <c r="P7350" t="s">
        <v>46</v>
      </c>
      <c r="Y7350" t="s">
        <v>25057</v>
      </c>
    </row>
    <row r="7351" spans="1:25">
      <c r="A7351" t="s">
        <v>25058</v>
      </c>
      <c r="B7351" t="s">
        <v>25059</v>
      </c>
      <c r="D7351" t="s">
        <v>40</v>
      </c>
      <c r="E7351" t="s">
        <v>41</v>
      </c>
      <c r="J7351" t="s">
        <v>248</v>
      </c>
      <c r="K7351" t="s">
        <v>249</v>
      </c>
      <c r="L7351">
        <v>5</v>
      </c>
      <c r="M7351" t="s">
        <v>25060</v>
      </c>
      <c r="N7351" t="s">
        <v>1024</v>
      </c>
      <c r="O7351" t="s">
        <v>46</v>
      </c>
      <c r="P7351" t="s">
        <v>46</v>
      </c>
      <c r="Y7351" t="s">
        <v>25061</v>
      </c>
    </row>
    <row r="7352" spans="1:25">
      <c r="A7352" t="s">
        <v>25062</v>
      </c>
      <c r="B7352" t="s">
        <v>25063</v>
      </c>
      <c r="D7352" t="s">
        <v>40</v>
      </c>
      <c r="E7352" t="s">
        <v>41</v>
      </c>
      <c r="J7352" t="s">
        <v>139</v>
      </c>
      <c r="K7352" t="s">
        <v>140</v>
      </c>
      <c r="L7352">
        <v>6</v>
      </c>
      <c r="M7352" t="s">
        <v>25064</v>
      </c>
      <c r="N7352" t="s">
        <v>1276</v>
      </c>
      <c r="O7352" t="s">
        <v>46</v>
      </c>
      <c r="P7352" t="s">
        <v>46</v>
      </c>
      <c r="Y7352" t="s">
        <v>25065</v>
      </c>
    </row>
    <row r="7353" spans="1:25">
      <c r="A7353" t="s">
        <v>25066</v>
      </c>
      <c r="B7353" t="s">
        <v>25067</v>
      </c>
      <c r="D7353" t="s">
        <v>40</v>
      </c>
      <c r="E7353" t="s">
        <v>41</v>
      </c>
      <c r="J7353" t="s">
        <v>248</v>
      </c>
      <c r="K7353" t="s">
        <v>249</v>
      </c>
      <c r="L7353">
        <v>6</v>
      </c>
      <c r="M7353" t="s">
        <v>25068</v>
      </c>
      <c r="N7353" t="s">
        <v>310</v>
      </c>
      <c r="O7353" t="s">
        <v>46</v>
      </c>
      <c r="P7353" t="s">
        <v>46</v>
      </c>
      <c r="Y7353" t="s">
        <v>25069</v>
      </c>
    </row>
    <row r="7354" spans="1:25">
      <c r="A7354" t="s">
        <v>25070</v>
      </c>
      <c r="B7354" t="s">
        <v>25071</v>
      </c>
      <c r="D7354" t="s">
        <v>40</v>
      </c>
      <c r="E7354" t="s">
        <v>41</v>
      </c>
      <c r="J7354" t="s">
        <v>1554</v>
      </c>
      <c r="K7354" t="s">
        <v>1555</v>
      </c>
      <c r="L7354">
        <v>6</v>
      </c>
      <c r="M7354" t="s">
        <v>25072</v>
      </c>
      <c r="N7354" t="s">
        <v>1446</v>
      </c>
      <c r="O7354" t="s">
        <v>46</v>
      </c>
      <c r="P7354" t="s">
        <v>46</v>
      </c>
      <c r="Y7354" t="s">
        <v>25073</v>
      </c>
    </row>
    <row r="7355" spans="1:25">
      <c r="A7355" t="s">
        <v>25074</v>
      </c>
      <c r="B7355" t="s">
        <v>25075</v>
      </c>
      <c r="D7355" t="s">
        <v>40</v>
      </c>
      <c r="E7355" t="s">
        <v>41</v>
      </c>
      <c r="J7355" t="s">
        <v>1142</v>
      </c>
      <c r="K7355" t="s">
        <v>1143</v>
      </c>
      <c r="L7355">
        <v>6</v>
      </c>
      <c r="M7355" t="s">
        <v>25076</v>
      </c>
      <c r="N7355" t="s">
        <v>756</v>
      </c>
      <c r="O7355" t="s">
        <v>46</v>
      </c>
      <c r="P7355" t="s">
        <v>46</v>
      </c>
      <c r="Y7355" t="s">
        <v>25077</v>
      </c>
    </row>
    <row r="7356" spans="1:25">
      <c r="A7356" t="s">
        <v>25078</v>
      </c>
      <c r="B7356" t="s">
        <v>25079</v>
      </c>
      <c r="D7356" t="s">
        <v>40</v>
      </c>
      <c r="E7356" t="s">
        <v>41</v>
      </c>
      <c r="J7356" t="s">
        <v>921</v>
      </c>
      <c r="K7356" t="s">
        <v>922</v>
      </c>
      <c r="L7356">
        <v>6</v>
      </c>
      <c r="M7356" t="s">
        <v>25080</v>
      </c>
      <c r="N7356" t="s">
        <v>1344</v>
      </c>
      <c r="O7356" t="s">
        <v>46</v>
      </c>
      <c r="P7356" t="s">
        <v>46</v>
      </c>
      <c r="Y7356" t="s">
        <v>25081</v>
      </c>
    </row>
    <row r="7357" spans="1:25">
      <c r="A7357" t="s">
        <v>25082</v>
      </c>
      <c r="B7357" t="s">
        <v>25083</v>
      </c>
      <c r="D7357" t="s">
        <v>40</v>
      </c>
      <c r="E7357" t="s">
        <v>41</v>
      </c>
      <c r="J7357" t="s">
        <v>6179</v>
      </c>
      <c r="K7357" t="s">
        <v>6180</v>
      </c>
      <c r="L7357">
        <v>6</v>
      </c>
      <c r="M7357" t="s">
        <v>25080</v>
      </c>
      <c r="N7357" t="s">
        <v>1189</v>
      </c>
      <c r="O7357" t="s">
        <v>46</v>
      </c>
      <c r="P7357" t="s">
        <v>46</v>
      </c>
      <c r="Y7357" t="s">
        <v>25084</v>
      </c>
    </row>
    <row r="7358" spans="1:25">
      <c r="A7358" t="s">
        <v>25085</v>
      </c>
      <c r="B7358" t="s">
        <v>25086</v>
      </c>
      <c r="D7358" t="s">
        <v>40</v>
      </c>
      <c r="E7358" t="s">
        <v>41</v>
      </c>
      <c r="J7358" t="s">
        <v>248</v>
      </c>
      <c r="K7358" t="s">
        <v>249</v>
      </c>
      <c r="L7358">
        <v>6</v>
      </c>
      <c r="M7358" t="s">
        <v>25087</v>
      </c>
      <c r="N7358" t="s">
        <v>1024</v>
      </c>
      <c r="O7358" t="s">
        <v>46</v>
      </c>
      <c r="P7358" t="s">
        <v>46</v>
      </c>
      <c r="Y7358" t="s">
        <v>25088</v>
      </c>
    </row>
    <row r="7359" spans="1:25">
      <c r="A7359" t="s">
        <v>25089</v>
      </c>
      <c r="B7359" t="s">
        <v>25090</v>
      </c>
      <c r="D7359" t="s">
        <v>40</v>
      </c>
      <c r="E7359" t="s">
        <v>41</v>
      </c>
      <c r="J7359" t="s">
        <v>1142</v>
      </c>
      <c r="K7359" t="s">
        <v>1143</v>
      </c>
      <c r="L7359">
        <v>6</v>
      </c>
      <c r="M7359" t="s">
        <v>25091</v>
      </c>
      <c r="N7359" t="s">
        <v>24240</v>
      </c>
      <c r="O7359" t="s">
        <v>46</v>
      </c>
      <c r="P7359" t="s">
        <v>46</v>
      </c>
      <c r="Y7359" t="s">
        <v>25092</v>
      </c>
    </row>
    <row r="7360" spans="1:25">
      <c r="A7360" t="s">
        <v>25093</v>
      </c>
      <c r="B7360" t="s">
        <v>25094</v>
      </c>
      <c r="D7360" t="s">
        <v>40</v>
      </c>
      <c r="E7360" t="s">
        <v>41</v>
      </c>
      <c r="G7360" t="s">
        <v>25095</v>
      </c>
      <c r="J7360" t="s">
        <v>139</v>
      </c>
      <c r="K7360" t="s">
        <v>140</v>
      </c>
      <c r="L7360">
        <v>6</v>
      </c>
      <c r="M7360" t="s">
        <v>25096</v>
      </c>
      <c r="N7360" t="s">
        <v>741</v>
      </c>
      <c r="O7360" t="s">
        <v>46</v>
      </c>
      <c r="P7360" t="s">
        <v>25097</v>
      </c>
      <c r="Y7360" t="s">
        <v>25098</v>
      </c>
    </row>
    <row r="7361" spans="1:25">
      <c r="A7361" t="s">
        <v>25099</v>
      </c>
      <c r="B7361" t="s">
        <v>25100</v>
      </c>
      <c r="D7361" t="s">
        <v>40</v>
      </c>
      <c r="E7361" t="s">
        <v>41</v>
      </c>
      <c r="J7361" t="s">
        <v>139</v>
      </c>
      <c r="K7361" t="s">
        <v>140</v>
      </c>
      <c r="L7361">
        <v>6</v>
      </c>
      <c r="M7361" t="s">
        <v>25101</v>
      </c>
      <c r="N7361" t="s">
        <v>24245</v>
      </c>
      <c r="O7361" t="s">
        <v>46</v>
      </c>
      <c r="P7361" t="s">
        <v>46</v>
      </c>
      <c r="Y7361" t="s">
        <v>25102</v>
      </c>
    </row>
    <row r="7362" spans="1:25">
      <c r="A7362" t="s">
        <v>25103</v>
      </c>
      <c r="B7362" t="s">
        <v>25104</v>
      </c>
      <c r="D7362" t="s">
        <v>40</v>
      </c>
      <c r="E7362" t="s">
        <v>41</v>
      </c>
      <c r="J7362" t="s">
        <v>248</v>
      </c>
      <c r="K7362" t="s">
        <v>249</v>
      </c>
      <c r="L7362">
        <v>6</v>
      </c>
      <c r="M7362" t="s">
        <v>25105</v>
      </c>
      <c r="N7362" t="s">
        <v>315</v>
      </c>
      <c r="O7362" t="s">
        <v>46</v>
      </c>
      <c r="P7362" t="s">
        <v>46</v>
      </c>
      <c r="Y7362" t="s">
        <v>25106</v>
      </c>
    </row>
    <row r="7363" spans="1:25">
      <c r="A7363" t="s">
        <v>25107</v>
      </c>
      <c r="B7363" t="s">
        <v>25108</v>
      </c>
      <c r="D7363" t="s">
        <v>40</v>
      </c>
      <c r="E7363" t="s">
        <v>41</v>
      </c>
      <c r="J7363" t="s">
        <v>2619</v>
      </c>
      <c r="K7363" t="s">
        <v>140</v>
      </c>
      <c r="L7363">
        <v>6</v>
      </c>
      <c r="M7363" t="s">
        <v>25109</v>
      </c>
      <c r="N7363" t="s">
        <v>2621</v>
      </c>
      <c r="O7363" t="s">
        <v>46</v>
      </c>
      <c r="P7363" t="s">
        <v>46</v>
      </c>
      <c r="Y7363" t="s">
        <v>25110</v>
      </c>
    </row>
    <row r="7364" spans="1:25">
      <c r="A7364" t="s">
        <v>25111</v>
      </c>
      <c r="B7364" t="s">
        <v>25112</v>
      </c>
      <c r="D7364" t="s">
        <v>40</v>
      </c>
      <c r="E7364" t="s">
        <v>41</v>
      </c>
      <c r="J7364" t="s">
        <v>139</v>
      </c>
      <c r="K7364" t="s">
        <v>140</v>
      </c>
      <c r="L7364">
        <v>6</v>
      </c>
      <c r="M7364" t="s">
        <v>25113</v>
      </c>
      <c r="N7364" t="s">
        <v>24245</v>
      </c>
      <c r="O7364" t="s">
        <v>46</v>
      </c>
      <c r="P7364" t="s">
        <v>46</v>
      </c>
      <c r="Y7364" t="s">
        <v>25114</v>
      </c>
    </row>
    <row r="7365" spans="1:25">
      <c r="A7365" t="s">
        <v>25115</v>
      </c>
      <c r="B7365" t="s">
        <v>25116</v>
      </c>
      <c r="D7365" t="s">
        <v>40</v>
      </c>
      <c r="E7365" t="s">
        <v>41</v>
      </c>
      <c r="J7365" t="s">
        <v>139</v>
      </c>
      <c r="K7365" t="s">
        <v>140</v>
      </c>
      <c r="L7365">
        <v>6</v>
      </c>
      <c r="M7365" t="s">
        <v>25117</v>
      </c>
      <c r="N7365" t="s">
        <v>310</v>
      </c>
      <c r="O7365" t="s">
        <v>46</v>
      </c>
      <c r="P7365" t="s">
        <v>46</v>
      </c>
      <c r="Y7365" t="s">
        <v>25118</v>
      </c>
    </row>
    <row r="7366" spans="1:25">
      <c r="A7366" t="s">
        <v>25119</v>
      </c>
      <c r="B7366" t="s">
        <v>25120</v>
      </c>
      <c r="D7366" t="s">
        <v>40</v>
      </c>
      <c r="E7366" t="s">
        <v>41</v>
      </c>
      <c r="J7366" t="s">
        <v>14558</v>
      </c>
      <c r="K7366" t="s">
        <v>14559</v>
      </c>
      <c r="L7366">
        <v>6</v>
      </c>
      <c r="M7366" t="s">
        <v>25121</v>
      </c>
      <c r="N7366" t="s">
        <v>350</v>
      </c>
      <c r="O7366" t="s">
        <v>46</v>
      </c>
      <c r="P7366" t="s">
        <v>46</v>
      </c>
      <c r="Y7366" t="s">
        <v>25122</v>
      </c>
    </row>
    <row r="7367" spans="1:25">
      <c r="A7367" t="s">
        <v>25123</v>
      </c>
      <c r="B7367" t="s">
        <v>25124</v>
      </c>
      <c r="D7367" t="s">
        <v>40</v>
      </c>
      <c r="E7367" t="s">
        <v>41</v>
      </c>
      <c r="J7367" t="s">
        <v>248</v>
      </c>
      <c r="K7367" t="s">
        <v>249</v>
      </c>
      <c r="L7367">
        <v>6</v>
      </c>
      <c r="M7367" t="s">
        <v>25125</v>
      </c>
      <c r="N7367" t="s">
        <v>1446</v>
      </c>
      <c r="O7367" t="s">
        <v>46</v>
      </c>
      <c r="P7367" t="s">
        <v>46</v>
      </c>
      <c r="Y7367" t="s">
        <v>25126</v>
      </c>
    </row>
    <row r="7368" spans="1:25">
      <c r="A7368" t="s">
        <v>25127</v>
      </c>
      <c r="B7368" t="s">
        <v>25128</v>
      </c>
      <c r="D7368" t="s">
        <v>40</v>
      </c>
      <c r="E7368" t="s">
        <v>41</v>
      </c>
      <c r="J7368" t="s">
        <v>1554</v>
      </c>
      <c r="K7368" t="s">
        <v>1555</v>
      </c>
      <c r="L7368">
        <v>6</v>
      </c>
      <c r="M7368" t="s">
        <v>25129</v>
      </c>
      <c r="N7368" t="s">
        <v>1189</v>
      </c>
      <c r="O7368" t="s">
        <v>46</v>
      </c>
      <c r="P7368" t="s">
        <v>46</v>
      </c>
      <c r="Y7368" t="s">
        <v>25130</v>
      </c>
    </row>
    <row r="7369" spans="1:25">
      <c r="A7369" t="s">
        <v>25131</v>
      </c>
      <c r="B7369" t="s">
        <v>25132</v>
      </c>
      <c r="D7369" t="s">
        <v>40</v>
      </c>
      <c r="E7369" t="s">
        <v>41</v>
      </c>
      <c r="J7369" t="s">
        <v>1142</v>
      </c>
      <c r="K7369" t="s">
        <v>1143</v>
      </c>
      <c r="L7369">
        <v>6</v>
      </c>
      <c r="M7369" t="s">
        <v>25133</v>
      </c>
      <c r="N7369" t="s">
        <v>142</v>
      </c>
      <c r="O7369" t="s">
        <v>46</v>
      </c>
      <c r="P7369" t="s">
        <v>46</v>
      </c>
      <c r="Y7369" t="s">
        <v>25134</v>
      </c>
    </row>
    <row r="7370" spans="1:25">
      <c r="A7370" t="s">
        <v>25135</v>
      </c>
      <c r="B7370" t="s">
        <v>25136</v>
      </c>
      <c r="D7370" t="s">
        <v>40</v>
      </c>
      <c r="E7370" t="s">
        <v>41</v>
      </c>
      <c r="J7370" t="s">
        <v>1554</v>
      </c>
      <c r="K7370" t="s">
        <v>1555</v>
      </c>
      <c r="L7370">
        <v>6</v>
      </c>
      <c r="M7370" t="s">
        <v>25137</v>
      </c>
      <c r="N7370" t="s">
        <v>1138</v>
      </c>
      <c r="O7370" t="s">
        <v>46</v>
      </c>
      <c r="P7370" t="s">
        <v>46</v>
      </c>
      <c r="Y7370" t="s">
        <v>25138</v>
      </c>
    </row>
    <row r="7371" spans="1:25">
      <c r="A7371" t="s">
        <v>25139</v>
      </c>
      <c r="B7371" t="s">
        <v>25140</v>
      </c>
      <c r="D7371" t="s">
        <v>40</v>
      </c>
      <c r="E7371" t="s">
        <v>41</v>
      </c>
      <c r="J7371" t="s">
        <v>1142</v>
      </c>
      <c r="K7371" t="s">
        <v>1143</v>
      </c>
      <c r="L7371">
        <v>7</v>
      </c>
      <c r="M7371" t="s">
        <v>25141</v>
      </c>
      <c r="N7371" t="s">
        <v>2621</v>
      </c>
      <c r="O7371" t="s">
        <v>46</v>
      </c>
      <c r="P7371" t="s">
        <v>46</v>
      </c>
      <c r="Y7371" t="s">
        <v>25142</v>
      </c>
    </row>
    <row r="7372" spans="1:25">
      <c r="A7372" t="s">
        <v>25143</v>
      </c>
      <c r="B7372" t="s">
        <v>25144</v>
      </c>
      <c r="D7372" t="s">
        <v>40</v>
      </c>
      <c r="E7372" t="s">
        <v>41</v>
      </c>
      <c r="J7372" t="s">
        <v>139</v>
      </c>
      <c r="K7372" t="s">
        <v>140</v>
      </c>
      <c r="L7372">
        <v>7</v>
      </c>
      <c r="M7372" t="s">
        <v>25145</v>
      </c>
      <c r="N7372" t="s">
        <v>1189</v>
      </c>
      <c r="O7372" t="s">
        <v>46</v>
      </c>
      <c r="P7372" t="s">
        <v>46</v>
      </c>
      <c r="Y7372" t="s">
        <v>25146</v>
      </c>
    </row>
    <row r="7373" spans="1:25">
      <c r="A7373" t="s">
        <v>25147</v>
      </c>
      <c r="B7373" t="s">
        <v>25148</v>
      </c>
      <c r="D7373" t="s">
        <v>40</v>
      </c>
      <c r="E7373" t="s">
        <v>41</v>
      </c>
      <c r="J7373" t="s">
        <v>1142</v>
      </c>
      <c r="K7373" t="s">
        <v>1143</v>
      </c>
      <c r="L7373">
        <v>7</v>
      </c>
      <c r="M7373" t="s">
        <v>25149</v>
      </c>
      <c r="N7373" t="s">
        <v>291</v>
      </c>
      <c r="O7373" t="s">
        <v>46</v>
      </c>
      <c r="P7373" t="s">
        <v>46</v>
      </c>
      <c r="Y7373" t="s">
        <v>25150</v>
      </c>
    </row>
    <row r="7374" spans="1:25">
      <c r="A7374" t="s">
        <v>25151</v>
      </c>
      <c r="B7374" t="s">
        <v>25152</v>
      </c>
      <c r="D7374" t="s">
        <v>40</v>
      </c>
      <c r="E7374" t="s">
        <v>41</v>
      </c>
      <c r="J7374" t="s">
        <v>12440</v>
      </c>
      <c r="K7374" t="s">
        <v>12441</v>
      </c>
      <c r="L7374">
        <v>8</v>
      </c>
      <c r="M7374" t="s">
        <v>25153</v>
      </c>
      <c r="N7374" t="s">
        <v>64</v>
      </c>
      <c r="O7374" t="s">
        <v>46</v>
      </c>
      <c r="P7374" t="s">
        <v>46</v>
      </c>
      <c r="Y7374" t="s">
        <v>25154</v>
      </c>
    </row>
    <row r="7375" spans="1:25">
      <c r="A7375" t="s">
        <v>25155</v>
      </c>
      <c r="B7375" t="s">
        <v>25156</v>
      </c>
      <c r="D7375" t="s">
        <v>40</v>
      </c>
      <c r="E7375" t="s">
        <v>41</v>
      </c>
      <c r="J7375" t="s">
        <v>1554</v>
      </c>
      <c r="K7375" t="s">
        <v>1555</v>
      </c>
      <c r="L7375">
        <v>7</v>
      </c>
      <c r="M7375" t="s">
        <v>25157</v>
      </c>
      <c r="N7375" t="s">
        <v>1380</v>
      </c>
      <c r="O7375" t="s">
        <v>46</v>
      </c>
      <c r="P7375" t="s">
        <v>46</v>
      </c>
      <c r="Y7375" t="s">
        <v>25158</v>
      </c>
    </row>
    <row r="7376" spans="1:25">
      <c r="A7376" t="s">
        <v>25159</v>
      </c>
      <c r="B7376" t="s">
        <v>25160</v>
      </c>
      <c r="D7376" t="s">
        <v>40</v>
      </c>
      <c r="E7376" t="s">
        <v>41</v>
      </c>
      <c r="J7376" t="s">
        <v>139</v>
      </c>
      <c r="K7376" t="s">
        <v>140</v>
      </c>
      <c r="L7376">
        <v>7</v>
      </c>
      <c r="M7376" t="s">
        <v>25161</v>
      </c>
      <c r="N7376" t="s">
        <v>3013</v>
      </c>
      <c r="O7376" t="s">
        <v>46</v>
      </c>
      <c r="P7376" t="s">
        <v>46</v>
      </c>
      <c r="Y7376" t="s">
        <v>25162</v>
      </c>
    </row>
    <row r="7377" spans="1:25">
      <c r="A7377" t="s">
        <v>25163</v>
      </c>
      <c r="B7377" t="s">
        <v>25164</v>
      </c>
      <c r="D7377" t="s">
        <v>40</v>
      </c>
      <c r="E7377" t="s">
        <v>41</v>
      </c>
      <c r="J7377" t="s">
        <v>1142</v>
      </c>
      <c r="K7377" t="s">
        <v>1143</v>
      </c>
      <c r="L7377">
        <v>5</v>
      </c>
      <c r="M7377" t="s">
        <v>25165</v>
      </c>
      <c r="N7377" t="s">
        <v>1047</v>
      </c>
      <c r="O7377" t="s">
        <v>46</v>
      </c>
      <c r="P7377" t="s">
        <v>46</v>
      </c>
      <c r="Y7377" t="s">
        <v>25166</v>
      </c>
    </row>
    <row r="7378" spans="1:25">
      <c r="A7378" t="s">
        <v>25167</v>
      </c>
      <c r="B7378" t="s">
        <v>25168</v>
      </c>
      <c r="D7378" t="s">
        <v>40</v>
      </c>
      <c r="E7378" t="s">
        <v>41</v>
      </c>
      <c r="J7378" t="s">
        <v>599</v>
      </c>
      <c r="K7378" t="s">
        <v>600</v>
      </c>
      <c r="L7378">
        <v>7</v>
      </c>
      <c r="M7378" t="s">
        <v>25169</v>
      </c>
      <c r="N7378" t="s">
        <v>1276</v>
      </c>
      <c r="O7378" t="s">
        <v>46</v>
      </c>
      <c r="P7378" t="s">
        <v>46</v>
      </c>
      <c r="Y7378" t="s">
        <v>25170</v>
      </c>
    </row>
    <row r="7379" spans="1:25">
      <c r="A7379" t="s">
        <v>25171</v>
      </c>
      <c r="B7379" t="s">
        <v>25172</v>
      </c>
      <c r="D7379" t="s">
        <v>40</v>
      </c>
      <c r="E7379" t="s">
        <v>41</v>
      </c>
      <c r="J7379" t="s">
        <v>139</v>
      </c>
      <c r="K7379" t="s">
        <v>140</v>
      </c>
      <c r="L7379">
        <v>7</v>
      </c>
      <c r="M7379" t="s">
        <v>25173</v>
      </c>
      <c r="N7379" t="s">
        <v>1550</v>
      </c>
      <c r="O7379" t="s">
        <v>46</v>
      </c>
      <c r="P7379" t="s">
        <v>46</v>
      </c>
      <c r="Y7379" t="s">
        <v>25174</v>
      </c>
    </row>
    <row r="7380" spans="1:25">
      <c r="A7380" t="s">
        <v>25175</v>
      </c>
      <c r="B7380" t="s">
        <v>25176</v>
      </c>
      <c r="D7380" t="s">
        <v>40</v>
      </c>
      <c r="E7380" t="s">
        <v>41</v>
      </c>
      <c r="J7380" t="s">
        <v>248</v>
      </c>
      <c r="K7380" t="s">
        <v>249</v>
      </c>
      <c r="L7380">
        <v>7</v>
      </c>
      <c r="M7380" t="s">
        <v>25173</v>
      </c>
      <c r="N7380" t="s">
        <v>310</v>
      </c>
      <c r="O7380" t="s">
        <v>46</v>
      </c>
      <c r="P7380" t="s">
        <v>46</v>
      </c>
      <c r="Y7380" t="s">
        <v>25177</v>
      </c>
    </row>
    <row r="7381" spans="1:25">
      <c r="A7381" t="s">
        <v>25178</v>
      </c>
      <c r="B7381" t="s">
        <v>25179</v>
      </c>
      <c r="D7381" t="s">
        <v>40</v>
      </c>
      <c r="E7381" t="s">
        <v>41</v>
      </c>
      <c r="J7381" t="s">
        <v>139</v>
      </c>
      <c r="K7381" t="s">
        <v>140</v>
      </c>
      <c r="L7381">
        <v>2</v>
      </c>
      <c r="M7381" t="s">
        <v>25180</v>
      </c>
      <c r="N7381" t="s">
        <v>350</v>
      </c>
      <c r="O7381" t="s">
        <v>46</v>
      </c>
      <c r="P7381" t="s">
        <v>46</v>
      </c>
      <c r="Y7381" t="s">
        <v>25181</v>
      </c>
    </row>
    <row r="7382" spans="1:25">
      <c r="A7382" t="s">
        <v>25182</v>
      </c>
      <c r="B7382" t="s">
        <v>25183</v>
      </c>
      <c r="D7382" t="s">
        <v>40</v>
      </c>
      <c r="E7382" t="s">
        <v>41</v>
      </c>
      <c r="J7382" t="s">
        <v>248</v>
      </c>
      <c r="K7382" t="s">
        <v>249</v>
      </c>
      <c r="L7382">
        <v>7</v>
      </c>
      <c r="M7382" t="s">
        <v>25184</v>
      </c>
      <c r="N7382" t="s">
        <v>1344</v>
      </c>
      <c r="O7382" t="s">
        <v>46</v>
      </c>
      <c r="P7382" t="s">
        <v>46</v>
      </c>
      <c r="Y7382" t="s">
        <v>25185</v>
      </c>
    </row>
    <row r="7383" spans="1:25">
      <c r="A7383" t="s">
        <v>25186</v>
      </c>
      <c r="B7383" t="s">
        <v>25187</v>
      </c>
      <c r="D7383" t="s">
        <v>40</v>
      </c>
      <c r="E7383" t="s">
        <v>41</v>
      </c>
      <c r="J7383" t="s">
        <v>1142</v>
      </c>
      <c r="K7383" t="s">
        <v>1143</v>
      </c>
      <c r="L7383">
        <v>7</v>
      </c>
      <c r="M7383" t="s">
        <v>25188</v>
      </c>
      <c r="N7383" t="s">
        <v>1047</v>
      </c>
      <c r="O7383" t="s">
        <v>46</v>
      </c>
      <c r="P7383" t="s">
        <v>46</v>
      </c>
      <c r="Y7383" t="s">
        <v>25189</v>
      </c>
    </row>
    <row r="7384" spans="1:25">
      <c r="A7384" t="s">
        <v>25190</v>
      </c>
      <c r="B7384" t="s">
        <v>25191</v>
      </c>
      <c r="D7384" t="s">
        <v>40</v>
      </c>
      <c r="E7384" t="s">
        <v>41</v>
      </c>
      <c r="J7384" t="s">
        <v>139</v>
      </c>
      <c r="K7384" t="s">
        <v>140</v>
      </c>
      <c r="L7384">
        <v>7</v>
      </c>
      <c r="M7384" t="s">
        <v>25192</v>
      </c>
      <c r="N7384" t="s">
        <v>1138</v>
      </c>
      <c r="O7384" t="s">
        <v>46</v>
      </c>
      <c r="P7384" t="s">
        <v>46</v>
      </c>
      <c r="Y7384" t="s">
        <v>25193</v>
      </c>
    </row>
    <row r="7385" spans="1:25">
      <c r="A7385" t="s">
        <v>25194</v>
      </c>
      <c r="B7385" t="s">
        <v>25195</v>
      </c>
      <c r="D7385" t="s">
        <v>40</v>
      </c>
      <c r="E7385" t="s">
        <v>41</v>
      </c>
      <c r="J7385" t="s">
        <v>139</v>
      </c>
      <c r="K7385" t="s">
        <v>140</v>
      </c>
      <c r="L7385">
        <v>7</v>
      </c>
      <c r="M7385" t="s">
        <v>25196</v>
      </c>
      <c r="N7385" t="s">
        <v>24245</v>
      </c>
      <c r="O7385" t="s">
        <v>46</v>
      </c>
      <c r="P7385" t="s">
        <v>46</v>
      </c>
      <c r="Y7385" t="s">
        <v>25197</v>
      </c>
    </row>
    <row r="7386" spans="1:25">
      <c r="A7386" t="s">
        <v>25198</v>
      </c>
      <c r="B7386" t="s">
        <v>25199</v>
      </c>
      <c r="D7386" t="s">
        <v>40</v>
      </c>
      <c r="E7386" t="s">
        <v>41</v>
      </c>
      <c r="J7386" t="s">
        <v>139</v>
      </c>
      <c r="K7386" t="s">
        <v>140</v>
      </c>
      <c r="L7386">
        <v>7</v>
      </c>
      <c r="M7386" t="s">
        <v>25200</v>
      </c>
      <c r="N7386" t="s">
        <v>1189</v>
      </c>
      <c r="O7386" t="s">
        <v>46</v>
      </c>
      <c r="P7386" t="s">
        <v>46</v>
      </c>
      <c r="Y7386" t="s">
        <v>25201</v>
      </c>
    </row>
    <row r="7387" spans="1:25">
      <c r="A7387" t="s">
        <v>25202</v>
      </c>
      <c r="B7387" t="s">
        <v>25203</v>
      </c>
      <c r="D7387" t="s">
        <v>40</v>
      </c>
      <c r="E7387" t="s">
        <v>41</v>
      </c>
      <c r="J7387" t="s">
        <v>248</v>
      </c>
      <c r="K7387" t="s">
        <v>249</v>
      </c>
      <c r="L7387">
        <v>6</v>
      </c>
      <c r="M7387" t="s">
        <v>25204</v>
      </c>
      <c r="N7387" t="s">
        <v>1550</v>
      </c>
      <c r="O7387" t="s">
        <v>46</v>
      </c>
      <c r="P7387" t="s">
        <v>46</v>
      </c>
      <c r="Y7387" t="s">
        <v>25205</v>
      </c>
    </row>
    <row r="7388" spans="1:25">
      <c r="A7388" t="s">
        <v>25206</v>
      </c>
      <c r="B7388" t="s">
        <v>25207</v>
      </c>
      <c r="D7388" t="s">
        <v>40</v>
      </c>
      <c r="E7388" t="s">
        <v>41</v>
      </c>
      <c r="J7388" t="s">
        <v>248</v>
      </c>
      <c r="K7388" t="s">
        <v>249</v>
      </c>
      <c r="L7388">
        <v>7</v>
      </c>
      <c r="M7388" t="s">
        <v>25208</v>
      </c>
      <c r="N7388" t="s">
        <v>2621</v>
      </c>
      <c r="O7388" t="s">
        <v>46</v>
      </c>
      <c r="P7388" t="s">
        <v>46</v>
      </c>
      <c r="Y7388" t="s">
        <v>25209</v>
      </c>
    </row>
    <row r="7389" spans="1:25">
      <c r="A7389" t="s">
        <v>25210</v>
      </c>
      <c r="B7389" t="s">
        <v>25211</v>
      </c>
      <c r="D7389" t="s">
        <v>40</v>
      </c>
      <c r="E7389" t="s">
        <v>41</v>
      </c>
      <c r="J7389" t="s">
        <v>139</v>
      </c>
      <c r="K7389" t="s">
        <v>140</v>
      </c>
      <c r="L7389">
        <v>7</v>
      </c>
      <c r="M7389" t="s">
        <v>25212</v>
      </c>
      <c r="N7389" t="s">
        <v>24245</v>
      </c>
      <c r="O7389" t="s">
        <v>46</v>
      </c>
      <c r="P7389" t="s">
        <v>46</v>
      </c>
      <c r="Y7389" t="s">
        <v>25213</v>
      </c>
    </row>
    <row r="7390" spans="1:25">
      <c r="A7390" t="s">
        <v>25214</v>
      </c>
      <c r="B7390" t="s">
        <v>25215</v>
      </c>
      <c r="D7390" t="s">
        <v>40</v>
      </c>
      <c r="E7390" t="s">
        <v>41</v>
      </c>
      <c r="J7390" t="s">
        <v>6255</v>
      </c>
      <c r="K7390" t="s">
        <v>6256</v>
      </c>
      <c r="L7390">
        <v>7</v>
      </c>
      <c r="M7390" t="s">
        <v>25216</v>
      </c>
      <c r="N7390" t="s">
        <v>45</v>
      </c>
      <c r="O7390" t="s">
        <v>46</v>
      </c>
      <c r="P7390" t="s">
        <v>46</v>
      </c>
      <c r="Y7390" t="s">
        <v>25217</v>
      </c>
    </row>
    <row r="7391" spans="1:25">
      <c r="A7391" t="s">
        <v>25218</v>
      </c>
      <c r="B7391" t="s">
        <v>25219</v>
      </c>
      <c r="D7391" t="s">
        <v>40</v>
      </c>
      <c r="E7391" t="s">
        <v>41</v>
      </c>
      <c r="J7391" t="s">
        <v>12440</v>
      </c>
      <c r="K7391" t="s">
        <v>12441</v>
      </c>
      <c r="L7391">
        <v>8</v>
      </c>
      <c r="M7391" t="s">
        <v>25220</v>
      </c>
      <c r="N7391" t="s">
        <v>64</v>
      </c>
      <c r="O7391" t="s">
        <v>46</v>
      </c>
      <c r="P7391" t="s">
        <v>46</v>
      </c>
      <c r="Y7391" t="s">
        <v>25221</v>
      </c>
    </row>
    <row r="7392" spans="1:25">
      <c r="A7392" t="s">
        <v>25222</v>
      </c>
      <c r="B7392" t="s">
        <v>25223</v>
      </c>
      <c r="D7392" t="s">
        <v>40</v>
      </c>
      <c r="E7392" t="s">
        <v>41</v>
      </c>
      <c r="J7392" t="s">
        <v>248</v>
      </c>
      <c r="K7392" t="s">
        <v>249</v>
      </c>
      <c r="L7392">
        <v>7</v>
      </c>
      <c r="M7392" t="s">
        <v>25224</v>
      </c>
      <c r="N7392" t="s">
        <v>1047</v>
      </c>
      <c r="O7392" t="s">
        <v>46</v>
      </c>
      <c r="P7392" t="s">
        <v>46</v>
      </c>
      <c r="Y7392" t="s">
        <v>25225</v>
      </c>
    </row>
    <row r="7393" spans="1:25">
      <c r="A7393" t="s">
        <v>25226</v>
      </c>
      <c r="B7393" t="s">
        <v>25227</v>
      </c>
      <c r="D7393" t="s">
        <v>40</v>
      </c>
      <c r="E7393" t="s">
        <v>41</v>
      </c>
      <c r="J7393" t="s">
        <v>248</v>
      </c>
      <c r="K7393" t="s">
        <v>249</v>
      </c>
      <c r="L7393">
        <v>6</v>
      </c>
      <c r="M7393" t="s">
        <v>25228</v>
      </c>
      <c r="N7393" t="s">
        <v>142</v>
      </c>
      <c r="O7393" t="s">
        <v>46</v>
      </c>
      <c r="P7393" t="s">
        <v>46</v>
      </c>
      <c r="Y7393" t="s">
        <v>25229</v>
      </c>
    </row>
    <row r="7394" spans="1:25">
      <c r="A7394" t="s">
        <v>25230</v>
      </c>
      <c r="B7394" t="s">
        <v>25231</v>
      </c>
      <c r="D7394" t="s">
        <v>40</v>
      </c>
      <c r="E7394" t="s">
        <v>41</v>
      </c>
      <c r="J7394" t="s">
        <v>16458</v>
      </c>
      <c r="K7394" t="s">
        <v>16459</v>
      </c>
      <c r="L7394">
        <v>6</v>
      </c>
      <c r="M7394" t="s">
        <v>25232</v>
      </c>
      <c r="N7394" t="s">
        <v>291</v>
      </c>
      <c r="O7394" t="s">
        <v>46</v>
      </c>
      <c r="P7394" t="s">
        <v>46</v>
      </c>
      <c r="Y7394" t="s">
        <v>25233</v>
      </c>
    </row>
    <row r="7395" spans="1:25">
      <c r="A7395" t="s">
        <v>25234</v>
      </c>
      <c r="B7395" t="s">
        <v>25235</v>
      </c>
      <c r="D7395" t="s">
        <v>40</v>
      </c>
      <c r="E7395" t="s">
        <v>41</v>
      </c>
      <c r="J7395" t="s">
        <v>599</v>
      </c>
      <c r="K7395" t="s">
        <v>600</v>
      </c>
      <c r="L7395">
        <v>6</v>
      </c>
      <c r="M7395" t="s">
        <v>25236</v>
      </c>
      <c r="N7395" t="s">
        <v>1138</v>
      </c>
      <c r="O7395" t="s">
        <v>46</v>
      </c>
      <c r="P7395" t="s">
        <v>46</v>
      </c>
      <c r="Y7395" t="s">
        <v>25237</v>
      </c>
    </row>
    <row r="7396" spans="1:25">
      <c r="A7396" t="s">
        <v>25238</v>
      </c>
      <c r="B7396" t="s">
        <v>25239</v>
      </c>
      <c r="D7396" t="s">
        <v>40</v>
      </c>
      <c r="E7396" t="s">
        <v>41</v>
      </c>
      <c r="J7396" t="s">
        <v>248</v>
      </c>
      <c r="K7396" t="s">
        <v>249</v>
      </c>
      <c r="L7396">
        <v>6</v>
      </c>
      <c r="M7396" t="s">
        <v>25240</v>
      </c>
      <c r="N7396" t="s">
        <v>310</v>
      </c>
      <c r="O7396" t="s">
        <v>46</v>
      </c>
      <c r="P7396" t="s">
        <v>46</v>
      </c>
      <c r="Y7396" t="s">
        <v>25241</v>
      </c>
    </row>
    <row r="7397" spans="1:25">
      <c r="A7397" t="s">
        <v>25242</v>
      </c>
      <c r="B7397" t="s">
        <v>25243</v>
      </c>
      <c r="D7397" t="s">
        <v>40</v>
      </c>
      <c r="E7397" t="s">
        <v>41</v>
      </c>
      <c r="J7397" t="s">
        <v>139</v>
      </c>
      <c r="K7397" t="s">
        <v>140</v>
      </c>
      <c r="L7397">
        <v>5</v>
      </c>
      <c r="M7397" t="s">
        <v>25244</v>
      </c>
      <c r="N7397" t="s">
        <v>315</v>
      </c>
      <c r="O7397" t="s">
        <v>46</v>
      </c>
      <c r="P7397" t="s">
        <v>46</v>
      </c>
      <c r="Y7397" t="s">
        <v>25245</v>
      </c>
    </row>
    <row r="7398" spans="1:25">
      <c r="A7398" t="s">
        <v>25246</v>
      </c>
      <c r="B7398" t="s">
        <v>25247</v>
      </c>
      <c r="D7398" t="s">
        <v>40</v>
      </c>
      <c r="E7398" t="s">
        <v>41</v>
      </c>
      <c r="J7398" t="s">
        <v>12440</v>
      </c>
      <c r="K7398" t="s">
        <v>12441</v>
      </c>
      <c r="L7398">
        <v>7</v>
      </c>
      <c r="M7398" t="s">
        <v>25248</v>
      </c>
      <c r="N7398" t="s">
        <v>64</v>
      </c>
      <c r="O7398" t="s">
        <v>46</v>
      </c>
      <c r="P7398" t="s">
        <v>46</v>
      </c>
      <c r="Y7398" t="s">
        <v>25249</v>
      </c>
    </row>
    <row r="7399" spans="1:25">
      <c r="A7399" t="s">
        <v>25250</v>
      </c>
      <c r="B7399" t="s">
        <v>25251</v>
      </c>
      <c r="D7399" t="s">
        <v>40</v>
      </c>
      <c r="E7399" t="s">
        <v>41</v>
      </c>
      <c r="J7399" t="s">
        <v>139</v>
      </c>
      <c r="K7399" t="s">
        <v>140</v>
      </c>
      <c r="L7399">
        <v>6</v>
      </c>
      <c r="M7399" t="s">
        <v>25252</v>
      </c>
      <c r="N7399" t="s">
        <v>142</v>
      </c>
      <c r="O7399" t="s">
        <v>46</v>
      </c>
      <c r="P7399" t="s">
        <v>46</v>
      </c>
      <c r="Y7399" t="s">
        <v>25253</v>
      </c>
    </row>
    <row r="7400" spans="1:25">
      <c r="A7400" t="s">
        <v>25254</v>
      </c>
      <c r="B7400" t="s">
        <v>25255</v>
      </c>
      <c r="D7400" t="s">
        <v>40</v>
      </c>
      <c r="E7400" t="s">
        <v>41</v>
      </c>
      <c r="J7400" t="s">
        <v>911</v>
      </c>
      <c r="K7400" t="s">
        <v>912</v>
      </c>
      <c r="L7400">
        <v>6</v>
      </c>
      <c r="M7400" t="s">
        <v>25256</v>
      </c>
      <c r="N7400" t="s">
        <v>1369</v>
      </c>
      <c r="O7400" t="s">
        <v>46</v>
      </c>
      <c r="P7400" t="s">
        <v>46</v>
      </c>
      <c r="Y7400" t="s">
        <v>25257</v>
      </c>
    </row>
    <row r="7401" spans="1:25">
      <c r="A7401" t="s">
        <v>25258</v>
      </c>
      <c r="B7401" t="s">
        <v>25259</v>
      </c>
      <c r="D7401" t="s">
        <v>40</v>
      </c>
      <c r="E7401" t="s">
        <v>41</v>
      </c>
      <c r="J7401" t="s">
        <v>248</v>
      </c>
      <c r="K7401" t="s">
        <v>249</v>
      </c>
      <c r="L7401">
        <v>6</v>
      </c>
      <c r="M7401" t="s">
        <v>25260</v>
      </c>
      <c r="N7401" t="s">
        <v>310</v>
      </c>
      <c r="O7401" t="s">
        <v>46</v>
      </c>
      <c r="P7401" t="s">
        <v>46</v>
      </c>
      <c r="Y7401" t="s">
        <v>25261</v>
      </c>
    </row>
    <row r="7402" spans="1:25">
      <c r="A7402" t="s">
        <v>25262</v>
      </c>
      <c r="B7402" t="s">
        <v>25263</v>
      </c>
      <c r="D7402" t="s">
        <v>40</v>
      </c>
      <c r="E7402" t="s">
        <v>41</v>
      </c>
      <c r="J7402" t="s">
        <v>12440</v>
      </c>
      <c r="K7402" t="s">
        <v>12441</v>
      </c>
      <c r="L7402">
        <v>7</v>
      </c>
      <c r="M7402" t="s">
        <v>25264</v>
      </c>
      <c r="N7402" t="s">
        <v>64</v>
      </c>
      <c r="O7402" t="s">
        <v>46</v>
      </c>
      <c r="P7402" t="s">
        <v>46</v>
      </c>
      <c r="Y7402" t="s">
        <v>25265</v>
      </c>
    </row>
    <row r="7403" spans="1:25">
      <c r="A7403" t="s">
        <v>25266</v>
      </c>
      <c r="B7403" t="s">
        <v>25267</v>
      </c>
      <c r="D7403" t="s">
        <v>40</v>
      </c>
      <c r="E7403" t="s">
        <v>41</v>
      </c>
      <c r="J7403" t="s">
        <v>11802</v>
      </c>
      <c r="K7403" t="s">
        <v>11803</v>
      </c>
      <c r="L7403">
        <v>6</v>
      </c>
      <c r="M7403" t="s">
        <v>25268</v>
      </c>
      <c r="N7403" t="s">
        <v>924</v>
      </c>
      <c r="O7403" t="s">
        <v>46</v>
      </c>
      <c r="P7403" t="s">
        <v>46</v>
      </c>
      <c r="Y7403" t="s">
        <v>25269</v>
      </c>
    </row>
    <row r="7404" spans="1:25">
      <c r="A7404" t="s">
        <v>25270</v>
      </c>
      <c r="B7404" t="s">
        <v>25271</v>
      </c>
      <c r="D7404" t="s">
        <v>40</v>
      </c>
      <c r="E7404" t="s">
        <v>41</v>
      </c>
      <c r="J7404" t="s">
        <v>12440</v>
      </c>
      <c r="K7404" t="s">
        <v>12441</v>
      </c>
      <c r="L7404">
        <v>7</v>
      </c>
      <c r="M7404" t="s">
        <v>25272</v>
      </c>
      <c r="N7404" t="s">
        <v>64</v>
      </c>
      <c r="O7404" t="s">
        <v>46</v>
      </c>
      <c r="P7404" t="s">
        <v>46</v>
      </c>
      <c r="Y7404" t="s">
        <v>25273</v>
      </c>
    </row>
    <row r="7405" spans="1:25">
      <c r="A7405" t="s">
        <v>25274</v>
      </c>
      <c r="B7405" t="s">
        <v>25275</v>
      </c>
      <c r="D7405" t="s">
        <v>40</v>
      </c>
      <c r="E7405" t="s">
        <v>41</v>
      </c>
      <c r="J7405" t="s">
        <v>248</v>
      </c>
      <c r="K7405" t="s">
        <v>249</v>
      </c>
      <c r="L7405">
        <v>6</v>
      </c>
      <c r="M7405" t="s">
        <v>25276</v>
      </c>
      <c r="N7405" t="s">
        <v>350</v>
      </c>
      <c r="O7405" t="s">
        <v>46</v>
      </c>
      <c r="P7405" t="s">
        <v>46</v>
      </c>
      <c r="Y7405" t="s">
        <v>25277</v>
      </c>
    </row>
    <row r="7406" spans="1:25">
      <c r="A7406" t="s">
        <v>25278</v>
      </c>
      <c r="B7406" t="s">
        <v>25279</v>
      </c>
      <c r="D7406" t="s">
        <v>40</v>
      </c>
      <c r="E7406" t="s">
        <v>41</v>
      </c>
      <c r="J7406" t="s">
        <v>11802</v>
      </c>
      <c r="K7406" t="s">
        <v>11803</v>
      </c>
      <c r="L7406">
        <v>6</v>
      </c>
      <c r="M7406" t="s">
        <v>25280</v>
      </c>
      <c r="N7406" t="s">
        <v>1258</v>
      </c>
      <c r="O7406" t="s">
        <v>46</v>
      </c>
      <c r="P7406" t="s">
        <v>46</v>
      </c>
      <c r="Y7406" t="s">
        <v>25281</v>
      </c>
    </row>
    <row r="7407" spans="1:25">
      <c r="A7407" t="s">
        <v>25282</v>
      </c>
      <c r="B7407" t="s">
        <v>25283</v>
      </c>
      <c r="D7407" t="s">
        <v>40</v>
      </c>
      <c r="E7407" t="s">
        <v>41</v>
      </c>
      <c r="J7407" t="s">
        <v>1142</v>
      </c>
      <c r="K7407" t="s">
        <v>1143</v>
      </c>
      <c r="L7407">
        <v>6</v>
      </c>
      <c r="M7407" t="s">
        <v>25284</v>
      </c>
      <c r="N7407" t="s">
        <v>53</v>
      </c>
      <c r="O7407" t="s">
        <v>46</v>
      </c>
      <c r="P7407" t="s">
        <v>46</v>
      </c>
      <c r="Y7407" t="s">
        <v>25285</v>
      </c>
    </row>
    <row r="7408" spans="1:25">
      <c r="A7408" t="s">
        <v>25286</v>
      </c>
      <c r="B7408" t="s">
        <v>25287</v>
      </c>
      <c r="D7408" t="s">
        <v>40</v>
      </c>
      <c r="E7408" t="s">
        <v>41</v>
      </c>
      <c r="J7408" t="s">
        <v>248</v>
      </c>
      <c r="K7408" t="s">
        <v>249</v>
      </c>
      <c r="L7408">
        <v>7</v>
      </c>
      <c r="M7408" t="s">
        <v>25288</v>
      </c>
      <c r="N7408" t="s">
        <v>310</v>
      </c>
      <c r="O7408" t="s">
        <v>46</v>
      </c>
      <c r="P7408" t="s">
        <v>46</v>
      </c>
      <c r="Y7408" t="s">
        <v>25289</v>
      </c>
    </row>
    <row r="7409" spans="1:25">
      <c r="A7409" t="s">
        <v>25290</v>
      </c>
      <c r="B7409" t="s">
        <v>25291</v>
      </c>
      <c r="D7409" t="s">
        <v>40</v>
      </c>
      <c r="E7409" t="s">
        <v>41</v>
      </c>
      <c r="J7409" t="s">
        <v>6179</v>
      </c>
      <c r="K7409" t="s">
        <v>6180</v>
      </c>
      <c r="L7409">
        <v>7</v>
      </c>
      <c r="M7409" t="s">
        <v>25292</v>
      </c>
      <c r="N7409" t="s">
        <v>24387</v>
      </c>
      <c r="O7409" t="s">
        <v>46</v>
      </c>
      <c r="P7409" t="s">
        <v>46</v>
      </c>
      <c r="Y7409" t="s">
        <v>25293</v>
      </c>
    </row>
    <row r="7410" spans="1:25">
      <c r="A7410" t="s">
        <v>25294</v>
      </c>
      <c r="B7410" t="s">
        <v>25295</v>
      </c>
      <c r="D7410" t="s">
        <v>40</v>
      </c>
      <c r="E7410" t="s">
        <v>41</v>
      </c>
      <c r="J7410" t="s">
        <v>6255</v>
      </c>
      <c r="K7410" t="s">
        <v>6256</v>
      </c>
      <c r="L7410">
        <v>7</v>
      </c>
      <c r="M7410" t="s">
        <v>25296</v>
      </c>
      <c r="N7410" t="s">
        <v>315</v>
      </c>
      <c r="O7410" t="s">
        <v>46</v>
      </c>
      <c r="P7410" t="s">
        <v>46</v>
      </c>
      <c r="Y7410" t="s">
        <v>25297</v>
      </c>
    </row>
    <row r="7411" spans="1:25">
      <c r="A7411" t="s">
        <v>25298</v>
      </c>
      <c r="B7411" t="s">
        <v>25299</v>
      </c>
      <c r="D7411" t="s">
        <v>40</v>
      </c>
      <c r="E7411" t="s">
        <v>41</v>
      </c>
      <c r="J7411" t="s">
        <v>12440</v>
      </c>
      <c r="K7411" t="s">
        <v>12441</v>
      </c>
      <c r="L7411">
        <v>8</v>
      </c>
      <c r="M7411" t="s">
        <v>25300</v>
      </c>
      <c r="N7411" t="s">
        <v>64</v>
      </c>
      <c r="O7411" t="s">
        <v>46</v>
      </c>
      <c r="P7411" t="s">
        <v>46</v>
      </c>
      <c r="Y7411" t="s">
        <v>25301</v>
      </c>
    </row>
    <row r="7412" spans="1:25">
      <c r="A7412" t="s">
        <v>25302</v>
      </c>
      <c r="B7412" t="s">
        <v>25303</v>
      </c>
      <c r="D7412" t="s">
        <v>40</v>
      </c>
      <c r="E7412" t="s">
        <v>41</v>
      </c>
      <c r="J7412" t="s">
        <v>139</v>
      </c>
      <c r="K7412" t="s">
        <v>140</v>
      </c>
      <c r="L7412">
        <v>7</v>
      </c>
      <c r="M7412" t="s">
        <v>25304</v>
      </c>
      <c r="N7412" t="s">
        <v>1258</v>
      </c>
      <c r="O7412" t="s">
        <v>46</v>
      </c>
      <c r="P7412" t="s">
        <v>46</v>
      </c>
      <c r="Y7412" t="s">
        <v>25305</v>
      </c>
    </row>
    <row r="7413" spans="1:25">
      <c r="A7413" t="s">
        <v>25306</v>
      </c>
      <c r="B7413" t="s">
        <v>25307</v>
      </c>
      <c r="D7413" t="s">
        <v>40</v>
      </c>
      <c r="E7413" t="s">
        <v>41</v>
      </c>
      <c r="J7413" t="s">
        <v>248</v>
      </c>
      <c r="K7413" t="s">
        <v>249</v>
      </c>
      <c r="L7413">
        <v>6</v>
      </c>
      <c r="M7413" t="s">
        <v>25308</v>
      </c>
      <c r="N7413" t="s">
        <v>1446</v>
      </c>
      <c r="O7413" t="s">
        <v>46</v>
      </c>
      <c r="P7413" t="s">
        <v>46</v>
      </c>
      <c r="Y7413" t="s">
        <v>25309</v>
      </c>
    </row>
    <row r="7414" spans="1:25">
      <c r="A7414" t="s">
        <v>25310</v>
      </c>
      <c r="B7414" t="s">
        <v>25311</v>
      </c>
      <c r="D7414" t="s">
        <v>40</v>
      </c>
      <c r="E7414" t="s">
        <v>41</v>
      </c>
      <c r="J7414" t="s">
        <v>139</v>
      </c>
      <c r="K7414" t="s">
        <v>140</v>
      </c>
      <c r="L7414">
        <v>6</v>
      </c>
      <c r="M7414" t="s">
        <v>25312</v>
      </c>
      <c r="N7414" t="s">
        <v>24245</v>
      </c>
      <c r="O7414" t="s">
        <v>46</v>
      </c>
      <c r="P7414" t="s">
        <v>46</v>
      </c>
      <c r="Y7414" t="s">
        <v>25313</v>
      </c>
    </row>
    <row r="7415" spans="1:25">
      <c r="A7415" t="s">
        <v>25314</v>
      </c>
      <c r="B7415" t="s">
        <v>25315</v>
      </c>
      <c r="D7415" t="s">
        <v>40</v>
      </c>
      <c r="E7415" t="s">
        <v>41</v>
      </c>
      <c r="J7415" t="s">
        <v>248</v>
      </c>
      <c r="K7415" t="s">
        <v>249</v>
      </c>
      <c r="L7415">
        <v>7</v>
      </c>
      <c r="M7415" t="s">
        <v>25316</v>
      </c>
      <c r="N7415" t="s">
        <v>1229</v>
      </c>
      <c r="O7415" t="s">
        <v>46</v>
      </c>
      <c r="P7415" t="s">
        <v>46</v>
      </c>
      <c r="Y7415" t="s">
        <v>25317</v>
      </c>
    </row>
    <row r="7416" spans="1:25">
      <c r="A7416" t="s">
        <v>25318</v>
      </c>
      <c r="B7416" t="s">
        <v>25319</v>
      </c>
      <c r="D7416" t="s">
        <v>40</v>
      </c>
      <c r="E7416" t="s">
        <v>41</v>
      </c>
      <c r="J7416" t="s">
        <v>248</v>
      </c>
      <c r="K7416" t="s">
        <v>249</v>
      </c>
      <c r="L7416">
        <v>6</v>
      </c>
      <c r="M7416" t="s">
        <v>25320</v>
      </c>
      <c r="N7416" t="s">
        <v>509</v>
      </c>
      <c r="O7416" t="s">
        <v>46</v>
      </c>
      <c r="P7416" t="s">
        <v>46</v>
      </c>
      <c r="Y7416" t="s">
        <v>25321</v>
      </c>
    </row>
    <row r="7417" spans="1:25">
      <c r="A7417" t="s">
        <v>25322</v>
      </c>
      <c r="B7417" t="s">
        <v>25323</v>
      </c>
      <c r="D7417" t="s">
        <v>40</v>
      </c>
      <c r="E7417" t="s">
        <v>41</v>
      </c>
      <c r="J7417" t="s">
        <v>139</v>
      </c>
      <c r="K7417" t="s">
        <v>140</v>
      </c>
      <c r="L7417">
        <v>7</v>
      </c>
      <c r="M7417" t="s">
        <v>25320</v>
      </c>
      <c r="N7417" t="s">
        <v>257</v>
      </c>
      <c r="O7417" t="s">
        <v>46</v>
      </c>
      <c r="P7417" t="s">
        <v>46</v>
      </c>
      <c r="Y7417" t="s">
        <v>25324</v>
      </c>
    </row>
    <row r="7418" spans="1:25">
      <c r="A7418" t="s">
        <v>25325</v>
      </c>
      <c r="B7418" t="s">
        <v>25326</v>
      </c>
      <c r="D7418" t="s">
        <v>40</v>
      </c>
      <c r="E7418" t="s">
        <v>41</v>
      </c>
      <c r="J7418" t="s">
        <v>248</v>
      </c>
      <c r="K7418" t="s">
        <v>249</v>
      </c>
      <c r="L7418">
        <v>7</v>
      </c>
      <c r="M7418" t="s">
        <v>25327</v>
      </c>
      <c r="N7418" t="s">
        <v>1369</v>
      </c>
      <c r="O7418" t="s">
        <v>46</v>
      </c>
      <c r="P7418" t="s">
        <v>46</v>
      </c>
      <c r="Y7418" t="s">
        <v>25328</v>
      </c>
    </row>
    <row r="7419" spans="1:25">
      <c r="A7419" t="s">
        <v>25329</v>
      </c>
      <c r="B7419" t="s">
        <v>25330</v>
      </c>
      <c r="D7419" t="s">
        <v>40</v>
      </c>
      <c r="E7419" t="s">
        <v>41</v>
      </c>
      <c r="J7419" t="s">
        <v>12440</v>
      </c>
      <c r="K7419" t="s">
        <v>12441</v>
      </c>
      <c r="L7419">
        <v>8</v>
      </c>
      <c r="M7419" t="s">
        <v>25331</v>
      </c>
      <c r="N7419" t="s">
        <v>64</v>
      </c>
      <c r="O7419" t="s">
        <v>46</v>
      </c>
      <c r="P7419" t="s">
        <v>46</v>
      </c>
      <c r="Y7419" t="s">
        <v>25332</v>
      </c>
    </row>
    <row r="7420" spans="1:25">
      <c r="A7420" t="s">
        <v>25333</v>
      </c>
      <c r="B7420" t="s">
        <v>25334</v>
      </c>
      <c r="D7420" t="s">
        <v>40</v>
      </c>
      <c r="E7420" t="s">
        <v>41</v>
      </c>
      <c r="J7420" t="s">
        <v>1554</v>
      </c>
      <c r="K7420" t="s">
        <v>1555</v>
      </c>
      <c r="L7420">
        <v>7</v>
      </c>
      <c r="M7420" t="s">
        <v>25335</v>
      </c>
      <c r="N7420" t="s">
        <v>1138</v>
      </c>
      <c r="O7420" t="s">
        <v>46</v>
      </c>
      <c r="P7420" t="s">
        <v>46</v>
      </c>
      <c r="Y7420" t="s">
        <v>25336</v>
      </c>
    </row>
    <row r="7421" spans="1:25">
      <c r="A7421" t="s">
        <v>25337</v>
      </c>
      <c r="B7421" t="s">
        <v>25338</v>
      </c>
      <c r="D7421" t="s">
        <v>40</v>
      </c>
      <c r="E7421" t="s">
        <v>41</v>
      </c>
      <c r="J7421" t="s">
        <v>248</v>
      </c>
      <c r="K7421" t="s">
        <v>249</v>
      </c>
      <c r="L7421">
        <v>7</v>
      </c>
      <c r="M7421" t="s">
        <v>25339</v>
      </c>
      <c r="N7421" t="s">
        <v>752</v>
      </c>
      <c r="O7421" t="s">
        <v>46</v>
      </c>
      <c r="P7421" t="s">
        <v>46</v>
      </c>
      <c r="Y7421" t="s">
        <v>25340</v>
      </c>
    </row>
    <row r="7422" spans="1:25">
      <c r="A7422" t="s">
        <v>25341</v>
      </c>
      <c r="B7422" t="s">
        <v>25342</v>
      </c>
      <c r="D7422" t="s">
        <v>40</v>
      </c>
      <c r="E7422" t="s">
        <v>41</v>
      </c>
      <c r="J7422" t="s">
        <v>921</v>
      </c>
      <c r="K7422" t="s">
        <v>922</v>
      </c>
      <c r="L7422">
        <v>7</v>
      </c>
      <c r="M7422" t="s">
        <v>25343</v>
      </c>
      <c r="N7422" t="s">
        <v>296</v>
      </c>
      <c r="O7422" t="s">
        <v>46</v>
      </c>
      <c r="P7422" t="s">
        <v>46</v>
      </c>
      <c r="Y7422" t="s">
        <v>25344</v>
      </c>
    </row>
    <row r="7423" spans="1:25">
      <c r="A7423" t="s">
        <v>25345</v>
      </c>
      <c r="B7423" t="s">
        <v>25346</v>
      </c>
      <c r="D7423" t="s">
        <v>40</v>
      </c>
      <c r="E7423" t="s">
        <v>41</v>
      </c>
      <c r="J7423" t="s">
        <v>1554</v>
      </c>
      <c r="K7423" t="s">
        <v>1555</v>
      </c>
      <c r="L7423">
        <v>4</v>
      </c>
      <c r="M7423" t="s">
        <v>25347</v>
      </c>
      <c r="N7423" t="s">
        <v>436</v>
      </c>
      <c r="O7423" t="s">
        <v>46</v>
      </c>
      <c r="P7423" t="s">
        <v>46</v>
      </c>
      <c r="Y7423" t="s">
        <v>25348</v>
      </c>
    </row>
    <row r="7424" spans="1:25">
      <c r="A7424" t="s">
        <v>25349</v>
      </c>
      <c r="B7424" t="s">
        <v>25350</v>
      </c>
      <c r="D7424" t="s">
        <v>40</v>
      </c>
      <c r="E7424" t="s">
        <v>41</v>
      </c>
      <c r="J7424" t="s">
        <v>248</v>
      </c>
      <c r="K7424" t="s">
        <v>249</v>
      </c>
      <c r="L7424">
        <v>6</v>
      </c>
      <c r="M7424" t="s">
        <v>25351</v>
      </c>
      <c r="N7424" t="s">
        <v>1550</v>
      </c>
      <c r="O7424" t="s">
        <v>46</v>
      </c>
      <c r="P7424" t="s">
        <v>46</v>
      </c>
      <c r="Y7424" t="s">
        <v>25352</v>
      </c>
    </row>
    <row r="7425" spans="1:25">
      <c r="A7425" t="s">
        <v>25353</v>
      </c>
      <c r="B7425" t="s">
        <v>25354</v>
      </c>
      <c r="D7425" t="s">
        <v>40</v>
      </c>
      <c r="E7425" t="s">
        <v>41</v>
      </c>
      <c r="J7425" t="s">
        <v>139</v>
      </c>
      <c r="K7425" t="s">
        <v>140</v>
      </c>
      <c r="L7425">
        <v>6</v>
      </c>
      <c r="M7425" t="s">
        <v>25355</v>
      </c>
      <c r="N7425" t="s">
        <v>1392</v>
      </c>
      <c r="O7425" t="s">
        <v>46</v>
      </c>
      <c r="P7425" t="s">
        <v>46</v>
      </c>
      <c r="Y7425" t="s">
        <v>25356</v>
      </c>
    </row>
    <row r="7426" spans="1:25">
      <c r="A7426" t="s">
        <v>25357</v>
      </c>
      <c r="B7426" t="s">
        <v>25358</v>
      </c>
      <c r="D7426" t="s">
        <v>40</v>
      </c>
      <c r="E7426" t="s">
        <v>41</v>
      </c>
      <c r="J7426" t="s">
        <v>599</v>
      </c>
      <c r="K7426" t="s">
        <v>600</v>
      </c>
      <c r="L7426">
        <v>7</v>
      </c>
      <c r="M7426" t="s">
        <v>25359</v>
      </c>
      <c r="N7426" t="s">
        <v>440</v>
      </c>
      <c r="O7426" t="s">
        <v>46</v>
      </c>
      <c r="P7426" t="s">
        <v>46</v>
      </c>
      <c r="Y7426" t="s">
        <v>25360</v>
      </c>
    </row>
    <row r="7427" spans="1:25">
      <c r="A7427" t="s">
        <v>25361</v>
      </c>
      <c r="B7427" t="s">
        <v>25362</v>
      </c>
      <c r="D7427" t="s">
        <v>40</v>
      </c>
      <c r="E7427" t="s">
        <v>41</v>
      </c>
      <c r="J7427" t="s">
        <v>921</v>
      </c>
      <c r="K7427" t="s">
        <v>922</v>
      </c>
      <c r="L7427">
        <v>7</v>
      </c>
      <c r="M7427" t="s">
        <v>25363</v>
      </c>
      <c r="N7427" t="s">
        <v>291</v>
      </c>
      <c r="O7427" t="s">
        <v>46</v>
      </c>
      <c r="P7427" t="s">
        <v>46</v>
      </c>
      <c r="Y7427" t="s">
        <v>25364</v>
      </c>
    </row>
    <row r="7428" spans="1:25">
      <c r="A7428" t="s">
        <v>25365</v>
      </c>
      <c r="B7428" t="s">
        <v>25366</v>
      </c>
      <c r="D7428" t="s">
        <v>40</v>
      </c>
      <c r="E7428" t="s">
        <v>41</v>
      </c>
      <c r="J7428" t="s">
        <v>248</v>
      </c>
      <c r="K7428" t="s">
        <v>249</v>
      </c>
      <c r="L7428">
        <v>4</v>
      </c>
      <c r="M7428" t="s">
        <v>25367</v>
      </c>
      <c r="N7428" t="s">
        <v>1229</v>
      </c>
      <c r="O7428" t="s">
        <v>46</v>
      </c>
      <c r="P7428" t="s">
        <v>46</v>
      </c>
      <c r="Y7428" t="s">
        <v>25368</v>
      </c>
    </row>
    <row r="7429" spans="1:25">
      <c r="A7429" t="s">
        <v>25369</v>
      </c>
      <c r="B7429" t="s">
        <v>25370</v>
      </c>
      <c r="D7429" t="s">
        <v>40</v>
      </c>
      <c r="E7429" t="s">
        <v>41</v>
      </c>
      <c r="J7429" t="s">
        <v>248</v>
      </c>
      <c r="K7429" t="s">
        <v>249</v>
      </c>
      <c r="L7429">
        <v>6</v>
      </c>
      <c r="M7429" t="s">
        <v>25371</v>
      </c>
      <c r="N7429" t="s">
        <v>1229</v>
      </c>
      <c r="O7429" t="s">
        <v>46</v>
      </c>
      <c r="P7429" t="s">
        <v>46</v>
      </c>
      <c r="Y7429" t="s">
        <v>25372</v>
      </c>
    </row>
    <row r="7430" spans="1:25">
      <c r="A7430" t="s">
        <v>25373</v>
      </c>
      <c r="B7430" t="s">
        <v>25374</v>
      </c>
      <c r="D7430" t="s">
        <v>40</v>
      </c>
      <c r="E7430" t="s">
        <v>41</v>
      </c>
      <c r="J7430" t="s">
        <v>1142</v>
      </c>
      <c r="K7430" t="s">
        <v>1143</v>
      </c>
      <c r="L7430">
        <v>6</v>
      </c>
      <c r="M7430" t="s">
        <v>25375</v>
      </c>
      <c r="N7430" t="s">
        <v>310</v>
      </c>
      <c r="O7430" t="s">
        <v>46</v>
      </c>
      <c r="P7430" t="s">
        <v>46</v>
      </c>
      <c r="Y7430" t="s">
        <v>25376</v>
      </c>
    </row>
    <row r="7431" spans="1:25">
      <c r="A7431" t="s">
        <v>25377</v>
      </c>
      <c r="B7431" t="s">
        <v>25378</v>
      </c>
      <c r="D7431" t="s">
        <v>40</v>
      </c>
      <c r="E7431" t="s">
        <v>41</v>
      </c>
      <c r="J7431" t="s">
        <v>248</v>
      </c>
      <c r="K7431" t="s">
        <v>249</v>
      </c>
      <c r="L7431">
        <v>4</v>
      </c>
      <c r="M7431" t="s">
        <v>25379</v>
      </c>
      <c r="N7431" t="s">
        <v>1229</v>
      </c>
      <c r="O7431" t="s">
        <v>46</v>
      </c>
      <c r="P7431" t="s">
        <v>46</v>
      </c>
      <c r="Y7431" t="s">
        <v>25380</v>
      </c>
    </row>
    <row r="7432" spans="1:25">
      <c r="A7432" t="s">
        <v>25381</v>
      </c>
      <c r="B7432" t="s">
        <v>25382</v>
      </c>
      <c r="D7432" t="s">
        <v>40</v>
      </c>
      <c r="E7432" t="s">
        <v>41</v>
      </c>
      <c r="J7432" t="s">
        <v>139</v>
      </c>
      <c r="K7432" t="s">
        <v>140</v>
      </c>
      <c r="L7432">
        <v>6</v>
      </c>
      <c r="M7432" t="s">
        <v>25383</v>
      </c>
      <c r="N7432" t="s">
        <v>305</v>
      </c>
      <c r="O7432" t="s">
        <v>46</v>
      </c>
      <c r="P7432" t="s">
        <v>46</v>
      </c>
      <c r="Y7432" t="s">
        <v>25384</v>
      </c>
    </row>
    <row r="7433" spans="1:25">
      <c r="A7433" t="s">
        <v>25385</v>
      </c>
      <c r="B7433" t="s">
        <v>25386</v>
      </c>
      <c r="D7433" t="s">
        <v>40</v>
      </c>
      <c r="E7433" t="s">
        <v>41</v>
      </c>
      <c r="J7433" t="s">
        <v>248</v>
      </c>
      <c r="K7433" t="s">
        <v>249</v>
      </c>
      <c r="L7433">
        <v>8</v>
      </c>
      <c r="M7433" t="s">
        <v>25387</v>
      </c>
      <c r="N7433" t="s">
        <v>25388</v>
      </c>
      <c r="O7433" t="s">
        <v>46</v>
      </c>
      <c r="P7433" t="s">
        <v>46</v>
      </c>
      <c r="Y7433" t="s">
        <v>25389</v>
      </c>
    </row>
    <row r="7434" spans="1:25">
      <c r="A7434" t="s">
        <v>25390</v>
      </c>
      <c r="B7434" t="s">
        <v>25391</v>
      </c>
      <c r="D7434" t="s">
        <v>40</v>
      </c>
      <c r="E7434" t="s">
        <v>41</v>
      </c>
      <c r="J7434" t="s">
        <v>911</v>
      </c>
      <c r="K7434" t="s">
        <v>912</v>
      </c>
      <c r="L7434">
        <v>8</v>
      </c>
      <c r="M7434" t="s">
        <v>25392</v>
      </c>
      <c r="N7434" t="s">
        <v>1814</v>
      </c>
      <c r="O7434" t="s">
        <v>46</v>
      </c>
      <c r="P7434" t="s">
        <v>46</v>
      </c>
      <c r="Y7434" t="s">
        <v>25393</v>
      </c>
    </row>
    <row r="7435" spans="1:25">
      <c r="A7435" t="s">
        <v>25394</v>
      </c>
      <c r="B7435" t="s">
        <v>25395</v>
      </c>
      <c r="D7435" t="s">
        <v>40</v>
      </c>
      <c r="E7435" t="s">
        <v>41</v>
      </c>
      <c r="J7435" t="s">
        <v>599</v>
      </c>
      <c r="K7435" t="s">
        <v>600</v>
      </c>
      <c r="L7435">
        <v>8</v>
      </c>
      <c r="M7435" t="s">
        <v>25392</v>
      </c>
      <c r="N7435" t="s">
        <v>173</v>
      </c>
      <c r="O7435" t="s">
        <v>46</v>
      </c>
      <c r="P7435" t="s">
        <v>46</v>
      </c>
      <c r="Y7435" t="s">
        <v>25396</v>
      </c>
    </row>
    <row r="7436" spans="1:25">
      <c r="A7436" t="s">
        <v>25397</v>
      </c>
      <c r="B7436" t="s">
        <v>25398</v>
      </c>
      <c r="D7436" t="s">
        <v>40</v>
      </c>
      <c r="E7436" t="s">
        <v>41</v>
      </c>
      <c r="J7436" t="s">
        <v>248</v>
      </c>
      <c r="K7436" t="s">
        <v>249</v>
      </c>
      <c r="L7436">
        <v>7</v>
      </c>
      <c r="M7436" t="s">
        <v>25399</v>
      </c>
      <c r="N7436" t="s">
        <v>142</v>
      </c>
      <c r="O7436" t="s">
        <v>46</v>
      </c>
      <c r="P7436" t="s">
        <v>46</v>
      </c>
      <c r="Y7436" t="s">
        <v>25400</v>
      </c>
    </row>
    <row r="7437" spans="1:25">
      <c r="A7437" t="s">
        <v>25401</v>
      </c>
      <c r="B7437" t="s">
        <v>25402</v>
      </c>
      <c r="D7437" t="s">
        <v>40</v>
      </c>
      <c r="E7437" t="s">
        <v>41</v>
      </c>
      <c r="J7437" t="s">
        <v>921</v>
      </c>
      <c r="K7437" t="s">
        <v>922</v>
      </c>
      <c r="L7437">
        <v>7</v>
      </c>
      <c r="M7437" t="s">
        <v>25403</v>
      </c>
      <c r="N7437" t="s">
        <v>22465</v>
      </c>
      <c r="O7437" t="s">
        <v>46</v>
      </c>
      <c r="P7437" t="s">
        <v>46</v>
      </c>
      <c r="Y7437" t="s">
        <v>25404</v>
      </c>
    </row>
    <row r="7438" spans="1:25">
      <c r="A7438" t="s">
        <v>25405</v>
      </c>
      <c r="B7438" t="s">
        <v>25406</v>
      </c>
      <c r="D7438" t="s">
        <v>40</v>
      </c>
      <c r="E7438" t="s">
        <v>41</v>
      </c>
      <c r="J7438" t="s">
        <v>139</v>
      </c>
      <c r="K7438" t="s">
        <v>140</v>
      </c>
      <c r="L7438">
        <v>7</v>
      </c>
      <c r="M7438" t="s">
        <v>25407</v>
      </c>
      <c r="N7438" t="s">
        <v>1276</v>
      </c>
      <c r="O7438" t="s">
        <v>46</v>
      </c>
      <c r="P7438" t="s">
        <v>46</v>
      </c>
      <c r="Y7438" t="s">
        <v>25408</v>
      </c>
    </row>
    <row r="7439" spans="1:25">
      <c r="A7439" t="s">
        <v>25409</v>
      </c>
      <c r="B7439" t="s">
        <v>25410</v>
      </c>
      <c r="D7439" t="s">
        <v>40</v>
      </c>
      <c r="E7439" t="s">
        <v>41</v>
      </c>
      <c r="J7439" t="s">
        <v>139</v>
      </c>
      <c r="K7439" t="s">
        <v>140</v>
      </c>
      <c r="L7439">
        <v>7</v>
      </c>
      <c r="M7439" t="s">
        <v>25411</v>
      </c>
      <c r="N7439" t="s">
        <v>310</v>
      </c>
      <c r="O7439" t="s">
        <v>46</v>
      </c>
      <c r="P7439" t="s">
        <v>46</v>
      </c>
      <c r="Y7439" t="s">
        <v>25412</v>
      </c>
    </row>
    <row r="7440" spans="1:25">
      <c r="A7440" t="s">
        <v>25413</v>
      </c>
      <c r="B7440" t="s">
        <v>25414</v>
      </c>
      <c r="D7440" t="s">
        <v>40</v>
      </c>
      <c r="E7440" t="s">
        <v>41</v>
      </c>
      <c r="J7440" t="s">
        <v>248</v>
      </c>
      <c r="K7440" t="s">
        <v>249</v>
      </c>
      <c r="L7440">
        <v>7</v>
      </c>
      <c r="M7440" t="s">
        <v>25415</v>
      </c>
      <c r="N7440" t="s">
        <v>257</v>
      </c>
      <c r="O7440" t="s">
        <v>46</v>
      </c>
      <c r="P7440" t="s">
        <v>46</v>
      </c>
      <c r="Y7440" t="s">
        <v>25416</v>
      </c>
    </row>
    <row r="7441" spans="1:25">
      <c r="A7441" t="s">
        <v>25417</v>
      </c>
      <c r="B7441" t="s">
        <v>25418</v>
      </c>
      <c r="D7441" t="s">
        <v>40</v>
      </c>
      <c r="E7441" t="s">
        <v>41</v>
      </c>
      <c r="J7441" t="s">
        <v>14558</v>
      </c>
      <c r="K7441" t="s">
        <v>14559</v>
      </c>
      <c r="L7441">
        <v>7</v>
      </c>
      <c r="M7441" t="s">
        <v>25419</v>
      </c>
      <c r="N7441" t="s">
        <v>45</v>
      </c>
      <c r="O7441" t="s">
        <v>46</v>
      </c>
      <c r="P7441" t="s">
        <v>46</v>
      </c>
      <c r="Y7441" t="s">
        <v>25420</v>
      </c>
    </row>
    <row r="7442" spans="1:25">
      <c r="A7442" t="s">
        <v>25421</v>
      </c>
      <c r="B7442" t="s">
        <v>25422</v>
      </c>
      <c r="D7442" t="s">
        <v>40</v>
      </c>
      <c r="E7442" t="s">
        <v>41</v>
      </c>
      <c r="J7442" t="s">
        <v>248</v>
      </c>
      <c r="K7442" t="s">
        <v>249</v>
      </c>
      <c r="L7442">
        <v>7</v>
      </c>
      <c r="M7442" t="s">
        <v>25423</v>
      </c>
      <c r="N7442" t="s">
        <v>178</v>
      </c>
      <c r="O7442" t="s">
        <v>46</v>
      </c>
      <c r="P7442" t="s">
        <v>46</v>
      </c>
      <c r="Y7442" t="s">
        <v>25424</v>
      </c>
    </row>
    <row r="7443" spans="1:25">
      <c r="A7443" t="s">
        <v>25425</v>
      </c>
      <c r="B7443" t="s">
        <v>25426</v>
      </c>
      <c r="D7443" t="s">
        <v>40</v>
      </c>
      <c r="E7443" t="s">
        <v>41</v>
      </c>
      <c r="J7443" t="s">
        <v>599</v>
      </c>
      <c r="K7443" t="s">
        <v>600</v>
      </c>
      <c r="L7443">
        <v>7</v>
      </c>
      <c r="M7443" t="s">
        <v>25427</v>
      </c>
      <c r="N7443" t="s">
        <v>1446</v>
      </c>
      <c r="O7443" t="s">
        <v>46</v>
      </c>
      <c r="P7443" t="s">
        <v>46</v>
      </c>
      <c r="Y7443" t="s">
        <v>25428</v>
      </c>
    </row>
    <row r="7444" spans="1:25">
      <c r="A7444" t="s">
        <v>25429</v>
      </c>
      <c r="B7444" t="s">
        <v>25430</v>
      </c>
      <c r="D7444" t="s">
        <v>40</v>
      </c>
      <c r="E7444" t="s">
        <v>41</v>
      </c>
      <c r="J7444" t="s">
        <v>1142</v>
      </c>
      <c r="K7444" t="s">
        <v>1143</v>
      </c>
      <c r="L7444">
        <v>7</v>
      </c>
      <c r="M7444" t="s">
        <v>25431</v>
      </c>
      <c r="N7444" t="s">
        <v>23374</v>
      </c>
      <c r="O7444" t="s">
        <v>46</v>
      </c>
      <c r="P7444" t="s">
        <v>46</v>
      </c>
      <c r="Y7444" t="s">
        <v>25432</v>
      </c>
    </row>
    <row r="7445" spans="1:25">
      <c r="A7445" t="s">
        <v>25433</v>
      </c>
      <c r="B7445" t="s">
        <v>25434</v>
      </c>
      <c r="D7445" t="s">
        <v>40</v>
      </c>
      <c r="E7445" t="s">
        <v>41</v>
      </c>
      <c r="J7445" t="s">
        <v>1554</v>
      </c>
      <c r="K7445" t="s">
        <v>1555</v>
      </c>
      <c r="L7445">
        <v>7</v>
      </c>
      <c r="M7445" t="s">
        <v>25435</v>
      </c>
      <c r="N7445" t="s">
        <v>5995</v>
      </c>
      <c r="O7445" t="s">
        <v>46</v>
      </c>
      <c r="P7445" t="s">
        <v>46</v>
      </c>
      <c r="Y7445" t="s">
        <v>25436</v>
      </c>
    </row>
    <row r="7446" spans="1:25">
      <c r="A7446" t="s">
        <v>25437</v>
      </c>
      <c r="B7446" t="s">
        <v>25438</v>
      </c>
      <c r="D7446" t="s">
        <v>40</v>
      </c>
      <c r="E7446" t="s">
        <v>41</v>
      </c>
      <c r="J7446" t="s">
        <v>248</v>
      </c>
      <c r="K7446" t="s">
        <v>249</v>
      </c>
      <c r="L7446">
        <v>7</v>
      </c>
      <c r="M7446" t="s">
        <v>25439</v>
      </c>
      <c r="N7446" t="s">
        <v>1397</v>
      </c>
      <c r="O7446" t="s">
        <v>46</v>
      </c>
      <c r="P7446" t="s">
        <v>46</v>
      </c>
      <c r="Y7446" t="s">
        <v>25440</v>
      </c>
    </row>
    <row r="7447" spans="1:25">
      <c r="A7447" t="s">
        <v>25441</v>
      </c>
      <c r="B7447" t="s">
        <v>25442</v>
      </c>
      <c r="D7447" t="s">
        <v>40</v>
      </c>
      <c r="E7447" t="s">
        <v>41</v>
      </c>
      <c r="J7447" t="s">
        <v>248</v>
      </c>
      <c r="K7447" t="s">
        <v>249</v>
      </c>
      <c r="L7447">
        <v>7</v>
      </c>
      <c r="M7447" t="s">
        <v>25443</v>
      </c>
      <c r="N7447" t="s">
        <v>1397</v>
      </c>
      <c r="O7447" t="s">
        <v>46</v>
      </c>
      <c r="P7447" t="s">
        <v>46</v>
      </c>
      <c r="Y7447" t="s">
        <v>25444</v>
      </c>
    </row>
    <row r="7448" spans="1:25">
      <c r="A7448" t="s">
        <v>25445</v>
      </c>
      <c r="B7448" t="s">
        <v>25446</v>
      </c>
      <c r="D7448" t="s">
        <v>40</v>
      </c>
      <c r="E7448" t="s">
        <v>41</v>
      </c>
      <c r="J7448" t="s">
        <v>248</v>
      </c>
      <c r="K7448" t="s">
        <v>249</v>
      </c>
      <c r="L7448">
        <v>7</v>
      </c>
      <c r="M7448" t="s">
        <v>25447</v>
      </c>
      <c r="N7448" t="s">
        <v>178</v>
      </c>
      <c r="O7448" t="s">
        <v>46</v>
      </c>
      <c r="P7448" t="s">
        <v>46</v>
      </c>
      <c r="Y7448" t="s">
        <v>25448</v>
      </c>
    </row>
    <row r="7449" spans="1:25">
      <c r="A7449" t="s">
        <v>25449</v>
      </c>
      <c r="B7449" t="s">
        <v>25450</v>
      </c>
      <c r="D7449" t="s">
        <v>40</v>
      </c>
      <c r="E7449" t="s">
        <v>41</v>
      </c>
      <c r="J7449" t="s">
        <v>599</v>
      </c>
      <c r="K7449" t="s">
        <v>600</v>
      </c>
      <c r="L7449">
        <v>7</v>
      </c>
      <c r="M7449" t="s">
        <v>25451</v>
      </c>
      <c r="N7449" t="s">
        <v>218</v>
      </c>
      <c r="O7449" t="s">
        <v>46</v>
      </c>
      <c r="P7449" t="s">
        <v>46</v>
      </c>
      <c r="Y7449" t="s">
        <v>25452</v>
      </c>
    </row>
    <row r="7450" spans="1:25">
      <c r="A7450" t="s">
        <v>25453</v>
      </c>
      <c r="B7450" t="s">
        <v>25454</v>
      </c>
      <c r="D7450" t="s">
        <v>40</v>
      </c>
      <c r="E7450" t="s">
        <v>41</v>
      </c>
      <c r="J7450" t="s">
        <v>139</v>
      </c>
      <c r="K7450" t="s">
        <v>140</v>
      </c>
      <c r="L7450">
        <v>7</v>
      </c>
      <c r="M7450" t="s">
        <v>25455</v>
      </c>
      <c r="N7450" t="s">
        <v>25388</v>
      </c>
      <c r="O7450" t="s">
        <v>46</v>
      </c>
      <c r="P7450" t="s">
        <v>46</v>
      </c>
      <c r="Y7450" t="s">
        <v>25456</v>
      </c>
    </row>
    <row r="7451" spans="1:25">
      <c r="A7451" t="s">
        <v>25457</v>
      </c>
      <c r="B7451" t="s">
        <v>25458</v>
      </c>
      <c r="D7451" t="s">
        <v>40</v>
      </c>
      <c r="E7451" t="s">
        <v>41</v>
      </c>
      <c r="J7451" t="s">
        <v>12440</v>
      </c>
      <c r="K7451" t="s">
        <v>12441</v>
      </c>
      <c r="L7451">
        <v>8</v>
      </c>
      <c r="M7451" t="s">
        <v>25459</v>
      </c>
      <c r="N7451" t="s">
        <v>1478</v>
      </c>
      <c r="O7451" t="s">
        <v>46</v>
      </c>
      <c r="P7451" t="s">
        <v>46</v>
      </c>
      <c r="Y7451" t="s">
        <v>25460</v>
      </c>
    </row>
    <row r="7452" spans="1:25">
      <c r="A7452" t="s">
        <v>25461</v>
      </c>
      <c r="B7452" t="s">
        <v>25462</v>
      </c>
      <c r="D7452" t="s">
        <v>40</v>
      </c>
      <c r="E7452" t="s">
        <v>41</v>
      </c>
      <c r="J7452" t="s">
        <v>248</v>
      </c>
      <c r="K7452" t="s">
        <v>249</v>
      </c>
      <c r="L7452">
        <v>7</v>
      </c>
      <c r="M7452" t="s">
        <v>25463</v>
      </c>
      <c r="N7452" t="s">
        <v>173</v>
      </c>
      <c r="O7452" t="s">
        <v>46</v>
      </c>
      <c r="P7452" t="s">
        <v>46</v>
      </c>
      <c r="Y7452" t="s">
        <v>25464</v>
      </c>
    </row>
    <row r="7453" spans="1:25">
      <c r="A7453" t="s">
        <v>25465</v>
      </c>
      <c r="B7453" t="s">
        <v>25466</v>
      </c>
      <c r="D7453" t="s">
        <v>40</v>
      </c>
      <c r="E7453" t="s">
        <v>41</v>
      </c>
      <c r="J7453" t="s">
        <v>6179</v>
      </c>
      <c r="K7453" t="s">
        <v>6180</v>
      </c>
      <c r="L7453">
        <v>7</v>
      </c>
      <c r="M7453" t="s">
        <v>25463</v>
      </c>
      <c r="N7453" t="s">
        <v>752</v>
      </c>
      <c r="O7453" t="s">
        <v>46</v>
      </c>
      <c r="P7453" t="s">
        <v>46</v>
      </c>
      <c r="Y7453" t="s">
        <v>25467</v>
      </c>
    </row>
    <row r="7454" spans="1:25">
      <c r="A7454" t="s">
        <v>25468</v>
      </c>
      <c r="B7454" t="s">
        <v>25469</v>
      </c>
      <c r="D7454" t="s">
        <v>40</v>
      </c>
      <c r="E7454" t="s">
        <v>41</v>
      </c>
      <c r="J7454" t="s">
        <v>248</v>
      </c>
      <c r="K7454" t="s">
        <v>249</v>
      </c>
      <c r="L7454">
        <v>6</v>
      </c>
      <c r="M7454" t="s">
        <v>25470</v>
      </c>
      <c r="N7454" t="s">
        <v>752</v>
      </c>
      <c r="O7454" t="s">
        <v>46</v>
      </c>
      <c r="P7454" t="s">
        <v>46</v>
      </c>
      <c r="Y7454" t="s">
        <v>25471</v>
      </c>
    </row>
    <row r="7455" spans="1:25">
      <c r="A7455" t="s">
        <v>25472</v>
      </c>
      <c r="B7455" t="s">
        <v>25473</v>
      </c>
      <c r="D7455" t="s">
        <v>40</v>
      </c>
      <c r="E7455" t="s">
        <v>41</v>
      </c>
      <c r="J7455" t="s">
        <v>1142</v>
      </c>
      <c r="K7455" t="s">
        <v>1143</v>
      </c>
      <c r="L7455">
        <v>6</v>
      </c>
      <c r="M7455" t="s">
        <v>25474</v>
      </c>
      <c r="N7455" t="s">
        <v>178</v>
      </c>
      <c r="O7455" t="s">
        <v>46</v>
      </c>
      <c r="P7455" t="s">
        <v>46</v>
      </c>
      <c r="Y7455" t="s">
        <v>25475</v>
      </c>
    </row>
    <row r="7456" spans="1:25">
      <c r="A7456" t="s">
        <v>25476</v>
      </c>
      <c r="B7456" t="s">
        <v>25477</v>
      </c>
      <c r="D7456" t="s">
        <v>40</v>
      </c>
      <c r="E7456" t="s">
        <v>41</v>
      </c>
      <c r="J7456" t="s">
        <v>248</v>
      </c>
      <c r="K7456" t="s">
        <v>249</v>
      </c>
      <c r="L7456">
        <v>6</v>
      </c>
      <c r="M7456" t="s">
        <v>25474</v>
      </c>
      <c r="N7456" t="s">
        <v>1047</v>
      </c>
      <c r="O7456" t="s">
        <v>46</v>
      </c>
      <c r="P7456" t="s">
        <v>46</v>
      </c>
      <c r="Y7456" t="s">
        <v>25478</v>
      </c>
    </row>
    <row r="7457" spans="1:25">
      <c r="A7457" t="s">
        <v>25479</v>
      </c>
      <c r="B7457" t="s">
        <v>25480</v>
      </c>
      <c r="D7457" t="s">
        <v>40</v>
      </c>
      <c r="E7457" t="s">
        <v>41</v>
      </c>
      <c r="J7457" t="s">
        <v>248</v>
      </c>
      <c r="K7457" t="s">
        <v>249</v>
      </c>
      <c r="L7457">
        <v>6</v>
      </c>
      <c r="M7457" t="s">
        <v>25474</v>
      </c>
      <c r="N7457" t="s">
        <v>1369</v>
      </c>
      <c r="O7457" t="s">
        <v>46</v>
      </c>
      <c r="P7457" t="s">
        <v>46</v>
      </c>
      <c r="Y7457" t="s">
        <v>25481</v>
      </c>
    </row>
    <row r="7458" spans="1:25">
      <c r="A7458" t="s">
        <v>25482</v>
      </c>
      <c r="B7458" t="s">
        <v>25483</v>
      </c>
      <c r="D7458" t="s">
        <v>40</v>
      </c>
      <c r="E7458" t="s">
        <v>41</v>
      </c>
      <c r="J7458" t="s">
        <v>248</v>
      </c>
      <c r="K7458" t="s">
        <v>249</v>
      </c>
      <c r="L7458">
        <v>6</v>
      </c>
      <c r="M7458" t="s">
        <v>25474</v>
      </c>
      <c r="N7458" t="s">
        <v>45</v>
      </c>
      <c r="O7458" t="s">
        <v>46</v>
      </c>
      <c r="P7458" t="s">
        <v>46</v>
      </c>
      <c r="Y7458" t="s">
        <v>25484</v>
      </c>
    </row>
    <row r="7459" spans="1:25">
      <c r="A7459" t="s">
        <v>25485</v>
      </c>
      <c r="B7459" t="s">
        <v>25486</v>
      </c>
      <c r="D7459" t="s">
        <v>40</v>
      </c>
      <c r="E7459" t="s">
        <v>41</v>
      </c>
      <c r="J7459" t="s">
        <v>42</v>
      </c>
      <c r="K7459" t="s">
        <v>43</v>
      </c>
      <c r="L7459">
        <v>6</v>
      </c>
      <c r="M7459" t="s">
        <v>25487</v>
      </c>
      <c r="N7459" t="s">
        <v>58</v>
      </c>
      <c r="O7459" t="s">
        <v>46</v>
      </c>
      <c r="P7459" t="s">
        <v>46</v>
      </c>
      <c r="Y7459" t="s">
        <v>25488</v>
      </c>
    </row>
    <row r="7460" spans="1:25">
      <c r="A7460" t="s">
        <v>25489</v>
      </c>
      <c r="B7460" t="s">
        <v>25490</v>
      </c>
      <c r="D7460" t="s">
        <v>40</v>
      </c>
      <c r="E7460" t="s">
        <v>41</v>
      </c>
      <c r="J7460" t="s">
        <v>139</v>
      </c>
      <c r="K7460" t="s">
        <v>140</v>
      </c>
      <c r="L7460">
        <v>6</v>
      </c>
      <c r="M7460" t="s">
        <v>25491</v>
      </c>
      <c r="N7460" t="s">
        <v>1392</v>
      </c>
      <c r="O7460" t="s">
        <v>46</v>
      </c>
      <c r="P7460" t="s">
        <v>46</v>
      </c>
      <c r="Y7460" t="s">
        <v>25492</v>
      </c>
    </row>
    <row r="7461" spans="1:25">
      <c r="A7461" t="s">
        <v>25493</v>
      </c>
      <c r="B7461" t="s">
        <v>25494</v>
      </c>
      <c r="D7461" t="s">
        <v>40</v>
      </c>
      <c r="E7461" t="s">
        <v>41</v>
      </c>
      <c r="J7461" t="s">
        <v>248</v>
      </c>
      <c r="K7461" t="s">
        <v>249</v>
      </c>
      <c r="L7461">
        <v>6</v>
      </c>
      <c r="M7461" t="s">
        <v>25495</v>
      </c>
      <c r="N7461" t="s">
        <v>5995</v>
      </c>
      <c r="O7461" t="s">
        <v>46</v>
      </c>
      <c r="P7461" t="s">
        <v>46</v>
      </c>
      <c r="Y7461" t="s">
        <v>25496</v>
      </c>
    </row>
    <row r="7462" spans="1:25">
      <c r="A7462" t="s">
        <v>25497</v>
      </c>
      <c r="B7462" t="s">
        <v>25498</v>
      </c>
      <c r="D7462" t="s">
        <v>40</v>
      </c>
      <c r="E7462" t="s">
        <v>41</v>
      </c>
      <c r="J7462" t="s">
        <v>921</v>
      </c>
      <c r="K7462" t="s">
        <v>922</v>
      </c>
      <c r="L7462">
        <v>6</v>
      </c>
      <c r="M7462" t="s">
        <v>25499</v>
      </c>
      <c r="N7462" t="s">
        <v>305</v>
      </c>
      <c r="O7462" t="s">
        <v>46</v>
      </c>
      <c r="P7462" t="s">
        <v>46</v>
      </c>
      <c r="Y7462" t="s">
        <v>25500</v>
      </c>
    </row>
    <row r="7463" spans="1:25">
      <c r="A7463" t="s">
        <v>25501</v>
      </c>
      <c r="B7463" t="s">
        <v>25502</v>
      </c>
      <c r="D7463" t="s">
        <v>40</v>
      </c>
      <c r="E7463" t="s">
        <v>41</v>
      </c>
      <c r="J7463" t="s">
        <v>248</v>
      </c>
      <c r="K7463" t="s">
        <v>249</v>
      </c>
      <c r="L7463">
        <v>6</v>
      </c>
      <c r="M7463" t="s">
        <v>25503</v>
      </c>
      <c r="N7463" t="s">
        <v>436</v>
      </c>
      <c r="O7463" t="s">
        <v>46</v>
      </c>
      <c r="P7463" t="s">
        <v>46</v>
      </c>
      <c r="Y7463" t="s">
        <v>25504</v>
      </c>
    </row>
    <row r="7464" spans="1:25">
      <c r="A7464" t="s">
        <v>25505</v>
      </c>
      <c r="B7464" t="s">
        <v>25506</v>
      </c>
      <c r="D7464" t="s">
        <v>40</v>
      </c>
      <c r="E7464" t="s">
        <v>41</v>
      </c>
      <c r="J7464" t="s">
        <v>139</v>
      </c>
      <c r="K7464" t="s">
        <v>140</v>
      </c>
      <c r="L7464">
        <v>6</v>
      </c>
      <c r="M7464" t="s">
        <v>25507</v>
      </c>
      <c r="N7464" t="s">
        <v>25508</v>
      </c>
      <c r="O7464" t="s">
        <v>46</v>
      </c>
      <c r="P7464" t="s">
        <v>46</v>
      </c>
      <c r="Y7464" t="s">
        <v>25509</v>
      </c>
    </row>
    <row r="7465" spans="1:25">
      <c r="A7465" t="s">
        <v>25510</v>
      </c>
      <c r="B7465" t="s">
        <v>25511</v>
      </c>
      <c r="D7465" t="s">
        <v>40</v>
      </c>
      <c r="E7465" t="s">
        <v>41</v>
      </c>
      <c r="J7465" t="s">
        <v>139</v>
      </c>
      <c r="K7465" t="s">
        <v>140</v>
      </c>
      <c r="L7465">
        <v>6</v>
      </c>
      <c r="M7465" t="s">
        <v>25512</v>
      </c>
      <c r="N7465" t="s">
        <v>924</v>
      </c>
      <c r="O7465" t="s">
        <v>46</v>
      </c>
      <c r="P7465" t="s">
        <v>46</v>
      </c>
      <c r="Y7465" t="s">
        <v>25513</v>
      </c>
    </row>
    <row r="7466" spans="1:25">
      <c r="A7466" t="s">
        <v>25514</v>
      </c>
      <c r="B7466" t="s">
        <v>25515</v>
      </c>
      <c r="D7466" t="s">
        <v>40</v>
      </c>
      <c r="E7466" t="s">
        <v>41</v>
      </c>
      <c r="J7466" t="s">
        <v>6179</v>
      </c>
      <c r="K7466" t="s">
        <v>6180</v>
      </c>
      <c r="L7466">
        <v>6</v>
      </c>
      <c r="M7466" t="s">
        <v>25516</v>
      </c>
      <c r="N7466" t="s">
        <v>1397</v>
      </c>
      <c r="O7466" t="s">
        <v>46</v>
      </c>
      <c r="P7466" t="s">
        <v>46</v>
      </c>
      <c r="Y7466" t="s">
        <v>25517</v>
      </c>
    </row>
    <row r="7467" spans="1:25">
      <c r="A7467" t="s">
        <v>25518</v>
      </c>
      <c r="B7467" t="s">
        <v>25519</v>
      </c>
      <c r="D7467" t="s">
        <v>40</v>
      </c>
      <c r="E7467" t="s">
        <v>41</v>
      </c>
      <c r="J7467" t="s">
        <v>248</v>
      </c>
      <c r="K7467" t="s">
        <v>249</v>
      </c>
      <c r="L7467">
        <v>6</v>
      </c>
      <c r="M7467" t="s">
        <v>25520</v>
      </c>
      <c r="N7467" t="s">
        <v>25508</v>
      </c>
      <c r="O7467" t="s">
        <v>46</v>
      </c>
      <c r="P7467" t="s">
        <v>46</v>
      </c>
      <c r="Y7467" t="s">
        <v>25521</v>
      </c>
    </row>
    <row r="7468" spans="1:25">
      <c r="A7468" t="s">
        <v>25522</v>
      </c>
      <c r="B7468" t="s">
        <v>25523</v>
      </c>
      <c r="D7468" t="s">
        <v>40</v>
      </c>
      <c r="E7468" t="s">
        <v>41</v>
      </c>
      <c r="J7468" t="s">
        <v>1142</v>
      </c>
      <c r="K7468" t="s">
        <v>1143</v>
      </c>
      <c r="L7468">
        <v>6</v>
      </c>
      <c r="M7468" t="s">
        <v>25524</v>
      </c>
      <c r="N7468" t="s">
        <v>756</v>
      </c>
      <c r="O7468" t="s">
        <v>46</v>
      </c>
      <c r="P7468" t="s">
        <v>46</v>
      </c>
      <c r="Y7468" t="s">
        <v>25525</v>
      </c>
    </row>
    <row r="7469" spans="1:25">
      <c r="A7469" t="s">
        <v>25526</v>
      </c>
      <c r="B7469" t="s">
        <v>25527</v>
      </c>
      <c r="D7469" t="s">
        <v>40</v>
      </c>
      <c r="E7469" t="s">
        <v>41</v>
      </c>
      <c r="J7469" t="s">
        <v>248</v>
      </c>
      <c r="K7469" t="s">
        <v>249</v>
      </c>
      <c r="L7469">
        <v>6</v>
      </c>
      <c r="M7469" t="s">
        <v>25528</v>
      </c>
      <c r="N7469" t="s">
        <v>173</v>
      </c>
      <c r="O7469" t="s">
        <v>46</v>
      </c>
      <c r="P7469" t="s">
        <v>46</v>
      </c>
      <c r="Y7469" t="s">
        <v>25529</v>
      </c>
    </row>
    <row r="7470" spans="1:25">
      <c r="A7470" t="s">
        <v>25530</v>
      </c>
      <c r="B7470" t="s">
        <v>25531</v>
      </c>
      <c r="D7470" t="s">
        <v>40</v>
      </c>
      <c r="E7470" t="s">
        <v>41</v>
      </c>
      <c r="J7470" t="s">
        <v>248</v>
      </c>
      <c r="K7470" t="s">
        <v>249</v>
      </c>
      <c r="L7470">
        <v>6</v>
      </c>
      <c r="M7470" t="s">
        <v>25532</v>
      </c>
      <c r="N7470" t="s">
        <v>509</v>
      </c>
      <c r="O7470" t="s">
        <v>46</v>
      </c>
      <c r="P7470" t="s">
        <v>46</v>
      </c>
      <c r="Y7470" t="s">
        <v>25533</v>
      </c>
    </row>
    <row r="7471" spans="1:25">
      <c r="A7471" t="s">
        <v>25534</v>
      </c>
      <c r="B7471" t="s">
        <v>25535</v>
      </c>
      <c r="D7471" t="s">
        <v>40</v>
      </c>
      <c r="E7471" t="s">
        <v>41</v>
      </c>
      <c r="J7471" t="s">
        <v>1554</v>
      </c>
      <c r="K7471" t="s">
        <v>1555</v>
      </c>
      <c r="L7471">
        <v>6</v>
      </c>
      <c r="M7471" t="s">
        <v>25536</v>
      </c>
      <c r="N7471" t="s">
        <v>24227</v>
      </c>
      <c r="O7471" t="s">
        <v>46</v>
      </c>
      <c r="P7471" t="s">
        <v>46</v>
      </c>
      <c r="Y7471" t="s">
        <v>25537</v>
      </c>
    </row>
    <row r="7472" spans="1:25">
      <c r="A7472" t="s">
        <v>25538</v>
      </c>
      <c r="B7472" t="s">
        <v>25539</v>
      </c>
      <c r="D7472" t="s">
        <v>40</v>
      </c>
      <c r="E7472" t="s">
        <v>41</v>
      </c>
      <c r="J7472" t="s">
        <v>248</v>
      </c>
      <c r="K7472" t="s">
        <v>249</v>
      </c>
      <c r="L7472">
        <v>6</v>
      </c>
      <c r="M7472" t="s">
        <v>25540</v>
      </c>
      <c r="N7472" t="s">
        <v>1369</v>
      </c>
      <c r="O7472" t="s">
        <v>46</v>
      </c>
      <c r="P7472" t="s">
        <v>46</v>
      </c>
      <c r="Y7472" t="s">
        <v>25541</v>
      </c>
    </row>
    <row r="7473" spans="1:25">
      <c r="A7473" t="s">
        <v>25542</v>
      </c>
      <c r="B7473" t="s">
        <v>25543</v>
      </c>
      <c r="D7473" t="s">
        <v>40</v>
      </c>
      <c r="E7473" t="s">
        <v>41</v>
      </c>
      <c r="J7473" t="s">
        <v>248</v>
      </c>
      <c r="K7473" t="s">
        <v>249</v>
      </c>
      <c r="L7473">
        <v>6</v>
      </c>
      <c r="M7473" t="s">
        <v>25544</v>
      </c>
      <c r="N7473" t="s">
        <v>1397</v>
      </c>
      <c r="O7473" t="s">
        <v>46</v>
      </c>
      <c r="P7473" t="s">
        <v>46</v>
      </c>
      <c r="Y7473" t="s">
        <v>25545</v>
      </c>
    </row>
    <row r="7474" spans="1:25">
      <c r="A7474" t="s">
        <v>25546</v>
      </c>
      <c r="B7474" t="s">
        <v>25547</v>
      </c>
      <c r="D7474" t="s">
        <v>40</v>
      </c>
      <c r="E7474" t="s">
        <v>41</v>
      </c>
      <c r="J7474" t="s">
        <v>12440</v>
      </c>
      <c r="K7474" t="s">
        <v>12441</v>
      </c>
      <c r="L7474">
        <v>7</v>
      </c>
      <c r="M7474" t="s">
        <v>25548</v>
      </c>
      <c r="N7474" t="s">
        <v>64</v>
      </c>
      <c r="O7474" t="s">
        <v>46</v>
      </c>
      <c r="P7474" t="s">
        <v>46</v>
      </c>
      <c r="Y7474" t="s">
        <v>25549</v>
      </c>
    </row>
    <row r="7475" spans="1:25">
      <c r="A7475" t="s">
        <v>25550</v>
      </c>
      <c r="B7475" t="s">
        <v>25551</v>
      </c>
      <c r="D7475" t="s">
        <v>40</v>
      </c>
      <c r="E7475" t="s">
        <v>41</v>
      </c>
      <c r="J7475" t="s">
        <v>12440</v>
      </c>
      <c r="K7475" t="s">
        <v>12441</v>
      </c>
      <c r="L7475">
        <v>7</v>
      </c>
      <c r="M7475" t="s">
        <v>25552</v>
      </c>
      <c r="N7475" t="s">
        <v>64</v>
      </c>
      <c r="O7475" t="s">
        <v>46</v>
      </c>
      <c r="P7475" t="s">
        <v>46</v>
      </c>
      <c r="Y7475" t="s">
        <v>25553</v>
      </c>
    </row>
    <row r="7476" spans="1:25">
      <c r="A7476" t="s">
        <v>25554</v>
      </c>
      <c r="B7476" t="s">
        <v>25555</v>
      </c>
      <c r="D7476" t="s">
        <v>40</v>
      </c>
      <c r="E7476" t="s">
        <v>41</v>
      </c>
      <c r="J7476" t="s">
        <v>12440</v>
      </c>
      <c r="K7476" t="s">
        <v>12441</v>
      </c>
      <c r="L7476">
        <v>7</v>
      </c>
      <c r="M7476" t="s">
        <v>25556</v>
      </c>
      <c r="N7476" t="s">
        <v>64</v>
      </c>
      <c r="O7476" t="s">
        <v>46</v>
      </c>
      <c r="P7476" t="s">
        <v>46</v>
      </c>
      <c r="Y7476" t="s">
        <v>25557</v>
      </c>
    </row>
    <row r="7477" spans="1:25">
      <c r="A7477" t="s">
        <v>25558</v>
      </c>
      <c r="B7477" t="s">
        <v>25559</v>
      </c>
      <c r="D7477" t="s">
        <v>40</v>
      </c>
      <c r="E7477" t="s">
        <v>41</v>
      </c>
      <c r="J7477" t="s">
        <v>248</v>
      </c>
      <c r="K7477" t="s">
        <v>249</v>
      </c>
      <c r="L7477">
        <v>6</v>
      </c>
      <c r="M7477" t="s">
        <v>25560</v>
      </c>
      <c r="N7477" t="s">
        <v>22465</v>
      </c>
      <c r="O7477" t="s">
        <v>46</v>
      </c>
      <c r="P7477" t="s">
        <v>46</v>
      </c>
      <c r="Y7477" t="s">
        <v>25561</v>
      </c>
    </row>
    <row r="7478" spans="1:25">
      <c r="A7478" t="s">
        <v>25562</v>
      </c>
      <c r="B7478" t="s">
        <v>25563</v>
      </c>
      <c r="D7478" t="s">
        <v>40</v>
      </c>
      <c r="E7478" t="s">
        <v>41</v>
      </c>
      <c r="J7478" t="s">
        <v>248</v>
      </c>
      <c r="K7478" t="s">
        <v>249</v>
      </c>
      <c r="L7478">
        <v>6</v>
      </c>
      <c r="M7478" t="s">
        <v>25560</v>
      </c>
      <c r="N7478" t="s">
        <v>45</v>
      </c>
      <c r="O7478" t="s">
        <v>46</v>
      </c>
      <c r="P7478" t="s">
        <v>46</v>
      </c>
      <c r="Y7478" t="s">
        <v>25564</v>
      </c>
    </row>
    <row r="7479" spans="1:25">
      <c r="A7479" t="s">
        <v>25565</v>
      </c>
      <c r="B7479" t="s">
        <v>25566</v>
      </c>
      <c r="D7479" t="s">
        <v>40</v>
      </c>
      <c r="E7479" t="s">
        <v>41</v>
      </c>
      <c r="J7479" t="s">
        <v>1554</v>
      </c>
      <c r="K7479" t="s">
        <v>1555</v>
      </c>
      <c r="L7479">
        <v>7</v>
      </c>
      <c r="M7479" t="s">
        <v>25567</v>
      </c>
      <c r="N7479" t="s">
        <v>1334</v>
      </c>
      <c r="O7479" t="s">
        <v>46</v>
      </c>
      <c r="P7479" t="s">
        <v>46</v>
      </c>
      <c r="Y7479" t="s">
        <v>25568</v>
      </c>
    </row>
    <row r="7480" spans="1:25">
      <c r="A7480" t="s">
        <v>25569</v>
      </c>
      <c r="B7480" t="s">
        <v>25570</v>
      </c>
      <c r="D7480" t="s">
        <v>40</v>
      </c>
      <c r="E7480" t="s">
        <v>41</v>
      </c>
      <c r="J7480" t="s">
        <v>139</v>
      </c>
      <c r="K7480" t="s">
        <v>140</v>
      </c>
      <c r="L7480">
        <v>6</v>
      </c>
      <c r="M7480" t="s">
        <v>25571</v>
      </c>
      <c r="N7480" t="s">
        <v>25508</v>
      </c>
      <c r="O7480" t="s">
        <v>46</v>
      </c>
      <c r="P7480" t="s">
        <v>46</v>
      </c>
      <c r="Y7480" t="s">
        <v>25572</v>
      </c>
    </row>
    <row r="7481" spans="1:25">
      <c r="A7481" t="s">
        <v>25573</v>
      </c>
      <c r="B7481" t="s">
        <v>25574</v>
      </c>
      <c r="D7481" t="s">
        <v>40</v>
      </c>
      <c r="E7481" t="s">
        <v>41</v>
      </c>
      <c r="J7481" t="s">
        <v>248</v>
      </c>
      <c r="K7481" t="s">
        <v>249</v>
      </c>
      <c r="L7481">
        <v>7</v>
      </c>
      <c r="M7481" t="s">
        <v>25575</v>
      </c>
      <c r="N7481" t="s">
        <v>315</v>
      </c>
      <c r="O7481" t="s">
        <v>46</v>
      </c>
      <c r="P7481" t="s">
        <v>46</v>
      </c>
      <c r="Y7481" t="s">
        <v>25576</v>
      </c>
    </row>
    <row r="7482" spans="1:25">
      <c r="A7482" t="s">
        <v>25577</v>
      </c>
      <c r="B7482" t="s">
        <v>25578</v>
      </c>
      <c r="D7482" t="s">
        <v>40</v>
      </c>
      <c r="E7482" t="s">
        <v>41</v>
      </c>
      <c r="J7482" t="s">
        <v>1142</v>
      </c>
      <c r="K7482" t="s">
        <v>1143</v>
      </c>
      <c r="L7482">
        <v>7</v>
      </c>
      <c r="M7482" t="s">
        <v>25579</v>
      </c>
      <c r="N7482" t="s">
        <v>3013</v>
      </c>
      <c r="O7482" t="s">
        <v>46</v>
      </c>
      <c r="P7482" t="s">
        <v>46</v>
      </c>
      <c r="Y7482" t="s">
        <v>25580</v>
      </c>
    </row>
    <row r="7483" spans="1:25">
      <c r="A7483" t="s">
        <v>25581</v>
      </c>
      <c r="B7483" t="s">
        <v>25582</v>
      </c>
      <c r="D7483" t="s">
        <v>40</v>
      </c>
      <c r="E7483" t="s">
        <v>41</v>
      </c>
      <c r="J7483" t="s">
        <v>248</v>
      </c>
      <c r="K7483" t="s">
        <v>249</v>
      </c>
      <c r="L7483">
        <v>7</v>
      </c>
      <c r="M7483" t="s">
        <v>25583</v>
      </c>
      <c r="N7483" t="s">
        <v>1189</v>
      </c>
      <c r="O7483" t="s">
        <v>46</v>
      </c>
      <c r="P7483" t="s">
        <v>46</v>
      </c>
      <c r="Y7483" t="s">
        <v>25584</v>
      </c>
    </row>
    <row r="7484" spans="1:25">
      <c r="A7484" t="s">
        <v>25585</v>
      </c>
      <c r="B7484" t="s">
        <v>25586</v>
      </c>
      <c r="D7484" t="s">
        <v>40</v>
      </c>
      <c r="E7484" t="s">
        <v>41</v>
      </c>
      <c r="J7484" t="s">
        <v>139</v>
      </c>
      <c r="K7484" t="s">
        <v>140</v>
      </c>
      <c r="L7484">
        <v>7</v>
      </c>
      <c r="M7484" t="s">
        <v>25587</v>
      </c>
      <c r="N7484" t="s">
        <v>22465</v>
      </c>
      <c r="O7484" t="s">
        <v>46</v>
      </c>
      <c r="P7484" t="s">
        <v>46</v>
      </c>
      <c r="Y7484" t="s">
        <v>25588</v>
      </c>
    </row>
    <row r="7485" spans="1:25">
      <c r="A7485" t="s">
        <v>25589</v>
      </c>
      <c r="B7485" t="s">
        <v>25590</v>
      </c>
      <c r="D7485" t="s">
        <v>40</v>
      </c>
      <c r="E7485" t="s">
        <v>41</v>
      </c>
      <c r="J7485" t="s">
        <v>892</v>
      </c>
      <c r="K7485" t="s">
        <v>893</v>
      </c>
      <c r="L7485">
        <v>6</v>
      </c>
      <c r="M7485" t="s">
        <v>25591</v>
      </c>
      <c r="N7485" t="s">
        <v>45</v>
      </c>
      <c r="O7485" t="s">
        <v>46</v>
      </c>
      <c r="P7485" t="s">
        <v>46</v>
      </c>
      <c r="Y7485" t="s">
        <v>25592</v>
      </c>
    </row>
    <row r="7486" spans="1:25">
      <c r="A7486" t="s">
        <v>25593</v>
      </c>
      <c r="B7486" t="s">
        <v>25594</v>
      </c>
      <c r="D7486" t="s">
        <v>40</v>
      </c>
      <c r="E7486" t="s">
        <v>41</v>
      </c>
      <c r="J7486" t="s">
        <v>1142</v>
      </c>
      <c r="K7486" t="s">
        <v>1143</v>
      </c>
      <c r="L7486">
        <v>6</v>
      </c>
      <c r="M7486" t="s">
        <v>25595</v>
      </c>
      <c r="N7486" t="s">
        <v>24227</v>
      </c>
      <c r="O7486" t="s">
        <v>46</v>
      </c>
      <c r="P7486" t="s">
        <v>46</v>
      </c>
      <c r="Y7486" t="s">
        <v>25596</v>
      </c>
    </row>
    <row r="7487" spans="1:25">
      <c r="A7487" t="s">
        <v>25597</v>
      </c>
      <c r="B7487" t="s">
        <v>25598</v>
      </c>
      <c r="D7487" t="s">
        <v>40</v>
      </c>
      <c r="E7487" t="s">
        <v>41</v>
      </c>
      <c r="J7487" t="s">
        <v>1554</v>
      </c>
      <c r="K7487" t="s">
        <v>1555</v>
      </c>
      <c r="L7487">
        <v>6</v>
      </c>
      <c r="M7487" t="s">
        <v>25599</v>
      </c>
      <c r="N7487" t="s">
        <v>1138</v>
      </c>
      <c r="O7487" t="s">
        <v>46</v>
      </c>
      <c r="P7487" t="s">
        <v>46</v>
      </c>
      <c r="Y7487" t="s">
        <v>25600</v>
      </c>
    </row>
    <row r="7488" spans="1:25">
      <c r="A7488" t="s">
        <v>25601</v>
      </c>
      <c r="B7488" t="s">
        <v>25602</v>
      </c>
      <c r="D7488" t="s">
        <v>40</v>
      </c>
      <c r="E7488" t="s">
        <v>41</v>
      </c>
      <c r="J7488" t="s">
        <v>248</v>
      </c>
      <c r="K7488" t="s">
        <v>249</v>
      </c>
      <c r="L7488">
        <v>6</v>
      </c>
      <c r="M7488" t="s">
        <v>25603</v>
      </c>
      <c r="N7488" t="s">
        <v>1047</v>
      </c>
      <c r="O7488" t="s">
        <v>46</v>
      </c>
      <c r="P7488" t="s">
        <v>46</v>
      </c>
      <c r="Y7488" t="s">
        <v>25604</v>
      </c>
    </row>
    <row r="7489" spans="1:25">
      <c r="A7489" t="s">
        <v>25605</v>
      </c>
      <c r="B7489" t="s">
        <v>25606</v>
      </c>
      <c r="D7489" t="s">
        <v>40</v>
      </c>
      <c r="E7489" t="s">
        <v>41</v>
      </c>
      <c r="J7489" t="s">
        <v>139</v>
      </c>
      <c r="K7489" t="s">
        <v>140</v>
      </c>
      <c r="L7489">
        <v>6</v>
      </c>
      <c r="M7489" t="s">
        <v>25607</v>
      </c>
      <c r="N7489" t="s">
        <v>3013</v>
      </c>
      <c r="O7489" t="s">
        <v>46</v>
      </c>
      <c r="P7489" t="s">
        <v>46</v>
      </c>
      <c r="Y7489" t="s">
        <v>25608</v>
      </c>
    </row>
    <row r="7490" spans="1:25">
      <c r="A7490" t="s">
        <v>25609</v>
      </c>
      <c r="B7490" t="s">
        <v>25610</v>
      </c>
      <c r="D7490" t="s">
        <v>40</v>
      </c>
      <c r="E7490" t="s">
        <v>41</v>
      </c>
      <c r="J7490" t="s">
        <v>248</v>
      </c>
      <c r="K7490" t="s">
        <v>249</v>
      </c>
      <c r="L7490">
        <v>6</v>
      </c>
      <c r="M7490" t="s">
        <v>25607</v>
      </c>
      <c r="N7490" t="s">
        <v>509</v>
      </c>
      <c r="O7490" t="s">
        <v>46</v>
      </c>
      <c r="P7490" t="s">
        <v>46</v>
      </c>
      <c r="Y7490" t="s">
        <v>25611</v>
      </c>
    </row>
    <row r="7491" spans="1:25">
      <c r="A7491" t="s">
        <v>25612</v>
      </c>
      <c r="B7491" t="s">
        <v>25613</v>
      </c>
      <c r="D7491" t="s">
        <v>40</v>
      </c>
      <c r="E7491" t="s">
        <v>41</v>
      </c>
      <c r="J7491" t="s">
        <v>599</v>
      </c>
      <c r="K7491" t="s">
        <v>600</v>
      </c>
      <c r="L7491">
        <v>6</v>
      </c>
      <c r="M7491" t="s">
        <v>25614</v>
      </c>
      <c r="N7491" t="s">
        <v>509</v>
      </c>
      <c r="O7491" t="s">
        <v>46</v>
      </c>
      <c r="P7491" t="s">
        <v>46</v>
      </c>
      <c r="Y7491" t="s">
        <v>25615</v>
      </c>
    </row>
    <row r="7492" spans="1:25">
      <c r="A7492" t="s">
        <v>25616</v>
      </c>
      <c r="B7492" t="s">
        <v>25617</v>
      </c>
      <c r="D7492" t="s">
        <v>40</v>
      </c>
      <c r="E7492" t="s">
        <v>41</v>
      </c>
      <c r="J7492" t="s">
        <v>248</v>
      </c>
      <c r="K7492" t="s">
        <v>249</v>
      </c>
      <c r="L7492">
        <v>6</v>
      </c>
      <c r="M7492" t="s">
        <v>25618</v>
      </c>
      <c r="N7492" t="s">
        <v>22465</v>
      </c>
      <c r="O7492" t="s">
        <v>46</v>
      </c>
      <c r="P7492" t="s">
        <v>46</v>
      </c>
      <c r="Y7492" t="s">
        <v>25619</v>
      </c>
    </row>
    <row r="7493" spans="1:25">
      <c r="A7493" t="s">
        <v>25620</v>
      </c>
      <c r="B7493" t="s">
        <v>25621</v>
      </c>
      <c r="D7493" t="s">
        <v>40</v>
      </c>
      <c r="E7493" t="s">
        <v>41</v>
      </c>
      <c r="J7493" t="s">
        <v>9159</v>
      </c>
      <c r="K7493" t="s">
        <v>9160</v>
      </c>
      <c r="L7493">
        <v>6</v>
      </c>
      <c r="M7493" t="s">
        <v>25618</v>
      </c>
      <c r="N7493" t="s">
        <v>752</v>
      </c>
      <c r="O7493" t="s">
        <v>46</v>
      </c>
      <c r="P7493" t="s">
        <v>46</v>
      </c>
      <c r="Y7493" t="s">
        <v>25622</v>
      </c>
    </row>
    <row r="7494" spans="1:25">
      <c r="A7494" t="s">
        <v>25623</v>
      </c>
      <c r="B7494" t="s">
        <v>25624</v>
      </c>
      <c r="D7494" t="s">
        <v>40</v>
      </c>
      <c r="E7494" t="s">
        <v>41</v>
      </c>
      <c r="J7494" t="s">
        <v>248</v>
      </c>
      <c r="K7494" t="s">
        <v>249</v>
      </c>
      <c r="L7494">
        <v>6</v>
      </c>
      <c r="M7494" t="s">
        <v>25625</v>
      </c>
      <c r="N7494" t="s">
        <v>373</v>
      </c>
      <c r="O7494" t="s">
        <v>46</v>
      </c>
      <c r="P7494" t="s">
        <v>46</v>
      </c>
      <c r="Y7494" t="s">
        <v>25626</v>
      </c>
    </row>
    <row r="7495" spans="1:25">
      <c r="A7495" t="s">
        <v>25627</v>
      </c>
      <c r="B7495" t="s">
        <v>25628</v>
      </c>
      <c r="D7495" t="s">
        <v>40</v>
      </c>
      <c r="E7495" t="s">
        <v>41</v>
      </c>
      <c r="J7495" t="s">
        <v>248</v>
      </c>
      <c r="K7495" t="s">
        <v>249</v>
      </c>
      <c r="L7495">
        <v>6</v>
      </c>
      <c r="M7495" t="s">
        <v>25629</v>
      </c>
      <c r="N7495" t="s">
        <v>1369</v>
      </c>
      <c r="O7495" t="s">
        <v>46</v>
      </c>
      <c r="P7495" t="s">
        <v>46</v>
      </c>
      <c r="Y7495" t="s">
        <v>25630</v>
      </c>
    </row>
    <row r="7496" spans="1:25">
      <c r="A7496" t="s">
        <v>25631</v>
      </c>
      <c r="B7496" t="s">
        <v>25632</v>
      </c>
      <c r="D7496" t="s">
        <v>40</v>
      </c>
      <c r="E7496" t="s">
        <v>41</v>
      </c>
      <c r="J7496" t="s">
        <v>139</v>
      </c>
      <c r="K7496" t="s">
        <v>140</v>
      </c>
      <c r="L7496">
        <v>6</v>
      </c>
      <c r="M7496" t="s">
        <v>25633</v>
      </c>
      <c r="N7496" t="s">
        <v>25508</v>
      </c>
      <c r="O7496" t="s">
        <v>46</v>
      </c>
      <c r="P7496" t="s">
        <v>46</v>
      </c>
      <c r="Y7496" t="s">
        <v>25634</v>
      </c>
    </row>
    <row r="7497" spans="1:25">
      <c r="A7497" t="s">
        <v>25635</v>
      </c>
      <c r="B7497" t="s">
        <v>25636</v>
      </c>
      <c r="D7497" t="s">
        <v>40</v>
      </c>
      <c r="E7497" t="s">
        <v>41</v>
      </c>
      <c r="J7497" t="s">
        <v>12440</v>
      </c>
      <c r="K7497" t="s">
        <v>12441</v>
      </c>
      <c r="L7497">
        <v>7</v>
      </c>
      <c r="M7497" t="s">
        <v>25637</v>
      </c>
      <c r="N7497" t="s">
        <v>64</v>
      </c>
      <c r="O7497" t="s">
        <v>46</v>
      </c>
      <c r="P7497" t="s">
        <v>46</v>
      </c>
      <c r="Y7497" t="s">
        <v>25638</v>
      </c>
    </row>
    <row r="7498" spans="1:25">
      <c r="A7498" t="s">
        <v>25639</v>
      </c>
      <c r="B7498" t="s">
        <v>25640</v>
      </c>
      <c r="D7498" t="s">
        <v>40</v>
      </c>
      <c r="E7498" t="s">
        <v>41</v>
      </c>
      <c r="J7498" t="s">
        <v>599</v>
      </c>
      <c r="K7498" t="s">
        <v>600</v>
      </c>
      <c r="L7498">
        <v>6</v>
      </c>
      <c r="M7498" t="s">
        <v>25641</v>
      </c>
      <c r="N7498" t="s">
        <v>509</v>
      </c>
      <c r="O7498" t="s">
        <v>46</v>
      </c>
      <c r="P7498" t="s">
        <v>46</v>
      </c>
      <c r="Y7498" t="s">
        <v>25642</v>
      </c>
    </row>
    <row r="7499" spans="1:25">
      <c r="A7499" t="s">
        <v>25643</v>
      </c>
      <c r="B7499" t="s">
        <v>25644</v>
      </c>
      <c r="D7499" t="s">
        <v>40</v>
      </c>
      <c r="E7499" t="s">
        <v>41</v>
      </c>
      <c r="J7499" t="s">
        <v>139</v>
      </c>
      <c r="K7499" t="s">
        <v>140</v>
      </c>
      <c r="L7499">
        <v>6</v>
      </c>
      <c r="M7499" t="s">
        <v>25645</v>
      </c>
      <c r="N7499" t="s">
        <v>25388</v>
      </c>
      <c r="O7499" t="s">
        <v>46</v>
      </c>
      <c r="P7499" t="s">
        <v>46</v>
      </c>
      <c r="Y7499" t="s">
        <v>25646</v>
      </c>
    </row>
    <row r="7500" spans="1:25">
      <c r="A7500" t="s">
        <v>25647</v>
      </c>
      <c r="B7500" t="s">
        <v>25648</v>
      </c>
      <c r="D7500" t="s">
        <v>40</v>
      </c>
      <c r="E7500" t="s">
        <v>41</v>
      </c>
      <c r="J7500" t="s">
        <v>1142</v>
      </c>
      <c r="K7500" t="s">
        <v>1143</v>
      </c>
      <c r="L7500">
        <v>6</v>
      </c>
      <c r="M7500" t="s">
        <v>25649</v>
      </c>
      <c r="N7500" t="s">
        <v>1446</v>
      </c>
      <c r="O7500" t="s">
        <v>46</v>
      </c>
      <c r="P7500" t="s">
        <v>46</v>
      </c>
      <c r="Y7500" t="s">
        <v>25650</v>
      </c>
    </row>
    <row r="7501" spans="1:25">
      <c r="A7501" t="s">
        <v>25651</v>
      </c>
      <c r="B7501" t="s">
        <v>25652</v>
      </c>
      <c r="D7501" t="s">
        <v>40</v>
      </c>
      <c r="E7501" t="s">
        <v>41</v>
      </c>
      <c r="J7501" t="s">
        <v>248</v>
      </c>
      <c r="K7501" t="s">
        <v>249</v>
      </c>
      <c r="L7501">
        <v>6</v>
      </c>
      <c r="M7501" t="s">
        <v>25653</v>
      </c>
      <c r="N7501" t="s">
        <v>45</v>
      </c>
      <c r="O7501" t="s">
        <v>46</v>
      </c>
      <c r="P7501" t="s">
        <v>46</v>
      </c>
      <c r="Y7501" t="s">
        <v>25654</v>
      </c>
    </row>
    <row r="7502" spans="1:25">
      <c r="A7502" t="s">
        <v>25655</v>
      </c>
      <c r="B7502" t="s">
        <v>25656</v>
      </c>
      <c r="D7502" t="s">
        <v>40</v>
      </c>
      <c r="E7502" t="s">
        <v>41</v>
      </c>
      <c r="J7502" t="s">
        <v>248</v>
      </c>
      <c r="K7502" t="s">
        <v>249</v>
      </c>
      <c r="L7502">
        <v>6</v>
      </c>
      <c r="M7502" t="s">
        <v>25657</v>
      </c>
      <c r="N7502" t="s">
        <v>45</v>
      </c>
      <c r="O7502" t="s">
        <v>46</v>
      </c>
      <c r="P7502" t="s">
        <v>46</v>
      </c>
      <c r="Y7502" t="s">
        <v>25658</v>
      </c>
    </row>
    <row r="7503" spans="1:25">
      <c r="A7503" t="s">
        <v>25659</v>
      </c>
      <c r="B7503" t="s">
        <v>25660</v>
      </c>
      <c r="D7503" t="s">
        <v>40</v>
      </c>
      <c r="E7503" t="s">
        <v>41</v>
      </c>
      <c r="J7503" t="s">
        <v>1554</v>
      </c>
      <c r="K7503" t="s">
        <v>1555</v>
      </c>
      <c r="L7503">
        <v>6</v>
      </c>
      <c r="M7503" t="s">
        <v>25661</v>
      </c>
      <c r="N7503" t="s">
        <v>509</v>
      </c>
      <c r="O7503" t="s">
        <v>46</v>
      </c>
      <c r="P7503" t="s">
        <v>46</v>
      </c>
      <c r="Y7503" t="s">
        <v>25662</v>
      </c>
    </row>
    <row r="7504" spans="1:25">
      <c r="A7504" t="s">
        <v>25663</v>
      </c>
      <c r="B7504" t="s">
        <v>25664</v>
      </c>
      <c r="D7504" t="s">
        <v>40</v>
      </c>
      <c r="E7504" t="s">
        <v>41</v>
      </c>
      <c r="J7504" t="s">
        <v>248</v>
      </c>
      <c r="K7504" t="s">
        <v>249</v>
      </c>
      <c r="L7504">
        <v>6</v>
      </c>
      <c r="M7504" t="s">
        <v>25665</v>
      </c>
      <c r="N7504" t="s">
        <v>1446</v>
      </c>
      <c r="O7504" t="s">
        <v>46</v>
      </c>
      <c r="P7504" t="s">
        <v>46</v>
      </c>
      <c r="Y7504" t="s">
        <v>25666</v>
      </c>
    </row>
    <row r="7505" spans="1:25">
      <c r="A7505" t="s">
        <v>25667</v>
      </c>
      <c r="B7505" t="s">
        <v>25668</v>
      </c>
      <c r="D7505" t="s">
        <v>40</v>
      </c>
      <c r="E7505" t="s">
        <v>41</v>
      </c>
      <c r="J7505" t="s">
        <v>1142</v>
      </c>
      <c r="K7505" t="s">
        <v>1143</v>
      </c>
      <c r="L7505">
        <v>6</v>
      </c>
      <c r="M7505" t="s">
        <v>25669</v>
      </c>
      <c r="N7505" t="s">
        <v>4037</v>
      </c>
      <c r="O7505" t="s">
        <v>46</v>
      </c>
      <c r="P7505" t="s">
        <v>46</v>
      </c>
      <c r="Y7505" t="s">
        <v>25670</v>
      </c>
    </row>
    <row r="7506" spans="1:25">
      <c r="A7506" t="s">
        <v>25671</v>
      </c>
      <c r="B7506" t="s">
        <v>25672</v>
      </c>
      <c r="D7506" t="s">
        <v>40</v>
      </c>
      <c r="E7506" t="s">
        <v>41</v>
      </c>
      <c r="J7506" t="s">
        <v>6179</v>
      </c>
      <c r="K7506" t="s">
        <v>6180</v>
      </c>
      <c r="L7506">
        <v>6</v>
      </c>
      <c r="M7506" t="s">
        <v>25673</v>
      </c>
      <c r="N7506" t="s">
        <v>1397</v>
      </c>
      <c r="O7506" t="s">
        <v>46</v>
      </c>
      <c r="P7506" t="s">
        <v>46</v>
      </c>
      <c r="Y7506" t="s">
        <v>25674</v>
      </c>
    </row>
    <row r="7507" spans="1:25">
      <c r="A7507" t="s">
        <v>25675</v>
      </c>
      <c r="B7507" t="s">
        <v>25676</v>
      </c>
      <c r="D7507" t="s">
        <v>40</v>
      </c>
      <c r="E7507" t="s">
        <v>41</v>
      </c>
      <c r="J7507" t="s">
        <v>921</v>
      </c>
      <c r="K7507" t="s">
        <v>922</v>
      </c>
      <c r="L7507">
        <v>6</v>
      </c>
      <c r="M7507" t="s">
        <v>25677</v>
      </c>
      <c r="N7507" t="s">
        <v>2346</v>
      </c>
      <c r="O7507" t="s">
        <v>46</v>
      </c>
      <c r="P7507" t="s">
        <v>46</v>
      </c>
      <c r="Y7507" t="s">
        <v>25678</v>
      </c>
    </row>
    <row r="7508" spans="1:25">
      <c r="A7508" t="s">
        <v>25679</v>
      </c>
      <c r="B7508" t="s">
        <v>25680</v>
      </c>
      <c r="D7508" t="s">
        <v>40</v>
      </c>
      <c r="E7508" t="s">
        <v>41</v>
      </c>
      <c r="J7508" t="s">
        <v>139</v>
      </c>
      <c r="K7508" t="s">
        <v>140</v>
      </c>
      <c r="L7508">
        <v>6</v>
      </c>
      <c r="M7508" t="s">
        <v>25681</v>
      </c>
      <c r="N7508" t="s">
        <v>3013</v>
      </c>
      <c r="O7508" t="s">
        <v>46</v>
      </c>
      <c r="P7508" t="s">
        <v>46</v>
      </c>
      <c r="Y7508" t="s">
        <v>25682</v>
      </c>
    </row>
    <row r="7509" spans="1:25">
      <c r="A7509" t="s">
        <v>25683</v>
      </c>
      <c r="B7509" t="s">
        <v>25684</v>
      </c>
      <c r="D7509" t="s">
        <v>40</v>
      </c>
      <c r="E7509" t="s">
        <v>41</v>
      </c>
      <c r="J7509" t="s">
        <v>1554</v>
      </c>
      <c r="K7509" t="s">
        <v>1555</v>
      </c>
      <c r="L7509">
        <v>6</v>
      </c>
      <c r="M7509" t="s">
        <v>25685</v>
      </c>
      <c r="N7509" t="s">
        <v>25388</v>
      </c>
      <c r="O7509" t="s">
        <v>46</v>
      </c>
      <c r="P7509" t="s">
        <v>46</v>
      </c>
      <c r="Y7509" t="s">
        <v>25686</v>
      </c>
    </row>
    <row r="7510" spans="1:25">
      <c r="A7510" t="s">
        <v>25687</v>
      </c>
      <c r="B7510" t="s">
        <v>25688</v>
      </c>
      <c r="D7510" t="s">
        <v>40</v>
      </c>
      <c r="E7510" t="s">
        <v>41</v>
      </c>
      <c r="J7510" t="s">
        <v>248</v>
      </c>
      <c r="K7510" t="s">
        <v>249</v>
      </c>
      <c r="L7510">
        <v>6</v>
      </c>
      <c r="M7510" t="s">
        <v>25685</v>
      </c>
      <c r="N7510" t="s">
        <v>24227</v>
      </c>
      <c r="O7510" t="s">
        <v>46</v>
      </c>
      <c r="P7510" t="s">
        <v>46</v>
      </c>
      <c r="Y7510" t="s">
        <v>25689</v>
      </c>
    </row>
    <row r="7511" spans="1:25">
      <c r="A7511" t="s">
        <v>25690</v>
      </c>
      <c r="B7511" t="s">
        <v>25691</v>
      </c>
      <c r="D7511" t="s">
        <v>40</v>
      </c>
      <c r="E7511" t="s">
        <v>41</v>
      </c>
      <c r="J7511" t="s">
        <v>12440</v>
      </c>
      <c r="K7511" t="s">
        <v>12441</v>
      </c>
      <c r="L7511">
        <v>7</v>
      </c>
      <c r="M7511" t="s">
        <v>25692</v>
      </c>
      <c r="N7511" t="s">
        <v>64</v>
      </c>
      <c r="O7511" t="s">
        <v>46</v>
      </c>
      <c r="P7511" t="s">
        <v>46</v>
      </c>
      <c r="Y7511" t="s">
        <v>25693</v>
      </c>
    </row>
    <row r="7512" spans="1:25">
      <c r="A7512" t="s">
        <v>25694</v>
      </c>
      <c r="B7512" t="s">
        <v>25695</v>
      </c>
      <c r="D7512" t="s">
        <v>40</v>
      </c>
      <c r="E7512" t="s">
        <v>41</v>
      </c>
      <c r="J7512" t="s">
        <v>1554</v>
      </c>
      <c r="K7512" t="s">
        <v>1555</v>
      </c>
      <c r="L7512">
        <v>6</v>
      </c>
      <c r="M7512" t="s">
        <v>25696</v>
      </c>
      <c r="N7512" t="s">
        <v>266</v>
      </c>
      <c r="O7512" t="s">
        <v>46</v>
      </c>
      <c r="P7512" t="s">
        <v>46</v>
      </c>
      <c r="Y7512" t="s">
        <v>25697</v>
      </c>
    </row>
    <row r="7513" spans="1:25">
      <c r="A7513" t="s">
        <v>25698</v>
      </c>
      <c r="B7513" t="s">
        <v>25699</v>
      </c>
      <c r="D7513" t="s">
        <v>40</v>
      </c>
      <c r="E7513" t="s">
        <v>41</v>
      </c>
      <c r="J7513" t="s">
        <v>248</v>
      </c>
      <c r="K7513" t="s">
        <v>249</v>
      </c>
      <c r="L7513">
        <v>6</v>
      </c>
      <c r="M7513" t="s">
        <v>25700</v>
      </c>
      <c r="N7513" t="s">
        <v>509</v>
      </c>
      <c r="O7513" t="s">
        <v>46</v>
      </c>
      <c r="P7513" t="s">
        <v>46</v>
      </c>
      <c r="Y7513" t="s">
        <v>25701</v>
      </c>
    </row>
    <row r="7514" spans="1:25">
      <c r="A7514" t="s">
        <v>25702</v>
      </c>
      <c r="B7514" t="s">
        <v>25703</v>
      </c>
      <c r="D7514" t="s">
        <v>40</v>
      </c>
      <c r="E7514" t="s">
        <v>41</v>
      </c>
      <c r="J7514" t="s">
        <v>139</v>
      </c>
      <c r="K7514" t="s">
        <v>140</v>
      </c>
      <c r="L7514">
        <v>6</v>
      </c>
      <c r="M7514" t="s">
        <v>25704</v>
      </c>
      <c r="N7514" t="s">
        <v>3013</v>
      </c>
      <c r="O7514" t="s">
        <v>46</v>
      </c>
      <c r="P7514" t="s">
        <v>46</v>
      </c>
      <c r="Y7514" t="s">
        <v>25705</v>
      </c>
    </row>
    <row r="7515" spans="1:25">
      <c r="A7515" t="s">
        <v>25706</v>
      </c>
      <c r="B7515" t="s">
        <v>25707</v>
      </c>
      <c r="D7515" t="s">
        <v>40</v>
      </c>
      <c r="E7515" t="s">
        <v>41</v>
      </c>
      <c r="J7515" t="s">
        <v>1142</v>
      </c>
      <c r="K7515" t="s">
        <v>1143</v>
      </c>
      <c r="L7515">
        <v>6</v>
      </c>
      <c r="M7515" t="s">
        <v>25708</v>
      </c>
      <c r="N7515" t="s">
        <v>1047</v>
      </c>
      <c r="O7515" t="s">
        <v>46</v>
      </c>
      <c r="P7515" t="s">
        <v>46</v>
      </c>
      <c r="Y7515" t="s">
        <v>25709</v>
      </c>
    </row>
    <row r="7516" spans="1:25">
      <c r="A7516" t="s">
        <v>25710</v>
      </c>
      <c r="B7516" t="s">
        <v>25711</v>
      </c>
      <c r="D7516" t="s">
        <v>40</v>
      </c>
      <c r="E7516" t="s">
        <v>41</v>
      </c>
      <c r="J7516" t="s">
        <v>12440</v>
      </c>
      <c r="K7516" t="s">
        <v>12441</v>
      </c>
      <c r="L7516">
        <v>7</v>
      </c>
      <c r="M7516" t="s">
        <v>25712</v>
      </c>
      <c r="N7516" t="s">
        <v>64</v>
      </c>
      <c r="O7516" t="s">
        <v>46</v>
      </c>
      <c r="P7516" t="s">
        <v>46</v>
      </c>
      <c r="Y7516" t="s">
        <v>25713</v>
      </c>
    </row>
    <row r="7517" spans="1:25">
      <c r="A7517" t="s">
        <v>25714</v>
      </c>
      <c r="B7517" t="s">
        <v>25715</v>
      </c>
      <c r="D7517" t="s">
        <v>40</v>
      </c>
      <c r="E7517" t="s">
        <v>41</v>
      </c>
      <c r="J7517" t="s">
        <v>248</v>
      </c>
      <c r="K7517" t="s">
        <v>249</v>
      </c>
      <c r="L7517">
        <v>6</v>
      </c>
      <c r="M7517" t="s">
        <v>25716</v>
      </c>
      <c r="N7517" t="s">
        <v>24227</v>
      </c>
      <c r="O7517" t="s">
        <v>46</v>
      </c>
      <c r="P7517" t="s">
        <v>46</v>
      </c>
      <c r="Y7517" t="s">
        <v>25717</v>
      </c>
    </row>
    <row r="7518" spans="1:25">
      <c r="A7518" t="s">
        <v>25718</v>
      </c>
      <c r="B7518" t="s">
        <v>25719</v>
      </c>
      <c r="D7518" t="s">
        <v>40</v>
      </c>
      <c r="E7518" t="s">
        <v>41</v>
      </c>
      <c r="J7518" t="s">
        <v>911</v>
      </c>
      <c r="K7518" t="s">
        <v>912</v>
      </c>
      <c r="L7518">
        <v>6</v>
      </c>
      <c r="M7518" t="s">
        <v>25720</v>
      </c>
      <c r="N7518" t="s">
        <v>178</v>
      </c>
      <c r="O7518" t="s">
        <v>46</v>
      </c>
      <c r="P7518" t="s">
        <v>46</v>
      </c>
      <c r="Y7518" t="s">
        <v>25721</v>
      </c>
    </row>
    <row r="7519" spans="1:25">
      <c r="A7519" t="s">
        <v>25722</v>
      </c>
      <c r="B7519" t="s">
        <v>25723</v>
      </c>
      <c r="D7519" t="s">
        <v>40</v>
      </c>
      <c r="E7519" t="s">
        <v>41</v>
      </c>
      <c r="J7519" t="s">
        <v>248</v>
      </c>
      <c r="K7519" t="s">
        <v>249</v>
      </c>
      <c r="L7519">
        <v>6</v>
      </c>
      <c r="M7519" t="s">
        <v>25720</v>
      </c>
      <c r="N7519" t="s">
        <v>752</v>
      </c>
      <c r="O7519" t="s">
        <v>46</v>
      </c>
      <c r="P7519" t="s">
        <v>46</v>
      </c>
      <c r="Y7519" t="s">
        <v>25724</v>
      </c>
    </row>
    <row r="7520" spans="1:25">
      <c r="A7520" t="s">
        <v>25725</v>
      </c>
      <c r="B7520" t="s">
        <v>25726</v>
      </c>
      <c r="D7520" t="s">
        <v>40</v>
      </c>
      <c r="E7520" t="s">
        <v>41</v>
      </c>
      <c r="J7520" t="s">
        <v>911</v>
      </c>
      <c r="K7520" t="s">
        <v>912</v>
      </c>
      <c r="L7520">
        <v>6</v>
      </c>
      <c r="M7520" t="s">
        <v>25727</v>
      </c>
      <c r="N7520" t="s">
        <v>257</v>
      </c>
      <c r="O7520" t="s">
        <v>46</v>
      </c>
      <c r="P7520" t="s">
        <v>46</v>
      </c>
      <c r="Y7520" t="s">
        <v>25728</v>
      </c>
    </row>
    <row r="7521" spans="1:25">
      <c r="A7521" t="s">
        <v>25729</v>
      </c>
      <c r="B7521" t="s">
        <v>25730</v>
      </c>
      <c r="D7521" t="s">
        <v>40</v>
      </c>
      <c r="E7521" t="s">
        <v>41</v>
      </c>
      <c r="J7521" t="s">
        <v>248</v>
      </c>
      <c r="K7521" t="s">
        <v>249</v>
      </c>
      <c r="L7521">
        <v>6</v>
      </c>
      <c r="M7521" t="s">
        <v>25731</v>
      </c>
      <c r="N7521" t="s">
        <v>1369</v>
      </c>
      <c r="O7521" t="s">
        <v>46</v>
      </c>
      <c r="P7521" t="s">
        <v>46</v>
      </c>
      <c r="Y7521" t="s">
        <v>25732</v>
      </c>
    </row>
    <row r="7522" spans="1:25">
      <c r="A7522" t="s">
        <v>25733</v>
      </c>
      <c r="B7522" t="s">
        <v>25734</v>
      </c>
      <c r="D7522" t="s">
        <v>40</v>
      </c>
      <c r="E7522" t="s">
        <v>41</v>
      </c>
      <c r="J7522" t="s">
        <v>1142</v>
      </c>
      <c r="K7522" t="s">
        <v>1143</v>
      </c>
      <c r="L7522">
        <v>6</v>
      </c>
      <c r="M7522" t="s">
        <v>25731</v>
      </c>
      <c r="N7522" t="s">
        <v>1229</v>
      </c>
      <c r="O7522" t="s">
        <v>46</v>
      </c>
      <c r="P7522" t="s">
        <v>46</v>
      </c>
      <c r="Y7522" t="s">
        <v>25735</v>
      </c>
    </row>
    <row r="7523" spans="1:25">
      <c r="A7523" t="s">
        <v>25736</v>
      </c>
      <c r="B7523" t="s">
        <v>25737</v>
      </c>
      <c r="D7523" t="s">
        <v>40</v>
      </c>
      <c r="E7523" t="s">
        <v>41</v>
      </c>
      <c r="J7523" t="s">
        <v>248</v>
      </c>
      <c r="K7523" t="s">
        <v>249</v>
      </c>
      <c r="L7523">
        <v>6</v>
      </c>
      <c r="M7523" t="s">
        <v>25738</v>
      </c>
      <c r="N7523" t="s">
        <v>1334</v>
      </c>
      <c r="O7523" t="s">
        <v>46</v>
      </c>
      <c r="P7523" t="s">
        <v>46</v>
      </c>
      <c r="Y7523" t="s">
        <v>25739</v>
      </c>
    </row>
    <row r="7524" spans="1:25">
      <c r="A7524" t="s">
        <v>25740</v>
      </c>
      <c r="B7524" t="s">
        <v>25741</v>
      </c>
      <c r="D7524" t="s">
        <v>40</v>
      </c>
      <c r="E7524" t="s">
        <v>41</v>
      </c>
      <c r="J7524" t="s">
        <v>139</v>
      </c>
      <c r="K7524" t="s">
        <v>140</v>
      </c>
      <c r="L7524">
        <v>6</v>
      </c>
      <c r="M7524" t="s">
        <v>25742</v>
      </c>
      <c r="N7524" t="s">
        <v>436</v>
      </c>
      <c r="O7524" t="s">
        <v>46</v>
      </c>
      <c r="P7524" t="s">
        <v>46</v>
      </c>
      <c r="Y7524" t="s">
        <v>25743</v>
      </c>
    </row>
    <row r="7525" spans="1:25">
      <c r="A7525" t="s">
        <v>25744</v>
      </c>
      <c r="B7525" t="s">
        <v>25745</v>
      </c>
      <c r="D7525" t="s">
        <v>40</v>
      </c>
      <c r="E7525" t="s">
        <v>41</v>
      </c>
      <c r="J7525" t="s">
        <v>12440</v>
      </c>
      <c r="K7525" t="s">
        <v>12441</v>
      </c>
      <c r="L7525">
        <v>7</v>
      </c>
      <c r="M7525" t="s">
        <v>25746</v>
      </c>
      <c r="N7525" t="s">
        <v>178</v>
      </c>
      <c r="O7525" t="s">
        <v>46</v>
      </c>
      <c r="P7525" t="s">
        <v>46</v>
      </c>
      <c r="Y7525" t="s">
        <v>25747</v>
      </c>
    </row>
    <row r="7526" spans="1:25">
      <c r="A7526" t="s">
        <v>25748</v>
      </c>
      <c r="B7526" t="s">
        <v>25749</v>
      </c>
      <c r="D7526" t="s">
        <v>40</v>
      </c>
      <c r="E7526" t="s">
        <v>41</v>
      </c>
      <c r="J7526" t="s">
        <v>6255</v>
      </c>
      <c r="K7526" t="s">
        <v>6256</v>
      </c>
      <c r="L7526">
        <v>6</v>
      </c>
      <c r="M7526" t="s">
        <v>25746</v>
      </c>
      <c r="N7526" t="s">
        <v>266</v>
      </c>
      <c r="O7526" t="s">
        <v>46</v>
      </c>
      <c r="P7526" t="s">
        <v>46</v>
      </c>
      <c r="Y7526" t="s">
        <v>25750</v>
      </c>
    </row>
    <row r="7527" spans="1:25">
      <c r="A7527" t="s">
        <v>25751</v>
      </c>
      <c r="B7527" t="s">
        <v>25752</v>
      </c>
      <c r="D7527" t="s">
        <v>40</v>
      </c>
      <c r="E7527" t="s">
        <v>41</v>
      </c>
      <c r="J7527" t="s">
        <v>139</v>
      </c>
      <c r="K7527" t="s">
        <v>140</v>
      </c>
      <c r="L7527">
        <v>6</v>
      </c>
      <c r="M7527" t="s">
        <v>25753</v>
      </c>
      <c r="N7527" t="s">
        <v>1138</v>
      </c>
      <c r="O7527" t="s">
        <v>46</v>
      </c>
      <c r="P7527" t="s">
        <v>46</v>
      </c>
      <c r="Y7527" t="s">
        <v>25754</v>
      </c>
    </row>
    <row r="7528" spans="1:25">
      <c r="A7528" t="s">
        <v>25755</v>
      </c>
      <c r="B7528" t="s">
        <v>25756</v>
      </c>
      <c r="D7528" t="s">
        <v>40</v>
      </c>
      <c r="E7528" t="s">
        <v>41</v>
      </c>
      <c r="J7528" t="s">
        <v>1554</v>
      </c>
      <c r="K7528" t="s">
        <v>1555</v>
      </c>
      <c r="L7528">
        <v>6</v>
      </c>
      <c r="M7528" t="s">
        <v>25757</v>
      </c>
      <c r="N7528" t="s">
        <v>1446</v>
      </c>
      <c r="O7528" t="s">
        <v>46</v>
      </c>
      <c r="P7528" t="s">
        <v>46</v>
      </c>
      <c r="Y7528" t="s">
        <v>25758</v>
      </c>
    </row>
    <row r="7529" spans="1:25">
      <c r="A7529" t="s">
        <v>25759</v>
      </c>
      <c r="B7529" t="s">
        <v>25760</v>
      </c>
      <c r="D7529" t="s">
        <v>40</v>
      </c>
      <c r="E7529" t="s">
        <v>41</v>
      </c>
      <c r="J7529" t="s">
        <v>11802</v>
      </c>
      <c r="K7529" t="s">
        <v>11803</v>
      </c>
      <c r="L7529">
        <v>6</v>
      </c>
      <c r="M7529" t="s">
        <v>25761</v>
      </c>
      <c r="N7529" t="s">
        <v>45</v>
      </c>
      <c r="O7529" t="s">
        <v>46</v>
      </c>
      <c r="P7529" t="s">
        <v>46</v>
      </c>
      <c r="Y7529" t="s">
        <v>25762</v>
      </c>
    </row>
    <row r="7530" spans="1:25">
      <c r="A7530" t="s">
        <v>25763</v>
      </c>
      <c r="B7530" t="s">
        <v>25764</v>
      </c>
      <c r="D7530" t="s">
        <v>40</v>
      </c>
      <c r="E7530" t="s">
        <v>41</v>
      </c>
      <c r="J7530" t="s">
        <v>139</v>
      </c>
      <c r="K7530" t="s">
        <v>140</v>
      </c>
      <c r="L7530">
        <v>6</v>
      </c>
      <c r="M7530" t="s">
        <v>25765</v>
      </c>
      <c r="N7530" t="s">
        <v>924</v>
      </c>
      <c r="O7530" t="s">
        <v>46</v>
      </c>
      <c r="P7530" t="s">
        <v>46</v>
      </c>
      <c r="Y7530" t="s">
        <v>25766</v>
      </c>
    </row>
    <row r="7531" spans="1:25">
      <c r="A7531" t="s">
        <v>25767</v>
      </c>
      <c r="B7531" t="s">
        <v>25768</v>
      </c>
      <c r="D7531" t="s">
        <v>40</v>
      </c>
      <c r="E7531" t="s">
        <v>41</v>
      </c>
      <c r="J7531" t="s">
        <v>12440</v>
      </c>
      <c r="K7531" t="s">
        <v>12441</v>
      </c>
      <c r="L7531">
        <v>7</v>
      </c>
      <c r="M7531" t="s">
        <v>25769</v>
      </c>
      <c r="N7531" t="s">
        <v>64</v>
      </c>
      <c r="O7531" t="s">
        <v>46</v>
      </c>
      <c r="P7531" t="s">
        <v>46</v>
      </c>
      <c r="Y7531" t="s">
        <v>25770</v>
      </c>
    </row>
    <row r="7532" spans="1:25">
      <c r="A7532" t="s">
        <v>25771</v>
      </c>
      <c r="B7532" t="s">
        <v>25772</v>
      </c>
      <c r="D7532" t="s">
        <v>40</v>
      </c>
      <c r="E7532" t="s">
        <v>41</v>
      </c>
      <c r="J7532" t="s">
        <v>1142</v>
      </c>
      <c r="K7532" t="s">
        <v>1143</v>
      </c>
      <c r="L7532">
        <v>6</v>
      </c>
      <c r="M7532" t="s">
        <v>25773</v>
      </c>
      <c r="N7532" t="s">
        <v>178</v>
      </c>
      <c r="O7532" t="s">
        <v>46</v>
      </c>
      <c r="P7532" t="s">
        <v>46</v>
      </c>
      <c r="Y7532" t="s">
        <v>25774</v>
      </c>
    </row>
    <row r="7533" spans="1:25">
      <c r="A7533" t="s">
        <v>25775</v>
      </c>
      <c r="B7533" t="s">
        <v>25776</v>
      </c>
      <c r="D7533" t="s">
        <v>40</v>
      </c>
      <c r="E7533" t="s">
        <v>41</v>
      </c>
      <c r="J7533" t="s">
        <v>911</v>
      </c>
      <c r="K7533" t="s">
        <v>912</v>
      </c>
      <c r="L7533">
        <v>6</v>
      </c>
      <c r="M7533" t="s">
        <v>25777</v>
      </c>
      <c r="N7533" t="s">
        <v>23361</v>
      </c>
      <c r="O7533" t="s">
        <v>46</v>
      </c>
      <c r="P7533" t="s">
        <v>46</v>
      </c>
      <c r="Y7533" t="s">
        <v>25778</v>
      </c>
    </row>
    <row r="7534" spans="1:25">
      <c r="A7534" t="s">
        <v>25779</v>
      </c>
      <c r="B7534" t="s">
        <v>25780</v>
      </c>
      <c r="D7534" t="s">
        <v>40</v>
      </c>
      <c r="E7534" t="s">
        <v>41</v>
      </c>
      <c r="J7534" t="s">
        <v>248</v>
      </c>
      <c r="K7534" t="s">
        <v>249</v>
      </c>
      <c r="L7534">
        <v>6</v>
      </c>
      <c r="M7534" t="s">
        <v>25781</v>
      </c>
      <c r="N7534" t="s">
        <v>315</v>
      </c>
      <c r="O7534" t="s">
        <v>46</v>
      </c>
      <c r="P7534" t="s">
        <v>46</v>
      </c>
      <c r="Y7534" t="s">
        <v>25782</v>
      </c>
    </row>
    <row r="7535" spans="1:25">
      <c r="A7535" t="s">
        <v>25783</v>
      </c>
      <c r="B7535" t="s">
        <v>25784</v>
      </c>
      <c r="D7535" t="s">
        <v>40</v>
      </c>
      <c r="E7535" t="s">
        <v>41</v>
      </c>
      <c r="J7535" t="s">
        <v>248</v>
      </c>
      <c r="K7535" t="s">
        <v>249</v>
      </c>
      <c r="L7535">
        <v>6</v>
      </c>
      <c r="M7535" t="s">
        <v>25785</v>
      </c>
      <c r="N7535" t="s">
        <v>24227</v>
      </c>
      <c r="O7535" t="s">
        <v>46</v>
      </c>
      <c r="P7535" t="s">
        <v>46</v>
      </c>
      <c r="Y7535" t="s">
        <v>25786</v>
      </c>
    </row>
    <row r="7536" spans="1:25">
      <c r="A7536" t="s">
        <v>25787</v>
      </c>
      <c r="B7536" t="s">
        <v>25788</v>
      </c>
      <c r="D7536" t="s">
        <v>40</v>
      </c>
      <c r="E7536" t="s">
        <v>41</v>
      </c>
      <c r="J7536" t="s">
        <v>248</v>
      </c>
      <c r="K7536" t="s">
        <v>249</v>
      </c>
      <c r="L7536">
        <v>6</v>
      </c>
      <c r="M7536" t="s">
        <v>25789</v>
      </c>
      <c r="N7536" t="s">
        <v>3013</v>
      </c>
      <c r="O7536" t="s">
        <v>46</v>
      </c>
      <c r="P7536" t="s">
        <v>46</v>
      </c>
      <c r="Y7536" t="s">
        <v>25790</v>
      </c>
    </row>
    <row r="7537" spans="1:25">
      <c r="A7537" t="s">
        <v>25791</v>
      </c>
      <c r="B7537" t="s">
        <v>25792</v>
      </c>
      <c r="D7537" t="s">
        <v>40</v>
      </c>
      <c r="E7537" t="s">
        <v>41</v>
      </c>
      <c r="J7537" t="s">
        <v>248</v>
      </c>
      <c r="K7537" t="s">
        <v>249</v>
      </c>
      <c r="L7537">
        <v>6</v>
      </c>
      <c r="M7537" t="s">
        <v>25793</v>
      </c>
      <c r="N7537" t="s">
        <v>5995</v>
      </c>
      <c r="O7537" t="s">
        <v>46</v>
      </c>
      <c r="P7537" t="s">
        <v>46</v>
      </c>
      <c r="Y7537" t="s">
        <v>25794</v>
      </c>
    </row>
    <row r="7538" spans="1:25">
      <c r="A7538" t="s">
        <v>25795</v>
      </c>
      <c r="B7538" t="s">
        <v>25796</v>
      </c>
      <c r="D7538" t="s">
        <v>40</v>
      </c>
      <c r="E7538" t="s">
        <v>41</v>
      </c>
      <c r="J7538" t="s">
        <v>248</v>
      </c>
      <c r="K7538" t="s">
        <v>249</v>
      </c>
      <c r="L7538">
        <v>6</v>
      </c>
      <c r="M7538" t="s">
        <v>25797</v>
      </c>
      <c r="N7538" t="s">
        <v>24227</v>
      </c>
      <c r="O7538" t="s">
        <v>46</v>
      </c>
      <c r="P7538" t="s">
        <v>46</v>
      </c>
      <c r="Y7538" t="s">
        <v>25798</v>
      </c>
    </row>
    <row r="7539" spans="1:25">
      <c r="A7539" t="s">
        <v>25799</v>
      </c>
      <c r="B7539" t="s">
        <v>25800</v>
      </c>
      <c r="D7539" t="s">
        <v>40</v>
      </c>
      <c r="E7539" t="s">
        <v>41</v>
      </c>
      <c r="J7539" t="s">
        <v>599</v>
      </c>
      <c r="K7539" t="s">
        <v>600</v>
      </c>
      <c r="L7539">
        <v>6</v>
      </c>
      <c r="M7539" t="s">
        <v>25801</v>
      </c>
      <c r="N7539" t="s">
        <v>1334</v>
      </c>
      <c r="O7539" t="s">
        <v>46</v>
      </c>
      <c r="P7539" t="s">
        <v>46</v>
      </c>
      <c r="Y7539" t="s">
        <v>25802</v>
      </c>
    </row>
    <row r="7540" spans="1:25">
      <c r="A7540" t="s">
        <v>25803</v>
      </c>
      <c r="B7540" t="s">
        <v>25804</v>
      </c>
      <c r="D7540" t="s">
        <v>40</v>
      </c>
      <c r="E7540" t="s">
        <v>41</v>
      </c>
      <c r="J7540" t="s">
        <v>248</v>
      </c>
      <c r="K7540" t="s">
        <v>249</v>
      </c>
      <c r="L7540">
        <v>6</v>
      </c>
      <c r="M7540" t="s">
        <v>25801</v>
      </c>
      <c r="N7540" t="s">
        <v>23374</v>
      </c>
      <c r="O7540" t="s">
        <v>46</v>
      </c>
      <c r="P7540" t="s">
        <v>46</v>
      </c>
      <c r="Y7540" t="s">
        <v>25805</v>
      </c>
    </row>
    <row r="7541" spans="1:25">
      <c r="A7541" t="s">
        <v>25806</v>
      </c>
      <c r="B7541" t="s">
        <v>25807</v>
      </c>
      <c r="D7541" t="s">
        <v>40</v>
      </c>
      <c r="E7541" t="s">
        <v>41</v>
      </c>
      <c r="J7541" t="s">
        <v>921</v>
      </c>
      <c r="K7541" t="s">
        <v>922</v>
      </c>
      <c r="L7541">
        <v>6</v>
      </c>
      <c r="M7541" t="s">
        <v>25808</v>
      </c>
      <c r="N7541" t="s">
        <v>24387</v>
      </c>
      <c r="O7541" t="s">
        <v>46</v>
      </c>
      <c r="P7541" t="s">
        <v>46</v>
      </c>
      <c r="Y7541" t="s">
        <v>25809</v>
      </c>
    </row>
    <row r="7542" spans="1:25">
      <c r="A7542" t="s">
        <v>25810</v>
      </c>
      <c r="B7542" t="s">
        <v>25811</v>
      </c>
      <c r="D7542" t="s">
        <v>40</v>
      </c>
      <c r="E7542" t="s">
        <v>41</v>
      </c>
      <c r="J7542" t="s">
        <v>11802</v>
      </c>
      <c r="K7542" t="s">
        <v>11803</v>
      </c>
      <c r="L7542">
        <v>6</v>
      </c>
      <c r="M7542" t="s">
        <v>25812</v>
      </c>
      <c r="N7542" t="s">
        <v>4037</v>
      </c>
      <c r="O7542" t="s">
        <v>46</v>
      </c>
      <c r="P7542" t="s">
        <v>46</v>
      </c>
      <c r="Y7542" t="s">
        <v>25813</v>
      </c>
    </row>
    <row r="7543" spans="1:25">
      <c r="A7543" t="s">
        <v>25814</v>
      </c>
      <c r="B7543" t="s">
        <v>25815</v>
      </c>
      <c r="D7543" t="s">
        <v>40</v>
      </c>
      <c r="E7543" t="s">
        <v>41</v>
      </c>
      <c r="J7543" t="s">
        <v>248</v>
      </c>
      <c r="K7543" t="s">
        <v>249</v>
      </c>
      <c r="L7543">
        <v>6</v>
      </c>
      <c r="M7543" t="s">
        <v>25816</v>
      </c>
      <c r="N7543" t="s">
        <v>924</v>
      </c>
      <c r="O7543" t="s">
        <v>46</v>
      </c>
      <c r="P7543" t="s">
        <v>46</v>
      </c>
      <c r="Y7543" t="s">
        <v>25817</v>
      </c>
    </row>
    <row r="7544" spans="1:25">
      <c r="A7544" t="s">
        <v>25818</v>
      </c>
      <c r="B7544" t="s">
        <v>25819</v>
      </c>
      <c r="D7544" t="s">
        <v>40</v>
      </c>
      <c r="E7544" t="s">
        <v>41</v>
      </c>
      <c r="J7544" t="s">
        <v>6255</v>
      </c>
      <c r="K7544" t="s">
        <v>6256</v>
      </c>
      <c r="L7544">
        <v>6</v>
      </c>
      <c r="M7544" t="s">
        <v>25820</v>
      </c>
      <c r="N7544" t="s">
        <v>24240</v>
      </c>
      <c r="O7544" t="s">
        <v>46</v>
      </c>
      <c r="P7544" t="s">
        <v>46</v>
      </c>
      <c r="Y7544" t="s">
        <v>25821</v>
      </c>
    </row>
    <row r="7545" spans="1:25">
      <c r="A7545" t="s">
        <v>25822</v>
      </c>
      <c r="B7545" t="s">
        <v>25823</v>
      </c>
      <c r="D7545" t="s">
        <v>40</v>
      </c>
      <c r="E7545" t="s">
        <v>41</v>
      </c>
      <c r="J7545" t="s">
        <v>248</v>
      </c>
      <c r="K7545" t="s">
        <v>249</v>
      </c>
      <c r="L7545">
        <v>5</v>
      </c>
      <c r="M7545" t="s">
        <v>25824</v>
      </c>
      <c r="N7545" t="s">
        <v>315</v>
      </c>
      <c r="O7545" t="s">
        <v>46</v>
      </c>
      <c r="P7545" t="s">
        <v>46</v>
      </c>
      <c r="Y7545" t="s">
        <v>25825</v>
      </c>
    </row>
    <row r="7546" spans="1:25">
      <c r="A7546" t="s">
        <v>25826</v>
      </c>
      <c r="B7546" t="s">
        <v>25827</v>
      </c>
      <c r="D7546" t="s">
        <v>40</v>
      </c>
      <c r="E7546" t="s">
        <v>41</v>
      </c>
      <c r="J7546" t="s">
        <v>248</v>
      </c>
      <c r="K7546" t="s">
        <v>249</v>
      </c>
      <c r="L7546">
        <v>6</v>
      </c>
      <c r="M7546" t="s">
        <v>25828</v>
      </c>
      <c r="N7546" t="s">
        <v>1334</v>
      </c>
      <c r="O7546" t="s">
        <v>46</v>
      </c>
      <c r="P7546" t="s">
        <v>46</v>
      </c>
      <c r="Y7546" t="s">
        <v>25829</v>
      </c>
    </row>
    <row r="7547" spans="1:25">
      <c r="A7547" t="s">
        <v>25830</v>
      </c>
      <c r="B7547" t="s">
        <v>25831</v>
      </c>
      <c r="D7547" t="s">
        <v>40</v>
      </c>
      <c r="E7547" t="s">
        <v>41</v>
      </c>
      <c r="J7547" t="s">
        <v>1554</v>
      </c>
      <c r="K7547" t="s">
        <v>1555</v>
      </c>
      <c r="L7547">
        <v>6</v>
      </c>
      <c r="M7547" t="s">
        <v>25832</v>
      </c>
      <c r="N7547" t="s">
        <v>1397</v>
      </c>
      <c r="O7547" t="s">
        <v>46</v>
      </c>
      <c r="P7547" t="s">
        <v>46</v>
      </c>
      <c r="Y7547" t="s">
        <v>25833</v>
      </c>
    </row>
    <row r="7548" spans="1:25">
      <c r="A7548" t="s">
        <v>25834</v>
      </c>
      <c r="B7548" t="s">
        <v>25835</v>
      </c>
      <c r="D7548" t="s">
        <v>40</v>
      </c>
      <c r="E7548" t="s">
        <v>41</v>
      </c>
      <c r="J7548" t="s">
        <v>9159</v>
      </c>
      <c r="K7548" t="s">
        <v>9160</v>
      </c>
      <c r="L7548">
        <v>6</v>
      </c>
      <c r="M7548" t="s">
        <v>25836</v>
      </c>
      <c r="N7548" t="s">
        <v>24387</v>
      </c>
      <c r="O7548" t="s">
        <v>46</v>
      </c>
      <c r="P7548" t="s">
        <v>46</v>
      </c>
      <c r="Y7548" t="s">
        <v>25837</v>
      </c>
    </row>
    <row r="7549" spans="1:25">
      <c r="A7549" t="s">
        <v>25838</v>
      </c>
      <c r="B7549" t="s">
        <v>25839</v>
      </c>
      <c r="D7549" t="s">
        <v>40</v>
      </c>
      <c r="E7549" t="s">
        <v>41</v>
      </c>
      <c r="J7549" t="s">
        <v>139</v>
      </c>
      <c r="K7549" t="s">
        <v>140</v>
      </c>
      <c r="L7549">
        <v>5</v>
      </c>
      <c r="M7549" t="s">
        <v>25840</v>
      </c>
      <c r="N7549" t="s">
        <v>25388</v>
      </c>
      <c r="O7549" t="s">
        <v>46</v>
      </c>
      <c r="P7549" t="s">
        <v>46</v>
      </c>
      <c r="Y7549" t="s">
        <v>25841</v>
      </c>
    </row>
    <row r="7550" spans="1:25">
      <c r="A7550" t="s">
        <v>25842</v>
      </c>
      <c r="B7550" t="s">
        <v>25843</v>
      </c>
      <c r="D7550" t="s">
        <v>40</v>
      </c>
      <c r="E7550" t="s">
        <v>41</v>
      </c>
      <c r="J7550" t="s">
        <v>248</v>
      </c>
      <c r="K7550" t="s">
        <v>249</v>
      </c>
      <c r="L7550">
        <v>6</v>
      </c>
      <c r="M7550" t="s">
        <v>25844</v>
      </c>
      <c r="N7550" t="s">
        <v>752</v>
      </c>
      <c r="O7550" t="s">
        <v>46</v>
      </c>
      <c r="P7550" t="s">
        <v>46</v>
      </c>
      <c r="Y7550" t="s">
        <v>25845</v>
      </c>
    </row>
    <row r="7551" spans="1:25">
      <c r="A7551" t="s">
        <v>25846</v>
      </c>
      <c r="B7551" t="s">
        <v>25847</v>
      </c>
      <c r="D7551" t="s">
        <v>40</v>
      </c>
      <c r="E7551" t="s">
        <v>41</v>
      </c>
      <c r="J7551" t="s">
        <v>139</v>
      </c>
      <c r="K7551" t="s">
        <v>140</v>
      </c>
      <c r="L7551">
        <v>6</v>
      </c>
      <c r="M7551" t="s">
        <v>25848</v>
      </c>
      <c r="N7551" t="s">
        <v>25508</v>
      </c>
      <c r="O7551" t="s">
        <v>46</v>
      </c>
      <c r="P7551" t="s">
        <v>46</v>
      </c>
      <c r="Y7551" t="s">
        <v>25849</v>
      </c>
    </row>
    <row r="7552" spans="1:25">
      <c r="A7552" t="s">
        <v>25850</v>
      </c>
      <c r="B7552" t="s">
        <v>25851</v>
      </c>
      <c r="D7552" t="s">
        <v>40</v>
      </c>
      <c r="E7552" t="s">
        <v>41</v>
      </c>
      <c r="J7552" t="s">
        <v>6255</v>
      </c>
      <c r="K7552" t="s">
        <v>6256</v>
      </c>
      <c r="L7552">
        <v>6</v>
      </c>
      <c r="M7552" t="s">
        <v>25852</v>
      </c>
      <c r="N7552" t="s">
        <v>1369</v>
      </c>
      <c r="O7552" t="s">
        <v>46</v>
      </c>
      <c r="P7552" t="s">
        <v>46</v>
      </c>
      <c r="Y7552" t="s">
        <v>25853</v>
      </c>
    </row>
    <row r="7553" spans="1:25">
      <c r="A7553" t="s">
        <v>25854</v>
      </c>
      <c r="B7553" t="s">
        <v>25855</v>
      </c>
      <c r="D7553" t="s">
        <v>40</v>
      </c>
      <c r="E7553" t="s">
        <v>41</v>
      </c>
      <c r="J7553" t="s">
        <v>248</v>
      </c>
      <c r="K7553" t="s">
        <v>249</v>
      </c>
      <c r="L7553">
        <v>6</v>
      </c>
      <c r="M7553" t="s">
        <v>25856</v>
      </c>
      <c r="N7553" t="s">
        <v>1229</v>
      </c>
      <c r="O7553" t="s">
        <v>46</v>
      </c>
      <c r="P7553" t="s">
        <v>46</v>
      </c>
      <c r="Y7553" t="s">
        <v>25857</v>
      </c>
    </row>
    <row r="7554" spans="1:25">
      <c r="A7554" t="s">
        <v>25858</v>
      </c>
      <c r="B7554" t="s">
        <v>25859</v>
      </c>
      <c r="D7554" t="s">
        <v>40</v>
      </c>
      <c r="E7554" t="s">
        <v>41</v>
      </c>
      <c r="J7554" t="s">
        <v>248</v>
      </c>
      <c r="K7554" t="s">
        <v>249</v>
      </c>
      <c r="L7554">
        <v>6</v>
      </c>
      <c r="M7554" t="s">
        <v>25860</v>
      </c>
      <c r="N7554" t="s">
        <v>2346</v>
      </c>
      <c r="O7554" t="s">
        <v>46</v>
      </c>
      <c r="P7554" t="s">
        <v>46</v>
      </c>
      <c r="Y7554" t="s">
        <v>25861</v>
      </c>
    </row>
    <row r="7555" spans="1:25">
      <c r="A7555" t="s">
        <v>25862</v>
      </c>
      <c r="B7555" t="s">
        <v>25863</v>
      </c>
      <c r="D7555" t="s">
        <v>40</v>
      </c>
      <c r="E7555" t="s">
        <v>41</v>
      </c>
      <c r="J7555" t="s">
        <v>139</v>
      </c>
      <c r="K7555" t="s">
        <v>140</v>
      </c>
      <c r="L7555">
        <v>6</v>
      </c>
      <c r="M7555" t="s">
        <v>25864</v>
      </c>
      <c r="N7555" t="s">
        <v>924</v>
      </c>
      <c r="O7555" t="s">
        <v>46</v>
      </c>
      <c r="P7555" t="s">
        <v>46</v>
      </c>
      <c r="Y7555" t="s">
        <v>25865</v>
      </c>
    </row>
    <row r="7556" spans="1:25">
      <c r="A7556" t="s">
        <v>25866</v>
      </c>
      <c r="B7556" t="s">
        <v>25867</v>
      </c>
      <c r="D7556" t="s">
        <v>40</v>
      </c>
      <c r="E7556" t="s">
        <v>41</v>
      </c>
      <c r="J7556" t="s">
        <v>1554</v>
      </c>
      <c r="K7556" t="s">
        <v>1555</v>
      </c>
      <c r="L7556">
        <v>6</v>
      </c>
      <c r="M7556" t="s">
        <v>25868</v>
      </c>
      <c r="N7556" t="s">
        <v>178</v>
      </c>
      <c r="O7556" t="s">
        <v>46</v>
      </c>
      <c r="P7556" t="s">
        <v>46</v>
      </c>
      <c r="Y7556" t="s">
        <v>25869</v>
      </c>
    </row>
    <row r="7557" spans="1:25">
      <c r="A7557" t="s">
        <v>25870</v>
      </c>
      <c r="B7557" t="s">
        <v>25871</v>
      </c>
      <c r="D7557" t="s">
        <v>40</v>
      </c>
      <c r="E7557" t="s">
        <v>41</v>
      </c>
      <c r="J7557" t="s">
        <v>1554</v>
      </c>
      <c r="K7557" t="s">
        <v>1555</v>
      </c>
      <c r="L7557">
        <v>6</v>
      </c>
      <c r="M7557" t="s">
        <v>25872</v>
      </c>
      <c r="N7557" t="s">
        <v>509</v>
      </c>
      <c r="O7557" t="s">
        <v>46</v>
      </c>
      <c r="P7557" t="s">
        <v>46</v>
      </c>
      <c r="Y7557" t="s">
        <v>25873</v>
      </c>
    </row>
    <row r="7558" spans="1:25">
      <c r="A7558" t="s">
        <v>25874</v>
      </c>
      <c r="B7558" t="s">
        <v>25875</v>
      </c>
      <c r="D7558" t="s">
        <v>40</v>
      </c>
      <c r="E7558" t="s">
        <v>41</v>
      </c>
      <c r="J7558" t="s">
        <v>139</v>
      </c>
      <c r="K7558" t="s">
        <v>140</v>
      </c>
      <c r="L7558">
        <v>6</v>
      </c>
      <c r="M7558" t="s">
        <v>25876</v>
      </c>
      <c r="N7558" t="s">
        <v>436</v>
      </c>
      <c r="O7558" t="s">
        <v>46</v>
      </c>
      <c r="P7558" t="s">
        <v>46</v>
      </c>
      <c r="Y7558" t="s">
        <v>25877</v>
      </c>
    </row>
    <row r="7559" spans="1:25">
      <c r="A7559" t="s">
        <v>25878</v>
      </c>
      <c r="B7559" t="s">
        <v>25879</v>
      </c>
      <c r="D7559" t="s">
        <v>40</v>
      </c>
      <c r="E7559" t="s">
        <v>41</v>
      </c>
      <c r="J7559" t="s">
        <v>1554</v>
      </c>
      <c r="K7559" t="s">
        <v>1555</v>
      </c>
      <c r="L7559">
        <v>6</v>
      </c>
      <c r="M7559" t="s">
        <v>25880</v>
      </c>
      <c r="N7559" t="s">
        <v>756</v>
      </c>
      <c r="O7559" t="s">
        <v>46</v>
      </c>
      <c r="P7559" t="s">
        <v>46</v>
      </c>
      <c r="Y7559" t="s">
        <v>25881</v>
      </c>
    </row>
    <row r="7560" spans="1:25">
      <c r="A7560" t="s">
        <v>25882</v>
      </c>
      <c r="B7560" t="s">
        <v>25883</v>
      </c>
      <c r="D7560" t="s">
        <v>40</v>
      </c>
      <c r="E7560" t="s">
        <v>41</v>
      </c>
      <c r="J7560" t="s">
        <v>6179</v>
      </c>
      <c r="K7560" t="s">
        <v>6180</v>
      </c>
      <c r="L7560">
        <v>6</v>
      </c>
      <c r="M7560" t="s">
        <v>25884</v>
      </c>
      <c r="N7560" t="s">
        <v>24387</v>
      </c>
      <c r="O7560" t="s">
        <v>46</v>
      </c>
      <c r="P7560" t="s">
        <v>46</v>
      </c>
      <c r="Y7560" t="s">
        <v>25885</v>
      </c>
    </row>
    <row r="7561" spans="1:25">
      <c r="A7561" t="s">
        <v>25886</v>
      </c>
      <c r="B7561" t="s">
        <v>25887</v>
      </c>
      <c r="D7561" t="s">
        <v>40</v>
      </c>
      <c r="E7561" t="s">
        <v>41</v>
      </c>
      <c r="J7561" t="s">
        <v>1554</v>
      </c>
      <c r="K7561" t="s">
        <v>1555</v>
      </c>
      <c r="L7561">
        <v>6</v>
      </c>
      <c r="M7561" t="s">
        <v>25888</v>
      </c>
      <c r="N7561" t="s">
        <v>1344</v>
      </c>
      <c r="O7561" t="s">
        <v>46</v>
      </c>
      <c r="P7561" t="s">
        <v>46</v>
      </c>
      <c r="Y7561" t="s">
        <v>25889</v>
      </c>
    </row>
    <row r="7562" spans="1:25">
      <c r="A7562" t="s">
        <v>25890</v>
      </c>
      <c r="B7562" t="s">
        <v>25891</v>
      </c>
      <c r="D7562" t="s">
        <v>40</v>
      </c>
      <c r="E7562" t="s">
        <v>41</v>
      </c>
      <c r="J7562" t="s">
        <v>248</v>
      </c>
      <c r="K7562" t="s">
        <v>249</v>
      </c>
      <c r="L7562">
        <v>6</v>
      </c>
      <c r="M7562" t="s">
        <v>25892</v>
      </c>
      <c r="N7562" t="s">
        <v>752</v>
      </c>
      <c r="O7562" t="s">
        <v>46</v>
      </c>
      <c r="P7562" t="s">
        <v>46</v>
      </c>
      <c r="Y7562" t="s">
        <v>25893</v>
      </c>
    </row>
    <row r="7563" spans="1:25">
      <c r="A7563" t="s">
        <v>25894</v>
      </c>
      <c r="B7563" t="s">
        <v>25895</v>
      </c>
      <c r="D7563" t="s">
        <v>40</v>
      </c>
      <c r="E7563" t="s">
        <v>41</v>
      </c>
      <c r="J7563" t="s">
        <v>248</v>
      </c>
      <c r="K7563" t="s">
        <v>249</v>
      </c>
      <c r="L7563">
        <v>6</v>
      </c>
      <c r="M7563" t="s">
        <v>25896</v>
      </c>
      <c r="N7563" t="s">
        <v>173</v>
      </c>
      <c r="O7563" t="s">
        <v>46</v>
      </c>
      <c r="P7563" t="s">
        <v>46</v>
      </c>
      <c r="Y7563" t="s">
        <v>25897</v>
      </c>
    </row>
    <row r="7564" spans="1:25">
      <c r="A7564" t="s">
        <v>25898</v>
      </c>
      <c r="B7564" t="s">
        <v>25899</v>
      </c>
      <c r="D7564" t="s">
        <v>40</v>
      </c>
      <c r="E7564" t="s">
        <v>41</v>
      </c>
      <c r="J7564" t="s">
        <v>139</v>
      </c>
      <c r="K7564" t="s">
        <v>140</v>
      </c>
      <c r="L7564">
        <v>6</v>
      </c>
      <c r="M7564" t="s">
        <v>25900</v>
      </c>
      <c r="N7564" t="s">
        <v>25388</v>
      </c>
      <c r="O7564" t="s">
        <v>46</v>
      </c>
      <c r="P7564" t="s">
        <v>46</v>
      </c>
      <c r="Y7564" t="s">
        <v>25901</v>
      </c>
    </row>
    <row r="7565" spans="1:25">
      <c r="A7565" t="s">
        <v>25902</v>
      </c>
      <c r="B7565" t="s">
        <v>25903</v>
      </c>
      <c r="D7565" t="s">
        <v>40</v>
      </c>
      <c r="E7565" t="s">
        <v>41</v>
      </c>
      <c r="J7565" t="s">
        <v>9159</v>
      </c>
      <c r="K7565" t="s">
        <v>9160</v>
      </c>
      <c r="L7565">
        <v>10</v>
      </c>
      <c r="M7565" t="s">
        <v>25904</v>
      </c>
      <c r="N7565" t="s">
        <v>24387</v>
      </c>
      <c r="O7565" t="s">
        <v>46</v>
      </c>
      <c r="P7565" t="s">
        <v>46</v>
      </c>
      <c r="Y7565" t="s">
        <v>25905</v>
      </c>
    </row>
    <row r="7566" spans="1:25">
      <c r="A7566" t="s">
        <v>25906</v>
      </c>
      <c r="B7566" t="s">
        <v>25907</v>
      </c>
      <c r="D7566" t="s">
        <v>40</v>
      </c>
      <c r="E7566" t="s">
        <v>41</v>
      </c>
      <c r="J7566" t="s">
        <v>139</v>
      </c>
      <c r="K7566" t="s">
        <v>140</v>
      </c>
      <c r="L7566">
        <v>6</v>
      </c>
      <c r="M7566" t="s">
        <v>25908</v>
      </c>
      <c r="N7566" t="s">
        <v>178</v>
      </c>
      <c r="O7566" t="s">
        <v>46</v>
      </c>
      <c r="P7566" t="s">
        <v>46</v>
      </c>
      <c r="Y7566" t="s">
        <v>25909</v>
      </c>
    </row>
    <row r="7567" spans="1:25">
      <c r="A7567" t="s">
        <v>25910</v>
      </c>
      <c r="B7567" t="s">
        <v>25911</v>
      </c>
      <c r="D7567" t="s">
        <v>40</v>
      </c>
      <c r="E7567" t="s">
        <v>41</v>
      </c>
      <c r="J7567" t="s">
        <v>139</v>
      </c>
      <c r="K7567" t="s">
        <v>140</v>
      </c>
      <c r="L7567">
        <v>6</v>
      </c>
      <c r="M7567" t="s">
        <v>25912</v>
      </c>
      <c r="N7567" t="s">
        <v>1189</v>
      </c>
      <c r="O7567" t="s">
        <v>46</v>
      </c>
      <c r="P7567" t="s">
        <v>46</v>
      </c>
      <c r="Y7567" t="s">
        <v>25913</v>
      </c>
    </row>
    <row r="7568" spans="1:25">
      <c r="A7568" t="s">
        <v>25914</v>
      </c>
      <c r="B7568" t="s">
        <v>25915</v>
      </c>
      <c r="D7568" t="s">
        <v>40</v>
      </c>
      <c r="E7568" t="s">
        <v>41</v>
      </c>
      <c r="J7568" t="s">
        <v>139</v>
      </c>
      <c r="K7568" t="s">
        <v>140</v>
      </c>
      <c r="L7568">
        <v>6</v>
      </c>
      <c r="M7568" t="s">
        <v>25916</v>
      </c>
      <c r="N7568" t="s">
        <v>924</v>
      </c>
      <c r="O7568" t="s">
        <v>46</v>
      </c>
      <c r="P7568" t="s">
        <v>46</v>
      </c>
      <c r="Y7568" t="s">
        <v>25917</v>
      </c>
    </row>
    <row r="7569" spans="1:25">
      <c r="A7569" t="s">
        <v>25918</v>
      </c>
      <c r="B7569" t="s">
        <v>25919</v>
      </c>
      <c r="D7569" t="s">
        <v>40</v>
      </c>
      <c r="E7569" t="s">
        <v>41</v>
      </c>
      <c r="J7569" t="s">
        <v>12440</v>
      </c>
      <c r="K7569" t="s">
        <v>12441</v>
      </c>
      <c r="L7569">
        <v>7</v>
      </c>
      <c r="M7569" t="s">
        <v>25920</v>
      </c>
      <c r="N7569" t="s">
        <v>64</v>
      </c>
      <c r="O7569" t="s">
        <v>46</v>
      </c>
      <c r="P7569" t="s">
        <v>46</v>
      </c>
      <c r="Y7569" t="s">
        <v>25921</v>
      </c>
    </row>
    <row r="7570" spans="1:25">
      <c r="A7570" t="s">
        <v>25922</v>
      </c>
      <c r="B7570" t="s">
        <v>25923</v>
      </c>
      <c r="D7570" t="s">
        <v>40</v>
      </c>
      <c r="E7570" t="s">
        <v>41</v>
      </c>
      <c r="J7570" t="s">
        <v>139</v>
      </c>
      <c r="K7570" t="s">
        <v>140</v>
      </c>
      <c r="L7570">
        <v>6</v>
      </c>
      <c r="M7570" t="s">
        <v>25924</v>
      </c>
      <c r="N7570" t="s">
        <v>1344</v>
      </c>
      <c r="O7570" t="s">
        <v>46</v>
      </c>
      <c r="P7570" t="s">
        <v>46</v>
      </c>
      <c r="Y7570" t="s">
        <v>25925</v>
      </c>
    </row>
    <row r="7571" spans="1:25">
      <c r="A7571" t="s">
        <v>25926</v>
      </c>
      <c r="B7571" t="s">
        <v>25927</v>
      </c>
      <c r="D7571" t="s">
        <v>40</v>
      </c>
      <c r="E7571" t="s">
        <v>41</v>
      </c>
      <c r="J7571" t="s">
        <v>139</v>
      </c>
      <c r="K7571" t="s">
        <v>140</v>
      </c>
      <c r="L7571">
        <v>6</v>
      </c>
      <c r="M7571" t="s">
        <v>25928</v>
      </c>
      <c r="N7571" t="s">
        <v>4037</v>
      </c>
      <c r="O7571" t="s">
        <v>46</v>
      </c>
      <c r="P7571" t="s">
        <v>46</v>
      </c>
      <c r="Y7571" t="s">
        <v>25929</v>
      </c>
    </row>
    <row r="7572" spans="1:25">
      <c r="A7572" t="s">
        <v>25930</v>
      </c>
      <c r="B7572" t="s">
        <v>25931</v>
      </c>
      <c r="D7572" t="s">
        <v>40</v>
      </c>
      <c r="E7572" t="s">
        <v>41</v>
      </c>
      <c r="J7572" t="s">
        <v>921</v>
      </c>
      <c r="K7572" t="s">
        <v>922</v>
      </c>
      <c r="L7572">
        <v>7</v>
      </c>
      <c r="M7572" t="s">
        <v>25932</v>
      </c>
      <c r="N7572" t="s">
        <v>291</v>
      </c>
      <c r="O7572" t="s">
        <v>46</v>
      </c>
      <c r="P7572" t="s">
        <v>46</v>
      </c>
      <c r="Y7572" t="s">
        <v>25933</v>
      </c>
    </row>
    <row r="7573" spans="1:25">
      <c r="A7573" t="s">
        <v>25934</v>
      </c>
      <c r="B7573" t="s">
        <v>25935</v>
      </c>
      <c r="D7573" t="s">
        <v>40</v>
      </c>
      <c r="E7573" t="s">
        <v>41</v>
      </c>
      <c r="J7573" t="s">
        <v>139</v>
      </c>
      <c r="K7573" t="s">
        <v>140</v>
      </c>
      <c r="L7573">
        <v>6</v>
      </c>
      <c r="M7573" t="s">
        <v>25936</v>
      </c>
      <c r="N7573" t="s">
        <v>3013</v>
      </c>
      <c r="O7573" t="s">
        <v>46</v>
      </c>
      <c r="P7573" t="s">
        <v>46</v>
      </c>
      <c r="Y7573" t="s">
        <v>25937</v>
      </c>
    </row>
    <row r="7574" spans="1:25">
      <c r="A7574" t="s">
        <v>25938</v>
      </c>
      <c r="B7574" t="s">
        <v>25939</v>
      </c>
      <c r="D7574" t="s">
        <v>40</v>
      </c>
      <c r="E7574" t="s">
        <v>41</v>
      </c>
      <c r="J7574" t="s">
        <v>599</v>
      </c>
      <c r="K7574" t="s">
        <v>600</v>
      </c>
      <c r="L7574">
        <v>6</v>
      </c>
      <c r="M7574" t="s">
        <v>25940</v>
      </c>
      <c r="N7574" t="s">
        <v>1369</v>
      </c>
      <c r="O7574" t="s">
        <v>46</v>
      </c>
      <c r="P7574" t="s">
        <v>46</v>
      </c>
      <c r="Y7574" t="s">
        <v>25941</v>
      </c>
    </row>
    <row r="7575" spans="1:25">
      <c r="A7575" t="s">
        <v>25942</v>
      </c>
      <c r="B7575" t="s">
        <v>25943</v>
      </c>
      <c r="D7575" t="s">
        <v>40</v>
      </c>
      <c r="E7575" t="s">
        <v>41</v>
      </c>
      <c r="J7575" t="s">
        <v>139</v>
      </c>
      <c r="K7575" t="s">
        <v>140</v>
      </c>
      <c r="L7575">
        <v>6</v>
      </c>
      <c r="M7575" t="s">
        <v>25944</v>
      </c>
      <c r="N7575" t="s">
        <v>924</v>
      </c>
      <c r="O7575" t="s">
        <v>46</v>
      </c>
      <c r="P7575" t="s">
        <v>46</v>
      </c>
      <c r="Y7575" t="s">
        <v>25945</v>
      </c>
    </row>
    <row r="7576" spans="1:25">
      <c r="A7576" t="s">
        <v>25946</v>
      </c>
      <c r="B7576" t="s">
        <v>25947</v>
      </c>
      <c r="D7576" t="s">
        <v>40</v>
      </c>
      <c r="E7576" t="s">
        <v>41</v>
      </c>
      <c r="J7576" t="s">
        <v>1554</v>
      </c>
      <c r="K7576" t="s">
        <v>1555</v>
      </c>
      <c r="L7576">
        <v>6</v>
      </c>
      <c r="M7576" t="s">
        <v>25948</v>
      </c>
      <c r="N7576" t="s">
        <v>1334</v>
      </c>
      <c r="O7576" t="s">
        <v>46</v>
      </c>
      <c r="P7576" t="s">
        <v>46</v>
      </c>
      <c r="Y7576" t="s">
        <v>25949</v>
      </c>
    </row>
    <row r="7577" spans="1:25">
      <c r="A7577" t="s">
        <v>25950</v>
      </c>
      <c r="B7577" t="s">
        <v>25951</v>
      </c>
      <c r="D7577" t="s">
        <v>40</v>
      </c>
      <c r="E7577" t="s">
        <v>41</v>
      </c>
      <c r="J7577" t="s">
        <v>1554</v>
      </c>
      <c r="K7577" t="s">
        <v>1555</v>
      </c>
      <c r="L7577">
        <v>6</v>
      </c>
      <c r="M7577" t="s">
        <v>25952</v>
      </c>
      <c r="N7577" t="s">
        <v>509</v>
      </c>
      <c r="O7577" t="s">
        <v>46</v>
      </c>
      <c r="P7577" t="s">
        <v>46</v>
      </c>
      <c r="Y7577" t="s">
        <v>25953</v>
      </c>
    </row>
    <row r="7578" spans="1:25">
      <c r="A7578" t="s">
        <v>25954</v>
      </c>
      <c r="B7578" t="s">
        <v>25955</v>
      </c>
      <c r="D7578" t="s">
        <v>40</v>
      </c>
      <c r="E7578" t="s">
        <v>41</v>
      </c>
      <c r="J7578" t="s">
        <v>921</v>
      </c>
      <c r="K7578" t="s">
        <v>922</v>
      </c>
      <c r="L7578">
        <v>6</v>
      </c>
      <c r="M7578" t="s">
        <v>25956</v>
      </c>
      <c r="N7578" t="s">
        <v>741</v>
      </c>
      <c r="O7578" t="s">
        <v>46</v>
      </c>
      <c r="P7578" t="s">
        <v>46</v>
      </c>
      <c r="Y7578" t="s">
        <v>25957</v>
      </c>
    </row>
    <row r="7579" spans="1:25">
      <c r="A7579" t="s">
        <v>25958</v>
      </c>
      <c r="B7579" t="s">
        <v>25959</v>
      </c>
      <c r="D7579" t="s">
        <v>40</v>
      </c>
      <c r="E7579" t="s">
        <v>41</v>
      </c>
      <c r="J7579" t="s">
        <v>1142</v>
      </c>
      <c r="K7579" t="s">
        <v>1143</v>
      </c>
      <c r="L7579">
        <v>6</v>
      </c>
      <c r="M7579" t="s">
        <v>25960</v>
      </c>
      <c r="N7579" t="s">
        <v>4037</v>
      </c>
      <c r="O7579" t="s">
        <v>46</v>
      </c>
      <c r="P7579" t="s">
        <v>46</v>
      </c>
      <c r="Y7579" t="s">
        <v>25961</v>
      </c>
    </row>
    <row r="7580" spans="1:25">
      <c r="A7580" t="s">
        <v>25962</v>
      </c>
      <c r="B7580" t="s">
        <v>25963</v>
      </c>
      <c r="D7580" t="s">
        <v>40</v>
      </c>
      <c r="E7580" t="s">
        <v>41</v>
      </c>
      <c r="J7580" t="s">
        <v>248</v>
      </c>
      <c r="K7580" t="s">
        <v>249</v>
      </c>
      <c r="L7580">
        <v>6</v>
      </c>
      <c r="M7580" t="s">
        <v>25964</v>
      </c>
      <c r="N7580" t="s">
        <v>257</v>
      </c>
      <c r="O7580" t="s">
        <v>46</v>
      </c>
      <c r="P7580" t="s">
        <v>46</v>
      </c>
      <c r="Y7580" t="s">
        <v>25965</v>
      </c>
    </row>
    <row r="7581" spans="1:25">
      <c r="A7581" t="s">
        <v>25966</v>
      </c>
      <c r="B7581" t="s">
        <v>25967</v>
      </c>
      <c r="D7581" t="s">
        <v>40</v>
      </c>
      <c r="E7581" t="s">
        <v>41</v>
      </c>
      <c r="J7581" t="s">
        <v>248</v>
      </c>
      <c r="K7581" t="s">
        <v>249</v>
      </c>
      <c r="L7581">
        <v>6</v>
      </c>
      <c r="M7581" t="s">
        <v>25968</v>
      </c>
      <c r="N7581" t="s">
        <v>3013</v>
      </c>
      <c r="O7581" t="s">
        <v>46</v>
      </c>
      <c r="P7581" t="s">
        <v>46</v>
      </c>
      <c r="Y7581" t="s">
        <v>25969</v>
      </c>
    </row>
    <row r="7582" spans="1:25">
      <c r="A7582" t="s">
        <v>25970</v>
      </c>
      <c r="B7582" t="s">
        <v>25971</v>
      </c>
      <c r="D7582" t="s">
        <v>40</v>
      </c>
      <c r="E7582" t="s">
        <v>41</v>
      </c>
      <c r="J7582" t="s">
        <v>139</v>
      </c>
      <c r="K7582" t="s">
        <v>140</v>
      </c>
      <c r="L7582">
        <v>6</v>
      </c>
      <c r="M7582" t="s">
        <v>25972</v>
      </c>
      <c r="N7582" t="s">
        <v>25508</v>
      </c>
      <c r="O7582" t="s">
        <v>46</v>
      </c>
      <c r="P7582" t="s">
        <v>46</v>
      </c>
      <c r="Y7582" t="s">
        <v>25973</v>
      </c>
    </row>
    <row r="7583" spans="1:25">
      <c r="A7583" t="s">
        <v>25974</v>
      </c>
      <c r="B7583" t="s">
        <v>25975</v>
      </c>
      <c r="D7583" t="s">
        <v>40</v>
      </c>
      <c r="E7583" t="s">
        <v>41</v>
      </c>
      <c r="J7583" t="s">
        <v>11802</v>
      </c>
      <c r="K7583" t="s">
        <v>11803</v>
      </c>
      <c r="L7583">
        <v>6</v>
      </c>
      <c r="M7583" t="s">
        <v>25976</v>
      </c>
      <c r="N7583" t="s">
        <v>752</v>
      </c>
      <c r="O7583" t="s">
        <v>46</v>
      </c>
      <c r="P7583" t="s">
        <v>46</v>
      </c>
      <c r="Y7583" t="s">
        <v>25977</v>
      </c>
    </row>
    <row r="7584" spans="1:25">
      <c r="A7584" t="s">
        <v>25978</v>
      </c>
      <c r="B7584" t="s">
        <v>25979</v>
      </c>
      <c r="D7584" t="s">
        <v>40</v>
      </c>
      <c r="E7584" t="s">
        <v>41</v>
      </c>
      <c r="J7584" t="s">
        <v>12440</v>
      </c>
      <c r="K7584" t="s">
        <v>12441</v>
      </c>
      <c r="L7584">
        <v>7</v>
      </c>
      <c r="M7584" t="s">
        <v>25980</v>
      </c>
      <c r="N7584" t="s">
        <v>64</v>
      </c>
      <c r="O7584" t="s">
        <v>46</v>
      </c>
      <c r="P7584" t="s">
        <v>46</v>
      </c>
      <c r="Y7584" t="s">
        <v>25981</v>
      </c>
    </row>
    <row r="7585" spans="1:25">
      <c r="A7585" t="s">
        <v>25982</v>
      </c>
      <c r="B7585" t="s">
        <v>25983</v>
      </c>
      <c r="D7585" t="s">
        <v>40</v>
      </c>
      <c r="E7585" t="s">
        <v>41</v>
      </c>
      <c r="J7585" t="s">
        <v>139</v>
      </c>
      <c r="K7585" t="s">
        <v>140</v>
      </c>
      <c r="L7585">
        <v>6</v>
      </c>
      <c r="M7585" t="s">
        <v>25984</v>
      </c>
      <c r="N7585" t="s">
        <v>741</v>
      </c>
      <c r="O7585" t="s">
        <v>46</v>
      </c>
      <c r="P7585" t="s">
        <v>46</v>
      </c>
      <c r="Y7585" t="s">
        <v>25985</v>
      </c>
    </row>
    <row r="7586" spans="1:25">
      <c r="A7586" t="s">
        <v>25986</v>
      </c>
      <c r="B7586" t="s">
        <v>25987</v>
      </c>
      <c r="D7586" t="s">
        <v>40</v>
      </c>
      <c r="E7586" t="s">
        <v>41</v>
      </c>
      <c r="J7586" t="s">
        <v>248</v>
      </c>
      <c r="K7586" t="s">
        <v>249</v>
      </c>
      <c r="L7586">
        <v>6</v>
      </c>
      <c r="M7586" t="s">
        <v>25988</v>
      </c>
      <c r="N7586" t="s">
        <v>173</v>
      </c>
      <c r="O7586" t="s">
        <v>46</v>
      </c>
      <c r="P7586" t="s">
        <v>46</v>
      </c>
      <c r="Y7586" t="s">
        <v>25989</v>
      </c>
    </row>
    <row r="7587" spans="1:25">
      <c r="A7587" t="s">
        <v>25990</v>
      </c>
      <c r="B7587" t="s">
        <v>25991</v>
      </c>
      <c r="D7587" t="s">
        <v>40</v>
      </c>
      <c r="E7587" t="s">
        <v>41</v>
      </c>
      <c r="J7587" t="s">
        <v>248</v>
      </c>
      <c r="K7587" t="s">
        <v>249</v>
      </c>
      <c r="L7587">
        <v>6</v>
      </c>
      <c r="M7587" t="s">
        <v>25988</v>
      </c>
      <c r="N7587" t="s">
        <v>752</v>
      </c>
      <c r="O7587" t="s">
        <v>46</v>
      </c>
      <c r="P7587" t="s">
        <v>46</v>
      </c>
      <c r="Y7587" t="s">
        <v>25992</v>
      </c>
    </row>
    <row r="7588" spans="1:25">
      <c r="A7588" t="s">
        <v>25993</v>
      </c>
      <c r="B7588" t="s">
        <v>25994</v>
      </c>
      <c r="D7588" t="s">
        <v>40</v>
      </c>
      <c r="E7588" t="s">
        <v>41</v>
      </c>
      <c r="J7588" t="s">
        <v>139</v>
      </c>
      <c r="K7588" t="s">
        <v>140</v>
      </c>
      <c r="L7588">
        <v>6</v>
      </c>
      <c r="M7588" t="s">
        <v>25995</v>
      </c>
      <c r="N7588" t="s">
        <v>315</v>
      </c>
      <c r="O7588" t="s">
        <v>46</v>
      </c>
      <c r="P7588" t="s">
        <v>46</v>
      </c>
      <c r="Y7588" t="s">
        <v>25996</v>
      </c>
    </row>
    <row r="7589" spans="1:25">
      <c r="A7589" t="s">
        <v>25997</v>
      </c>
      <c r="B7589" t="s">
        <v>25998</v>
      </c>
      <c r="D7589" t="s">
        <v>40</v>
      </c>
      <c r="E7589" t="s">
        <v>41</v>
      </c>
      <c r="J7589" t="s">
        <v>1554</v>
      </c>
      <c r="K7589" t="s">
        <v>1555</v>
      </c>
      <c r="L7589">
        <v>6</v>
      </c>
      <c r="M7589" t="s">
        <v>25999</v>
      </c>
      <c r="N7589" t="s">
        <v>1344</v>
      </c>
      <c r="O7589" t="s">
        <v>46</v>
      </c>
      <c r="P7589" t="s">
        <v>46</v>
      </c>
      <c r="Y7589" t="s">
        <v>26000</v>
      </c>
    </row>
    <row r="7590" spans="1:25">
      <c r="A7590" t="s">
        <v>26001</v>
      </c>
      <c r="B7590" t="s">
        <v>26002</v>
      </c>
      <c r="D7590" t="s">
        <v>40</v>
      </c>
      <c r="E7590" t="s">
        <v>41</v>
      </c>
      <c r="J7590" t="s">
        <v>248</v>
      </c>
      <c r="K7590" t="s">
        <v>249</v>
      </c>
      <c r="L7590">
        <v>6</v>
      </c>
      <c r="M7590" t="s">
        <v>26003</v>
      </c>
      <c r="N7590" t="s">
        <v>1047</v>
      </c>
      <c r="O7590" t="s">
        <v>46</v>
      </c>
      <c r="P7590" t="s">
        <v>46</v>
      </c>
      <c r="Y7590" t="s">
        <v>26004</v>
      </c>
    </row>
    <row r="7591" spans="1:25">
      <c r="A7591" t="s">
        <v>26005</v>
      </c>
      <c r="B7591" t="s">
        <v>26006</v>
      </c>
      <c r="D7591" t="s">
        <v>40</v>
      </c>
      <c r="E7591" t="s">
        <v>41</v>
      </c>
      <c r="J7591" t="s">
        <v>248</v>
      </c>
      <c r="K7591" t="s">
        <v>249</v>
      </c>
      <c r="L7591">
        <v>6</v>
      </c>
      <c r="M7591" t="s">
        <v>26007</v>
      </c>
      <c r="N7591" t="s">
        <v>310</v>
      </c>
      <c r="O7591" t="s">
        <v>46</v>
      </c>
      <c r="P7591" t="s">
        <v>46</v>
      </c>
      <c r="Y7591" t="s">
        <v>26008</v>
      </c>
    </row>
    <row r="7592" spans="1:25">
      <c r="A7592" t="s">
        <v>26009</v>
      </c>
      <c r="B7592" t="s">
        <v>26010</v>
      </c>
      <c r="D7592" t="s">
        <v>40</v>
      </c>
      <c r="E7592" t="s">
        <v>41</v>
      </c>
      <c r="J7592" t="s">
        <v>248</v>
      </c>
      <c r="K7592" t="s">
        <v>249</v>
      </c>
      <c r="L7592">
        <v>6</v>
      </c>
      <c r="M7592" t="s">
        <v>26011</v>
      </c>
      <c r="N7592" t="s">
        <v>25388</v>
      </c>
      <c r="O7592" t="s">
        <v>46</v>
      </c>
      <c r="P7592" t="s">
        <v>46</v>
      </c>
      <c r="Y7592" t="s">
        <v>26012</v>
      </c>
    </row>
    <row r="7593" spans="1:25">
      <c r="A7593" t="s">
        <v>26013</v>
      </c>
      <c r="B7593" t="s">
        <v>26014</v>
      </c>
      <c r="D7593" t="s">
        <v>40</v>
      </c>
      <c r="E7593" t="s">
        <v>41</v>
      </c>
      <c r="J7593" t="s">
        <v>139</v>
      </c>
      <c r="K7593" t="s">
        <v>140</v>
      </c>
      <c r="L7593">
        <v>6</v>
      </c>
      <c r="M7593" t="s">
        <v>26015</v>
      </c>
      <c r="N7593" t="s">
        <v>24227</v>
      </c>
      <c r="O7593" t="s">
        <v>46</v>
      </c>
      <c r="P7593" t="s">
        <v>46</v>
      </c>
      <c r="Y7593" t="s">
        <v>26016</v>
      </c>
    </row>
    <row r="7594" spans="1:25">
      <c r="A7594" t="s">
        <v>26017</v>
      </c>
      <c r="B7594" t="s">
        <v>26018</v>
      </c>
      <c r="D7594" t="s">
        <v>40</v>
      </c>
      <c r="E7594" t="s">
        <v>41</v>
      </c>
      <c r="J7594" t="s">
        <v>139</v>
      </c>
      <c r="K7594" t="s">
        <v>140</v>
      </c>
      <c r="L7594">
        <v>3</v>
      </c>
      <c r="M7594" t="s">
        <v>26019</v>
      </c>
      <c r="N7594" t="s">
        <v>1392</v>
      </c>
      <c r="O7594" t="s">
        <v>46</v>
      </c>
      <c r="P7594" t="s">
        <v>46</v>
      </c>
      <c r="Y7594" t="s">
        <v>26020</v>
      </c>
    </row>
    <row r="7595" spans="1:25">
      <c r="A7595" t="s">
        <v>26021</v>
      </c>
      <c r="B7595" t="s">
        <v>26022</v>
      </c>
      <c r="D7595" t="s">
        <v>40</v>
      </c>
      <c r="E7595" t="s">
        <v>41</v>
      </c>
      <c r="J7595" t="s">
        <v>12440</v>
      </c>
      <c r="K7595" t="s">
        <v>12441</v>
      </c>
      <c r="L7595">
        <v>7</v>
      </c>
      <c r="M7595" t="s">
        <v>26023</v>
      </c>
      <c r="N7595" t="s">
        <v>45</v>
      </c>
      <c r="O7595" t="s">
        <v>46</v>
      </c>
      <c r="P7595" t="s">
        <v>46</v>
      </c>
      <c r="Y7595" t="s">
        <v>26024</v>
      </c>
    </row>
    <row r="7596" spans="1:25">
      <c r="A7596" t="s">
        <v>26025</v>
      </c>
      <c r="B7596" t="s">
        <v>26026</v>
      </c>
      <c r="D7596" t="s">
        <v>40</v>
      </c>
      <c r="E7596" t="s">
        <v>41</v>
      </c>
      <c r="J7596" t="s">
        <v>6179</v>
      </c>
      <c r="K7596" t="s">
        <v>6180</v>
      </c>
      <c r="L7596">
        <v>6</v>
      </c>
      <c r="M7596" t="s">
        <v>26027</v>
      </c>
      <c r="N7596" t="s">
        <v>2346</v>
      </c>
      <c r="O7596" t="s">
        <v>46</v>
      </c>
      <c r="P7596" t="s">
        <v>46</v>
      </c>
      <c r="Y7596" t="s">
        <v>26028</v>
      </c>
    </row>
    <row r="7597" spans="1:25">
      <c r="A7597" t="s">
        <v>26029</v>
      </c>
      <c r="B7597" t="s">
        <v>26030</v>
      </c>
      <c r="D7597" t="s">
        <v>40</v>
      </c>
      <c r="E7597" t="s">
        <v>41</v>
      </c>
      <c r="J7597" t="s">
        <v>248</v>
      </c>
      <c r="K7597" t="s">
        <v>249</v>
      </c>
      <c r="L7597">
        <v>6</v>
      </c>
      <c r="M7597" t="s">
        <v>26031</v>
      </c>
      <c r="N7597" t="s">
        <v>310</v>
      </c>
      <c r="O7597" t="s">
        <v>46</v>
      </c>
      <c r="P7597" t="s">
        <v>46</v>
      </c>
      <c r="Y7597" t="s">
        <v>26032</v>
      </c>
    </row>
    <row r="7598" spans="1:25">
      <c r="A7598" t="s">
        <v>26033</v>
      </c>
      <c r="B7598" t="s">
        <v>26034</v>
      </c>
      <c r="D7598" t="s">
        <v>40</v>
      </c>
      <c r="E7598" t="s">
        <v>41</v>
      </c>
      <c r="J7598" t="s">
        <v>139</v>
      </c>
      <c r="K7598" t="s">
        <v>140</v>
      </c>
      <c r="L7598">
        <v>6</v>
      </c>
      <c r="M7598" t="s">
        <v>26035</v>
      </c>
      <c r="N7598" t="s">
        <v>315</v>
      </c>
      <c r="O7598" t="s">
        <v>46</v>
      </c>
      <c r="P7598" t="s">
        <v>46</v>
      </c>
      <c r="Y7598" t="s">
        <v>26036</v>
      </c>
    </row>
    <row r="7599" spans="1:25">
      <c r="A7599" t="s">
        <v>26037</v>
      </c>
      <c r="B7599" t="s">
        <v>26038</v>
      </c>
      <c r="D7599" t="s">
        <v>40</v>
      </c>
      <c r="E7599" t="s">
        <v>41</v>
      </c>
      <c r="J7599" t="s">
        <v>12440</v>
      </c>
      <c r="K7599" t="s">
        <v>12441</v>
      </c>
      <c r="L7599">
        <v>7</v>
      </c>
      <c r="M7599" t="s">
        <v>26039</v>
      </c>
      <c r="N7599" t="s">
        <v>310</v>
      </c>
      <c r="O7599" t="s">
        <v>46</v>
      </c>
      <c r="P7599" t="s">
        <v>46</v>
      </c>
      <c r="Y7599" t="s">
        <v>26040</v>
      </c>
    </row>
    <row r="7600" spans="1:25">
      <c r="A7600" t="s">
        <v>26041</v>
      </c>
      <c r="B7600" t="s">
        <v>26042</v>
      </c>
      <c r="D7600" t="s">
        <v>40</v>
      </c>
      <c r="E7600" t="s">
        <v>41</v>
      </c>
      <c r="J7600" t="s">
        <v>248</v>
      </c>
      <c r="K7600" t="s">
        <v>249</v>
      </c>
      <c r="L7600">
        <v>5</v>
      </c>
      <c r="M7600" t="s">
        <v>26043</v>
      </c>
      <c r="N7600" t="s">
        <v>142</v>
      </c>
      <c r="O7600" t="s">
        <v>46</v>
      </c>
      <c r="P7600" t="s">
        <v>46</v>
      </c>
      <c r="Y7600" t="s">
        <v>26044</v>
      </c>
    </row>
    <row r="7601" spans="1:25">
      <c r="A7601" t="s">
        <v>26045</v>
      </c>
      <c r="B7601" t="s">
        <v>26046</v>
      </c>
      <c r="D7601" t="s">
        <v>40</v>
      </c>
      <c r="E7601" t="s">
        <v>41</v>
      </c>
      <c r="J7601" t="s">
        <v>23071</v>
      </c>
      <c r="K7601" t="s">
        <v>23072</v>
      </c>
      <c r="L7601">
        <v>5</v>
      </c>
      <c r="M7601" t="s">
        <v>26047</v>
      </c>
      <c r="N7601" t="s">
        <v>1344</v>
      </c>
      <c r="O7601" t="s">
        <v>46</v>
      </c>
      <c r="P7601" t="s">
        <v>46</v>
      </c>
      <c r="Y7601" t="s">
        <v>26048</v>
      </c>
    </row>
    <row r="7602" spans="1:25">
      <c r="A7602" t="s">
        <v>26049</v>
      </c>
      <c r="B7602" t="s">
        <v>26050</v>
      </c>
      <c r="D7602" t="s">
        <v>40</v>
      </c>
      <c r="E7602" t="s">
        <v>41</v>
      </c>
      <c r="J7602" t="s">
        <v>248</v>
      </c>
      <c r="K7602" t="s">
        <v>249</v>
      </c>
      <c r="L7602">
        <v>5</v>
      </c>
      <c r="M7602" t="s">
        <v>26051</v>
      </c>
      <c r="N7602" t="s">
        <v>310</v>
      </c>
      <c r="O7602" t="s">
        <v>46</v>
      </c>
      <c r="P7602" t="s">
        <v>46</v>
      </c>
      <c r="Y7602" t="s">
        <v>26052</v>
      </c>
    </row>
    <row r="7603" spans="1:25">
      <c r="A7603" t="s">
        <v>26053</v>
      </c>
      <c r="B7603" t="s">
        <v>26054</v>
      </c>
      <c r="D7603" t="s">
        <v>40</v>
      </c>
      <c r="E7603" t="s">
        <v>41</v>
      </c>
      <c r="J7603" t="s">
        <v>6255</v>
      </c>
      <c r="K7603" t="s">
        <v>6256</v>
      </c>
      <c r="L7603">
        <v>5</v>
      </c>
      <c r="M7603" t="s">
        <v>26055</v>
      </c>
      <c r="N7603" t="s">
        <v>24245</v>
      </c>
      <c r="O7603" t="s">
        <v>46</v>
      </c>
      <c r="P7603" t="s">
        <v>46</v>
      </c>
      <c r="Y7603" t="s">
        <v>26056</v>
      </c>
    </row>
    <row r="7604" spans="1:25">
      <c r="A7604" t="s">
        <v>26057</v>
      </c>
      <c r="B7604" t="s">
        <v>26058</v>
      </c>
      <c r="D7604" t="s">
        <v>40</v>
      </c>
      <c r="E7604" t="s">
        <v>41</v>
      </c>
      <c r="J7604" t="s">
        <v>12440</v>
      </c>
      <c r="K7604" t="s">
        <v>12441</v>
      </c>
      <c r="L7604">
        <v>6</v>
      </c>
      <c r="M7604" t="s">
        <v>26059</v>
      </c>
      <c r="N7604" t="s">
        <v>64</v>
      </c>
      <c r="O7604" t="s">
        <v>46</v>
      </c>
      <c r="P7604" t="s">
        <v>46</v>
      </c>
      <c r="Y7604" t="s">
        <v>26060</v>
      </c>
    </row>
    <row r="7605" spans="1:25">
      <c r="A7605" t="s">
        <v>26061</v>
      </c>
      <c r="B7605" t="s">
        <v>26062</v>
      </c>
      <c r="D7605" t="s">
        <v>40</v>
      </c>
      <c r="E7605" t="s">
        <v>41</v>
      </c>
      <c r="J7605" t="s">
        <v>248</v>
      </c>
      <c r="K7605" t="s">
        <v>249</v>
      </c>
      <c r="L7605">
        <v>5</v>
      </c>
      <c r="M7605" t="s">
        <v>26063</v>
      </c>
      <c r="N7605" t="s">
        <v>1369</v>
      </c>
      <c r="O7605" t="s">
        <v>46</v>
      </c>
      <c r="P7605" t="s">
        <v>46</v>
      </c>
      <c r="Y7605" t="s">
        <v>26064</v>
      </c>
    </row>
    <row r="7606" spans="1:25">
      <c r="A7606" t="s">
        <v>26065</v>
      </c>
      <c r="B7606" t="s">
        <v>26066</v>
      </c>
      <c r="D7606" t="s">
        <v>40</v>
      </c>
      <c r="E7606" t="s">
        <v>41</v>
      </c>
      <c r="J7606" t="s">
        <v>248</v>
      </c>
      <c r="K7606" t="s">
        <v>249</v>
      </c>
      <c r="L7606">
        <v>5</v>
      </c>
      <c r="M7606" t="s">
        <v>26067</v>
      </c>
      <c r="N7606" t="s">
        <v>1047</v>
      </c>
      <c r="O7606" t="s">
        <v>46</v>
      </c>
      <c r="P7606" t="s">
        <v>46</v>
      </c>
      <c r="Y7606" t="s">
        <v>26068</v>
      </c>
    </row>
    <row r="7607" spans="1:25">
      <c r="A7607" t="s">
        <v>26069</v>
      </c>
      <c r="B7607" t="s">
        <v>26070</v>
      </c>
      <c r="D7607" t="s">
        <v>40</v>
      </c>
      <c r="E7607" t="s">
        <v>41</v>
      </c>
      <c r="J7607" t="s">
        <v>248</v>
      </c>
      <c r="K7607" t="s">
        <v>249</v>
      </c>
      <c r="L7607">
        <v>5</v>
      </c>
      <c r="M7607" t="s">
        <v>26071</v>
      </c>
      <c r="N7607" t="s">
        <v>257</v>
      </c>
      <c r="O7607" t="s">
        <v>46</v>
      </c>
      <c r="P7607" t="s">
        <v>46</v>
      </c>
      <c r="Y7607" t="s">
        <v>26072</v>
      </c>
    </row>
    <row r="7608" spans="1:25">
      <c r="A7608" t="s">
        <v>26073</v>
      </c>
      <c r="B7608" t="s">
        <v>26074</v>
      </c>
      <c r="D7608" t="s">
        <v>40</v>
      </c>
      <c r="E7608" t="s">
        <v>41</v>
      </c>
      <c r="J7608" t="s">
        <v>6179</v>
      </c>
      <c r="K7608" t="s">
        <v>6180</v>
      </c>
      <c r="L7608">
        <v>5</v>
      </c>
      <c r="M7608" t="s">
        <v>26075</v>
      </c>
      <c r="N7608" t="s">
        <v>4037</v>
      </c>
      <c r="O7608" t="s">
        <v>46</v>
      </c>
      <c r="P7608" t="s">
        <v>46</v>
      </c>
      <c r="Y7608" t="s">
        <v>26076</v>
      </c>
    </row>
    <row r="7609" spans="1:25">
      <c r="A7609" t="s">
        <v>26077</v>
      </c>
      <c r="B7609" t="s">
        <v>26078</v>
      </c>
      <c r="D7609" t="s">
        <v>40</v>
      </c>
      <c r="E7609" t="s">
        <v>41</v>
      </c>
      <c r="J7609" t="s">
        <v>248</v>
      </c>
      <c r="K7609" t="s">
        <v>249</v>
      </c>
      <c r="L7609">
        <v>7</v>
      </c>
      <c r="M7609" t="s">
        <v>26079</v>
      </c>
      <c r="N7609" t="s">
        <v>24227</v>
      </c>
      <c r="O7609" t="s">
        <v>46</v>
      </c>
      <c r="P7609" t="s">
        <v>46</v>
      </c>
      <c r="Y7609" t="s">
        <v>26080</v>
      </c>
    </row>
    <row r="7610" spans="1:25">
      <c r="A7610" t="s">
        <v>26081</v>
      </c>
      <c r="B7610" t="s">
        <v>26082</v>
      </c>
      <c r="D7610" t="s">
        <v>40</v>
      </c>
      <c r="E7610" t="s">
        <v>41</v>
      </c>
      <c r="J7610" t="s">
        <v>139</v>
      </c>
      <c r="K7610" t="s">
        <v>140</v>
      </c>
      <c r="L7610">
        <v>5</v>
      </c>
      <c r="M7610" t="s">
        <v>26083</v>
      </c>
      <c r="N7610" t="s">
        <v>1397</v>
      </c>
      <c r="O7610" t="s">
        <v>46</v>
      </c>
      <c r="P7610" t="s">
        <v>46</v>
      </c>
      <c r="Y7610" t="s">
        <v>26084</v>
      </c>
    </row>
    <row r="7611" spans="1:25">
      <c r="A7611" t="s">
        <v>26085</v>
      </c>
      <c r="B7611" t="s">
        <v>26086</v>
      </c>
      <c r="D7611" t="s">
        <v>40</v>
      </c>
      <c r="E7611" t="s">
        <v>41</v>
      </c>
      <c r="J7611" t="s">
        <v>6255</v>
      </c>
      <c r="K7611" t="s">
        <v>6256</v>
      </c>
      <c r="L7611">
        <v>5</v>
      </c>
      <c r="M7611" t="s">
        <v>26087</v>
      </c>
      <c r="N7611" t="s">
        <v>1344</v>
      </c>
      <c r="O7611" t="s">
        <v>46</v>
      </c>
      <c r="P7611" t="s">
        <v>46</v>
      </c>
      <c r="Y7611" t="s">
        <v>26088</v>
      </c>
    </row>
    <row r="7612" spans="1:25">
      <c r="A7612" t="s">
        <v>26089</v>
      </c>
      <c r="B7612" t="s">
        <v>26090</v>
      </c>
      <c r="D7612" t="s">
        <v>40</v>
      </c>
      <c r="E7612" t="s">
        <v>41</v>
      </c>
      <c r="J7612" t="s">
        <v>248</v>
      </c>
      <c r="K7612" t="s">
        <v>249</v>
      </c>
      <c r="L7612">
        <v>6</v>
      </c>
      <c r="M7612" t="s">
        <v>26091</v>
      </c>
      <c r="N7612" t="s">
        <v>440</v>
      </c>
      <c r="O7612" t="s">
        <v>46</v>
      </c>
      <c r="P7612" t="s">
        <v>46</v>
      </c>
      <c r="Y7612" t="s">
        <v>26092</v>
      </c>
    </row>
    <row r="7613" spans="1:25">
      <c r="A7613" t="s">
        <v>26093</v>
      </c>
      <c r="B7613" t="s">
        <v>26094</v>
      </c>
      <c r="D7613" t="s">
        <v>40</v>
      </c>
      <c r="E7613" t="s">
        <v>41</v>
      </c>
      <c r="J7613" t="s">
        <v>248</v>
      </c>
      <c r="K7613" t="s">
        <v>249</v>
      </c>
      <c r="L7613">
        <v>6</v>
      </c>
      <c r="M7613" t="s">
        <v>26095</v>
      </c>
      <c r="N7613" t="s">
        <v>58</v>
      </c>
      <c r="O7613" t="s">
        <v>46</v>
      </c>
      <c r="P7613" t="s">
        <v>46</v>
      </c>
      <c r="Y7613" t="s">
        <v>26096</v>
      </c>
    </row>
    <row r="7614" spans="1:25">
      <c r="A7614" t="s">
        <v>26097</v>
      </c>
      <c r="B7614" t="s">
        <v>26098</v>
      </c>
      <c r="D7614" t="s">
        <v>40</v>
      </c>
      <c r="E7614" t="s">
        <v>41</v>
      </c>
      <c r="J7614" t="s">
        <v>12440</v>
      </c>
      <c r="K7614" t="s">
        <v>12441</v>
      </c>
      <c r="L7614">
        <v>7</v>
      </c>
      <c r="M7614" t="s">
        <v>26099</v>
      </c>
      <c r="N7614" t="s">
        <v>178</v>
      </c>
      <c r="O7614" t="s">
        <v>46</v>
      </c>
      <c r="P7614" t="s">
        <v>46</v>
      </c>
      <c r="Y7614" t="s">
        <v>26100</v>
      </c>
    </row>
    <row r="7615" spans="1:25">
      <c r="A7615" t="s">
        <v>26101</v>
      </c>
      <c r="B7615" t="s">
        <v>26102</v>
      </c>
      <c r="D7615" t="s">
        <v>40</v>
      </c>
      <c r="E7615" t="s">
        <v>41</v>
      </c>
      <c r="J7615" t="s">
        <v>139</v>
      </c>
      <c r="K7615" t="s">
        <v>140</v>
      </c>
      <c r="L7615">
        <v>6</v>
      </c>
      <c r="M7615" t="s">
        <v>26103</v>
      </c>
      <c r="N7615" t="s">
        <v>741</v>
      </c>
      <c r="O7615" t="s">
        <v>46</v>
      </c>
      <c r="P7615" t="s">
        <v>46</v>
      </c>
      <c r="Y7615" t="s">
        <v>26104</v>
      </c>
    </row>
    <row r="7616" spans="1:25">
      <c r="A7616" t="s">
        <v>26105</v>
      </c>
      <c r="B7616" t="s">
        <v>26106</v>
      </c>
      <c r="D7616" t="s">
        <v>40</v>
      </c>
      <c r="E7616" t="s">
        <v>41</v>
      </c>
      <c r="J7616" t="s">
        <v>12440</v>
      </c>
      <c r="K7616" t="s">
        <v>12441</v>
      </c>
      <c r="L7616">
        <v>7</v>
      </c>
      <c r="M7616" t="s">
        <v>26103</v>
      </c>
      <c r="N7616" t="s">
        <v>64</v>
      </c>
      <c r="O7616" t="s">
        <v>46</v>
      </c>
      <c r="P7616" t="s">
        <v>46</v>
      </c>
      <c r="Y7616" t="s">
        <v>26107</v>
      </c>
    </row>
    <row r="7617" spans="1:25">
      <c r="A7617" t="s">
        <v>26108</v>
      </c>
      <c r="B7617" t="s">
        <v>26109</v>
      </c>
      <c r="D7617" t="s">
        <v>40</v>
      </c>
      <c r="E7617" t="s">
        <v>41</v>
      </c>
      <c r="J7617" t="s">
        <v>248</v>
      </c>
      <c r="K7617" t="s">
        <v>249</v>
      </c>
      <c r="L7617">
        <v>5</v>
      </c>
      <c r="M7617" t="s">
        <v>26110</v>
      </c>
      <c r="N7617" t="s">
        <v>310</v>
      </c>
      <c r="O7617" t="s">
        <v>46</v>
      </c>
      <c r="P7617" t="s">
        <v>46</v>
      </c>
      <c r="Y7617" t="s">
        <v>26111</v>
      </c>
    </row>
    <row r="7618" spans="1:25">
      <c r="A7618" t="s">
        <v>26112</v>
      </c>
      <c r="B7618" t="s">
        <v>26113</v>
      </c>
      <c r="D7618" t="s">
        <v>40</v>
      </c>
      <c r="E7618" t="s">
        <v>41</v>
      </c>
      <c r="J7618" t="s">
        <v>248</v>
      </c>
      <c r="K7618" t="s">
        <v>249</v>
      </c>
      <c r="L7618">
        <v>5</v>
      </c>
      <c r="M7618" t="s">
        <v>26114</v>
      </c>
      <c r="N7618" t="s">
        <v>53</v>
      </c>
      <c r="O7618" t="s">
        <v>46</v>
      </c>
      <c r="P7618" t="s">
        <v>46</v>
      </c>
      <c r="Y7618" t="s">
        <v>26115</v>
      </c>
    </row>
    <row r="7619" spans="1:25">
      <c r="A7619" t="s">
        <v>26116</v>
      </c>
      <c r="B7619" t="s">
        <v>26117</v>
      </c>
      <c r="D7619" t="s">
        <v>40</v>
      </c>
      <c r="E7619" t="s">
        <v>41</v>
      </c>
      <c r="J7619" t="s">
        <v>12440</v>
      </c>
      <c r="K7619" t="s">
        <v>12441</v>
      </c>
      <c r="L7619">
        <v>6</v>
      </c>
      <c r="M7619" t="s">
        <v>26118</v>
      </c>
      <c r="N7619" t="s">
        <v>64</v>
      </c>
      <c r="O7619" t="s">
        <v>46</v>
      </c>
      <c r="P7619" t="s">
        <v>46</v>
      </c>
      <c r="Y7619" t="s">
        <v>26119</v>
      </c>
    </row>
    <row r="7620" spans="1:25">
      <c r="A7620" t="s">
        <v>26120</v>
      </c>
      <c r="B7620" t="s">
        <v>26121</v>
      </c>
      <c r="D7620" t="s">
        <v>40</v>
      </c>
      <c r="E7620" t="s">
        <v>41</v>
      </c>
      <c r="J7620" t="s">
        <v>139</v>
      </c>
      <c r="K7620" t="s">
        <v>140</v>
      </c>
      <c r="L7620">
        <v>5</v>
      </c>
      <c r="M7620" t="s">
        <v>26122</v>
      </c>
      <c r="N7620" t="s">
        <v>24245</v>
      </c>
      <c r="O7620" t="s">
        <v>46</v>
      </c>
      <c r="P7620" t="s">
        <v>46</v>
      </c>
      <c r="Y7620" t="s">
        <v>26123</v>
      </c>
    </row>
    <row r="7621" spans="1:25">
      <c r="A7621" t="s">
        <v>26124</v>
      </c>
      <c r="B7621" t="s">
        <v>26125</v>
      </c>
      <c r="D7621" t="s">
        <v>40</v>
      </c>
      <c r="E7621" t="s">
        <v>41</v>
      </c>
      <c r="J7621" t="s">
        <v>12440</v>
      </c>
      <c r="K7621" t="s">
        <v>12441</v>
      </c>
      <c r="L7621">
        <v>7</v>
      </c>
      <c r="M7621" t="s">
        <v>26126</v>
      </c>
      <c r="N7621" t="s">
        <v>64</v>
      </c>
      <c r="O7621" t="s">
        <v>46</v>
      </c>
      <c r="P7621" t="s">
        <v>46</v>
      </c>
      <c r="Y7621" t="s">
        <v>26127</v>
      </c>
    </row>
    <row r="7622" spans="1:25">
      <c r="A7622" t="s">
        <v>26128</v>
      </c>
      <c r="B7622" t="s">
        <v>26129</v>
      </c>
      <c r="D7622" t="s">
        <v>40</v>
      </c>
      <c r="E7622" t="s">
        <v>41</v>
      </c>
      <c r="J7622" t="s">
        <v>139</v>
      </c>
      <c r="K7622" t="s">
        <v>140</v>
      </c>
      <c r="L7622">
        <v>6</v>
      </c>
      <c r="M7622" t="s">
        <v>26126</v>
      </c>
      <c r="N7622" t="s">
        <v>3013</v>
      </c>
      <c r="O7622" t="s">
        <v>46</v>
      </c>
      <c r="P7622" t="s">
        <v>46</v>
      </c>
      <c r="Y7622" t="s">
        <v>26130</v>
      </c>
    </row>
    <row r="7623" spans="1:25">
      <c r="A7623" t="s">
        <v>26131</v>
      </c>
      <c r="B7623" t="s">
        <v>26132</v>
      </c>
      <c r="D7623" t="s">
        <v>40</v>
      </c>
      <c r="E7623" t="s">
        <v>41</v>
      </c>
      <c r="J7623" t="s">
        <v>248</v>
      </c>
      <c r="K7623" t="s">
        <v>249</v>
      </c>
      <c r="L7623">
        <v>5</v>
      </c>
      <c r="M7623" t="s">
        <v>26133</v>
      </c>
      <c r="N7623" t="s">
        <v>142</v>
      </c>
      <c r="O7623" t="s">
        <v>46</v>
      </c>
      <c r="P7623" t="s">
        <v>46</v>
      </c>
      <c r="Y7623" t="s">
        <v>26134</v>
      </c>
    </row>
    <row r="7624" spans="1:25">
      <c r="A7624" t="s">
        <v>26135</v>
      </c>
      <c r="B7624" t="s">
        <v>26136</v>
      </c>
      <c r="D7624" t="s">
        <v>40</v>
      </c>
      <c r="E7624" t="s">
        <v>41</v>
      </c>
      <c r="J7624" t="s">
        <v>248</v>
      </c>
      <c r="K7624" t="s">
        <v>249</v>
      </c>
      <c r="L7624">
        <v>5</v>
      </c>
      <c r="M7624" t="s">
        <v>26133</v>
      </c>
      <c r="N7624" t="s">
        <v>1550</v>
      </c>
      <c r="O7624" t="s">
        <v>46</v>
      </c>
      <c r="P7624" t="s">
        <v>46</v>
      </c>
      <c r="Y7624" t="s">
        <v>26137</v>
      </c>
    </row>
    <row r="7625" spans="1:25">
      <c r="A7625" t="s">
        <v>26138</v>
      </c>
      <c r="B7625" t="s">
        <v>26139</v>
      </c>
      <c r="D7625" t="s">
        <v>40</v>
      </c>
      <c r="E7625" t="s">
        <v>41</v>
      </c>
      <c r="J7625" t="s">
        <v>1554</v>
      </c>
      <c r="K7625" t="s">
        <v>1555</v>
      </c>
      <c r="L7625">
        <v>5</v>
      </c>
      <c r="M7625" t="s">
        <v>26140</v>
      </c>
      <c r="N7625" t="s">
        <v>350</v>
      </c>
      <c r="O7625" t="s">
        <v>46</v>
      </c>
      <c r="P7625" t="s">
        <v>46</v>
      </c>
      <c r="Y7625" t="s">
        <v>26141</v>
      </c>
    </row>
    <row r="7626" spans="1:25">
      <c r="A7626" t="s">
        <v>26142</v>
      </c>
      <c r="B7626" t="s">
        <v>26143</v>
      </c>
      <c r="D7626" t="s">
        <v>40</v>
      </c>
      <c r="E7626" t="s">
        <v>41</v>
      </c>
      <c r="J7626" t="s">
        <v>6179</v>
      </c>
      <c r="K7626" t="s">
        <v>6180</v>
      </c>
      <c r="L7626">
        <v>5</v>
      </c>
      <c r="M7626" t="s">
        <v>26144</v>
      </c>
      <c r="N7626" t="s">
        <v>1229</v>
      </c>
      <c r="O7626" t="s">
        <v>46</v>
      </c>
      <c r="P7626" t="s">
        <v>46</v>
      </c>
      <c r="Y7626" t="s">
        <v>26145</v>
      </c>
    </row>
    <row r="7627" spans="1:25">
      <c r="A7627" t="s">
        <v>26146</v>
      </c>
      <c r="B7627" t="s">
        <v>26147</v>
      </c>
      <c r="D7627" t="s">
        <v>40</v>
      </c>
      <c r="E7627" t="s">
        <v>41</v>
      </c>
      <c r="J7627" t="s">
        <v>248</v>
      </c>
      <c r="K7627" t="s">
        <v>249</v>
      </c>
      <c r="L7627">
        <v>5</v>
      </c>
      <c r="M7627" t="s">
        <v>26148</v>
      </c>
      <c r="N7627" t="s">
        <v>53</v>
      </c>
      <c r="O7627" t="s">
        <v>46</v>
      </c>
      <c r="P7627" t="s">
        <v>46</v>
      </c>
      <c r="Y7627" t="s">
        <v>26149</v>
      </c>
    </row>
    <row r="7628" spans="1:25">
      <c r="A7628" t="s">
        <v>26150</v>
      </c>
      <c r="B7628" t="s">
        <v>26151</v>
      </c>
      <c r="D7628" t="s">
        <v>40</v>
      </c>
      <c r="E7628" t="s">
        <v>41</v>
      </c>
      <c r="J7628" t="s">
        <v>248</v>
      </c>
      <c r="K7628" t="s">
        <v>249</v>
      </c>
      <c r="L7628">
        <v>5</v>
      </c>
      <c r="M7628" t="s">
        <v>26148</v>
      </c>
      <c r="N7628" t="s">
        <v>1369</v>
      </c>
      <c r="O7628" t="s">
        <v>46</v>
      </c>
      <c r="P7628" t="s">
        <v>46</v>
      </c>
      <c r="Y7628" t="s">
        <v>26152</v>
      </c>
    </row>
    <row r="7629" spans="1:25">
      <c r="A7629" t="s">
        <v>26153</v>
      </c>
      <c r="B7629" t="s">
        <v>26154</v>
      </c>
      <c r="D7629" t="s">
        <v>40</v>
      </c>
      <c r="E7629" t="s">
        <v>41</v>
      </c>
      <c r="J7629" t="s">
        <v>139</v>
      </c>
      <c r="K7629" t="s">
        <v>140</v>
      </c>
      <c r="L7629">
        <v>5</v>
      </c>
      <c r="M7629" t="s">
        <v>26155</v>
      </c>
      <c r="N7629" t="s">
        <v>24245</v>
      </c>
      <c r="O7629" t="s">
        <v>46</v>
      </c>
      <c r="P7629" t="s">
        <v>46</v>
      </c>
      <c r="Y7629" t="s">
        <v>26156</v>
      </c>
    </row>
    <row r="7630" spans="1:25">
      <c r="A7630" t="s">
        <v>26157</v>
      </c>
      <c r="B7630" t="s">
        <v>26158</v>
      </c>
      <c r="D7630" t="s">
        <v>40</v>
      </c>
      <c r="E7630" t="s">
        <v>41</v>
      </c>
      <c r="J7630" t="s">
        <v>248</v>
      </c>
      <c r="K7630" t="s">
        <v>249</v>
      </c>
      <c r="L7630">
        <v>5</v>
      </c>
      <c r="M7630" t="s">
        <v>26159</v>
      </c>
      <c r="N7630" t="s">
        <v>1369</v>
      </c>
      <c r="O7630" t="s">
        <v>46</v>
      </c>
      <c r="P7630" t="s">
        <v>46</v>
      </c>
      <c r="Y7630" t="s">
        <v>26160</v>
      </c>
    </row>
    <row r="7631" spans="1:25">
      <c r="A7631" t="s">
        <v>26161</v>
      </c>
      <c r="B7631" t="s">
        <v>26162</v>
      </c>
      <c r="D7631" t="s">
        <v>40</v>
      </c>
      <c r="E7631" t="s">
        <v>41</v>
      </c>
      <c r="J7631" t="s">
        <v>248</v>
      </c>
      <c r="K7631" t="s">
        <v>249</v>
      </c>
      <c r="L7631">
        <v>5</v>
      </c>
      <c r="M7631" t="s">
        <v>26159</v>
      </c>
      <c r="N7631" t="s">
        <v>142</v>
      </c>
      <c r="O7631" t="s">
        <v>46</v>
      </c>
      <c r="P7631" t="s">
        <v>46</v>
      </c>
      <c r="Y7631" t="s">
        <v>26163</v>
      </c>
    </row>
    <row r="7632" spans="1:25">
      <c r="A7632" t="s">
        <v>26164</v>
      </c>
      <c r="B7632" t="s">
        <v>26165</v>
      </c>
      <c r="D7632" t="s">
        <v>40</v>
      </c>
      <c r="E7632" t="s">
        <v>41</v>
      </c>
      <c r="J7632" t="s">
        <v>599</v>
      </c>
      <c r="K7632" t="s">
        <v>600</v>
      </c>
      <c r="L7632">
        <v>5</v>
      </c>
      <c r="M7632" t="s">
        <v>26166</v>
      </c>
      <c r="N7632" t="s">
        <v>24227</v>
      </c>
      <c r="O7632" t="s">
        <v>46</v>
      </c>
      <c r="P7632" t="s">
        <v>46</v>
      </c>
      <c r="Y7632" t="s">
        <v>26167</v>
      </c>
    </row>
    <row r="7633" spans="1:25">
      <c r="A7633" t="s">
        <v>26168</v>
      </c>
      <c r="B7633" t="s">
        <v>26169</v>
      </c>
      <c r="D7633" t="s">
        <v>40</v>
      </c>
      <c r="E7633" t="s">
        <v>41</v>
      </c>
      <c r="J7633" t="s">
        <v>139</v>
      </c>
      <c r="K7633" t="s">
        <v>140</v>
      </c>
      <c r="L7633">
        <v>5</v>
      </c>
      <c r="M7633" t="s">
        <v>26170</v>
      </c>
      <c r="N7633" t="s">
        <v>315</v>
      </c>
      <c r="O7633" t="s">
        <v>46</v>
      </c>
      <c r="P7633" t="s">
        <v>46</v>
      </c>
      <c r="Y7633" t="s">
        <v>26171</v>
      </c>
    </row>
    <row r="7634" spans="1:25">
      <c r="A7634" t="s">
        <v>26172</v>
      </c>
      <c r="B7634" t="s">
        <v>26173</v>
      </c>
      <c r="D7634" t="s">
        <v>40</v>
      </c>
      <c r="E7634" t="s">
        <v>41</v>
      </c>
      <c r="J7634" t="s">
        <v>248</v>
      </c>
      <c r="K7634" t="s">
        <v>249</v>
      </c>
      <c r="L7634">
        <v>5</v>
      </c>
      <c r="M7634" t="s">
        <v>26174</v>
      </c>
      <c r="N7634" t="s">
        <v>173</v>
      </c>
      <c r="O7634" t="s">
        <v>46</v>
      </c>
      <c r="P7634" t="s">
        <v>46</v>
      </c>
      <c r="Y7634" t="s">
        <v>26175</v>
      </c>
    </row>
    <row r="7635" spans="1:25">
      <c r="A7635" t="s">
        <v>26176</v>
      </c>
      <c r="B7635" t="s">
        <v>26177</v>
      </c>
      <c r="D7635" t="s">
        <v>40</v>
      </c>
      <c r="E7635" t="s">
        <v>41</v>
      </c>
      <c r="J7635" t="s">
        <v>1554</v>
      </c>
      <c r="K7635" t="s">
        <v>1555</v>
      </c>
      <c r="L7635">
        <v>5</v>
      </c>
      <c r="M7635" t="s">
        <v>26178</v>
      </c>
      <c r="N7635" t="s">
        <v>1397</v>
      </c>
      <c r="O7635" t="s">
        <v>46</v>
      </c>
      <c r="P7635" t="s">
        <v>46</v>
      </c>
      <c r="Y7635" t="s">
        <v>26179</v>
      </c>
    </row>
    <row r="7636" spans="1:25">
      <c r="A7636" t="s">
        <v>26180</v>
      </c>
      <c r="B7636" t="s">
        <v>26181</v>
      </c>
      <c r="D7636" t="s">
        <v>40</v>
      </c>
      <c r="E7636" t="s">
        <v>41</v>
      </c>
      <c r="J7636" t="s">
        <v>248</v>
      </c>
      <c r="K7636" t="s">
        <v>249</v>
      </c>
      <c r="L7636">
        <v>5</v>
      </c>
      <c r="M7636" t="s">
        <v>26178</v>
      </c>
      <c r="N7636" t="s">
        <v>1814</v>
      </c>
      <c r="O7636" t="s">
        <v>46</v>
      </c>
      <c r="P7636" t="s">
        <v>46</v>
      </c>
      <c r="Y7636" t="s">
        <v>26182</v>
      </c>
    </row>
    <row r="7637" spans="1:25">
      <c r="A7637" t="s">
        <v>26183</v>
      </c>
      <c r="B7637" t="s">
        <v>26184</v>
      </c>
      <c r="D7637" t="s">
        <v>40</v>
      </c>
      <c r="E7637" t="s">
        <v>41</v>
      </c>
      <c r="J7637" t="s">
        <v>1142</v>
      </c>
      <c r="K7637" t="s">
        <v>1143</v>
      </c>
      <c r="L7637">
        <v>5</v>
      </c>
      <c r="M7637" t="s">
        <v>26185</v>
      </c>
      <c r="N7637" t="s">
        <v>142</v>
      </c>
      <c r="O7637" t="s">
        <v>46</v>
      </c>
      <c r="P7637" t="s">
        <v>46</v>
      </c>
      <c r="Y7637" t="s">
        <v>26186</v>
      </c>
    </row>
    <row r="7638" spans="1:25">
      <c r="A7638" t="s">
        <v>26187</v>
      </c>
      <c r="B7638" t="s">
        <v>26188</v>
      </c>
      <c r="D7638" t="s">
        <v>40</v>
      </c>
      <c r="E7638" t="s">
        <v>41</v>
      </c>
      <c r="J7638" t="s">
        <v>248</v>
      </c>
      <c r="K7638" t="s">
        <v>249</v>
      </c>
      <c r="L7638">
        <v>5</v>
      </c>
      <c r="M7638" t="s">
        <v>26189</v>
      </c>
      <c r="N7638" t="s">
        <v>53</v>
      </c>
      <c r="O7638" t="s">
        <v>46</v>
      </c>
      <c r="P7638" t="s">
        <v>46</v>
      </c>
      <c r="Y7638" t="s">
        <v>26190</v>
      </c>
    </row>
    <row r="7639" spans="1:25">
      <c r="A7639" t="s">
        <v>26191</v>
      </c>
      <c r="B7639" t="s">
        <v>26192</v>
      </c>
      <c r="D7639" t="s">
        <v>40</v>
      </c>
      <c r="E7639" t="s">
        <v>41</v>
      </c>
      <c r="J7639" t="s">
        <v>139</v>
      </c>
      <c r="K7639" t="s">
        <v>140</v>
      </c>
      <c r="L7639">
        <v>5</v>
      </c>
      <c r="M7639" t="s">
        <v>26193</v>
      </c>
      <c r="N7639" t="s">
        <v>178</v>
      </c>
      <c r="O7639" t="s">
        <v>46</v>
      </c>
      <c r="P7639" t="s">
        <v>46</v>
      </c>
      <c r="Y7639" t="s">
        <v>26194</v>
      </c>
    </row>
    <row r="7640" spans="1:25">
      <c r="A7640" t="s">
        <v>26195</v>
      </c>
      <c r="B7640" t="s">
        <v>26196</v>
      </c>
      <c r="D7640" t="s">
        <v>40</v>
      </c>
      <c r="E7640" t="s">
        <v>41</v>
      </c>
      <c r="J7640" t="s">
        <v>1554</v>
      </c>
      <c r="K7640" t="s">
        <v>1555</v>
      </c>
      <c r="L7640">
        <v>5</v>
      </c>
      <c r="M7640" t="s">
        <v>26193</v>
      </c>
      <c r="N7640" t="s">
        <v>509</v>
      </c>
      <c r="O7640" t="s">
        <v>46</v>
      </c>
      <c r="P7640" t="s">
        <v>46</v>
      </c>
      <c r="Y7640" t="s">
        <v>26197</v>
      </c>
    </row>
    <row r="7641" spans="1:25">
      <c r="A7641" t="s">
        <v>26198</v>
      </c>
      <c r="B7641" t="s">
        <v>26199</v>
      </c>
      <c r="D7641" t="s">
        <v>40</v>
      </c>
      <c r="E7641" t="s">
        <v>41</v>
      </c>
      <c r="J7641" t="s">
        <v>139</v>
      </c>
      <c r="K7641" t="s">
        <v>140</v>
      </c>
      <c r="L7641">
        <v>5</v>
      </c>
      <c r="M7641" t="s">
        <v>26193</v>
      </c>
      <c r="N7641" t="s">
        <v>25388</v>
      </c>
      <c r="O7641" t="s">
        <v>46</v>
      </c>
      <c r="P7641" t="s">
        <v>46</v>
      </c>
      <c r="Y7641" t="s">
        <v>26200</v>
      </c>
    </row>
    <row r="7642" spans="1:25">
      <c r="A7642" t="s">
        <v>26201</v>
      </c>
      <c r="B7642" t="s">
        <v>26202</v>
      </c>
      <c r="D7642" t="s">
        <v>40</v>
      </c>
      <c r="E7642" t="s">
        <v>41</v>
      </c>
      <c r="J7642" t="s">
        <v>599</v>
      </c>
      <c r="K7642" t="s">
        <v>600</v>
      </c>
      <c r="L7642">
        <v>5</v>
      </c>
      <c r="M7642" t="s">
        <v>26203</v>
      </c>
      <c r="N7642" t="s">
        <v>142</v>
      </c>
      <c r="O7642" t="s">
        <v>46</v>
      </c>
      <c r="P7642" t="s">
        <v>46</v>
      </c>
      <c r="Y7642" t="s">
        <v>26204</v>
      </c>
    </row>
    <row r="7643" spans="1:25">
      <c r="A7643" t="s">
        <v>26205</v>
      </c>
      <c r="B7643" t="s">
        <v>26206</v>
      </c>
      <c r="D7643" t="s">
        <v>40</v>
      </c>
      <c r="E7643" t="s">
        <v>41</v>
      </c>
      <c r="J7643" t="s">
        <v>1142</v>
      </c>
      <c r="K7643" t="s">
        <v>1143</v>
      </c>
      <c r="L7643">
        <v>5</v>
      </c>
      <c r="M7643" t="s">
        <v>26207</v>
      </c>
      <c r="N7643" t="s">
        <v>1334</v>
      </c>
      <c r="O7643" t="s">
        <v>46</v>
      </c>
      <c r="P7643" t="s">
        <v>46</v>
      </c>
      <c r="Y7643" t="s">
        <v>26208</v>
      </c>
    </row>
    <row r="7644" spans="1:25">
      <c r="A7644" t="s">
        <v>26209</v>
      </c>
      <c r="B7644" t="s">
        <v>26210</v>
      </c>
      <c r="D7644" t="s">
        <v>40</v>
      </c>
      <c r="E7644" t="s">
        <v>41</v>
      </c>
      <c r="J7644" t="s">
        <v>12440</v>
      </c>
      <c r="K7644" t="s">
        <v>12441</v>
      </c>
      <c r="L7644">
        <v>6</v>
      </c>
      <c r="M7644" t="s">
        <v>26211</v>
      </c>
      <c r="N7644" t="s">
        <v>436</v>
      </c>
      <c r="O7644" t="s">
        <v>46</v>
      </c>
      <c r="P7644" t="s">
        <v>46</v>
      </c>
      <c r="Y7644" t="s">
        <v>26212</v>
      </c>
    </row>
    <row r="7645" spans="1:25">
      <c r="A7645" t="s">
        <v>26213</v>
      </c>
      <c r="B7645" t="s">
        <v>26214</v>
      </c>
      <c r="D7645" t="s">
        <v>40</v>
      </c>
      <c r="E7645" t="s">
        <v>41</v>
      </c>
      <c r="J7645" t="s">
        <v>6255</v>
      </c>
      <c r="K7645" t="s">
        <v>6256</v>
      </c>
      <c r="L7645">
        <v>5</v>
      </c>
      <c r="M7645" t="s">
        <v>26215</v>
      </c>
      <c r="N7645" t="s">
        <v>45</v>
      </c>
      <c r="O7645" t="s">
        <v>46</v>
      </c>
      <c r="P7645" t="s">
        <v>46</v>
      </c>
      <c r="Y7645" t="s">
        <v>26216</v>
      </c>
    </row>
    <row r="7646" spans="1:25">
      <c r="A7646" t="s">
        <v>26217</v>
      </c>
      <c r="B7646" t="s">
        <v>26218</v>
      </c>
      <c r="D7646" t="s">
        <v>40</v>
      </c>
      <c r="E7646" t="s">
        <v>41</v>
      </c>
      <c r="J7646" t="s">
        <v>139</v>
      </c>
      <c r="K7646" t="s">
        <v>140</v>
      </c>
      <c r="L7646">
        <v>5</v>
      </c>
      <c r="M7646" t="s">
        <v>26219</v>
      </c>
      <c r="N7646" t="s">
        <v>310</v>
      </c>
      <c r="O7646" t="s">
        <v>46</v>
      </c>
      <c r="P7646" t="s">
        <v>46</v>
      </c>
      <c r="Y7646" t="s">
        <v>26220</v>
      </c>
    </row>
    <row r="7647" spans="1:25">
      <c r="A7647" t="s">
        <v>26221</v>
      </c>
      <c r="B7647" t="s">
        <v>26222</v>
      </c>
      <c r="D7647" t="s">
        <v>40</v>
      </c>
      <c r="E7647" t="s">
        <v>41</v>
      </c>
      <c r="J7647" t="s">
        <v>248</v>
      </c>
      <c r="K7647" t="s">
        <v>249</v>
      </c>
      <c r="L7647">
        <v>5</v>
      </c>
      <c r="M7647" t="s">
        <v>26219</v>
      </c>
      <c r="N7647" t="s">
        <v>142</v>
      </c>
      <c r="O7647" t="s">
        <v>46</v>
      </c>
      <c r="P7647" t="s">
        <v>46</v>
      </c>
      <c r="Y7647" t="s">
        <v>26223</v>
      </c>
    </row>
    <row r="7648" spans="1:25">
      <c r="A7648" t="s">
        <v>26224</v>
      </c>
      <c r="B7648" t="s">
        <v>26225</v>
      </c>
      <c r="D7648" t="s">
        <v>40</v>
      </c>
      <c r="E7648" t="s">
        <v>41</v>
      </c>
      <c r="J7648" t="s">
        <v>12440</v>
      </c>
      <c r="K7648" t="s">
        <v>12441</v>
      </c>
      <c r="L7648">
        <v>6</v>
      </c>
      <c r="M7648" t="s">
        <v>26226</v>
      </c>
      <c r="N7648" t="s">
        <v>1550</v>
      </c>
      <c r="O7648" t="s">
        <v>46</v>
      </c>
      <c r="P7648" t="s">
        <v>46</v>
      </c>
      <c r="Y7648" t="s">
        <v>26227</v>
      </c>
    </row>
    <row r="7649" spans="1:25">
      <c r="A7649" t="s">
        <v>26228</v>
      </c>
      <c r="B7649" t="s">
        <v>26229</v>
      </c>
      <c r="D7649" t="s">
        <v>40</v>
      </c>
      <c r="E7649" t="s">
        <v>41</v>
      </c>
      <c r="J7649" t="s">
        <v>248</v>
      </c>
      <c r="K7649" t="s">
        <v>249</v>
      </c>
      <c r="L7649">
        <v>5</v>
      </c>
      <c r="M7649" t="s">
        <v>26230</v>
      </c>
      <c r="N7649" t="s">
        <v>1397</v>
      </c>
      <c r="O7649" t="s">
        <v>46</v>
      </c>
      <c r="P7649" t="s">
        <v>46</v>
      </c>
      <c r="Y7649" t="s">
        <v>26231</v>
      </c>
    </row>
    <row r="7650" spans="1:25">
      <c r="A7650" t="s">
        <v>26232</v>
      </c>
      <c r="B7650" t="s">
        <v>26233</v>
      </c>
      <c r="D7650" t="s">
        <v>40</v>
      </c>
      <c r="E7650" t="s">
        <v>41</v>
      </c>
      <c r="J7650" t="s">
        <v>248</v>
      </c>
      <c r="K7650" t="s">
        <v>249</v>
      </c>
      <c r="L7650">
        <v>5</v>
      </c>
      <c r="M7650" t="s">
        <v>26234</v>
      </c>
      <c r="N7650" t="s">
        <v>25508</v>
      </c>
      <c r="O7650" t="s">
        <v>46</v>
      </c>
      <c r="P7650" t="s">
        <v>46</v>
      </c>
      <c r="Y7650" t="s">
        <v>26235</v>
      </c>
    </row>
    <row r="7651" spans="1:25">
      <c r="A7651" t="s">
        <v>26236</v>
      </c>
      <c r="B7651" t="s">
        <v>26237</v>
      </c>
      <c r="D7651" t="s">
        <v>40</v>
      </c>
      <c r="E7651" t="s">
        <v>41</v>
      </c>
      <c r="J7651" t="s">
        <v>248</v>
      </c>
      <c r="K7651" t="s">
        <v>249</v>
      </c>
      <c r="L7651">
        <v>5</v>
      </c>
      <c r="M7651" t="s">
        <v>26238</v>
      </c>
      <c r="N7651" t="s">
        <v>752</v>
      </c>
      <c r="O7651" t="s">
        <v>46</v>
      </c>
      <c r="P7651" t="s">
        <v>46</v>
      </c>
      <c r="Y7651" t="s">
        <v>26239</v>
      </c>
    </row>
    <row r="7652" spans="1:25">
      <c r="A7652" t="s">
        <v>26240</v>
      </c>
      <c r="B7652" t="s">
        <v>26241</v>
      </c>
      <c r="D7652" t="s">
        <v>40</v>
      </c>
      <c r="E7652" t="s">
        <v>41</v>
      </c>
      <c r="J7652" t="s">
        <v>1554</v>
      </c>
      <c r="K7652" t="s">
        <v>1555</v>
      </c>
      <c r="L7652">
        <v>6</v>
      </c>
      <c r="M7652" t="s">
        <v>26242</v>
      </c>
      <c r="N7652" t="s">
        <v>291</v>
      </c>
      <c r="O7652" t="s">
        <v>46</v>
      </c>
      <c r="P7652" t="s">
        <v>46</v>
      </c>
      <c r="Y7652" t="s">
        <v>26243</v>
      </c>
    </row>
    <row r="7653" spans="1:25">
      <c r="A7653" t="s">
        <v>26244</v>
      </c>
      <c r="B7653" t="s">
        <v>26245</v>
      </c>
      <c r="D7653" t="s">
        <v>40</v>
      </c>
      <c r="E7653" t="s">
        <v>41</v>
      </c>
      <c r="J7653" t="s">
        <v>599</v>
      </c>
      <c r="K7653" t="s">
        <v>600</v>
      </c>
      <c r="L7653">
        <v>5</v>
      </c>
      <c r="M7653" t="s">
        <v>26246</v>
      </c>
      <c r="N7653" t="s">
        <v>4037</v>
      </c>
      <c r="O7653" t="s">
        <v>46</v>
      </c>
      <c r="P7653" t="s">
        <v>46</v>
      </c>
      <c r="Y7653" t="s">
        <v>26247</v>
      </c>
    </row>
    <row r="7654" spans="1:25">
      <c r="A7654" t="s">
        <v>26248</v>
      </c>
      <c r="B7654" t="s">
        <v>26249</v>
      </c>
      <c r="D7654" t="s">
        <v>40</v>
      </c>
      <c r="E7654" t="s">
        <v>41</v>
      </c>
      <c r="J7654" t="s">
        <v>11802</v>
      </c>
      <c r="K7654" t="s">
        <v>11803</v>
      </c>
      <c r="L7654">
        <v>5</v>
      </c>
      <c r="M7654" t="s">
        <v>26250</v>
      </c>
      <c r="N7654" t="s">
        <v>24387</v>
      </c>
      <c r="O7654" t="s">
        <v>46</v>
      </c>
      <c r="P7654" t="s">
        <v>46</v>
      </c>
      <c r="Y7654" t="s">
        <v>26251</v>
      </c>
    </row>
    <row r="7655" spans="1:25">
      <c r="A7655" t="s">
        <v>26252</v>
      </c>
      <c r="B7655" t="s">
        <v>26253</v>
      </c>
      <c r="D7655" t="s">
        <v>40</v>
      </c>
      <c r="E7655" t="s">
        <v>41</v>
      </c>
      <c r="J7655" t="s">
        <v>248</v>
      </c>
      <c r="K7655" t="s">
        <v>249</v>
      </c>
      <c r="L7655">
        <v>5</v>
      </c>
      <c r="M7655" t="s">
        <v>26250</v>
      </c>
      <c r="N7655" t="s">
        <v>1344</v>
      </c>
      <c r="O7655" t="s">
        <v>46</v>
      </c>
      <c r="P7655" t="s">
        <v>46</v>
      </c>
      <c r="Y7655" t="s">
        <v>26254</v>
      </c>
    </row>
    <row r="7656" spans="1:25">
      <c r="A7656" t="s">
        <v>26255</v>
      </c>
      <c r="B7656" t="s">
        <v>26256</v>
      </c>
      <c r="D7656" t="s">
        <v>40</v>
      </c>
      <c r="E7656" t="s">
        <v>41</v>
      </c>
      <c r="J7656" t="s">
        <v>248</v>
      </c>
      <c r="K7656" t="s">
        <v>249</v>
      </c>
      <c r="L7656">
        <v>5</v>
      </c>
      <c r="M7656" t="s">
        <v>26257</v>
      </c>
      <c r="N7656" t="s">
        <v>1446</v>
      </c>
      <c r="O7656" t="s">
        <v>46</v>
      </c>
      <c r="P7656" t="s">
        <v>46</v>
      </c>
      <c r="Y7656" t="s">
        <v>26258</v>
      </c>
    </row>
    <row r="7657" spans="1:25">
      <c r="A7657" t="s">
        <v>26259</v>
      </c>
      <c r="B7657" t="s">
        <v>26260</v>
      </c>
      <c r="D7657" t="s">
        <v>40</v>
      </c>
      <c r="E7657" t="s">
        <v>41</v>
      </c>
      <c r="J7657" t="s">
        <v>892</v>
      </c>
      <c r="K7657" t="s">
        <v>893</v>
      </c>
      <c r="L7657">
        <v>5</v>
      </c>
      <c r="M7657" t="s">
        <v>26261</v>
      </c>
      <c r="N7657" t="s">
        <v>25388</v>
      </c>
      <c r="O7657" t="s">
        <v>46</v>
      </c>
      <c r="P7657" t="s">
        <v>46</v>
      </c>
      <c r="Y7657" t="s">
        <v>26262</v>
      </c>
    </row>
    <row r="7658" spans="1:25">
      <c r="A7658" t="s">
        <v>26263</v>
      </c>
      <c r="B7658" t="s">
        <v>26264</v>
      </c>
      <c r="D7658" t="s">
        <v>40</v>
      </c>
      <c r="E7658" t="s">
        <v>41</v>
      </c>
      <c r="J7658" t="s">
        <v>248</v>
      </c>
      <c r="K7658" t="s">
        <v>249</v>
      </c>
      <c r="L7658">
        <v>5</v>
      </c>
      <c r="M7658" t="s">
        <v>26265</v>
      </c>
      <c r="N7658" t="s">
        <v>24227</v>
      </c>
      <c r="O7658" t="s">
        <v>46</v>
      </c>
      <c r="P7658" t="s">
        <v>46</v>
      </c>
      <c r="Y7658" t="s">
        <v>26266</v>
      </c>
    </row>
    <row r="7659" spans="1:25">
      <c r="A7659" t="s">
        <v>26267</v>
      </c>
      <c r="B7659" t="s">
        <v>26268</v>
      </c>
      <c r="D7659" t="s">
        <v>40</v>
      </c>
      <c r="E7659" t="s">
        <v>41</v>
      </c>
      <c r="J7659" t="s">
        <v>14558</v>
      </c>
      <c r="K7659" t="s">
        <v>14559</v>
      </c>
      <c r="L7659">
        <v>5</v>
      </c>
      <c r="M7659" t="s">
        <v>26265</v>
      </c>
      <c r="N7659" t="s">
        <v>509</v>
      </c>
      <c r="O7659" t="s">
        <v>46</v>
      </c>
      <c r="P7659" t="s">
        <v>46</v>
      </c>
      <c r="Y7659" t="s">
        <v>26269</v>
      </c>
    </row>
    <row r="7660" spans="1:25">
      <c r="A7660" t="s">
        <v>26270</v>
      </c>
      <c r="B7660" t="s">
        <v>26271</v>
      </c>
      <c r="D7660" t="s">
        <v>40</v>
      </c>
      <c r="E7660" t="s">
        <v>41</v>
      </c>
      <c r="J7660" t="s">
        <v>248</v>
      </c>
      <c r="K7660" t="s">
        <v>249</v>
      </c>
      <c r="L7660">
        <v>5</v>
      </c>
      <c r="M7660" t="s">
        <v>26272</v>
      </c>
      <c r="N7660" t="s">
        <v>436</v>
      </c>
      <c r="O7660" t="s">
        <v>46</v>
      </c>
      <c r="P7660" t="s">
        <v>46</v>
      </c>
      <c r="Y7660" t="s">
        <v>26273</v>
      </c>
    </row>
    <row r="7661" spans="1:25">
      <c r="A7661" t="s">
        <v>26274</v>
      </c>
      <c r="B7661" t="s">
        <v>26275</v>
      </c>
      <c r="D7661" t="s">
        <v>40</v>
      </c>
      <c r="E7661" t="s">
        <v>41</v>
      </c>
      <c r="J7661" t="s">
        <v>248</v>
      </c>
      <c r="K7661" t="s">
        <v>249</v>
      </c>
      <c r="L7661">
        <v>5</v>
      </c>
      <c r="M7661" t="s">
        <v>26276</v>
      </c>
      <c r="N7661" t="s">
        <v>310</v>
      </c>
      <c r="O7661" t="s">
        <v>46</v>
      </c>
      <c r="P7661" t="s">
        <v>46</v>
      </c>
      <c r="Y7661" t="s">
        <v>26277</v>
      </c>
    </row>
    <row r="7662" spans="1:25">
      <c r="A7662" t="s">
        <v>26278</v>
      </c>
      <c r="B7662" t="s">
        <v>26279</v>
      </c>
      <c r="D7662" t="s">
        <v>40</v>
      </c>
      <c r="E7662" t="s">
        <v>41</v>
      </c>
      <c r="J7662" t="s">
        <v>248</v>
      </c>
      <c r="K7662" t="s">
        <v>249</v>
      </c>
      <c r="L7662">
        <v>5</v>
      </c>
      <c r="M7662" t="s">
        <v>26280</v>
      </c>
      <c r="N7662" t="s">
        <v>1380</v>
      </c>
      <c r="O7662" t="s">
        <v>46</v>
      </c>
      <c r="P7662" t="s">
        <v>46</v>
      </c>
      <c r="Y7662" t="s">
        <v>26281</v>
      </c>
    </row>
    <row r="7663" spans="1:25">
      <c r="A7663" t="s">
        <v>26282</v>
      </c>
      <c r="B7663" t="s">
        <v>26283</v>
      </c>
      <c r="D7663" t="s">
        <v>40</v>
      </c>
      <c r="E7663" t="s">
        <v>41</v>
      </c>
      <c r="J7663" t="s">
        <v>12440</v>
      </c>
      <c r="K7663" t="s">
        <v>12441</v>
      </c>
      <c r="L7663">
        <v>6</v>
      </c>
      <c r="M7663" t="s">
        <v>26284</v>
      </c>
      <c r="N7663" t="s">
        <v>178</v>
      </c>
      <c r="O7663" t="s">
        <v>46</v>
      </c>
      <c r="P7663" t="s">
        <v>46</v>
      </c>
      <c r="Y7663" t="s">
        <v>26285</v>
      </c>
    </row>
    <row r="7664" spans="1:25">
      <c r="A7664" t="s">
        <v>26286</v>
      </c>
      <c r="B7664" t="s">
        <v>26287</v>
      </c>
      <c r="D7664" t="s">
        <v>40</v>
      </c>
      <c r="E7664" t="s">
        <v>41</v>
      </c>
      <c r="J7664" t="s">
        <v>248</v>
      </c>
      <c r="K7664" t="s">
        <v>249</v>
      </c>
      <c r="L7664">
        <v>5</v>
      </c>
      <c r="M7664" t="s">
        <v>26284</v>
      </c>
      <c r="N7664" t="s">
        <v>350</v>
      </c>
      <c r="O7664" t="s">
        <v>46</v>
      </c>
      <c r="P7664" t="s">
        <v>46</v>
      </c>
      <c r="Y7664" t="s">
        <v>26288</v>
      </c>
    </row>
    <row r="7665" spans="1:25">
      <c r="A7665" t="s">
        <v>26289</v>
      </c>
      <c r="B7665" t="s">
        <v>26290</v>
      </c>
      <c r="D7665" t="s">
        <v>40</v>
      </c>
      <c r="E7665" t="s">
        <v>41</v>
      </c>
      <c r="J7665" t="s">
        <v>248</v>
      </c>
      <c r="K7665" t="s">
        <v>249</v>
      </c>
      <c r="L7665">
        <v>5</v>
      </c>
      <c r="M7665" t="s">
        <v>26284</v>
      </c>
      <c r="N7665" t="s">
        <v>257</v>
      </c>
      <c r="O7665" t="s">
        <v>46</v>
      </c>
      <c r="P7665" t="s">
        <v>46</v>
      </c>
      <c r="Y7665" t="s">
        <v>26291</v>
      </c>
    </row>
    <row r="7666" spans="1:25">
      <c r="A7666" t="s">
        <v>26292</v>
      </c>
      <c r="B7666" t="s">
        <v>26293</v>
      </c>
      <c r="D7666" t="s">
        <v>40</v>
      </c>
      <c r="E7666" t="s">
        <v>41</v>
      </c>
      <c r="J7666" t="s">
        <v>248</v>
      </c>
      <c r="K7666" t="s">
        <v>249</v>
      </c>
      <c r="L7666">
        <v>5</v>
      </c>
      <c r="M7666" t="s">
        <v>26294</v>
      </c>
      <c r="N7666" t="s">
        <v>1550</v>
      </c>
      <c r="O7666" t="s">
        <v>46</v>
      </c>
      <c r="P7666" t="s">
        <v>46</v>
      </c>
      <c r="Y7666" t="s">
        <v>26295</v>
      </c>
    </row>
    <row r="7667" spans="1:25">
      <c r="A7667" t="s">
        <v>26296</v>
      </c>
      <c r="B7667" t="s">
        <v>26297</v>
      </c>
      <c r="D7667" t="s">
        <v>40</v>
      </c>
      <c r="E7667" t="s">
        <v>41</v>
      </c>
      <c r="J7667" t="s">
        <v>139</v>
      </c>
      <c r="K7667" t="s">
        <v>140</v>
      </c>
      <c r="L7667">
        <v>5</v>
      </c>
      <c r="M7667" t="s">
        <v>26298</v>
      </c>
      <c r="N7667" t="s">
        <v>3013</v>
      </c>
      <c r="O7667" t="s">
        <v>46</v>
      </c>
      <c r="P7667" t="s">
        <v>46</v>
      </c>
      <c r="Y7667" t="s">
        <v>26299</v>
      </c>
    </row>
    <row r="7668" spans="1:25">
      <c r="A7668" t="s">
        <v>26300</v>
      </c>
      <c r="B7668" t="s">
        <v>26301</v>
      </c>
      <c r="D7668" t="s">
        <v>40</v>
      </c>
      <c r="E7668" t="s">
        <v>41</v>
      </c>
      <c r="J7668" t="s">
        <v>139</v>
      </c>
      <c r="K7668" t="s">
        <v>140</v>
      </c>
      <c r="L7668">
        <v>5</v>
      </c>
      <c r="M7668" t="s">
        <v>26302</v>
      </c>
      <c r="N7668" t="s">
        <v>509</v>
      </c>
      <c r="O7668" t="s">
        <v>46</v>
      </c>
      <c r="P7668" t="s">
        <v>46</v>
      </c>
      <c r="Y7668" t="s">
        <v>26303</v>
      </c>
    </row>
    <row r="7669" spans="1:25">
      <c r="A7669" t="s">
        <v>26304</v>
      </c>
      <c r="B7669" t="s">
        <v>26305</v>
      </c>
      <c r="D7669" t="s">
        <v>40</v>
      </c>
      <c r="E7669" t="s">
        <v>41</v>
      </c>
      <c r="J7669" t="s">
        <v>6255</v>
      </c>
      <c r="K7669" t="s">
        <v>6256</v>
      </c>
      <c r="L7669">
        <v>5</v>
      </c>
      <c r="M7669" t="s">
        <v>26306</v>
      </c>
      <c r="N7669" t="s">
        <v>45</v>
      </c>
      <c r="O7669" t="s">
        <v>46</v>
      </c>
      <c r="P7669" t="s">
        <v>46</v>
      </c>
      <c r="Y7669" t="s">
        <v>26307</v>
      </c>
    </row>
    <row r="7670" spans="1:25">
      <c r="A7670" t="s">
        <v>26308</v>
      </c>
      <c r="B7670" t="s">
        <v>26309</v>
      </c>
      <c r="D7670" t="s">
        <v>40</v>
      </c>
      <c r="E7670" t="s">
        <v>41</v>
      </c>
      <c r="J7670" t="s">
        <v>139</v>
      </c>
      <c r="K7670" t="s">
        <v>140</v>
      </c>
      <c r="L7670">
        <v>5</v>
      </c>
      <c r="M7670" t="s">
        <v>26310</v>
      </c>
      <c r="N7670" t="s">
        <v>165</v>
      </c>
      <c r="O7670" t="s">
        <v>46</v>
      </c>
      <c r="P7670" t="s">
        <v>46</v>
      </c>
      <c r="Y7670" t="s">
        <v>26311</v>
      </c>
    </row>
    <row r="7671" spans="1:25">
      <c r="A7671" t="s">
        <v>26312</v>
      </c>
      <c r="B7671" t="s">
        <v>26313</v>
      </c>
      <c r="D7671" t="s">
        <v>40</v>
      </c>
      <c r="E7671" t="s">
        <v>41</v>
      </c>
      <c r="J7671" t="s">
        <v>248</v>
      </c>
      <c r="K7671" t="s">
        <v>249</v>
      </c>
      <c r="L7671">
        <v>5</v>
      </c>
      <c r="M7671" t="s">
        <v>26314</v>
      </c>
      <c r="N7671" t="s">
        <v>310</v>
      </c>
      <c r="O7671" t="s">
        <v>46</v>
      </c>
      <c r="P7671" t="s">
        <v>46</v>
      </c>
      <c r="Y7671" t="s">
        <v>26315</v>
      </c>
    </row>
    <row r="7672" spans="1:25">
      <c r="A7672" t="s">
        <v>26316</v>
      </c>
      <c r="B7672" t="s">
        <v>26317</v>
      </c>
      <c r="D7672" t="s">
        <v>40</v>
      </c>
      <c r="E7672" t="s">
        <v>41</v>
      </c>
      <c r="J7672" t="s">
        <v>6255</v>
      </c>
      <c r="K7672" t="s">
        <v>6256</v>
      </c>
      <c r="L7672">
        <v>5</v>
      </c>
      <c r="M7672" t="s">
        <v>26318</v>
      </c>
      <c r="N7672" t="s">
        <v>24227</v>
      </c>
      <c r="O7672" t="s">
        <v>46</v>
      </c>
      <c r="P7672" t="s">
        <v>46</v>
      </c>
      <c r="Y7672" t="s">
        <v>26319</v>
      </c>
    </row>
    <row r="7673" spans="1:25">
      <c r="A7673" t="s">
        <v>26320</v>
      </c>
      <c r="B7673" t="s">
        <v>26321</v>
      </c>
      <c r="D7673" t="s">
        <v>40</v>
      </c>
      <c r="E7673" t="s">
        <v>41</v>
      </c>
      <c r="J7673" t="s">
        <v>1142</v>
      </c>
      <c r="K7673" t="s">
        <v>1143</v>
      </c>
      <c r="L7673">
        <v>5</v>
      </c>
      <c r="M7673" t="s">
        <v>26322</v>
      </c>
      <c r="N7673" t="s">
        <v>1392</v>
      </c>
      <c r="O7673" t="s">
        <v>46</v>
      </c>
      <c r="P7673" t="s">
        <v>46</v>
      </c>
      <c r="Y7673" t="s">
        <v>26323</v>
      </c>
    </row>
    <row r="7674" spans="1:25">
      <c r="A7674" t="s">
        <v>26324</v>
      </c>
      <c r="B7674" t="s">
        <v>26325</v>
      </c>
      <c r="D7674" t="s">
        <v>40</v>
      </c>
      <c r="E7674" t="s">
        <v>41</v>
      </c>
      <c r="J7674" t="s">
        <v>1142</v>
      </c>
      <c r="K7674" t="s">
        <v>1143</v>
      </c>
      <c r="L7674">
        <v>5</v>
      </c>
      <c r="M7674" t="s">
        <v>26326</v>
      </c>
      <c r="N7674" t="s">
        <v>178</v>
      </c>
      <c r="O7674" t="s">
        <v>46</v>
      </c>
      <c r="P7674" t="s">
        <v>46</v>
      </c>
      <c r="Y7674" t="s">
        <v>26327</v>
      </c>
    </row>
    <row r="7675" spans="1:25">
      <c r="A7675" t="s">
        <v>26328</v>
      </c>
      <c r="B7675" t="s">
        <v>26329</v>
      </c>
      <c r="D7675" t="s">
        <v>40</v>
      </c>
      <c r="E7675" t="s">
        <v>41</v>
      </c>
      <c r="J7675" t="s">
        <v>12440</v>
      </c>
      <c r="K7675" t="s">
        <v>12441</v>
      </c>
      <c r="L7675">
        <v>6</v>
      </c>
      <c r="M7675" t="s">
        <v>26330</v>
      </c>
      <c r="N7675" t="s">
        <v>64</v>
      </c>
      <c r="O7675" t="s">
        <v>46</v>
      </c>
      <c r="P7675" t="s">
        <v>46</v>
      </c>
      <c r="Y7675" t="s">
        <v>26331</v>
      </c>
    </row>
    <row r="7676" spans="1:25">
      <c r="A7676" t="s">
        <v>26332</v>
      </c>
      <c r="B7676" t="s">
        <v>26333</v>
      </c>
      <c r="D7676" t="s">
        <v>40</v>
      </c>
      <c r="E7676" t="s">
        <v>41</v>
      </c>
      <c r="J7676" t="s">
        <v>248</v>
      </c>
      <c r="K7676" t="s">
        <v>249</v>
      </c>
      <c r="L7676">
        <v>5</v>
      </c>
      <c r="M7676" t="s">
        <v>26334</v>
      </c>
      <c r="N7676" t="s">
        <v>1550</v>
      </c>
      <c r="O7676" t="s">
        <v>46</v>
      </c>
      <c r="P7676" t="s">
        <v>46</v>
      </c>
      <c r="Y7676" t="s">
        <v>26335</v>
      </c>
    </row>
    <row r="7677" spans="1:25">
      <c r="A7677" t="s">
        <v>26336</v>
      </c>
      <c r="B7677" t="s">
        <v>26337</v>
      </c>
      <c r="D7677" t="s">
        <v>40</v>
      </c>
      <c r="E7677" t="s">
        <v>41</v>
      </c>
      <c r="J7677" t="s">
        <v>248</v>
      </c>
      <c r="K7677" t="s">
        <v>249</v>
      </c>
      <c r="L7677">
        <v>5</v>
      </c>
      <c r="M7677" t="s">
        <v>26338</v>
      </c>
      <c r="N7677" t="s">
        <v>257</v>
      </c>
      <c r="O7677" t="s">
        <v>46</v>
      </c>
      <c r="P7677" t="s">
        <v>46</v>
      </c>
      <c r="Y7677" t="s">
        <v>26339</v>
      </c>
    </row>
    <row r="7678" spans="1:25">
      <c r="A7678" t="s">
        <v>26340</v>
      </c>
      <c r="B7678" t="s">
        <v>26341</v>
      </c>
      <c r="D7678" t="s">
        <v>40</v>
      </c>
      <c r="E7678" t="s">
        <v>41</v>
      </c>
      <c r="J7678" t="s">
        <v>248</v>
      </c>
      <c r="K7678" t="s">
        <v>249</v>
      </c>
      <c r="L7678">
        <v>5</v>
      </c>
      <c r="M7678" t="s">
        <v>26342</v>
      </c>
      <c r="N7678" t="s">
        <v>1446</v>
      </c>
      <c r="O7678" t="s">
        <v>46</v>
      </c>
      <c r="P7678" t="s">
        <v>46</v>
      </c>
      <c r="Y7678" t="s">
        <v>26343</v>
      </c>
    </row>
    <row r="7679" spans="1:25">
      <c r="A7679" t="s">
        <v>26344</v>
      </c>
      <c r="B7679" t="s">
        <v>26345</v>
      </c>
      <c r="D7679" t="s">
        <v>40</v>
      </c>
      <c r="E7679" t="s">
        <v>41</v>
      </c>
      <c r="J7679" t="s">
        <v>599</v>
      </c>
      <c r="K7679" t="s">
        <v>600</v>
      </c>
      <c r="L7679">
        <v>5</v>
      </c>
      <c r="M7679" t="s">
        <v>26346</v>
      </c>
      <c r="N7679" t="s">
        <v>45</v>
      </c>
      <c r="O7679" t="s">
        <v>46</v>
      </c>
      <c r="P7679" t="s">
        <v>46</v>
      </c>
      <c r="Y7679" t="s">
        <v>26347</v>
      </c>
    </row>
    <row r="7680" spans="1:25">
      <c r="A7680" t="s">
        <v>26348</v>
      </c>
      <c r="B7680" t="s">
        <v>26349</v>
      </c>
      <c r="D7680" t="s">
        <v>40</v>
      </c>
      <c r="E7680" t="s">
        <v>41</v>
      </c>
      <c r="J7680" t="s">
        <v>248</v>
      </c>
      <c r="K7680" t="s">
        <v>249</v>
      </c>
      <c r="L7680">
        <v>5</v>
      </c>
      <c r="M7680" t="s">
        <v>26350</v>
      </c>
      <c r="N7680" t="s">
        <v>350</v>
      </c>
      <c r="O7680" t="s">
        <v>46</v>
      </c>
      <c r="P7680" t="s">
        <v>46</v>
      </c>
      <c r="Y7680" t="s">
        <v>26351</v>
      </c>
    </row>
    <row r="7681" spans="1:25">
      <c r="A7681" t="s">
        <v>26352</v>
      </c>
      <c r="B7681" t="s">
        <v>26353</v>
      </c>
      <c r="D7681" t="s">
        <v>40</v>
      </c>
      <c r="E7681" t="s">
        <v>41</v>
      </c>
      <c r="J7681" t="s">
        <v>248</v>
      </c>
      <c r="K7681" t="s">
        <v>249</v>
      </c>
      <c r="L7681">
        <v>5</v>
      </c>
      <c r="M7681" t="s">
        <v>26354</v>
      </c>
      <c r="N7681" t="s">
        <v>24387</v>
      </c>
      <c r="O7681" t="s">
        <v>46</v>
      </c>
      <c r="P7681" t="s">
        <v>46</v>
      </c>
      <c r="Y7681" t="s">
        <v>26355</v>
      </c>
    </row>
    <row r="7682" spans="1:25">
      <c r="A7682" t="s">
        <v>26356</v>
      </c>
      <c r="B7682" t="s">
        <v>26357</v>
      </c>
      <c r="D7682" t="s">
        <v>40</v>
      </c>
      <c r="E7682" t="s">
        <v>41</v>
      </c>
      <c r="J7682" t="s">
        <v>12440</v>
      </c>
      <c r="K7682" t="s">
        <v>12441</v>
      </c>
      <c r="L7682">
        <v>6</v>
      </c>
      <c r="M7682" t="s">
        <v>26358</v>
      </c>
      <c r="N7682" t="s">
        <v>64</v>
      </c>
      <c r="O7682" t="s">
        <v>46</v>
      </c>
      <c r="P7682" t="s">
        <v>46</v>
      </c>
      <c r="Y7682" t="s">
        <v>26359</v>
      </c>
    </row>
    <row r="7683" spans="1:25">
      <c r="A7683" t="s">
        <v>26360</v>
      </c>
      <c r="B7683" t="s">
        <v>26361</v>
      </c>
      <c r="D7683" t="s">
        <v>40</v>
      </c>
      <c r="E7683" t="s">
        <v>41</v>
      </c>
      <c r="J7683" t="s">
        <v>6255</v>
      </c>
      <c r="K7683" t="s">
        <v>6256</v>
      </c>
      <c r="L7683">
        <v>5</v>
      </c>
      <c r="M7683" t="s">
        <v>26358</v>
      </c>
      <c r="N7683" t="s">
        <v>1229</v>
      </c>
      <c r="O7683" t="s">
        <v>46</v>
      </c>
      <c r="P7683" t="s">
        <v>46</v>
      </c>
      <c r="Y7683" t="s">
        <v>26362</v>
      </c>
    </row>
    <row r="7684" spans="1:25">
      <c r="A7684" t="s">
        <v>26363</v>
      </c>
      <c r="B7684" t="s">
        <v>26364</v>
      </c>
      <c r="D7684" t="s">
        <v>40</v>
      </c>
      <c r="E7684" t="s">
        <v>41</v>
      </c>
      <c r="J7684" t="s">
        <v>11802</v>
      </c>
      <c r="K7684" t="s">
        <v>11803</v>
      </c>
      <c r="L7684">
        <v>5</v>
      </c>
      <c r="M7684" t="s">
        <v>26365</v>
      </c>
      <c r="N7684" t="s">
        <v>24245</v>
      </c>
      <c r="O7684" t="s">
        <v>46</v>
      </c>
      <c r="P7684" t="s">
        <v>46</v>
      </c>
      <c r="Y7684" t="s">
        <v>26366</v>
      </c>
    </row>
    <row r="7685" spans="1:25">
      <c r="A7685" t="s">
        <v>26367</v>
      </c>
      <c r="B7685" t="s">
        <v>26368</v>
      </c>
      <c r="D7685" t="s">
        <v>40</v>
      </c>
      <c r="E7685" t="s">
        <v>41</v>
      </c>
      <c r="J7685" t="s">
        <v>248</v>
      </c>
      <c r="K7685" t="s">
        <v>249</v>
      </c>
      <c r="L7685">
        <v>5</v>
      </c>
      <c r="M7685" t="s">
        <v>26369</v>
      </c>
      <c r="N7685" t="s">
        <v>173</v>
      </c>
      <c r="O7685" t="s">
        <v>46</v>
      </c>
      <c r="P7685" t="s">
        <v>46</v>
      </c>
      <c r="Y7685" t="s">
        <v>26370</v>
      </c>
    </row>
    <row r="7686" spans="1:25">
      <c r="A7686" t="s">
        <v>26371</v>
      </c>
      <c r="B7686" t="s">
        <v>26372</v>
      </c>
      <c r="D7686" t="s">
        <v>40</v>
      </c>
      <c r="E7686" t="s">
        <v>41</v>
      </c>
      <c r="J7686" t="s">
        <v>248</v>
      </c>
      <c r="K7686" t="s">
        <v>249</v>
      </c>
      <c r="L7686">
        <v>5</v>
      </c>
      <c r="M7686" t="s">
        <v>26373</v>
      </c>
      <c r="N7686" t="s">
        <v>1369</v>
      </c>
      <c r="O7686" t="s">
        <v>46</v>
      </c>
      <c r="P7686" t="s">
        <v>46</v>
      </c>
      <c r="Y7686" t="s">
        <v>26374</v>
      </c>
    </row>
    <row r="7687" spans="1:25">
      <c r="A7687" t="s">
        <v>26375</v>
      </c>
      <c r="B7687" t="s">
        <v>26376</v>
      </c>
      <c r="D7687" t="s">
        <v>40</v>
      </c>
      <c r="E7687" t="s">
        <v>41</v>
      </c>
      <c r="J7687" t="s">
        <v>248</v>
      </c>
      <c r="K7687" t="s">
        <v>249</v>
      </c>
      <c r="L7687">
        <v>5</v>
      </c>
      <c r="M7687" t="s">
        <v>26377</v>
      </c>
      <c r="N7687" t="s">
        <v>436</v>
      </c>
      <c r="O7687" t="s">
        <v>46</v>
      </c>
      <c r="P7687" t="s">
        <v>46</v>
      </c>
      <c r="Y7687" t="s">
        <v>26378</v>
      </c>
    </row>
    <row r="7688" spans="1:25">
      <c r="A7688" t="s">
        <v>26379</v>
      </c>
      <c r="B7688" t="s">
        <v>26380</v>
      </c>
      <c r="D7688" t="s">
        <v>40</v>
      </c>
      <c r="E7688" t="s">
        <v>41</v>
      </c>
      <c r="J7688" t="s">
        <v>1142</v>
      </c>
      <c r="K7688" t="s">
        <v>1143</v>
      </c>
      <c r="L7688">
        <v>6</v>
      </c>
      <c r="M7688" t="s">
        <v>26381</v>
      </c>
      <c r="N7688" t="s">
        <v>1138</v>
      </c>
      <c r="O7688" t="s">
        <v>46</v>
      </c>
      <c r="P7688" t="s">
        <v>46</v>
      </c>
      <c r="Y7688" t="s">
        <v>26382</v>
      </c>
    </row>
    <row r="7689" spans="1:25">
      <c r="A7689" t="s">
        <v>26383</v>
      </c>
      <c r="B7689" t="s">
        <v>26384</v>
      </c>
      <c r="D7689" t="s">
        <v>40</v>
      </c>
      <c r="E7689" t="s">
        <v>41</v>
      </c>
      <c r="J7689" t="s">
        <v>248</v>
      </c>
      <c r="K7689" t="s">
        <v>249</v>
      </c>
      <c r="L7689">
        <v>5</v>
      </c>
      <c r="M7689" t="s">
        <v>26385</v>
      </c>
      <c r="N7689" t="s">
        <v>53</v>
      </c>
      <c r="O7689" t="s">
        <v>46</v>
      </c>
      <c r="P7689" t="s">
        <v>46</v>
      </c>
      <c r="Y7689" t="s">
        <v>26386</v>
      </c>
    </row>
    <row r="7690" spans="1:25">
      <c r="A7690" t="s">
        <v>26387</v>
      </c>
      <c r="B7690" t="s">
        <v>26388</v>
      </c>
      <c r="D7690" t="s">
        <v>40</v>
      </c>
      <c r="E7690" t="s">
        <v>41</v>
      </c>
      <c r="J7690" t="s">
        <v>248</v>
      </c>
      <c r="K7690" t="s">
        <v>249</v>
      </c>
      <c r="L7690">
        <v>5</v>
      </c>
      <c r="M7690" t="s">
        <v>26385</v>
      </c>
      <c r="N7690" t="s">
        <v>257</v>
      </c>
      <c r="O7690" t="s">
        <v>46</v>
      </c>
      <c r="P7690" t="s">
        <v>46</v>
      </c>
      <c r="Y7690" t="s">
        <v>26389</v>
      </c>
    </row>
    <row r="7691" spans="1:25">
      <c r="A7691" t="s">
        <v>26390</v>
      </c>
      <c r="B7691" t="s">
        <v>26391</v>
      </c>
      <c r="D7691" t="s">
        <v>40</v>
      </c>
      <c r="E7691" t="s">
        <v>41</v>
      </c>
      <c r="J7691" t="s">
        <v>1142</v>
      </c>
      <c r="K7691" t="s">
        <v>1143</v>
      </c>
      <c r="L7691">
        <v>5</v>
      </c>
      <c r="M7691" t="s">
        <v>26392</v>
      </c>
      <c r="N7691" t="s">
        <v>1550</v>
      </c>
      <c r="O7691" t="s">
        <v>46</v>
      </c>
      <c r="P7691" t="s">
        <v>46</v>
      </c>
      <c r="Y7691" t="s">
        <v>26393</v>
      </c>
    </row>
    <row r="7692" spans="1:25">
      <c r="A7692" t="s">
        <v>26394</v>
      </c>
      <c r="B7692" t="s">
        <v>26395</v>
      </c>
      <c r="D7692" t="s">
        <v>40</v>
      </c>
      <c r="E7692" t="s">
        <v>41</v>
      </c>
      <c r="J7692" t="s">
        <v>248</v>
      </c>
      <c r="K7692" t="s">
        <v>249</v>
      </c>
      <c r="L7692">
        <v>5</v>
      </c>
      <c r="M7692" t="s">
        <v>26396</v>
      </c>
      <c r="N7692" t="s">
        <v>173</v>
      </c>
      <c r="O7692" t="s">
        <v>46</v>
      </c>
      <c r="P7692" t="s">
        <v>46</v>
      </c>
      <c r="Y7692" t="s">
        <v>26397</v>
      </c>
    </row>
    <row r="7693" spans="1:25">
      <c r="A7693" t="s">
        <v>26398</v>
      </c>
      <c r="B7693" t="s">
        <v>26399</v>
      </c>
      <c r="D7693" t="s">
        <v>40</v>
      </c>
      <c r="E7693" t="s">
        <v>41</v>
      </c>
      <c r="J7693" t="s">
        <v>12440</v>
      </c>
      <c r="K7693" t="s">
        <v>12441</v>
      </c>
      <c r="L7693">
        <v>6</v>
      </c>
      <c r="M7693" t="s">
        <v>26400</v>
      </c>
      <c r="N7693" t="s">
        <v>64</v>
      </c>
      <c r="O7693" t="s">
        <v>46</v>
      </c>
      <c r="P7693" t="s">
        <v>46</v>
      </c>
      <c r="Y7693" t="s">
        <v>26401</v>
      </c>
    </row>
    <row r="7694" spans="1:25">
      <c r="A7694" t="s">
        <v>26402</v>
      </c>
      <c r="B7694" t="s">
        <v>26403</v>
      </c>
      <c r="D7694" t="s">
        <v>40</v>
      </c>
      <c r="E7694" t="s">
        <v>41</v>
      </c>
      <c r="J7694" t="s">
        <v>139</v>
      </c>
      <c r="K7694" t="s">
        <v>140</v>
      </c>
      <c r="L7694">
        <v>5</v>
      </c>
      <c r="M7694" t="s">
        <v>26404</v>
      </c>
      <c r="N7694" t="s">
        <v>178</v>
      </c>
      <c r="O7694" t="s">
        <v>46</v>
      </c>
      <c r="P7694" t="s">
        <v>46</v>
      </c>
      <c r="Y7694" t="s">
        <v>26405</v>
      </c>
    </row>
    <row r="7695" spans="1:25">
      <c r="A7695" t="s">
        <v>26406</v>
      </c>
      <c r="B7695" t="s">
        <v>26407</v>
      </c>
      <c r="D7695" t="s">
        <v>40</v>
      </c>
      <c r="E7695" t="s">
        <v>41</v>
      </c>
      <c r="J7695" t="s">
        <v>1554</v>
      </c>
      <c r="K7695" t="s">
        <v>1555</v>
      </c>
      <c r="L7695">
        <v>5</v>
      </c>
      <c r="M7695" t="s">
        <v>26408</v>
      </c>
      <c r="N7695" t="s">
        <v>1276</v>
      </c>
      <c r="O7695" t="s">
        <v>46</v>
      </c>
      <c r="P7695" t="s">
        <v>46</v>
      </c>
      <c r="Y7695" t="s">
        <v>26409</v>
      </c>
    </row>
    <row r="7696" spans="1:25">
      <c r="A7696" t="s">
        <v>26410</v>
      </c>
      <c r="B7696" t="s">
        <v>26411</v>
      </c>
      <c r="D7696" t="s">
        <v>40</v>
      </c>
      <c r="E7696" t="s">
        <v>41</v>
      </c>
      <c r="J7696" t="s">
        <v>1142</v>
      </c>
      <c r="K7696" t="s">
        <v>1143</v>
      </c>
      <c r="L7696">
        <v>5</v>
      </c>
      <c r="M7696" t="s">
        <v>26412</v>
      </c>
      <c r="N7696" t="s">
        <v>1229</v>
      </c>
      <c r="O7696" t="s">
        <v>46</v>
      </c>
      <c r="P7696" t="s">
        <v>46</v>
      </c>
      <c r="Y7696" t="s">
        <v>26413</v>
      </c>
    </row>
    <row r="7697" spans="1:25">
      <c r="A7697" t="s">
        <v>26414</v>
      </c>
      <c r="B7697" t="s">
        <v>26415</v>
      </c>
      <c r="D7697" t="s">
        <v>40</v>
      </c>
      <c r="E7697" t="s">
        <v>41</v>
      </c>
      <c r="J7697" t="s">
        <v>6179</v>
      </c>
      <c r="K7697" t="s">
        <v>6180</v>
      </c>
      <c r="L7697">
        <v>5</v>
      </c>
      <c r="M7697" t="s">
        <v>26416</v>
      </c>
      <c r="N7697" t="s">
        <v>2621</v>
      </c>
      <c r="O7697" t="s">
        <v>46</v>
      </c>
      <c r="P7697" t="s">
        <v>46</v>
      </c>
      <c r="Y7697" t="s">
        <v>26417</v>
      </c>
    </row>
    <row r="7698" spans="1:25">
      <c r="A7698" t="s">
        <v>26418</v>
      </c>
      <c r="B7698" t="s">
        <v>26419</v>
      </c>
      <c r="D7698" t="s">
        <v>40</v>
      </c>
      <c r="E7698" t="s">
        <v>41</v>
      </c>
      <c r="J7698" t="s">
        <v>248</v>
      </c>
      <c r="K7698" t="s">
        <v>249</v>
      </c>
      <c r="L7698">
        <v>5</v>
      </c>
      <c r="M7698" t="s">
        <v>26420</v>
      </c>
      <c r="N7698" t="s">
        <v>752</v>
      </c>
      <c r="O7698" t="s">
        <v>46</v>
      </c>
      <c r="P7698" t="s">
        <v>46</v>
      </c>
      <c r="Y7698" t="s">
        <v>26421</v>
      </c>
    </row>
    <row r="7699" spans="1:25">
      <c r="A7699" t="s">
        <v>26422</v>
      </c>
      <c r="B7699" t="s">
        <v>26423</v>
      </c>
      <c r="D7699" t="s">
        <v>40</v>
      </c>
      <c r="E7699" t="s">
        <v>41</v>
      </c>
      <c r="J7699" t="s">
        <v>248</v>
      </c>
      <c r="K7699" t="s">
        <v>249</v>
      </c>
      <c r="L7699">
        <v>5</v>
      </c>
      <c r="M7699" t="s">
        <v>26424</v>
      </c>
      <c r="N7699" t="s">
        <v>350</v>
      </c>
      <c r="O7699" t="s">
        <v>46</v>
      </c>
      <c r="P7699" t="s">
        <v>46</v>
      </c>
      <c r="Y7699" t="s">
        <v>26425</v>
      </c>
    </row>
    <row r="7700" spans="1:25">
      <c r="A7700" t="s">
        <v>26426</v>
      </c>
      <c r="B7700" t="s">
        <v>26427</v>
      </c>
      <c r="D7700" t="s">
        <v>40</v>
      </c>
      <c r="E7700" t="s">
        <v>41</v>
      </c>
      <c r="J7700" t="s">
        <v>139</v>
      </c>
      <c r="K7700" t="s">
        <v>140</v>
      </c>
      <c r="L7700">
        <v>5</v>
      </c>
      <c r="M7700" t="s">
        <v>26428</v>
      </c>
      <c r="N7700" t="s">
        <v>296</v>
      </c>
      <c r="O7700" t="s">
        <v>46</v>
      </c>
      <c r="P7700" t="s">
        <v>46</v>
      </c>
      <c r="Y7700" t="s">
        <v>26429</v>
      </c>
    </row>
    <row r="7701" spans="1:25">
      <c r="A7701" t="s">
        <v>26430</v>
      </c>
      <c r="B7701" t="s">
        <v>26431</v>
      </c>
      <c r="D7701" t="s">
        <v>40</v>
      </c>
      <c r="E7701" t="s">
        <v>41</v>
      </c>
      <c r="J7701" t="s">
        <v>248</v>
      </c>
      <c r="K7701" t="s">
        <v>249</v>
      </c>
      <c r="L7701">
        <v>5</v>
      </c>
      <c r="M7701" t="s">
        <v>26432</v>
      </c>
      <c r="N7701" t="s">
        <v>23374</v>
      </c>
      <c r="O7701" t="s">
        <v>46</v>
      </c>
      <c r="P7701" t="s">
        <v>46</v>
      </c>
      <c r="Y7701" t="s">
        <v>26433</v>
      </c>
    </row>
    <row r="7702" spans="1:25">
      <c r="A7702" t="s">
        <v>26434</v>
      </c>
      <c r="B7702" t="s">
        <v>26435</v>
      </c>
      <c r="D7702" t="s">
        <v>40</v>
      </c>
      <c r="E7702" t="s">
        <v>41</v>
      </c>
      <c r="J7702" t="s">
        <v>248</v>
      </c>
      <c r="K7702" t="s">
        <v>249</v>
      </c>
      <c r="L7702">
        <v>5</v>
      </c>
      <c r="M7702" t="s">
        <v>26436</v>
      </c>
      <c r="N7702" t="s">
        <v>1446</v>
      </c>
      <c r="O7702" t="s">
        <v>46</v>
      </c>
      <c r="P7702" t="s">
        <v>46</v>
      </c>
      <c r="Y7702" t="s">
        <v>26437</v>
      </c>
    </row>
    <row r="7703" spans="1:25">
      <c r="A7703" t="s">
        <v>26438</v>
      </c>
      <c r="B7703" t="s">
        <v>26439</v>
      </c>
      <c r="D7703" t="s">
        <v>40</v>
      </c>
      <c r="E7703" t="s">
        <v>41</v>
      </c>
      <c r="J7703" t="s">
        <v>248</v>
      </c>
      <c r="K7703" t="s">
        <v>249</v>
      </c>
      <c r="L7703">
        <v>5</v>
      </c>
      <c r="M7703" t="s">
        <v>26440</v>
      </c>
      <c r="N7703" t="s">
        <v>1024</v>
      </c>
      <c r="O7703" t="s">
        <v>46</v>
      </c>
      <c r="P7703" t="s">
        <v>46</v>
      </c>
      <c r="Y7703" t="s">
        <v>26441</v>
      </c>
    </row>
    <row r="7704" spans="1:25">
      <c r="A7704" t="s">
        <v>26442</v>
      </c>
      <c r="B7704" t="s">
        <v>26443</v>
      </c>
      <c r="D7704" t="s">
        <v>40</v>
      </c>
      <c r="E7704" t="s">
        <v>41</v>
      </c>
      <c r="J7704" t="s">
        <v>2619</v>
      </c>
      <c r="K7704" t="s">
        <v>140</v>
      </c>
      <c r="L7704">
        <v>5</v>
      </c>
      <c r="M7704" t="s">
        <v>26444</v>
      </c>
      <c r="N7704" t="s">
        <v>2621</v>
      </c>
      <c r="O7704" t="s">
        <v>46</v>
      </c>
      <c r="P7704" t="s">
        <v>46</v>
      </c>
      <c r="Y7704" t="s">
        <v>26445</v>
      </c>
    </row>
    <row r="7705" spans="1:25">
      <c r="A7705" t="s">
        <v>26446</v>
      </c>
      <c r="B7705" t="s">
        <v>26447</v>
      </c>
      <c r="D7705" t="s">
        <v>40</v>
      </c>
      <c r="E7705" t="s">
        <v>41</v>
      </c>
      <c r="J7705" t="s">
        <v>139</v>
      </c>
      <c r="K7705" t="s">
        <v>140</v>
      </c>
      <c r="L7705">
        <v>5</v>
      </c>
      <c r="M7705" t="s">
        <v>26448</v>
      </c>
      <c r="N7705" t="s">
        <v>509</v>
      </c>
      <c r="O7705" t="s">
        <v>46</v>
      </c>
      <c r="P7705" t="s">
        <v>46</v>
      </c>
      <c r="Y7705" t="s">
        <v>26449</v>
      </c>
    </row>
    <row r="7706" spans="1:25">
      <c r="A7706" t="s">
        <v>26450</v>
      </c>
      <c r="B7706" t="s">
        <v>26451</v>
      </c>
      <c r="D7706" t="s">
        <v>40</v>
      </c>
      <c r="E7706" t="s">
        <v>41</v>
      </c>
      <c r="J7706" t="s">
        <v>1142</v>
      </c>
      <c r="K7706" t="s">
        <v>1143</v>
      </c>
      <c r="L7706">
        <v>5</v>
      </c>
      <c r="M7706" t="s">
        <v>26452</v>
      </c>
      <c r="N7706" t="s">
        <v>1276</v>
      </c>
      <c r="O7706" t="s">
        <v>46</v>
      </c>
      <c r="P7706" t="s">
        <v>46</v>
      </c>
      <c r="Y7706" t="s">
        <v>26453</v>
      </c>
    </row>
    <row r="7707" spans="1:25">
      <c r="A7707" t="s">
        <v>26454</v>
      </c>
      <c r="B7707" t="s">
        <v>26455</v>
      </c>
      <c r="D7707" t="s">
        <v>40</v>
      </c>
      <c r="E7707" t="s">
        <v>41</v>
      </c>
      <c r="J7707" t="s">
        <v>248</v>
      </c>
      <c r="K7707" t="s">
        <v>249</v>
      </c>
      <c r="L7707">
        <v>5</v>
      </c>
      <c r="M7707" t="s">
        <v>26452</v>
      </c>
      <c r="N7707" t="s">
        <v>1446</v>
      </c>
      <c r="O7707" t="s">
        <v>46</v>
      </c>
      <c r="P7707" t="s">
        <v>46</v>
      </c>
      <c r="Y7707" t="s">
        <v>26456</v>
      </c>
    </row>
    <row r="7708" spans="1:25">
      <c r="A7708" t="s">
        <v>26457</v>
      </c>
      <c r="B7708" t="s">
        <v>26458</v>
      </c>
      <c r="D7708" t="s">
        <v>40</v>
      </c>
      <c r="E7708" t="s">
        <v>41</v>
      </c>
      <c r="J7708" t="s">
        <v>139</v>
      </c>
      <c r="K7708" t="s">
        <v>140</v>
      </c>
      <c r="L7708">
        <v>5</v>
      </c>
      <c r="M7708" t="s">
        <v>26459</v>
      </c>
      <c r="N7708" t="s">
        <v>24245</v>
      </c>
      <c r="O7708" t="s">
        <v>46</v>
      </c>
      <c r="P7708" t="s">
        <v>46</v>
      </c>
      <c r="Y7708" t="s">
        <v>26460</v>
      </c>
    </row>
    <row r="7709" spans="1:25">
      <c r="A7709" t="s">
        <v>26461</v>
      </c>
      <c r="B7709" t="s">
        <v>26462</v>
      </c>
      <c r="D7709" t="s">
        <v>40</v>
      </c>
      <c r="E7709" t="s">
        <v>41</v>
      </c>
      <c r="J7709" t="s">
        <v>1554</v>
      </c>
      <c r="K7709" t="s">
        <v>1555</v>
      </c>
      <c r="L7709">
        <v>5</v>
      </c>
      <c r="M7709" t="s">
        <v>26463</v>
      </c>
      <c r="N7709" t="s">
        <v>257</v>
      </c>
      <c r="O7709" t="s">
        <v>46</v>
      </c>
      <c r="P7709" t="s">
        <v>46</v>
      </c>
      <c r="Y7709" t="s">
        <v>26464</v>
      </c>
    </row>
    <row r="7710" spans="1:25">
      <c r="A7710" t="s">
        <v>26465</v>
      </c>
      <c r="B7710" t="s">
        <v>26466</v>
      </c>
      <c r="D7710" t="s">
        <v>40</v>
      </c>
      <c r="E7710" t="s">
        <v>41</v>
      </c>
      <c r="J7710" t="s">
        <v>12440</v>
      </c>
      <c r="K7710" t="s">
        <v>12441</v>
      </c>
      <c r="L7710">
        <v>6</v>
      </c>
      <c r="M7710" t="s">
        <v>26467</v>
      </c>
      <c r="N7710" t="s">
        <v>1550</v>
      </c>
      <c r="O7710" t="s">
        <v>46</v>
      </c>
      <c r="P7710" t="s">
        <v>46</v>
      </c>
      <c r="Y7710" t="s">
        <v>26468</v>
      </c>
    </row>
    <row r="7711" spans="1:25">
      <c r="A7711" t="s">
        <v>26469</v>
      </c>
      <c r="B7711" t="s">
        <v>26470</v>
      </c>
      <c r="D7711" t="s">
        <v>40</v>
      </c>
      <c r="E7711" t="s">
        <v>41</v>
      </c>
      <c r="J7711" t="s">
        <v>599</v>
      </c>
      <c r="K7711" t="s">
        <v>600</v>
      </c>
      <c r="L7711">
        <v>5</v>
      </c>
      <c r="M7711" t="s">
        <v>26471</v>
      </c>
      <c r="N7711" t="s">
        <v>1446</v>
      </c>
      <c r="O7711" t="s">
        <v>46</v>
      </c>
      <c r="P7711" t="s">
        <v>46</v>
      </c>
      <c r="Y7711" t="s">
        <v>26472</v>
      </c>
    </row>
    <row r="7712" spans="1:25">
      <c r="A7712" t="s">
        <v>26473</v>
      </c>
      <c r="B7712" t="s">
        <v>26474</v>
      </c>
      <c r="D7712" t="s">
        <v>40</v>
      </c>
      <c r="E7712" t="s">
        <v>41</v>
      </c>
      <c r="J7712" t="s">
        <v>599</v>
      </c>
      <c r="K7712" t="s">
        <v>600</v>
      </c>
      <c r="L7712">
        <v>5</v>
      </c>
      <c r="M7712" t="s">
        <v>26471</v>
      </c>
      <c r="N7712" t="s">
        <v>1369</v>
      </c>
      <c r="O7712" t="s">
        <v>46</v>
      </c>
      <c r="P7712" t="s">
        <v>46</v>
      </c>
      <c r="Y7712" t="s">
        <v>26475</v>
      </c>
    </row>
    <row r="7713" spans="1:25">
      <c r="A7713" t="s">
        <v>26476</v>
      </c>
      <c r="B7713" t="s">
        <v>26477</v>
      </c>
      <c r="D7713" t="s">
        <v>40</v>
      </c>
      <c r="E7713" t="s">
        <v>41</v>
      </c>
      <c r="J7713" t="s">
        <v>248</v>
      </c>
      <c r="K7713" t="s">
        <v>249</v>
      </c>
      <c r="L7713">
        <v>5</v>
      </c>
      <c r="M7713" t="s">
        <v>26478</v>
      </c>
      <c r="N7713" t="s">
        <v>752</v>
      </c>
      <c r="O7713" t="s">
        <v>46</v>
      </c>
      <c r="P7713" t="s">
        <v>46</v>
      </c>
      <c r="Y7713" t="s">
        <v>26479</v>
      </c>
    </row>
    <row r="7714" spans="1:25">
      <c r="A7714" t="s">
        <v>26480</v>
      </c>
      <c r="B7714" t="s">
        <v>26481</v>
      </c>
      <c r="D7714" t="s">
        <v>40</v>
      </c>
      <c r="E7714" t="s">
        <v>41</v>
      </c>
      <c r="J7714" t="s">
        <v>248</v>
      </c>
      <c r="K7714" t="s">
        <v>249</v>
      </c>
      <c r="L7714">
        <v>5</v>
      </c>
      <c r="M7714" t="s">
        <v>26482</v>
      </c>
      <c r="N7714" t="s">
        <v>310</v>
      </c>
      <c r="O7714" t="s">
        <v>46</v>
      </c>
      <c r="P7714" t="s">
        <v>46</v>
      </c>
      <c r="Y7714" t="s">
        <v>26483</v>
      </c>
    </row>
    <row r="7715" spans="1:25">
      <c r="A7715" t="s">
        <v>26484</v>
      </c>
      <c r="B7715" t="s">
        <v>26485</v>
      </c>
      <c r="D7715" t="s">
        <v>40</v>
      </c>
      <c r="E7715" t="s">
        <v>41</v>
      </c>
      <c r="J7715" t="s">
        <v>139</v>
      </c>
      <c r="K7715" t="s">
        <v>140</v>
      </c>
      <c r="L7715">
        <v>5</v>
      </c>
      <c r="M7715" t="s">
        <v>26486</v>
      </c>
      <c r="N7715" t="s">
        <v>1024</v>
      </c>
      <c r="O7715" t="s">
        <v>46</v>
      </c>
      <c r="P7715" t="s">
        <v>46</v>
      </c>
      <c r="Y7715" t="s">
        <v>26487</v>
      </c>
    </row>
    <row r="7716" spans="1:25">
      <c r="A7716" t="s">
        <v>26488</v>
      </c>
      <c r="B7716" t="s">
        <v>26489</v>
      </c>
      <c r="D7716" t="s">
        <v>40</v>
      </c>
      <c r="E7716" t="s">
        <v>41</v>
      </c>
      <c r="J7716" t="s">
        <v>1142</v>
      </c>
      <c r="K7716" t="s">
        <v>1143</v>
      </c>
      <c r="L7716">
        <v>5</v>
      </c>
      <c r="M7716" t="s">
        <v>26486</v>
      </c>
      <c r="N7716" t="s">
        <v>24387</v>
      </c>
      <c r="O7716" t="s">
        <v>46</v>
      </c>
      <c r="P7716" t="s">
        <v>46</v>
      </c>
      <c r="Y7716" t="s">
        <v>26490</v>
      </c>
    </row>
    <row r="7717" spans="1:25">
      <c r="A7717" t="s">
        <v>26491</v>
      </c>
      <c r="B7717" t="s">
        <v>26492</v>
      </c>
      <c r="D7717" t="s">
        <v>40</v>
      </c>
      <c r="E7717" t="s">
        <v>41</v>
      </c>
      <c r="J7717" t="s">
        <v>1142</v>
      </c>
      <c r="K7717" t="s">
        <v>1143</v>
      </c>
      <c r="L7717">
        <v>5</v>
      </c>
      <c r="M7717" t="s">
        <v>26493</v>
      </c>
      <c r="N7717" t="s">
        <v>924</v>
      </c>
      <c r="O7717" t="s">
        <v>46</v>
      </c>
      <c r="P7717" t="s">
        <v>46</v>
      </c>
      <c r="Y7717" t="s">
        <v>26494</v>
      </c>
    </row>
    <row r="7718" spans="1:25">
      <c r="A7718" t="s">
        <v>26495</v>
      </c>
      <c r="B7718" t="s">
        <v>26496</v>
      </c>
      <c r="D7718" t="s">
        <v>40</v>
      </c>
      <c r="E7718" t="s">
        <v>41</v>
      </c>
      <c r="J7718" t="s">
        <v>139</v>
      </c>
      <c r="K7718" t="s">
        <v>140</v>
      </c>
      <c r="L7718">
        <v>5</v>
      </c>
      <c r="M7718" t="s">
        <v>26497</v>
      </c>
      <c r="N7718" t="s">
        <v>178</v>
      </c>
      <c r="O7718" t="s">
        <v>46</v>
      </c>
      <c r="P7718" t="s">
        <v>46</v>
      </c>
      <c r="Y7718" t="s">
        <v>26498</v>
      </c>
    </row>
    <row r="7719" spans="1:25">
      <c r="A7719" t="s">
        <v>26499</v>
      </c>
      <c r="B7719" t="s">
        <v>26500</v>
      </c>
      <c r="D7719" t="s">
        <v>40</v>
      </c>
      <c r="E7719" t="s">
        <v>41</v>
      </c>
      <c r="J7719" t="s">
        <v>248</v>
      </c>
      <c r="K7719" t="s">
        <v>249</v>
      </c>
      <c r="L7719">
        <v>5</v>
      </c>
      <c r="M7719" t="s">
        <v>26501</v>
      </c>
      <c r="N7719" t="s">
        <v>1276</v>
      </c>
      <c r="O7719" t="s">
        <v>46</v>
      </c>
      <c r="P7719" t="s">
        <v>46</v>
      </c>
      <c r="Y7719" t="s">
        <v>26502</v>
      </c>
    </row>
    <row r="7720" spans="1:25">
      <c r="A7720" t="s">
        <v>26503</v>
      </c>
      <c r="B7720" t="s">
        <v>26504</v>
      </c>
      <c r="D7720" t="s">
        <v>40</v>
      </c>
      <c r="E7720" t="s">
        <v>41</v>
      </c>
      <c r="J7720" t="s">
        <v>12440</v>
      </c>
      <c r="K7720" t="s">
        <v>12441</v>
      </c>
      <c r="L7720">
        <v>6</v>
      </c>
      <c r="M7720" t="s">
        <v>26505</v>
      </c>
      <c r="N7720" t="s">
        <v>64</v>
      </c>
      <c r="O7720" t="s">
        <v>46</v>
      </c>
      <c r="P7720" t="s">
        <v>46</v>
      </c>
      <c r="Y7720" t="s">
        <v>26506</v>
      </c>
    </row>
    <row r="7721" spans="1:25">
      <c r="A7721" t="s">
        <v>26507</v>
      </c>
      <c r="B7721" t="s">
        <v>26508</v>
      </c>
      <c r="D7721" t="s">
        <v>40</v>
      </c>
      <c r="E7721" t="s">
        <v>41</v>
      </c>
      <c r="J7721" t="s">
        <v>1142</v>
      </c>
      <c r="K7721" t="s">
        <v>1143</v>
      </c>
      <c r="L7721">
        <v>5</v>
      </c>
      <c r="M7721" t="s">
        <v>26509</v>
      </c>
      <c r="N7721" t="s">
        <v>5995</v>
      </c>
      <c r="O7721" t="s">
        <v>46</v>
      </c>
      <c r="P7721" t="s">
        <v>46</v>
      </c>
      <c r="Y7721" t="s">
        <v>26510</v>
      </c>
    </row>
    <row r="7722" spans="1:25">
      <c r="A7722" t="s">
        <v>26511</v>
      </c>
      <c r="B7722" t="s">
        <v>26512</v>
      </c>
      <c r="D7722" t="s">
        <v>40</v>
      </c>
      <c r="E7722" t="s">
        <v>41</v>
      </c>
      <c r="J7722" t="s">
        <v>599</v>
      </c>
      <c r="K7722" t="s">
        <v>600</v>
      </c>
      <c r="L7722">
        <v>5</v>
      </c>
      <c r="M7722" t="s">
        <v>26513</v>
      </c>
      <c r="N7722" t="s">
        <v>509</v>
      </c>
      <c r="O7722" t="s">
        <v>46</v>
      </c>
      <c r="P7722" t="s">
        <v>46</v>
      </c>
      <c r="Y7722" t="s">
        <v>26514</v>
      </c>
    </row>
    <row r="7723" spans="1:25">
      <c r="A7723" t="s">
        <v>26515</v>
      </c>
      <c r="B7723" t="s">
        <v>26516</v>
      </c>
      <c r="D7723" t="s">
        <v>40</v>
      </c>
      <c r="E7723" t="s">
        <v>41</v>
      </c>
      <c r="J7723" t="s">
        <v>248</v>
      </c>
      <c r="K7723" t="s">
        <v>249</v>
      </c>
      <c r="L7723">
        <v>5</v>
      </c>
      <c r="M7723" t="s">
        <v>26517</v>
      </c>
      <c r="N7723" t="s">
        <v>1024</v>
      </c>
      <c r="O7723" t="s">
        <v>46</v>
      </c>
      <c r="P7723" t="s">
        <v>46</v>
      </c>
      <c r="Y7723" t="s">
        <v>26518</v>
      </c>
    </row>
    <row r="7724" spans="1:25">
      <c r="A7724" t="s">
        <v>26519</v>
      </c>
      <c r="B7724" t="s">
        <v>26520</v>
      </c>
      <c r="D7724" t="s">
        <v>40</v>
      </c>
      <c r="E7724" t="s">
        <v>41</v>
      </c>
      <c r="J7724" t="s">
        <v>139</v>
      </c>
      <c r="K7724" t="s">
        <v>140</v>
      </c>
      <c r="L7724">
        <v>5</v>
      </c>
      <c r="M7724" t="s">
        <v>26521</v>
      </c>
      <c r="N7724" t="s">
        <v>924</v>
      </c>
      <c r="O7724" t="s">
        <v>46</v>
      </c>
      <c r="P7724" t="s">
        <v>46</v>
      </c>
      <c r="Y7724" t="s">
        <v>26522</v>
      </c>
    </row>
    <row r="7725" spans="1:25">
      <c r="A7725" t="s">
        <v>26523</v>
      </c>
      <c r="B7725" t="s">
        <v>26524</v>
      </c>
      <c r="D7725" t="s">
        <v>40</v>
      </c>
      <c r="E7725" t="s">
        <v>41</v>
      </c>
      <c r="J7725" t="s">
        <v>139</v>
      </c>
      <c r="K7725" t="s">
        <v>140</v>
      </c>
      <c r="L7725">
        <v>5</v>
      </c>
      <c r="M7725" t="s">
        <v>26525</v>
      </c>
      <c r="N7725" t="s">
        <v>25508</v>
      </c>
      <c r="O7725" t="s">
        <v>46</v>
      </c>
      <c r="P7725" t="s">
        <v>46</v>
      </c>
      <c r="Y7725" t="s">
        <v>26526</v>
      </c>
    </row>
    <row r="7726" spans="1:25">
      <c r="A7726" t="s">
        <v>26527</v>
      </c>
      <c r="B7726" t="s">
        <v>26528</v>
      </c>
      <c r="D7726" t="s">
        <v>40</v>
      </c>
      <c r="E7726" t="s">
        <v>41</v>
      </c>
      <c r="J7726" t="s">
        <v>1554</v>
      </c>
      <c r="K7726" t="s">
        <v>1555</v>
      </c>
      <c r="L7726">
        <v>5</v>
      </c>
      <c r="M7726" t="s">
        <v>26529</v>
      </c>
      <c r="N7726" t="s">
        <v>296</v>
      </c>
      <c r="O7726" t="s">
        <v>46</v>
      </c>
      <c r="P7726" t="s">
        <v>46</v>
      </c>
      <c r="Y7726" t="s">
        <v>26530</v>
      </c>
    </row>
    <row r="7727" spans="1:25">
      <c r="A7727" t="s">
        <v>26531</v>
      </c>
      <c r="B7727" t="s">
        <v>26532</v>
      </c>
      <c r="D7727" t="s">
        <v>40</v>
      </c>
      <c r="E7727" t="s">
        <v>41</v>
      </c>
      <c r="J7727" t="s">
        <v>248</v>
      </c>
      <c r="K7727" t="s">
        <v>249</v>
      </c>
      <c r="L7727">
        <v>5</v>
      </c>
      <c r="M7727" t="s">
        <v>26533</v>
      </c>
      <c r="N7727" t="s">
        <v>178</v>
      </c>
      <c r="O7727" t="s">
        <v>46</v>
      </c>
      <c r="P7727" t="s">
        <v>46</v>
      </c>
      <c r="Y7727" t="s">
        <v>26534</v>
      </c>
    </row>
    <row r="7728" spans="1:25">
      <c r="A7728" t="s">
        <v>26535</v>
      </c>
      <c r="B7728" t="s">
        <v>26536</v>
      </c>
      <c r="D7728" t="s">
        <v>40</v>
      </c>
      <c r="E7728" t="s">
        <v>41</v>
      </c>
      <c r="J7728" t="s">
        <v>139</v>
      </c>
      <c r="K7728" t="s">
        <v>140</v>
      </c>
      <c r="L7728">
        <v>5</v>
      </c>
      <c r="M7728" t="s">
        <v>26537</v>
      </c>
      <c r="N7728" t="s">
        <v>3013</v>
      </c>
      <c r="O7728" t="s">
        <v>46</v>
      </c>
      <c r="P7728" t="s">
        <v>46</v>
      </c>
      <c r="Y7728" t="s">
        <v>26538</v>
      </c>
    </row>
    <row r="7729" spans="1:25">
      <c r="A7729" t="s">
        <v>26539</v>
      </c>
      <c r="B7729" t="s">
        <v>26540</v>
      </c>
      <c r="D7729" t="s">
        <v>40</v>
      </c>
      <c r="E7729" t="s">
        <v>41</v>
      </c>
      <c r="J7729" t="s">
        <v>1142</v>
      </c>
      <c r="K7729" t="s">
        <v>1143</v>
      </c>
      <c r="L7729">
        <v>5</v>
      </c>
      <c r="M7729" t="s">
        <v>26541</v>
      </c>
      <c r="N7729" t="s">
        <v>752</v>
      </c>
      <c r="O7729" t="s">
        <v>46</v>
      </c>
      <c r="P7729" t="s">
        <v>46</v>
      </c>
      <c r="Y7729" t="s">
        <v>26542</v>
      </c>
    </row>
    <row r="7730" spans="1:25">
      <c r="A7730" t="s">
        <v>26543</v>
      </c>
      <c r="B7730" t="s">
        <v>26544</v>
      </c>
      <c r="D7730" t="s">
        <v>40</v>
      </c>
      <c r="E7730" t="s">
        <v>41</v>
      </c>
      <c r="J7730" t="s">
        <v>248</v>
      </c>
      <c r="K7730" t="s">
        <v>249</v>
      </c>
      <c r="L7730">
        <v>4</v>
      </c>
      <c r="M7730" t="s">
        <v>26545</v>
      </c>
      <c r="N7730" t="s">
        <v>509</v>
      </c>
      <c r="O7730" t="s">
        <v>46</v>
      </c>
      <c r="P7730" t="s">
        <v>46</v>
      </c>
      <c r="Y7730" t="s">
        <v>26546</v>
      </c>
    </row>
    <row r="7731" spans="1:25">
      <c r="A7731" t="s">
        <v>26547</v>
      </c>
      <c r="B7731" t="s">
        <v>26548</v>
      </c>
      <c r="D7731" t="s">
        <v>40</v>
      </c>
      <c r="E7731" t="s">
        <v>41</v>
      </c>
      <c r="J7731" t="s">
        <v>1554</v>
      </c>
      <c r="K7731" t="s">
        <v>1555</v>
      </c>
      <c r="L7731">
        <v>5</v>
      </c>
      <c r="M7731" t="s">
        <v>26549</v>
      </c>
      <c r="N7731" t="s">
        <v>58</v>
      </c>
      <c r="O7731" t="s">
        <v>46</v>
      </c>
      <c r="P7731" t="s">
        <v>46</v>
      </c>
      <c r="Y7731" t="s">
        <v>26550</v>
      </c>
    </row>
    <row r="7732" spans="1:25">
      <c r="A7732" t="s">
        <v>26551</v>
      </c>
      <c r="B7732" t="s">
        <v>26552</v>
      </c>
      <c r="D7732" t="s">
        <v>40</v>
      </c>
      <c r="E7732" t="s">
        <v>41</v>
      </c>
      <c r="J7732" t="s">
        <v>599</v>
      </c>
      <c r="K7732" t="s">
        <v>600</v>
      </c>
      <c r="L7732">
        <v>5</v>
      </c>
      <c r="M7732" t="s">
        <v>26553</v>
      </c>
      <c r="N7732" t="s">
        <v>178</v>
      </c>
      <c r="O7732" t="s">
        <v>46</v>
      </c>
      <c r="P7732" t="s">
        <v>46</v>
      </c>
      <c r="Y7732" t="s">
        <v>26554</v>
      </c>
    </row>
    <row r="7733" spans="1:25">
      <c r="A7733" t="s">
        <v>26555</v>
      </c>
      <c r="B7733" t="s">
        <v>26556</v>
      </c>
      <c r="D7733" t="s">
        <v>40</v>
      </c>
      <c r="E7733" t="s">
        <v>41</v>
      </c>
      <c r="J7733" t="s">
        <v>248</v>
      </c>
      <c r="K7733" t="s">
        <v>249</v>
      </c>
      <c r="L7733">
        <v>5</v>
      </c>
      <c r="M7733" t="s">
        <v>26557</v>
      </c>
      <c r="N7733" t="s">
        <v>1024</v>
      </c>
      <c r="O7733" t="s">
        <v>46</v>
      </c>
      <c r="P7733" t="s">
        <v>46</v>
      </c>
      <c r="Y7733" t="s">
        <v>26558</v>
      </c>
    </row>
    <row r="7734" spans="1:25">
      <c r="A7734" t="s">
        <v>26559</v>
      </c>
      <c r="B7734" t="s">
        <v>26560</v>
      </c>
      <c r="D7734" t="s">
        <v>40</v>
      </c>
      <c r="E7734" t="s">
        <v>41</v>
      </c>
      <c r="J7734" t="s">
        <v>1554</v>
      </c>
      <c r="K7734" t="s">
        <v>1555</v>
      </c>
      <c r="L7734">
        <v>5</v>
      </c>
      <c r="M7734" t="s">
        <v>26561</v>
      </c>
      <c r="N7734" t="s">
        <v>1344</v>
      </c>
      <c r="O7734" t="s">
        <v>46</v>
      </c>
      <c r="P7734" t="s">
        <v>46</v>
      </c>
      <c r="Y7734" t="s">
        <v>26562</v>
      </c>
    </row>
    <row r="7735" spans="1:25">
      <c r="A7735" t="s">
        <v>26563</v>
      </c>
      <c r="B7735" t="s">
        <v>26564</v>
      </c>
      <c r="D7735" t="s">
        <v>40</v>
      </c>
      <c r="E7735" t="s">
        <v>41</v>
      </c>
      <c r="J7735" t="s">
        <v>1554</v>
      </c>
      <c r="K7735" t="s">
        <v>1555</v>
      </c>
      <c r="L7735">
        <v>5</v>
      </c>
      <c r="M7735" t="s">
        <v>26561</v>
      </c>
      <c r="N7735" t="s">
        <v>24245</v>
      </c>
      <c r="O7735" t="s">
        <v>46</v>
      </c>
      <c r="P7735" t="s">
        <v>46</v>
      </c>
      <c r="Y7735" t="s">
        <v>26565</v>
      </c>
    </row>
    <row r="7736" spans="1:25">
      <c r="A7736" t="s">
        <v>26566</v>
      </c>
      <c r="B7736" t="s">
        <v>26567</v>
      </c>
      <c r="D7736" t="s">
        <v>40</v>
      </c>
      <c r="E7736" t="s">
        <v>41</v>
      </c>
      <c r="J7736" t="s">
        <v>1214</v>
      </c>
      <c r="K7736" t="s">
        <v>1215</v>
      </c>
      <c r="L7736">
        <v>5</v>
      </c>
      <c r="M7736" t="s">
        <v>26568</v>
      </c>
      <c r="N7736" t="s">
        <v>2346</v>
      </c>
      <c r="O7736" t="s">
        <v>46</v>
      </c>
      <c r="P7736" t="s">
        <v>46</v>
      </c>
      <c r="Y7736" t="s">
        <v>26569</v>
      </c>
    </row>
    <row r="7737" spans="1:25">
      <c r="A7737" t="s">
        <v>26570</v>
      </c>
      <c r="B7737" t="s">
        <v>26571</v>
      </c>
      <c r="D7737" t="s">
        <v>40</v>
      </c>
      <c r="E7737" t="s">
        <v>41</v>
      </c>
      <c r="J7737" t="s">
        <v>139</v>
      </c>
      <c r="K7737" t="s">
        <v>140</v>
      </c>
      <c r="L7737">
        <v>5</v>
      </c>
      <c r="M7737" t="s">
        <v>26572</v>
      </c>
      <c r="N7737" t="s">
        <v>315</v>
      </c>
      <c r="O7737" t="s">
        <v>46</v>
      </c>
      <c r="P7737" t="s">
        <v>46</v>
      </c>
      <c r="Y7737" t="s">
        <v>26573</v>
      </c>
    </row>
    <row r="7738" spans="1:25">
      <c r="A7738" t="s">
        <v>26574</v>
      </c>
      <c r="B7738" t="s">
        <v>26575</v>
      </c>
      <c r="D7738" t="s">
        <v>40</v>
      </c>
      <c r="E7738" t="s">
        <v>41</v>
      </c>
      <c r="J7738" t="s">
        <v>248</v>
      </c>
      <c r="K7738" t="s">
        <v>249</v>
      </c>
      <c r="L7738">
        <v>3</v>
      </c>
      <c r="M7738" t="s">
        <v>26576</v>
      </c>
      <c r="N7738" t="s">
        <v>617</v>
      </c>
      <c r="O7738" t="s">
        <v>46</v>
      </c>
      <c r="P7738" t="s">
        <v>46</v>
      </c>
      <c r="Y7738" t="s">
        <v>26577</v>
      </c>
    </row>
    <row r="7739" spans="1:25">
      <c r="A7739" t="s">
        <v>26578</v>
      </c>
      <c r="B7739" t="s">
        <v>26579</v>
      </c>
      <c r="D7739" t="s">
        <v>40</v>
      </c>
      <c r="E7739" t="s">
        <v>41</v>
      </c>
      <c r="J7739" t="s">
        <v>1142</v>
      </c>
      <c r="K7739" t="s">
        <v>1143</v>
      </c>
      <c r="L7739">
        <v>5</v>
      </c>
      <c r="M7739" t="s">
        <v>26580</v>
      </c>
      <c r="N7739" t="s">
        <v>23374</v>
      </c>
      <c r="O7739" t="s">
        <v>46</v>
      </c>
      <c r="P7739" t="s">
        <v>46</v>
      </c>
      <c r="Y7739" t="s">
        <v>26581</v>
      </c>
    </row>
    <row r="7740" spans="1:25">
      <c r="A7740" t="s">
        <v>26582</v>
      </c>
      <c r="B7740" t="s">
        <v>26583</v>
      </c>
      <c r="D7740" t="s">
        <v>40</v>
      </c>
      <c r="E7740" t="s">
        <v>41</v>
      </c>
      <c r="J7740" t="s">
        <v>248</v>
      </c>
      <c r="K7740" t="s">
        <v>249</v>
      </c>
      <c r="L7740">
        <v>5</v>
      </c>
      <c r="M7740" t="s">
        <v>26584</v>
      </c>
      <c r="N7740" t="s">
        <v>310</v>
      </c>
      <c r="O7740" t="s">
        <v>46</v>
      </c>
      <c r="P7740" t="s">
        <v>46</v>
      </c>
      <c r="Y7740" t="s">
        <v>26585</v>
      </c>
    </row>
    <row r="7741" spans="1:25">
      <c r="A7741" t="s">
        <v>26586</v>
      </c>
      <c r="B7741" t="s">
        <v>26587</v>
      </c>
      <c r="D7741" t="s">
        <v>40</v>
      </c>
      <c r="E7741" t="s">
        <v>41</v>
      </c>
      <c r="J7741" t="s">
        <v>248</v>
      </c>
      <c r="K7741" t="s">
        <v>249</v>
      </c>
      <c r="L7741">
        <v>5</v>
      </c>
      <c r="M7741" t="s">
        <v>26588</v>
      </c>
      <c r="N7741" t="s">
        <v>24245</v>
      </c>
      <c r="O7741" t="s">
        <v>46</v>
      </c>
      <c r="P7741" t="s">
        <v>46</v>
      </c>
      <c r="Y7741" t="s">
        <v>26589</v>
      </c>
    </row>
    <row r="7742" spans="1:25">
      <c r="A7742" t="s">
        <v>26590</v>
      </c>
      <c r="B7742" t="s">
        <v>26591</v>
      </c>
      <c r="D7742" t="s">
        <v>40</v>
      </c>
      <c r="E7742" t="s">
        <v>41</v>
      </c>
      <c r="J7742" t="s">
        <v>248</v>
      </c>
      <c r="K7742" t="s">
        <v>249</v>
      </c>
      <c r="L7742">
        <v>5</v>
      </c>
      <c r="M7742" t="s">
        <v>26592</v>
      </c>
      <c r="N7742" t="s">
        <v>617</v>
      </c>
      <c r="O7742" t="s">
        <v>46</v>
      </c>
      <c r="P7742" t="s">
        <v>46</v>
      </c>
      <c r="Y7742" t="s">
        <v>26593</v>
      </c>
    </row>
    <row r="7743" spans="1:25">
      <c r="A7743" t="s">
        <v>26594</v>
      </c>
      <c r="B7743" t="s">
        <v>26595</v>
      </c>
      <c r="D7743" t="s">
        <v>40</v>
      </c>
      <c r="E7743" t="s">
        <v>41</v>
      </c>
      <c r="J7743" t="s">
        <v>248</v>
      </c>
      <c r="K7743" t="s">
        <v>249</v>
      </c>
      <c r="L7743">
        <v>5</v>
      </c>
      <c r="M7743" t="s">
        <v>26596</v>
      </c>
      <c r="N7743" t="s">
        <v>1024</v>
      </c>
      <c r="O7743" t="s">
        <v>46</v>
      </c>
      <c r="P7743" t="s">
        <v>46</v>
      </c>
      <c r="Y7743" t="s">
        <v>26597</v>
      </c>
    </row>
    <row r="7744" spans="1:25">
      <c r="A7744" t="s">
        <v>26598</v>
      </c>
      <c r="B7744" t="s">
        <v>26599</v>
      </c>
      <c r="D7744" t="s">
        <v>40</v>
      </c>
      <c r="E7744" t="s">
        <v>41</v>
      </c>
      <c r="J7744" t="s">
        <v>248</v>
      </c>
      <c r="K7744" t="s">
        <v>249</v>
      </c>
      <c r="L7744">
        <v>5</v>
      </c>
      <c r="M7744" t="s">
        <v>26600</v>
      </c>
      <c r="N7744" t="s">
        <v>1024</v>
      </c>
      <c r="O7744" t="s">
        <v>46</v>
      </c>
      <c r="P7744" t="s">
        <v>46</v>
      </c>
      <c r="Y7744" t="s">
        <v>26601</v>
      </c>
    </row>
    <row r="7745" spans="1:25">
      <c r="A7745" t="s">
        <v>26602</v>
      </c>
      <c r="B7745" t="s">
        <v>26603</v>
      </c>
      <c r="D7745" t="s">
        <v>40</v>
      </c>
      <c r="E7745" t="s">
        <v>41</v>
      </c>
      <c r="J7745" t="s">
        <v>6179</v>
      </c>
      <c r="K7745" t="s">
        <v>6180</v>
      </c>
      <c r="L7745">
        <v>5</v>
      </c>
      <c r="M7745" t="s">
        <v>26604</v>
      </c>
      <c r="N7745" t="s">
        <v>1397</v>
      </c>
      <c r="O7745" t="s">
        <v>46</v>
      </c>
      <c r="P7745" t="s">
        <v>46</v>
      </c>
      <c r="Y7745" t="s">
        <v>26605</v>
      </c>
    </row>
    <row r="7746" spans="1:25">
      <c r="A7746" t="s">
        <v>26606</v>
      </c>
      <c r="B7746" t="s">
        <v>26607</v>
      </c>
      <c r="D7746" t="s">
        <v>40</v>
      </c>
      <c r="E7746" t="s">
        <v>41</v>
      </c>
      <c r="J7746" t="s">
        <v>248</v>
      </c>
      <c r="K7746" t="s">
        <v>249</v>
      </c>
      <c r="L7746">
        <v>5</v>
      </c>
      <c r="M7746" t="s">
        <v>26608</v>
      </c>
      <c r="N7746" t="s">
        <v>178</v>
      </c>
      <c r="O7746" t="s">
        <v>46</v>
      </c>
      <c r="P7746" t="s">
        <v>46</v>
      </c>
      <c r="Y7746" t="s">
        <v>26609</v>
      </c>
    </row>
    <row r="7747" spans="1:25">
      <c r="A7747" t="s">
        <v>26610</v>
      </c>
      <c r="B7747" t="s">
        <v>26611</v>
      </c>
      <c r="D7747" t="s">
        <v>40</v>
      </c>
      <c r="E7747" t="s">
        <v>41</v>
      </c>
      <c r="J7747" t="s">
        <v>248</v>
      </c>
      <c r="K7747" t="s">
        <v>249</v>
      </c>
      <c r="L7747">
        <v>5</v>
      </c>
      <c r="M7747" t="s">
        <v>26612</v>
      </c>
      <c r="N7747" t="s">
        <v>1397</v>
      </c>
      <c r="O7747" t="s">
        <v>46</v>
      </c>
      <c r="P7747" t="s">
        <v>46</v>
      </c>
      <c r="Y7747" t="s">
        <v>26613</v>
      </c>
    </row>
    <row r="7748" spans="1:25">
      <c r="A7748" t="s">
        <v>26614</v>
      </c>
      <c r="B7748" t="s">
        <v>26615</v>
      </c>
      <c r="D7748" t="s">
        <v>40</v>
      </c>
      <c r="E7748" t="s">
        <v>41</v>
      </c>
      <c r="J7748" t="s">
        <v>248</v>
      </c>
      <c r="K7748" t="s">
        <v>249</v>
      </c>
      <c r="L7748">
        <v>5</v>
      </c>
      <c r="M7748" t="s">
        <v>26616</v>
      </c>
      <c r="N7748" t="s">
        <v>257</v>
      </c>
      <c r="O7748" t="s">
        <v>46</v>
      </c>
      <c r="P7748" t="s">
        <v>46</v>
      </c>
      <c r="Y7748" t="s">
        <v>26617</v>
      </c>
    </row>
    <row r="7749" spans="1:25">
      <c r="A7749" t="s">
        <v>26618</v>
      </c>
      <c r="B7749" t="s">
        <v>26619</v>
      </c>
      <c r="D7749" t="s">
        <v>40</v>
      </c>
      <c r="E7749" t="s">
        <v>41</v>
      </c>
      <c r="J7749" t="s">
        <v>139</v>
      </c>
      <c r="K7749" t="s">
        <v>140</v>
      </c>
      <c r="L7749">
        <v>6</v>
      </c>
      <c r="M7749" t="s">
        <v>26616</v>
      </c>
      <c r="N7749" t="s">
        <v>24245</v>
      </c>
      <c r="O7749" t="s">
        <v>46</v>
      </c>
      <c r="P7749" t="s">
        <v>46</v>
      </c>
      <c r="Y7749" t="s">
        <v>26620</v>
      </c>
    </row>
    <row r="7750" spans="1:25">
      <c r="A7750" t="s">
        <v>26621</v>
      </c>
      <c r="B7750" t="s">
        <v>26622</v>
      </c>
      <c r="D7750" t="s">
        <v>40</v>
      </c>
      <c r="E7750" t="s">
        <v>41</v>
      </c>
      <c r="J7750" t="s">
        <v>248</v>
      </c>
      <c r="K7750" t="s">
        <v>249</v>
      </c>
      <c r="L7750">
        <v>5</v>
      </c>
      <c r="M7750" t="s">
        <v>26623</v>
      </c>
      <c r="N7750" t="s">
        <v>58</v>
      </c>
      <c r="O7750" t="s">
        <v>46</v>
      </c>
      <c r="P7750" t="s">
        <v>46</v>
      </c>
      <c r="Y7750" t="s">
        <v>26624</v>
      </c>
    </row>
    <row r="7751" spans="1:25">
      <c r="A7751" t="s">
        <v>26625</v>
      </c>
      <c r="B7751" t="s">
        <v>26626</v>
      </c>
      <c r="D7751" t="s">
        <v>40</v>
      </c>
      <c r="E7751" t="s">
        <v>41</v>
      </c>
      <c r="J7751" t="s">
        <v>1554</v>
      </c>
      <c r="K7751" t="s">
        <v>1555</v>
      </c>
      <c r="L7751">
        <v>6</v>
      </c>
      <c r="M7751" t="s">
        <v>26627</v>
      </c>
      <c r="N7751" t="s">
        <v>24245</v>
      </c>
      <c r="O7751" t="s">
        <v>46</v>
      </c>
      <c r="P7751" t="s">
        <v>46</v>
      </c>
      <c r="Y7751" t="s">
        <v>26628</v>
      </c>
    </row>
    <row r="7752" spans="1:25">
      <c r="A7752" t="s">
        <v>26629</v>
      </c>
      <c r="B7752" t="s">
        <v>26630</v>
      </c>
      <c r="D7752" t="s">
        <v>40</v>
      </c>
      <c r="E7752" t="s">
        <v>41</v>
      </c>
      <c r="J7752" t="s">
        <v>139</v>
      </c>
      <c r="K7752" t="s">
        <v>140</v>
      </c>
      <c r="L7752">
        <v>7</v>
      </c>
      <c r="M7752" t="s">
        <v>26631</v>
      </c>
      <c r="N7752" t="s">
        <v>178</v>
      </c>
      <c r="O7752" t="s">
        <v>46</v>
      </c>
      <c r="P7752" t="s">
        <v>46</v>
      </c>
      <c r="Y7752" t="s">
        <v>26632</v>
      </c>
    </row>
    <row r="7753" spans="1:25">
      <c r="A7753" t="s">
        <v>26633</v>
      </c>
      <c r="B7753" t="s">
        <v>26634</v>
      </c>
      <c r="D7753" t="s">
        <v>40</v>
      </c>
      <c r="E7753" t="s">
        <v>41</v>
      </c>
      <c r="J7753" t="s">
        <v>248</v>
      </c>
      <c r="K7753" t="s">
        <v>249</v>
      </c>
      <c r="L7753">
        <v>5</v>
      </c>
      <c r="M7753" t="s">
        <v>26635</v>
      </c>
      <c r="N7753" t="s">
        <v>617</v>
      </c>
      <c r="O7753" t="s">
        <v>46</v>
      </c>
      <c r="P7753" t="s">
        <v>46</v>
      </c>
      <c r="Y7753" t="s">
        <v>26636</v>
      </c>
    </row>
    <row r="7754" spans="1:25">
      <c r="A7754" t="s">
        <v>26637</v>
      </c>
      <c r="B7754" t="s">
        <v>26638</v>
      </c>
      <c r="D7754" t="s">
        <v>40</v>
      </c>
      <c r="E7754" t="s">
        <v>41</v>
      </c>
      <c r="J7754" t="s">
        <v>22447</v>
      </c>
      <c r="K7754" t="s">
        <v>22448</v>
      </c>
      <c r="L7754">
        <v>6</v>
      </c>
      <c r="M7754" t="s">
        <v>26639</v>
      </c>
      <c r="N7754" t="s">
        <v>58</v>
      </c>
      <c r="O7754" t="s">
        <v>46</v>
      </c>
      <c r="P7754" t="s">
        <v>46</v>
      </c>
      <c r="Y7754" t="s">
        <v>26640</v>
      </c>
    </row>
    <row r="7755" spans="1:25">
      <c r="A7755" t="s">
        <v>26641</v>
      </c>
      <c r="B7755" t="s">
        <v>26642</v>
      </c>
      <c r="D7755" t="s">
        <v>40</v>
      </c>
      <c r="E7755" t="s">
        <v>41</v>
      </c>
      <c r="J7755" t="s">
        <v>1554</v>
      </c>
      <c r="K7755" t="s">
        <v>1555</v>
      </c>
      <c r="L7755">
        <v>5</v>
      </c>
      <c r="M7755" t="s">
        <v>26643</v>
      </c>
      <c r="N7755" t="s">
        <v>315</v>
      </c>
      <c r="O7755" t="s">
        <v>46</v>
      </c>
      <c r="P7755" t="s">
        <v>46</v>
      </c>
      <c r="Y7755" t="s">
        <v>26644</v>
      </c>
    </row>
    <row r="7756" spans="1:25">
      <c r="A7756" t="s">
        <v>26645</v>
      </c>
      <c r="B7756" t="s">
        <v>26646</v>
      </c>
      <c r="D7756" t="s">
        <v>40</v>
      </c>
      <c r="E7756" t="s">
        <v>41</v>
      </c>
      <c r="J7756" t="s">
        <v>892</v>
      </c>
      <c r="K7756" t="s">
        <v>893</v>
      </c>
      <c r="L7756">
        <v>7</v>
      </c>
      <c r="M7756" t="s">
        <v>26647</v>
      </c>
      <c r="N7756" t="s">
        <v>22465</v>
      </c>
      <c r="O7756" t="s">
        <v>46</v>
      </c>
      <c r="P7756" t="s">
        <v>46</v>
      </c>
      <c r="Y7756" t="s">
        <v>26648</v>
      </c>
    </row>
    <row r="7757" spans="1:25">
      <c r="A7757" t="s">
        <v>26649</v>
      </c>
      <c r="B7757" t="s">
        <v>26650</v>
      </c>
      <c r="D7757" t="s">
        <v>40</v>
      </c>
      <c r="E7757" t="s">
        <v>41</v>
      </c>
      <c r="J7757" t="s">
        <v>248</v>
      </c>
      <c r="K7757" t="s">
        <v>249</v>
      </c>
      <c r="L7757">
        <v>6</v>
      </c>
      <c r="M7757" t="s">
        <v>26651</v>
      </c>
      <c r="N7757" t="s">
        <v>617</v>
      </c>
      <c r="O7757" t="s">
        <v>46</v>
      </c>
      <c r="P7757" t="s">
        <v>46</v>
      </c>
      <c r="Y7757" t="s">
        <v>26652</v>
      </c>
    </row>
    <row r="7758" spans="1:25">
      <c r="A7758" t="s">
        <v>26653</v>
      </c>
      <c r="B7758" t="s">
        <v>26654</v>
      </c>
      <c r="D7758" t="s">
        <v>40</v>
      </c>
      <c r="E7758" t="s">
        <v>41</v>
      </c>
      <c r="J7758" t="s">
        <v>6255</v>
      </c>
      <c r="K7758" t="s">
        <v>6256</v>
      </c>
      <c r="L7758">
        <v>6</v>
      </c>
      <c r="M7758" t="s">
        <v>26655</v>
      </c>
      <c r="N7758" t="s">
        <v>24227</v>
      </c>
      <c r="O7758" t="s">
        <v>46</v>
      </c>
      <c r="P7758" t="s">
        <v>46</v>
      </c>
      <c r="Y7758" t="s">
        <v>26656</v>
      </c>
    </row>
    <row r="7759" spans="1:25">
      <c r="A7759" t="s">
        <v>26657</v>
      </c>
      <c r="B7759" t="s">
        <v>26658</v>
      </c>
      <c r="D7759" t="s">
        <v>40</v>
      </c>
      <c r="E7759" t="s">
        <v>41</v>
      </c>
      <c r="J7759" t="s">
        <v>14558</v>
      </c>
      <c r="K7759" t="s">
        <v>14559</v>
      </c>
      <c r="L7759">
        <v>5</v>
      </c>
      <c r="M7759" t="s">
        <v>26659</v>
      </c>
      <c r="N7759" t="s">
        <v>24245</v>
      </c>
      <c r="O7759" t="s">
        <v>46</v>
      </c>
      <c r="P7759" t="s">
        <v>46</v>
      </c>
      <c r="Y7759" t="s">
        <v>26660</v>
      </c>
    </row>
    <row r="7760" spans="1:25">
      <c r="A7760" t="s">
        <v>26661</v>
      </c>
      <c r="B7760" t="s">
        <v>26662</v>
      </c>
      <c r="D7760" t="s">
        <v>40</v>
      </c>
      <c r="E7760" t="s">
        <v>41</v>
      </c>
      <c r="J7760" t="s">
        <v>1554</v>
      </c>
      <c r="K7760" t="s">
        <v>1555</v>
      </c>
      <c r="L7760">
        <v>6</v>
      </c>
      <c r="M7760" t="s">
        <v>26663</v>
      </c>
      <c r="N7760" t="s">
        <v>4037</v>
      </c>
      <c r="O7760" t="s">
        <v>46</v>
      </c>
      <c r="P7760" t="s">
        <v>46</v>
      </c>
      <c r="Y7760" t="s">
        <v>26664</v>
      </c>
    </row>
    <row r="7761" spans="1:25">
      <c r="A7761" t="s">
        <v>26665</v>
      </c>
      <c r="B7761" t="s">
        <v>26666</v>
      </c>
      <c r="D7761" t="s">
        <v>40</v>
      </c>
      <c r="E7761" t="s">
        <v>41</v>
      </c>
      <c r="J7761" t="s">
        <v>248</v>
      </c>
      <c r="K7761" t="s">
        <v>249</v>
      </c>
      <c r="L7761">
        <v>5</v>
      </c>
      <c r="M7761" t="s">
        <v>26667</v>
      </c>
      <c r="N7761" t="s">
        <v>53</v>
      </c>
      <c r="O7761" t="s">
        <v>46</v>
      </c>
      <c r="P7761" t="s">
        <v>46</v>
      </c>
      <c r="Y7761" t="s">
        <v>26668</v>
      </c>
    </row>
    <row r="7762" spans="1:25">
      <c r="A7762" t="s">
        <v>26669</v>
      </c>
      <c r="B7762" t="s">
        <v>26670</v>
      </c>
      <c r="D7762" t="s">
        <v>40</v>
      </c>
      <c r="E7762" t="s">
        <v>41</v>
      </c>
      <c r="J7762" t="s">
        <v>248</v>
      </c>
      <c r="K7762" t="s">
        <v>249</v>
      </c>
      <c r="L7762">
        <v>5</v>
      </c>
      <c r="M7762" t="s">
        <v>26671</v>
      </c>
      <c r="N7762" t="s">
        <v>310</v>
      </c>
      <c r="O7762" t="s">
        <v>46</v>
      </c>
      <c r="P7762" t="s">
        <v>46</v>
      </c>
      <c r="Y7762" t="s">
        <v>26672</v>
      </c>
    </row>
    <row r="7763" spans="1:25">
      <c r="A7763" t="s">
        <v>26673</v>
      </c>
      <c r="B7763" t="s">
        <v>26674</v>
      </c>
      <c r="D7763" t="s">
        <v>40</v>
      </c>
      <c r="E7763" t="s">
        <v>41</v>
      </c>
      <c r="J7763" t="s">
        <v>911</v>
      </c>
      <c r="K7763" t="s">
        <v>912</v>
      </c>
      <c r="L7763">
        <v>5</v>
      </c>
      <c r="M7763" t="s">
        <v>26675</v>
      </c>
      <c r="N7763" t="s">
        <v>4037</v>
      </c>
      <c r="O7763" t="s">
        <v>46</v>
      </c>
      <c r="P7763" t="s">
        <v>46</v>
      </c>
      <c r="Y7763" t="s">
        <v>26676</v>
      </c>
    </row>
    <row r="7764" spans="1:25">
      <c r="A7764" t="s">
        <v>26677</v>
      </c>
      <c r="B7764" t="s">
        <v>26678</v>
      </c>
      <c r="D7764" t="s">
        <v>40</v>
      </c>
      <c r="E7764" t="s">
        <v>41</v>
      </c>
      <c r="J7764" t="s">
        <v>248</v>
      </c>
      <c r="K7764" t="s">
        <v>249</v>
      </c>
      <c r="L7764">
        <v>5</v>
      </c>
      <c r="M7764" t="s">
        <v>26679</v>
      </c>
      <c r="N7764" t="s">
        <v>1024</v>
      </c>
      <c r="O7764" t="s">
        <v>46</v>
      </c>
      <c r="P7764" t="s">
        <v>46</v>
      </c>
      <c r="Y7764" t="s">
        <v>26680</v>
      </c>
    </row>
    <row r="7765" spans="1:25">
      <c r="A7765" t="s">
        <v>26681</v>
      </c>
      <c r="B7765" t="s">
        <v>26682</v>
      </c>
      <c r="D7765" t="s">
        <v>40</v>
      </c>
      <c r="E7765" t="s">
        <v>41</v>
      </c>
      <c r="J7765" t="s">
        <v>139</v>
      </c>
      <c r="K7765" t="s">
        <v>140</v>
      </c>
      <c r="L7765">
        <v>5</v>
      </c>
      <c r="M7765" t="s">
        <v>26683</v>
      </c>
      <c r="N7765" t="s">
        <v>24245</v>
      </c>
      <c r="O7765" t="s">
        <v>46</v>
      </c>
      <c r="P7765" t="s">
        <v>46</v>
      </c>
      <c r="Y7765" t="s">
        <v>26684</v>
      </c>
    </row>
    <row r="7766" spans="1:25">
      <c r="A7766" t="s">
        <v>26685</v>
      </c>
      <c r="B7766" t="s">
        <v>26686</v>
      </c>
      <c r="D7766" t="s">
        <v>40</v>
      </c>
      <c r="E7766" t="s">
        <v>41</v>
      </c>
      <c r="J7766" t="s">
        <v>599</v>
      </c>
      <c r="K7766" t="s">
        <v>600</v>
      </c>
      <c r="L7766">
        <v>5</v>
      </c>
      <c r="M7766" t="s">
        <v>26687</v>
      </c>
      <c r="N7766" t="s">
        <v>315</v>
      </c>
      <c r="O7766" t="s">
        <v>46</v>
      </c>
      <c r="P7766" t="s">
        <v>46</v>
      </c>
      <c r="Y7766" t="s">
        <v>26688</v>
      </c>
    </row>
    <row r="7767" spans="1:25">
      <c r="A7767" t="s">
        <v>26689</v>
      </c>
      <c r="B7767" t="s">
        <v>26690</v>
      </c>
      <c r="D7767" t="s">
        <v>40</v>
      </c>
      <c r="E7767" t="s">
        <v>41</v>
      </c>
      <c r="J7767" t="s">
        <v>14558</v>
      </c>
      <c r="K7767" t="s">
        <v>14559</v>
      </c>
      <c r="L7767">
        <v>5</v>
      </c>
      <c r="M7767" t="s">
        <v>26687</v>
      </c>
      <c r="N7767" t="s">
        <v>142</v>
      </c>
      <c r="O7767" t="s">
        <v>46</v>
      </c>
      <c r="P7767" t="s">
        <v>46</v>
      </c>
      <c r="Y7767" t="s">
        <v>26691</v>
      </c>
    </row>
    <row r="7768" spans="1:25">
      <c r="A7768" t="s">
        <v>26692</v>
      </c>
      <c r="B7768" t="s">
        <v>26693</v>
      </c>
      <c r="D7768" t="s">
        <v>40</v>
      </c>
      <c r="E7768" t="s">
        <v>41</v>
      </c>
      <c r="J7768" t="s">
        <v>1142</v>
      </c>
      <c r="K7768" t="s">
        <v>1143</v>
      </c>
      <c r="L7768">
        <v>5</v>
      </c>
      <c r="M7768" t="s">
        <v>26694</v>
      </c>
      <c r="N7768" t="s">
        <v>2621</v>
      </c>
      <c r="O7768" t="s">
        <v>46</v>
      </c>
      <c r="P7768" t="s">
        <v>46</v>
      </c>
      <c r="Y7768" t="s">
        <v>26695</v>
      </c>
    </row>
    <row r="7769" spans="1:25">
      <c r="A7769" t="s">
        <v>26696</v>
      </c>
      <c r="B7769" t="s">
        <v>26697</v>
      </c>
      <c r="D7769" t="s">
        <v>40</v>
      </c>
      <c r="E7769" t="s">
        <v>41</v>
      </c>
      <c r="J7769" t="s">
        <v>248</v>
      </c>
      <c r="K7769" t="s">
        <v>249</v>
      </c>
      <c r="L7769">
        <v>5</v>
      </c>
      <c r="M7769" t="s">
        <v>26698</v>
      </c>
      <c r="N7769" t="s">
        <v>24245</v>
      </c>
      <c r="O7769" t="s">
        <v>46</v>
      </c>
      <c r="P7769" t="s">
        <v>46</v>
      </c>
      <c r="Y7769" t="s">
        <v>26699</v>
      </c>
    </row>
    <row r="7770" spans="1:25">
      <c r="A7770" t="s">
        <v>26700</v>
      </c>
      <c r="B7770" t="s">
        <v>26701</v>
      </c>
      <c r="D7770" t="s">
        <v>40</v>
      </c>
      <c r="E7770" t="s">
        <v>41</v>
      </c>
      <c r="J7770" t="s">
        <v>139</v>
      </c>
      <c r="K7770" t="s">
        <v>140</v>
      </c>
      <c r="L7770">
        <v>5</v>
      </c>
      <c r="M7770" t="s">
        <v>26698</v>
      </c>
      <c r="N7770" t="s">
        <v>1446</v>
      </c>
      <c r="O7770" t="s">
        <v>46</v>
      </c>
      <c r="P7770" t="s">
        <v>46</v>
      </c>
      <c r="Y7770" t="s">
        <v>26702</v>
      </c>
    </row>
    <row r="7771" spans="1:25">
      <c r="A7771" t="s">
        <v>26703</v>
      </c>
      <c r="B7771" t="s">
        <v>26704</v>
      </c>
      <c r="D7771" t="s">
        <v>40</v>
      </c>
      <c r="E7771" t="s">
        <v>41</v>
      </c>
      <c r="J7771" t="s">
        <v>248</v>
      </c>
      <c r="K7771" t="s">
        <v>249</v>
      </c>
      <c r="L7771">
        <v>5</v>
      </c>
      <c r="M7771" t="s">
        <v>26705</v>
      </c>
      <c r="N7771" t="s">
        <v>310</v>
      </c>
      <c r="O7771" t="s">
        <v>46</v>
      </c>
      <c r="P7771" t="s">
        <v>46</v>
      </c>
      <c r="Y7771" t="s">
        <v>26706</v>
      </c>
    </row>
    <row r="7772" spans="1:25">
      <c r="A7772" t="s">
        <v>26707</v>
      </c>
      <c r="B7772" t="s">
        <v>26708</v>
      </c>
      <c r="D7772" t="s">
        <v>40</v>
      </c>
      <c r="E7772" t="s">
        <v>41</v>
      </c>
      <c r="J7772" t="s">
        <v>1554</v>
      </c>
      <c r="K7772" t="s">
        <v>1555</v>
      </c>
      <c r="L7772">
        <v>5</v>
      </c>
      <c r="M7772" t="s">
        <v>26709</v>
      </c>
      <c r="N7772" t="s">
        <v>24240</v>
      </c>
      <c r="O7772" t="s">
        <v>46</v>
      </c>
      <c r="P7772" t="s">
        <v>46</v>
      </c>
      <c r="Y7772" t="s">
        <v>26710</v>
      </c>
    </row>
    <row r="7773" spans="1:25">
      <c r="A7773" t="s">
        <v>26711</v>
      </c>
      <c r="B7773" t="s">
        <v>26712</v>
      </c>
      <c r="D7773" t="s">
        <v>40</v>
      </c>
      <c r="E7773" t="s">
        <v>41</v>
      </c>
      <c r="J7773" t="s">
        <v>12440</v>
      </c>
      <c r="K7773" t="s">
        <v>12441</v>
      </c>
      <c r="L7773">
        <v>6</v>
      </c>
      <c r="M7773" t="s">
        <v>26713</v>
      </c>
      <c r="N7773" t="s">
        <v>64</v>
      </c>
      <c r="O7773" t="s">
        <v>46</v>
      </c>
      <c r="P7773" t="s">
        <v>46</v>
      </c>
      <c r="Y7773" t="s">
        <v>26714</v>
      </c>
    </row>
    <row r="7774" spans="1:25">
      <c r="A7774" t="s">
        <v>26715</v>
      </c>
      <c r="B7774" t="s">
        <v>26716</v>
      </c>
      <c r="D7774" t="s">
        <v>40</v>
      </c>
      <c r="E7774" t="s">
        <v>41</v>
      </c>
      <c r="J7774" t="s">
        <v>248</v>
      </c>
      <c r="K7774" t="s">
        <v>249</v>
      </c>
      <c r="L7774">
        <v>5</v>
      </c>
      <c r="M7774" t="s">
        <v>26717</v>
      </c>
      <c r="N7774" t="s">
        <v>1397</v>
      </c>
      <c r="O7774" t="s">
        <v>46</v>
      </c>
      <c r="P7774" t="s">
        <v>46</v>
      </c>
      <c r="Y7774" t="s">
        <v>26718</v>
      </c>
    </row>
    <row r="7775" spans="1:25">
      <c r="A7775" t="s">
        <v>26719</v>
      </c>
      <c r="B7775" t="s">
        <v>26720</v>
      </c>
      <c r="D7775" t="s">
        <v>40</v>
      </c>
      <c r="E7775" t="s">
        <v>41</v>
      </c>
      <c r="J7775" t="s">
        <v>139</v>
      </c>
      <c r="K7775" t="s">
        <v>140</v>
      </c>
      <c r="L7775">
        <v>5</v>
      </c>
      <c r="M7775" t="s">
        <v>26721</v>
      </c>
      <c r="N7775" t="s">
        <v>178</v>
      </c>
      <c r="O7775" t="s">
        <v>46</v>
      </c>
      <c r="P7775" t="s">
        <v>46</v>
      </c>
      <c r="Y7775" t="s">
        <v>26722</v>
      </c>
    </row>
    <row r="7776" spans="1:25">
      <c r="A7776" t="s">
        <v>26723</v>
      </c>
      <c r="B7776" t="s">
        <v>26724</v>
      </c>
      <c r="D7776" t="s">
        <v>40</v>
      </c>
      <c r="E7776" t="s">
        <v>41</v>
      </c>
      <c r="J7776" t="s">
        <v>139</v>
      </c>
      <c r="K7776" t="s">
        <v>140</v>
      </c>
      <c r="L7776">
        <v>2</v>
      </c>
      <c r="M7776" t="s">
        <v>26721</v>
      </c>
      <c r="N7776" t="s">
        <v>1392</v>
      </c>
      <c r="O7776" t="s">
        <v>46</v>
      </c>
      <c r="P7776" t="s">
        <v>46</v>
      </c>
      <c r="Y7776" t="s">
        <v>26725</v>
      </c>
    </row>
    <row r="7777" spans="1:25">
      <c r="A7777" t="s">
        <v>26726</v>
      </c>
      <c r="B7777" t="s">
        <v>26727</v>
      </c>
      <c r="D7777" t="s">
        <v>40</v>
      </c>
      <c r="E7777" t="s">
        <v>41</v>
      </c>
      <c r="J7777" t="s">
        <v>1554</v>
      </c>
      <c r="K7777" t="s">
        <v>1555</v>
      </c>
      <c r="L7777">
        <v>5</v>
      </c>
      <c r="M7777" t="s">
        <v>26728</v>
      </c>
      <c r="N7777" t="s">
        <v>436</v>
      </c>
      <c r="O7777" t="s">
        <v>46</v>
      </c>
      <c r="P7777" t="s">
        <v>46</v>
      </c>
      <c r="Y7777" t="s">
        <v>26729</v>
      </c>
    </row>
    <row r="7778" spans="1:25">
      <c r="A7778" t="s">
        <v>26730</v>
      </c>
      <c r="B7778" t="s">
        <v>26731</v>
      </c>
      <c r="D7778" t="s">
        <v>40</v>
      </c>
      <c r="E7778" t="s">
        <v>41</v>
      </c>
      <c r="J7778" t="s">
        <v>599</v>
      </c>
      <c r="K7778" t="s">
        <v>600</v>
      </c>
      <c r="L7778">
        <v>5</v>
      </c>
      <c r="M7778" t="s">
        <v>26732</v>
      </c>
      <c r="N7778" t="s">
        <v>23361</v>
      </c>
      <c r="O7778" t="s">
        <v>46</v>
      </c>
      <c r="P7778" t="s">
        <v>46</v>
      </c>
      <c r="Y7778" t="s">
        <v>26733</v>
      </c>
    </row>
    <row r="7779" spans="1:25">
      <c r="A7779" t="s">
        <v>26734</v>
      </c>
      <c r="B7779" t="s">
        <v>26735</v>
      </c>
      <c r="D7779" t="s">
        <v>40</v>
      </c>
      <c r="E7779" t="s">
        <v>41</v>
      </c>
      <c r="J7779" t="s">
        <v>139</v>
      </c>
      <c r="K7779" t="s">
        <v>140</v>
      </c>
      <c r="L7779">
        <v>5</v>
      </c>
      <c r="M7779" t="s">
        <v>26736</v>
      </c>
      <c r="N7779" t="s">
        <v>752</v>
      </c>
      <c r="O7779" t="s">
        <v>46</v>
      </c>
      <c r="P7779" t="s">
        <v>46</v>
      </c>
      <c r="Y7779" t="s">
        <v>26737</v>
      </c>
    </row>
    <row r="7780" spans="1:25">
      <c r="A7780" t="s">
        <v>26738</v>
      </c>
      <c r="B7780" t="s">
        <v>26739</v>
      </c>
      <c r="D7780" t="s">
        <v>40</v>
      </c>
      <c r="E7780" t="s">
        <v>41</v>
      </c>
      <c r="J7780" t="s">
        <v>248</v>
      </c>
      <c r="K7780" t="s">
        <v>249</v>
      </c>
      <c r="L7780">
        <v>5</v>
      </c>
      <c r="M7780" t="s">
        <v>26740</v>
      </c>
      <c r="N7780" t="s">
        <v>53</v>
      </c>
      <c r="O7780" t="s">
        <v>46</v>
      </c>
      <c r="P7780" t="s">
        <v>46</v>
      </c>
      <c r="Y7780" t="s">
        <v>26741</v>
      </c>
    </row>
    <row r="7781" spans="1:25">
      <c r="A7781" t="s">
        <v>26742</v>
      </c>
      <c r="B7781" t="s">
        <v>26743</v>
      </c>
      <c r="D7781" t="s">
        <v>40</v>
      </c>
      <c r="E7781" t="s">
        <v>41</v>
      </c>
      <c r="J7781" t="s">
        <v>248</v>
      </c>
      <c r="K7781" t="s">
        <v>249</v>
      </c>
      <c r="L7781">
        <v>5</v>
      </c>
      <c r="M7781" t="s">
        <v>26744</v>
      </c>
      <c r="N7781" t="s">
        <v>310</v>
      </c>
      <c r="O7781" t="s">
        <v>46</v>
      </c>
      <c r="P7781" t="s">
        <v>46</v>
      </c>
      <c r="Y7781" t="s">
        <v>26745</v>
      </c>
    </row>
    <row r="7782" spans="1:25">
      <c r="A7782" t="s">
        <v>26746</v>
      </c>
      <c r="B7782" t="s">
        <v>26747</v>
      </c>
      <c r="D7782" t="s">
        <v>40</v>
      </c>
      <c r="E7782" t="s">
        <v>41</v>
      </c>
      <c r="J7782" t="s">
        <v>12440</v>
      </c>
      <c r="K7782" t="s">
        <v>12441</v>
      </c>
      <c r="L7782">
        <v>6</v>
      </c>
      <c r="M7782" t="s">
        <v>26748</v>
      </c>
      <c r="N7782" t="s">
        <v>64</v>
      </c>
      <c r="O7782" t="s">
        <v>46</v>
      </c>
      <c r="P7782" t="s">
        <v>46</v>
      </c>
      <c r="Y7782" t="s">
        <v>26749</v>
      </c>
    </row>
    <row r="7783" spans="1:25">
      <c r="A7783" t="s">
        <v>26750</v>
      </c>
      <c r="B7783" t="s">
        <v>26751</v>
      </c>
      <c r="D7783" t="s">
        <v>40</v>
      </c>
      <c r="E7783" t="s">
        <v>41</v>
      </c>
      <c r="J7783" t="s">
        <v>1142</v>
      </c>
      <c r="K7783" t="s">
        <v>1143</v>
      </c>
      <c r="L7783">
        <v>5</v>
      </c>
      <c r="M7783" t="s">
        <v>26752</v>
      </c>
      <c r="N7783" t="s">
        <v>310</v>
      </c>
      <c r="O7783" t="s">
        <v>46</v>
      </c>
      <c r="P7783" t="s">
        <v>46</v>
      </c>
      <c r="Y7783" t="s">
        <v>26753</v>
      </c>
    </row>
    <row r="7784" spans="1:25">
      <c r="A7784" t="s">
        <v>26754</v>
      </c>
      <c r="B7784" t="s">
        <v>26755</v>
      </c>
      <c r="D7784" t="s">
        <v>40</v>
      </c>
      <c r="E7784" t="s">
        <v>41</v>
      </c>
      <c r="J7784" t="s">
        <v>1554</v>
      </c>
      <c r="K7784" t="s">
        <v>1555</v>
      </c>
      <c r="L7784">
        <v>5</v>
      </c>
      <c r="M7784" t="s">
        <v>26752</v>
      </c>
      <c r="N7784" t="s">
        <v>24245</v>
      </c>
      <c r="O7784" t="s">
        <v>46</v>
      </c>
      <c r="P7784" t="s">
        <v>46</v>
      </c>
      <c r="Y7784" t="s">
        <v>26756</v>
      </c>
    </row>
    <row r="7785" spans="1:25">
      <c r="A7785" t="s">
        <v>26757</v>
      </c>
      <c r="B7785" t="s">
        <v>26758</v>
      </c>
      <c r="D7785" t="s">
        <v>40</v>
      </c>
      <c r="E7785" t="s">
        <v>41</v>
      </c>
      <c r="J7785" t="s">
        <v>12440</v>
      </c>
      <c r="K7785" t="s">
        <v>12441</v>
      </c>
      <c r="L7785">
        <v>6</v>
      </c>
      <c r="M7785" t="s">
        <v>26759</v>
      </c>
      <c r="N7785" t="s">
        <v>64</v>
      </c>
      <c r="O7785" t="s">
        <v>46</v>
      </c>
      <c r="P7785" t="s">
        <v>46</v>
      </c>
      <c r="Y7785" t="s">
        <v>26760</v>
      </c>
    </row>
    <row r="7786" spans="1:25">
      <c r="A7786" t="s">
        <v>26761</v>
      </c>
      <c r="B7786" t="s">
        <v>26762</v>
      </c>
      <c r="D7786" t="s">
        <v>40</v>
      </c>
      <c r="E7786" t="s">
        <v>41</v>
      </c>
      <c r="J7786" t="s">
        <v>248</v>
      </c>
      <c r="K7786" t="s">
        <v>249</v>
      </c>
      <c r="L7786">
        <v>5</v>
      </c>
      <c r="M7786" t="s">
        <v>26763</v>
      </c>
      <c r="N7786" t="s">
        <v>24245</v>
      </c>
      <c r="O7786" t="s">
        <v>46</v>
      </c>
      <c r="P7786" t="s">
        <v>46</v>
      </c>
      <c r="Y7786" t="s">
        <v>26764</v>
      </c>
    </row>
    <row r="7787" spans="1:25">
      <c r="A7787" t="s">
        <v>26765</v>
      </c>
      <c r="B7787" t="s">
        <v>26766</v>
      </c>
      <c r="D7787" t="s">
        <v>40</v>
      </c>
      <c r="E7787" t="s">
        <v>41</v>
      </c>
      <c r="J7787" t="s">
        <v>14558</v>
      </c>
      <c r="K7787" t="s">
        <v>14559</v>
      </c>
      <c r="L7787">
        <v>5</v>
      </c>
      <c r="M7787" t="s">
        <v>26767</v>
      </c>
      <c r="N7787" t="s">
        <v>24245</v>
      </c>
      <c r="O7787" t="s">
        <v>46</v>
      </c>
      <c r="P7787" t="s">
        <v>46</v>
      </c>
      <c r="Y7787" t="s">
        <v>26768</v>
      </c>
    </row>
    <row r="7788" spans="1:25">
      <c r="A7788" t="s">
        <v>26769</v>
      </c>
      <c r="B7788" t="s">
        <v>26770</v>
      </c>
      <c r="D7788" t="s">
        <v>40</v>
      </c>
      <c r="E7788" t="s">
        <v>41</v>
      </c>
      <c r="J7788" t="s">
        <v>1142</v>
      </c>
      <c r="K7788" t="s">
        <v>1143</v>
      </c>
      <c r="L7788">
        <v>5</v>
      </c>
      <c r="M7788" t="s">
        <v>26771</v>
      </c>
      <c r="N7788" t="s">
        <v>58</v>
      </c>
      <c r="O7788" t="s">
        <v>46</v>
      </c>
      <c r="P7788" t="s">
        <v>46</v>
      </c>
      <c r="Y7788" t="s">
        <v>26772</v>
      </c>
    </row>
    <row r="7789" spans="1:25">
      <c r="A7789" t="s">
        <v>26773</v>
      </c>
      <c r="B7789" t="s">
        <v>26774</v>
      </c>
      <c r="D7789" t="s">
        <v>40</v>
      </c>
      <c r="E7789" t="s">
        <v>41</v>
      </c>
      <c r="J7789" t="s">
        <v>248</v>
      </c>
      <c r="K7789" t="s">
        <v>249</v>
      </c>
      <c r="L7789">
        <v>5</v>
      </c>
      <c r="M7789" t="s">
        <v>26775</v>
      </c>
      <c r="N7789" t="s">
        <v>310</v>
      </c>
      <c r="O7789" t="s">
        <v>46</v>
      </c>
      <c r="P7789" t="s">
        <v>46</v>
      </c>
      <c r="Y7789" t="s">
        <v>26776</v>
      </c>
    </row>
    <row r="7790" spans="1:25">
      <c r="A7790" t="s">
        <v>26777</v>
      </c>
      <c r="B7790" t="s">
        <v>26778</v>
      </c>
      <c r="D7790" t="s">
        <v>40</v>
      </c>
      <c r="E7790" t="s">
        <v>41</v>
      </c>
      <c r="J7790" t="s">
        <v>248</v>
      </c>
      <c r="K7790" t="s">
        <v>249</v>
      </c>
      <c r="L7790">
        <v>5</v>
      </c>
      <c r="M7790" t="s">
        <v>26779</v>
      </c>
      <c r="N7790" t="s">
        <v>1550</v>
      </c>
      <c r="O7790" t="s">
        <v>46</v>
      </c>
      <c r="P7790" t="s">
        <v>46</v>
      </c>
      <c r="Y7790" t="s">
        <v>26780</v>
      </c>
    </row>
    <row r="7791" spans="1:25">
      <c r="A7791" t="s">
        <v>26781</v>
      </c>
      <c r="B7791" t="s">
        <v>26782</v>
      </c>
      <c r="D7791" t="s">
        <v>40</v>
      </c>
      <c r="E7791" t="s">
        <v>41</v>
      </c>
      <c r="J7791" t="s">
        <v>248</v>
      </c>
      <c r="K7791" t="s">
        <v>249</v>
      </c>
      <c r="L7791">
        <v>6</v>
      </c>
      <c r="M7791" t="s">
        <v>26783</v>
      </c>
      <c r="N7791" t="s">
        <v>142</v>
      </c>
      <c r="O7791" t="s">
        <v>46</v>
      </c>
      <c r="P7791" t="s">
        <v>46</v>
      </c>
      <c r="Y7791" t="s">
        <v>26784</v>
      </c>
    </row>
    <row r="7792" spans="1:25">
      <c r="A7792" t="s">
        <v>26785</v>
      </c>
      <c r="B7792" t="s">
        <v>26786</v>
      </c>
      <c r="D7792" t="s">
        <v>40</v>
      </c>
      <c r="E7792" t="s">
        <v>41</v>
      </c>
      <c r="J7792" t="s">
        <v>1142</v>
      </c>
      <c r="K7792" t="s">
        <v>1143</v>
      </c>
      <c r="L7792">
        <v>5</v>
      </c>
      <c r="M7792" t="s">
        <v>26787</v>
      </c>
      <c r="N7792" t="s">
        <v>53</v>
      </c>
      <c r="O7792" t="s">
        <v>46</v>
      </c>
      <c r="P7792" t="s">
        <v>46</v>
      </c>
      <c r="Y7792" t="s">
        <v>26788</v>
      </c>
    </row>
    <row r="7793" spans="1:25">
      <c r="A7793" t="s">
        <v>26789</v>
      </c>
      <c r="B7793" t="s">
        <v>26790</v>
      </c>
      <c r="D7793" t="s">
        <v>40</v>
      </c>
      <c r="E7793" t="s">
        <v>41</v>
      </c>
      <c r="J7793" t="s">
        <v>248</v>
      </c>
      <c r="K7793" t="s">
        <v>249</v>
      </c>
      <c r="L7793">
        <v>5</v>
      </c>
      <c r="M7793" t="s">
        <v>26787</v>
      </c>
      <c r="N7793" t="s">
        <v>257</v>
      </c>
      <c r="O7793" t="s">
        <v>46</v>
      </c>
      <c r="P7793" t="s">
        <v>46</v>
      </c>
      <c r="Y7793" t="s">
        <v>26791</v>
      </c>
    </row>
    <row r="7794" spans="1:25">
      <c r="A7794" t="s">
        <v>26792</v>
      </c>
      <c r="B7794" t="s">
        <v>26793</v>
      </c>
      <c r="D7794" t="s">
        <v>40</v>
      </c>
      <c r="E7794" t="s">
        <v>41</v>
      </c>
      <c r="J7794" t="s">
        <v>6255</v>
      </c>
      <c r="K7794" t="s">
        <v>6256</v>
      </c>
      <c r="L7794">
        <v>5</v>
      </c>
      <c r="M7794" t="s">
        <v>26794</v>
      </c>
      <c r="N7794" t="s">
        <v>266</v>
      </c>
      <c r="O7794" t="s">
        <v>46</v>
      </c>
      <c r="P7794" t="s">
        <v>46</v>
      </c>
      <c r="Y7794" t="s">
        <v>26795</v>
      </c>
    </row>
    <row r="7795" spans="1:25">
      <c r="A7795" t="s">
        <v>26796</v>
      </c>
      <c r="B7795" t="s">
        <v>26797</v>
      </c>
      <c r="D7795" t="s">
        <v>40</v>
      </c>
      <c r="E7795" t="s">
        <v>41</v>
      </c>
      <c r="J7795" t="s">
        <v>139</v>
      </c>
      <c r="K7795" t="s">
        <v>140</v>
      </c>
      <c r="L7795">
        <v>5</v>
      </c>
      <c r="M7795" t="s">
        <v>26798</v>
      </c>
      <c r="N7795" t="s">
        <v>178</v>
      </c>
      <c r="O7795" t="s">
        <v>46</v>
      </c>
      <c r="P7795" t="s">
        <v>46</v>
      </c>
      <c r="Y7795" t="s">
        <v>26799</v>
      </c>
    </row>
    <row r="7796" spans="1:25">
      <c r="A7796" t="s">
        <v>26800</v>
      </c>
      <c r="B7796" t="s">
        <v>26801</v>
      </c>
      <c r="D7796" t="s">
        <v>40</v>
      </c>
      <c r="E7796" t="s">
        <v>41</v>
      </c>
      <c r="J7796" t="s">
        <v>11802</v>
      </c>
      <c r="K7796" t="s">
        <v>11803</v>
      </c>
      <c r="L7796">
        <v>5</v>
      </c>
      <c r="M7796" t="s">
        <v>26802</v>
      </c>
      <c r="N7796" t="s">
        <v>440</v>
      </c>
      <c r="O7796" t="s">
        <v>46</v>
      </c>
      <c r="P7796" t="s">
        <v>46</v>
      </c>
      <c r="Y7796" t="s">
        <v>26803</v>
      </c>
    </row>
    <row r="7797" spans="1:25">
      <c r="A7797" t="s">
        <v>26804</v>
      </c>
      <c r="B7797" t="s">
        <v>26805</v>
      </c>
      <c r="D7797" t="s">
        <v>40</v>
      </c>
      <c r="E7797" t="s">
        <v>41</v>
      </c>
      <c r="J7797" t="s">
        <v>248</v>
      </c>
      <c r="K7797" t="s">
        <v>249</v>
      </c>
      <c r="L7797">
        <v>5</v>
      </c>
      <c r="M7797" t="s">
        <v>26806</v>
      </c>
      <c r="N7797" t="s">
        <v>315</v>
      </c>
      <c r="O7797" t="s">
        <v>46</v>
      </c>
      <c r="P7797" t="s">
        <v>46</v>
      </c>
      <c r="Y7797" t="s">
        <v>26807</v>
      </c>
    </row>
    <row r="7798" spans="1:25">
      <c r="A7798" t="s">
        <v>26808</v>
      </c>
      <c r="B7798" t="s">
        <v>26809</v>
      </c>
      <c r="D7798" t="s">
        <v>40</v>
      </c>
      <c r="E7798" t="s">
        <v>41</v>
      </c>
      <c r="J7798" t="s">
        <v>248</v>
      </c>
      <c r="K7798" t="s">
        <v>249</v>
      </c>
      <c r="L7798">
        <v>5</v>
      </c>
      <c r="M7798" t="s">
        <v>26810</v>
      </c>
      <c r="N7798" t="s">
        <v>752</v>
      </c>
      <c r="O7798" t="s">
        <v>46</v>
      </c>
      <c r="P7798" t="s">
        <v>46</v>
      </c>
      <c r="Y7798" t="s">
        <v>26811</v>
      </c>
    </row>
    <row r="7799" spans="1:25">
      <c r="A7799" t="s">
        <v>26812</v>
      </c>
      <c r="B7799" t="s">
        <v>26813</v>
      </c>
      <c r="D7799" t="s">
        <v>40</v>
      </c>
      <c r="E7799" t="s">
        <v>41</v>
      </c>
      <c r="J7799" t="s">
        <v>139</v>
      </c>
      <c r="K7799" t="s">
        <v>140</v>
      </c>
      <c r="L7799">
        <v>5</v>
      </c>
      <c r="M7799" t="s">
        <v>26814</v>
      </c>
      <c r="N7799" t="s">
        <v>509</v>
      </c>
      <c r="O7799" t="s">
        <v>46</v>
      </c>
      <c r="P7799" t="s">
        <v>46</v>
      </c>
      <c r="Y7799" t="s">
        <v>26815</v>
      </c>
    </row>
    <row r="7800" spans="1:25">
      <c r="A7800" t="s">
        <v>26816</v>
      </c>
      <c r="B7800" t="s">
        <v>26817</v>
      </c>
      <c r="D7800" t="s">
        <v>40</v>
      </c>
      <c r="E7800" t="s">
        <v>41</v>
      </c>
      <c r="H7800" t="s">
        <v>26818</v>
      </c>
      <c r="J7800" t="s">
        <v>139</v>
      </c>
      <c r="K7800" t="s">
        <v>140</v>
      </c>
      <c r="L7800">
        <v>6</v>
      </c>
      <c r="M7800" t="s">
        <v>26819</v>
      </c>
      <c r="N7800" t="s">
        <v>310</v>
      </c>
      <c r="O7800" t="s">
        <v>46</v>
      </c>
      <c r="P7800" t="s">
        <v>26820</v>
      </c>
      <c r="Y7800" t="s">
        <v>26821</v>
      </c>
    </row>
    <row r="7801" spans="1:25">
      <c r="A7801" t="s">
        <v>26822</v>
      </c>
      <c r="B7801" t="s">
        <v>26823</v>
      </c>
      <c r="D7801" t="s">
        <v>40</v>
      </c>
      <c r="E7801" t="s">
        <v>41</v>
      </c>
      <c r="J7801" t="s">
        <v>248</v>
      </c>
      <c r="K7801" t="s">
        <v>249</v>
      </c>
      <c r="L7801">
        <v>5</v>
      </c>
      <c r="M7801" t="s">
        <v>26824</v>
      </c>
      <c r="N7801" t="s">
        <v>1229</v>
      </c>
      <c r="O7801" t="s">
        <v>46</v>
      </c>
      <c r="P7801" t="s">
        <v>46</v>
      </c>
      <c r="Y7801" t="s">
        <v>26825</v>
      </c>
    </row>
    <row r="7802" spans="1:25">
      <c r="A7802" t="s">
        <v>26826</v>
      </c>
      <c r="B7802" t="s">
        <v>26827</v>
      </c>
      <c r="D7802" t="s">
        <v>40</v>
      </c>
      <c r="E7802" t="s">
        <v>41</v>
      </c>
      <c r="J7802" t="s">
        <v>1142</v>
      </c>
      <c r="K7802" t="s">
        <v>1143</v>
      </c>
      <c r="L7802">
        <v>5</v>
      </c>
      <c r="M7802" t="s">
        <v>26824</v>
      </c>
      <c r="N7802" t="s">
        <v>2621</v>
      </c>
      <c r="O7802" t="s">
        <v>46</v>
      </c>
      <c r="P7802" t="s">
        <v>46</v>
      </c>
      <c r="Y7802" t="s">
        <v>26828</v>
      </c>
    </row>
    <row r="7803" spans="1:25">
      <c r="A7803" t="s">
        <v>26829</v>
      </c>
      <c r="B7803" t="s">
        <v>26830</v>
      </c>
      <c r="D7803" t="s">
        <v>40</v>
      </c>
      <c r="E7803" t="s">
        <v>41</v>
      </c>
      <c r="J7803" t="s">
        <v>139</v>
      </c>
      <c r="K7803" t="s">
        <v>140</v>
      </c>
      <c r="L7803">
        <v>5</v>
      </c>
      <c r="M7803" t="s">
        <v>26831</v>
      </c>
      <c r="N7803" t="s">
        <v>23361</v>
      </c>
      <c r="O7803" t="s">
        <v>46</v>
      </c>
      <c r="P7803" t="s">
        <v>46</v>
      </c>
      <c r="Y7803" t="s">
        <v>26832</v>
      </c>
    </row>
    <row r="7804" spans="1:25">
      <c r="A7804" t="s">
        <v>26833</v>
      </c>
      <c r="B7804" t="s">
        <v>26834</v>
      </c>
      <c r="D7804" t="s">
        <v>40</v>
      </c>
      <c r="E7804" t="s">
        <v>41</v>
      </c>
      <c r="J7804" t="s">
        <v>248</v>
      </c>
      <c r="K7804" t="s">
        <v>249</v>
      </c>
      <c r="L7804">
        <v>6</v>
      </c>
      <c r="M7804" t="s">
        <v>26835</v>
      </c>
      <c r="N7804" t="s">
        <v>1397</v>
      </c>
      <c r="O7804" t="s">
        <v>46</v>
      </c>
      <c r="P7804" t="s">
        <v>46</v>
      </c>
      <c r="Y7804" t="s">
        <v>26836</v>
      </c>
    </row>
    <row r="7805" spans="1:25">
      <c r="A7805" t="s">
        <v>26837</v>
      </c>
      <c r="B7805" t="s">
        <v>26838</v>
      </c>
      <c r="D7805" t="s">
        <v>40</v>
      </c>
      <c r="E7805" t="s">
        <v>41</v>
      </c>
      <c r="J7805" t="s">
        <v>248</v>
      </c>
      <c r="K7805" t="s">
        <v>249</v>
      </c>
      <c r="L7805">
        <v>6</v>
      </c>
      <c r="M7805" t="s">
        <v>26839</v>
      </c>
      <c r="N7805" t="s">
        <v>5995</v>
      </c>
      <c r="O7805" t="s">
        <v>46</v>
      </c>
      <c r="P7805" t="s">
        <v>46</v>
      </c>
      <c r="Y7805" t="s">
        <v>26840</v>
      </c>
    </row>
    <row r="7806" spans="1:25">
      <c r="A7806" t="s">
        <v>26841</v>
      </c>
      <c r="B7806" t="s">
        <v>26842</v>
      </c>
      <c r="D7806" t="s">
        <v>40</v>
      </c>
      <c r="E7806" t="s">
        <v>41</v>
      </c>
      <c r="J7806" t="s">
        <v>1142</v>
      </c>
      <c r="K7806" t="s">
        <v>1143</v>
      </c>
      <c r="L7806">
        <v>5</v>
      </c>
      <c r="M7806" t="s">
        <v>26843</v>
      </c>
      <c r="N7806" t="s">
        <v>142</v>
      </c>
      <c r="O7806" t="s">
        <v>46</v>
      </c>
      <c r="P7806" t="s">
        <v>46</v>
      </c>
      <c r="Y7806" t="s">
        <v>26844</v>
      </c>
    </row>
    <row r="7807" spans="1:25">
      <c r="A7807" t="s">
        <v>26845</v>
      </c>
      <c r="B7807" t="s">
        <v>26846</v>
      </c>
      <c r="D7807" t="s">
        <v>40</v>
      </c>
      <c r="E7807" t="s">
        <v>41</v>
      </c>
      <c r="J7807" t="s">
        <v>248</v>
      </c>
      <c r="K7807" t="s">
        <v>249</v>
      </c>
      <c r="L7807">
        <v>5</v>
      </c>
      <c r="M7807" t="s">
        <v>26847</v>
      </c>
      <c r="N7807" t="s">
        <v>53</v>
      </c>
      <c r="O7807" t="s">
        <v>46</v>
      </c>
      <c r="P7807" t="s">
        <v>46</v>
      </c>
      <c r="Y7807" t="s">
        <v>26848</v>
      </c>
    </row>
    <row r="7808" spans="1:25">
      <c r="A7808" t="s">
        <v>26849</v>
      </c>
      <c r="B7808" t="s">
        <v>26850</v>
      </c>
      <c r="D7808" t="s">
        <v>40</v>
      </c>
      <c r="E7808" t="s">
        <v>41</v>
      </c>
      <c r="J7808" t="s">
        <v>248</v>
      </c>
      <c r="K7808" t="s">
        <v>249</v>
      </c>
      <c r="L7808">
        <v>5</v>
      </c>
      <c r="M7808" t="s">
        <v>26851</v>
      </c>
      <c r="N7808" t="s">
        <v>24240</v>
      </c>
      <c r="O7808" t="s">
        <v>46</v>
      </c>
      <c r="P7808" t="s">
        <v>46</v>
      </c>
      <c r="Y7808" t="s">
        <v>26852</v>
      </c>
    </row>
    <row r="7809" spans="1:25">
      <c r="A7809" t="s">
        <v>26853</v>
      </c>
      <c r="B7809" t="s">
        <v>26854</v>
      </c>
      <c r="D7809" t="s">
        <v>40</v>
      </c>
      <c r="E7809" t="s">
        <v>41</v>
      </c>
      <c r="J7809" t="s">
        <v>248</v>
      </c>
      <c r="K7809" t="s">
        <v>249</v>
      </c>
      <c r="L7809">
        <v>5</v>
      </c>
      <c r="M7809" t="s">
        <v>26855</v>
      </c>
      <c r="N7809" t="s">
        <v>315</v>
      </c>
      <c r="O7809" t="s">
        <v>46</v>
      </c>
      <c r="P7809" t="s">
        <v>46</v>
      </c>
      <c r="Y7809" t="s">
        <v>26856</v>
      </c>
    </row>
    <row r="7810" spans="1:25">
      <c r="A7810" t="s">
        <v>26857</v>
      </c>
      <c r="B7810" t="s">
        <v>26858</v>
      </c>
      <c r="D7810" t="s">
        <v>40</v>
      </c>
      <c r="E7810" t="s">
        <v>41</v>
      </c>
      <c r="J7810" t="s">
        <v>248</v>
      </c>
      <c r="K7810" t="s">
        <v>249</v>
      </c>
      <c r="L7810">
        <v>5</v>
      </c>
      <c r="M7810" t="s">
        <v>26859</v>
      </c>
      <c r="N7810" t="s">
        <v>752</v>
      </c>
      <c r="O7810" t="s">
        <v>46</v>
      </c>
      <c r="P7810" t="s">
        <v>46</v>
      </c>
      <c r="Y7810" t="s">
        <v>26860</v>
      </c>
    </row>
    <row r="7811" spans="1:25">
      <c r="A7811" t="s">
        <v>26861</v>
      </c>
      <c r="B7811" t="s">
        <v>26862</v>
      </c>
      <c r="D7811" t="s">
        <v>40</v>
      </c>
      <c r="E7811" t="s">
        <v>41</v>
      </c>
      <c r="J7811" t="s">
        <v>1554</v>
      </c>
      <c r="K7811" t="s">
        <v>1555</v>
      </c>
      <c r="L7811">
        <v>5</v>
      </c>
      <c r="M7811" t="s">
        <v>26863</v>
      </c>
      <c r="N7811" t="s">
        <v>178</v>
      </c>
      <c r="O7811" t="s">
        <v>46</v>
      </c>
      <c r="P7811" t="s">
        <v>46</v>
      </c>
      <c r="Y7811" t="s">
        <v>26864</v>
      </c>
    </row>
    <row r="7812" spans="1:25">
      <c r="A7812" t="s">
        <v>26865</v>
      </c>
      <c r="B7812" t="s">
        <v>26866</v>
      </c>
      <c r="D7812" t="s">
        <v>40</v>
      </c>
      <c r="E7812" t="s">
        <v>41</v>
      </c>
      <c r="J7812" t="s">
        <v>6179</v>
      </c>
      <c r="K7812" t="s">
        <v>6180</v>
      </c>
      <c r="L7812">
        <v>5</v>
      </c>
      <c r="M7812" t="s">
        <v>26867</v>
      </c>
      <c r="N7812" t="s">
        <v>2621</v>
      </c>
      <c r="O7812" t="s">
        <v>46</v>
      </c>
      <c r="P7812" t="s">
        <v>46</v>
      </c>
      <c r="Y7812" t="s">
        <v>26868</v>
      </c>
    </row>
    <row r="7813" spans="1:25">
      <c r="A7813" t="s">
        <v>26869</v>
      </c>
      <c r="B7813" t="s">
        <v>26870</v>
      </c>
      <c r="D7813" t="s">
        <v>40</v>
      </c>
      <c r="E7813" t="s">
        <v>41</v>
      </c>
      <c r="J7813" t="s">
        <v>1142</v>
      </c>
      <c r="K7813" t="s">
        <v>1143</v>
      </c>
      <c r="L7813">
        <v>5</v>
      </c>
      <c r="M7813" t="s">
        <v>26871</v>
      </c>
      <c r="N7813" t="s">
        <v>1229</v>
      </c>
      <c r="O7813" t="s">
        <v>46</v>
      </c>
      <c r="P7813" t="s">
        <v>46</v>
      </c>
      <c r="Y7813" t="s">
        <v>26872</v>
      </c>
    </row>
    <row r="7814" spans="1:25">
      <c r="A7814" t="s">
        <v>26873</v>
      </c>
      <c r="B7814" t="s">
        <v>26874</v>
      </c>
      <c r="D7814" t="s">
        <v>40</v>
      </c>
      <c r="E7814" t="s">
        <v>41</v>
      </c>
      <c r="J7814" t="s">
        <v>248</v>
      </c>
      <c r="K7814" t="s">
        <v>249</v>
      </c>
      <c r="L7814">
        <v>5</v>
      </c>
      <c r="M7814" t="s">
        <v>26875</v>
      </c>
      <c r="N7814" t="s">
        <v>310</v>
      </c>
      <c r="O7814" t="s">
        <v>46</v>
      </c>
      <c r="P7814" t="s">
        <v>46</v>
      </c>
      <c r="Y7814" t="s">
        <v>26876</v>
      </c>
    </row>
    <row r="7815" spans="1:25">
      <c r="A7815" t="s">
        <v>26877</v>
      </c>
      <c r="B7815" t="s">
        <v>26878</v>
      </c>
      <c r="D7815" t="s">
        <v>40</v>
      </c>
      <c r="E7815" t="s">
        <v>41</v>
      </c>
      <c r="J7815" t="s">
        <v>248</v>
      </c>
      <c r="K7815" t="s">
        <v>249</v>
      </c>
      <c r="L7815">
        <v>5</v>
      </c>
      <c r="M7815" t="s">
        <v>26879</v>
      </c>
      <c r="N7815" t="s">
        <v>1024</v>
      </c>
      <c r="O7815" t="s">
        <v>46</v>
      </c>
      <c r="P7815" t="s">
        <v>46</v>
      </c>
      <c r="Y7815" t="s">
        <v>26880</v>
      </c>
    </row>
    <row r="7816" spans="1:25">
      <c r="A7816" t="s">
        <v>26881</v>
      </c>
      <c r="B7816" t="s">
        <v>26882</v>
      </c>
      <c r="D7816" t="s">
        <v>40</v>
      </c>
      <c r="E7816" t="s">
        <v>41</v>
      </c>
      <c r="J7816" t="s">
        <v>248</v>
      </c>
      <c r="K7816" t="s">
        <v>249</v>
      </c>
      <c r="L7816">
        <v>5</v>
      </c>
      <c r="M7816" t="s">
        <v>26883</v>
      </c>
      <c r="N7816" t="s">
        <v>53</v>
      </c>
      <c r="O7816" t="s">
        <v>46</v>
      </c>
      <c r="P7816" t="s">
        <v>46</v>
      </c>
      <c r="Y7816" t="s">
        <v>26884</v>
      </c>
    </row>
    <row r="7817" spans="1:25">
      <c r="A7817" t="s">
        <v>26885</v>
      </c>
      <c r="B7817" t="s">
        <v>26886</v>
      </c>
      <c r="D7817" t="s">
        <v>40</v>
      </c>
      <c r="E7817" t="s">
        <v>41</v>
      </c>
      <c r="J7817" t="s">
        <v>248</v>
      </c>
      <c r="K7817" t="s">
        <v>249</v>
      </c>
      <c r="L7817">
        <v>5</v>
      </c>
      <c r="M7817" t="s">
        <v>26887</v>
      </c>
      <c r="N7817" t="s">
        <v>291</v>
      </c>
      <c r="O7817" t="s">
        <v>46</v>
      </c>
      <c r="P7817" t="s">
        <v>46</v>
      </c>
      <c r="Y7817" t="s">
        <v>26888</v>
      </c>
    </row>
    <row r="7818" spans="1:25">
      <c r="A7818" t="s">
        <v>26889</v>
      </c>
      <c r="B7818" t="s">
        <v>26890</v>
      </c>
      <c r="D7818" t="s">
        <v>40</v>
      </c>
      <c r="E7818" t="s">
        <v>41</v>
      </c>
      <c r="J7818" t="s">
        <v>248</v>
      </c>
      <c r="K7818" t="s">
        <v>249</v>
      </c>
      <c r="L7818">
        <v>5</v>
      </c>
      <c r="M7818" t="s">
        <v>26887</v>
      </c>
      <c r="N7818" t="s">
        <v>617</v>
      </c>
      <c r="O7818" t="s">
        <v>46</v>
      </c>
      <c r="P7818" t="s">
        <v>46</v>
      </c>
      <c r="Y7818" t="s">
        <v>26891</v>
      </c>
    </row>
    <row r="7819" spans="1:25">
      <c r="A7819" t="s">
        <v>26892</v>
      </c>
      <c r="B7819" t="s">
        <v>26893</v>
      </c>
      <c r="D7819" t="s">
        <v>40</v>
      </c>
      <c r="E7819" t="s">
        <v>41</v>
      </c>
      <c r="J7819" t="s">
        <v>1142</v>
      </c>
      <c r="K7819" t="s">
        <v>1143</v>
      </c>
      <c r="L7819">
        <v>5</v>
      </c>
      <c r="M7819" t="s">
        <v>26894</v>
      </c>
      <c r="N7819" t="s">
        <v>1344</v>
      </c>
      <c r="O7819" t="s">
        <v>46</v>
      </c>
      <c r="P7819" t="s">
        <v>46</v>
      </c>
      <c r="Y7819" t="s">
        <v>26895</v>
      </c>
    </row>
    <row r="7820" spans="1:25">
      <c r="A7820" t="s">
        <v>26896</v>
      </c>
      <c r="B7820" t="s">
        <v>26897</v>
      </c>
      <c r="D7820" t="s">
        <v>40</v>
      </c>
      <c r="E7820" t="s">
        <v>41</v>
      </c>
      <c r="J7820" t="s">
        <v>139</v>
      </c>
      <c r="K7820" t="s">
        <v>140</v>
      </c>
      <c r="L7820">
        <v>5</v>
      </c>
      <c r="M7820" t="s">
        <v>26898</v>
      </c>
      <c r="N7820" t="s">
        <v>3013</v>
      </c>
      <c r="O7820" t="s">
        <v>46</v>
      </c>
      <c r="P7820" t="s">
        <v>46</v>
      </c>
      <c r="Y7820" t="s">
        <v>26899</v>
      </c>
    </row>
    <row r="7821" spans="1:25">
      <c r="A7821" t="s">
        <v>26900</v>
      </c>
      <c r="B7821" t="s">
        <v>26901</v>
      </c>
      <c r="D7821" t="s">
        <v>40</v>
      </c>
      <c r="E7821" t="s">
        <v>41</v>
      </c>
      <c r="J7821" t="s">
        <v>248</v>
      </c>
      <c r="K7821" t="s">
        <v>249</v>
      </c>
      <c r="L7821">
        <v>5</v>
      </c>
      <c r="M7821" t="s">
        <v>26902</v>
      </c>
      <c r="N7821" t="s">
        <v>440</v>
      </c>
      <c r="O7821" t="s">
        <v>46</v>
      </c>
      <c r="P7821" t="s">
        <v>46</v>
      </c>
      <c r="Y7821" t="s">
        <v>26903</v>
      </c>
    </row>
    <row r="7822" spans="1:25">
      <c r="A7822" t="s">
        <v>26904</v>
      </c>
      <c r="B7822" t="s">
        <v>26905</v>
      </c>
      <c r="D7822" t="s">
        <v>40</v>
      </c>
      <c r="E7822" t="s">
        <v>41</v>
      </c>
      <c r="J7822" t="s">
        <v>248</v>
      </c>
      <c r="K7822" t="s">
        <v>249</v>
      </c>
      <c r="L7822">
        <v>5</v>
      </c>
      <c r="M7822" t="s">
        <v>26906</v>
      </c>
      <c r="N7822" t="s">
        <v>178</v>
      </c>
      <c r="O7822" t="s">
        <v>46</v>
      </c>
      <c r="P7822" t="s">
        <v>46</v>
      </c>
      <c r="Y7822" t="s">
        <v>26907</v>
      </c>
    </row>
    <row r="7823" spans="1:25">
      <c r="A7823" t="s">
        <v>26908</v>
      </c>
      <c r="B7823" t="s">
        <v>26909</v>
      </c>
      <c r="D7823" t="s">
        <v>40</v>
      </c>
      <c r="E7823" t="s">
        <v>41</v>
      </c>
      <c r="J7823" t="s">
        <v>248</v>
      </c>
      <c r="K7823" t="s">
        <v>249</v>
      </c>
      <c r="L7823">
        <v>5</v>
      </c>
      <c r="M7823" t="s">
        <v>26910</v>
      </c>
      <c r="N7823" t="s">
        <v>1024</v>
      </c>
      <c r="O7823" t="s">
        <v>46</v>
      </c>
      <c r="P7823" t="s">
        <v>46</v>
      </c>
      <c r="Y7823" t="s">
        <v>26911</v>
      </c>
    </row>
    <row r="7824" spans="1:25">
      <c r="A7824" t="s">
        <v>26912</v>
      </c>
      <c r="B7824" t="s">
        <v>26913</v>
      </c>
      <c r="D7824" t="s">
        <v>40</v>
      </c>
      <c r="E7824" t="s">
        <v>41</v>
      </c>
      <c r="J7824" t="s">
        <v>14558</v>
      </c>
      <c r="K7824" t="s">
        <v>14559</v>
      </c>
      <c r="L7824">
        <v>5</v>
      </c>
      <c r="M7824" t="s">
        <v>26914</v>
      </c>
      <c r="N7824" t="s">
        <v>1369</v>
      </c>
      <c r="O7824" t="s">
        <v>46</v>
      </c>
      <c r="P7824" t="s">
        <v>46</v>
      </c>
      <c r="Y7824" t="s">
        <v>26915</v>
      </c>
    </row>
    <row r="7825" spans="1:25">
      <c r="A7825" t="s">
        <v>26916</v>
      </c>
      <c r="B7825" t="s">
        <v>26917</v>
      </c>
      <c r="D7825" t="s">
        <v>40</v>
      </c>
      <c r="E7825" t="s">
        <v>41</v>
      </c>
      <c r="J7825" t="s">
        <v>248</v>
      </c>
      <c r="K7825" t="s">
        <v>249</v>
      </c>
      <c r="L7825">
        <v>5</v>
      </c>
      <c r="M7825" t="s">
        <v>26918</v>
      </c>
      <c r="N7825" t="s">
        <v>310</v>
      </c>
      <c r="O7825" t="s">
        <v>46</v>
      </c>
      <c r="P7825" t="s">
        <v>46</v>
      </c>
      <c r="Y7825" t="s">
        <v>26919</v>
      </c>
    </row>
    <row r="7826" spans="1:25">
      <c r="A7826" t="s">
        <v>26920</v>
      </c>
      <c r="B7826" t="s">
        <v>26921</v>
      </c>
      <c r="D7826" t="s">
        <v>40</v>
      </c>
      <c r="E7826" t="s">
        <v>41</v>
      </c>
      <c r="J7826" t="s">
        <v>1554</v>
      </c>
      <c r="K7826" t="s">
        <v>1555</v>
      </c>
      <c r="L7826">
        <v>5</v>
      </c>
      <c r="M7826" t="s">
        <v>26922</v>
      </c>
      <c r="N7826" t="s">
        <v>315</v>
      </c>
      <c r="O7826" t="s">
        <v>46</v>
      </c>
      <c r="P7826" t="s">
        <v>46</v>
      </c>
      <c r="Y7826" t="s">
        <v>26923</v>
      </c>
    </row>
    <row r="7827" spans="1:25">
      <c r="A7827" t="s">
        <v>26924</v>
      </c>
      <c r="B7827" t="s">
        <v>26925</v>
      </c>
      <c r="D7827" t="s">
        <v>40</v>
      </c>
      <c r="E7827" t="s">
        <v>41</v>
      </c>
      <c r="J7827" t="s">
        <v>1142</v>
      </c>
      <c r="K7827" t="s">
        <v>1143</v>
      </c>
      <c r="L7827">
        <v>5</v>
      </c>
      <c r="M7827" t="s">
        <v>26926</v>
      </c>
      <c r="N7827" t="s">
        <v>1392</v>
      </c>
      <c r="O7827" t="s">
        <v>46</v>
      </c>
      <c r="P7827" t="s">
        <v>46</v>
      </c>
      <c r="Y7827" t="s">
        <v>26927</v>
      </c>
    </row>
    <row r="7828" spans="1:25">
      <c r="A7828" t="s">
        <v>26928</v>
      </c>
      <c r="B7828" t="s">
        <v>26929</v>
      </c>
      <c r="D7828" t="s">
        <v>40</v>
      </c>
      <c r="E7828" t="s">
        <v>41</v>
      </c>
      <c r="J7828" t="s">
        <v>139</v>
      </c>
      <c r="K7828" t="s">
        <v>140</v>
      </c>
      <c r="L7828">
        <v>5</v>
      </c>
      <c r="M7828" t="s">
        <v>26930</v>
      </c>
      <c r="N7828" t="s">
        <v>310</v>
      </c>
      <c r="O7828" t="s">
        <v>46</v>
      </c>
      <c r="P7828" t="s">
        <v>46</v>
      </c>
      <c r="Y7828" t="s">
        <v>26931</v>
      </c>
    </row>
    <row r="7829" spans="1:25">
      <c r="A7829" t="s">
        <v>26932</v>
      </c>
      <c r="B7829" t="s">
        <v>26933</v>
      </c>
      <c r="D7829" t="s">
        <v>40</v>
      </c>
      <c r="E7829" t="s">
        <v>41</v>
      </c>
      <c r="J7829" t="s">
        <v>1142</v>
      </c>
      <c r="K7829" t="s">
        <v>1143</v>
      </c>
      <c r="L7829">
        <v>5</v>
      </c>
      <c r="M7829" t="s">
        <v>26934</v>
      </c>
      <c r="N7829" t="s">
        <v>440</v>
      </c>
      <c r="O7829" t="s">
        <v>46</v>
      </c>
      <c r="P7829" t="s">
        <v>46</v>
      </c>
      <c r="Y7829" t="s">
        <v>26935</v>
      </c>
    </row>
    <row r="7830" spans="1:25">
      <c r="A7830" t="s">
        <v>26936</v>
      </c>
      <c r="B7830" t="s">
        <v>26937</v>
      </c>
      <c r="D7830" t="s">
        <v>40</v>
      </c>
      <c r="E7830" t="s">
        <v>41</v>
      </c>
      <c r="J7830" t="s">
        <v>1554</v>
      </c>
      <c r="K7830" t="s">
        <v>1555</v>
      </c>
      <c r="L7830">
        <v>5</v>
      </c>
      <c r="M7830" t="s">
        <v>26938</v>
      </c>
      <c r="N7830" t="s">
        <v>5995</v>
      </c>
      <c r="O7830" t="s">
        <v>46</v>
      </c>
      <c r="P7830" t="s">
        <v>46</v>
      </c>
      <c r="Y7830" t="s">
        <v>26939</v>
      </c>
    </row>
    <row r="7831" spans="1:25">
      <c r="A7831" t="s">
        <v>26940</v>
      </c>
      <c r="B7831" t="s">
        <v>26941</v>
      </c>
      <c r="D7831" t="s">
        <v>40</v>
      </c>
      <c r="E7831" t="s">
        <v>41</v>
      </c>
      <c r="J7831" t="s">
        <v>248</v>
      </c>
      <c r="K7831" t="s">
        <v>249</v>
      </c>
      <c r="L7831">
        <v>5</v>
      </c>
      <c r="M7831" t="s">
        <v>26942</v>
      </c>
      <c r="N7831" t="s">
        <v>1446</v>
      </c>
      <c r="O7831" t="s">
        <v>46</v>
      </c>
      <c r="P7831" t="s">
        <v>46</v>
      </c>
      <c r="Y7831" t="s">
        <v>26943</v>
      </c>
    </row>
    <row r="7832" spans="1:25">
      <c r="A7832" t="s">
        <v>26944</v>
      </c>
      <c r="B7832" t="s">
        <v>26945</v>
      </c>
      <c r="D7832" t="s">
        <v>40</v>
      </c>
      <c r="E7832" t="s">
        <v>41</v>
      </c>
      <c r="J7832" t="s">
        <v>248</v>
      </c>
      <c r="K7832" t="s">
        <v>249</v>
      </c>
      <c r="L7832">
        <v>5</v>
      </c>
      <c r="M7832" t="s">
        <v>26946</v>
      </c>
      <c r="N7832" t="s">
        <v>24245</v>
      </c>
      <c r="O7832" t="s">
        <v>46</v>
      </c>
      <c r="P7832" t="s">
        <v>46</v>
      </c>
      <c r="Y7832" t="s">
        <v>26947</v>
      </c>
    </row>
    <row r="7833" spans="1:25">
      <c r="A7833" t="s">
        <v>26948</v>
      </c>
      <c r="B7833" t="s">
        <v>26949</v>
      </c>
      <c r="D7833" t="s">
        <v>40</v>
      </c>
      <c r="E7833" t="s">
        <v>41</v>
      </c>
      <c r="J7833" t="s">
        <v>248</v>
      </c>
      <c r="K7833" t="s">
        <v>249</v>
      </c>
      <c r="L7833">
        <v>5</v>
      </c>
      <c r="M7833" t="s">
        <v>26950</v>
      </c>
      <c r="N7833" t="s">
        <v>752</v>
      </c>
      <c r="O7833" t="s">
        <v>46</v>
      </c>
      <c r="P7833" t="s">
        <v>46</v>
      </c>
      <c r="Y7833" t="s">
        <v>26951</v>
      </c>
    </row>
    <row r="7834" spans="1:25">
      <c r="A7834" t="s">
        <v>26952</v>
      </c>
      <c r="B7834" t="s">
        <v>26953</v>
      </c>
      <c r="D7834" t="s">
        <v>40</v>
      </c>
      <c r="E7834" t="s">
        <v>41</v>
      </c>
      <c r="J7834" t="s">
        <v>248</v>
      </c>
      <c r="K7834" t="s">
        <v>249</v>
      </c>
      <c r="L7834">
        <v>5</v>
      </c>
      <c r="M7834" t="s">
        <v>26954</v>
      </c>
      <c r="N7834" t="s">
        <v>310</v>
      </c>
      <c r="O7834" t="s">
        <v>46</v>
      </c>
      <c r="P7834" t="s">
        <v>46</v>
      </c>
      <c r="Y7834" t="s">
        <v>26955</v>
      </c>
    </row>
    <row r="7835" spans="1:25">
      <c r="A7835" t="s">
        <v>26956</v>
      </c>
      <c r="B7835" t="s">
        <v>26957</v>
      </c>
      <c r="D7835" t="s">
        <v>40</v>
      </c>
      <c r="E7835" t="s">
        <v>41</v>
      </c>
      <c r="J7835" t="s">
        <v>23219</v>
      </c>
      <c r="K7835" t="s">
        <v>23220</v>
      </c>
      <c r="L7835">
        <v>3</v>
      </c>
      <c r="M7835" t="s">
        <v>26958</v>
      </c>
      <c r="N7835" t="s">
        <v>23374</v>
      </c>
      <c r="O7835" t="s">
        <v>46</v>
      </c>
      <c r="P7835" t="s">
        <v>46</v>
      </c>
      <c r="Y7835" t="s">
        <v>26959</v>
      </c>
    </row>
    <row r="7836" spans="1:25">
      <c r="A7836" t="s">
        <v>26960</v>
      </c>
      <c r="B7836" t="s">
        <v>26961</v>
      </c>
      <c r="D7836" t="s">
        <v>40</v>
      </c>
      <c r="E7836" t="s">
        <v>41</v>
      </c>
      <c r="J7836" t="s">
        <v>248</v>
      </c>
      <c r="K7836" t="s">
        <v>249</v>
      </c>
      <c r="L7836">
        <v>5</v>
      </c>
      <c r="M7836" t="s">
        <v>26962</v>
      </c>
      <c r="N7836" t="s">
        <v>24240</v>
      </c>
      <c r="O7836" t="s">
        <v>46</v>
      </c>
      <c r="P7836" t="s">
        <v>46</v>
      </c>
      <c r="Y7836" t="s">
        <v>26963</v>
      </c>
    </row>
    <row r="7837" spans="1:25">
      <c r="A7837" t="s">
        <v>26964</v>
      </c>
      <c r="B7837" t="s">
        <v>26965</v>
      </c>
      <c r="D7837" t="s">
        <v>40</v>
      </c>
      <c r="E7837" t="s">
        <v>41</v>
      </c>
      <c r="J7837" t="s">
        <v>248</v>
      </c>
      <c r="K7837" t="s">
        <v>249</v>
      </c>
      <c r="L7837">
        <v>5</v>
      </c>
      <c r="M7837" t="s">
        <v>26966</v>
      </c>
      <c r="N7837" t="s">
        <v>53</v>
      </c>
      <c r="O7837" t="s">
        <v>46</v>
      </c>
      <c r="P7837" t="s">
        <v>46</v>
      </c>
      <c r="Y7837" t="s">
        <v>26967</v>
      </c>
    </row>
    <row r="7838" spans="1:25">
      <c r="A7838" t="s">
        <v>26968</v>
      </c>
      <c r="B7838" t="s">
        <v>26969</v>
      </c>
      <c r="D7838" t="s">
        <v>40</v>
      </c>
      <c r="E7838" t="s">
        <v>41</v>
      </c>
      <c r="J7838" t="s">
        <v>12440</v>
      </c>
      <c r="K7838" t="s">
        <v>12441</v>
      </c>
      <c r="L7838">
        <v>6</v>
      </c>
      <c r="M7838" t="s">
        <v>26970</v>
      </c>
      <c r="N7838" t="s">
        <v>64</v>
      </c>
      <c r="O7838" t="s">
        <v>46</v>
      </c>
      <c r="P7838" t="s">
        <v>46</v>
      </c>
      <c r="Y7838" t="s">
        <v>26971</v>
      </c>
    </row>
    <row r="7839" spans="1:25">
      <c r="A7839" t="s">
        <v>26972</v>
      </c>
      <c r="B7839" t="s">
        <v>26973</v>
      </c>
      <c r="D7839" t="s">
        <v>40</v>
      </c>
      <c r="E7839" t="s">
        <v>41</v>
      </c>
      <c r="J7839" t="s">
        <v>248</v>
      </c>
      <c r="K7839" t="s">
        <v>249</v>
      </c>
      <c r="L7839">
        <v>5</v>
      </c>
      <c r="M7839" t="s">
        <v>26974</v>
      </c>
      <c r="N7839" t="s">
        <v>1276</v>
      </c>
      <c r="O7839" t="s">
        <v>46</v>
      </c>
      <c r="P7839" t="s">
        <v>46</v>
      </c>
      <c r="Y7839" t="s">
        <v>26975</v>
      </c>
    </row>
    <row r="7840" spans="1:25">
      <c r="A7840" t="s">
        <v>26976</v>
      </c>
      <c r="B7840" t="s">
        <v>26977</v>
      </c>
      <c r="D7840" t="s">
        <v>40</v>
      </c>
      <c r="E7840" t="s">
        <v>41</v>
      </c>
      <c r="J7840" t="s">
        <v>1142</v>
      </c>
      <c r="K7840" t="s">
        <v>1143</v>
      </c>
      <c r="L7840">
        <v>5</v>
      </c>
      <c r="M7840" t="s">
        <v>26978</v>
      </c>
      <c r="N7840" t="s">
        <v>310</v>
      </c>
      <c r="O7840" t="s">
        <v>46</v>
      </c>
      <c r="P7840" t="s">
        <v>46</v>
      </c>
      <c r="Y7840" t="s">
        <v>26979</v>
      </c>
    </row>
    <row r="7841" spans="1:25">
      <c r="A7841" t="s">
        <v>26980</v>
      </c>
      <c r="B7841" t="s">
        <v>26981</v>
      </c>
      <c r="D7841" t="s">
        <v>40</v>
      </c>
      <c r="E7841" t="s">
        <v>41</v>
      </c>
      <c r="J7841" t="s">
        <v>6179</v>
      </c>
      <c r="K7841" t="s">
        <v>6180</v>
      </c>
      <c r="L7841">
        <v>5</v>
      </c>
      <c r="M7841" t="s">
        <v>26982</v>
      </c>
      <c r="N7841" t="s">
        <v>1550</v>
      </c>
      <c r="O7841" t="s">
        <v>46</v>
      </c>
      <c r="P7841" t="s">
        <v>46</v>
      </c>
      <c r="Y7841" t="s">
        <v>26983</v>
      </c>
    </row>
    <row r="7842" spans="1:25">
      <c r="A7842" t="s">
        <v>26984</v>
      </c>
      <c r="B7842" t="s">
        <v>26985</v>
      </c>
      <c r="D7842" t="s">
        <v>40</v>
      </c>
      <c r="E7842" t="s">
        <v>41</v>
      </c>
      <c r="J7842" t="s">
        <v>22447</v>
      </c>
      <c r="K7842" t="s">
        <v>22448</v>
      </c>
      <c r="L7842">
        <v>5</v>
      </c>
      <c r="M7842" t="s">
        <v>26986</v>
      </c>
      <c r="N7842" t="s">
        <v>24387</v>
      </c>
      <c r="O7842" t="s">
        <v>46</v>
      </c>
      <c r="P7842" t="s">
        <v>46</v>
      </c>
      <c r="Y7842" t="s">
        <v>26987</v>
      </c>
    </row>
    <row r="7843" spans="1:25">
      <c r="A7843" t="s">
        <v>26988</v>
      </c>
      <c r="B7843" t="s">
        <v>26989</v>
      </c>
      <c r="D7843" t="s">
        <v>40</v>
      </c>
      <c r="E7843" t="s">
        <v>41</v>
      </c>
      <c r="J7843" t="s">
        <v>248</v>
      </c>
      <c r="K7843" t="s">
        <v>249</v>
      </c>
      <c r="L7843">
        <v>5</v>
      </c>
      <c r="M7843" t="s">
        <v>26990</v>
      </c>
      <c r="N7843" t="s">
        <v>53</v>
      </c>
      <c r="O7843" t="s">
        <v>46</v>
      </c>
      <c r="P7843" t="s">
        <v>46</v>
      </c>
      <c r="Y7843" t="s">
        <v>26991</v>
      </c>
    </row>
    <row r="7844" spans="1:25">
      <c r="A7844" t="s">
        <v>26992</v>
      </c>
      <c r="B7844" t="s">
        <v>26993</v>
      </c>
      <c r="D7844" t="s">
        <v>40</v>
      </c>
      <c r="E7844" t="s">
        <v>41</v>
      </c>
      <c r="J7844" t="s">
        <v>6255</v>
      </c>
      <c r="K7844" t="s">
        <v>6256</v>
      </c>
      <c r="L7844">
        <v>5</v>
      </c>
      <c r="M7844" t="s">
        <v>26994</v>
      </c>
      <c r="N7844" t="s">
        <v>142</v>
      </c>
      <c r="O7844" t="s">
        <v>46</v>
      </c>
      <c r="P7844" t="s">
        <v>46</v>
      </c>
      <c r="Y7844" t="s">
        <v>26995</v>
      </c>
    </row>
    <row r="7845" spans="1:25">
      <c r="A7845" t="s">
        <v>26996</v>
      </c>
      <c r="B7845" t="s">
        <v>26997</v>
      </c>
      <c r="D7845" t="s">
        <v>40</v>
      </c>
      <c r="E7845" t="s">
        <v>41</v>
      </c>
      <c r="J7845" t="s">
        <v>911</v>
      </c>
      <c r="K7845" t="s">
        <v>912</v>
      </c>
      <c r="L7845">
        <v>5</v>
      </c>
      <c r="M7845" t="s">
        <v>26998</v>
      </c>
      <c r="N7845" t="s">
        <v>2346</v>
      </c>
      <c r="O7845" t="s">
        <v>46</v>
      </c>
      <c r="P7845" t="s">
        <v>46</v>
      </c>
      <c r="Y7845" t="s">
        <v>26999</v>
      </c>
    </row>
    <row r="7846" spans="1:25">
      <c r="A7846" t="s">
        <v>27000</v>
      </c>
      <c r="B7846" t="s">
        <v>27001</v>
      </c>
      <c r="D7846" t="s">
        <v>40</v>
      </c>
      <c r="E7846" t="s">
        <v>41</v>
      </c>
      <c r="J7846" t="s">
        <v>248</v>
      </c>
      <c r="K7846" t="s">
        <v>249</v>
      </c>
      <c r="L7846">
        <v>5</v>
      </c>
      <c r="M7846" t="s">
        <v>27002</v>
      </c>
      <c r="N7846" t="s">
        <v>440</v>
      </c>
      <c r="O7846" t="s">
        <v>46</v>
      </c>
      <c r="P7846" t="s">
        <v>46</v>
      </c>
      <c r="Y7846" t="s">
        <v>27003</v>
      </c>
    </row>
    <row r="7847" spans="1:25">
      <c r="A7847" t="s">
        <v>27004</v>
      </c>
      <c r="B7847" t="s">
        <v>27005</v>
      </c>
      <c r="D7847" t="s">
        <v>40</v>
      </c>
      <c r="E7847" t="s">
        <v>41</v>
      </c>
      <c r="J7847" t="s">
        <v>1142</v>
      </c>
      <c r="K7847" t="s">
        <v>1143</v>
      </c>
      <c r="L7847">
        <v>5</v>
      </c>
      <c r="M7847" t="s">
        <v>27006</v>
      </c>
      <c r="N7847" t="s">
        <v>1397</v>
      </c>
      <c r="O7847" t="s">
        <v>46</v>
      </c>
      <c r="P7847" t="s">
        <v>46</v>
      </c>
      <c r="Y7847" t="s">
        <v>27007</v>
      </c>
    </row>
    <row r="7848" spans="1:25">
      <c r="A7848" t="s">
        <v>27008</v>
      </c>
      <c r="B7848" t="s">
        <v>27009</v>
      </c>
      <c r="D7848" t="s">
        <v>40</v>
      </c>
      <c r="E7848" t="s">
        <v>41</v>
      </c>
      <c r="J7848" t="s">
        <v>248</v>
      </c>
      <c r="K7848" t="s">
        <v>249</v>
      </c>
      <c r="L7848">
        <v>5</v>
      </c>
      <c r="M7848" t="s">
        <v>27010</v>
      </c>
      <c r="N7848" t="s">
        <v>142</v>
      </c>
      <c r="O7848" t="s">
        <v>46</v>
      </c>
      <c r="P7848" t="s">
        <v>46</v>
      </c>
      <c r="Y7848" t="s">
        <v>27011</v>
      </c>
    </row>
    <row r="7849" spans="1:25">
      <c r="A7849" t="s">
        <v>27012</v>
      </c>
      <c r="B7849" t="s">
        <v>27013</v>
      </c>
      <c r="D7849" t="s">
        <v>40</v>
      </c>
      <c r="E7849" t="s">
        <v>41</v>
      </c>
      <c r="J7849" t="s">
        <v>248</v>
      </c>
      <c r="K7849" t="s">
        <v>249</v>
      </c>
      <c r="L7849">
        <v>5</v>
      </c>
      <c r="M7849" t="s">
        <v>27010</v>
      </c>
      <c r="N7849" t="s">
        <v>53</v>
      </c>
      <c r="O7849" t="s">
        <v>46</v>
      </c>
      <c r="P7849" t="s">
        <v>46</v>
      </c>
      <c r="Y7849" t="s">
        <v>27014</v>
      </c>
    </row>
    <row r="7850" spans="1:25">
      <c r="A7850" t="s">
        <v>27015</v>
      </c>
      <c r="B7850" t="s">
        <v>27016</v>
      </c>
      <c r="D7850" t="s">
        <v>40</v>
      </c>
      <c r="E7850" t="s">
        <v>41</v>
      </c>
      <c r="J7850" t="s">
        <v>248</v>
      </c>
      <c r="K7850" t="s">
        <v>249</v>
      </c>
      <c r="L7850">
        <v>5</v>
      </c>
      <c r="M7850" t="s">
        <v>27010</v>
      </c>
      <c r="N7850" t="s">
        <v>178</v>
      </c>
      <c r="O7850" t="s">
        <v>46</v>
      </c>
      <c r="P7850" t="s">
        <v>46</v>
      </c>
      <c r="Y7850" t="s">
        <v>27017</v>
      </c>
    </row>
    <row r="7851" spans="1:25">
      <c r="A7851" t="s">
        <v>27018</v>
      </c>
      <c r="B7851" t="s">
        <v>27019</v>
      </c>
      <c r="D7851" t="s">
        <v>40</v>
      </c>
      <c r="E7851" t="s">
        <v>41</v>
      </c>
      <c r="J7851" t="s">
        <v>11802</v>
      </c>
      <c r="K7851" t="s">
        <v>11803</v>
      </c>
      <c r="L7851">
        <v>5</v>
      </c>
      <c r="M7851" t="s">
        <v>27020</v>
      </c>
      <c r="N7851" t="s">
        <v>1550</v>
      </c>
      <c r="O7851" t="s">
        <v>46</v>
      </c>
      <c r="P7851" t="s">
        <v>46</v>
      </c>
      <c r="Y7851" t="s">
        <v>27021</v>
      </c>
    </row>
    <row r="7852" spans="1:25">
      <c r="A7852" t="s">
        <v>27022</v>
      </c>
      <c r="B7852" t="s">
        <v>27023</v>
      </c>
      <c r="D7852" t="s">
        <v>40</v>
      </c>
      <c r="E7852" t="s">
        <v>41</v>
      </c>
      <c r="J7852" t="s">
        <v>248</v>
      </c>
      <c r="K7852" t="s">
        <v>249</v>
      </c>
      <c r="L7852">
        <v>5</v>
      </c>
      <c r="M7852" t="s">
        <v>27024</v>
      </c>
      <c r="N7852" t="s">
        <v>142</v>
      </c>
      <c r="O7852" t="s">
        <v>46</v>
      </c>
      <c r="P7852" t="s">
        <v>46</v>
      </c>
      <c r="Y7852" t="s">
        <v>27025</v>
      </c>
    </row>
    <row r="7853" spans="1:25">
      <c r="A7853" t="s">
        <v>27026</v>
      </c>
      <c r="B7853" t="s">
        <v>27027</v>
      </c>
      <c r="D7853" t="s">
        <v>40</v>
      </c>
      <c r="E7853" t="s">
        <v>41</v>
      </c>
      <c r="J7853" t="s">
        <v>1554</v>
      </c>
      <c r="K7853" t="s">
        <v>1555</v>
      </c>
      <c r="L7853">
        <v>5</v>
      </c>
      <c r="M7853" t="s">
        <v>27028</v>
      </c>
      <c r="N7853" t="s">
        <v>1478</v>
      </c>
      <c r="O7853" t="s">
        <v>46</v>
      </c>
      <c r="P7853" t="s">
        <v>46</v>
      </c>
      <c r="Y7853" t="s">
        <v>27029</v>
      </c>
    </row>
    <row r="7854" spans="1:25">
      <c r="A7854" t="s">
        <v>27030</v>
      </c>
      <c r="B7854" t="s">
        <v>27031</v>
      </c>
      <c r="D7854" t="s">
        <v>40</v>
      </c>
      <c r="E7854" t="s">
        <v>41</v>
      </c>
      <c r="J7854" t="s">
        <v>911</v>
      </c>
      <c r="K7854" t="s">
        <v>912</v>
      </c>
      <c r="L7854">
        <v>5</v>
      </c>
      <c r="M7854" t="s">
        <v>27032</v>
      </c>
      <c r="N7854" t="s">
        <v>756</v>
      </c>
      <c r="O7854" t="s">
        <v>46</v>
      </c>
      <c r="P7854" t="s">
        <v>46</v>
      </c>
      <c r="Y7854" t="s">
        <v>27033</v>
      </c>
    </row>
    <row r="7855" spans="1:25">
      <c r="A7855" t="s">
        <v>27034</v>
      </c>
      <c r="B7855" t="s">
        <v>27035</v>
      </c>
      <c r="D7855" t="s">
        <v>40</v>
      </c>
      <c r="E7855" t="s">
        <v>41</v>
      </c>
      <c r="J7855" t="s">
        <v>6255</v>
      </c>
      <c r="K7855" t="s">
        <v>6256</v>
      </c>
      <c r="L7855">
        <v>5</v>
      </c>
      <c r="M7855" t="s">
        <v>27036</v>
      </c>
      <c r="N7855" t="s">
        <v>1229</v>
      </c>
      <c r="O7855" t="s">
        <v>46</v>
      </c>
      <c r="P7855" t="s">
        <v>46</v>
      </c>
      <c r="Y7855" t="s">
        <v>27037</v>
      </c>
    </row>
    <row r="7856" spans="1:25">
      <c r="A7856" t="s">
        <v>27038</v>
      </c>
      <c r="B7856" t="s">
        <v>27039</v>
      </c>
      <c r="D7856" t="s">
        <v>40</v>
      </c>
      <c r="E7856" t="s">
        <v>41</v>
      </c>
      <c r="J7856" t="s">
        <v>1142</v>
      </c>
      <c r="K7856" t="s">
        <v>1143</v>
      </c>
      <c r="L7856">
        <v>5</v>
      </c>
      <c r="M7856" t="s">
        <v>27040</v>
      </c>
      <c r="N7856" t="s">
        <v>310</v>
      </c>
      <c r="O7856" t="s">
        <v>46</v>
      </c>
      <c r="P7856" t="s">
        <v>46</v>
      </c>
      <c r="Y7856" t="s">
        <v>27041</v>
      </c>
    </row>
    <row r="7857" spans="1:25">
      <c r="A7857" t="s">
        <v>27042</v>
      </c>
      <c r="B7857" t="s">
        <v>27043</v>
      </c>
      <c r="D7857" t="s">
        <v>40</v>
      </c>
      <c r="E7857" t="s">
        <v>41</v>
      </c>
      <c r="J7857" t="s">
        <v>1554</v>
      </c>
      <c r="K7857" t="s">
        <v>1555</v>
      </c>
      <c r="L7857">
        <v>5</v>
      </c>
      <c r="M7857" t="s">
        <v>27044</v>
      </c>
      <c r="N7857" t="s">
        <v>24245</v>
      </c>
      <c r="O7857" t="s">
        <v>46</v>
      </c>
      <c r="P7857" t="s">
        <v>46</v>
      </c>
      <c r="Y7857" t="s">
        <v>27045</v>
      </c>
    </row>
    <row r="7858" spans="1:25">
      <c r="A7858" t="s">
        <v>27046</v>
      </c>
      <c r="B7858" t="s">
        <v>27047</v>
      </c>
      <c r="D7858" t="s">
        <v>40</v>
      </c>
      <c r="E7858" t="s">
        <v>41</v>
      </c>
      <c r="J7858" t="s">
        <v>599</v>
      </c>
      <c r="K7858" t="s">
        <v>600</v>
      </c>
      <c r="L7858">
        <v>5</v>
      </c>
      <c r="M7858" t="s">
        <v>27048</v>
      </c>
      <c r="N7858" t="s">
        <v>1276</v>
      </c>
      <c r="O7858" t="s">
        <v>46</v>
      </c>
      <c r="P7858" t="s">
        <v>46</v>
      </c>
      <c r="Y7858" t="s">
        <v>27049</v>
      </c>
    </row>
    <row r="7859" spans="1:25">
      <c r="A7859" t="s">
        <v>27050</v>
      </c>
      <c r="B7859" t="s">
        <v>27051</v>
      </c>
      <c r="D7859" t="s">
        <v>40</v>
      </c>
      <c r="E7859" t="s">
        <v>41</v>
      </c>
      <c r="J7859" t="s">
        <v>248</v>
      </c>
      <c r="K7859" t="s">
        <v>249</v>
      </c>
      <c r="L7859">
        <v>5</v>
      </c>
      <c r="M7859" t="s">
        <v>27052</v>
      </c>
      <c r="N7859" t="s">
        <v>1478</v>
      </c>
      <c r="O7859" t="s">
        <v>46</v>
      </c>
      <c r="P7859" t="s">
        <v>46</v>
      </c>
      <c r="Y7859" t="s">
        <v>27053</v>
      </c>
    </row>
    <row r="7860" spans="1:25">
      <c r="A7860" t="s">
        <v>27054</v>
      </c>
      <c r="B7860" t="s">
        <v>27055</v>
      </c>
      <c r="D7860" t="s">
        <v>40</v>
      </c>
      <c r="E7860" t="s">
        <v>41</v>
      </c>
      <c r="J7860" t="s">
        <v>248</v>
      </c>
      <c r="K7860" t="s">
        <v>249</v>
      </c>
      <c r="L7860">
        <v>4</v>
      </c>
      <c r="M7860" t="s">
        <v>27056</v>
      </c>
      <c r="N7860" t="s">
        <v>1397</v>
      </c>
      <c r="O7860" t="s">
        <v>46</v>
      </c>
      <c r="P7860" t="s">
        <v>46</v>
      </c>
      <c r="Y7860" t="s">
        <v>27057</v>
      </c>
    </row>
    <row r="7861" spans="1:25">
      <c r="A7861" t="s">
        <v>27058</v>
      </c>
      <c r="B7861" t="s">
        <v>27059</v>
      </c>
      <c r="D7861" t="s">
        <v>40</v>
      </c>
      <c r="E7861" t="s">
        <v>41</v>
      </c>
      <c r="J7861" t="s">
        <v>1554</v>
      </c>
      <c r="K7861" t="s">
        <v>1555</v>
      </c>
      <c r="L7861">
        <v>4</v>
      </c>
      <c r="M7861" t="s">
        <v>27060</v>
      </c>
      <c r="N7861" t="s">
        <v>1024</v>
      </c>
      <c r="O7861" t="s">
        <v>46</v>
      </c>
      <c r="P7861" t="s">
        <v>46</v>
      </c>
      <c r="Y7861" t="s">
        <v>27061</v>
      </c>
    </row>
    <row r="7862" spans="1:25">
      <c r="A7862" t="s">
        <v>27062</v>
      </c>
      <c r="B7862" t="s">
        <v>27063</v>
      </c>
      <c r="D7862" t="s">
        <v>40</v>
      </c>
      <c r="E7862" t="s">
        <v>41</v>
      </c>
      <c r="J7862" t="s">
        <v>1554</v>
      </c>
      <c r="K7862" t="s">
        <v>1555</v>
      </c>
      <c r="L7862">
        <v>4</v>
      </c>
      <c r="M7862" t="s">
        <v>27064</v>
      </c>
      <c r="N7862" t="s">
        <v>1392</v>
      </c>
      <c r="O7862" t="s">
        <v>46</v>
      </c>
      <c r="P7862" t="s">
        <v>46</v>
      </c>
      <c r="Y7862" t="s">
        <v>27065</v>
      </c>
    </row>
    <row r="7863" spans="1:25">
      <c r="A7863" t="s">
        <v>27066</v>
      </c>
      <c r="B7863" t="s">
        <v>27067</v>
      </c>
      <c r="D7863" t="s">
        <v>40</v>
      </c>
      <c r="E7863" t="s">
        <v>41</v>
      </c>
      <c r="J7863" t="s">
        <v>599</v>
      </c>
      <c r="K7863" t="s">
        <v>600</v>
      </c>
      <c r="L7863">
        <v>5</v>
      </c>
      <c r="M7863" t="s">
        <v>27068</v>
      </c>
      <c r="N7863" t="s">
        <v>509</v>
      </c>
      <c r="O7863" t="s">
        <v>46</v>
      </c>
      <c r="P7863" t="s">
        <v>46</v>
      </c>
      <c r="Y7863" t="s">
        <v>27069</v>
      </c>
    </row>
    <row r="7864" spans="1:25">
      <c r="A7864" t="s">
        <v>27070</v>
      </c>
      <c r="B7864" t="s">
        <v>27071</v>
      </c>
      <c r="D7864" t="s">
        <v>40</v>
      </c>
      <c r="E7864" t="s">
        <v>41</v>
      </c>
      <c r="J7864" t="s">
        <v>139</v>
      </c>
      <c r="K7864" t="s">
        <v>140</v>
      </c>
      <c r="L7864">
        <v>7</v>
      </c>
      <c r="M7864" t="s">
        <v>27072</v>
      </c>
      <c r="N7864" t="s">
        <v>1276</v>
      </c>
      <c r="O7864" t="s">
        <v>46</v>
      </c>
      <c r="P7864" t="s">
        <v>46</v>
      </c>
      <c r="Y7864" t="s">
        <v>27073</v>
      </c>
    </row>
    <row r="7865" spans="1:25">
      <c r="A7865" t="s">
        <v>27074</v>
      </c>
      <c r="B7865" t="s">
        <v>27075</v>
      </c>
      <c r="D7865" t="s">
        <v>40</v>
      </c>
      <c r="E7865" t="s">
        <v>41</v>
      </c>
      <c r="J7865" t="s">
        <v>12440</v>
      </c>
      <c r="K7865" t="s">
        <v>12441</v>
      </c>
      <c r="L7865">
        <v>7</v>
      </c>
      <c r="M7865" t="s">
        <v>27076</v>
      </c>
      <c r="N7865" t="s">
        <v>64</v>
      </c>
      <c r="O7865" t="s">
        <v>46</v>
      </c>
      <c r="P7865" t="s">
        <v>46</v>
      </c>
      <c r="Y7865" t="s">
        <v>27077</v>
      </c>
    </row>
    <row r="7866" spans="1:25">
      <c r="A7866" t="s">
        <v>27078</v>
      </c>
      <c r="B7866" t="s">
        <v>27079</v>
      </c>
      <c r="D7866" t="s">
        <v>40</v>
      </c>
      <c r="E7866" t="s">
        <v>41</v>
      </c>
      <c r="J7866" t="s">
        <v>248</v>
      </c>
      <c r="K7866" t="s">
        <v>249</v>
      </c>
      <c r="L7866">
        <v>5</v>
      </c>
      <c r="M7866" t="s">
        <v>27080</v>
      </c>
      <c r="N7866" t="s">
        <v>24227</v>
      </c>
      <c r="O7866" t="s">
        <v>46</v>
      </c>
      <c r="P7866" t="s">
        <v>46</v>
      </c>
      <c r="Y7866" t="s">
        <v>27081</v>
      </c>
    </row>
    <row r="7867" spans="1:25">
      <c r="A7867" t="s">
        <v>27082</v>
      </c>
      <c r="B7867" t="s">
        <v>27083</v>
      </c>
      <c r="D7867" t="s">
        <v>40</v>
      </c>
      <c r="E7867" t="s">
        <v>41</v>
      </c>
      <c r="J7867" t="s">
        <v>248</v>
      </c>
      <c r="K7867" t="s">
        <v>249</v>
      </c>
      <c r="L7867">
        <v>4</v>
      </c>
      <c r="M7867" t="s">
        <v>27084</v>
      </c>
      <c r="N7867" t="s">
        <v>752</v>
      </c>
      <c r="O7867" t="s">
        <v>46</v>
      </c>
      <c r="P7867" t="s">
        <v>46</v>
      </c>
      <c r="Y7867" t="s">
        <v>27085</v>
      </c>
    </row>
    <row r="7868" spans="1:25">
      <c r="A7868" t="s">
        <v>27086</v>
      </c>
      <c r="B7868" t="s">
        <v>27087</v>
      </c>
      <c r="D7868" t="s">
        <v>40</v>
      </c>
      <c r="E7868" t="s">
        <v>41</v>
      </c>
      <c r="J7868" t="s">
        <v>248</v>
      </c>
      <c r="K7868" t="s">
        <v>249</v>
      </c>
      <c r="L7868">
        <v>4</v>
      </c>
      <c r="M7868" t="s">
        <v>27088</v>
      </c>
      <c r="N7868" t="s">
        <v>440</v>
      </c>
      <c r="O7868" t="s">
        <v>46</v>
      </c>
      <c r="P7868" t="s">
        <v>46</v>
      </c>
      <c r="Y7868" t="s">
        <v>27089</v>
      </c>
    </row>
    <row r="7869" spans="1:25">
      <c r="A7869" t="s">
        <v>27090</v>
      </c>
      <c r="B7869" t="s">
        <v>27091</v>
      </c>
      <c r="D7869" t="s">
        <v>40</v>
      </c>
      <c r="E7869" t="s">
        <v>41</v>
      </c>
      <c r="J7869" t="s">
        <v>6255</v>
      </c>
      <c r="K7869" t="s">
        <v>6256</v>
      </c>
      <c r="L7869">
        <v>4</v>
      </c>
      <c r="M7869" t="s">
        <v>27088</v>
      </c>
      <c r="N7869" t="s">
        <v>1814</v>
      </c>
      <c r="O7869" t="s">
        <v>46</v>
      </c>
      <c r="P7869" t="s">
        <v>46</v>
      </c>
      <c r="Y7869" t="s">
        <v>27092</v>
      </c>
    </row>
    <row r="7870" spans="1:25">
      <c r="A7870" t="s">
        <v>27093</v>
      </c>
      <c r="B7870" t="s">
        <v>27094</v>
      </c>
      <c r="D7870" t="s">
        <v>40</v>
      </c>
      <c r="E7870" t="s">
        <v>41</v>
      </c>
      <c r="J7870" t="s">
        <v>248</v>
      </c>
      <c r="K7870" t="s">
        <v>249</v>
      </c>
      <c r="L7870">
        <v>4</v>
      </c>
      <c r="M7870" t="s">
        <v>27095</v>
      </c>
      <c r="N7870" t="s">
        <v>53</v>
      </c>
      <c r="O7870" t="s">
        <v>46</v>
      </c>
      <c r="P7870" t="s">
        <v>46</v>
      </c>
      <c r="Y7870" t="s">
        <v>27096</v>
      </c>
    </row>
    <row r="7871" spans="1:25">
      <c r="A7871" t="s">
        <v>27097</v>
      </c>
      <c r="B7871" t="s">
        <v>27098</v>
      </c>
      <c r="D7871" t="s">
        <v>40</v>
      </c>
      <c r="E7871" t="s">
        <v>41</v>
      </c>
      <c r="J7871" t="s">
        <v>248</v>
      </c>
      <c r="K7871" t="s">
        <v>249</v>
      </c>
      <c r="L7871">
        <v>4</v>
      </c>
      <c r="M7871" t="s">
        <v>27099</v>
      </c>
      <c r="N7871" t="s">
        <v>310</v>
      </c>
      <c r="O7871" t="s">
        <v>46</v>
      </c>
      <c r="P7871" t="s">
        <v>46</v>
      </c>
      <c r="Y7871" t="s">
        <v>27100</v>
      </c>
    </row>
    <row r="7872" spans="1:25">
      <c r="A7872" t="s">
        <v>27101</v>
      </c>
      <c r="B7872" t="s">
        <v>27102</v>
      </c>
      <c r="D7872" t="s">
        <v>40</v>
      </c>
      <c r="E7872" t="s">
        <v>41</v>
      </c>
      <c r="J7872" t="s">
        <v>11802</v>
      </c>
      <c r="K7872" t="s">
        <v>11803</v>
      </c>
      <c r="L7872">
        <v>4</v>
      </c>
      <c r="M7872" t="s">
        <v>27099</v>
      </c>
      <c r="N7872" t="s">
        <v>2346</v>
      </c>
      <c r="O7872" t="s">
        <v>46</v>
      </c>
      <c r="P7872" t="s">
        <v>46</v>
      </c>
      <c r="Y7872" t="s">
        <v>27103</v>
      </c>
    </row>
    <row r="7873" spans="1:25">
      <c r="A7873" t="s">
        <v>27104</v>
      </c>
      <c r="B7873" t="s">
        <v>27105</v>
      </c>
      <c r="D7873" t="s">
        <v>40</v>
      </c>
      <c r="E7873" t="s">
        <v>41</v>
      </c>
      <c r="J7873" t="s">
        <v>248</v>
      </c>
      <c r="K7873" t="s">
        <v>249</v>
      </c>
      <c r="L7873">
        <v>4</v>
      </c>
      <c r="M7873" t="s">
        <v>27106</v>
      </c>
      <c r="N7873" t="s">
        <v>24227</v>
      </c>
      <c r="O7873" t="s">
        <v>46</v>
      </c>
      <c r="P7873" t="s">
        <v>46</v>
      </c>
      <c r="Y7873" t="s">
        <v>27107</v>
      </c>
    </row>
    <row r="7874" spans="1:25">
      <c r="A7874" t="s">
        <v>27108</v>
      </c>
      <c r="B7874" t="s">
        <v>27109</v>
      </c>
      <c r="D7874" t="s">
        <v>40</v>
      </c>
      <c r="E7874" t="s">
        <v>41</v>
      </c>
      <c r="J7874" t="s">
        <v>1142</v>
      </c>
      <c r="K7874" t="s">
        <v>1143</v>
      </c>
      <c r="L7874">
        <v>4</v>
      </c>
      <c r="M7874" t="s">
        <v>27110</v>
      </c>
      <c r="N7874" t="s">
        <v>617</v>
      </c>
      <c r="O7874" t="s">
        <v>46</v>
      </c>
      <c r="P7874" t="s">
        <v>46</v>
      </c>
      <c r="Y7874" t="s">
        <v>27111</v>
      </c>
    </row>
    <row r="7875" spans="1:25">
      <c r="A7875" t="s">
        <v>27112</v>
      </c>
      <c r="B7875" t="s">
        <v>27113</v>
      </c>
      <c r="D7875" t="s">
        <v>40</v>
      </c>
      <c r="E7875" t="s">
        <v>41</v>
      </c>
      <c r="J7875" t="s">
        <v>248</v>
      </c>
      <c r="K7875" t="s">
        <v>249</v>
      </c>
      <c r="L7875">
        <v>5</v>
      </c>
      <c r="M7875" t="s">
        <v>27114</v>
      </c>
      <c r="N7875" t="s">
        <v>310</v>
      </c>
      <c r="O7875" t="s">
        <v>46</v>
      </c>
      <c r="P7875" t="s">
        <v>46</v>
      </c>
      <c r="Y7875" t="s">
        <v>27115</v>
      </c>
    </row>
    <row r="7876" spans="1:25">
      <c r="A7876" t="s">
        <v>27116</v>
      </c>
      <c r="B7876" t="s">
        <v>27117</v>
      </c>
      <c r="D7876" t="s">
        <v>40</v>
      </c>
      <c r="E7876" t="s">
        <v>41</v>
      </c>
      <c r="J7876" t="s">
        <v>248</v>
      </c>
      <c r="K7876" t="s">
        <v>249</v>
      </c>
      <c r="L7876">
        <v>6</v>
      </c>
      <c r="M7876" t="s">
        <v>27118</v>
      </c>
      <c r="N7876" t="s">
        <v>24245</v>
      </c>
      <c r="O7876" t="s">
        <v>46</v>
      </c>
      <c r="P7876" t="s">
        <v>46</v>
      </c>
      <c r="Y7876" t="s">
        <v>27119</v>
      </c>
    </row>
    <row r="7877" spans="1:25">
      <c r="A7877" t="s">
        <v>27120</v>
      </c>
      <c r="B7877" t="s">
        <v>27121</v>
      </c>
      <c r="D7877" t="s">
        <v>40</v>
      </c>
      <c r="E7877" t="s">
        <v>41</v>
      </c>
      <c r="J7877" t="s">
        <v>139</v>
      </c>
      <c r="K7877" t="s">
        <v>140</v>
      </c>
      <c r="L7877">
        <v>5</v>
      </c>
      <c r="M7877" t="s">
        <v>27122</v>
      </c>
      <c r="N7877" t="s">
        <v>24245</v>
      </c>
      <c r="O7877" t="s">
        <v>46</v>
      </c>
      <c r="P7877" t="s">
        <v>46</v>
      </c>
      <c r="Y7877" t="s">
        <v>27123</v>
      </c>
    </row>
    <row r="7878" spans="1:25">
      <c r="A7878" t="s">
        <v>27124</v>
      </c>
      <c r="B7878" t="s">
        <v>27125</v>
      </c>
      <c r="D7878" t="s">
        <v>40</v>
      </c>
      <c r="E7878" t="s">
        <v>41</v>
      </c>
      <c r="J7878" t="s">
        <v>139</v>
      </c>
      <c r="K7878" t="s">
        <v>140</v>
      </c>
      <c r="L7878">
        <v>5</v>
      </c>
      <c r="M7878" t="s">
        <v>27126</v>
      </c>
      <c r="N7878" t="s">
        <v>310</v>
      </c>
      <c r="O7878" t="s">
        <v>46</v>
      </c>
      <c r="P7878" t="s">
        <v>46</v>
      </c>
      <c r="Y7878" t="s">
        <v>27127</v>
      </c>
    </row>
    <row r="7879" spans="1:25">
      <c r="A7879" t="s">
        <v>27128</v>
      </c>
      <c r="B7879" t="s">
        <v>27129</v>
      </c>
      <c r="D7879" t="s">
        <v>40</v>
      </c>
      <c r="E7879" t="s">
        <v>41</v>
      </c>
      <c r="J7879" t="s">
        <v>248</v>
      </c>
      <c r="K7879" t="s">
        <v>249</v>
      </c>
      <c r="L7879">
        <v>5</v>
      </c>
      <c r="M7879" t="s">
        <v>27130</v>
      </c>
      <c r="N7879" t="s">
        <v>617</v>
      </c>
      <c r="O7879" t="s">
        <v>46</v>
      </c>
      <c r="P7879" t="s">
        <v>46</v>
      </c>
      <c r="Y7879" t="s">
        <v>27131</v>
      </c>
    </row>
    <row r="7880" spans="1:25">
      <c r="A7880" t="s">
        <v>27132</v>
      </c>
      <c r="B7880" t="s">
        <v>27133</v>
      </c>
      <c r="D7880" t="s">
        <v>40</v>
      </c>
      <c r="E7880" t="s">
        <v>41</v>
      </c>
      <c r="J7880" t="s">
        <v>6179</v>
      </c>
      <c r="K7880" t="s">
        <v>6180</v>
      </c>
      <c r="L7880">
        <v>5</v>
      </c>
      <c r="M7880" t="s">
        <v>27134</v>
      </c>
      <c r="N7880" t="s">
        <v>350</v>
      </c>
      <c r="O7880" t="s">
        <v>46</v>
      </c>
      <c r="P7880" t="s">
        <v>46</v>
      </c>
      <c r="Y7880" t="s">
        <v>27135</v>
      </c>
    </row>
    <row r="7881" spans="1:25">
      <c r="A7881" t="s">
        <v>27136</v>
      </c>
      <c r="B7881" t="s">
        <v>27137</v>
      </c>
      <c r="D7881" t="s">
        <v>40</v>
      </c>
      <c r="E7881" t="s">
        <v>41</v>
      </c>
      <c r="J7881" t="s">
        <v>1142</v>
      </c>
      <c r="K7881" t="s">
        <v>1143</v>
      </c>
      <c r="L7881">
        <v>5</v>
      </c>
      <c r="M7881" t="s">
        <v>27138</v>
      </c>
      <c r="N7881" t="s">
        <v>2621</v>
      </c>
      <c r="O7881" t="s">
        <v>46</v>
      </c>
      <c r="P7881" t="s">
        <v>46</v>
      </c>
      <c r="Y7881" t="s">
        <v>27139</v>
      </c>
    </row>
    <row r="7882" spans="1:25">
      <c r="A7882" t="s">
        <v>27140</v>
      </c>
      <c r="B7882" t="s">
        <v>27141</v>
      </c>
      <c r="D7882" t="s">
        <v>40</v>
      </c>
      <c r="E7882" t="s">
        <v>41</v>
      </c>
      <c r="J7882" t="s">
        <v>248</v>
      </c>
      <c r="K7882" t="s">
        <v>249</v>
      </c>
      <c r="L7882">
        <v>5</v>
      </c>
      <c r="M7882" t="s">
        <v>27142</v>
      </c>
      <c r="N7882" t="s">
        <v>1446</v>
      </c>
      <c r="O7882" t="s">
        <v>46</v>
      </c>
      <c r="P7882" t="s">
        <v>46</v>
      </c>
      <c r="Y7882" t="s">
        <v>27143</v>
      </c>
    </row>
    <row r="7883" spans="1:25">
      <c r="A7883" t="s">
        <v>27144</v>
      </c>
      <c r="B7883" t="s">
        <v>27145</v>
      </c>
      <c r="D7883" t="s">
        <v>40</v>
      </c>
      <c r="E7883" t="s">
        <v>41</v>
      </c>
      <c r="J7883" t="s">
        <v>6255</v>
      </c>
      <c r="K7883" t="s">
        <v>6256</v>
      </c>
      <c r="L7883">
        <v>5</v>
      </c>
      <c r="M7883" t="s">
        <v>27146</v>
      </c>
      <c r="N7883" t="s">
        <v>142</v>
      </c>
      <c r="O7883" t="s">
        <v>46</v>
      </c>
      <c r="P7883" t="s">
        <v>46</v>
      </c>
      <c r="Y7883" t="s">
        <v>27147</v>
      </c>
    </row>
    <row r="7884" spans="1:25">
      <c r="A7884" t="s">
        <v>27148</v>
      </c>
      <c r="B7884" t="s">
        <v>27149</v>
      </c>
      <c r="D7884" t="s">
        <v>40</v>
      </c>
      <c r="E7884" t="s">
        <v>41</v>
      </c>
      <c r="J7884" t="s">
        <v>248</v>
      </c>
      <c r="K7884" t="s">
        <v>249</v>
      </c>
      <c r="L7884">
        <v>5</v>
      </c>
      <c r="M7884" t="s">
        <v>27150</v>
      </c>
      <c r="N7884" t="s">
        <v>1814</v>
      </c>
      <c r="O7884" t="s">
        <v>46</v>
      </c>
      <c r="P7884" t="s">
        <v>46</v>
      </c>
      <c r="Y7884" t="s">
        <v>27151</v>
      </c>
    </row>
    <row r="7885" spans="1:25">
      <c r="A7885" t="s">
        <v>27152</v>
      </c>
      <c r="B7885" t="s">
        <v>27153</v>
      </c>
      <c r="D7885" t="s">
        <v>40</v>
      </c>
      <c r="E7885" t="s">
        <v>41</v>
      </c>
      <c r="J7885" t="s">
        <v>599</v>
      </c>
      <c r="K7885" t="s">
        <v>600</v>
      </c>
      <c r="L7885">
        <v>5</v>
      </c>
      <c r="M7885" t="s">
        <v>27154</v>
      </c>
      <c r="N7885" t="s">
        <v>45</v>
      </c>
      <c r="O7885" t="s">
        <v>46</v>
      </c>
      <c r="P7885" t="s">
        <v>46</v>
      </c>
      <c r="Y7885" t="s">
        <v>27155</v>
      </c>
    </row>
    <row r="7886" spans="1:25">
      <c r="A7886" t="s">
        <v>27156</v>
      </c>
      <c r="B7886" t="s">
        <v>27157</v>
      </c>
      <c r="D7886" t="s">
        <v>40</v>
      </c>
      <c r="E7886" t="s">
        <v>41</v>
      </c>
      <c r="J7886" t="s">
        <v>248</v>
      </c>
      <c r="K7886" t="s">
        <v>249</v>
      </c>
      <c r="L7886">
        <v>4</v>
      </c>
      <c r="M7886" t="s">
        <v>27158</v>
      </c>
      <c r="N7886" t="s">
        <v>440</v>
      </c>
      <c r="O7886" t="s">
        <v>46</v>
      </c>
      <c r="P7886" t="s">
        <v>46</v>
      </c>
      <c r="Y7886" t="s">
        <v>27159</v>
      </c>
    </row>
    <row r="7887" spans="1:25">
      <c r="A7887" t="s">
        <v>27160</v>
      </c>
      <c r="B7887" t="s">
        <v>27161</v>
      </c>
      <c r="D7887" t="s">
        <v>40</v>
      </c>
      <c r="E7887" t="s">
        <v>41</v>
      </c>
      <c r="J7887" t="s">
        <v>11802</v>
      </c>
      <c r="K7887" t="s">
        <v>11803</v>
      </c>
      <c r="L7887">
        <v>6</v>
      </c>
      <c r="M7887" t="s">
        <v>27162</v>
      </c>
      <c r="N7887" t="s">
        <v>310</v>
      </c>
      <c r="O7887" t="s">
        <v>46</v>
      </c>
      <c r="P7887" t="s">
        <v>46</v>
      </c>
      <c r="Y7887" t="s">
        <v>27163</v>
      </c>
    </row>
    <row r="7888" spans="1:25">
      <c r="A7888" t="s">
        <v>27164</v>
      </c>
      <c r="B7888" t="s">
        <v>27165</v>
      </c>
      <c r="D7888" t="s">
        <v>40</v>
      </c>
      <c r="E7888" t="s">
        <v>41</v>
      </c>
      <c r="J7888" t="s">
        <v>248</v>
      </c>
      <c r="K7888" t="s">
        <v>249</v>
      </c>
      <c r="L7888">
        <v>5</v>
      </c>
      <c r="M7888" t="s">
        <v>27162</v>
      </c>
      <c r="N7888" t="s">
        <v>617</v>
      </c>
      <c r="O7888" t="s">
        <v>46</v>
      </c>
      <c r="P7888" t="s">
        <v>46</v>
      </c>
      <c r="Y7888" t="s">
        <v>27166</v>
      </c>
    </row>
    <row r="7889" spans="1:25">
      <c r="A7889" t="s">
        <v>27167</v>
      </c>
      <c r="B7889" t="s">
        <v>27168</v>
      </c>
      <c r="D7889" t="s">
        <v>40</v>
      </c>
      <c r="E7889" t="s">
        <v>41</v>
      </c>
      <c r="J7889" t="s">
        <v>139</v>
      </c>
      <c r="K7889" t="s">
        <v>140</v>
      </c>
      <c r="L7889">
        <v>5</v>
      </c>
      <c r="M7889" t="s">
        <v>27169</v>
      </c>
      <c r="N7889" t="s">
        <v>22465</v>
      </c>
      <c r="O7889" t="s">
        <v>46</v>
      </c>
      <c r="P7889" t="s">
        <v>46</v>
      </c>
      <c r="Y7889" t="s">
        <v>27170</v>
      </c>
    </row>
    <row r="7890" spans="1:25">
      <c r="A7890" t="s">
        <v>27171</v>
      </c>
      <c r="B7890" t="s">
        <v>27172</v>
      </c>
      <c r="D7890" t="s">
        <v>40</v>
      </c>
      <c r="E7890" t="s">
        <v>41</v>
      </c>
      <c r="J7890" t="s">
        <v>248</v>
      </c>
      <c r="K7890" t="s">
        <v>249</v>
      </c>
      <c r="L7890">
        <v>5</v>
      </c>
      <c r="M7890" t="s">
        <v>27173</v>
      </c>
      <c r="N7890" t="s">
        <v>509</v>
      </c>
      <c r="O7890" t="s">
        <v>46</v>
      </c>
      <c r="P7890" t="s">
        <v>46</v>
      </c>
      <c r="Y7890" t="s">
        <v>27174</v>
      </c>
    </row>
    <row r="7891" spans="1:25">
      <c r="A7891" t="s">
        <v>27175</v>
      </c>
      <c r="B7891" t="s">
        <v>27176</v>
      </c>
      <c r="D7891" t="s">
        <v>40</v>
      </c>
      <c r="E7891" t="s">
        <v>41</v>
      </c>
      <c r="J7891" t="s">
        <v>248</v>
      </c>
      <c r="K7891" t="s">
        <v>249</v>
      </c>
      <c r="L7891">
        <v>5</v>
      </c>
      <c r="M7891" t="s">
        <v>27177</v>
      </c>
      <c r="N7891" t="s">
        <v>752</v>
      </c>
      <c r="O7891" t="s">
        <v>46</v>
      </c>
      <c r="P7891" t="s">
        <v>46</v>
      </c>
      <c r="Y7891" t="s">
        <v>27178</v>
      </c>
    </row>
    <row r="7892" spans="1:25">
      <c r="A7892" t="s">
        <v>27179</v>
      </c>
      <c r="B7892" t="s">
        <v>27180</v>
      </c>
      <c r="D7892" t="s">
        <v>40</v>
      </c>
      <c r="E7892" t="s">
        <v>41</v>
      </c>
      <c r="J7892" t="s">
        <v>139</v>
      </c>
      <c r="K7892" t="s">
        <v>140</v>
      </c>
      <c r="L7892">
        <v>8</v>
      </c>
      <c r="M7892" t="s">
        <v>27181</v>
      </c>
      <c r="N7892" t="s">
        <v>440</v>
      </c>
      <c r="O7892" t="s">
        <v>46</v>
      </c>
      <c r="P7892" t="s">
        <v>46</v>
      </c>
      <c r="Y7892" t="s">
        <v>27182</v>
      </c>
    </row>
    <row r="7893" spans="1:25">
      <c r="A7893" t="s">
        <v>27183</v>
      </c>
      <c r="B7893" t="s">
        <v>27184</v>
      </c>
      <c r="D7893" t="s">
        <v>40</v>
      </c>
      <c r="E7893" t="s">
        <v>41</v>
      </c>
      <c r="J7893" t="s">
        <v>248</v>
      </c>
      <c r="K7893" t="s">
        <v>249</v>
      </c>
      <c r="L7893">
        <v>4</v>
      </c>
      <c r="M7893" t="s">
        <v>27185</v>
      </c>
      <c r="N7893" t="s">
        <v>617</v>
      </c>
      <c r="O7893" t="s">
        <v>46</v>
      </c>
      <c r="P7893" t="s">
        <v>46</v>
      </c>
      <c r="Y7893" t="s">
        <v>27186</v>
      </c>
    </row>
    <row r="7894" spans="1:25">
      <c r="A7894" t="s">
        <v>27187</v>
      </c>
      <c r="B7894" t="s">
        <v>27188</v>
      </c>
      <c r="D7894" t="s">
        <v>40</v>
      </c>
      <c r="E7894" t="s">
        <v>41</v>
      </c>
      <c r="J7894" t="s">
        <v>139</v>
      </c>
      <c r="K7894" t="s">
        <v>140</v>
      </c>
      <c r="L7894">
        <v>5</v>
      </c>
      <c r="M7894" t="s">
        <v>27189</v>
      </c>
      <c r="N7894" t="s">
        <v>1276</v>
      </c>
      <c r="O7894" t="s">
        <v>46</v>
      </c>
      <c r="P7894" t="s">
        <v>46</v>
      </c>
      <c r="Y7894" t="s">
        <v>27190</v>
      </c>
    </row>
    <row r="7895" spans="1:25">
      <c r="A7895" t="s">
        <v>27191</v>
      </c>
      <c r="B7895" t="s">
        <v>27192</v>
      </c>
      <c r="D7895" t="s">
        <v>40</v>
      </c>
      <c r="E7895" t="s">
        <v>41</v>
      </c>
      <c r="J7895" t="s">
        <v>248</v>
      </c>
      <c r="K7895" t="s">
        <v>249</v>
      </c>
      <c r="L7895">
        <v>5</v>
      </c>
      <c r="M7895" t="s">
        <v>27193</v>
      </c>
      <c r="N7895" t="s">
        <v>58</v>
      </c>
      <c r="O7895" t="s">
        <v>46</v>
      </c>
      <c r="P7895" t="s">
        <v>46</v>
      </c>
      <c r="Y7895" t="s">
        <v>27194</v>
      </c>
    </row>
    <row r="7896" spans="1:25">
      <c r="A7896" t="s">
        <v>27195</v>
      </c>
      <c r="B7896" t="s">
        <v>27196</v>
      </c>
      <c r="D7896" t="s">
        <v>40</v>
      </c>
      <c r="E7896" t="s">
        <v>41</v>
      </c>
      <c r="J7896" t="s">
        <v>599</v>
      </c>
      <c r="K7896" t="s">
        <v>600</v>
      </c>
      <c r="L7896">
        <v>7</v>
      </c>
      <c r="M7896" t="s">
        <v>27197</v>
      </c>
      <c r="N7896" t="s">
        <v>24387</v>
      </c>
      <c r="O7896" t="s">
        <v>46</v>
      </c>
      <c r="P7896" t="s">
        <v>46</v>
      </c>
      <c r="Y7896" t="s">
        <v>27198</v>
      </c>
    </row>
    <row r="7897" spans="1:25">
      <c r="A7897" t="s">
        <v>27199</v>
      </c>
      <c r="B7897" t="s">
        <v>27200</v>
      </c>
      <c r="D7897" t="s">
        <v>40</v>
      </c>
      <c r="E7897" t="s">
        <v>41</v>
      </c>
      <c r="J7897" t="s">
        <v>248</v>
      </c>
      <c r="K7897" t="s">
        <v>249</v>
      </c>
      <c r="L7897">
        <v>5</v>
      </c>
      <c r="M7897" t="s">
        <v>27201</v>
      </c>
      <c r="N7897" t="s">
        <v>756</v>
      </c>
      <c r="O7897" t="s">
        <v>46</v>
      </c>
      <c r="P7897" t="s">
        <v>46</v>
      </c>
      <c r="Y7897" t="s">
        <v>27202</v>
      </c>
    </row>
    <row r="7898" spans="1:25">
      <c r="A7898" t="s">
        <v>27203</v>
      </c>
      <c r="B7898" t="s">
        <v>27204</v>
      </c>
      <c r="D7898" t="s">
        <v>40</v>
      </c>
      <c r="E7898" t="s">
        <v>41</v>
      </c>
      <c r="J7898" t="s">
        <v>12440</v>
      </c>
      <c r="K7898" t="s">
        <v>12441</v>
      </c>
      <c r="L7898">
        <v>6</v>
      </c>
      <c r="M7898" t="s">
        <v>27205</v>
      </c>
      <c r="N7898" t="s">
        <v>3013</v>
      </c>
      <c r="O7898" t="s">
        <v>46</v>
      </c>
      <c r="P7898" t="s">
        <v>46</v>
      </c>
      <c r="Y7898" t="s">
        <v>27206</v>
      </c>
    </row>
    <row r="7899" spans="1:25">
      <c r="A7899" t="s">
        <v>27207</v>
      </c>
      <c r="B7899" t="s">
        <v>27208</v>
      </c>
      <c r="D7899" t="s">
        <v>40</v>
      </c>
      <c r="E7899" t="s">
        <v>41</v>
      </c>
      <c r="J7899" t="s">
        <v>248</v>
      </c>
      <c r="K7899" t="s">
        <v>249</v>
      </c>
      <c r="L7899">
        <v>5</v>
      </c>
      <c r="M7899" t="s">
        <v>27209</v>
      </c>
      <c r="N7899" t="s">
        <v>4037</v>
      </c>
      <c r="O7899" t="s">
        <v>46</v>
      </c>
      <c r="P7899" t="s">
        <v>46</v>
      </c>
      <c r="Y7899" t="s">
        <v>27210</v>
      </c>
    </row>
    <row r="7900" spans="1:25">
      <c r="A7900" t="s">
        <v>27211</v>
      </c>
      <c r="B7900" t="s">
        <v>27212</v>
      </c>
      <c r="D7900" t="s">
        <v>40</v>
      </c>
      <c r="E7900" t="s">
        <v>41</v>
      </c>
      <c r="J7900" t="s">
        <v>139</v>
      </c>
      <c r="K7900" t="s">
        <v>140</v>
      </c>
      <c r="L7900">
        <v>5</v>
      </c>
      <c r="M7900" t="s">
        <v>27209</v>
      </c>
      <c r="N7900" t="s">
        <v>436</v>
      </c>
      <c r="O7900" t="s">
        <v>46</v>
      </c>
      <c r="P7900" t="s">
        <v>46</v>
      </c>
      <c r="Y7900" t="s">
        <v>27213</v>
      </c>
    </row>
    <row r="7901" spans="1:25">
      <c r="A7901" t="s">
        <v>27214</v>
      </c>
      <c r="B7901" t="s">
        <v>27215</v>
      </c>
      <c r="D7901" t="s">
        <v>40</v>
      </c>
      <c r="E7901" t="s">
        <v>41</v>
      </c>
      <c r="J7901" t="s">
        <v>1142</v>
      </c>
      <c r="K7901" t="s">
        <v>1143</v>
      </c>
      <c r="L7901">
        <v>5</v>
      </c>
      <c r="M7901" t="s">
        <v>27209</v>
      </c>
      <c r="N7901" t="s">
        <v>1024</v>
      </c>
      <c r="O7901" t="s">
        <v>46</v>
      </c>
      <c r="P7901" t="s">
        <v>46</v>
      </c>
      <c r="Y7901" t="s">
        <v>27216</v>
      </c>
    </row>
    <row r="7902" spans="1:25">
      <c r="A7902" t="s">
        <v>27217</v>
      </c>
      <c r="B7902" t="s">
        <v>27218</v>
      </c>
      <c r="D7902" t="s">
        <v>40</v>
      </c>
      <c r="E7902" t="s">
        <v>41</v>
      </c>
      <c r="J7902" t="s">
        <v>248</v>
      </c>
      <c r="K7902" t="s">
        <v>249</v>
      </c>
      <c r="L7902">
        <v>5</v>
      </c>
      <c r="M7902" t="s">
        <v>27219</v>
      </c>
      <c r="N7902" t="s">
        <v>1814</v>
      </c>
      <c r="O7902" t="s">
        <v>46</v>
      </c>
      <c r="P7902" t="s">
        <v>46</v>
      </c>
      <c r="Y7902" t="s">
        <v>27220</v>
      </c>
    </row>
    <row r="7903" spans="1:25">
      <c r="A7903" t="s">
        <v>27221</v>
      </c>
      <c r="B7903" t="s">
        <v>27222</v>
      </c>
      <c r="D7903" t="s">
        <v>40</v>
      </c>
      <c r="E7903" t="s">
        <v>41</v>
      </c>
      <c r="J7903" t="s">
        <v>599</v>
      </c>
      <c r="K7903" t="s">
        <v>600</v>
      </c>
      <c r="L7903">
        <v>5</v>
      </c>
      <c r="M7903" t="s">
        <v>27223</v>
      </c>
      <c r="N7903" t="s">
        <v>24245</v>
      </c>
      <c r="O7903" t="s">
        <v>46</v>
      </c>
      <c r="P7903" t="s">
        <v>46</v>
      </c>
      <c r="Y7903" t="s">
        <v>27224</v>
      </c>
    </row>
    <row r="7904" spans="1:25">
      <c r="A7904" t="s">
        <v>27225</v>
      </c>
      <c r="B7904" t="s">
        <v>27226</v>
      </c>
      <c r="D7904" t="s">
        <v>40</v>
      </c>
      <c r="E7904" t="s">
        <v>41</v>
      </c>
      <c r="J7904" t="s">
        <v>139</v>
      </c>
      <c r="K7904" t="s">
        <v>140</v>
      </c>
      <c r="L7904">
        <v>4</v>
      </c>
      <c r="M7904" t="s">
        <v>27227</v>
      </c>
      <c r="N7904" t="s">
        <v>27228</v>
      </c>
      <c r="O7904" t="s">
        <v>46</v>
      </c>
      <c r="P7904" t="s">
        <v>46</v>
      </c>
      <c r="Y7904" t="s">
        <v>27229</v>
      </c>
    </row>
    <row r="7905" spans="1:25">
      <c r="A7905" t="s">
        <v>27230</v>
      </c>
      <c r="B7905" t="s">
        <v>27231</v>
      </c>
      <c r="D7905" t="s">
        <v>40</v>
      </c>
      <c r="E7905" t="s">
        <v>41</v>
      </c>
      <c r="J7905" t="s">
        <v>248</v>
      </c>
      <c r="K7905" t="s">
        <v>249</v>
      </c>
      <c r="L7905">
        <v>5</v>
      </c>
      <c r="M7905" t="s">
        <v>27232</v>
      </c>
      <c r="N7905" t="s">
        <v>1229</v>
      </c>
      <c r="O7905" t="s">
        <v>46</v>
      </c>
      <c r="P7905" t="s">
        <v>46</v>
      </c>
      <c r="Y7905" t="s">
        <v>27233</v>
      </c>
    </row>
    <row r="7906" spans="1:25">
      <c r="A7906" t="s">
        <v>27234</v>
      </c>
      <c r="B7906" t="s">
        <v>27235</v>
      </c>
      <c r="D7906" t="s">
        <v>40</v>
      </c>
      <c r="E7906" t="s">
        <v>41</v>
      </c>
      <c r="J7906" t="s">
        <v>248</v>
      </c>
      <c r="K7906" t="s">
        <v>249</v>
      </c>
      <c r="L7906">
        <v>5</v>
      </c>
      <c r="M7906" t="s">
        <v>27236</v>
      </c>
      <c r="N7906" t="s">
        <v>1814</v>
      </c>
      <c r="O7906" t="s">
        <v>46</v>
      </c>
      <c r="P7906" t="s">
        <v>46</v>
      </c>
      <c r="Y7906" t="s">
        <v>27237</v>
      </c>
    </row>
    <row r="7907" spans="1:25">
      <c r="A7907" t="s">
        <v>27238</v>
      </c>
      <c r="B7907" t="s">
        <v>27239</v>
      </c>
      <c r="D7907" t="s">
        <v>40</v>
      </c>
      <c r="E7907" t="s">
        <v>41</v>
      </c>
      <c r="J7907" t="s">
        <v>6179</v>
      </c>
      <c r="K7907" t="s">
        <v>6180</v>
      </c>
      <c r="L7907">
        <v>5</v>
      </c>
      <c r="M7907" t="s">
        <v>27240</v>
      </c>
      <c r="N7907" t="s">
        <v>291</v>
      </c>
      <c r="O7907" t="s">
        <v>46</v>
      </c>
      <c r="P7907" t="s">
        <v>46</v>
      </c>
      <c r="Y7907" t="s">
        <v>27241</v>
      </c>
    </row>
    <row r="7908" spans="1:25">
      <c r="A7908" t="s">
        <v>27242</v>
      </c>
      <c r="B7908" t="s">
        <v>27243</v>
      </c>
      <c r="D7908" t="s">
        <v>40</v>
      </c>
      <c r="E7908" t="s">
        <v>41</v>
      </c>
      <c r="J7908" t="s">
        <v>139</v>
      </c>
      <c r="K7908" t="s">
        <v>140</v>
      </c>
      <c r="L7908">
        <v>5</v>
      </c>
      <c r="M7908" t="s">
        <v>27244</v>
      </c>
      <c r="N7908" t="s">
        <v>23361</v>
      </c>
      <c r="O7908" t="s">
        <v>46</v>
      </c>
      <c r="P7908" t="s">
        <v>46</v>
      </c>
      <c r="Y7908" t="s">
        <v>27245</v>
      </c>
    </row>
    <row r="7909" spans="1:25">
      <c r="A7909" t="s">
        <v>27246</v>
      </c>
      <c r="B7909" t="s">
        <v>27247</v>
      </c>
      <c r="D7909" t="s">
        <v>40</v>
      </c>
      <c r="E7909" t="s">
        <v>41</v>
      </c>
      <c r="J7909" t="s">
        <v>1142</v>
      </c>
      <c r="K7909" t="s">
        <v>1143</v>
      </c>
      <c r="L7909">
        <v>5</v>
      </c>
      <c r="M7909" t="s">
        <v>27248</v>
      </c>
      <c r="N7909" t="s">
        <v>756</v>
      </c>
      <c r="O7909" t="s">
        <v>46</v>
      </c>
      <c r="P7909" t="s">
        <v>46</v>
      </c>
      <c r="Y7909" t="s">
        <v>27249</v>
      </c>
    </row>
    <row r="7910" spans="1:25">
      <c r="A7910" t="s">
        <v>27250</v>
      </c>
      <c r="B7910" t="s">
        <v>27251</v>
      </c>
      <c r="D7910" t="s">
        <v>40</v>
      </c>
      <c r="E7910" t="s">
        <v>41</v>
      </c>
      <c r="J7910" t="s">
        <v>139</v>
      </c>
      <c r="K7910" t="s">
        <v>140</v>
      </c>
      <c r="L7910">
        <v>5</v>
      </c>
      <c r="M7910" t="s">
        <v>27252</v>
      </c>
      <c r="N7910" t="s">
        <v>1550</v>
      </c>
      <c r="O7910" t="s">
        <v>46</v>
      </c>
      <c r="P7910" t="s">
        <v>46</v>
      </c>
      <c r="Y7910" t="s">
        <v>27253</v>
      </c>
    </row>
    <row r="7911" spans="1:25">
      <c r="A7911" t="s">
        <v>27254</v>
      </c>
      <c r="B7911" t="s">
        <v>27255</v>
      </c>
      <c r="D7911" t="s">
        <v>40</v>
      </c>
      <c r="E7911" t="s">
        <v>41</v>
      </c>
      <c r="J7911" t="s">
        <v>1142</v>
      </c>
      <c r="K7911" t="s">
        <v>1143</v>
      </c>
      <c r="L7911">
        <v>5</v>
      </c>
      <c r="M7911" t="s">
        <v>27256</v>
      </c>
      <c r="N7911" t="s">
        <v>752</v>
      </c>
      <c r="O7911" t="s">
        <v>46</v>
      </c>
      <c r="P7911" t="s">
        <v>46</v>
      </c>
      <c r="Y7911" t="s">
        <v>27257</v>
      </c>
    </row>
    <row r="7912" spans="1:25">
      <c r="A7912" t="s">
        <v>27258</v>
      </c>
      <c r="B7912" t="s">
        <v>27259</v>
      </c>
      <c r="D7912" t="s">
        <v>40</v>
      </c>
      <c r="E7912" t="s">
        <v>41</v>
      </c>
      <c r="J7912" t="s">
        <v>248</v>
      </c>
      <c r="K7912" t="s">
        <v>249</v>
      </c>
      <c r="L7912">
        <v>5</v>
      </c>
      <c r="M7912" t="s">
        <v>27260</v>
      </c>
      <c r="N7912" t="s">
        <v>1229</v>
      </c>
      <c r="O7912" t="s">
        <v>46</v>
      </c>
      <c r="P7912" t="s">
        <v>46</v>
      </c>
      <c r="Y7912" t="s">
        <v>27261</v>
      </c>
    </row>
    <row r="7913" spans="1:25">
      <c r="A7913" t="s">
        <v>27262</v>
      </c>
      <c r="B7913" t="s">
        <v>27263</v>
      </c>
      <c r="D7913" t="s">
        <v>40</v>
      </c>
      <c r="E7913" t="s">
        <v>41</v>
      </c>
      <c r="J7913" t="s">
        <v>599</v>
      </c>
      <c r="K7913" t="s">
        <v>600</v>
      </c>
      <c r="L7913">
        <v>5</v>
      </c>
      <c r="M7913" t="s">
        <v>27264</v>
      </c>
      <c r="N7913" t="s">
        <v>24245</v>
      </c>
      <c r="O7913" t="s">
        <v>46</v>
      </c>
      <c r="P7913" t="s">
        <v>46</v>
      </c>
      <c r="Y7913" t="s">
        <v>27265</v>
      </c>
    </row>
    <row r="7914" spans="1:25">
      <c r="A7914" t="s">
        <v>27266</v>
      </c>
      <c r="B7914" t="s">
        <v>27267</v>
      </c>
      <c r="D7914" t="s">
        <v>40</v>
      </c>
      <c r="E7914" t="s">
        <v>41</v>
      </c>
      <c r="J7914" t="s">
        <v>911</v>
      </c>
      <c r="K7914" t="s">
        <v>912</v>
      </c>
      <c r="L7914">
        <v>5</v>
      </c>
      <c r="M7914" t="s">
        <v>27268</v>
      </c>
      <c r="N7914" t="s">
        <v>1814</v>
      </c>
      <c r="O7914" t="s">
        <v>46</v>
      </c>
      <c r="P7914" t="s">
        <v>46</v>
      </c>
      <c r="Y7914" t="s">
        <v>27269</v>
      </c>
    </row>
    <row r="7915" spans="1:25">
      <c r="A7915" t="s">
        <v>27270</v>
      </c>
      <c r="B7915" t="s">
        <v>27271</v>
      </c>
      <c r="D7915" t="s">
        <v>40</v>
      </c>
      <c r="E7915" t="s">
        <v>41</v>
      </c>
      <c r="J7915" t="s">
        <v>248</v>
      </c>
      <c r="K7915" t="s">
        <v>249</v>
      </c>
      <c r="L7915">
        <v>5</v>
      </c>
      <c r="M7915" t="s">
        <v>27272</v>
      </c>
      <c r="N7915" t="s">
        <v>53</v>
      </c>
      <c r="O7915" t="s">
        <v>46</v>
      </c>
      <c r="P7915" t="s">
        <v>46</v>
      </c>
      <c r="Y7915" t="s">
        <v>27273</v>
      </c>
    </row>
    <row r="7916" spans="1:25">
      <c r="A7916" t="s">
        <v>27274</v>
      </c>
      <c r="B7916" t="s">
        <v>27275</v>
      </c>
      <c r="D7916" t="s">
        <v>40</v>
      </c>
      <c r="E7916" t="s">
        <v>41</v>
      </c>
      <c r="J7916" t="s">
        <v>248</v>
      </c>
      <c r="K7916" t="s">
        <v>249</v>
      </c>
      <c r="L7916">
        <v>5</v>
      </c>
      <c r="M7916" t="s">
        <v>27276</v>
      </c>
      <c r="N7916" t="s">
        <v>142</v>
      </c>
      <c r="O7916" t="s">
        <v>46</v>
      </c>
      <c r="P7916" t="s">
        <v>46</v>
      </c>
      <c r="Y7916" t="s">
        <v>27277</v>
      </c>
    </row>
    <row r="7917" spans="1:25">
      <c r="A7917" t="s">
        <v>27278</v>
      </c>
      <c r="B7917" t="s">
        <v>27279</v>
      </c>
      <c r="D7917" t="s">
        <v>40</v>
      </c>
      <c r="E7917" t="s">
        <v>41</v>
      </c>
      <c r="J7917" t="s">
        <v>139</v>
      </c>
      <c r="K7917" t="s">
        <v>140</v>
      </c>
      <c r="L7917">
        <v>5</v>
      </c>
      <c r="M7917" t="s">
        <v>27280</v>
      </c>
      <c r="N7917" t="s">
        <v>310</v>
      </c>
      <c r="O7917" t="s">
        <v>46</v>
      </c>
      <c r="P7917" t="s">
        <v>46</v>
      </c>
      <c r="Y7917" t="s">
        <v>27281</v>
      </c>
    </row>
    <row r="7918" spans="1:25">
      <c r="A7918" t="s">
        <v>27282</v>
      </c>
      <c r="B7918" t="s">
        <v>27283</v>
      </c>
      <c r="D7918" t="s">
        <v>40</v>
      </c>
      <c r="E7918" t="s">
        <v>41</v>
      </c>
      <c r="J7918" t="s">
        <v>599</v>
      </c>
      <c r="K7918" t="s">
        <v>600</v>
      </c>
      <c r="L7918">
        <v>5</v>
      </c>
      <c r="M7918" t="s">
        <v>27284</v>
      </c>
      <c r="N7918" t="s">
        <v>24245</v>
      </c>
      <c r="O7918" t="s">
        <v>46</v>
      </c>
      <c r="P7918" t="s">
        <v>46</v>
      </c>
      <c r="Y7918" t="s">
        <v>27285</v>
      </c>
    </row>
    <row r="7919" spans="1:25">
      <c r="A7919" t="s">
        <v>27286</v>
      </c>
      <c r="B7919" t="s">
        <v>27287</v>
      </c>
      <c r="D7919" t="s">
        <v>40</v>
      </c>
      <c r="E7919" t="s">
        <v>41</v>
      </c>
      <c r="J7919" t="s">
        <v>139</v>
      </c>
      <c r="K7919" t="s">
        <v>140</v>
      </c>
      <c r="L7919">
        <v>6</v>
      </c>
      <c r="M7919" t="s">
        <v>27288</v>
      </c>
      <c r="N7919" t="s">
        <v>24240</v>
      </c>
      <c r="O7919" t="s">
        <v>46</v>
      </c>
      <c r="P7919" t="s">
        <v>46</v>
      </c>
      <c r="Y7919" t="s">
        <v>27289</v>
      </c>
    </row>
    <row r="7920" spans="1:25">
      <c r="A7920" t="s">
        <v>27290</v>
      </c>
      <c r="B7920" t="s">
        <v>27291</v>
      </c>
      <c r="D7920" t="s">
        <v>40</v>
      </c>
      <c r="E7920" t="s">
        <v>41</v>
      </c>
      <c r="J7920" t="s">
        <v>12440</v>
      </c>
      <c r="K7920" t="s">
        <v>12441</v>
      </c>
      <c r="L7920">
        <v>7</v>
      </c>
      <c r="M7920" t="s">
        <v>27292</v>
      </c>
      <c r="N7920" t="s">
        <v>756</v>
      </c>
      <c r="O7920" t="s">
        <v>46</v>
      </c>
      <c r="P7920" t="s">
        <v>46</v>
      </c>
      <c r="Y7920" t="s">
        <v>27293</v>
      </c>
    </row>
    <row r="7921" spans="1:25">
      <c r="A7921" t="s">
        <v>27294</v>
      </c>
      <c r="B7921" t="s">
        <v>27295</v>
      </c>
      <c r="D7921" t="s">
        <v>40</v>
      </c>
      <c r="E7921" t="s">
        <v>41</v>
      </c>
      <c r="J7921" t="s">
        <v>248</v>
      </c>
      <c r="K7921" t="s">
        <v>249</v>
      </c>
      <c r="L7921">
        <v>5</v>
      </c>
      <c r="M7921" t="s">
        <v>27296</v>
      </c>
      <c r="N7921" t="s">
        <v>142</v>
      </c>
      <c r="O7921" t="s">
        <v>46</v>
      </c>
      <c r="P7921" t="s">
        <v>46</v>
      </c>
      <c r="Y7921" t="s">
        <v>27297</v>
      </c>
    </row>
    <row r="7922" spans="1:25">
      <c r="A7922" t="s">
        <v>27298</v>
      </c>
      <c r="B7922" t="s">
        <v>27299</v>
      </c>
      <c r="D7922" t="s">
        <v>40</v>
      </c>
      <c r="E7922" t="s">
        <v>41</v>
      </c>
      <c r="J7922" t="s">
        <v>248</v>
      </c>
      <c r="K7922" t="s">
        <v>249</v>
      </c>
      <c r="L7922">
        <v>5</v>
      </c>
      <c r="M7922" t="s">
        <v>27300</v>
      </c>
      <c r="N7922" t="s">
        <v>1276</v>
      </c>
      <c r="O7922" t="s">
        <v>46</v>
      </c>
      <c r="P7922" t="s">
        <v>46</v>
      </c>
      <c r="Y7922" t="s">
        <v>27301</v>
      </c>
    </row>
    <row r="7923" spans="1:25">
      <c r="A7923" t="s">
        <v>27302</v>
      </c>
      <c r="B7923" t="s">
        <v>27303</v>
      </c>
      <c r="D7923" t="s">
        <v>40</v>
      </c>
      <c r="E7923" t="s">
        <v>41</v>
      </c>
      <c r="J7923" t="s">
        <v>248</v>
      </c>
      <c r="K7923" t="s">
        <v>249</v>
      </c>
      <c r="L7923">
        <v>5</v>
      </c>
      <c r="M7923" t="s">
        <v>27304</v>
      </c>
      <c r="N7923" t="s">
        <v>752</v>
      </c>
      <c r="O7923" t="s">
        <v>46</v>
      </c>
      <c r="P7923" t="s">
        <v>46</v>
      </c>
      <c r="Y7923" t="s">
        <v>27305</v>
      </c>
    </row>
    <row r="7924" spans="1:25">
      <c r="A7924" t="s">
        <v>27306</v>
      </c>
      <c r="B7924" t="s">
        <v>27307</v>
      </c>
      <c r="D7924" t="s">
        <v>40</v>
      </c>
      <c r="E7924" t="s">
        <v>41</v>
      </c>
      <c r="J7924" t="s">
        <v>6179</v>
      </c>
      <c r="K7924" t="s">
        <v>6180</v>
      </c>
      <c r="L7924">
        <v>5</v>
      </c>
      <c r="M7924" t="s">
        <v>27308</v>
      </c>
      <c r="N7924" t="s">
        <v>58</v>
      </c>
      <c r="O7924" t="s">
        <v>46</v>
      </c>
      <c r="P7924" t="s">
        <v>46</v>
      </c>
      <c r="Y7924" t="s">
        <v>27309</v>
      </c>
    </row>
    <row r="7925" spans="1:25">
      <c r="A7925" t="s">
        <v>27310</v>
      </c>
      <c r="B7925" t="s">
        <v>27311</v>
      </c>
      <c r="D7925" t="s">
        <v>40</v>
      </c>
      <c r="E7925" t="s">
        <v>41</v>
      </c>
      <c r="J7925" t="s">
        <v>599</v>
      </c>
      <c r="K7925" t="s">
        <v>600</v>
      </c>
      <c r="L7925">
        <v>5</v>
      </c>
      <c r="M7925" t="s">
        <v>27312</v>
      </c>
      <c r="N7925" t="s">
        <v>24240</v>
      </c>
      <c r="O7925" t="s">
        <v>46</v>
      </c>
      <c r="P7925" t="s">
        <v>46</v>
      </c>
      <c r="Y7925" t="s">
        <v>27313</v>
      </c>
    </row>
    <row r="7926" spans="1:25">
      <c r="A7926" t="s">
        <v>27314</v>
      </c>
      <c r="B7926" t="s">
        <v>27315</v>
      </c>
      <c r="D7926" t="s">
        <v>40</v>
      </c>
      <c r="E7926" t="s">
        <v>41</v>
      </c>
      <c r="J7926" t="s">
        <v>248</v>
      </c>
      <c r="K7926" t="s">
        <v>249</v>
      </c>
      <c r="L7926">
        <v>5</v>
      </c>
      <c r="M7926" t="s">
        <v>27312</v>
      </c>
      <c r="N7926" t="s">
        <v>1276</v>
      </c>
      <c r="O7926" t="s">
        <v>46</v>
      </c>
      <c r="P7926" t="s">
        <v>46</v>
      </c>
      <c r="Y7926" t="s">
        <v>27316</v>
      </c>
    </row>
    <row r="7927" spans="1:25">
      <c r="A7927" t="s">
        <v>27317</v>
      </c>
      <c r="B7927" t="s">
        <v>27318</v>
      </c>
      <c r="D7927" t="s">
        <v>40</v>
      </c>
      <c r="E7927" t="s">
        <v>41</v>
      </c>
      <c r="J7927" t="s">
        <v>139</v>
      </c>
      <c r="K7927" t="s">
        <v>140</v>
      </c>
      <c r="L7927">
        <v>7</v>
      </c>
      <c r="M7927" t="s">
        <v>27319</v>
      </c>
      <c r="N7927" t="s">
        <v>27228</v>
      </c>
      <c r="O7927" t="s">
        <v>46</v>
      </c>
      <c r="P7927" t="s">
        <v>46</v>
      </c>
      <c r="Y7927" t="s">
        <v>27320</v>
      </c>
    </row>
    <row r="7928" spans="1:25">
      <c r="A7928" t="s">
        <v>27321</v>
      </c>
      <c r="B7928" t="s">
        <v>27322</v>
      </c>
      <c r="D7928" t="s">
        <v>40</v>
      </c>
      <c r="E7928" t="s">
        <v>41</v>
      </c>
      <c r="J7928" t="s">
        <v>1142</v>
      </c>
      <c r="K7928" t="s">
        <v>1143</v>
      </c>
      <c r="L7928">
        <v>5</v>
      </c>
      <c r="M7928" t="s">
        <v>27323</v>
      </c>
      <c r="N7928" t="s">
        <v>24227</v>
      </c>
      <c r="O7928" t="s">
        <v>46</v>
      </c>
      <c r="P7928" t="s">
        <v>46</v>
      </c>
      <c r="Y7928" t="s">
        <v>27324</v>
      </c>
    </row>
    <row r="7929" spans="1:25">
      <c r="A7929" t="s">
        <v>27325</v>
      </c>
      <c r="B7929" t="s">
        <v>27326</v>
      </c>
      <c r="D7929" t="s">
        <v>40</v>
      </c>
      <c r="E7929" t="s">
        <v>41</v>
      </c>
      <c r="J7929" t="s">
        <v>248</v>
      </c>
      <c r="K7929" t="s">
        <v>249</v>
      </c>
      <c r="L7929">
        <v>5</v>
      </c>
      <c r="M7929" t="s">
        <v>27327</v>
      </c>
      <c r="N7929" t="s">
        <v>1478</v>
      </c>
      <c r="O7929" t="s">
        <v>46</v>
      </c>
      <c r="P7929" t="s">
        <v>46</v>
      </c>
      <c r="Y7929" t="s">
        <v>27328</v>
      </c>
    </row>
    <row r="7930" spans="1:25">
      <c r="A7930" t="s">
        <v>27329</v>
      </c>
      <c r="B7930" t="s">
        <v>27330</v>
      </c>
      <c r="D7930" t="s">
        <v>40</v>
      </c>
      <c r="E7930" t="s">
        <v>41</v>
      </c>
      <c r="J7930" t="s">
        <v>248</v>
      </c>
      <c r="K7930" t="s">
        <v>249</v>
      </c>
      <c r="L7930">
        <v>5</v>
      </c>
      <c r="M7930" t="s">
        <v>27331</v>
      </c>
      <c r="N7930" t="s">
        <v>25508</v>
      </c>
      <c r="O7930" t="s">
        <v>46</v>
      </c>
      <c r="P7930" t="s">
        <v>46</v>
      </c>
      <c r="Y7930" t="s">
        <v>27332</v>
      </c>
    </row>
    <row r="7931" spans="1:25">
      <c r="A7931" t="s">
        <v>27333</v>
      </c>
      <c r="B7931" t="s">
        <v>27334</v>
      </c>
      <c r="D7931" t="s">
        <v>40</v>
      </c>
      <c r="E7931" t="s">
        <v>41</v>
      </c>
      <c r="J7931" t="s">
        <v>248</v>
      </c>
      <c r="K7931" t="s">
        <v>249</v>
      </c>
      <c r="L7931">
        <v>5</v>
      </c>
      <c r="M7931" t="s">
        <v>27335</v>
      </c>
      <c r="N7931" t="s">
        <v>752</v>
      </c>
      <c r="O7931" t="s">
        <v>46</v>
      </c>
      <c r="P7931" t="s">
        <v>46</v>
      </c>
      <c r="Y7931" t="s">
        <v>27336</v>
      </c>
    </row>
    <row r="7932" spans="1:25">
      <c r="A7932" t="s">
        <v>27337</v>
      </c>
      <c r="B7932" t="s">
        <v>27338</v>
      </c>
      <c r="D7932" t="s">
        <v>40</v>
      </c>
      <c r="E7932" t="s">
        <v>41</v>
      </c>
      <c r="J7932" t="s">
        <v>1554</v>
      </c>
      <c r="K7932" t="s">
        <v>1555</v>
      </c>
      <c r="L7932">
        <v>4</v>
      </c>
      <c r="M7932" t="s">
        <v>27339</v>
      </c>
      <c r="N7932" t="s">
        <v>756</v>
      </c>
      <c r="O7932" t="s">
        <v>46</v>
      </c>
      <c r="P7932" t="s">
        <v>46</v>
      </c>
      <c r="Y7932" t="s">
        <v>27340</v>
      </c>
    </row>
    <row r="7933" spans="1:25">
      <c r="A7933" t="s">
        <v>27341</v>
      </c>
      <c r="B7933" t="s">
        <v>27342</v>
      </c>
      <c r="D7933" t="s">
        <v>40</v>
      </c>
      <c r="E7933" t="s">
        <v>41</v>
      </c>
      <c r="J7933" t="s">
        <v>12440</v>
      </c>
      <c r="K7933" t="s">
        <v>12441</v>
      </c>
      <c r="L7933">
        <v>6</v>
      </c>
      <c r="M7933" t="s">
        <v>27343</v>
      </c>
      <c r="N7933" t="s">
        <v>617</v>
      </c>
      <c r="O7933" t="s">
        <v>46</v>
      </c>
      <c r="P7933" t="s">
        <v>46</v>
      </c>
      <c r="Y7933" t="s">
        <v>27344</v>
      </c>
    </row>
    <row r="7934" spans="1:25">
      <c r="A7934" t="s">
        <v>27345</v>
      </c>
      <c r="B7934" t="s">
        <v>27346</v>
      </c>
      <c r="D7934" t="s">
        <v>40</v>
      </c>
      <c r="E7934" t="s">
        <v>41</v>
      </c>
      <c r="J7934" t="s">
        <v>1142</v>
      </c>
      <c r="K7934" t="s">
        <v>1143</v>
      </c>
      <c r="L7934">
        <v>5</v>
      </c>
      <c r="M7934" t="s">
        <v>27347</v>
      </c>
      <c r="N7934" t="s">
        <v>1814</v>
      </c>
      <c r="O7934" t="s">
        <v>46</v>
      </c>
      <c r="P7934" t="s">
        <v>46</v>
      </c>
      <c r="Y7934" t="s">
        <v>27348</v>
      </c>
    </row>
    <row r="7935" spans="1:25">
      <c r="A7935" t="s">
        <v>27349</v>
      </c>
      <c r="B7935" t="s">
        <v>27350</v>
      </c>
      <c r="D7935" t="s">
        <v>40</v>
      </c>
      <c r="E7935" t="s">
        <v>41</v>
      </c>
      <c r="J7935" t="s">
        <v>248</v>
      </c>
      <c r="K7935" t="s">
        <v>249</v>
      </c>
      <c r="L7935">
        <v>5</v>
      </c>
      <c r="M7935" t="s">
        <v>27351</v>
      </c>
      <c r="N7935" t="s">
        <v>27228</v>
      </c>
      <c r="O7935" t="s">
        <v>46</v>
      </c>
      <c r="P7935" t="s">
        <v>46</v>
      </c>
      <c r="Y7935" t="s">
        <v>27352</v>
      </c>
    </row>
    <row r="7936" spans="1:25">
      <c r="A7936" t="s">
        <v>27353</v>
      </c>
      <c r="B7936" t="s">
        <v>27354</v>
      </c>
      <c r="D7936" t="s">
        <v>40</v>
      </c>
      <c r="E7936" t="s">
        <v>41</v>
      </c>
      <c r="J7936" t="s">
        <v>248</v>
      </c>
      <c r="K7936" t="s">
        <v>249</v>
      </c>
      <c r="L7936">
        <v>5</v>
      </c>
      <c r="M7936" t="s">
        <v>27355</v>
      </c>
      <c r="N7936" t="s">
        <v>440</v>
      </c>
      <c r="O7936" t="s">
        <v>46</v>
      </c>
      <c r="P7936" t="s">
        <v>46</v>
      </c>
      <c r="Y7936" t="s">
        <v>27356</v>
      </c>
    </row>
    <row r="7937" spans="1:25">
      <c r="A7937" t="s">
        <v>27357</v>
      </c>
      <c r="B7937" t="s">
        <v>27358</v>
      </c>
      <c r="D7937" t="s">
        <v>40</v>
      </c>
      <c r="E7937" t="s">
        <v>41</v>
      </c>
      <c r="J7937" t="s">
        <v>892</v>
      </c>
      <c r="K7937" t="s">
        <v>893</v>
      </c>
      <c r="L7937">
        <v>7</v>
      </c>
      <c r="M7937" t="s">
        <v>27359</v>
      </c>
      <c r="N7937" t="s">
        <v>24240</v>
      </c>
      <c r="O7937" t="s">
        <v>46</v>
      </c>
      <c r="P7937" t="s">
        <v>46</v>
      </c>
      <c r="Y7937" t="s">
        <v>27360</v>
      </c>
    </row>
    <row r="7938" spans="1:25">
      <c r="A7938" t="s">
        <v>27361</v>
      </c>
      <c r="B7938" t="s">
        <v>27362</v>
      </c>
      <c r="D7938" t="s">
        <v>40</v>
      </c>
      <c r="E7938" t="s">
        <v>41</v>
      </c>
      <c r="J7938" t="s">
        <v>1554</v>
      </c>
      <c r="K7938" t="s">
        <v>1555</v>
      </c>
      <c r="L7938">
        <v>5</v>
      </c>
      <c r="M7938" t="s">
        <v>27363</v>
      </c>
      <c r="N7938" t="s">
        <v>24240</v>
      </c>
      <c r="O7938" t="s">
        <v>46</v>
      </c>
      <c r="P7938" t="s">
        <v>46</v>
      </c>
      <c r="Y7938" t="s">
        <v>27364</v>
      </c>
    </row>
    <row r="7939" spans="1:25">
      <c r="A7939" t="s">
        <v>27365</v>
      </c>
      <c r="B7939" t="s">
        <v>27366</v>
      </c>
      <c r="D7939" t="s">
        <v>40</v>
      </c>
      <c r="E7939" t="s">
        <v>41</v>
      </c>
      <c r="J7939" t="s">
        <v>248</v>
      </c>
      <c r="K7939" t="s">
        <v>249</v>
      </c>
      <c r="L7939">
        <v>5</v>
      </c>
      <c r="M7939" t="s">
        <v>27367</v>
      </c>
      <c r="N7939" t="s">
        <v>1397</v>
      </c>
      <c r="O7939" t="s">
        <v>46</v>
      </c>
      <c r="P7939" t="s">
        <v>46</v>
      </c>
      <c r="Y7939" t="s">
        <v>27368</v>
      </c>
    </row>
    <row r="7940" spans="1:25">
      <c r="A7940" t="s">
        <v>27369</v>
      </c>
      <c r="B7940" t="s">
        <v>27370</v>
      </c>
      <c r="D7940" t="s">
        <v>40</v>
      </c>
      <c r="E7940" t="s">
        <v>41</v>
      </c>
      <c r="J7940" t="s">
        <v>921</v>
      </c>
      <c r="K7940" t="s">
        <v>922</v>
      </c>
      <c r="L7940">
        <v>7</v>
      </c>
      <c r="M7940" t="s">
        <v>27371</v>
      </c>
      <c r="N7940" t="s">
        <v>2621</v>
      </c>
      <c r="O7940" t="s">
        <v>46</v>
      </c>
      <c r="P7940" t="s">
        <v>46</v>
      </c>
      <c r="Y7940" t="s">
        <v>27372</v>
      </c>
    </row>
    <row r="7941" spans="1:25">
      <c r="A7941" t="s">
        <v>27373</v>
      </c>
      <c r="B7941" t="s">
        <v>27374</v>
      </c>
      <c r="D7941" t="s">
        <v>40</v>
      </c>
      <c r="E7941" t="s">
        <v>41</v>
      </c>
      <c r="J7941" t="s">
        <v>139</v>
      </c>
      <c r="K7941" t="s">
        <v>140</v>
      </c>
      <c r="L7941">
        <v>5</v>
      </c>
      <c r="M7941" t="s">
        <v>27375</v>
      </c>
      <c r="N7941" t="s">
        <v>509</v>
      </c>
      <c r="O7941" t="s">
        <v>46</v>
      </c>
      <c r="P7941" t="s">
        <v>46</v>
      </c>
      <c r="Y7941" t="s">
        <v>27376</v>
      </c>
    </row>
    <row r="7942" spans="1:25">
      <c r="A7942" t="s">
        <v>27377</v>
      </c>
      <c r="B7942" t="s">
        <v>27378</v>
      </c>
      <c r="D7942" t="s">
        <v>40</v>
      </c>
      <c r="E7942" t="s">
        <v>41</v>
      </c>
      <c r="J7942" t="s">
        <v>248</v>
      </c>
      <c r="K7942" t="s">
        <v>249</v>
      </c>
      <c r="L7942">
        <v>5</v>
      </c>
      <c r="M7942" t="s">
        <v>27379</v>
      </c>
      <c r="N7942" t="s">
        <v>1229</v>
      </c>
      <c r="O7942" t="s">
        <v>46</v>
      </c>
      <c r="P7942" t="s">
        <v>46</v>
      </c>
      <c r="Y7942" t="s">
        <v>27380</v>
      </c>
    </row>
    <row r="7943" spans="1:25">
      <c r="A7943" t="s">
        <v>27381</v>
      </c>
      <c r="B7943" t="s">
        <v>27382</v>
      </c>
      <c r="D7943" t="s">
        <v>40</v>
      </c>
      <c r="E7943" t="s">
        <v>41</v>
      </c>
      <c r="J7943" t="s">
        <v>921</v>
      </c>
      <c r="K7943" t="s">
        <v>922</v>
      </c>
      <c r="L7943">
        <v>4</v>
      </c>
      <c r="M7943" t="s">
        <v>27383</v>
      </c>
      <c r="N7943" t="s">
        <v>1550</v>
      </c>
      <c r="O7943" t="s">
        <v>46</v>
      </c>
      <c r="P7943" t="s">
        <v>46</v>
      </c>
      <c r="Y7943" t="s">
        <v>27384</v>
      </c>
    </row>
    <row r="7944" spans="1:25">
      <c r="A7944" t="s">
        <v>27385</v>
      </c>
      <c r="B7944" t="s">
        <v>27386</v>
      </c>
      <c r="D7944" t="s">
        <v>40</v>
      </c>
      <c r="E7944" t="s">
        <v>41</v>
      </c>
      <c r="J7944" t="s">
        <v>1554</v>
      </c>
      <c r="K7944" t="s">
        <v>1555</v>
      </c>
      <c r="L7944">
        <v>6</v>
      </c>
      <c r="M7944" t="s">
        <v>27387</v>
      </c>
      <c r="N7944" t="s">
        <v>617</v>
      </c>
      <c r="O7944" t="s">
        <v>46</v>
      </c>
      <c r="P7944" t="s">
        <v>46</v>
      </c>
      <c r="Y7944" t="s">
        <v>27388</v>
      </c>
    </row>
    <row r="7945" spans="1:25">
      <c r="A7945" t="s">
        <v>27389</v>
      </c>
      <c r="B7945" t="s">
        <v>27390</v>
      </c>
      <c r="D7945" t="s">
        <v>40</v>
      </c>
      <c r="E7945" t="s">
        <v>41</v>
      </c>
      <c r="J7945" t="s">
        <v>139</v>
      </c>
      <c r="K7945" t="s">
        <v>140</v>
      </c>
      <c r="L7945">
        <v>5</v>
      </c>
      <c r="M7945" t="s">
        <v>27391</v>
      </c>
      <c r="N7945" t="s">
        <v>24387</v>
      </c>
      <c r="O7945" t="s">
        <v>46</v>
      </c>
      <c r="P7945" t="s">
        <v>46</v>
      </c>
      <c r="Y7945" t="s">
        <v>27392</v>
      </c>
    </row>
    <row r="7946" spans="1:25">
      <c r="A7946" t="s">
        <v>27393</v>
      </c>
      <c r="B7946" t="s">
        <v>27394</v>
      </c>
      <c r="D7946" t="s">
        <v>40</v>
      </c>
      <c r="E7946" t="s">
        <v>41</v>
      </c>
      <c r="J7946" t="s">
        <v>248</v>
      </c>
      <c r="K7946" t="s">
        <v>249</v>
      </c>
      <c r="L7946">
        <v>6</v>
      </c>
      <c r="M7946" t="s">
        <v>27395</v>
      </c>
      <c r="N7946" t="s">
        <v>5995</v>
      </c>
      <c r="O7946" t="s">
        <v>46</v>
      </c>
      <c r="P7946" t="s">
        <v>46</v>
      </c>
      <c r="Y7946" t="s">
        <v>27396</v>
      </c>
    </row>
    <row r="7947" spans="1:25">
      <c r="A7947" t="s">
        <v>27397</v>
      </c>
      <c r="B7947" t="s">
        <v>27398</v>
      </c>
      <c r="D7947" t="s">
        <v>40</v>
      </c>
      <c r="E7947" t="s">
        <v>41</v>
      </c>
      <c r="J7947" t="s">
        <v>248</v>
      </c>
      <c r="K7947" t="s">
        <v>249</v>
      </c>
      <c r="L7947">
        <v>6</v>
      </c>
      <c r="M7947" t="s">
        <v>27399</v>
      </c>
      <c r="N7947" t="s">
        <v>1478</v>
      </c>
      <c r="O7947" t="s">
        <v>46</v>
      </c>
      <c r="P7947" t="s">
        <v>46</v>
      </c>
      <c r="Y7947" t="s">
        <v>27400</v>
      </c>
    </row>
    <row r="7948" spans="1:25">
      <c r="A7948" t="s">
        <v>27401</v>
      </c>
      <c r="B7948" t="s">
        <v>27402</v>
      </c>
      <c r="D7948" t="s">
        <v>40</v>
      </c>
      <c r="E7948" t="s">
        <v>41</v>
      </c>
      <c r="J7948" t="s">
        <v>248</v>
      </c>
      <c r="K7948" t="s">
        <v>249</v>
      </c>
      <c r="L7948">
        <v>5</v>
      </c>
      <c r="M7948" t="s">
        <v>27403</v>
      </c>
      <c r="N7948" t="s">
        <v>1024</v>
      </c>
      <c r="O7948" t="s">
        <v>46</v>
      </c>
      <c r="P7948" t="s">
        <v>46</v>
      </c>
      <c r="Y7948" t="s">
        <v>27404</v>
      </c>
    </row>
    <row r="7949" spans="1:25">
      <c r="A7949" t="s">
        <v>27405</v>
      </c>
      <c r="B7949" t="s">
        <v>27406</v>
      </c>
      <c r="D7949" t="s">
        <v>40</v>
      </c>
      <c r="E7949" t="s">
        <v>41</v>
      </c>
      <c r="J7949" t="s">
        <v>23071</v>
      </c>
      <c r="K7949" t="s">
        <v>23072</v>
      </c>
      <c r="L7949">
        <v>5</v>
      </c>
      <c r="M7949" t="s">
        <v>27407</v>
      </c>
      <c r="N7949" t="s">
        <v>1397</v>
      </c>
      <c r="O7949" t="s">
        <v>46</v>
      </c>
      <c r="P7949" t="s">
        <v>46</v>
      </c>
      <c r="Y7949" t="s">
        <v>27408</v>
      </c>
    </row>
    <row r="7950" spans="1:25">
      <c r="A7950" t="s">
        <v>27409</v>
      </c>
      <c r="B7950" t="s">
        <v>27410</v>
      </c>
      <c r="D7950" t="s">
        <v>40</v>
      </c>
      <c r="E7950" t="s">
        <v>41</v>
      </c>
      <c r="J7950" t="s">
        <v>248</v>
      </c>
      <c r="K7950" t="s">
        <v>249</v>
      </c>
      <c r="L7950">
        <v>4</v>
      </c>
      <c r="M7950" t="s">
        <v>27411</v>
      </c>
      <c r="N7950" t="s">
        <v>1397</v>
      </c>
      <c r="O7950" t="s">
        <v>46</v>
      </c>
      <c r="P7950" t="s">
        <v>46</v>
      </c>
      <c r="Y7950" t="s">
        <v>27412</v>
      </c>
    </row>
    <row r="7951" spans="1:25">
      <c r="A7951" t="s">
        <v>27413</v>
      </c>
      <c r="B7951" t="s">
        <v>27414</v>
      </c>
      <c r="D7951" t="s">
        <v>40</v>
      </c>
      <c r="E7951" t="s">
        <v>41</v>
      </c>
      <c r="J7951" t="s">
        <v>139</v>
      </c>
      <c r="K7951" t="s">
        <v>140</v>
      </c>
      <c r="L7951">
        <v>5</v>
      </c>
      <c r="M7951" t="s">
        <v>27415</v>
      </c>
      <c r="N7951" t="s">
        <v>310</v>
      </c>
      <c r="O7951" t="s">
        <v>46</v>
      </c>
      <c r="P7951" t="s">
        <v>46</v>
      </c>
      <c r="Y7951" t="s">
        <v>27416</v>
      </c>
    </row>
    <row r="7952" spans="1:25">
      <c r="A7952" t="s">
        <v>27417</v>
      </c>
      <c r="B7952" t="s">
        <v>27418</v>
      </c>
      <c r="D7952" t="s">
        <v>40</v>
      </c>
      <c r="E7952" t="s">
        <v>41</v>
      </c>
      <c r="J7952" t="s">
        <v>1554</v>
      </c>
      <c r="K7952" t="s">
        <v>1555</v>
      </c>
      <c r="L7952">
        <v>5</v>
      </c>
      <c r="M7952" t="s">
        <v>27419</v>
      </c>
      <c r="N7952" t="s">
        <v>27228</v>
      </c>
      <c r="O7952" t="s">
        <v>46</v>
      </c>
      <c r="P7952" t="s">
        <v>46</v>
      </c>
      <c r="Y7952" t="s">
        <v>27420</v>
      </c>
    </row>
    <row r="7953" spans="1:25">
      <c r="A7953" t="s">
        <v>27421</v>
      </c>
      <c r="B7953" t="s">
        <v>27422</v>
      </c>
      <c r="D7953" t="s">
        <v>40</v>
      </c>
      <c r="E7953" t="s">
        <v>41</v>
      </c>
      <c r="J7953" t="s">
        <v>1554</v>
      </c>
      <c r="K7953" t="s">
        <v>1555</v>
      </c>
      <c r="L7953">
        <v>5</v>
      </c>
      <c r="M7953" t="s">
        <v>27423</v>
      </c>
      <c r="N7953" t="s">
        <v>266</v>
      </c>
      <c r="O7953" t="s">
        <v>46</v>
      </c>
      <c r="P7953" t="s">
        <v>46</v>
      </c>
      <c r="Y7953" t="s">
        <v>27424</v>
      </c>
    </row>
    <row r="7954" spans="1:25">
      <c r="A7954" t="s">
        <v>27425</v>
      </c>
      <c r="B7954" t="s">
        <v>27426</v>
      </c>
      <c r="D7954" t="s">
        <v>40</v>
      </c>
      <c r="E7954" t="s">
        <v>41</v>
      </c>
      <c r="J7954" t="s">
        <v>248</v>
      </c>
      <c r="K7954" t="s">
        <v>249</v>
      </c>
      <c r="L7954">
        <v>4</v>
      </c>
      <c r="M7954" t="s">
        <v>27427</v>
      </c>
      <c r="N7954" t="s">
        <v>24227</v>
      </c>
      <c r="O7954" t="s">
        <v>46</v>
      </c>
      <c r="P7954" t="s">
        <v>46</v>
      </c>
      <c r="Y7954" t="s">
        <v>27428</v>
      </c>
    </row>
    <row r="7955" spans="1:25">
      <c r="A7955" t="s">
        <v>27429</v>
      </c>
      <c r="B7955" t="s">
        <v>27430</v>
      </c>
      <c r="D7955" t="s">
        <v>40</v>
      </c>
      <c r="E7955" t="s">
        <v>41</v>
      </c>
      <c r="J7955" t="s">
        <v>248</v>
      </c>
      <c r="K7955" t="s">
        <v>249</v>
      </c>
      <c r="L7955">
        <v>5</v>
      </c>
      <c r="M7955" t="s">
        <v>27431</v>
      </c>
      <c r="N7955" t="s">
        <v>1397</v>
      </c>
      <c r="O7955" t="s">
        <v>46</v>
      </c>
      <c r="P7955" t="s">
        <v>46</v>
      </c>
      <c r="Y7955" t="s">
        <v>27432</v>
      </c>
    </row>
    <row r="7956" spans="1:25">
      <c r="A7956" t="s">
        <v>27433</v>
      </c>
      <c r="B7956" t="s">
        <v>27434</v>
      </c>
      <c r="D7956" t="s">
        <v>40</v>
      </c>
      <c r="E7956" t="s">
        <v>41</v>
      </c>
      <c r="J7956" t="s">
        <v>1142</v>
      </c>
      <c r="K7956" t="s">
        <v>1143</v>
      </c>
      <c r="L7956">
        <v>5</v>
      </c>
      <c r="M7956" t="s">
        <v>27431</v>
      </c>
      <c r="N7956" t="s">
        <v>142</v>
      </c>
      <c r="O7956" t="s">
        <v>46</v>
      </c>
      <c r="P7956" t="s">
        <v>46</v>
      </c>
      <c r="Y7956" t="s">
        <v>27435</v>
      </c>
    </row>
    <row r="7957" spans="1:25">
      <c r="A7957" t="s">
        <v>27436</v>
      </c>
      <c r="B7957" t="s">
        <v>27437</v>
      </c>
      <c r="D7957" t="s">
        <v>40</v>
      </c>
      <c r="E7957" t="s">
        <v>41</v>
      </c>
      <c r="J7957" t="s">
        <v>599</v>
      </c>
      <c r="K7957" t="s">
        <v>600</v>
      </c>
      <c r="L7957">
        <v>5</v>
      </c>
      <c r="M7957" t="s">
        <v>27438</v>
      </c>
      <c r="N7957" t="s">
        <v>1550</v>
      </c>
      <c r="O7957" t="s">
        <v>46</v>
      </c>
      <c r="P7957" t="s">
        <v>46</v>
      </c>
      <c r="Y7957" t="s">
        <v>27439</v>
      </c>
    </row>
    <row r="7958" spans="1:25">
      <c r="A7958" t="s">
        <v>27440</v>
      </c>
      <c r="B7958" t="s">
        <v>27441</v>
      </c>
      <c r="D7958" t="s">
        <v>40</v>
      </c>
      <c r="E7958" t="s">
        <v>41</v>
      </c>
      <c r="J7958" t="s">
        <v>1554</v>
      </c>
      <c r="K7958" t="s">
        <v>1555</v>
      </c>
      <c r="L7958">
        <v>5</v>
      </c>
      <c r="M7958" t="s">
        <v>27438</v>
      </c>
      <c r="N7958" t="s">
        <v>1369</v>
      </c>
      <c r="O7958" t="s">
        <v>46</v>
      </c>
      <c r="P7958" t="s">
        <v>46</v>
      </c>
      <c r="Y7958" t="s">
        <v>27442</v>
      </c>
    </row>
    <row r="7959" spans="1:25">
      <c r="A7959" t="s">
        <v>27443</v>
      </c>
      <c r="B7959" t="s">
        <v>27444</v>
      </c>
      <c r="D7959" t="s">
        <v>40</v>
      </c>
      <c r="E7959" t="s">
        <v>41</v>
      </c>
      <c r="J7959" t="s">
        <v>1142</v>
      </c>
      <c r="K7959" t="s">
        <v>1143</v>
      </c>
      <c r="L7959">
        <v>5</v>
      </c>
      <c r="M7959" t="s">
        <v>27445</v>
      </c>
      <c r="N7959" t="s">
        <v>22465</v>
      </c>
      <c r="O7959" t="s">
        <v>46</v>
      </c>
      <c r="P7959" t="s">
        <v>46</v>
      </c>
      <c r="Y7959" t="s">
        <v>27446</v>
      </c>
    </row>
    <row r="7960" spans="1:25">
      <c r="A7960" t="s">
        <v>27447</v>
      </c>
      <c r="B7960" t="s">
        <v>27448</v>
      </c>
      <c r="D7960" t="s">
        <v>40</v>
      </c>
      <c r="E7960" t="s">
        <v>41</v>
      </c>
      <c r="J7960" t="s">
        <v>248</v>
      </c>
      <c r="K7960" t="s">
        <v>249</v>
      </c>
      <c r="L7960">
        <v>5</v>
      </c>
      <c r="M7960" t="s">
        <v>27449</v>
      </c>
      <c r="N7960" t="s">
        <v>310</v>
      </c>
      <c r="O7960" t="s">
        <v>46</v>
      </c>
      <c r="P7960" t="s">
        <v>46</v>
      </c>
      <c r="Y7960" t="s">
        <v>27450</v>
      </c>
    </row>
    <row r="7961" spans="1:25">
      <c r="A7961" t="s">
        <v>27451</v>
      </c>
      <c r="B7961" t="s">
        <v>27452</v>
      </c>
      <c r="D7961" t="s">
        <v>40</v>
      </c>
      <c r="E7961" t="s">
        <v>41</v>
      </c>
      <c r="J7961" t="s">
        <v>248</v>
      </c>
      <c r="K7961" t="s">
        <v>249</v>
      </c>
      <c r="L7961">
        <v>5</v>
      </c>
      <c r="M7961" t="s">
        <v>27453</v>
      </c>
      <c r="N7961" t="s">
        <v>24387</v>
      </c>
      <c r="O7961" t="s">
        <v>46</v>
      </c>
      <c r="P7961" t="s">
        <v>46</v>
      </c>
      <c r="Y7961" t="s">
        <v>27454</v>
      </c>
    </row>
    <row r="7962" spans="1:25">
      <c r="A7962" t="s">
        <v>27455</v>
      </c>
      <c r="B7962" t="s">
        <v>27456</v>
      </c>
      <c r="D7962" t="s">
        <v>40</v>
      </c>
      <c r="E7962" t="s">
        <v>41</v>
      </c>
      <c r="J7962" t="s">
        <v>139</v>
      </c>
      <c r="K7962" t="s">
        <v>140</v>
      </c>
      <c r="L7962">
        <v>5</v>
      </c>
      <c r="M7962" t="s">
        <v>27457</v>
      </c>
      <c r="N7962" t="s">
        <v>310</v>
      </c>
      <c r="O7962" t="s">
        <v>46</v>
      </c>
      <c r="P7962" t="s">
        <v>46</v>
      </c>
      <c r="Y7962" t="s">
        <v>27458</v>
      </c>
    </row>
    <row r="7963" spans="1:25">
      <c r="A7963" t="s">
        <v>27459</v>
      </c>
      <c r="B7963" t="s">
        <v>27460</v>
      </c>
      <c r="D7963" t="s">
        <v>40</v>
      </c>
      <c r="E7963" t="s">
        <v>41</v>
      </c>
      <c r="J7963" t="s">
        <v>248</v>
      </c>
      <c r="K7963" t="s">
        <v>249</v>
      </c>
      <c r="L7963">
        <v>5</v>
      </c>
      <c r="M7963" t="s">
        <v>27461</v>
      </c>
      <c r="N7963" t="s">
        <v>1397</v>
      </c>
      <c r="O7963" t="s">
        <v>46</v>
      </c>
      <c r="P7963" t="s">
        <v>46</v>
      </c>
      <c r="Y7963" t="s">
        <v>27462</v>
      </c>
    </row>
    <row r="7964" spans="1:25">
      <c r="A7964" t="s">
        <v>27463</v>
      </c>
      <c r="B7964" t="s">
        <v>27464</v>
      </c>
      <c r="D7964" t="s">
        <v>40</v>
      </c>
      <c r="E7964" t="s">
        <v>41</v>
      </c>
      <c r="J7964" t="s">
        <v>1554</v>
      </c>
      <c r="K7964" t="s">
        <v>1555</v>
      </c>
      <c r="L7964">
        <v>5</v>
      </c>
      <c r="M7964" t="s">
        <v>27465</v>
      </c>
      <c r="N7964" t="s">
        <v>27228</v>
      </c>
      <c r="O7964" t="s">
        <v>46</v>
      </c>
      <c r="P7964" t="s">
        <v>46</v>
      </c>
      <c r="Y7964" t="s">
        <v>27466</v>
      </c>
    </row>
    <row r="7965" spans="1:25">
      <c r="A7965" t="s">
        <v>27467</v>
      </c>
      <c r="B7965" t="s">
        <v>27468</v>
      </c>
      <c r="D7965" t="s">
        <v>40</v>
      </c>
      <c r="E7965" t="s">
        <v>41</v>
      </c>
      <c r="J7965" t="s">
        <v>248</v>
      </c>
      <c r="K7965" t="s">
        <v>249</v>
      </c>
      <c r="L7965">
        <v>5</v>
      </c>
      <c r="M7965" t="s">
        <v>27465</v>
      </c>
      <c r="N7965" t="s">
        <v>1369</v>
      </c>
      <c r="O7965" t="s">
        <v>46</v>
      </c>
      <c r="P7965" t="s">
        <v>46</v>
      </c>
      <c r="Y7965" t="s">
        <v>27469</v>
      </c>
    </row>
    <row r="7966" spans="1:25">
      <c r="A7966" t="s">
        <v>27470</v>
      </c>
      <c r="B7966" t="s">
        <v>27471</v>
      </c>
      <c r="D7966" t="s">
        <v>40</v>
      </c>
      <c r="E7966" t="s">
        <v>41</v>
      </c>
      <c r="J7966" t="s">
        <v>139</v>
      </c>
      <c r="K7966" t="s">
        <v>140</v>
      </c>
      <c r="L7966">
        <v>5</v>
      </c>
      <c r="M7966" t="s">
        <v>27465</v>
      </c>
      <c r="N7966" t="s">
        <v>142</v>
      </c>
      <c r="O7966" t="s">
        <v>46</v>
      </c>
      <c r="P7966" t="s">
        <v>46</v>
      </c>
      <c r="Y7966" t="s">
        <v>27472</v>
      </c>
    </row>
    <row r="7967" spans="1:25">
      <c r="A7967" t="s">
        <v>27473</v>
      </c>
      <c r="B7967" t="s">
        <v>27474</v>
      </c>
      <c r="D7967" t="s">
        <v>40</v>
      </c>
      <c r="E7967" t="s">
        <v>41</v>
      </c>
      <c r="J7967" t="s">
        <v>139</v>
      </c>
      <c r="K7967" t="s">
        <v>140</v>
      </c>
      <c r="L7967">
        <v>5</v>
      </c>
      <c r="M7967" t="s">
        <v>27475</v>
      </c>
      <c r="N7967" t="s">
        <v>1550</v>
      </c>
      <c r="O7967" t="s">
        <v>46</v>
      </c>
      <c r="P7967" t="s">
        <v>46</v>
      </c>
      <c r="Y7967" t="s">
        <v>27476</v>
      </c>
    </row>
    <row r="7968" spans="1:25">
      <c r="A7968" t="s">
        <v>27477</v>
      </c>
      <c r="B7968" t="s">
        <v>27478</v>
      </c>
      <c r="D7968" t="s">
        <v>40</v>
      </c>
      <c r="E7968" t="s">
        <v>41</v>
      </c>
      <c r="J7968" t="s">
        <v>12440</v>
      </c>
      <c r="K7968" t="s">
        <v>12441</v>
      </c>
      <c r="L7968">
        <v>6</v>
      </c>
      <c r="M7968" t="s">
        <v>27479</v>
      </c>
      <c r="N7968" t="s">
        <v>64</v>
      </c>
      <c r="O7968" t="s">
        <v>46</v>
      </c>
      <c r="P7968" t="s">
        <v>46</v>
      </c>
      <c r="Y7968" t="s">
        <v>27480</v>
      </c>
    </row>
    <row r="7969" spans="1:25">
      <c r="A7969" t="s">
        <v>27481</v>
      </c>
      <c r="B7969" t="s">
        <v>27482</v>
      </c>
      <c r="D7969" t="s">
        <v>40</v>
      </c>
      <c r="E7969" t="s">
        <v>41</v>
      </c>
      <c r="J7969" t="s">
        <v>12440</v>
      </c>
      <c r="K7969" t="s">
        <v>12441</v>
      </c>
      <c r="L7969">
        <v>6</v>
      </c>
      <c r="M7969" t="s">
        <v>27483</v>
      </c>
      <c r="N7969" t="s">
        <v>64</v>
      </c>
      <c r="O7969" t="s">
        <v>46</v>
      </c>
      <c r="P7969" t="s">
        <v>46</v>
      </c>
      <c r="Y7969" t="s">
        <v>27484</v>
      </c>
    </row>
    <row r="7970" spans="1:25">
      <c r="A7970" t="s">
        <v>27485</v>
      </c>
      <c r="B7970" t="s">
        <v>27486</v>
      </c>
      <c r="D7970" t="s">
        <v>40</v>
      </c>
      <c r="E7970" t="s">
        <v>41</v>
      </c>
      <c r="J7970" t="s">
        <v>1142</v>
      </c>
      <c r="K7970" t="s">
        <v>1143</v>
      </c>
      <c r="L7970">
        <v>5</v>
      </c>
      <c r="M7970" t="s">
        <v>27487</v>
      </c>
      <c r="N7970" t="s">
        <v>2621</v>
      </c>
      <c r="O7970" t="s">
        <v>46</v>
      </c>
      <c r="P7970" t="s">
        <v>46</v>
      </c>
      <c r="Y7970" t="s">
        <v>27488</v>
      </c>
    </row>
    <row r="7971" spans="1:25">
      <c r="A7971" t="s">
        <v>27489</v>
      </c>
      <c r="B7971" t="s">
        <v>27490</v>
      </c>
      <c r="D7971" t="s">
        <v>40</v>
      </c>
      <c r="E7971" t="s">
        <v>41</v>
      </c>
      <c r="J7971" t="s">
        <v>139</v>
      </c>
      <c r="K7971" t="s">
        <v>140</v>
      </c>
      <c r="L7971">
        <v>5</v>
      </c>
      <c r="M7971" t="s">
        <v>27487</v>
      </c>
      <c r="N7971" t="s">
        <v>178</v>
      </c>
      <c r="O7971" t="s">
        <v>46</v>
      </c>
      <c r="P7971" t="s">
        <v>46</v>
      </c>
      <c r="Y7971" t="s">
        <v>27491</v>
      </c>
    </row>
    <row r="7972" spans="1:25">
      <c r="A7972" t="s">
        <v>27492</v>
      </c>
      <c r="B7972" t="s">
        <v>27493</v>
      </c>
      <c r="D7972" t="s">
        <v>40</v>
      </c>
      <c r="E7972" t="s">
        <v>41</v>
      </c>
      <c r="J7972" t="s">
        <v>11802</v>
      </c>
      <c r="K7972" t="s">
        <v>11803</v>
      </c>
      <c r="L7972">
        <v>5</v>
      </c>
      <c r="M7972" t="s">
        <v>27494</v>
      </c>
      <c r="N7972" t="s">
        <v>4037</v>
      </c>
      <c r="O7972" t="s">
        <v>46</v>
      </c>
      <c r="P7972" t="s">
        <v>46</v>
      </c>
      <c r="Y7972" t="s">
        <v>27495</v>
      </c>
    </row>
    <row r="7973" spans="1:25">
      <c r="A7973" t="s">
        <v>27496</v>
      </c>
      <c r="B7973" t="s">
        <v>27497</v>
      </c>
      <c r="D7973" t="s">
        <v>40</v>
      </c>
      <c r="E7973" t="s">
        <v>41</v>
      </c>
      <c r="J7973" t="s">
        <v>248</v>
      </c>
      <c r="K7973" t="s">
        <v>249</v>
      </c>
      <c r="L7973">
        <v>5</v>
      </c>
      <c r="M7973" t="s">
        <v>27498</v>
      </c>
      <c r="N7973" t="s">
        <v>142</v>
      </c>
      <c r="O7973" t="s">
        <v>46</v>
      </c>
      <c r="P7973" t="s">
        <v>46</v>
      </c>
      <c r="Y7973" t="s">
        <v>27499</v>
      </c>
    </row>
    <row r="7974" spans="1:25">
      <c r="A7974" t="s">
        <v>27500</v>
      </c>
      <c r="B7974" t="s">
        <v>27501</v>
      </c>
      <c r="D7974" t="s">
        <v>40</v>
      </c>
      <c r="E7974" t="s">
        <v>41</v>
      </c>
      <c r="J7974" t="s">
        <v>16458</v>
      </c>
      <c r="K7974" t="s">
        <v>16459</v>
      </c>
      <c r="L7974">
        <v>5</v>
      </c>
      <c r="M7974" t="s">
        <v>27502</v>
      </c>
      <c r="N7974" t="s">
        <v>1024</v>
      </c>
      <c r="O7974" t="s">
        <v>46</v>
      </c>
      <c r="P7974" t="s">
        <v>46</v>
      </c>
      <c r="Y7974" t="s">
        <v>27503</v>
      </c>
    </row>
    <row r="7975" spans="1:25">
      <c r="A7975" t="s">
        <v>27504</v>
      </c>
      <c r="B7975" t="s">
        <v>27505</v>
      </c>
      <c r="D7975" t="s">
        <v>40</v>
      </c>
      <c r="E7975" t="s">
        <v>41</v>
      </c>
      <c r="J7975" t="s">
        <v>139</v>
      </c>
      <c r="K7975" t="s">
        <v>140</v>
      </c>
      <c r="L7975">
        <v>5</v>
      </c>
      <c r="M7975" t="s">
        <v>27506</v>
      </c>
      <c r="N7975" t="s">
        <v>24245</v>
      </c>
      <c r="O7975" t="s">
        <v>46</v>
      </c>
      <c r="P7975" t="s">
        <v>46</v>
      </c>
      <c r="Y7975" t="s">
        <v>27507</v>
      </c>
    </row>
    <row r="7976" spans="1:25">
      <c r="A7976" t="s">
        <v>27508</v>
      </c>
      <c r="B7976" t="s">
        <v>27509</v>
      </c>
      <c r="D7976" t="s">
        <v>40</v>
      </c>
      <c r="E7976" t="s">
        <v>41</v>
      </c>
      <c r="J7976" t="s">
        <v>12440</v>
      </c>
      <c r="K7976" t="s">
        <v>12441</v>
      </c>
      <c r="L7976">
        <v>6</v>
      </c>
      <c r="M7976" t="s">
        <v>27510</v>
      </c>
      <c r="N7976" t="s">
        <v>436</v>
      </c>
      <c r="O7976" t="s">
        <v>46</v>
      </c>
      <c r="P7976" t="s">
        <v>46</v>
      </c>
      <c r="Y7976" t="s">
        <v>27511</v>
      </c>
    </row>
    <row r="7977" spans="1:25">
      <c r="A7977" t="s">
        <v>27512</v>
      </c>
      <c r="B7977" t="s">
        <v>27513</v>
      </c>
      <c r="D7977" t="s">
        <v>40</v>
      </c>
      <c r="E7977" t="s">
        <v>41</v>
      </c>
      <c r="J7977" t="s">
        <v>1142</v>
      </c>
      <c r="K7977" t="s">
        <v>1143</v>
      </c>
      <c r="L7977">
        <v>5</v>
      </c>
      <c r="M7977" t="s">
        <v>27514</v>
      </c>
      <c r="N7977" t="s">
        <v>4037</v>
      </c>
      <c r="O7977" t="s">
        <v>46</v>
      </c>
      <c r="P7977" t="s">
        <v>46</v>
      </c>
      <c r="Y7977" t="s">
        <v>27515</v>
      </c>
    </row>
    <row r="7978" spans="1:25">
      <c r="A7978" t="s">
        <v>27516</v>
      </c>
      <c r="B7978" t="s">
        <v>27517</v>
      </c>
      <c r="D7978" t="s">
        <v>40</v>
      </c>
      <c r="E7978" t="s">
        <v>41</v>
      </c>
      <c r="J7978" t="s">
        <v>248</v>
      </c>
      <c r="K7978" t="s">
        <v>249</v>
      </c>
      <c r="L7978">
        <v>5</v>
      </c>
      <c r="M7978" t="s">
        <v>27514</v>
      </c>
      <c r="N7978" t="s">
        <v>1024</v>
      </c>
      <c r="O7978" t="s">
        <v>46</v>
      </c>
      <c r="P7978" t="s">
        <v>46</v>
      </c>
      <c r="Y7978" t="s">
        <v>27518</v>
      </c>
    </row>
    <row r="7979" spans="1:25">
      <c r="A7979" t="s">
        <v>27519</v>
      </c>
      <c r="B7979" t="s">
        <v>27520</v>
      </c>
      <c r="D7979" t="s">
        <v>40</v>
      </c>
      <c r="E7979" t="s">
        <v>41</v>
      </c>
      <c r="J7979" t="s">
        <v>11802</v>
      </c>
      <c r="K7979" t="s">
        <v>11803</v>
      </c>
      <c r="L7979">
        <v>5</v>
      </c>
      <c r="M7979" t="s">
        <v>27514</v>
      </c>
      <c r="N7979" t="s">
        <v>257</v>
      </c>
      <c r="O7979" t="s">
        <v>46</v>
      </c>
      <c r="P7979" t="s">
        <v>46</v>
      </c>
      <c r="Y7979" t="s">
        <v>27521</v>
      </c>
    </row>
    <row r="7980" spans="1:25">
      <c r="A7980" t="s">
        <v>27522</v>
      </c>
      <c r="B7980" t="s">
        <v>27523</v>
      </c>
      <c r="D7980" t="s">
        <v>40</v>
      </c>
      <c r="E7980" t="s">
        <v>41</v>
      </c>
      <c r="J7980" t="s">
        <v>139</v>
      </c>
      <c r="K7980" t="s">
        <v>140</v>
      </c>
      <c r="L7980">
        <v>5</v>
      </c>
      <c r="M7980" t="s">
        <v>27524</v>
      </c>
      <c r="N7980" t="s">
        <v>3013</v>
      </c>
      <c r="O7980" t="s">
        <v>46</v>
      </c>
      <c r="P7980" t="s">
        <v>46</v>
      </c>
      <c r="Y7980" t="s">
        <v>27525</v>
      </c>
    </row>
    <row r="7981" spans="1:25">
      <c r="A7981" t="s">
        <v>27526</v>
      </c>
      <c r="B7981" t="s">
        <v>27527</v>
      </c>
      <c r="D7981" t="s">
        <v>40</v>
      </c>
      <c r="E7981" t="s">
        <v>41</v>
      </c>
      <c r="J7981" t="s">
        <v>248</v>
      </c>
      <c r="K7981" t="s">
        <v>249</v>
      </c>
      <c r="L7981">
        <v>5</v>
      </c>
      <c r="M7981" t="s">
        <v>27528</v>
      </c>
      <c r="N7981" t="s">
        <v>291</v>
      </c>
      <c r="O7981" t="s">
        <v>46</v>
      </c>
      <c r="P7981" t="s">
        <v>46</v>
      </c>
      <c r="Y7981" t="s">
        <v>27529</v>
      </c>
    </row>
    <row r="7982" spans="1:25">
      <c r="A7982" t="s">
        <v>27530</v>
      </c>
      <c r="B7982" t="s">
        <v>27531</v>
      </c>
      <c r="D7982" t="s">
        <v>40</v>
      </c>
      <c r="E7982" t="s">
        <v>41</v>
      </c>
      <c r="J7982" t="s">
        <v>1554</v>
      </c>
      <c r="K7982" t="s">
        <v>1555</v>
      </c>
      <c r="L7982">
        <v>5</v>
      </c>
      <c r="M7982" t="s">
        <v>27532</v>
      </c>
      <c r="N7982" t="s">
        <v>45</v>
      </c>
      <c r="O7982" t="s">
        <v>46</v>
      </c>
      <c r="P7982" t="s">
        <v>46</v>
      </c>
      <c r="Y7982" t="s">
        <v>27533</v>
      </c>
    </row>
    <row r="7983" spans="1:25">
      <c r="A7983" t="s">
        <v>27534</v>
      </c>
      <c r="B7983" t="s">
        <v>27535</v>
      </c>
      <c r="D7983" t="s">
        <v>40</v>
      </c>
      <c r="E7983" t="s">
        <v>41</v>
      </c>
      <c r="J7983" t="s">
        <v>248</v>
      </c>
      <c r="K7983" t="s">
        <v>249</v>
      </c>
      <c r="L7983">
        <v>6</v>
      </c>
      <c r="M7983" t="s">
        <v>27536</v>
      </c>
      <c r="N7983" t="s">
        <v>1334</v>
      </c>
      <c r="O7983" t="s">
        <v>46</v>
      </c>
      <c r="P7983" t="s">
        <v>46</v>
      </c>
      <c r="Y7983" t="s">
        <v>27537</v>
      </c>
    </row>
    <row r="7984" spans="1:25">
      <c r="A7984" t="s">
        <v>27538</v>
      </c>
      <c r="B7984" t="s">
        <v>27539</v>
      </c>
      <c r="D7984" t="s">
        <v>40</v>
      </c>
      <c r="E7984" t="s">
        <v>41</v>
      </c>
      <c r="J7984" t="s">
        <v>248</v>
      </c>
      <c r="K7984" t="s">
        <v>249</v>
      </c>
      <c r="L7984">
        <v>5</v>
      </c>
      <c r="M7984" t="s">
        <v>27540</v>
      </c>
      <c r="N7984" t="s">
        <v>1446</v>
      </c>
      <c r="O7984" t="s">
        <v>46</v>
      </c>
      <c r="P7984" t="s">
        <v>46</v>
      </c>
      <c r="Y7984" t="s">
        <v>27541</v>
      </c>
    </row>
    <row r="7985" spans="1:25">
      <c r="A7985" t="s">
        <v>27542</v>
      </c>
      <c r="B7985" t="s">
        <v>27543</v>
      </c>
      <c r="D7985" t="s">
        <v>40</v>
      </c>
      <c r="E7985" t="s">
        <v>41</v>
      </c>
      <c r="J7985" t="s">
        <v>1554</v>
      </c>
      <c r="K7985" t="s">
        <v>1555</v>
      </c>
      <c r="L7985">
        <v>4</v>
      </c>
      <c r="M7985" t="s">
        <v>27544</v>
      </c>
      <c r="N7985" t="s">
        <v>5995</v>
      </c>
      <c r="O7985" t="s">
        <v>46</v>
      </c>
      <c r="P7985" t="s">
        <v>46</v>
      </c>
      <c r="Y7985" t="s">
        <v>27545</v>
      </c>
    </row>
    <row r="7986" spans="1:25">
      <c r="A7986" t="s">
        <v>27546</v>
      </c>
      <c r="B7986" t="s">
        <v>27547</v>
      </c>
      <c r="D7986" t="s">
        <v>40</v>
      </c>
      <c r="E7986" t="s">
        <v>41</v>
      </c>
      <c r="J7986" t="s">
        <v>1142</v>
      </c>
      <c r="K7986" t="s">
        <v>1143</v>
      </c>
      <c r="L7986">
        <v>4</v>
      </c>
      <c r="M7986" t="s">
        <v>27544</v>
      </c>
      <c r="N7986" t="s">
        <v>1344</v>
      </c>
      <c r="O7986" t="s">
        <v>46</v>
      </c>
      <c r="P7986" t="s">
        <v>46</v>
      </c>
      <c r="Y7986" t="s">
        <v>27548</v>
      </c>
    </row>
    <row r="7987" spans="1:25">
      <c r="A7987" t="s">
        <v>27549</v>
      </c>
      <c r="B7987" t="s">
        <v>27550</v>
      </c>
      <c r="D7987" t="s">
        <v>40</v>
      </c>
      <c r="E7987" t="s">
        <v>41</v>
      </c>
      <c r="J7987" t="s">
        <v>248</v>
      </c>
      <c r="K7987" t="s">
        <v>249</v>
      </c>
      <c r="L7987">
        <v>4</v>
      </c>
      <c r="M7987" t="s">
        <v>27551</v>
      </c>
      <c r="N7987" t="s">
        <v>1369</v>
      </c>
      <c r="O7987" t="s">
        <v>46</v>
      </c>
      <c r="P7987" t="s">
        <v>46</v>
      </c>
      <c r="Y7987" t="s">
        <v>27552</v>
      </c>
    </row>
    <row r="7988" spans="1:25">
      <c r="A7988" t="s">
        <v>27553</v>
      </c>
      <c r="B7988" t="s">
        <v>27554</v>
      </c>
      <c r="D7988" t="s">
        <v>40</v>
      </c>
      <c r="E7988" t="s">
        <v>41</v>
      </c>
      <c r="J7988" t="s">
        <v>248</v>
      </c>
      <c r="K7988" t="s">
        <v>249</v>
      </c>
      <c r="L7988">
        <v>4</v>
      </c>
      <c r="M7988" t="s">
        <v>27551</v>
      </c>
      <c r="N7988" t="s">
        <v>178</v>
      </c>
      <c r="O7988" t="s">
        <v>46</v>
      </c>
      <c r="P7988" t="s">
        <v>46</v>
      </c>
      <c r="Y7988" t="s">
        <v>27555</v>
      </c>
    </row>
    <row r="7989" spans="1:25">
      <c r="A7989" t="s">
        <v>27556</v>
      </c>
      <c r="B7989" t="s">
        <v>27557</v>
      </c>
      <c r="D7989" t="s">
        <v>40</v>
      </c>
      <c r="E7989" t="s">
        <v>41</v>
      </c>
      <c r="J7989" t="s">
        <v>248</v>
      </c>
      <c r="K7989" t="s">
        <v>249</v>
      </c>
      <c r="L7989">
        <v>4</v>
      </c>
      <c r="M7989" t="s">
        <v>27558</v>
      </c>
      <c r="N7989" t="s">
        <v>3013</v>
      </c>
      <c r="O7989" t="s">
        <v>46</v>
      </c>
      <c r="P7989" t="s">
        <v>46</v>
      </c>
      <c r="Y7989" t="s">
        <v>27559</v>
      </c>
    </row>
    <row r="7990" spans="1:25">
      <c r="A7990" t="s">
        <v>27560</v>
      </c>
      <c r="B7990" t="s">
        <v>27561</v>
      </c>
      <c r="D7990" t="s">
        <v>40</v>
      </c>
      <c r="E7990" t="s">
        <v>41</v>
      </c>
      <c r="J7990" t="s">
        <v>248</v>
      </c>
      <c r="K7990" t="s">
        <v>249</v>
      </c>
      <c r="L7990">
        <v>4</v>
      </c>
      <c r="M7990" t="s">
        <v>27562</v>
      </c>
      <c r="N7990" t="s">
        <v>1369</v>
      </c>
      <c r="O7990" t="s">
        <v>46</v>
      </c>
      <c r="P7990" t="s">
        <v>46</v>
      </c>
      <c r="Y7990" t="s">
        <v>27563</v>
      </c>
    </row>
    <row r="7991" spans="1:25">
      <c r="A7991" t="s">
        <v>27564</v>
      </c>
      <c r="B7991" t="s">
        <v>27565</v>
      </c>
      <c r="D7991" t="s">
        <v>40</v>
      </c>
      <c r="E7991" t="s">
        <v>41</v>
      </c>
      <c r="J7991" t="s">
        <v>1142</v>
      </c>
      <c r="K7991" t="s">
        <v>1143</v>
      </c>
      <c r="L7991">
        <v>4</v>
      </c>
      <c r="M7991" t="s">
        <v>27562</v>
      </c>
      <c r="N7991" t="s">
        <v>45</v>
      </c>
      <c r="O7991" t="s">
        <v>46</v>
      </c>
      <c r="P7991" t="s">
        <v>46</v>
      </c>
      <c r="Y7991" t="s">
        <v>27566</v>
      </c>
    </row>
    <row r="7992" spans="1:25">
      <c r="A7992" t="s">
        <v>27567</v>
      </c>
      <c r="B7992" t="s">
        <v>27568</v>
      </c>
      <c r="D7992" t="s">
        <v>40</v>
      </c>
      <c r="E7992" t="s">
        <v>41</v>
      </c>
      <c r="J7992" t="s">
        <v>11802</v>
      </c>
      <c r="K7992" t="s">
        <v>11803</v>
      </c>
      <c r="L7992">
        <v>4</v>
      </c>
      <c r="M7992" t="s">
        <v>27569</v>
      </c>
      <c r="N7992" t="s">
        <v>24387</v>
      </c>
      <c r="O7992" t="s">
        <v>46</v>
      </c>
      <c r="P7992" t="s">
        <v>46</v>
      </c>
      <c r="Y7992" t="s">
        <v>27570</v>
      </c>
    </row>
    <row r="7993" spans="1:25">
      <c r="A7993" t="s">
        <v>27571</v>
      </c>
      <c r="B7993" t="s">
        <v>27572</v>
      </c>
      <c r="D7993" t="s">
        <v>40</v>
      </c>
      <c r="E7993" t="s">
        <v>41</v>
      </c>
      <c r="J7993" t="s">
        <v>139</v>
      </c>
      <c r="K7993" t="s">
        <v>140</v>
      </c>
      <c r="L7993">
        <v>4</v>
      </c>
      <c r="M7993" t="s">
        <v>27573</v>
      </c>
      <c r="N7993" t="s">
        <v>296</v>
      </c>
      <c r="O7993" t="s">
        <v>46</v>
      </c>
      <c r="P7993" t="s">
        <v>46</v>
      </c>
      <c r="Y7993" t="s">
        <v>27574</v>
      </c>
    </row>
    <row r="7994" spans="1:25">
      <c r="A7994" t="s">
        <v>27575</v>
      </c>
      <c r="B7994" t="s">
        <v>27576</v>
      </c>
      <c r="D7994" t="s">
        <v>40</v>
      </c>
      <c r="E7994" t="s">
        <v>41</v>
      </c>
      <c r="J7994" t="s">
        <v>139</v>
      </c>
      <c r="K7994" t="s">
        <v>140</v>
      </c>
      <c r="L7994">
        <v>4</v>
      </c>
      <c r="M7994" t="s">
        <v>27573</v>
      </c>
      <c r="N7994" t="s">
        <v>1550</v>
      </c>
      <c r="O7994" t="s">
        <v>46</v>
      </c>
      <c r="P7994" t="s">
        <v>46</v>
      </c>
      <c r="Y7994" t="s">
        <v>27577</v>
      </c>
    </row>
    <row r="7995" spans="1:25">
      <c r="A7995" t="s">
        <v>27578</v>
      </c>
      <c r="B7995" t="s">
        <v>27579</v>
      </c>
      <c r="D7995" t="s">
        <v>40</v>
      </c>
      <c r="E7995" t="s">
        <v>41</v>
      </c>
      <c r="J7995" t="s">
        <v>599</v>
      </c>
      <c r="K7995" t="s">
        <v>600</v>
      </c>
      <c r="L7995">
        <v>4</v>
      </c>
      <c r="M7995" t="s">
        <v>27573</v>
      </c>
      <c r="N7995" t="s">
        <v>142</v>
      </c>
      <c r="O7995" t="s">
        <v>46</v>
      </c>
      <c r="P7995" t="s">
        <v>46</v>
      </c>
      <c r="Y7995" t="s">
        <v>27580</v>
      </c>
    </row>
    <row r="7996" spans="1:25">
      <c r="A7996" t="s">
        <v>27581</v>
      </c>
      <c r="B7996" t="s">
        <v>27582</v>
      </c>
      <c r="D7996" t="s">
        <v>40</v>
      </c>
      <c r="E7996" t="s">
        <v>41</v>
      </c>
      <c r="J7996" t="s">
        <v>139</v>
      </c>
      <c r="K7996" t="s">
        <v>140</v>
      </c>
      <c r="L7996">
        <v>4</v>
      </c>
      <c r="M7996" t="s">
        <v>27573</v>
      </c>
      <c r="N7996" t="s">
        <v>24245</v>
      </c>
      <c r="O7996" t="s">
        <v>46</v>
      </c>
      <c r="P7996" t="s">
        <v>46</v>
      </c>
      <c r="Y7996" t="s">
        <v>27583</v>
      </c>
    </row>
    <row r="7997" spans="1:25">
      <c r="A7997" t="s">
        <v>27584</v>
      </c>
      <c r="B7997" t="s">
        <v>27585</v>
      </c>
      <c r="D7997" t="s">
        <v>40</v>
      </c>
      <c r="E7997" t="s">
        <v>41</v>
      </c>
      <c r="J7997" t="s">
        <v>1554</v>
      </c>
      <c r="K7997" t="s">
        <v>1555</v>
      </c>
      <c r="L7997">
        <v>4</v>
      </c>
      <c r="M7997" t="s">
        <v>27573</v>
      </c>
      <c r="N7997" t="s">
        <v>4037</v>
      </c>
      <c r="O7997" t="s">
        <v>46</v>
      </c>
      <c r="P7997" t="s">
        <v>46</v>
      </c>
      <c r="Y7997" t="s">
        <v>27586</v>
      </c>
    </row>
    <row r="7998" spans="1:25">
      <c r="A7998" t="s">
        <v>27587</v>
      </c>
      <c r="B7998" t="s">
        <v>27588</v>
      </c>
      <c r="D7998" t="s">
        <v>40</v>
      </c>
      <c r="E7998" t="s">
        <v>41</v>
      </c>
      <c r="J7998" t="s">
        <v>248</v>
      </c>
      <c r="K7998" t="s">
        <v>249</v>
      </c>
      <c r="L7998">
        <v>2</v>
      </c>
      <c r="M7998" t="s">
        <v>27589</v>
      </c>
      <c r="N7998" t="s">
        <v>1446</v>
      </c>
      <c r="O7998" t="s">
        <v>46</v>
      </c>
      <c r="P7998" t="s">
        <v>46</v>
      </c>
      <c r="Y7998" t="s">
        <v>27590</v>
      </c>
    </row>
    <row r="7999" spans="1:25">
      <c r="A7999" t="s">
        <v>27591</v>
      </c>
      <c r="B7999" t="s">
        <v>27592</v>
      </c>
      <c r="D7999" t="s">
        <v>40</v>
      </c>
      <c r="E7999" t="s">
        <v>41</v>
      </c>
      <c r="J7999" t="s">
        <v>9159</v>
      </c>
      <c r="K7999" t="s">
        <v>9160</v>
      </c>
      <c r="L7999">
        <v>4</v>
      </c>
      <c r="M7999" t="s">
        <v>27593</v>
      </c>
      <c r="N7999" t="s">
        <v>741</v>
      </c>
      <c r="O7999" t="s">
        <v>46</v>
      </c>
      <c r="P7999" t="s">
        <v>46</v>
      </c>
      <c r="Y7999" t="s">
        <v>27594</v>
      </c>
    </row>
    <row r="8000" spans="1:25">
      <c r="A8000" t="s">
        <v>27595</v>
      </c>
      <c r="B8000" t="s">
        <v>27596</v>
      </c>
      <c r="D8000" t="s">
        <v>40</v>
      </c>
      <c r="E8000" t="s">
        <v>41</v>
      </c>
      <c r="J8000" t="s">
        <v>248</v>
      </c>
      <c r="K8000" t="s">
        <v>249</v>
      </c>
      <c r="L8000">
        <v>4</v>
      </c>
      <c r="M8000" t="s">
        <v>27597</v>
      </c>
      <c r="N8000" t="s">
        <v>310</v>
      </c>
      <c r="O8000" t="s">
        <v>46</v>
      </c>
      <c r="P8000" t="s">
        <v>46</v>
      </c>
      <c r="Y8000" t="s">
        <v>27598</v>
      </c>
    </row>
    <row r="8001" spans="1:25">
      <c r="A8001" t="s">
        <v>27599</v>
      </c>
      <c r="B8001" t="s">
        <v>27600</v>
      </c>
      <c r="D8001" t="s">
        <v>40</v>
      </c>
      <c r="E8001" t="s">
        <v>41</v>
      </c>
      <c r="J8001" t="s">
        <v>248</v>
      </c>
      <c r="K8001" t="s">
        <v>249</v>
      </c>
      <c r="L8001">
        <v>4</v>
      </c>
      <c r="M8001" t="s">
        <v>27601</v>
      </c>
      <c r="N8001" t="s">
        <v>1024</v>
      </c>
      <c r="O8001" t="s">
        <v>46</v>
      </c>
      <c r="P8001" t="s">
        <v>46</v>
      </c>
      <c r="Y8001" t="s">
        <v>27602</v>
      </c>
    </row>
    <row r="8002" spans="1:25">
      <c r="A8002" t="s">
        <v>27603</v>
      </c>
      <c r="B8002" t="s">
        <v>27604</v>
      </c>
      <c r="D8002" t="s">
        <v>40</v>
      </c>
      <c r="E8002" t="s">
        <v>41</v>
      </c>
      <c r="J8002" t="s">
        <v>248</v>
      </c>
      <c r="K8002" t="s">
        <v>249</v>
      </c>
      <c r="L8002">
        <v>4</v>
      </c>
      <c r="M8002" t="s">
        <v>27601</v>
      </c>
      <c r="N8002" t="s">
        <v>53</v>
      </c>
      <c r="O8002" t="s">
        <v>46</v>
      </c>
      <c r="P8002" t="s">
        <v>46</v>
      </c>
      <c r="Y8002" t="s">
        <v>27605</v>
      </c>
    </row>
    <row r="8003" spans="1:25">
      <c r="A8003" t="s">
        <v>27606</v>
      </c>
      <c r="B8003" t="s">
        <v>27607</v>
      </c>
      <c r="D8003" t="s">
        <v>40</v>
      </c>
      <c r="E8003" t="s">
        <v>41</v>
      </c>
      <c r="J8003" t="s">
        <v>248</v>
      </c>
      <c r="K8003" t="s">
        <v>249</v>
      </c>
      <c r="L8003">
        <v>4</v>
      </c>
      <c r="M8003" t="s">
        <v>27608</v>
      </c>
      <c r="N8003" t="s">
        <v>1446</v>
      </c>
      <c r="O8003" t="s">
        <v>46</v>
      </c>
      <c r="P8003" t="s">
        <v>46</v>
      </c>
      <c r="Y8003" t="s">
        <v>27609</v>
      </c>
    </row>
    <row r="8004" spans="1:25">
      <c r="A8004" t="s">
        <v>27610</v>
      </c>
      <c r="B8004" t="s">
        <v>27611</v>
      </c>
      <c r="D8004" t="s">
        <v>40</v>
      </c>
      <c r="E8004" t="s">
        <v>41</v>
      </c>
      <c r="J8004" t="s">
        <v>1554</v>
      </c>
      <c r="K8004" t="s">
        <v>1555</v>
      </c>
      <c r="L8004">
        <v>4</v>
      </c>
      <c r="M8004" t="s">
        <v>27612</v>
      </c>
      <c r="N8004" t="s">
        <v>24245</v>
      </c>
      <c r="O8004" t="s">
        <v>46</v>
      </c>
      <c r="P8004" t="s">
        <v>46</v>
      </c>
      <c r="Y8004" t="s">
        <v>27613</v>
      </c>
    </row>
    <row r="8005" spans="1:25">
      <c r="A8005" t="s">
        <v>27614</v>
      </c>
      <c r="B8005" t="s">
        <v>27615</v>
      </c>
      <c r="D8005" t="s">
        <v>40</v>
      </c>
      <c r="E8005" t="s">
        <v>41</v>
      </c>
      <c r="J8005" t="s">
        <v>248</v>
      </c>
      <c r="K8005" t="s">
        <v>249</v>
      </c>
      <c r="L8005">
        <v>4</v>
      </c>
      <c r="M8005" t="s">
        <v>27616</v>
      </c>
      <c r="N8005" t="s">
        <v>1397</v>
      </c>
      <c r="O8005" t="s">
        <v>46</v>
      </c>
      <c r="P8005" t="s">
        <v>46</v>
      </c>
      <c r="Y8005" t="s">
        <v>27617</v>
      </c>
    </row>
    <row r="8006" spans="1:25">
      <c r="A8006" t="s">
        <v>27618</v>
      </c>
      <c r="B8006" t="s">
        <v>27619</v>
      </c>
      <c r="D8006" t="s">
        <v>40</v>
      </c>
      <c r="E8006" t="s">
        <v>41</v>
      </c>
      <c r="J8006" t="s">
        <v>12440</v>
      </c>
      <c r="K8006" t="s">
        <v>12441</v>
      </c>
      <c r="L8006">
        <v>5</v>
      </c>
      <c r="M8006" t="s">
        <v>27620</v>
      </c>
      <c r="N8006" t="s">
        <v>64</v>
      </c>
      <c r="O8006" t="s">
        <v>46</v>
      </c>
      <c r="P8006" t="s">
        <v>46</v>
      </c>
      <c r="Y8006" t="s">
        <v>27621</v>
      </c>
    </row>
    <row r="8007" spans="1:25">
      <c r="A8007" t="s">
        <v>27622</v>
      </c>
      <c r="B8007" t="s">
        <v>27623</v>
      </c>
      <c r="D8007" t="s">
        <v>40</v>
      </c>
      <c r="E8007" t="s">
        <v>41</v>
      </c>
      <c r="J8007" t="s">
        <v>248</v>
      </c>
      <c r="K8007" t="s">
        <v>249</v>
      </c>
      <c r="L8007">
        <v>4</v>
      </c>
      <c r="M8007" t="s">
        <v>27624</v>
      </c>
      <c r="N8007" t="s">
        <v>617</v>
      </c>
      <c r="O8007" t="s">
        <v>46</v>
      </c>
      <c r="P8007" t="s">
        <v>46</v>
      </c>
      <c r="Y8007" t="s">
        <v>27625</v>
      </c>
    </row>
    <row r="8008" spans="1:25">
      <c r="A8008" t="s">
        <v>27626</v>
      </c>
      <c r="B8008" t="s">
        <v>27627</v>
      </c>
      <c r="D8008" t="s">
        <v>40</v>
      </c>
      <c r="E8008" t="s">
        <v>41</v>
      </c>
      <c r="J8008" t="s">
        <v>248</v>
      </c>
      <c r="K8008" t="s">
        <v>249</v>
      </c>
      <c r="L8008">
        <v>5</v>
      </c>
      <c r="M8008" t="s">
        <v>27628</v>
      </c>
      <c r="N8008" t="s">
        <v>1024</v>
      </c>
      <c r="O8008" t="s">
        <v>46</v>
      </c>
      <c r="P8008" t="s">
        <v>46</v>
      </c>
      <c r="Y8008" t="s">
        <v>27629</v>
      </c>
    </row>
    <row r="8009" spans="1:25">
      <c r="A8009" t="s">
        <v>27630</v>
      </c>
      <c r="B8009" t="s">
        <v>27631</v>
      </c>
      <c r="D8009" t="s">
        <v>40</v>
      </c>
      <c r="E8009" t="s">
        <v>41</v>
      </c>
      <c r="J8009" t="s">
        <v>9159</v>
      </c>
      <c r="K8009" t="s">
        <v>9160</v>
      </c>
      <c r="L8009">
        <v>4</v>
      </c>
      <c r="M8009" t="s">
        <v>27632</v>
      </c>
      <c r="N8009" t="s">
        <v>1369</v>
      </c>
      <c r="O8009" t="s">
        <v>46</v>
      </c>
      <c r="P8009" t="s">
        <v>46</v>
      </c>
      <c r="Y8009" t="s">
        <v>27633</v>
      </c>
    </row>
    <row r="8010" spans="1:25">
      <c r="A8010" t="s">
        <v>27634</v>
      </c>
      <c r="B8010" t="s">
        <v>27635</v>
      </c>
      <c r="D8010" t="s">
        <v>40</v>
      </c>
      <c r="E8010" t="s">
        <v>41</v>
      </c>
      <c r="J8010" t="s">
        <v>16458</v>
      </c>
      <c r="K8010" t="s">
        <v>16459</v>
      </c>
      <c r="L8010">
        <v>5</v>
      </c>
      <c r="M8010" t="s">
        <v>27636</v>
      </c>
      <c r="N8010" t="s">
        <v>45</v>
      </c>
      <c r="O8010" t="s">
        <v>46</v>
      </c>
      <c r="P8010" t="s">
        <v>46</v>
      </c>
      <c r="Y8010" t="s">
        <v>27637</v>
      </c>
    </row>
    <row r="8011" spans="1:25">
      <c r="A8011" t="s">
        <v>27638</v>
      </c>
      <c r="B8011" t="s">
        <v>27639</v>
      </c>
      <c r="D8011" t="s">
        <v>40</v>
      </c>
      <c r="E8011" t="s">
        <v>41</v>
      </c>
      <c r="J8011" t="s">
        <v>248</v>
      </c>
      <c r="K8011" t="s">
        <v>249</v>
      </c>
      <c r="L8011">
        <v>4</v>
      </c>
      <c r="M8011" t="s">
        <v>27640</v>
      </c>
      <c r="N8011" t="s">
        <v>617</v>
      </c>
      <c r="O8011" t="s">
        <v>46</v>
      </c>
      <c r="P8011" t="s">
        <v>46</v>
      </c>
      <c r="Y8011" t="s">
        <v>27641</v>
      </c>
    </row>
    <row r="8012" spans="1:25">
      <c r="A8012" t="s">
        <v>27642</v>
      </c>
      <c r="B8012" t="s">
        <v>27643</v>
      </c>
      <c r="D8012" t="s">
        <v>40</v>
      </c>
      <c r="E8012" t="s">
        <v>41</v>
      </c>
      <c r="J8012" t="s">
        <v>6255</v>
      </c>
      <c r="K8012" t="s">
        <v>6256</v>
      </c>
      <c r="L8012">
        <v>4</v>
      </c>
      <c r="M8012" t="s">
        <v>27640</v>
      </c>
      <c r="N8012" t="s">
        <v>266</v>
      </c>
      <c r="O8012" t="s">
        <v>46</v>
      </c>
      <c r="P8012" t="s">
        <v>46</v>
      </c>
      <c r="Y8012" t="s">
        <v>27644</v>
      </c>
    </row>
    <row r="8013" spans="1:25">
      <c r="A8013" t="s">
        <v>27645</v>
      </c>
      <c r="B8013" t="s">
        <v>27646</v>
      </c>
      <c r="D8013" t="s">
        <v>40</v>
      </c>
      <c r="E8013" t="s">
        <v>41</v>
      </c>
      <c r="J8013" t="s">
        <v>11802</v>
      </c>
      <c r="K8013" t="s">
        <v>11803</v>
      </c>
      <c r="L8013">
        <v>4</v>
      </c>
      <c r="M8013" t="s">
        <v>27647</v>
      </c>
      <c r="N8013" t="s">
        <v>350</v>
      </c>
      <c r="O8013" t="s">
        <v>46</v>
      </c>
      <c r="P8013" t="s">
        <v>46</v>
      </c>
      <c r="Y8013" t="s">
        <v>27648</v>
      </c>
    </row>
    <row r="8014" spans="1:25">
      <c r="A8014" t="s">
        <v>27649</v>
      </c>
      <c r="B8014" t="s">
        <v>27650</v>
      </c>
      <c r="D8014" t="s">
        <v>40</v>
      </c>
      <c r="E8014" t="s">
        <v>41</v>
      </c>
      <c r="J8014" t="s">
        <v>139</v>
      </c>
      <c r="K8014" t="s">
        <v>140</v>
      </c>
      <c r="L8014">
        <v>4</v>
      </c>
      <c r="M8014" t="s">
        <v>27647</v>
      </c>
      <c r="N8014" t="s">
        <v>310</v>
      </c>
      <c r="O8014" t="s">
        <v>46</v>
      </c>
      <c r="P8014" t="s">
        <v>46</v>
      </c>
      <c r="Y8014" t="s">
        <v>27651</v>
      </c>
    </row>
    <row r="8015" spans="1:25">
      <c r="A8015" t="s">
        <v>27652</v>
      </c>
      <c r="B8015" t="s">
        <v>27653</v>
      </c>
      <c r="D8015" t="s">
        <v>40</v>
      </c>
      <c r="E8015" t="s">
        <v>41</v>
      </c>
      <c r="J8015" t="s">
        <v>248</v>
      </c>
      <c r="K8015" t="s">
        <v>249</v>
      </c>
      <c r="L8015">
        <v>4</v>
      </c>
      <c r="M8015" t="s">
        <v>27654</v>
      </c>
      <c r="N8015" t="s">
        <v>27228</v>
      </c>
      <c r="O8015" t="s">
        <v>46</v>
      </c>
      <c r="P8015" t="s">
        <v>46</v>
      </c>
      <c r="Y8015" t="s">
        <v>27655</v>
      </c>
    </row>
    <row r="8016" spans="1:25">
      <c r="A8016" t="s">
        <v>27656</v>
      </c>
      <c r="B8016" t="s">
        <v>27657</v>
      </c>
      <c r="D8016" t="s">
        <v>40</v>
      </c>
      <c r="E8016" t="s">
        <v>41</v>
      </c>
      <c r="J8016" t="s">
        <v>139</v>
      </c>
      <c r="K8016" t="s">
        <v>140</v>
      </c>
      <c r="L8016">
        <v>4</v>
      </c>
      <c r="M8016" t="s">
        <v>27658</v>
      </c>
      <c r="N8016" t="s">
        <v>142</v>
      </c>
      <c r="O8016" t="s">
        <v>46</v>
      </c>
      <c r="P8016" t="s">
        <v>46</v>
      </c>
      <c r="Y8016" t="s">
        <v>27659</v>
      </c>
    </row>
    <row r="8017" spans="1:25">
      <c r="A8017" t="s">
        <v>27660</v>
      </c>
      <c r="B8017" t="s">
        <v>27661</v>
      </c>
      <c r="D8017" t="s">
        <v>40</v>
      </c>
      <c r="E8017" t="s">
        <v>41</v>
      </c>
      <c r="J8017" t="s">
        <v>139</v>
      </c>
      <c r="K8017" t="s">
        <v>140</v>
      </c>
      <c r="L8017">
        <v>4</v>
      </c>
      <c r="M8017" t="s">
        <v>27662</v>
      </c>
      <c r="N8017" t="s">
        <v>24245</v>
      </c>
      <c r="O8017" t="s">
        <v>46</v>
      </c>
      <c r="P8017" t="s">
        <v>46</v>
      </c>
      <c r="Y8017" t="s">
        <v>27663</v>
      </c>
    </row>
    <row r="8018" spans="1:25">
      <c r="A8018" t="s">
        <v>27664</v>
      </c>
      <c r="B8018" t="s">
        <v>27665</v>
      </c>
      <c r="D8018" t="s">
        <v>40</v>
      </c>
      <c r="E8018" t="s">
        <v>41</v>
      </c>
      <c r="J8018" t="s">
        <v>248</v>
      </c>
      <c r="K8018" t="s">
        <v>249</v>
      </c>
      <c r="L8018">
        <v>4</v>
      </c>
      <c r="M8018" t="s">
        <v>27666</v>
      </c>
      <c r="N8018" t="s">
        <v>45</v>
      </c>
      <c r="O8018" t="s">
        <v>46</v>
      </c>
      <c r="P8018" t="s">
        <v>46</v>
      </c>
      <c r="Y8018" t="s">
        <v>27667</v>
      </c>
    </row>
    <row r="8019" spans="1:25">
      <c r="A8019" t="s">
        <v>27668</v>
      </c>
      <c r="B8019" t="s">
        <v>27669</v>
      </c>
      <c r="D8019" t="s">
        <v>40</v>
      </c>
      <c r="E8019" t="s">
        <v>41</v>
      </c>
      <c r="J8019" t="s">
        <v>248</v>
      </c>
      <c r="K8019" t="s">
        <v>249</v>
      </c>
      <c r="L8019">
        <v>5</v>
      </c>
      <c r="M8019" t="s">
        <v>27670</v>
      </c>
      <c r="N8019" t="s">
        <v>1276</v>
      </c>
      <c r="O8019" t="s">
        <v>46</v>
      </c>
      <c r="P8019" t="s">
        <v>46</v>
      </c>
      <c r="Y8019" t="s">
        <v>27671</v>
      </c>
    </row>
    <row r="8020" spans="1:25">
      <c r="A8020" t="s">
        <v>27672</v>
      </c>
      <c r="B8020" t="s">
        <v>27673</v>
      </c>
      <c r="D8020" t="s">
        <v>40</v>
      </c>
      <c r="E8020" t="s">
        <v>41</v>
      </c>
      <c r="J8020" t="s">
        <v>248</v>
      </c>
      <c r="K8020" t="s">
        <v>249</v>
      </c>
      <c r="L8020">
        <v>4</v>
      </c>
      <c r="M8020" t="s">
        <v>27674</v>
      </c>
      <c r="N8020" t="s">
        <v>142</v>
      </c>
      <c r="O8020" t="s">
        <v>46</v>
      </c>
      <c r="P8020" t="s">
        <v>46</v>
      </c>
      <c r="Y8020" t="s">
        <v>27675</v>
      </c>
    </row>
    <row r="8021" spans="1:25">
      <c r="A8021" t="s">
        <v>27676</v>
      </c>
      <c r="B8021" t="s">
        <v>27677</v>
      </c>
      <c r="D8021" t="s">
        <v>40</v>
      </c>
      <c r="E8021" t="s">
        <v>41</v>
      </c>
      <c r="J8021" t="s">
        <v>14558</v>
      </c>
      <c r="K8021" t="s">
        <v>14559</v>
      </c>
      <c r="L8021">
        <v>4</v>
      </c>
      <c r="M8021" t="s">
        <v>27678</v>
      </c>
      <c r="N8021" t="s">
        <v>1369</v>
      </c>
      <c r="O8021" t="s">
        <v>46</v>
      </c>
      <c r="P8021" t="s">
        <v>46</v>
      </c>
      <c r="Y8021" t="s">
        <v>27679</v>
      </c>
    </row>
    <row r="8022" spans="1:25">
      <c r="A8022" t="s">
        <v>27680</v>
      </c>
      <c r="B8022" t="s">
        <v>27681</v>
      </c>
      <c r="D8022" t="s">
        <v>40</v>
      </c>
      <c r="E8022" t="s">
        <v>41</v>
      </c>
      <c r="J8022" t="s">
        <v>139</v>
      </c>
      <c r="K8022" t="s">
        <v>140</v>
      </c>
      <c r="L8022">
        <v>4</v>
      </c>
      <c r="M8022" t="s">
        <v>27682</v>
      </c>
      <c r="N8022" t="s">
        <v>24387</v>
      </c>
      <c r="O8022" t="s">
        <v>46</v>
      </c>
      <c r="P8022" t="s">
        <v>46</v>
      </c>
      <c r="Y8022" t="s">
        <v>27683</v>
      </c>
    </row>
    <row r="8023" spans="1:25">
      <c r="A8023" t="s">
        <v>27684</v>
      </c>
      <c r="B8023" t="s">
        <v>27685</v>
      </c>
      <c r="D8023" t="s">
        <v>40</v>
      </c>
      <c r="E8023" t="s">
        <v>41</v>
      </c>
      <c r="J8023" t="s">
        <v>139</v>
      </c>
      <c r="K8023" t="s">
        <v>140</v>
      </c>
      <c r="L8023">
        <v>4</v>
      </c>
      <c r="M8023" t="s">
        <v>27686</v>
      </c>
      <c r="N8023" t="s">
        <v>310</v>
      </c>
      <c r="O8023" t="s">
        <v>46</v>
      </c>
      <c r="P8023" t="s">
        <v>46</v>
      </c>
      <c r="Y8023" t="s">
        <v>27687</v>
      </c>
    </row>
    <row r="8024" spans="1:25">
      <c r="A8024" t="s">
        <v>27688</v>
      </c>
      <c r="B8024" t="s">
        <v>27689</v>
      </c>
      <c r="D8024" t="s">
        <v>40</v>
      </c>
      <c r="E8024" t="s">
        <v>41</v>
      </c>
      <c r="J8024" t="s">
        <v>1142</v>
      </c>
      <c r="K8024" t="s">
        <v>1143</v>
      </c>
      <c r="L8024">
        <v>4</v>
      </c>
      <c r="M8024" t="s">
        <v>27686</v>
      </c>
      <c r="N8024" t="s">
        <v>1344</v>
      </c>
      <c r="O8024" t="s">
        <v>46</v>
      </c>
      <c r="P8024" t="s">
        <v>46</v>
      </c>
      <c r="Y8024" t="s">
        <v>27690</v>
      </c>
    </row>
    <row r="8025" spans="1:25">
      <c r="A8025" t="s">
        <v>27691</v>
      </c>
      <c r="B8025" t="s">
        <v>27692</v>
      </c>
      <c r="D8025" t="s">
        <v>40</v>
      </c>
      <c r="E8025" t="s">
        <v>41</v>
      </c>
      <c r="J8025" t="s">
        <v>248</v>
      </c>
      <c r="K8025" t="s">
        <v>249</v>
      </c>
      <c r="L8025">
        <v>4</v>
      </c>
      <c r="M8025" t="s">
        <v>27693</v>
      </c>
      <c r="N8025" t="s">
        <v>25388</v>
      </c>
      <c r="O8025" t="s">
        <v>46</v>
      </c>
      <c r="P8025" t="s">
        <v>46</v>
      </c>
      <c r="Y8025" t="s">
        <v>27694</v>
      </c>
    </row>
    <row r="8026" spans="1:25">
      <c r="A8026" t="s">
        <v>27695</v>
      </c>
      <c r="B8026" t="s">
        <v>27696</v>
      </c>
      <c r="D8026" t="s">
        <v>40</v>
      </c>
      <c r="E8026" t="s">
        <v>41</v>
      </c>
      <c r="J8026" t="s">
        <v>27697</v>
      </c>
      <c r="K8026" t="s">
        <v>27698</v>
      </c>
      <c r="L8026">
        <v>4</v>
      </c>
      <c r="M8026" t="s">
        <v>27699</v>
      </c>
      <c r="N8026" t="s">
        <v>24245</v>
      </c>
      <c r="O8026" t="s">
        <v>46</v>
      </c>
      <c r="P8026" t="s">
        <v>46</v>
      </c>
      <c r="Y8026" t="s">
        <v>27700</v>
      </c>
    </row>
    <row r="8027" spans="1:25">
      <c r="A8027" t="s">
        <v>27701</v>
      </c>
      <c r="B8027" t="s">
        <v>27702</v>
      </c>
      <c r="D8027" t="s">
        <v>40</v>
      </c>
      <c r="E8027" t="s">
        <v>41</v>
      </c>
      <c r="J8027" t="s">
        <v>248</v>
      </c>
      <c r="K8027" t="s">
        <v>249</v>
      </c>
      <c r="L8027">
        <v>5</v>
      </c>
      <c r="M8027" t="s">
        <v>27703</v>
      </c>
      <c r="N8027" t="s">
        <v>1344</v>
      </c>
      <c r="O8027" t="s">
        <v>46</v>
      </c>
      <c r="P8027" t="s">
        <v>46</v>
      </c>
      <c r="Y8027" t="s">
        <v>27704</v>
      </c>
    </row>
    <row r="8028" spans="1:25">
      <c r="A8028" t="s">
        <v>27705</v>
      </c>
      <c r="B8028" t="s">
        <v>27706</v>
      </c>
      <c r="D8028" t="s">
        <v>40</v>
      </c>
      <c r="E8028" t="s">
        <v>41</v>
      </c>
      <c r="J8028" t="s">
        <v>1554</v>
      </c>
      <c r="K8028" t="s">
        <v>1555</v>
      </c>
      <c r="L8028">
        <v>4</v>
      </c>
      <c r="M8028" t="s">
        <v>27707</v>
      </c>
      <c r="N8028" t="s">
        <v>1024</v>
      </c>
      <c r="O8028" t="s">
        <v>46</v>
      </c>
      <c r="P8028" t="s">
        <v>46</v>
      </c>
      <c r="Y8028" t="s">
        <v>27708</v>
      </c>
    </row>
    <row r="8029" spans="1:25">
      <c r="A8029" t="s">
        <v>27709</v>
      </c>
      <c r="B8029" t="s">
        <v>27710</v>
      </c>
      <c r="D8029" t="s">
        <v>40</v>
      </c>
      <c r="E8029" t="s">
        <v>41</v>
      </c>
      <c r="J8029" t="s">
        <v>139</v>
      </c>
      <c r="K8029" t="s">
        <v>140</v>
      </c>
      <c r="L8029">
        <v>4</v>
      </c>
      <c r="M8029" t="s">
        <v>27711</v>
      </c>
      <c r="N8029" t="s">
        <v>1369</v>
      </c>
      <c r="O8029" t="s">
        <v>46</v>
      </c>
      <c r="P8029" t="s">
        <v>46</v>
      </c>
      <c r="Y8029" t="s">
        <v>27712</v>
      </c>
    </row>
    <row r="8030" spans="1:25">
      <c r="A8030" t="s">
        <v>27713</v>
      </c>
      <c r="B8030" t="s">
        <v>27714</v>
      </c>
      <c r="D8030" t="s">
        <v>40</v>
      </c>
      <c r="E8030" t="s">
        <v>41</v>
      </c>
      <c r="J8030" t="s">
        <v>139</v>
      </c>
      <c r="K8030" t="s">
        <v>140</v>
      </c>
      <c r="L8030">
        <v>4</v>
      </c>
      <c r="M8030" t="s">
        <v>27715</v>
      </c>
      <c r="N8030" t="s">
        <v>142</v>
      </c>
      <c r="O8030" t="s">
        <v>46</v>
      </c>
      <c r="P8030" t="s">
        <v>46</v>
      </c>
      <c r="Y8030" t="s">
        <v>27716</v>
      </c>
    </row>
    <row r="8031" spans="1:25">
      <c r="A8031" t="s">
        <v>27717</v>
      </c>
      <c r="B8031" t="s">
        <v>27718</v>
      </c>
      <c r="D8031" t="s">
        <v>40</v>
      </c>
      <c r="E8031" t="s">
        <v>41</v>
      </c>
      <c r="J8031" t="s">
        <v>248</v>
      </c>
      <c r="K8031" t="s">
        <v>249</v>
      </c>
      <c r="L8031">
        <v>4</v>
      </c>
      <c r="M8031" t="s">
        <v>27719</v>
      </c>
      <c r="N8031" t="s">
        <v>310</v>
      </c>
      <c r="O8031" t="s">
        <v>46</v>
      </c>
      <c r="P8031" t="s">
        <v>46</v>
      </c>
      <c r="Y8031" t="s">
        <v>27720</v>
      </c>
    </row>
    <row r="8032" spans="1:25">
      <c r="A8032" t="s">
        <v>27721</v>
      </c>
      <c r="B8032" t="s">
        <v>27722</v>
      </c>
      <c r="D8032" t="s">
        <v>40</v>
      </c>
      <c r="E8032" t="s">
        <v>41</v>
      </c>
      <c r="J8032" t="s">
        <v>1554</v>
      </c>
      <c r="K8032" t="s">
        <v>1555</v>
      </c>
      <c r="L8032">
        <v>4</v>
      </c>
      <c r="M8032" t="s">
        <v>27723</v>
      </c>
      <c r="N8032" t="s">
        <v>178</v>
      </c>
      <c r="O8032" t="s">
        <v>46</v>
      </c>
      <c r="P8032" t="s">
        <v>46</v>
      </c>
      <c r="Y8032" t="s">
        <v>27724</v>
      </c>
    </row>
    <row r="8033" spans="1:25">
      <c r="A8033" t="s">
        <v>27725</v>
      </c>
      <c r="B8033" t="s">
        <v>27726</v>
      </c>
      <c r="D8033" t="s">
        <v>40</v>
      </c>
      <c r="E8033" t="s">
        <v>41</v>
      </c>
      <c r="J8033" t="s">
        <v>11802</v>
      </c>
      <c r="K8033" t="s">
        <v>11803</v>
      </c>
      <c r="L8033">
        <v>4</v>
      </c>
      <c r="M8033" t="s">
        <v>27727</v>
      </c>
      <c r="N8033" t="s">
        <v>4037</v>
      </c>
      <c r="O8033" t="s">
        <v>46</v>
      </c>
      <c r="P8033" t="s">
        <v>46</v>
      </c>
      <c r="Y8033" t="s">
        <v>27728</v>
      </c>
    </row>
    <row r="8034" spans="1:25">
      <c r="A8034" t="s">
        <v>27729</v>
      </c>
      <c r="B8034" t="s">
        <v>27730</v>
      </c>
      <c r="D8034" t="s">
        <v>40</v>
      </c>
      <c r="E8034" t="s">
        <v>41</v>
      </c>
      <c r="J8034" t="s">
        <v>1554</v>
      </c>
      <c r="K8034" t="s">
        <v>1555</v>
      </c>
      <c r="L8034">
        <v>4</v>
      </c>
      <c r="M8034" t="s">
        <v>27731</v>
      </c>
      <c r="N8034" t="s">
        <v>24227</v>
      </c>
      <c r="O8034" t="s">
        <v>46</v>
      </c>
      <c r="P8034" t="s">
        <v>46</v>
      </c>
      <c r="Y8034" t="s">
        <v>27732</v>
      </c>
    </row>
    <row r="8035" spans="1:25">
      <c r="A8035" t="s">
        <v>27733</v>
      </c>
      <c r="B8035" t="s">
        <v>27734</v>
      </c>
      <c r="D8035" t="s">
        <v>40</v>
      </c>
      <c r="E8035" t="s">
        <v>41</v>
      </c>
      <c r="J8035" t="s">
        <v>14558</v>
      </c>
      <c r="K8035" t="s">
        <v>14559</v>
      </c>
      <c r="L8035">
        <v>4</v>
      </c>
      <c r="M8035" t="s">
        <v>27731</v>
      </c>
      <c r="N8035" t="s">
        <v>2621</v>
      </c>
      <c r="O8035" t="s">
        <v>46</v>
      </c>
      <c r="P8035" t="s">
        <v>46</v>
      </c>
      <c r="Y8035" t="s">
        <v>27735</v>
      </c>
    </row>
    <row r="8036" spans="1:25">
      <c r="A8036" t="s">
        <v>27736</v>
      </c>
      <c r="B8036" t="s">
        <v>27737</v>
      </c>
      <c r="D8036" t="s">
        <v>40</v>
      </c>
      <c r="E8036" t="s">
        <v>41</v>
      </c>
      <c r="J8036" t="s">
        <v>12440</v>
      </c>
      <c r="K8036" t="s">
        <v>12441</v>
      </c>
      <c r="L8036">
        <v>5</v>
      </c>
      <c r="M8036" t="s">
        <v>27738</v>
      </c>
      <c r="N8036" t="s">
        <v>64</v>
      </c>
      <c r="O8036" t="s">
        <v>46</v>
      </c>
      <c r="P8036" t="s">
        <v>46</v>
      </c>
      <c r="Y8036" t="s">
        <v>27739</v>
      </c>
    </row>
    <row r="8037" spans="1:25">
      <c r="A8037" t="s">
        <v>27740</v>
      </c>
      <c r="B8037" t="s">
        <v>27741</v>
      </c>
      <c r="D8037" t="s">
        <v>40</v>
      </c>
      <c r="E8037" t="s">
        <v>41</v>
      </c>
      <c r="J8037" t="s">
        <v>139</v>
      </c>
      <c r="K8037" t="s">
        <v>140</v>
      </c>
      <c r="L8037">
        <v>4</v>
      </c>
      <c r="M8037" t="s">
        <v>27742</v>
      </c>
      <c r="N8037" t="s">
        <v>741</v>
      </c>
      <c r="O8037" t="s">
        <v>46</v>
      </c>
      <c r="P8037" t="s">
        <v>46</v>
      </c>
      <c r="Y8037" t="s">
        <v>27743</v>
      </c>
    </row>
    <row r="8038" spans="1:25">
      <c r="A8038" t="s">
        <v>27744</v>
      </c>
      <c r="B8038" t="s">
        <v>27745</v>
      </c>
      <c r="D8038" t="s">
        <v>40</v>
      </c>
      <c r="E8038" t="s">
        <v>41</v>
      </c>
      <c r="J8038" t="s">
        <v>139</v>
      </c>
      <c r="K8038" t="s">
        <v>140</v>
      </c>
      <c r="L8038">
        <v>4</v>
      </c>
      <c r="M8038" t="s">
        <v>27746</v>
      </c>
      <c r="N8038" t="s">
        <v>3013</v>
      </c>
      <c r="O8038" t="s">
        <v>46</v>
      </c>
      <c r="P8038" t="s">
        <v>46</v>
      </c>
      <c r="Y8038" t="s">
        <v>27747</v>
      </c>
    </row>
    <row r="8039" spans="1:25">
      <c r="A8039" t="s">
        <v>27748</v>
      </c>
      <c r="B8039" t="s">
        <v>27749</v>
      </c>
      <c r="D8039" t="s">
        <v>40</v>
      </c>
      <c r="E8039" t="s">
        <v>41</v>
      </c>
      <c r="J8039" t="s">
        <v>12440</v>
      </c>
      <c r="K8039" t="s">
        <v>12441</v>
      </c>
      <c r="L8039">
        <v>5</v>
      </c>
      <c r="M8039" t="s">
        <v>27750</v>
      </c>
      <c r="N8039" t="s">
        <v>64</v>
      </c>
      <c r="O8039" t="s">
        <v>46</v>
      </c>
      <c r="P8039" t="s">
        <v>46</v>
      </c>
      <c r="Y8039" t="s">
        <v>27751</v>
      </c>
    </row>
    <row r="8040" spans="1:25">
      <c r="A8040" t="s">
        <v>27752</v>
      </c>
      <c r="B8040" t="s">
        <v>27753</v>
      </c>
      <c r="D8040" t="s">
        <v>40</v>
      </c>
      <c r="E8040" t="s">
        <v>41</v>
      </c>
      <c r="J8040" t="s">
        <v>14558</v>
      </c>
      <c r="K8040" t="s">
        <v>14559</v>
      </c>
      <c r="L8040">
        <v>4</v>
      </c>
      <c r="M8040" t="s">
        <v>27754</v>
      </c>
      <c r="N8040" t="s">
        <v>178</v>
      </c>
      <c r="O8040" t="s">
        <v>46</v>
      </c>
      <c r="P8040" t="s">
        <v>46</v>
      </c>
      <c r="Y8040" t="s">
        <v>27755</v>
      </c>
    </row>
    <row r="8041" spans="1:25">
      <c r="A8041" t="s">
        <v>27756</v>
      </c>
      <c r="B8041" t="s">
        <v>27757</v>
      </c>
      <c r="D8041" t="s">
        <v>40</v>
      </c>
      <c r="E8041" t="s">
        <v>41</v>
      </c>
      <c r="J8041" t="s">
        <v>139</v>
      </c>
      <c r="K8041" t="s">
        <v>140</v>
      </c>
      <c r="L8041">
        <v>4</v>
      </c>
      <c r="M8041" t="s">
        <v>27754</v>
      </c>
      <c r="N8041" t="s">
        <v>24245</v>
      </c>
      <c r="O8041" t="s">
        <v>46</v>
      </c>
      <c r="P8041" t="s">
        <v>46</v>
      </c>
      <c r="Y8041" t="s">
        <v>27758</v>
      </c>
    </row>
    <row r="8042" spans="1:25">
      <c r="A8042" t="s">
        <v>27759</v>
      </c>
      <c r="B8042" t="s">
        <v>27760</v>
      </c>
      <c r="D8042" t="s">
        <v>40</v>
      </c>
      <c r="E8042" t="s">
        <v>41</v>
      </c>
      <c r="J8042" t="s">
        <v>139</v>
      </c>
      <c r="K8042" t="s">
        <v>140</v>
      </c>
      <c r="L8042">
        <v>4</v>
      </c>
      <c r="M8042" t="s">
        <v>27754</v>
      </c>
      <c r="N8042" t="s">
        <v>741</v>
      </c>
      <c r="O8042" t="s">
        <v>46</v>
      </c>
      <c r="P8042" t="s">
        <v>46</v>
      </c>
      <c r="Y8042" t="s">
        <v>27761</v>
      </c>
    </row>
    <row r="8043" spans="1:25">
      <c r="A8043" t="s">
        <v>27762</v>
      </c>
      <c r="B8043" t="s">
        <v>27763</v>
      </c>
      <c r="D8043" t="s">
        <v>40</v>
      </c>
      <c r="E8043" t="s">
        <v>41</v>
      </c>
      <c r="J8043" t="s">
        <v>248</v>
      </c>
      <c r="K8043" t="s">
        <v>249</v>
      </c>
      <c r="L8043">
        <v>4</v>
      </c>
      <c r="M8043" t="s">
        <v>27764</v>
      </c>
      <c r="N8043" t="s">
        <v>310</v>
      </c>
      <c r="O8043" t="s">
        <v>46</v>
      </c>
      <c r="P8043" t="s">
        <v>46</v>
      </c>
      <c r="Y8043" t="s">
        <v>27765</v>
      </c>
    </row>
    <row r="8044" spans="1:25">
      <c r="A8044" t="s">
        <v>27766</v>
      </c>
      <c r="B8044" t="s">
        <v>27767</v>
      </c>
      <c r="D8044" t="s">
        <v>40</v>
      </c>
      <c r="E8044" t="s">
        <v>41</v>
      </c>
      <c r="J8044" t="s">
        <v>6255</v>
      </c>
      <c r="K8044" t="s">
        <v>6256</v>
      </c>
      <c r="L8044">
        <v>4</v>
      </c>
      <c r="M8044" t="s">
        <v>27768</v>
      </c>
      <c r="N8044" t="s">
        <v>291</v>
      </c>
      <c r="O8044" t="s">
        <v>46</v>
      </c>
      <c r="P8044" t="s">
        <v>46</v>
      </c>
      <c r="Y8044" t="s">
        <v>27769</v>
      </c>
    </row>
    <row r="8045" spans="1:25">
      <c r="A8045" t="s">
        <v>27770</v>
      </c>
      <c r="B8045" t="s">
        <v>27771</v>
      </c>
      <c r="D8045" t="s">
        <v>40</v>
      </c>
      <c r="E8045" t="s">
        <v>41</v>
      </c>
      <c r="J8045" t="s">
        <v>248</v>
      </c>
      <c r="K8045" t="s">
        <v>249</v>
      </c>
      <c r="L8045">
        <v>4</v>
      </c>
      <c r="M8045" t="s">
        <v>27772</v>
      </c>
      <c r="N8045" t="s">
        <v>1478</v>
      </c>
      <c r="O8045" t="s">
        <v>46</v>
      </c>
      <c r="P8045" t="s">
        <v>46</v>
      </c>
      <c r="Y8045" t="s">
        <v>27773</v>
      </c>
    </row>
    <row r="8046" spans="1:25">
      <c r="A8046" t="s">
        <v>27774</v>
      </c>
      <c r="B8046" t="s">
        <v>27775</v>
      </c>
      <c r="D8046" t="s">
        <v>40</v>
      </c>
      <c r="E8046" t="s">
        <v>41</v>
      </c>
      <c r="J8046" t="s">
        <v>248</v>
      </c>
      <c r="K8046" t="s">
        <v>249</v>
      </c>
      <c r="L8046">
        <v>4</v>
      </c>
      <c r="M8046" t="s">
        <v>27776</v>
      </c>
      <c r="N8046" t="s">
        <v>53</v>
      </c>
      <c r="O8046" t="s">
        <v>46</v>
      </c>
      <c r="P8046" t="s">
        <v>46</v>
      </c>
      <c r="Y8046" t="s">
        <v>27777</v>
      </c>
    </row>
    <row r="8047" spans="1:25">
      <c r="A8047" t="s">
        <v>27778</v>
      </c>
      <c r="B8047" t="s">
        <v>27779</v>
      </c>
      <c r="D8047" t="s">
        <v>40</v>
      </c>
      <c r="E8047" t="s">
        <v>41</v>
      </c>
      <c r="J8047" t="s">
        <v>139</v>
      </c>
      <c r="K8047" t="s">
        <v>140</v>
      </c>
      <c r="L8047">
        <v>4</v>
      </c>
      <c r="M8047" t="s">
        <v>27780</v>
      </c>
      <c r="N8047" t="s">
        <v>24387</v>
      </c>
      <c r="O8047" t="s">
        <v>46</v>
      </c>
      <c r="P8047" t="s">
        <v>46</v>
      </c>
      <c r="Y8047" t="s">
        <v>27781</v>
      </c>
    </row>
    <row r="8048" spans="1:25">
      <c r="A8048" t="s">
        <v>27782</v>
      </c>
      <c r="B8048" t="s">
        <v>27783</v>
      </c>
      <c r="D8048" t="s">
        <v>40</v>
      </c>
      <c r="E8048" t="s">
        <v>41</v>
      </c>
      <c r="J8048" t="s">
        <v>248</v>
      </c>
      <c r="K8048" t="s">
        <v>249</v>
      </c>
      <c r="L8048">
        <v>4</v>
      </c>
      <c r="M8048" t="s">
        <v>27784</v>
      </c>
      <c r="N8048" t="s">
        <v>45</v>
      </c>
      <c r="O8048" t="s">
        <v>46</v>
      </c>
      <c r="P8048" t="s">
        <v>46</v>
      </c>
      <c r="Y8048" t="s">
        <v>27785</v>
      </c>
    </row>
    <row r="8049" spans="1:25">
      <c r="A8049" t="s">
        <v>27786</v>
      </c>
      <c r="B8049" t="s">
        <v>27787</v>
      </c>
      <c r="D8049" t="s">
        <v>40</v>
      </c>
      <c r="E8049" t="s">
        <v>41</v>
      </c>
      <c r="J8049" t="s">
        <v>12440</v>
      </c>
      <c r="K8049" t="s">
        <v>12441</v>
      </c>
      <c r="L8049">
        <v>5</v>
      </c>
      <c r="M8049" t="s">
        <v>27788</v>
      </c>
      <c r="N8049" t="s">
        <v>64</v>
      </c>
      <c r="O8049" t="s">
        <v>46</v>
      </c>
      <c r="P8049" t="s">
        <v>46</v>
      </c>
      <c r="Y8049" t="s">
        <v>27789</v>
      </c>
    </row>
    <row r="8050" spans="1:25">
      <c r="A8050" t="s">
        <v>27790</v>
      </c>
      <c r="B8050" t="s">
        <v>27791</v>
      </c>
      <c r="D8050" t="s">
        <v>40</v>
      </c>
      <c r="E8050" t="s">
        <v>41</v>
      </c>
      <c r="J8050" t="s">
        <v>248</v>
      </c>
      <c r="K8050" t="s">
        <v>249</v>
      </c>
      <c r="L8050">
        <v>4</v>
      </c>
      <c r="M8050" t="s">
        <v>27792</v>
      </c>
      <c r="N8050" t="s">
        <v>310</v>
      </c>
      <c r="O8050" t="s">
        <v>46</v>
      </c>
      <c r="P8050" t="s">
        <v>46</v>
      </c>
      <c r="Y8050" t="s">
        <v>27793</v>
      </c>
    </row>
    <row r="8051" spans="1:25">
      <c r="A8051" t="s">
        <v>27794</v>
      </c>
      <c r="B8051" t="s">
        <v>27795</v>
      </c>
      <c r="D8051" t="s">
        <v>40</v>
      </c>
      <c r="E8051" t="s">
        <v>41</v>
      </c>
      <c r="J8051" t="s">
        <v>248</v>
      </c>
      <c r="K8051" t="s">
        <v>249</v>
      </c>
      <c r="L8051">
        <v>4</v>
      </c>
      <c r="M8051" t="s">
        <v>27796</v>
      </c>
      <c r="N8051" t="s">
        <v>1397</v>
      </c>
      <c r="O8051" t="s">
        <v>46</v>
      </c>
      <c r="P8051" t="s">
        <v>46</v>
      </c>
      <c r="Y8051" t="s">
        <v>27797</v>
      </c>
    </row>
    <row r="8052" spans="1:25">
      <c r="A8052" t="s">
        <v>27798</v>
      </c>
      <c r="B8052" t="s">
        <v>27799</v>
      </c>
      <c r="D8052" t="s">
        <v>40</v>
      </c>
      <c r="E8052" t="s">
        <v>41</v>
      </c>
      <c r="J8052" t="s">
        <v>248</v>
      </c>
      <c r="K8052" t="s">
        <v>249</v>
      </c>
      <c r="L8052">
        <v>4</v>
      </c>
      <c r="M8052" t="s">
        <v>27800</v>
      </c>
      <c r="N8052" t="s">
        <v>1024</v>
      </c>
      <c r="O8052" t="s">
        <v>46</v>
      </c>
      <c r="P8052" t="s">
        <v>46</v>
      </c>
      <c r="Y8052" t="s">
        <v>27801</v>
      </c>
    </row>
    <row r="8053" spans="1:25">
      <c r="A8053" t="s">
        <v>27802</v>
      </c>
      <c r="B8053" t="s">
        <v>27803</v>
      </c>
      <c r="D8053" t="s">
        <v>40</v>
      </c>
      <c r="E8053" t="s">
        <v>41</v>
      </c>
      <c r="J8053" t="s">
        <v>6179</v>
      </c>
      <c r="K8053" t="s">
        <v>6180</v>
      </c>
      <c r="L8053">
        <v>4</v>
      </c>
      <c r="M8053" t="s">
        <v>27804</v>
      </c>
      <c r="N8053" t="s">
        <v>1344</v>
      </c>
      <c r="O8053" t="s">
        <v>46</v>
      </c>
      <c r="P8053" t="s">
        <v>46</v>
      </c>
      <c r="Y8053" t="s">
        <v>27805</v>
      </c>
    </row>
    <row r="8054" spans="1:25">
      <c r="A8054" t="s">
        <v>27806</v>
      </c>
      <c r="B8054" t="s">
        <v>27807</v>
      </c>
      <c r="D8054" t="s">
        <v>40</v>
      </c>
      <c r="E8054" t="s">
        <v>41</v>
      </c>
      <c r="J8054" t="s">
        <v>248</v>
      </c>
      <c r="K8054" t="s">
        <v>249</v>
      </c>
      <c r="L8054">
        <v>4</v>
      </c>
      <c r="M8054" t="s">
        <v>27808</v>
      </c>
      <c r="N8054" t="s">
        <v>315</v>
      </c>
      <c r="O8054" t="s">
        <v>46</v>
      </c>
      <c r="P8054" t="s">
        <v>46</v>
      </c>
      <c r="Y8054" t="s">
        <v>27809</v>
      </c>
    </row>
    <row r="8055" spans="1:25">
      <c r="A8055" t="s">
        <v>27810</v>
      </c>
      <c r="B8055" t="s">
        <v>27811</v>
      </c>
      <c r="D8055" t="s">
        <v>40</v>
      </c>
      <c r="E8055" t="s">
        <v>41</v>
      </c>
      <c r="J8055" t="s">
        <v>248</v>
      </c>
      <c r="K8055" t="s">
        <v>249</v>
      </c>
      <c r="L8055">
        <v>4</v>
      </c>
      <c r="M8055" t="s">
        <v>27812</v>
      </c>
      <c r="N8055" t="s">
        <v>310</v>
      </c>
      <c r="O8055" t="s">
        <v>46</v>
      </c>
      <c r="P8055" t="s">
        <v>46</v>
      </c>
      <c r="Y8055" t="s">
        <v>27813</v>
      </c>
    </row>
    <row r="8056" spans="1:25">
      <c r="A8056" t="s">
        <v>27814</v>
      </c>
      <c r="B8056" t="s">
        <v>27815</v>
      </c>
      <c r="D8056" t="s">
        <v>40</v>
      </c>
      <c r="E8056" t="s">
        <v>41</v>
      </c>
      <c r="J8056" t="s">
        <v>248</v>
      </c>
      <c r="K8056" t="s">
        <v>249</v>
      </c>
      <c r="L8056">
        <v>4</v>
      </c>
      <c r="M8056" t="s">
        <v>27816</v>
      </c>
      <c r="N8056" t="s">
        <v>3013</v>
      </c>
      <c r="O8056" t="s">
        <v>46</v>
      </c>
      <c r="P8056" t="s">
        <v>46</v>
      </c>
      <c r="Y8056" t="s">
        <v>27817</v>
      </c>
    </row>
    <row r="8057" spans="1:25">
      <c r="A8057" t="s">
        <v>27818</v>
      </c>
      <c r="B8057" t="s">
        <v>27819</v>
      </c>
      <c r="D8057" t="s">
        <v>40</v>
      </c>
      <c r="E8057" t="s">
        <v>41</v>
      </c>
      <c r="J8057" t="s">
        <v>12440</v>
      </c>
      <c r="K8057" t="s">
        <v>12441</v>
      </c>
      <c r="L8057">
        <v>5</v>
      </c>
      <c r="M8057" t="s">
        <v>27816</v>
      </c>
      <c r="N8057" t="s">
        <v>64</v>
      </c>
      <c r="O8057" t="s">
        <v>46</v>
      </c>
      <c r="P8057" t="s">
        <v>46</v>
      </c>
      <c r="Y8057" t="s">
        <v>27820</v>
      </c>
    </row>
    <row r="8058" spans="1:25">
      <c r="A8058" t="s">
        <v>27821</v>
      </c>
      <c r="B8058" t="s">
        <v>27822</v>
      </c>
      <c r="D8058" t="s">
        <v>40</v>
      </c>
      <c r="E8058" t="s">
        <v>41</v>
      </c>
      <c r="J8058" t="s">
        <v>248</v>
      </c>
      <c r="K8058" t="s">
        <v>249</v>
      </c>
      <c r="L8058">
        <v>4</v>
      </c>
      <c r="M8058" t="s">
        <v>27823</v>
      </c>
      <c r="N8058" t="s">
        <v>1397</v>
      </c>
      <c r="O8058" t="s">
        <v>46</v>
      </c>
      <c r="P8058" t="s">
        <v>46</v>
      </c>
      <c r="Y8058" t="s">
        <v>27824</v>
      </c>
    </row>
    <row r="8059" spans="1:25">
      <c r="A8059" t="s">
        <v>27825</v>
      </c>
      <c r="B8059" t="s">
        <v>27826</v>
      </c>
      <c r="D8059" t="s">
        <v>40</v>
      </c>
      <c r="E8059" t="s">
        <v>41</v>
      </c>
      <c r="J8059" t="s">
        <v>6255</v>
      </c>
      <c r="K8059" t="s">
        <v>6256</v>
      </c>
      <c r="L8059">
        <v>4</v>
      </c>
      <c r="M8059" t="s">
        <v>27827</v>
      </c>
      <c r="N8059" t="s">
        <v>45</v>
      </c>
      <c r="O8059" t="s">
        <v>46</v>
      </c>
      <c r="P8059" t="s">
        <v>46</v>
      </c>
      <c r="Y8059" t="s">
        <v>27828</v>
      </c>
    </row>
    <row r="8060" spans="1:25">
      <c r="A8060" t="s">
        <v>27829</v>
      </c>
      <c r="B8060" t="s">
        <v>27830</v>
      </c>
      <c r="D8060" t="s">
        <v>40</v>
      </c>
      <c r="E8060" t="s">
        <v>41</v>
      </c>
      <c r="J8060" t="s">
        <v>248</v>
      </c>
      <c r="K8060" t="s">
        <v>249</v>
      </c>
      <c r="L8060">
        <v>4</v>
      </c>
      <c r="M8060" t="s">
        <v>27827</v>
      </c>
      <c r="N8060" t="s">
        <v>617</v>
      </c>
      <c r="O8060" t="s">
        <v>46</v>
      </c>
      <c r="P8060" t="s">
        <v>46</v>
      </c>
      <c r="Y8060" t="s">
        <v>27831</v>
      </c>
    </row>
    <row r="8061" spans="1:25">
      <c r="A8061" t="s">
        <v>27832</v>
      </c>
      <c r="B8061" t="s">
        <v>27833</v>
      </c>
      <c r="D8061" t="s">
        <v>40</v>
      </c>
      <c r="E8061" t="s">
        <v>41</v>
      </c>
      <c r="J8061" t="s">
        <v>248</v>
      </c>
      <c r="K8061" t="s">
        <v>249</v>
      </c>
      <c r="L8061">
        <v>4</v>
      </c>
      <c r="M8061" t="s">
        <v>27834</v>
      </c>
      <c r="N8061" t="s">
        <v>142</v>
      </c>
      <c r="O8061" t="s">
        <v>46</v>
      </c>
      <c r="P8061" t="s">
        <v>46</v>
      </c>
      <c r="Y8061" t="s">
        <v>27835</v>
      </c>
    </row>
    <row r="8062" spans="1:25">
      <c r="A8062" t="s">
        <v>27836</v>
      </c>
      <c r="B8062" t="s">
        <v>27837</v>
      </c>
      <c r="D8062" t="s">
        <v>40</v>
      </c>
      <c r="E8062" t="s">
        <v>41</v>
      </c>
      <c r="J8062" t="s">
        <v>1142</v>
      </c>
      <c r="K8062" t="s">
        <v>1143</v>
      </c>
      <c r="L8062">
        <v>4</v>
      </c>
      <c r="M8062" t="s">
        <v>27838</v>
      </c>
      <c r="N8062" t="s">
        <v>25388</v>
      </c>
      <c r="O8062" t="s">
        <v>46</v>
      </c>
      <c r="P8062" t="s">
        <v>46</v>
      </c>
      <c r="Y8062" t="s">
        <v>27839</v>
      </c>
    </row>
    <row r="8063" spans="1:25">
      <c r="A8063" t="s">
        <v>27840</v>
      </c>
      <c r="B8063" t="s">
        <v>27841</v>
      </c>
      <c r="D8063" t="s">
        <v>40</v>
      </c>
      <c r="E8063" t="s">
        <v>41</v>
      </c>
      <c r="J8063" t="s">
        <v>139</v>
      </c>
      <c r="K8063" t="s">
        <v>140</v>
      </c>
      <c r="L8063">
        <v>4</v>
      </c>
      <c r="M8063" t="s">
        <v>27842</v>
      </c>
      <c r="N8063" t="s">
        <v>1392</v>
      </c>
      <c r="O8063" t="s">
        <v>46</v>
      </c>
      <c r="P8063" t="s">
        <v>46</v>
      </c>
      <c r="Y8063" t="s">
        <v>27843</v>
      </c>
    </row>
    <row r="8064" spans="1:25">
      <c r="A8064" t="s">
        <v>27844</v>
      </c>
      <c r="B8064" t="s">
        <v>27845</v>
      </c>
      <c r="D8064" t="s">
        <v>40</v>
      </c>
      <c r="E8064" t="s">
        <v>41</v>
      </c>
      <c r="J8064" t="s">
        <v>248</v>
      </c>
      <c r="K8064" t="s">
        <v>249</v>
      </c>
      <c r="L8064">
        <v>4</v>
      </c>
      <c r="M8064" t="s">
        <v>27846</v>
      </c>
      <c r="N8064" t="s">
        <v>1397</v>
      </c>
      <c r="O8064" t="s">
        <v>46</v>
      </c>
      <c r="P8064" t="s">
        <v>46</v>
      </c>
      <c r="Y8064" t="s">
        <v>27847</v>
      </c>
    </row>
    <row r="8065" spans="1:25">
      <c r="A8065" t="s">
        <v>27848</v>
      </c>
      <c r="B8065" t="s">
        <v>27849</v>
      </c>
      <c r="D8065" t="s">
        <v>40</v>
      </c>
      <c r="E8065" t="s">
        <v>41</v>
      </c>
      <c r="J8065" t="s">
        <v>248</v>
      </c>
      <c r="K8065" t="s">
        <v>249</v>
      </c>
      <c r="L8065">
        <v>4</v>
      </c>
      <c r="M8065" t="s">
        <v>27850</v>
      </c>
      <c r="N8065" t="s">
        <v>310</v>
      </c>
      <c r="O8065" t="s">
        <v>46</v>
      </c>
      <c r="P8065" t="s">
        <v>46</v>
      </c>
      <c r="Y8065" t="s">
        <v>27851</v>
      </c>
    </row>
    <row r="8066" spans="1:25">
      <c r="A8066" t="s">
        <v>27852</v>
      </c>
      <c r="B8066" t="s">
        <v>27853</v>
      </c>
      <c r="D8066" t="s">
        <v>40</v>
      </c>
      <c r="E8066" t="s">
        <v>41</v>
      </c>
      <c r="J8066" t="s">
        <v>248</v>
      </c>
      <c r="K8066" t="s">
        <v>249</v>
      </c>
      <c r="L8066">
        <v>4</v>
      </c>
      <c r="M8066" t="s">
        <v>27854</v>
      </c>
      <c r="N8066" t="s">
        <v>142</v>
      </c>
      <c r="O8066" t="s">
        <v>46</v>
      </c>
      <c r="P8066" t="s">
        <v>46</v>
      </c>
      <c r="Y8066" t="s">
        <v>27855</v>
      </c>
    </row>
    <row r="8067" spans="1:25">
      <c r="A8067" t="s">
        <v>27856</v>
      </c>
      <c r="B8067" t="s">
        <v>27857</v>
      </c>
      <c r="D8067" t="s">
        <v>40</v>
      </c>
      <c r="E8067" t="s">
        <v>41</v>
      </c>
      <c r="J8067" t="s">
        <v>248</v>
      </c>
      <c r="K8067" t="s">
        <v>249</v>
      </c>
      <c r="L8067">
        <v>4</v>
      </c>
      <c r="M8067" t="s">
        <v>27858</v>
      </c>
      <c r="N8067" t="s">
        <v>1047</v>
      </c>
      <c r="O8067" t="s">
        <v>46</v>
      </c>
      <c r="P8067" t="s">
        <v>46</v>
      </c>
      <c r="Y8067" t="s">
        <v>27859</v>
      </c>
    </row>
    <row r="8068" spans="1:25">
      <c r="A8068" t="s">
        <v>27860</v>
      </c>
      <c r="B8068" t="s">
        <v>27861</v>
      </c>
      <c r="D8068" t="s">
        <v>40</v>
      </c>
      <c r="E8068" t="s">
        <v>41</v>
      </c>
      <c r="J8068" t="s">
        <v>248</v>
      </c>
      <c r="K8068" t="s">
        <v>249</v>
      </c>
      <c r="L8068">
        <v>4</v>
      </c>
      <c r="M8068" t="s">
        <v>27862</v>
      </c>
      <c r="N8068" t="s">
        <v>24245</v>
      </c>
      <c r="O8068" t="s">
        <v>46</v>
      </c>
      <c r="P8068" t="s">
        <v>46</v>
      </c>
      <c r="Y8068" t="s">
        <v>27863</v>
      </c>
    </row>
    <row r="8069" spans="1:25">
      <c r="A8069" t="s">
        <v>27864</v>
      </c>
      <c r="B8069" t="s">
        <v>27865</v>
      </c>
      <c r="D8069" t="s">
        <v>40</v>
      </c>
      <c r="E8069" t="s">
        <v>41</v>
      </c>
      <c r="J8069" t="s">
        <v>1142</v>
      </c>
      <c r="K8069" t="s">
        <v>1143</v>
      </c>
      <c r="L8069">
        <v>4</v>
      </c>
      <c r="M8069" t="s">
        <v>27866</v>
      </c>
      <c r="N8069" t="s">
        <v>24387</v>
      </c>
      <c r="O8069" t="s">
        <v>46</v>
      </c>
      <c r="P8069" t="s">
        <v>46</v>
      </c>
      <c r="Y8069" t="s">
        <v>27867</v>
      </c>
    </row>
    <row r="8070" spans="1:25">
      <c r="A8070" t="s">
        <v>27868</v>
      </c>
      <c r="B8070" t="s">
        <v>27869</v>
      </c>
      <c r="D8070" t="s">
        <v>40</v>
      </c>
      <c r="E8070" t="s">
        <v>41</v>
      </c>
      <c r="J8070" t="s">
        <v>248</v>
      </c>
      <c r="K8070" t="s">
        <v>249</v>
      </c>
      <c r="L8070">
        <v>4</v>
      </c>
      <c r="M8070" t="s">
        <v>27866</v>
      </c>
      <c r="N8070" t="s">
        <v>1478</v>
      </c>
      <c r="O8070" t="s">
        <v>46</v>
      </c>
      <c r="P8070" t="s">
        <v>46</v>
      </c>
      <c r="Y8070" t="s">
        <v>27870</v>
      </c>
    </row>
    <row r="8071" spans="1:25">
      <c r="A8071" t="s">
        <v>27871</v>
      </c>
      <c r="B8071" t="s">
        <v>27872</v>
      </c>
      <c r="D8071" t="s">
        <v>40</v>
      </c>
      <c r="E8071" t="s">
        <v>41</v>
      </c>
      <c r="J8071" t="s">
        <v>248</v>
      </c>
      <c r="K8071" t="s">
        <v>249</v>
      </c>
      <c r="L8071">
        <v>4</v>
      </c>
      <c r="M8071" t="s">
        <v>27873</v>
      </c>
      <c r="N8071" t="s">
        <v>257</v>
      </c>
      <c r="O8071" t="s">
        <v>46</v>
      </c>
      <c r="P8071" t="s">
        <v>46</v>
      </c>
      <c r="Y8071" t="s">
        <v>27874</v>
      </c>
    </row>
    <row r="8072" spans="1:25">
      <c r="A8072" t="s">
        <v>27875</v>
      </c>
      <c r="B8072" t="s">
        <v>27876</v>
      </c>
      <c r="D8072" t="s">
        <v>40</v>
      </c>
      <c r="E8072" t="s">
        <v>41</v>
      </c>
      <c r="J8072" t="s">
        <v>248</v>
      </c>
      <c r="K8072" t="s">
        <v>249</v>
      </c>
      <c r="L8072">
        <v>4</v>
      </c>
      <c r="M8072" t="s">
        <v>27873</v>
      </c>
      <c r="N8072" t="s">
        <v>350</v>
      </c>
      <c r="O8072" t="s">
        <v>46</v>
      </c>
      <c r="P8072" t="s">
        <v>46</v>
      </c>
      <c r="Y8072" t="s">
        <v>27877</v>
      </c>
    </row>
    <row r="8073" spans="1:25">
      <c r="A8073" t="s">
        <v>27878</v>
      </c>
      <c r="B8073" t="s">
        <v>27879</v>
      </c>
      <c r="D8073" t="s">
        <v>40</v>
      </c>
      <c r="E8073" t="s">
        <v>41</v>
      </c>
      <c r="J8073" t="s">
        <v>248</v>
      </c>
      <c r="K8073" t="s">
        <v>249</v>
      </c>
      <c r="L8073">
        <v>4</v>
      </c>
      <c r="M8073" t="s">
        <v>27880</v>
      </c>
      <c r="N8073" t="s">
        <v>1258</v>
      </c>
      <c r="O8073" t="s">
        <v>46</v>
      </c>
      <c r="P8073" t="s">
        <v>46</v>
      </c>
      <c r="Y8073" t="s">
        <v>27881</v>
      </c>
    </row>
    <row r="8074" spans="1:25">
      <c r="A8074" t="s">
        <v>27882</v>
      </c>
      <c r="B8074" t="s">
        <v>27883</v>
      </c>
      <c r="D8074" t="s">
        <v>40</v>
      </c>
      <c r="E8074" t="s">
        <v>41</v>
      </c>
      <c r="J8074" t="s">
        <v>1142</v>
      </c>
      <c r="K8074" t="s">
        <v>1143</v>
      </c>
      <c r="L8074">
        <v>4</v>
      </c>
      <c r="M8074" t="s">
        <v>27884</v>
      </c>
      <c r="N8074" t="s">
        <v>2621</v>
      </c>
      <c r="O8074" t="s">
        <v>46</v>
      </c>
      <c r="P8074" t="s">
        <v>46</v>
      </c>
      <c r="Y8074" t="s">
        <v>27885</v>
      </c>
    </row>
    <row r="8075" spans="1:25">
      <c r="A8075" t="s">
        <v>27886</v>
      </c>
      <c r="B8075" t="s">
        <v>27887</v>
      </c>
      <c r="D8075" t="s">
        <v>40</v>
      </c>
      <c r="E8075" t="s">
        <v>41</v>
      </c>
      <c r="J8075" t="s">
        <v>248</v>
      </c>
      <c r="K8075" t="s">
        <v>249</v>
      </c>
      <c r="L8075">
        <v>3</v>
      </c>
      <c r="M8075" t="s">
        <v>27888</v>
      </c>
      <c r="N8075" t="s">
        <v>25388</v>
      </c>
      <c r="O8075" t="s">
        <v>46</v>
      </c>
      <c r="P8075" t="s">
        <v>46</v>
      </c>
      <c r="Y8075" t="s">
        <v>27889</v>
      </c>
    </row>
    <row r="8076" spans="1:25">
      <c r="A8076" t="s">
        <v>27890</v>
      </c>
      <c r="B8076" t="s">
        <v>27891</v>
      </c>
      <c r="D8076" t="s">
        <v>40</v>
      </c>
      <c r="E8076" t="s">
        <v>41</v>
      </c>
      <c r="J8076" t="s">
        <v>12440</v>
      </c>
      <c r="K8076" t="s">
        <v>12441</v>
      </c>
      <c r="L8076">
        <v>5</v>
      </c>
      <c r="M8076" t="s">
        <v>27892</v>
      </c>
      <c r="N8076" t="s">
        <v>1344</v>
      </c>
      <c r="O8076" t="s">
        <v>46</v>
      </c>
      <c r="P8076" t="s">
        <v>46</v>
      </c>
      <c r="Y8076" t="s">
        <v>27893</v>
      </c>
    </row>
    <row r="8077" spans="1:25">
      <c r="A8077" t="s">
        <v>27894</v>
      </c>
      <c r="B8077" t="s">
        <v>27895</v>
      </c>
      <c r="D8077" t="s">
        <v>40</v>
      </c>
      <c r="E8077" t="s">
        <v>41</v>
      </c>
      <c r="J8077" t="s">
        <v>1142</v>
      </c>
      <c r="K8077" t="s">
        <v>1143</v>
      </c>
      <c r="L8077">
        <v>4</v>
      </c>
      <c r="M8077" t="s">
        <v>27896</v>
      </c>
      <c r="N8077" t="s">
        <v>1550</v>
      </c>
      <c r="O8077" t="s">
        <v>46</v>
      </c>
      <c r="P8077" t="s">
        <v>46</v>
      </c>
      <c r="Y8077" t="s">
        <v>27897</v>
      </c>
    </row>
    <row r="8078" spans="1:25">
      <c r="A8078" t="s">
        <v>27898</v>
      </c>
      <c r="B8078" t="s">
        <v>27899</v>
      </c>
      <c r="D8078" t="s">
        <v>40</v>
      </c>
      <c r="E8078" t="s">
        <v>41</v>
      </c>
      <c r="J8078" t="s">
        <v>248</v>
      </c>
      <c r="K8078" t="s">
        <v>249</v>
      </c>
      <c r="L8078">
        <v>4</v>
      </c>
      <c r="M8078" t="s">
        <v>27900</v>
      </c>
      <c r="N8078" t="s">
        <v>617</v>
      </c>
      <c r="O8078" t="s">
        <v>46</v>
      </c>
      <c r="P8078" t="s">
        <v>46</v>
      </c>
      <c r="Y8078" t="s">
        <v>27901</v>
      </c>
    </row>
    <row r="8079" spans="1:25">
      <c r="A8079" t="s">
        <v>27902</v>
      </c>
      <c r="B8079" t="s">
        <v>27903</v>
      </c>
      <c r="D8079" t="s">
        <v>40</v>
      </c>
      <c r="E8079" t="s">
        <v>41</v>
      </c>
      <c r="J8079" t="s">
        <v>248</v>
      </c>
      <c r="K8079" t="s">
        <v>249</v>
      </c>
      <c r="L8079">
        <v>4</v>
      </c>
      <c r="M8079" t="s">
        <v>27904</v>
      </c>
      <c r="N8079" t="s">
        <v>178</v>
      </c>
      <c r="O8079" t="s">
        <v>46</v>
      </c>
      <c r="P8079" t="s">
        <v>46</v>
      </c>
      <c r="Y8079" t="s">
        <v>27905</v>
      </c>
    </row>
    <row r="8080" spans="1:25">
      <c r="A8080" t="s">
        <v>27906</v>
      </c>
      <c r="B8080" t="s">
        <v>27907</v>
      </c>
      <c r="D8080" t="s">
        <v>40</v>
      </c>
      <c r="E8080" t="s">
        <v>41</v>
      </c>
      <c r="J8080" t="s">
        <v>248</v>
      </c>
      <c r="K8080" t="s">
        <v>249</v>
      </c>
      <c r="L8080">
        <v>6</v>
      </c>
      <c r="M8080" t="s">
        <v>27908</v>
      </c>
      <c r="N8080" t="s">
        <v>509</v>
      </c>
      <c r="O8080" t="s">
        <v>46</v>
      </c>
      <c r="P8080" t="s">
        <v>46</v>
      </c>
      <c r="Y8080" t="s">
        <v>27909</v>
      </c>
    </row>
    <row r="8081" spans="1:25">
      <c r="A8081" t="s">
        <v>27910</v>
      </c>
      <c r="B8081" t="s">
        <v>27911</v>
      </c>
      <c r="D8081" t="s">
        <v>40</v>
      </c>
      <c r="E8081" t="s">
        <v>41</v>
      </c>
      <c r="J8081" t="s">
        <v>1554</v>
      </c>
      <c r="K8081" t="s">
        <v>1555</v>
      </c>
      <c r="L8081">
        <v>4</v>
      </c>
      <c r="M8081" t="s">
        <v>27912</v>
      </c>
      <c r="N8081" t="s">
        <v>296</v>
      </c>
      <c r="O8081" t="s">
        <v>46</v>
      </c>
      <c r="P8081" t="s">
        <v>46</v>
      </c>
      <c r="Y8081" t="s">
        <v>27913</v>
      </c>
    </row>
    <row r="8082" spans="1:25">
      <c r="A8082" t="s">
        <v>27914</v>
      </c>
      <c r="B8082" t="s">
        <v>27915</v>
      </c>
      <c r="D8082" t="s">
        <v>40</v>
      </c>
      <c r="E8082" t="s">
        <v>41</v>
      </c>
      <c r="J8082" t="s">
        <v>248</v>
      </c>
      <c r="K8082" t="s">
        <v>249</v>
      </c>
      <c r="L8082">
        <v>4</v>
      </c>
      <c r="M8082" t="s">
        <v>27916</v>
      </c>
      <c r="N8082" t="s">
        <v>1024</v>
      </c>
      <c r="O8082" t="s">
        <v>46</v>
      </c>
      <c r="P8082" t="s">
        <v>46</v>
      </c>
      <c r="Y8082" t="s">
        <v>27917</v>
      </c>
    </row>
    <row r="8083" spans="1:25">
      <c r="A8083" t="s">
        <v>27918</v>
      </c>
      <c r="B8083" t="s">
        <v>27919</v>
      </c>
      <c r="D8083" t="s">
        <v>40</v>
      </c>
      <c r="E8083" t="s">
        <v>41</v>
      </c>
      <c r="J8083" t="s">
        <v>599</v>
      </c>
      <c r="K8083" t="s">
        <v>600</v>
      </c>
      <c r="L8083">
        <v>4</v>
      </c>
      <c r="M8083" t="s">
        <v>27920</v>
      </c>
      <c r="N8083" t="s">
        <v>1478</v>
      </c>
      <c r="O8083" t="s">
        <v>46</v>
      </c>
      <c r="P8083" t="s">
        <v>46</v>
      </c>
      <c r="Y8083" t="s">
        <v>27921</v>
      </c>
    </row>
    <row r="8084" spans="1:25">
      <c r="A8084" t="s">
        <v>27922</v>
      </c>
      <c r="B8084" t="s">
        <v>27923</v>
      </c>
      <c r="D8084" t="s">
        <v>40</v>
      </c>
      <c r="E8084" t="s">
        <v>41</v>
      </c>
      <c r="J8084" t="s">
        <v>12440</v>
      </c>
      <c r="K8084" t="s">
        <v>12441</v>
      </c>
      <c r="L8084">
        <v>5</v>
      </c>
      <c r="M8084" t="s">
        <v>27924</v>
      </c>
      <c r="N8084" t="s">
        <v>1024</v>
      </c>
      <c r="O8084" t="s">
        <v>46</v>
      </c>
      <c r="P8084" t="s">
        <v>46</v>
      </c>
      <c r="Y8084" t="s">
        <v>27925</v>
      </c>
    </row>
    <row r="8085" spans="1:25">
      <c r="A8085" t="s">
        <v>27926</v>
      </c>
      <c r="B8085" t="s">
        <v>27927</v>
      </c>
      <c r="D8085" t="s">
        <v>40</v>
      </c>
      <c r="E8085" t="s">
        <v>41</v>
      </c>
      <c r="J8085" t="s">
        <v>139</v>
      </c>
      <c r="K8085" t="s">
        <v>140</v>
      </c>
      <c r="L8085">
        <v>4</v>
      </c>
      <c r="M8085" t="s">
        <v>27928</v>
      </c>
      <c r="N8085" t="s">
        <v>24245</v>
      </c>
      <c r="O8085" t="s">
        <v>46</v>
      </c>
      <c r="P8085" t="s">
        <v>46</v>
      </c>
      <c r="Y8085" t="s">
        <v>27929</v>
      </c>
    </row>
    <row r="8086" spans="1:25">
      <c r="A8086" t="s">
        <v>27930</v>
      </c>
      <c r="B8086" t="s">
        <v>27931</v>
      </c>
      <c r="D8086" t="s">
        <v>40</v>
      </c>
      <c r="E8086" t="s">
        <v>41</v>
      </c>
      <c r="J8086" t="s">
        <v>139</v>
      </c>
      <c r="K8086" t="s">
        <v>140</v>
      </c>
      <c r="L8086">
        <v>4</v>
      </c>
      <c r="M8086" t="s">
        <v>27932</v>
      </c>
      <c r="N8086" t="s">
        <v>1276</v>
      </c>
      <c r="O8086" t="s">
        <v>46</v>
      </c>
      <c r="P8086" t="s">
        <v>46</v>
      </c>
      <c r="Y8086" t="s">
        <v>27933</v>
      </c>
    </row>
    <row r="8087" spans="1:25">
      <c r="A8087" t="s">
        <v>27934</v>
      </c>
      <c r="B8087" t="s">
        <v>27935</v>
      </c>
      <c r="D8087" t="s">
        <v>40</v>
      </c>
      <c r="E8087" t="s">
        <v>41</v>
      </c>
      <c r="J8087" t="s">
        <v>248</v>
      </c>
      <c r="K8087" t="s">
        <v>249</v>
      </c>
      <c r="L8087">
        <v>4</v>
      </c>
      <c r="M8087" t="s">
        <v>27936</v>
      </c>
      <c r="N8087" t="s">
        <v>617</v>
      </c>
      <c r="O8087" t="s">
        <v>46</v>
      </c>
      <c r="P8087" t="s">
        <v>46</v>
      </c>
      <c r="Y8087" t="s">
        <v>27937</v>
      </c>
    </row>
    <row r="8088" spans="1:25">
      <c r="A8088" t="s">
        <v>27938</v>
      </c>
      <c r="B8088" t="s">
        <v>27939</v>
      </c>
      <c r="D8088" t="s">
        <v>40</v>
      </c>
      <c r="E8088" t="s">
        <v>41</v>
      </c>
      <c r="J8088" t="s">
        <v>1142</v>
      </c>
      <c r="K8088" t="s">
        <v>1143</v>
      </c>
      <c r="L8088">
        <v>4</v>
      </c>
      <c r="M8088" t="s">
        <v>27940</v>
      </c>
      <c r="N8088" t="s">
        <v>1550</v>
      </c>
      <c r="O8088" t="s">
        <v>46</v>
      </c>
      <c r="P8088" t="s">
        <v>46</v>
      </c>
      <c r="Y8088" t="s">
        <v>27941</v>
      </c>
    </row>
    <row r="8089" spans="1:25">
      <c r="A8089" t="s">
        <v>27942</v>
      </c>
      <c r="B8089" t="s">
        <v>27943</v>
      </c>
      <c r="D8089" t="s">
        <v>40</v>
      </c>
      <c r="E8089" t="s">
        <v>41</v>
      </c>
      <c r="J8089" t="s">
        <v>248</v>
      </c>
      <c r="K8089" t="s">
        <v>249</v>
      </c>
      <c r="L8089">
        <v>4</v>
      </c>
      <c r="M8089" t="s">
        <v>27944</v>
      </c>
      <c r="N8089" t="s">
        <v>24387</v>
      </c>
      <c r="O8089" t="s">
        <v>46</v>
      </c>
      <c r="P8089" t="s">
        <v>46</v>
      </c>
      <c r="Y8089" t="s">
        <v>27945</v>
      </c>
    </row>
    <row r="8090" spans="1:25">
      <c r="A8090" t="s">
        <v>27946</v>
      </c>
      <c r="B8090" t="s">
        <v>27947</v>
      </c>
      <c r="D8090" t="s">
        <v>40</v>
      </c>
      <c r="E8090" t="s">
        <v>41</v>
      </c>
      <c r="J8090" t="s">
        <v>248</v>
      </c>
      <c r="K8090" t="s">
        <v>249</v>
      </c>
      <c r="L8090">
        <v>4</v>
      </c>
      <c r="M8090" t="s">
        <v>27944</v>
      </c>
      <c r="N8090" t="s">
        <v>24245</v>
      </c>
      <c r="O8090" t="s">
        <v>46</v>
      </c>
      <c r="P8090" t="s">
        <v>46</v>
      </c>
      <c r="Y8090" t="s">
        <v>27948</v>
      </c>
    </row>
    <row r="8091" spans="1:25">
      <c r="A8091" t="s">
        <v>27949</v>
      </c>
      <c r="B8091" t="s">
        <v>27950</v>
      </c>
      <c r="D8091" t="s">
        <v>40</v>
      </c>
      <c r="E8091" t="s">
        <v>41</v>
      </c>
      <c r="J8091" t="s">
        <v>1554</v>
      </c>
      <c r="K8091" t="s">
        <v>1555</v>
      </c>
      <c r="L8091">
        <v>4</v>
      </c>
      <c r="M8091" t="s">
        <v>27951</v>
      </c>
      <c r="N8091" t="s">
        <v>24227</v>
      </c>
      <c r="O8091" t="s">
        <v>46</v>
      </c>
      <c r="P8091" t="s">
        <v>46</v>
      </c>
      <c r="Y8091" t="s">
        <v>27952</v>
      </c>
    </row>
    <row r="8092" spans="1:25">
      <c r="A8092" t="s">
        <v>27953</v>
      </c>
      <c r="B8092" t="s">
        <v>27954</v>
      </c>
      <c r="D8092" t="s">
        <v>40</v>
      </c>
      <c r="E8092" t="s">
        <v>41</v>
      </c>
      <c r="J8092" t="s">
        <v>6255</v>
      </c>
      <c r="K8092" t="s">
        <v>6256</v>
      </c>
      <c r="L8092">
        <v>4</v>
      </c>
      <c r="M8092" t="s">
        <v>27955</v>
      </c>
      <c r="N8092" t="s">
        <v>1334</v>
      </c>
      <c r="O8092" t="s">
        <v>46</v>
      </c>
      <c r="P8092" t="s">
        <v>46</v>
      </c>
      <c r="Y8092" t="s">
        <v>27956</v>
      </c>
    </row>
    <row r="8093" spans="1:25">
      <c r="A8093" t="s">
        <v>27957</v>
      </c>
      <c r="B8093" t="s">
        <v>27958</v>
      </c>
      <c r="D8093" t="s">
        <v>40</v>
      </c>
      <c r="E8093" t="s">
        <v>41</v>
      </c>
      <c r="J8093" t="s">
        <v>248</v>
      </c>
      <c r="K8093" t="s">
        <v>249</v>
      </c>
      <c r="L8093">
        <v>4</v>
      </c>
      <c r="M8093" t="s">
        <v>27959</v>
      </c>
      <c r="N8093" t="s">
        <v>178</v>
      </c>
      <c r="O8093" t="s">
        <v>46</v>
      </c>
      <c r="P8093" t="s">
        <v>46</v>
      </c>
      <c r="Y8093" t="s">
        <v>27960</v>
      </c>
    </row>
    <row r="8094" spans="1:25">
      <c r="A8094" t="s">
        <v>27961</v>
      </c>
      <c r="B8094" t="s">
        <v>27962</v>
      </c>
      <c r="D8094" t="s">
        <v>40</v>
      </c>
      <c r="E8094" t="s">
        <v>41</v>
      </c>
      <c r="J8094" t="s">
        <v>1142</v>
      </c>
      <c r="K8094" t="s">
        <v>1143</v>
      </c>
      <c r="L8094">
        <v>4</v>
      </c>
      <c r="M8094" t="s">
        <v>27963</v>
      </c>
      <c r="N8094" t="s">
        <v>315</v>
      </c>
      <c r="O8094" t="s">
        <v>46</v>
      </c>
      <c r="P8094" t="s">
        <v>46</v>
      </c>
      <c r="Y8094" t="s">
        <v>27964</v>
      </c>
    </row>
    <row r="8095" spans="1:25">
      <c r="A8095" t="s">
        <v>27965</v>
      </c>
      <c r="B8095" t="s">
        <v>27966</v>
      </c>
      <c r="D8095" t="s">
        <v>40</v>
      </c>
      <c r="E8095" t="s">
        <v>41</v>
      </c>
      <c r="J8095" t="s">
        <v>248</v>
      </c>
      <c r="K8095" t="s">
        <v>249</v>
      </c>
      <c r="L8095">
        <v>4</v>
      </c>
      <c r="M8095" t="s">
        <v>27963</v>
      </c>
      <c r="N8095" t="s">
        <v>350</v>
      </c>
      <c r="O8095" t="s">
        <v>46</v>
      </c>
      <c r="P8095" t="s">
        <v>46</v>
      </c>
      <c r="Y8095" t="s">
        <v>27967</v>
      </c>
    </row>
    <row r="8096" spans="1:25">
      <c r="A8096" t="s">
        <v>27968</v>
      </c>
      <c r="B8096" t="s">
        <v>27969</v>
      </c>
      <c r="D8096" t="s">
        <v>40</v>
      </c>
      <c r="E8096" t="s">
        <v>41</v>
      </c>
      <c r="J8096" t="s">
        <v>11802</v>
      </c>
      <c r="K8096" t="s">
        <v>11803</v>
      </c>
      <c r="L8096">
        <v>4</v>
      </c>
      <c r="M8096" t="s">
        <v>27970</v>
      </c>
      <c r="N8096" t="s">
        <v>1550</v>
      </c>
      <c r="O8096" t="s">
        <v>46</v>
      </c>
      <c r="P8096" t="s">
        <v>46</v>
      </c>
      <c r="Y8096" t="s">
        <v>27971</v>
      </c>
    </row>
    <row r="8097" spans="1:25">
      <c r="A8097" t="s">
        <v>27972</v>
      </c>
      <c r="B8097" t="s">
        <v>27973</v>
      </c>
      <c r="D8097" t="s">
        <v>40</v>
      </c>
      <c r="E8097" t="s">
        <v>41</v>
      </c>
      <c r="J8097" t="s">
        <v>1142</v>
      </c>
      <c r="K8097" t="s">
        <v>1143</v>
      </c>
      <c r="L8097">
        <v>4</v>
      </c>
      <c r="M8097" t="s">
        <v>27970</v>
      </c>
      <c r="N8097" t="s">
        <v>1392</v>
      </c>
      <c r="O8097" t="s">
        <v>46</v>
      </c>
      <c r="P8097" t="s">
        <v>46</v>
      </c>
      <c r="Y8097" t="s">
        <v>27974</v>
      </c>
    </row>
    <row r="8098" spans="1:25">
      <c r="A8098" t="s">
        <v>27975</v>
      </c>
      <c r="B8098" t="s">
        <v>27976</v>
      </c>
      <c r="D8098" t="s">
        <v>40</v>
      </c>
      <c r="E8098" t="s">
        <v>41</v>
      </c>
      <c r="J8098" t="s">
        <v>1554</v>
      </c>
      <c r="K8098" t="s">
        <v>1555</v>
      </c>
      <c r="L8098">
        <v>2</v>
      </c>
      <c r="M8098" t="s">
        <v>27977</v>
      </c>
      <c r="N8098" t="s">
        <v>296</v>
      </c>
      <c r="O8098" t="s">
        <v>46</v>
      </c>
      <c r="P8098" t="s">
        <v>46</v>
      </c>
      <c r="Y8098" t="s">
        <v>27978</v>
      </c>
    </row>
    <row r="8099" spans="1:25">
      <c r="A8099" t="s">
        <v>27979</v>
      </c>
      <c r="B8099" t="s">
        <v>27980</v>
      </c>
      <c r="D8099" t="s">
        <v>40</v>
      </c>
      <c r="E8099" t="s">
        <v>41</v>
      </c>
      <c r="J8099" t="s">
        <v>11802</v>
      </c>
      <c r="K8099" t="s">
        <v>11803</v>
      </c>
      <c r="L8099">
        <v>4</v>
      </c>
      <c r="M8099" t="s">
        <v>27981</v>
      </c>
      <c r="N8099" t="s">
        <v>310</v>
      </c>
      <c r="O8099" t="s">
        <v>46</v>
      </c>
      <c r="P8099" t="s">
        <v>46</v>
      </c>
      <c r="Y8099" t="s">
        <v>27982</v>
      </c>
    </row>
    <row r="8100" spans="1:25">
      <c r="A8100" t="s">
        <v>27983</v>
      </c>
      <c r="B8100" t="s">
        <v>27984</v>
      </c>
      <c r="D8100" t="s">
        <v>40</v>
      </c>
      <c r="E8100" t="s">
        <v>41</v>
      </c>
      <c r="J8100" t="s">
        <v>248</v>
      </c>
      <c r="K8100" t="s">
        <v>249</v>
      </c>
      <c r="L8100">
        <v>4</v>
      </c>
      <c r="M8100" t="s">
        <v>27985</v>
      </c>
      <c r="N8100" t="s">
        <v>173</v>
      </c>
      <c r="O8100" t="s">
        <v>46</v>
      </c>
      <c r="P8100" t="s">
        <v>46</v>
      </c>
      <c r="Y8100" t="s">
        <v>27986</v>
      </c>
    </row>
    <row r="8101" spans="1:25">
      <c r="A8101" t="s">
        <v>27987</v>
      </c>
      <c r="B8101" t="s">
        <v>27988</v>
      </c>
      <c r="D8101" t="s">
        <v>40</v>
      </c>
      <c r="E8101" t="s">
        <v>41</v>
      </c>
      <c r="J8101" t="s">
        <v>599</v>
      </c>
      <c r="K8101" t="s">
        <v>600</v>
      </c>
      <c r="L8101">
        <v>4</v>
      </c>
      <c r="M8101" t="s">
        <v>27989</v>
      </c>
      <c r="N8101" t="s">
        <v>1229</v>
      </c>
      <c r="O8101" t="s">
        <v>46</v>
      </c>
      <c r="P8101" t="s">
        <v>46</v>
      </c>
      <c r="Y8101" t="s">
        <v>27990</v>
      </c>
    </row>
    <row r="8102" spans="1:25">
      <c r="A8102" t="s">
        <v>27991</v>
      </c>
      <c r="B8102" t="s">
        <v>27992</v>
      </c>
      <c r="D8102" t="s">
        <v>40</v>
      </c>
      <c r="E8102" t="s">
        <v>41</v>
      </c>
      <c r="J8102" t="s">
        <v>248</v>
      </c>
      <c r="K8102" t="s">
        <v>249</v>
      </c>
      <c r="L8102">
        <v>4</v>
      </c>
      <c r="M8102" t="s">
        <v>27993</v>
      </c>
      <c r="N8102" t="s">
        <v>1397</v>
      </c>
      <c r="O8102" t="s">
        <v>46</v>
      </c>
      <c r="P8102" t="s">
        <v>46</v>
      </c>
      <c r="Y8102" t="s">
        <v>27994</v>
      </c>
    </row>
    <row r="8103" spans="1:25">
      <c r="A8103" t="s">
        <v>27995</v>
      </c>
      <c r="B8103" t="s">
        <v>27996</v>
      </c>
      <c r="D8103" t="s">
        <v>40</v>
      </c>
      <c r="E8103" t="s">
        <v>41</v>
      </c>
      <c r="J8103" t="s">
        <v>248</v>
      </c>
      <c r="K8103" t="s">
        <v>249</v>
      </c>
      <c r="L8103">
        <v>4</v>
      </c>
      <c r="M8103" t="s">
        <v>27997</v>
      </c>
      <c r="N8103" t="s">
        <v>24227</v>
      </c>
      <c r="O8103" t="s">
        <v>46</v>
      </c>
      <c r="P8103" t="s">
        <v>46</v>
      </c>
      <c r="Y8103" t="s">
        <v>27998</v>
      </c>
    </row>
    <row r="8104" spans="1:25">
      <c r="A8104" t="s">
        <v>27999</v>
      </c>
      <c r="B8104" t="s">
        <v>28000</v>
      </c>
      <c r="D8104" t="s">
        <v>40</v>
      </c>
      <c r="E8104" t="s">
        <v>41</v>
      </c>
      <c r="J8104" t="s">
        <v>6255</v>
      </c>
      <c r="K8104" t="s">
        <v>6256</v>
      </c>
      <c r="L8104">
        <v>4</v>
      </c>
      <c r="M8104" t="s">
        <v>28001</v>
      </c>
      <c r="N8104" t="s">
        <v>24387</v>
      </c>
      <c r="O8104" t="s">
        <v>46</v>
      </c>
      <c r="P8104" t="s">
        <v>46</v>
      </c>
      <c r="Y8104" t="s">
        <v>28002</v>
      </c>
    </row>
    <row r="8105" spans="1:25">
      <c r="A8105" t="s">
        <v>28003</v>
      </c>
      <c r="B8105" t="s">
        <v>28004</v>
      </c>
      <c r="D8105" t="s">
        <v>40</v>
      </c>
      <c r="E8105" t="s">
        <v>41</v>
      </c>
      <c r="J8105" t="s">
        <v>248</v>
      </c>
      <c r="K8105" t="s">
        <v>249</v>
      </c>
      <c r="L8105">
        <v>4</v>
      </c>
      <c r="M8105" t="s">
        <v>28005</v>
      </c>
      <c r="N8105" t="s">
        <v>25388</v>
      </c>
      <c r="O8105" t="s">
        <v>46</v>
      </c>
      <c r="P8105" t="s">
        <v>46</v>
      </c>
      <c r="Y8105" t="s">
        <v>28006</v>
      </c>
    </row>
    <row r="8106" spans="1:25">
      <c r="A8106" t="s">
        <v>28007</v>
      </c>
      <c r="B8106" t="s">
        <v>28008</v>
      </c>
      <c r="D8106" t="s">
        <v>40</v>
      </c>
      <c r="E8106" t="s">
        <v>41</v>
      </c>
      <c r="J8106" t="s">
        <v>248</v>
      </c>
      <c r="K8106" t="s">
        <v>249</v>
      </c>
      <c r="L8106">
        <v>4</v>
      </c>
      <c r="M8106" t="s">
        <v>28009</v>
      </c>
      <c r="N8106" t="s">
        <v>24245</v>
      </c>
      <c r="O8106" t="s">
        <v>46</v>
      </c>
      <c r="P8106" t="s">
        <v>46</v>
      </c>
      <c r="Y8106" t="s">
        <v>28010</v>
      </c>
    </row>
    <row r="8107" spans="1:25">
      <c r="A8107" t="s">
        <v>28011</v>
      </c>
      <c r="B8107" t="s">
        <v>28012</v>
      </c>
      <c r="D8107" t="s">
        <v>40</v>
      </c>
      <c r="E8107" t="s">
        <v>41</v>
      </c>
      <c r="J8107" t="s">
        <v>248</v>
      </c>
      <c r="K8107" t="s">
        <v>249</v>
      </c>
      <c r="L8107">
        <v>4</v>
      </c>
      <c r="M8107" t="s">
        <v>28013</v>
      </c>
      <c r="N8107" t="s">
        <v>1258</v>
      </c>
      <c r="O8107" t="s">
        <v>46</v>
      </c>
      <c r="P8107" t="s">
        <v>46</v>
      </c>
      <c r="Y8107" t="s">
        <v>28014</v>
      </c>
    </row>
    <row r="8108" spans="1:25">
      <c r="A8108" t="s">
        <v>28015</v>
      </c>
      <c r="B8108" t="s">
        <v>28016</v>
      </c>
      <c r="D8108" t="s">
        <v>40</v>
      </c>
      <c r="E8108" t="s">
        <v>41</v>
      </c>
      <c r="J8108" t="s">
        <v>248</v>
      </c>
      <c r="K8108" t="s">
        <v>249</v>
      </c>
      <c r="L8108">
        <v>4</v>
      </c>
      <c r="M8108" t="s">
        <v>28017</v>
      </c>
      <c r="N8108" t="s">
        <v>1276</v>
      </c>
      <c r="O8108" t="s">
        <v>46</v>
      </c>
      <c r="P8108" t="s">
        <v>46</v>
      </c>
      <c r="Y8108" t="s">
        <v>28018</v>
      </c>
    </row>
    <row r="8109" spans="1:25">
      <c r="A8109" t="s">
        <v>28019</v>
      </c>
      <c r="B8109" t="s">
        <v>28020</v>
      </c>
      <c r="D8109" t="s">
        <v>40</v>
      </c>
      <c r="E8109" t="s">
        <v>41</v>
      </c>
      <c r="J8109" t="s">
        <v>12440</v>
      </c>
      <c r="K8109" t="s">
        <v>12441</v>
      </c>
      <c r="L8109">
        <v>5</v>
      </c>
      <c r="M8109" t="s">
        <v>28021</v>
      </c>
      <c r="N8109" t="s">
        <v>64</v>
      </c>
      <c r="O8109" t="s">
        <v>46</v>
      </c>
      <c r="P8109" t="s">
        <v>46</v>
      </c>
      <c r="Y8109" t="s">
        <v>28022</v>
      </c>
    </row>
    <row r="8110" spans="1:25">
      <c r="A8110" t="s">
        <v>28023</v>
      </c>
      <c r="B8110" t="s">
        <v>28024</v>
      </c>
      <c r="D8110" t="s">
        <v>40</v>
      </c>
      <c r="E8110" t="s">
        <v>41</v>
      </c>
      <c r="J8110" t="s">
        <v>248</v>
      </c>
      <c r="K8110" t="s">
        <v>249</v>
      </c>
      <c r="L8110">
        <v>4</v>
      </c>
      <c r="M8110" t="s">
        <v>28025</v>
      </c>
      <c r="N8110" t="s">
        <v>617</v>
      </c>
      <c r="O8110" t="s">
        <v>46</v>
      </c>
      <c r="P8110" t="s">
        <v>46</v>
      </c>
      <c r="Y8110" t="s">
        <v>28026</v>
      </c>
    </row>
    <row r="8111" spans="1:25">
      <c r="A8111" t="s">
        <v>28027</v>
      </c>
      <c r="B8111" t="s">
        <v>28028</v>
      </c>
      <c r="D8111" t="s">
        <v>40</v>
      </c>
      <c r="E8111" t="s">
        <v>41</v>
      </c>
      <c r="J8111" t="s">
        <v>248</v>
      </c>
      <c r="K8111" t="s">
        <v>249</v>
      </c>
      <c r="L8111">
        <v>4</v>
      </c>
      <c r="M8111" t="s">
        <v>28025</v>
      </c>
      <c r="N8111" t="s">
        <v>257</v>
      </c>
      <c r="O8111" t="s">
        <v>46</v>
      </c>
      <c r="P8111" t="s">
        <v>46</v>
      </c>
      <c r="Y8111" t="s">
        <v>28029</v>
      </c>
    </row>
    <row r="8112" spans="1:25">
      <c r="A8112" t="s">
        <v>28030</v>
      </c>
      <c r="B8112" t="s">
        <v>28031</v>
      </c>
      <c r="D8112" t="s">
        <v>40</v>
      </c>
      <c r="E8112" t="s">
        <v>41</v>
      </c>
      <c r="J8112" t="s">
        <v>248</v>
      </c>
      <c r="K8112" t="s">
        <v>249</v>
      </c>
      <c r="L8112">
        <v>4</v>
      </c>
      <c r="M8112" t="s">
        <v>28032</v>
      </c>
      <c r="N8112" t="s">
        <v>350</v>
      </c>
      <c r="O8112" t="s">
        <v>46</v>
      </c>
      <c r="P8112" t="s">
        <v>46</v>
      </c>
      <c r="Y8112" t="s">
        <v>28033</v>
      </c>
    </row>
    <row r="8113" spans="1:25">
      <c r="A8113" t="s">
        <v>28034</v>
      </c>
      <c r="B8113" t="s">
        <v>28035</v>
      </c>
      <c r="D8113" t="s">
        <v>40</v>
      </c>
      <c r="E8113" t="s">
        <v>41</v>
      </c>
      <c r="J8113" t="s">
        <v>139</v>
      </c>
      <c r="K8113" t="s">
        <v>140</v>
      </c>
      <c r="L8113">
        <v>4</v>
      </c>
      <c r="M8113" t="s">
        <v>28036</v>
      </c>
      <c r="N8113" t="s">
        <v>24245</v>
      </c>
      <c r="O8113" t="s">
        <v>46</v>
      </c>
      <c r="P8113" t="s">
        <v>46</v>
      </c>
      <c r="Y8113" t="s">
        <v>28037</v>
      </c>
    </row>
    <row r="8114" spans="1:25">
      <c r="A8114" t="s">
        <v>28038</v>
      </c>
      <c r="B8114" t="s">
        <v>28039</v>
      </c>
      <c r="D8114" t="s">
        <v>40</v>
      </c>
      <c r="E8114" t="s">
        <v>41</v>
      </c>
      <c r="J8114" t="s">
        <v>139</v>
      </c>
      <c r="K8114" t="s">
        <v>140</v>
      </c>
      <c r="L8114">
        <v>4</v>
      </c>
      <c r="M8114" t="s">
        <v>28040</v>
      </c>
      <c r="N8114" t="s">
        <v>741</v>
      </c>
      <c r="O8114" t="s">
        <v>46</v>
      </c>
      <c r="P8114" t="s">
        <v>46</v>
      </c>
      <c r="Y8114" t="s">
        <v>28041</v>
      </c>
    </row>
    <row r="8115" spans="1:25">
      <c r="A8115" t="s">
        <v>28042</v>
      </c>
      <c r="B8115" t="s">
        <v>28043</v>
      </c>
      <c r="D8115" t="s">
        <v>40</v>
      </c>
      <c r="E8115" t="s">
        <v>41</v>
      </c>
      <c r="J8115" t="s">
        <v>248</v>
      </c>
      <c r="K8115" t="s">
        <v>249</v>
      </c>
      <c r="L8115">
        <v>4</v>
      </c>
      <c r="M8115" t="s">
        <v>28044</v>
      </c>
      <c r="N8115" t="s">
        <v>310</v>
      </c>
      <c r="O8115" t="s">
        <v>46</v>
      </c>
      <c r="P8115" t="s">
        <v>46</v>
      </c>
      <c r="Y8115" t="s">
        <v>28045</v>
      </c>
    </row>
    <row r="8116" spans="1:25">
      <c r="A8116" t="s">
        <v>28046</v>
      </c>
      <c r="B8116" t="s">
        <v>28047</v>
      </c>
      <c r="D8116" t="s">
        <v>40</v>
      </c>
      <c r="E8116" t="s">
        <v>41</v>
      </c>
      <c r="J8116" t="s">
        <v>1554</v>
      </c>
      <c r="K8116" t="s">
        <v>1555</v>
      </c>
      <c r="L8116">
        <v>4</v>
      </c>
      <c r="M8116" t="s">
        <v>28048</v>
      </c>
      <c r="N8116" t="s">
        <v>5995</v>
      </c>
      <c r="O8116" t="s">
        <v>46</v>
      </c>
      <c r="P8116" t="s">
        <v>46</v>
      </c>
      <c r="Y8116" t="s">
        <v>28049</v>
      </c>
    </row>
    <row r="8117" spans="1:25">
      <c r="A8117" t="s">
        <v>28050</v>
      </c>
      <c r="B8117" t="s">
        <v>28051</v>
      </c>
      <c r="D8117" t="s">
        <v>40</v>
      </c>
      <c r="E8117" t="s">
        <v>41</v>
      </c>
      <c r="J8117" t="s">
        <v>248</v>
      </c>
      <c r="K8117" t="s">
        <v>249</v>
      </c>
      <c r="L8117">
        <v>4</v>
      </c>
      <c r="M8117" t="s">
        <v>28052</v>
      </c>
      <c r="N8117" t="s">
        <v>53</v>
      </c>
      <c r="O8117" t="s">
        <v>46</v>
      </c>
      <c r="P8117" t="s">
        <v>46</v>
      </c>
      <c r="Y8117" t="s">
        <v>28053</v>
      </c>
    </row>
    <row r="8118" spans="1:25">
      <c r="A8118" t="s">
        <v>28054</v>
      </c>
      <c r="B8118" t="s">
        <v>28055</v>
      </c>
      <c r="D8118" t="s">
        <v>40</v>
      </c>
      <c r="E8118" t="s">
        <v>41</v>
      </c>
      <c r="J8118" t="s">
        <v>248</v>
      </c>
      <c r="K8118" t="s">
        <v>249</v>
      </c>
      <c r="L8118">
        <v>4</v>
      </c>
      <c r="M8118" t="s">
        <v>28056</v>
      </c>
      <c r="N8118" t="s">
        <v>24387</v>
      </c>
      <c r="O8118" t="s">
        <v>46</v>
      </c>
      <c r="P8118" t="s">
        <v>46</v>
      </c>
      <c r="Y8118" t="s">
        <v>28057</v>
      </c>
    </row>
    <row r="8119" spans="1:25">
      <c r="A8119" t="s">
        <v>28058</v>
      </c>
      <c r="B8119" t="s">
        <v>28059</v>
      </c>
      <c r="D8119" t="s">
        <v>40</v>
      </c>
      <c r="E8119" t="s">
        <v>41</v>
      </c>
      <c r="J8119" t="s">
        <v>12440</v>
      </c>
      <c r="K8119" t="s">
        <v>12441</v>
      </c>
      <c r="L8119">
        <v>5</v>
      </c>
      <c r="M8119" t="s">
        <v>28060</v>
      </c>
      <c r="N8119" t="s">
        <v>64</v>
      </c>
      <c r="O8119" t="s">
        <v>46</v>
      </c>
      <c r="P8119" t="s">
        <v>46</v>
      </c>
      <c r="Y8119" t="s">
        <v>28061</v>
      </c>
    </row>
    <row r="8120" spans="1:25">
      <c r="A8120" t="s">
        <v>28062</v>
      </c>
      <c r="B8120" t="s">
        <v>28063</v>
      </c>
      <c r="D8120" t="s">
        <v>40</v>
      </c>
      <c r="E8120" t="s">
        <v>41</v>
      </c>
      <c r="J8120" t="s">
        <v>248</v>
      </c>
      <c r="K8120" t="s">
        <v>249</v>
      </c>
      <c r="L8120">
        <v>4</v>
      </c>
      <c r="M8120" t="s">
        <v>28064</v>
      </c>
      <c r="N8120" t="s">
        <v>1334</v>
      </c>
      <c r="O8120" t="s">
        <v>46</v>
      </c>
      <c r="P8120" t="s">
        <v>46</v>
      </c>
      <c r="Y8120" t="s">
        <v>28065</v>
      </c>
    </row>
    <row r="8121" spans="1:25">
      <c r="A8121" t="s">
        <v>28066</v>
      </c>
      <c r="B8121" t="s">
        <v>28067</v>
      </c>
      <c r="D8121" t="s">
        <v>40</v>
      </c>
      <c r="E8121" t="s">
        <v>41</v>
      </c>
      <c r="J8121" t="s">
        <v>14558</v>
      </c>
      <c r="K8121" t="s">
        <v>14559</v>
      </c>
      <c r="L8121">
        <v>4</v>
      </c>
      <c r="M8121" t="s">
        <v>28064</v>
      </c>
      <c r="N8121" t="s">
        <v>2621</v>
      </c>
      <c r="O8121" t="s">
        <v>46</v>
      </c>
      <c r="P8121" t="s">
        <v>46</v>
      </c>
      <c r="Y8121" t="s">
        <v>28068</v>
      </c>
    </row>
    <row r="8122" spans="1:25">
      <c r="A8122" t="s">
        <v>28069</v>
      </c>
      <c r="B8122" t="s">
        <v>28070</v>
      </c>
      <c r="D8122" t="s">
        <v>40</v>
      </c>
      <c r="E8122" t="s">
        <v>41</v>
      </c>
      <c r="J8122" t="s">
        <v>248</v>
      </c>
      <c r="K8122" t="s">
        <v>249</v>
      </c>
      <c r="L8122">
        <v>4</v>
      </c>
      <c r="M8122" t="s">
        <v>28071</v>
      </c>
      <c r="N8122" t="s">
        <v>350</v>
      </c>
      <c r="O8122" t="s">
        <v>46</v>
      </c>
      <c r="P8122" t="s">
        <v>46</v>
      </c>
      <c r="Y8122" t="s">
        <v>28072</v>
      </c>
    </row>
    <row r="8123" spans="1:25">
      <c r="A8123" t="s">
        <v>28073</v>
      </c>
      <c r="B8123" t="s">
        <v>28074</v>
      </c>
      <c r="D8123" t="s">
        <v>40</v>
      </c>
      <c r="E8123" t="s">
        <v>41</v>
      </c>
      <c r="J8123" t="s">
        <v>248</v>
      </c>
      <c r="K8123" t="s">
        <v>249</v>
      </c>
      <c r="L8123">
        <v>4</v>
      </c>
      <c r="M8123" t="s">
        <v>28075</v>
      </c>
      <c r="N8123" t="s">
        <v>1814</v>
      </c>
      <c r="O8123" t="s">
        <v>46</v>
      </c>
      <c r="P8123" t="s">
        <v>46</v>
      </c>
      <c r="Y8123" t="s">
        <v>28076</v>
      </c>
    </row>
    <row r="8124" spans="1:25">
      <c r="A8124" t="s">
        <v>28077</v>
      </c>
      <c r="B8124" t="s">
        <v>28078</v>
      </c>
      <c r="D8124" t="s">
        <v>40</v>
      </c>
      <c r="E8124" t="s">
        <v>41</v>
      </c>
      <c r="J8124" t="s">
        <v>248</v>
      </c>
      <c r="K8124" t="s">
        <v>249</v>
      </c>
      <c r="L8124">
        <v>4</v>
      </c>
      <c r="M8124" t="s">
        <v>28075</v>
      </c>
      <c r="N8124" t="s">
        <v>310</v>
      </c>
      <c r="O8124" t="s">
        <v>46</v>
      </c>
      <c r="P8124" t="s">
        <v>46</v>
      </c>
      <c r="Y8124" t="s">
        <v>28079</v>
      </c>
    </row>
    <row r="8125" spans="1:25">
      <c r="A8125" t="s">
        <v>28080</v>
      </c>
      <c r="B8125" t="s">
        <v>28081</v>
      </c>
      <c r="D8125" t="s">
        <v>40</v>
      </c>
      <c r="E8125" t="s">
        <v>41</v>
      </c>
      <c r="J8125" t="s">
        <v>139</v>
      </c>
      <c r="K8125" t="s">
        <v>140</v>
      </c>
      <c r="L8125">
        <v>4</v>
      </c>
      <c r="M8125" t="s">
        <v>28075</v>
      </c>
      <c r="N8125" t="s">
        <v>1276</v>
      </c>
      <c r="O8125" t="s">
        <v>46</v>
      </c>
      <c r="P8125" t="s">
        <v>46</v>
      </c>
      <c r="Y8125" t="s">
        <v>28082</v>
      </c>
    </row>
    <row r="8126" spans="1:25">
      <c r="A8126" t="s">
        <v>28083</v>
      </c>
      <c r="B8126" t="s">
        <v>28084</v>
      </c>
      <c r="D8126" t="s">
        <v>40</v>
      </c>
      <c r="E8126" t="s">
        <v>41</v>
      </c>
      <c r="J8126" t="s">
        <v>139</v>
      </c>
      <c r="K8126" t="s">
        <v>140</v>
      </c>
      <c r="L8126">
        <v>4</v>
      </c>
      <c r="M8126" t="s">
        <v>28085</v>
      </c>
      <c r="N8126" t="s">
        <v>291</v>
      </c>
      <c r="O8126" t="s">
        <v>46</v>
      </c>
      <c r="P8126" t="s">
        <v>46</v>
      </c>
      <c r="Y8126" t="s">
        <v>28086</v>
      </c>
    </row>
    <row r="8127" spans="1:25">
      <c r="A8127" t="s">
        <v>28087</v>
      </c>
      <c r="B8127" t="s">
        <v>28088</v>
      </c>
      <c r="D8127" t="s">
        <v>40</v>
      </c>
      <c r="E8127" t="s">
        <v>41</v>
      </c>
      <c r="J8127" t="s">
        <v>1142</v>
      </c>
      <c r="K8127" t="s">
        <v>1143</v>
      </c>
      <c r="L8127">
        <v>4</v>
      </c>
      <c r="M8127" t="s">
        <v>28089</v>
      </c>
      <c r="N8127" t="s">
        <v>5995</v>
      </c>
      <c r="O8127" t="s">
        <v>46</v>
      </c>
      <c r="P8127" t="s">
        <v>46</v>
      </c>
      <c r="Y8127" t="s">
        <v>28090</v>
      </c>
    </row>
    <row r="8128" spans="1:25">
      <c r="A8128" t="s">
        <v>28091</v>
      </c>
      <c r="B8128" t="s">
        <v>28092</v>
      </c>
      <c r="D8128" t="s">
        <v>40</v>
      </c>
      <c r="E8128" t="s">
        <v>41</v>
      </c>
      <c r="J8128" t="s">
        <v>248</v>
      </c>
      <c r="K8128" t="s">
        <v>249</v>
      </c>
      <c r="L8128">
        <v>4</v>
      </c>
      <c r="M8128" t="s">
        <v>28093</v>
      </c>
      <c r="N8128" t="s">
        <v>1814</v>
      </c>
      <c r="O8128" t="s">
        <v>46</v>
      </c>
      <c r="P8128" t="s">
        <v>46</v>
      </c>
      <c r="Y8128" t="s">
        <v>28094</v>
      </c>
    </row>
    <row r="8129" spans="1:25">
      <c r="A8129" t="s">
        <v>28095</v>
      </c>
      <c r="B8129" t="s">
        <v>28096</v>
      </c>
      <c r="D8129" t="s">
        <v>40</v>
      </c>
      <c r="E8129" t="s">
        <v>41</v>
      </c>
      <c r="J8129" t="s">
        <v>248</v>
      </c>
      <c r="K8129" t="s">
        <v>249</v>
      </c>
      <c r="L8129">
        <v>3</v>
      </c>
      <c r="M8129" t="s">
        <v>28097</v>
      </c>
      <c r="N8129" t="s">
        <v>1334</v>
      </c>
      <c r="O8129" t="s">
        <v>46</v>
      </c>
      <c r="P8129" t="s">
        <v>46</v>
      </c>
      <c r="Y8129" t="s">
        <v>28098</v>
      </c>
    </row>
    <row r="8130" spans="1:25">
      <c r="A8130" t="s">
        <v>28099</v>
      </c>
      <c r="B8130" t="s">
        <v>28100</v>
      </c>
      <c r="D8130" t="s">
        <v>40</v>
      </c>
      <c r="E8130" t="s">
        <v>41</v>
      </c>
      <c r="J8130" t="s">
        <v>12440</v>
      </c>
      <c r="K8130" t="s">
        <v>12441</v>
      </c>
      <c r="L8130">
        <v>5</v>
      </c>
      <c r="M8130" t="s">
        <v>28097</v>
      </c>
      <c r="N8130" t="s">
        <v>64</v>
      </c>
      <c r="O8130" t="s">
        <v>46</v>
      </c>
      <c r="P8130" t="s">
        <v>46</v>
      </c>
      <c r="Y8130" t="s">
        <v>28101</v>
      </c>
    </row>
    <row r="8131" spans="1:25">
      <c r="A8131" t="s">
        <v>28102</v>
      </c>
      <c r="B8131" t="s">
        <v>28103</v>
      </c>
      <c r="D8131" t="s">
        <v>40</v>
      </c>
      <c r="E8131" t="s">
        <v>41</v>
      </c>
      <c r="J8131" t="s">
        <v>248</v>
      </c>
      <c r="K8131" t="s">
        <v>249</v>
      </c>
      <c r="L8131">
        <v>4</v>
      </c>
      <c r="M8131" t="s">
        <v>28104</v>
      </c>
      <c r="N8131" t="s">
        <v>1276</v>
      </c>
      <c r="O8131" t="s">
        <v>46</v>
      </c>
      <c r="P8131" t="s">
        <v>46</v>
      </c>
      <c r="Y8131" t="s">
        <v>28105</v>
      </c>
    </row>
    <row r="8132" spans="1:25">
      <c r="A8132" t="s">
        <v>28106</v>
      </c>
      <c r="B8132" t="s">
        <v>28107</v>
      </c>
      <c r="D8132" t="s">
        <v>40</v>
      </c>
      <c r="E8132" t="s">
        <v>41</v>
      </c>
      <c r="J8132" t="s">
        <v>248</v>
      </c>
      <c r="K8132" t="s">
        <v>249</v>
      </c>
      <c r="L8132">
        <v>4</v>
      </c>
      <c r="M8132" t="s">
        <v>28108</v>
      </c>
      <c r="N8132" t="s">
        <v>5995</v>
      </c>
      <c r="O8132" t="s">
        <v>46</v>
      </c>
      <c r="P8132" t="s">
        <v>46</v>
      </c>
      <c r="Y8132" t="s">
        <v>28109</v>
      </c>
    </row>
    <row r="8133" spans="1:25">
      <c r="A8133" t="s">
        <v>28110</v>
      </c>
      <c r="B8133" t="s">
        <v>28111</v>
      </c>
      <c r="D8133" t="s">
        <v>40</v>
      </c>
      <c r="E8133" t="s">
        <v>41</v>
      </c>
      <c r="J8133" t="s">
        <v>248</v>
      </c>
      <c r="K8133" t="s">
        <v>249</v>
      </c>
      <c r="L8133">
        <v>4</v>
      </c>
      <c r="M8133" t="s">
        <v>28112</v>
      </c>
      <c r="N8133" t="s">
        <v>310</v>
      </c>
      <c r="O8133" t="s">
        <v>46</v>
      </c>
      <c r="P8133" t="s">
        <v>46</v>
      </c>
      <c r="Y8133" t="s">
        <v>28113</v>
      </c>
    </row>
    <row r="8134" spans="1:25">
      <c r="A8134" t="s">
        <v>28114</v>
      </c>
      <c r="B8134" t="s">
        <v>28115</v>
      </c>
      <c r="D8134" t="s">
        <v>40</v>
      </c>
      <c r="E8134" t="s">
        <v>41</v>
      </c>
      <c r="J8134" t="s">
        <v>6179</v>
      </c>
      <c r="K8134" t="s">
        <v>6180</v>
      </c>
      <c r="L8134">
        <v>4</v>
      </c>
      <c r="M8134" t="s">
        <v>28116</v>
      </c>
      <c r="N8134" t="s">
        <v>2621</v>
      </c>
      <c r="O8134" t="s">
        <v>46</v>
      </c>
      <c r="P8134" t="s">
        <v>46</v>
      </c>
      <c r="Y8134" t="s">
        <v>28117</v>
      </c>
    </row>
    <row r="8135" spans="1:25">
      <c r="A8135" t="s">
        <v>28118</v>
      </c>
      <c r="B8135" t="s">
        <v>28119</v>
      </c>
      <c r="D8135" t="s">
        <v>40</v>
      </c>
      <c r="E8135" t="s">
        <v>41</v>
      </c>
      <c r="J8135" t="s">
        <v>248</v>
      </c>
      <c r="K8135" t="s">
        <v>249</v>
      </c>
      <c r="L8135">
        <v>4</v>
      </c>
      <c r="M8135" t="s">
        <v>28120</v>
      </c>
      <c r="N8135" t="s">
        <v>53</v>
      </c>
      <c r="O8135" t="s">
        <v>46</v>
      </c>
      <c r="P8135" t="s">
        <v>46</v>
      </c>
      <c r="Y8135" t="s">
        <v>28121</v>
      </c>
    </row>
    <row r="8136" spans="1:25">
      <c r="A8136" t="s">
        <v>28122</v>
      </c>
      <c r="B8136" t="s">
        <v>28123</v>
      </c>
      <c r="D8136" t="s">
        <v>40</v>
      </c>
      <c r="E8136" t="s">
        <v>41</v>
      </c>
      <c r="J8136" t="s">
        <v>2619</v>
      </c>
      <c r="K8136" t="s">
        <v>140</v>
      </c>
      <c r="L8136">
        <v>4</v>
      </c>
      <c r="M8136" t="s">
        <v>28124</v>
      </c>
      <c r="N8136" t="s">
        <v>24245</v>
      </c>
      <c r="O8136" t="s">
        <v>46</v>
      </c>
      <c r="P8136" t="s">
        <v>46</v>
      </c>
      <c r="Y8136" t="s">
        <v>28125</v>
      </c>
    </row>
    <row r="8137" spans="1:25">
      <c r="A8137" t="s">
        <v>28126</v>
      </c>
      <c r="B8137" t="s">
        <v>28127</v>
      </c>
      <c r="D8137" t="s">
        <v>40</v>
      </c>
      <c r="E8137" t="s">
        <v>41</v>
      </c>
      <c r="J8137" t="s">
        <v>12440</v>
      </c>
      <c r="K8137" t="s">
        <v>12441</v>
      </c>
      <c r="L8137">
        <v>5</v>
      </c>
      <c r="M8137" t="s">
        <v>28128</v>
      </c>
      <c r="N8137" t="s">
        <v>64</v>
      </c>
      <c r="O8137" t="s">
        <v>46</v>
      </c>
      <c r="P8137" t="s">
        <v>46</v>
      </c>
      <c r="Y8137" t="s">
        <v>28129</v>
      </c>
    </row>
    <row r="8138" spans="1:25">
      <c r="A8138" t="s">
        <v>28130</v>
      </c>
      <c r="B8138" t="s">
        <v>28131</v>
      </c>
      <c r="D8138" t="s">
        <v>40</v>
      </c>
      <c r="E8138" t="s">
        <v>41</v>
      </c>
      <c r="J8138" t="s">
        <v>139</v>
      </c>
      <c r="K8138" t="s">
        <v>140</v>
      </c>
      <c r="L8138">
        <v>4</v>
      </c>
      <c r="M8138" t="s">
        <v>28132</v>
      </c>
      <c r="N8138" t="s">
        <v>310</v>
      </c>
      <c r="O8138" t="s">
        <v>46</v>
      </c>
      <c r="P8138" t="s">
        <v>46</v>
      </c>
      <c r="Y8138" t="s">
        <v>28133</v>
      </c>
    </row>
    <row r="8139" spans="1:25">
      <c r="A8139" t="s">
        <v>28134</v>
      </c>
      <c r="B8139" t="s">
        <v>28135</v>
      </c>
      <c r="D8139" t="s">
        <v>40</v>
      </c>
      <c r="E8139" t="s">
        <v>41</v>
      </c>
      <c r="J8139" t="s">
        <v>248</v>
      </c>
      <c r="K8139" t="s">
        <v>249</v>
      </c>
      <c r="L8139">
        <v>4</v>
      </c>
      <c r="M8139" t="s">
        <v>28136</v>
      </c>
      <c r="N8139" t="s">
        <v>291</v>
      </c>
      <c r="O8139" t="s">
        <v>46</v>
      </c>
      <c r="P8139" t="s">
        <v>46</v>
      </c>
      <c r="Y8139" t="s">
        <v>28137</v>
      </c>
    </row>
    <row r="8140" spans="1:25">
      <c r="A8140" t="s">
        <v>28138</v>
      </c>
      <c r="B8140" t="s">
        <v>28139</v>
      </c>
      <c r="D8140" t="s">
        <v>40</v>
      </c>
      <c r="E8140" t="s">
        <v>41</v>
      </c>
      <c r="J8140" t="s">
        <v>2619</v>
      </c>
      <c r="K8140" t="s">
        <v>140</v>
      </c>
      <c r="L8140">
        <v>4</v>
      </c>
      <c r="M8140" t="s">
        <v>28140</v>
      </c>
      <c r="N8140" t="s">
        <v>2621</v>
      </c>
      <c r="O8140" t="s">
        <v>46</v>
      </c>
      <c r="P8140" t="s">
        <v>46</v>
      </c>
      <c r="Y8140" t="s">
        <v>28141</v>
      </c>
    </row>
    <row r="8141" spans="1:25">
      <c r="A8141" t="s">
        <v>28142</v>
      </c>
      <c r="B8141" t="s">
        <v>28143</v>
      </c>
      <c r="D8141" t="s">
        <v>40</v>
      </c>
      <c r="E8141" t="s">
        <v>41</v>
      </c>
      <c r="J8141" t="s">
        <v>248</v>
      </c>
      <c r="K8141" t="s">
        <v>249</v>
      </c>
      <c r="L8141">
        <v>4</v>
      </c>
      <c r="M8141" t="s">
        <v>28144</v>
      </c>
      <c r="N8141" t="s">
        <v>142</v>
      </c>
      <c r="O8141" t="s">
        <v>46</v>
      </c>
      <c r="P8141" t="s">
        <v>46</v>
      </c>
      <c r="Y8141" t="s">
        <v>28145</v>
      </c>
    </row>
    <row r="8142" spans="1:25">
      <c r="A8142" t="s">
        <v>28146</v>
      </c>
      <c r="B8142" t="s">
        <v>28147</v>
      </c>
      <c r="D8142" t="s">
        <v>40</v>
      </c>
      <c r="E8142" t="s">
        <v>41</v>
      </c>
      <c r="J8142" t="s">
        <v>248</v>
      </c>
      <c r="K8142" t="s">
        <v>249</v>
      </c>
      <c r="L8142">
        <v>4</v>
      </c>
      <c r="M8142" t="s">
        <v>28148</v>
      </c>
      <c r="N8142" t="s">
        <v>310</v>
      </c>
      <c r="O8142" t="s">
        <v>46</v>
      </c>
      <c r="P8142" t="s">
        <v>46</v>
      </c>
      <c r="Y8142" t="s">
        <v>28149</v>
      </c>
    </row>
    <row r="8143" spans="1:25">
      <c r="A8143" t="s">
        <v>28150</v>
      </c>
      <c r="B8143" t="s">
        <v>28151</v>
      </c>
      <c r="D8143" t="s">
        <v>40</v>
      </c>
      <c r="E8143" t="s">
        <v>41</v>
      </c>
      <c r="J8143" t="s">
        <v>139</v>
      </c>
      <c r="K8143" t="s">
        <v>140</v>
      </c>
      <c r="L8143">
        <v>4</v>
      </c>
      <c r="M8143" t="s">
        <v>28152</v>
      </c>
      <c r="N8143" t="s">
        <v>24245</v>
      </c>
      <c r="O8143" t="s">
        <v>46</v>
      </c>
      <c r="P8143" t="s">
        <v>46</v>
      </c>
      <c r="Y8143" t="s">
        <v>28153</v>
      </c>
    </row>
    <row r="8144" spans="1:25">
      <c r="A8144" t="s">
        <v>28154</v>
      </c>
      <c r="B8144" t="s">
        <v>28155</v>
      </c>
      <c r="D8144" t="s">
        <v>40</v>
      </c>
      <c r="E8144" t="s">
        <v>41</v>
      </c>
      <c r="J8144" t="s">
        <v>248</v>
      </c>
      <c r="K8144" t="s">
        <v>249</v>
      </c>
      <c r="L8144">
        <v>2</v>
      </c>
      <c r="M8144" t="s">
        <v>28156</v>
      </c>
      <c r="N8144" t="s">
        <v>142</v>
      </c>
      <c r="O8144" t="s">
        <v>46</v>
      </c>
      <c r="P8144" t="s">
        <v>46</v>
      </c>
      <c r="Y8144" t="s">
        <v>28157</v>
      </c>
    </row>
    <row r="8145" spans="1:25">
      <c r="A8145" t="s">
        <v>28158</v>
      </c>
      <c r="B8145" t="s">
        <v>28159</v>
      </c>
      <c r="D8145" t="s">
        <v>40</v>
      </c>
      <c r="E8145" t="s">
        <v>41</v>
      </c>
      <c r="J8145" t="s">
        <v>12440</v>
      </c>
      <c r="K8145" t="s">
        <v>12441</v>
      </c>
      <c r="L8145">
        <v>5</v>
      </c>
      <c r="M8145" t="s">
        <v>28160</v>
      </c>
      <c r="N8145" t="s">
        <v>64</v>
      </c>
      <c r="O8145" t="s">
        <v>46</v>
      </c>
      <c r="P8145" t="s">
        <v>46</v>
      </c>
      <c r="Y8145" t="s">
        <v>28161</v>
      </c>
    </row>
    <row r="8146" spans="1:25">
      <c r="A8146" t="s">
        <v>28162</v>
      </c>
      <c r="B8146" t="s">
        <v>28163</v>
      </c>
      <c r="D8146" t="s">
        <v>40</v>
      </c>
      <c r="E8146" t="s">
        <v>41</v>
      </c>
      <c r="J8146" t="s">
        <v>248</v>
      </c>
      <c r="K8146" t="s">
        <v>249</v>
      </c>
      <c r="L8146">
        <v>4</v>
      </c>
      <c r="M8146" t="s">
        <v>28160</v>
      </c>
      <c r="N8146" t="s">
        <v>1276</v>
      </c>
      <c r="O8146" t="s">
        <v>46</v>
      </c>
      <c r="P8146" t="s">
        <v>46</v>
      </c>
      <c r="Y8146" t="s">
        <v>28164</v>
      </c>
    </row>
    <row r="8147" spans="1:25">
      <c r="A8147" t="s">
        <v>28165</v>
      </c>
      <c r="B8147" t="s">
        <v>28166</v>
      </c>
      <c r="D8147" t="s">
        <v>40</v>
      </c>
      <c r="E8147" t="s">
        <v>41</v>
      </c>
      <c r="J8147" t="s">
        <v>248</v>
      </c>
      <c r="K8147" t="s">
        <v>249</v>
      </c>
      <c r="L8147">
        <v>4</v>
      </c>
      <c r="M8147" t="s">
        <v>28160</v>
      </c>
      <c r="N8147" t="s">
        <v>315</v>
      </c>
      <c r="O8147" t="s">
        <v>46</v>
      </c>
      <c r="P8147" t="s">
        <v>46</v>
      </c>
      <c r="Y8147" t="s">
        <v>28167</v>
      </c>
    </row>
    <row r="8148" spans="1:25">
      <c r="A8148" t="s">
        <v>28168</v>
      </c>
      <c r="B8148" t="s">
        <v>28169</v>
      </c>
      <c r="D8148" t="s">
        <v>40</v>
      </c>
      <c r="E8148" t="s">
        <v>41</v>
      </c>
      <c r="J8148" t="s">
        <v>248</v>
      </c>
      <c r="K8148" t="s">
        <v>249</v>
      </c>
      <c r="L8148">
        <v>4</v>
      </c>
      <c r="M8148" t="s">
        <v>28170</v>
      </c>
      <c r="N8148" t="s">
        <v>350</v>
      </c>
      <c r="O8148" t="s">
        <v>46</v>
      </c>
      <c r="P8148" t="s">
        <v>46</v>
      </c>
      <c r="Y8148" t="s">
        <v>28171</v>
      </c>
    </row>
    <row r="8149" spans="1:25">
      <c r="A8149" t="s">
        <v>28172</v>
      </c>
      <c r="B8149" t="s">
        <v>28173</v>
      </c>
      <c r="D8149" t="s">
        <v>40</v>
      </c>
      <c r="E8149" t="s">
        <v>41</v>
      </c>
      <c r="J8149" t="s">
        <v>1554</v>
      </c>
      <c r="K8149" t="s">
        <v>1555</v>
      </c>
      <c r="L8149">
        <v>6</v>
      </c>
      <c r="M8149" t="s">
        <v>28174</v>
      </c>
      <c r="N8149" t="s">
        <v>296</v>
      </c>
      <c r="O8149" t="s">
        <v>46</v>
      </c>
      <c r="P8149" t="s">
        <v>46</v>
      </c>
      <c r="Y8149" t="s">
        <v>28175</v>
      </c>
    </row>
    <row r="8150" spans="1:25">
      <c r="A8150" t="s">
        <v>28176</v>
      </c>
      <c r="B8150" t="s">
        <v>28177</v>
      </c>
      <c r="D8150" t="s">
        <v>40</v>
      </c>
      <c r="E8150" t="s">
        <v>41</v>
      </c>
      <c r="J8150" t="s">
        <v>248</v>
      </c>
      <c r="K8150" t="s">
        <v>249</v>
      </c>
      <c r="L8150">
        <v>4</v>
      </c>
      <c r="M8150" t="s">
        <v>28178</v>
      </c>
      <c r="N8150" t="s">
        <v>53</v>
      </c>
      <c r="O8150" t="s">
        <v>46</v>
      </c>
      <c r="P8150" t="s">
        <v>46</v>
      </c>
      <c r="Y8150" t="s">
        <v>28179</v>
      </c>
    </row>
    <row r="8151" spans="1:25">
      <c r="A8151" t="s">
        <v>28180</v>
      </c>
      <c r="B8151" t="s">
        <v>28181</v>
      </c>
      <c r="D8151" t="s">
        <v>40</v>
      </c>
      <c r="E8151" t="s">
        <v>41</v>
      </c>
      <c r="J8151" t="s">
        <v>248</v>
      </c>
      <c r="K8151" t="s">
        <v>249</v>
      </c>
      <c r="L8151">
        <v>4</v>
      </c>
      <c r="M8151" t="s">
        <v>28182</v>
      </c>
      <c r="N8151" t="s">
        <v>1189</v>
      </c>
      <c r="O8151" t="s">
        <v>46</v>
      </c>
      <c r="P8151" t="s">
        <v>46</v>
      </c>
      <c r="Y8151" t="s">
        <v>28183</v>
      </c>
    </row>
    <row r="8152" spans="1:25">
      <c r="A8152" t="s">
        <v>28184</v>
      </c>
      <c r="B8152" t="s">
        <v>28185</v>
      </c>
      <c r="D8152" t="s">
        <v>40</v>
      </c>
      <c r="E8152" t="s">
        <v>41</v>
      </c>
      <c r="J8152" t="s">
        <v>139</v>
      </c>
      <c r="K8152" t="s">
        <v>140</v>
      </c>
      <c r="L8152">
        <v>4</v>
      </c>
      <c r="M8152" t="s">
        <v>28186</v>
      </c>
      <c r="N8152" t="s">
        <v>142</v>
      </c>
      <c r="O8152" t="s">
        <v>46</v>
      </c>
      <c r="P8152" t="s">
        <v>46</v>
      </c>
      <c r="Y8152" t="s">
        <v>28187</v>
      </c>
    </row>
    <row r="8153" spans="1:25">
      <c r="A8153" t="s">
        <v>28188</v>
      </c>
      <c r="B8153" t="s">
        <v>28189</v>
      </c>
      <c r="D8153" t="s">
        <v>40</v>
      </c>
      <c r="E8153" t="s">
        <v>41</v>
      </c>
      <c r="J8153" t="s">
        <v>1554</v>
      </c>
      <c r="K8153" t="s">
        <v>1555</v>
      </c>
      <c r="L8153">
        <v>4</v>
      </c>
      <c r="M8153" t="s">
        <v>28190</v>
      </c>
      <c r="N8153" t="s">
        <v>1024</v>
      </c>
      <c r="O8153" t="s">
        <v>46</v>
      </c>
      <c r="P8153" t="s">
        <v>46</v>
      </c>
      <c r="Y8153" t="s">
        <v>28191</v>
      </c>
    </row>
    <row r="8154" spans="1:25">
      <c r="A8154" t="s">
        <v>28192</v>
      </c>
      <c r="B8154" t="s">
        <v>28193</v>
      </c>
      <c r="D8154" t="s">
        <v>40</v>
      </c>
      <c r="E8154" t="s">
        <v>41</v>
      </c>
      <c r="J8154" t="s">
        <v>1554</v>
      </c>
      <c r="K8154" t="s">
        <v>1555</v>
      </c>
      <c r="L8154">
        <v>5</v>
      </c>
      <c r="M8154" t="s">
        <v>28194</v>
      </c>
      <c r="N8154" t="s">
        <v>315</v>
      </c>
      <c r="O8154" t="s">
        <v>46</v>
      </c>
      <c r="P8154" t="s">
        <v>46</v>
      </c>
      <c r="Y8154" t="s">
        <v>28195</v>
      </c>
    </row>
    <row r="8155" spans="1:25">
      <c r="A8155" t="s">
        <v>28196</v>
      </c>
      <c r="B8155" t="s">
        <v>28197</v>
      </c>
      <c r="D8155" t="s">
        <v>40</v>
      </c>
      <c r="E8155" t="s">
        <v>41</v>
      </c>
      <c r="J8155" t="s">
        <v>248</v>
      </c>
      <c r="K8155" t="s">
        <v>249</v>
      </c>
      <c r="L8155">
        <v>4</v>
      </c>
      <c r="M8155" t="s">
        <v>28198</v>
      </c>
      <c r="N8155" t="s">
        <v>5995</v>
      </c>
      <c r="O8155" t="s">
        <v>46</v>
      </c>
      <c r="P8155" t="s">
        <v>46</v>
      </c>
      <c r="Y8155" t="s">
        <v>28199</v>
      </c>
    </row>
    <row r="8156" spans="1:25">
      <c r="A8156" t="s">
        <v>28200</v>
      </c>
      <c r="B8156" t="s">
        <v>28201</v>
      </c>
      <c r="D8156" t="s">
        <v>40</v>
      </c>
      <c r="E8156" t="s">
        <v>41</v>
      </c>
      <c r="J8156" t="s">
        <v>248</v>
      </c>
      <c r="K8156" t="s">
        <v>249</v>
      </c>
      <c r="L8156">
        <v>4</v>
      </c>
      <c r="M8156" t="s">
        <v>28202</v>
      </c>
      <c r="N8156" t="s">
        <v>1276</v>
      </c>
      <c r="O8156" t="s">
        <v>46</v>
      </c>
      <c r="P8156" t="s">
        <v>46</v>
      </c>
      <c r="Y8156" t="s">
        <v>28203</v>
      </c>
    </row>
    <row r="8157" spans="1:25">
      <c r="A8157" t="s">
        <v>28204</v>
      </c>
      <c r="B8157" t="s">
        <v>28205</v>
      </c>
      <c r="D8157" t="s">
        <v>40</v>
      </c>
      <c r="E8157" t="s">
        <v>41</v>
      </c>
      <c r="J8157" t="s">
        <v>139</v>
      </c>
      <c r="K8157" t="s">
        <v>140</v>
      </c>
      <c r="L8157">
        <v>4</v>
      </c>
      <c r="M8157" t="s">
        <v>28206</v>
      </c>
      <c r="N8157" t="s">
        <v>24245</v>
      </c>
      <c r="O8157" t="s">
        <v>46</v>
      </c>
      <c r="P8157" t="s">
        <v>46</v>
      </c>
      <c r="Y8157" t="s">
        <v>28207</v>
      </c>
    </row>
    <row r="8158" spans="1:25">
      <c r="A8158" t="s">
        <v>28208</v>
      </c>
      <c r="B8158" t="s">
        <v>28209</v>
      </c>
      <c r="D8158" t="s">
        <v>40</v>
      </c>
      <c r="E8158" t="s">
        <v>41</v>
      </c>
      <c r="J8158" t="s">
        <v>1142</v>
      </c>
      <c r="K8158" t="s">
        <v>1143</v>
      </c>
      <c r="L8158">
        <v>4</v>
      </c>
      <c r="M8158" t="s">
        <v>28210</v>
      </c>
      <c r="N8158" t="s">
        <v>315</v>
      </c>
      <c r="O8158" t="s">
        <v>46</v>
      </c>
      <c r="P8158" t="s">
        <v>46</v>
      </c>
      <c r="Y8158" t="s">
        <v>28211</v>
      </c>
    </row>
    <row r="8159" spans="1:25">
      <c r="A8159" t="s">
        <v>28212</v>
      </c>
      <c r="B8159" t="s">
        <v>28213</v>
      </c>
      <c r="D8159" t="s">
        <v>40</v>
      </c>
      <c r="E8159" t="s">
        <v>41</v>
      </c>
      <c r="J8159" t="s">
        <v>6255</v>
      </c>
      <c r="K8159" t="s">
        <v>6256</v>
      </c>
      <c r="L8159">
        <v>4</v>
      </c>
      <c r="M8159" t="s">
        <v>28214</v>
      </c>
      <c r="N8159" t="s">
        <v>142</v>
      </c>
      <c r="O8159" t="s">
        <v>46</v>
      </c>
      <c r="P8159" t="s">
        <v>46</v>
      </c>
      <c r="Y8159" t="s">
        <v>28215</v>
      </c>
    </row>
    <row r="8160" spans="1:25">
      <c r="A8160" t="s">
        <v>28216</v>
      </c>
      <c r="B8160" t="s">
        <v>28217</v>
      </c>
      <c r="D8160" t="s">
        <v>40</v>
      </c>
      <c r="E8160" t="s">
        <v>41</v>
      </c>
      <c r="J8160" t="s">
        <v>911</v>
      </c>
      <c r="K8160" t="s">
        <v>912</v>
      </c>
      <c r="L8160">
        <v>4</v>
      </c>
      <c r="M8160" t="s">
        <v>28214</v>
      </c>
      <c r="N8160" t="s">
        <v>1550</v>
      </c>
      <c r="O8160" t="s">
        <v>46</v>
      </c>
      <c r="P8160" t="s">
        <v>46</v>
      </c>
      <c r="Y8160" t="s">
        <v>28218</v>
      </c>
    </row>
    <row r="8161" spans="1:25">
      <c r="A8161" t="s">
        <v>28219</v>
      </c>
      <c r="B8161" t="s">
        <v>28220</v>
      </c>
      <c r="D8161" t="s">
        <v>40</v>
      </c>
      <c r="E8161" t="s">
        <v>41</v>
      </c>
      <c r="J8161" t="s">
        <v>11802</v>
      </c>
      <c r="K8161" t="s">
        <v>11803</v>
      </c>
      <c r="L8161">
        <v>4</v>
      </c>
      <c r="M8161" t="s">
        <v>28221</v>
      </c>
      <c r="N8161" t="s">
        <v>2621</v>
      </c>
      <c r="O8161" t="s">
        <v>46</v>
      </c>
      <c r="P8161" t="s">
        <v>46</v>
      </c>
      <c r="Y8161" t="s">
        <v>28222</v>
      </c>
    </row>
    <row r="8162" spans="1:25">
      <c r="A8162" t="s">
        <v>28223</v>
      </c>
      <c r="B8162" t="s">
        <v>28224</v>
      </c>
      <c r="D8162" t="s">
        <v>40</v>
      </c>
      <c r="E8162" t="s">
        <v>41</v>
      </c>
      <c r="J8162" t="s">
        <v>248</v>
      </c>
      <c r="K8162" t="s">
        <v>249</v>
      </c>
      <c r="L8162">
        <v>4</v>
      </c>
      <c r="M8162" t="s">
        <v>28225</v>
      </c>
      <c r="N8162" t="s">
        <v>1276</v>
      </c>
      <c r="O8162" t="s">
        <v>46</v>
      </c>
      <c r="P8162" t="s">
        <v>46</v>
      </c>
      <c r="Y8162" t="s">
        <v>28226</v>
      </c>
    </row>
    <row r="8163" spans="1:25">
      <c r="A8163" t="s">
        <v>28227</v>
      </c>
      <c r="B8163" t="s">
        <v>28228</v>
      </c>
      <c r="D8163" t="s">
        <v>40</v>
      </c>
      <c r="E8163" t="s">
        <v>41</v>
      </c>
      <c r="J8163" t="s">
        <v>248</v>
      </c>
      <c r="K8163" t="s">
        <v>249</v>
      </c>
      <c r="L8163">
        <v>4</v>
      </c>
      <c r="M8163" t="s">
        <v>28229</v>
      </c>
      <c r="N8163" t="s">
        <v>291</v>
      </c>
      <c r="O8163" t="s">
        <v>46</v>
      </c>
      <c r="P8163" t="s">
        <v>46</v>
      </c>
      <c r="Y8163" t="s">
        <v>28230</v>
      </c>
    </row>
    <row r="8164" spans="1:25">
      <c r="A8164" t="s">
        <v>28231</v>
      </c>
      <c r="B8164" t="s">
        <v>28232</v>
      </c>
      <c r="D8164" t="s">
        <v>40</v>
      </c>
      <c r="E8164" t="s">
        <v>41</v>
      </c>
      <c r="J8164" t="s">
        <v>248</v>
      </c>
      <c r="K8164" t="s">
        <v>249</v>
      </c>
      <c r="L8164">
        <v>4</v>
      </c>
      <c r="M8164" t="s">
        <v>28233</v>
      </c>
      <c r="N8164" t="s">
        <v>315</v>
      </c>
      <c r="O8164" t="s">
        <v>46</v>
      </c>
      <c r="P8164" t="s">
        <v>46</v>
      </c>
      <c r="Y8164" t="s">
        <v>28234</v>
      </c>
    </row>
    <row r="8165" spans="1:25">
      <c r="A8165" t="s">
        <v>28235</v>
      </c>
      <c r="B8165" t="s">
        <v>28236</v>
      </c>
      <c r="D8165" t="s">
        <v>40</v>
      </c>
      <c r="E8165" t="s">
        <v>41</v>
      </c>
      <c r="J8165" t="s">
        <v>248</v>
      </c>
      <c r="K8165" t="s">
        <v>249</v>
      </c>
      <c r="L8165">
        <v>4</v>
      </c>
      <c r="M8165" t="s">
        <v>28237</v>
      </c>
      <c r="N8165" t="s">
        <v>142</v>
      </c>
      <c r="O8165" t="s">
        <v>46</v>
      </c>
      <c r="P8165" t="s">
        <v>46</v>
      </c>
      <c r="Y8165" t="s">
        <v>28238</v>
      </c>
    </row>
    <row r="8166" spans="1:25">
      <c r="A8166" t="s">
        <v>28239</v>
      </c>
      <c r="B8166" t="s">
        <v>28240</v>
      </c>
      <c r="D8166" t="s">
        <v>40</v>
      </c>
      <c r="E8166" t="s">
        <v>41</v>
      </c>
      <c r="J8166" t="s">
        <v>1142</v>
      </c>
      <c r="K8166" t="s">
        <v>1143</v>
      </c>
      <c r="L8166">
        <v>4</v>
      </c>
      <c r="M8166" t="s">
        <v>28241</v>
      </c>
      <c r="N8166" t="s">
        <v>617</v>
      </c>
      <c r="O8166" t="s">
        <v>46</v>
      </c>
      <c r="P8166" t="s">
        <v>46</v>
      </c>
      <c r="Y8166" t="s">
        <v>28242</v>
      </c>
    </row>
    <row r="8167" spans="1:25">
      <c r="A8167" t="s">
        <v>28243</v>
      </c>
      <c r="B8167" t="s">
        <v>28244</v>
      </c>
      <c r="D8167" t="s">
        <v>40</v>
      </c>
      <c r="E8167" t="s">
        <v>41</v>
      </c>
      <c r="J8167" t="s">
        <v>248</v>
      </c>
      <c r="K8167" t="s">
        <v>249</v>
      </c>
      <c r="L8167">
        <v>4</v>
      </c>
      <c r="M8167" t="s">
        <v>28245</v>
      </c>
      <c r="N8167" t="s">
        <v>350</v>
      </c>
      <c r="O8167" t="s">
        <v>46</v>
      </c>
      <c r="P8167" t="s">
        <v>46</v>
      </c>
      <c r="Y8167" t="s">
        <v>28246</v>
      </c>
    </row>
    <row r="8168" spans="1:25">
      <c r="A8168" t="s">
        <v>28247</v>
      </c>
      <c r="B8168" t="s">
        <v>28248</v>
      </c>
      <c r="D8168" t="s">
        <v>40</v>
      </c>
      <c r="E8168" t="s">
        <v>41</v>
      </c>
      <c r="J8168" t="s">
        <v>139</v>
      </c>
      <c r="K8168" t="s">
        <v>140</v>
      </c>
      <c r="L8168">
        <v>4</v>
      </c>
      <c r="M8168" t="s">
        <v>28249</v>
      </c>
      <c r="N8168" t="s">
        <v>24245</v>
      </c>
      <c r="O8168" t="s">
        <v>46</v>
      </c>
      <c r="P8168" t="s">
        <v>46</v>
      </c>
      <c r="Y8168" t="s">
        <v>28250</v>
      </c>
    </row>
    <row r="8169" spans="1:25">
      <c r="A8169" t="s">
        <v>28251</v>
      </c>
      <c r="B8169" t="s">
        <v>28252</v>
      </c>
      <c r="D8169" t="s">
        <v>40</v>
      </c>
      <c r="E8169" t="s">
        <v>41</v>
      </c>
      <c r="J8169" t="s">
        <v>248</v>
      </c>
      <c r="K8169" t="s">
        <v>249</v>
      </c>
      <c r="L8169">
        <v>4</v>
      </c>
      <c r="M8169" t="s">
        <v>28253</v>
      </c>
      <c r="N8169" t="s">
        <v>315</v>
      </c>
      <c r="O8169" t="s">
        <v>46</v>
      </c>
      <c r="P8169" t="s">
        <v>46</v>
      </c>
      <c r="Y8169" t="s">
        <v>28254</v>
      </c>
    </row>
    <row r="8170" spans="1:25">
      <c r="A8170" t="s">
        <v>28255</v>
      </c>
      <c r="B8170" t="s">
        <v>28256</v>
      </c>
      <c r="D8170" t="s">
        <v>40</v>
      </c>
      <c r="E8170" t="s">
        <v>41</v>
      </c>
      <c r="J8170" t="s">
        <v>599</v>
      </c>
      <c r="K8170" t="s">
        <v>600</v>
      </c>
      <c r="L8170">
        <v>4</v>
      </c>
      <c r="M8170" t="s">
        <v>28257</v>
      </c>
      <c r="N8170" t="s">
        <v>5995</v>
      </c>
      <c r="O8170" t="s">
        <v>46</v>
      </c>
      <c r="P8170" t="s">
        <v>46</v>
      </c>
      <c r="Y8170" t="s">
        <v>28258</v>
      </c>
    </row>
    <row r="8171" spans="1:25">
      <c r="A8171" t="s">
        <v>28259</v>
      </c>
      <c r="B8171" t="s">
        <v>28260</v>
      </c>
      <c r="D8171" t="s">
        <v>40</v>
      </c>
      <c r="E8171" t="s">
        <v>41</v>
      </c>
      <c r="J8171" t="s">
        <v>139</v>
      </c>
      <c r="K8171" t="s">
        <v>140</v>
      </c>
      <c r="L8171">
        <v>4</v>
      </c>
      <c r="M8171" t="s">
        <v>28261</v>
      </c>
      <c r="N8171" t="s">
        <v>25388</v>
      </c>
      <c r="O8171" t="s">
        <v>46</v>
      </c>
      <c r="P8171" t="s">
        <v>46</v>
      </c>
      <c r="Y8171" t="s">
        <v>28262</v>
      </c>
    </row>
    <row r="8172" spans="1:25">
      <c r="A8172" t="s">
        <v>28263</v>
      </c>
      <c r="B8172" t="s">
        <v>28264</v>
      </c>
      <c r="D8172" t="s">
        <v>40</v>
      </c>
      <c r="E8172" t="s">
        <v>41</v>
      </c>
      <c r="J8172" t="s">
        <v>248</v>
      </c>
      <c r="K8172" t="s">
        <v>249</v>
      </c>
      <c r="L8172">
        <v>4</v>
      </c>
      <c r="M8172" t="s">
        <v>28265</v>
      </c>
      <c r="N8172" t="s">
        <v>58</v>
      </c>
      <c r="O8172" t="s">
        <v>46</v>
      </c>
      <c r="P8172" t="s">
        <v>46</v>
      </c>
      <c r="Y8172" t="s">
        <v>28266</v>
      </c>
    </row>
    <row r="8173" spans="1:25">
      <c r="A8173" t="s">
        <v>28267</v>
      </c>
      <c r="B8173" t="s">
        <v>28268</v>
      </c>
      <c r="D8173" t="s">
        <v>40</v>
      </c>
      <c r="E8173" t="s">
        <v>41</v>
      </c>
      <c r="J8173" t="s">
        <v>248</v>
      </c>
      <c r="K8173" t="s">
        <v>249</v>
      </c>
      <c r="L8173">
        <v>4</v>
      </c>
      <c r="M8173" t="s">
        <v>28269</v>
      </c>
      <c r="N8173" t="s">
        <v>25388</v>
      </c>
      <c r="O8173" t="s">
        <v>46</v>
      </c>
      <c r="P8173" t="s">
        <v>46</v>
      </c>
      <c r="Y8173" t="s">
        <v>28270</v>
      </c>
    </row>
    <row r="8174" spans="1:25">
      <c r="A8174" t="s">
        <v>28271</v>
      </c>
      <c r="B8174" t="s">
        <v>28272</v>
      </c>
      <c r="D8174" t="s">
        <v>40</v>
      </c>
      <c r="E8174" t="s">
        <v>41</v>
      </c>
      <c r="J8174" t="s">
        <v>248</v>
      </c>
      <c r="K8174" t="s">
        <v>249</v>
      </c>
      <c r="L8174">
        <v>4</v>
      </c>
      <c r="M8174" t="s">
        <v>28273</v>
      </c>
      <c r="N8174" t="s">
        <v>1369</v>
      </c>
      <c r="O8174" t="s">
        <v>46</v>
      </c>
      <c r="P8174" t="s">
        <v>46</v>
      </c>
      <c r="Y8174" t="s">
        <v>28274</v>
      </c>
    </row>
    <row r="8175" spans="1:25">
      <c r="A8175" t="s">
        <v>28275</v>
      </c>
      <c r="B8175" t="s">
        <v>28276</v>
      </c>
      <c r="D8175" t="s">
        <v>40</v>
      </c>
      <c r="E8175" t="s">
        <v>41</v>
      </c>
      <c r="J8175" t="s">
        <v>1554</v>
      </c>
      <c r="K8175" t="s">
        <v>1555</v>
      </c>
      <c r="L8175">
        <v>4</v>
      </c>
      <c r="M8175" t="s">
        <v>28277</v>
      </c>
      <c r="N8175" t="s">
        <v>24240</v>
      </c>
      <c r="O8175" t="s">
        <v>46</v>
      </c>
      <c r="P8175" t="s">
        <v>46</v>
      </c>
      <c r="Y8175" t="s">
        <v>28278</v>
      </c>
    </row>
    <row r="8176" spans="1:25">
      <c r="A8176" t="s">
        <v>28279</v>
      </c>
      <c r="B8176" t="s">
        <v>28280</v>
      </c>
      <c r="D8176" t="s">
        <v>40</v>
      </c>
      <c r="E8176" t="s">
        <v>41</v>
      </c>
      <c r="J8176" t="s">
        <v>599</v>
      </c>
      <c r="K8176" t="s">
        <v>600</v>
      </c>
      <c r="L8176">
        <v>4</v>
      </c>
      <c r="M8176" t="s">
        <v>28281</v>
      </c>
      <c r="N8176" t="s">
        <v>1369</v>
      </c>
      <c r="O8176" t="s">
        <v>46</v>
      </c>
      <c r="P8176" t="s">
        <v>46</v>
      </c>
      <c r="Y8176" t="s">
        <v>28282</v>
      </c>
    </row>
    <row r="8177" spans="1:25">
      <c r="A8177" t="s">
        <v>28283</v>
      </c>
      <c r="B8177" t="s">
        <v>28284</v>
      </c>
      <c r="D8177" t="s">
        <v>40</v>
      </c>
      <c r="E8177" t="s">
        <v>41</v>
      </c>
      <c r="J8177" t="s">
        <v>248</v>
      </c>
      <c r="K8177" t="s">
        <v>249</v>
      </c>
      <c r="L8177">
        <v>4</v>
      </c>
      <c r="M8177" t="s">
        <v>28285</v>
      </c>
      <c r="N8177" t="s">
        <v>1369</v>
      </c>
      <c r="O8177" t="s">
        <v>46</v>
      </c>
      <c r="P8177" t="s">
        <v>46</v>
      </c>
      <c r="Y8177" t="s">
        <v>28286</v>
      </c>
    </row>
    <row r="8178" spans="1:25">
      <c r="A8178" t="s">
        <v>28287</v>
      </c>
      <c r="B8178" t="s">
        <v>28288</v>
      </c>
      <c r="D8178" t="s">
        <v>40</v>
      </c>
      <c r="E8178" t="s">
        <v>41</v>
      </c>
      <c r="J8178" t="s">
        <v>248</v>
      </c>
      <c r="K8178" t="s">
        <v>249</v>
      </c>
      <c r="L8178">
        <v>5</v>
      </c>
      <c r="M8178" t="s">
        <v>28289</v>
      </c>
      <c r="N8178" t="s">
        <v>1369</v>
      </c>
      <c r="O8178" t="s">
        <v>46</v>
      </c>
      <c r="P8178" t="s">
        <v>46</v>
      </c>
      <c r="Y8178" t="s">
        <v>28290</v>
      </c>
    </row>
    <row r="8179" spans="1:25">
      <c r="A8179" t="s">
        <v>28291</v>
      </c>
      <c r="B8179" t="s">
        <v>28292</v>
      </c>
      <c r="D8179" t="s">
        <v>40</v>
      </c>
      <c r="E8179" t="s">
        <v>41</v>
      </c>
      <c r="J8179" t="s">
        <v>248</v>
      </c>
      <c r="K8179" t="s">
        <v>249</v>
      </c>
      <c r="L8179">
        <v>4</v>
      </c>
      <c r="M8179" t="s">
        <v>28293</v>
      </c>
      <c r="N8179" t="s">
        <v>756</v>
      </c>
      <c r="O8179" t="s">
        <v>46</v>
      </c>
      <c r="P8179" t="s">
        <v>46</v>
      </c>
      <c r="Y8179" t="s">
        <v>28294</v>
      </c>
    </row>
    <row r="8180" spans="1:25">
      <c r="A8180" t="s">
        <v>28295</v>
      </c>
      <c r="B8180" t="s">
        <v>28296</v>
      </c>
      <c r="D8180" t="s">
        <v>40</v>
      </c>
      <c r="E8180" t="s">
        <v>41</v>
      </c>
      <c r="J8180" t="s">
        <v>139</v>
      </c>
      <c r="K8180" t="s">
        <v>140</v>
      </c>
      <c r="L8180">
        <v>4</v>
      </c>
      <c r="M8180" t="s">
        <v>28297</v>
      </c>
      <c r="N8180" t="s">
        <v>3013</v>
      </c>
      <c r="O8180" t="s">
        <v>46</v>
      </c>
      <c r="P8180" t="s">
        <v>46</v>
      </c>
      <c r="Y8180" t="s">
        <v>28298</v>
      </c>
    </row>
    <row r="8181" spans="1:25">
      <c r="A8181" t="s">
        <v>28299</v>
      </c>
      <c r="B8181" t="s">
        <v>28300</v>
      </c>
      <c r="D8181" t="s">
        <v>40</v>
      </c>
      <c r="E8181" t="s">
        <v>41</v>
      </c>
      <c r="J8181" t="s">
        <v>139</v>
      </c>
      <c r="K8181" t="s">
        <v>140</v>
      </c>
      <c r="L8181">
        <v>4</v>
      </c>
      <c r="M8181" t="s">
        <v>28297</v>
      </c>
      <c r="N8181" t="s">
        <v>1369</v>
      </c>
      <c r="O8181" t="s">
        <v>46</v>
      </c>
      <c r="P8181" t="s">
        <v>46</v>
      </c>
      <c r="Y8181" t="s">
        <v>28301</v>
      </c>
    </row>
    <row r="8182" spans="1:25">
      <c r="A8182" t="s">
        <v>28302</v>
      </c>
      <c r="B8182" t="s">
        <v>28303</v>
      </c>
      <c r="D8182" t="s">
        <v>40</v>
      </c>
      <c r="E8182" t="s">
        <v>41</v>
      </c>
      <c r="J8182" t="s">
        <v>1142</v>
      </c>
      <c r="K8182" t="s">
        <v>1143</v>
      </c>
      <c r="L8182">
        <v>4</v>
      </c>
      <c r="M8182" t="s">
        <v>28304</v>
      </c>
      <c r="N8182" t="s">
        <v>257</v>
      </c>
      <c r="O8182" t="s">
        <v>46</v>
      </c>
      <c r="P8182" t="s">
        <v>46</v>
      </c>
      <c r="Y8182" t="s">
        <v>28305</v>
      </c>
    </row>
    <row r="8183" spans="1:25">
      <c r="A8183" t="s">
        <v>28306</v>
      </c>
      <c r="B8183" t="s">
        <v>28307</v>
      </c>
      <c r="D8183" t="s">
        <v>40</v>
      </c>
      <c r="E8183" t="s">
        <v>41</v>
      </c>
      <c r="J8183" t="s">
        <v>139</v>
      </c>
      <c r="K8183" t="s">
        <v>140</v>
      </c>
      <c r="L8183">
        <v>4</v>
      </c>
      <c r="M8183" t="s">
        <v>28308</v>
      </c>
      <c r="N8183" t="s">
        <v>4037</v>
      </c>
      <c r="O8183" t="s">
        <v>46</v>
      </c>
      <c r="P8183" t="s">
        <v>46</v>
      </c>
      <c r="Y8183" t="s">
        <v>28309</v>
      </c>
    </row>
    <row r="8184" spans="1:25">
      <c r="A8184" t="s">
        <v>28310</v>
      </c>
      <c r="B8184" t="s">
        <v>28311</v>
      </c>
      <c r="D8184" t="s">
        <v>40</v>
      </c>
      <c r="E8184" t="s">
        <v>41</v>
      </c>
      <c r="J8184" t="s">
        <v>6179</v>
      </c>
      <c r="K8184" t="s">
        <v>6180</v>
      </c>
      <c r="L8184">
        <v>4</v>
      </c>
      <c r="M8184" t="s">
        <v>28312</v>
      </c>
      <c r="N8184" t="s">
        <v>3013</v>
      </c>
      <c r="O8184" t="s">
        <v>46</v>
      </c>
      <c r="P8184" t="s">
        <v>46</v>
      </c>
      <c r="Y8184" t="s">
        <v>28313</v>
      </c>
    </row>
    <row r="8185" spans="1:25">
      <c r="A8185" t="s">
        <v>28314</v>
      </c>
      <c r="B8185" t="s">
        <v>28315</v>
      </c>
      <c r="D8185" t="s">
        <v>40</v>
      </c>
      <c r="E8185" t="s">
        <v>41</v>
      </c>
      <c r="J8185" t="s">
        <v>1142</v>
      </c>
      <c r="K8185" t="s">
        <v>1143</v>
      </c>
      <c r="L8185">
        <v>4</v>
      </c>
      <c r="M8185" t="s">
        <v>28316</v>
      </c>
      <c r="N8185" t="s">
        <v>1344</v>
      </c>
      <c r="O8185" t="s">
        <v>46</v>
      </c>
      <c r="P8185" t="s">
        <v>46</v>
      </c>
      <c r="Y8185" t="s">
        <v>28317</v>
      </c>
    </row>
    <row r="8186" spans="1:25">
      <c r="A8186" t="s">
        <v>28318</v>
      </c>
      <c r="B8186" t="s">
        <v>28319</v>
      </c>
      <c r="D8186" t="s">
        <v>40</v>
      </c>
      <c r="E8186" t="s">
        <v>41</v>
      </c>
      <c r="J8186" t="s">
        <v>248</v>
      </c>
      <c r="K8186" t="s">
        <v>249</v>
      </c>
      <c r="L8186">
        <v>4</v>
      </c>
      <c r="M8186" t="s">
        <v>28320</v>
      </c>
      <c r="N8186" t="s">
        <v>1478</v>
      </c>
      <c r="O8186" t="s">
        <v>46</v>
      </c>
      <c r="P8186" t="s">
        <v>46</v>
      </c>
      <c r="Y8186" t="s">
        <v>28321</v>
      </c>
    </row>
    <row r="8187" spans="1:25">
      <c r="A8187" t="s">
        <v>28322</v>
      </c>
      <c r="B8187" t="s">
        <v>28323</v>
      </c>
      <c r="D8187" t="s">
        <v>40</v>
      </c>
      <c r="E8187" t="s">
        <v>41</v>
      </c>
      <c r="J8187" t="s">
        <v>248</v>
      </c>
      <c r="K8187" t="s">
        <v>249</v>
      </c>
      <c r="L8187">
        <v>4</v>
      </c>
      <c r="M8187" t="s">
        <v>28320</v>
      </c>
      <c r="N8187" t="s">
        <v>1446</v>
      </c>
      <c r="O8187" t="s">
        <v>46</v>
      </c>
      <c r="P8187" t="s">
        <v>46</v>
      </c>
      <c r="Y8187" t="s">
        <v>28324</v>
      </c>
    </row>
    <row r="8188" spans="1:25">
      <c r="A8188" t="s">
        <v>28325</v>
      </c>
      <c r="B8188" t="s">
        <v>28326</v>
      </c>
      <c r="D8188" t="s">
        <v>40</v>
      </c>
      <c r="E8188" t="s">
        <v>41</v>
      </c>
      <c r="J8188" t="s">
        <v>248</v>
      </c>
      <c r="K8188" t="s">
        <v>249</v>
      </c>
      <c r="L8188">
        <v>4</v>
      </c>
      <c r="M8188" t="s">
        <v>28327</v>
      </c>
      <c r="N8188" t="s">
        <v>752</v>
      </c>
      <c r="O8188" t="s">
        <v>46</v>
      </c>
      <c r="P8188" t="s">
        <v>46</v>
      </c>
      <c r="Y8188" t="s">
        <v>28328</v>
      </c>
    </row>
    <row r="8189" spans="1:25">
      <c r="A8189" t="s">
        <v>28329</v>
      </c>
      <c r="B8189" t="s">
        <v>28330</v>
      </c>
      <c r="D8189" t="s">
        <v>40</v>
      </c>
      <c r="E8189" t="s">
        <v>41</v>
      </c>
      <c r="J8189" t="s">
        <v>248</v>
      </c>
      <c r="K8189" t="s">
        <v>249</v>
      </c>
      <c r="L8189">
        <v>4</v>
      </c>
      <c r="M8189" t="s">
        <v>28331</v>
      </c>
      <c r="N8189" t="s">
        <v>27228</v>
      </c>
      <c r="O8189" t="s">
        <v>46</v>
      </c>
      <c r="P8189" t="s">
        <v>46</v>
      </c>
      <c r="Y8189" t="s">
        <v>28332</v>
      </c>
    </row>
    <row r="8190" spans="1:25">
      <c r="A8190" t="s">
        <v>28333</v>
      </c>
      <c r="B8190" t="s">
        <v>28334</v>
      </c>
      <c r="D8190" t="s">
        <v>40</v>
      </c>
      <c r="E8190" t="s">
        <v>41</v>
      </c>
      <c r="J8190" t="s">
        <v>12440</v>
      </c>
      <c r="K8190" t="s">
        <v>12441</v>
      </c>
      <c r="L8190">
        <v>5</v>
      </c>
      <c r="M8190" t="s">
        <v>28335</v>
      </c>
      <c r="N8190" t="s">
        <v>64</v>
      </c>
      <c r="O8190" t="s">
        <v>46</v>
      </c>
      <c r="P8190" t="s">
        <v>46</v>
      </c>
      <c r="Y8190" t="s">
        <v>28336</v>
      </c>
    </row>
    <row r="8191" spans="1:25">
      <c r="A8191" t="s">
        <v>28337</v>
      </c>
      <c r="B8191" t="s">
        <v>28338</v>
      </c>
      <c r="D8191" t="s">
        <v>40</v>
      </c>
      <c r="E8191" t="s">
        <v>41</v>
      </c>
      <c r="J8191" t="s">
        <v>248</v>
      </c>
      <c r="K8191" t="s">
        <v>249</v>
      </c>
      <c r="L8191">
        <v>4</v>
      </c>
      <c r="M8191" t="s">
        <v>28339</v>
      </c>
      <c r="N8191" t="s">
        <v>23361</v>
      </c>
      <c r="O8191" t="s">
        <v>46</v>
      </c>
      <c r="P8191" t="s">
        <v>46</v>
      </c>
      <c r="Y8191" t="s">
        <v>28340</v>
      </c>
    </row>
    <row r="8192" spans="1:25">
      <c r="A8192" t="s">
        <v>28341</v>
      </c>
      <c r="B8192" t="s">
        <v>28342</v>
      </c>
      <c r="D8192" t="s">
        <v>40</v>
      </c>
      <c r="E8192" t="s">
        <v>41</v>
      </c>
      <c r="J8192" t="s">
        <v>248</v>
      </c>
      <c r="K8192" t="s">
        <v>249</v>
      </c>
      <c r="L8192">
        <v>5</v>
      </c>
      <c r="M8192" t="s">
        <v>28343</v>
      </c>
      <c r="N8192" t="s">
        <v>24227</v>
      </c>
      <c r="O8192" t="s">
        <v>46</v>
      </c>
      <c r="P8192" t="s">
        <v>46</v>
      </c>
      <c r="Y8192" t="s">
        <v>28344</v>
      </c>
    </row>
    <row r="8193" spans="1:25">
      <c r="A8193" t="s">
        <v>28345</v>
      </c>
      <c r="B8193" t="s">
        <v>28346</v>
      </c>
      <c r="D8193" t="s">
        <v>40</v>
      </c>
      <c r="E8193" t="s">
        <v>41</v>
      </c>
      <c r="J8193" t="s">
        <v>248</v>
      </c>
      <c r="K8193" t="s">
        <v>249</v>
      </c>
      <c r="L8193">
        <v>4</v>
      </c>
      <c r="M8193" t="s">
        <v>28347</v>
      </c>
      <c r="N8193" t="s">
        <v>436</v>
      </c>
      <c r="O8193" t="s">
        <v>46</v>
      </c>
      <c r="P8193" t="s">
        <v>46</v>
      </c>
      <c r="Y8193" t="s">
        <v>28348</v>
      </c>
    </row>
    <row r="8194" spans="1:25">
      <c r="A8194" t="s">
        <v>28349</v>
      </c>
      <c r="B8194" t="s">
        <v>28350</v>
      </c>
      <c r="D8194" t="s">
        <v>40</v>
      </c>
      <c r="E8194" t="s">
        <v>41</v>
      </c>
      <c r="J8194" t="s">
        <v>139</v>
      </c>
      <c r="K8194" t="s">
        <v>140</v>
      </c>
      <c r="L8194">
        <v>7</v>
      </c>
      <c r="M8194" t="s">
        <v>28351</v>
      </c>
      <c r="N8194" t="s">
        <v>23361</v>
      </c>
      <c r="O8194" t="s">
        <v>46</v>
      </c>
      <c r="P8194" t="s">
        <v>46</v>
      </c>
      <c r="Y8194" t="s">
        <v>28352</v>
      </c>
    </row>
    <row r="8195" spans="1:25">
      <c r="A8195" t="s">
        <v>28353</v>
      </c>
      <c r="B8195" t="s">
        <v>28354</v>
      </c>
      <c r="D8195" t="s">
        <v>40</v>
      </c>
      <c r="E8195" t="s">
        <v>41</v>
      </c>
      <c r="J8195" t="s">
        <v>248</v>
      </c>
      <c r="K8195" t="s">
        <v>249</v>
      </c>
      <c r="L8195">
        <v>4</v>
      </c>
      <c r="M8195" t="s">
        <v>28355</v>
      </c>
      <c r="N8195" t="s">
        <v>1397</v>
      </c>
      <c r="O8195" t="s">
        <v>46</v>
      </c>
      <c r="P8195" t="s">
        <v>46</v>
      </c>
      <c r="Y8195" t="s">
        <v>28356</v>
      </c>
    </row>
    <row r="8196" spans="1:25">
      <c r="A8196" t="s">
        <v>28357</v>
      </c>
      <c r="B8196" t="s">
        <v>28358</v>
      </c>
      <c r="D8196" t="s">
        <v>40</v>
      </c>
      <c r="E8196" t="s">
        <v>41</v>
      </c>
      <c r="J8196" t="s">
        <v>139</v>
      </c>
      <c r="K8196" t="s">
        <v>140</v>
      </c>
      <c r="L8196">
        <v>4</v>
      </c>
      <c r="M8196" t="s">
        <v>28359</v>
      </c>
      <c r="N8196" t="s">
        <v>3013</v>
      </c>
      <c r="O8196" t="s">
        <v>46</v>
      </c>
      <c r="P8196" t="s">
        <v>46</v>
      </c>
      <c r="Y8196" t="s">
        <v>28360</v>
      </c>
    </row>
    <row r="8197" spans="1:25">
      <c r="A8197" t="s">
        <v>28361</v>
      </c>
      <c r="B8197" t="s">
        <v>28362</v>
      </c>
      <c r="D8197" t="s">
        <v>40</v>
      </c>
      <c r="E8197" t="s">
        <v>41</v>
      </c>
      <c r="J8197" t="s">
        <v>6255</v>
      </c>
      <c r="K8197" t="s">
        <v>6256</v>
      </c>
      <c r="L8197">
        <v>4</v>
      </c>
      <c r="M8197" t="s">
        <v>28363</v>
      </c>
      <c r="N8197" t="s">
        <v>24240</v>
      </c>
      <c r="O8197" t="s">
        <v>46</v>
      </c>
      <c r="P8197" t="s">
        <v>46</v>
      </c>
      <c r="Y8197" t="s">
        <v>28364</v>
      </c>
    </row>
    <row r="8198" spans="1:25">
      <c r="A8198" t="s">
        <v>28365</v>
      </c>
      <c r="B8198" t="s">
        <v>28366</v>
      </c>
      <c r="D8198" t="s">
        <v>40</v>
      </c>
      <c r="E8198" t="s">
        <v>41</v>
      </c>
      <c r="J8198" t="s">
        <v>1142</v>
      </c>
      <c r="K8198" t="s">
        <v>1143</v>
      </c>
      <c r="L8198">
        <v>4</v>
      </c>
      <c r="M8198" t="s">
        <v>28367</v>
      </c>
      <c r="N8198" t="s">
        <v>1369</v>
      </c>
      <c r="O8198" t="s">
        <v>46</v>
      </c>
      <c r="P8198" t="s">
        <v>46</v>
      </c>
      <c r="Y8198" t="s">
        <v>28368</v>
      </c>
    </row>
    <row r="8199" spans="1:25">
      <c r="A8199" t="s">
        <v>28369</v>
      </c>
      <c r="B8199" t="s">
        <v>28370</v>
      </c>
      <c r="D8199" t="s">
        <v>40</v>
      </c>
      <c r="E8199" t="s">
        <v>41</v>
      </c>
      <c r="J8199" t="s">
        <v>139</v>
      </c>
      <c r="K8199" t="s">
        <v>140</v>
      </c>
      <c r="L8199">
        <v>4</v>
      </c>
      <c r="M8199" t="s">
        <v>28371</v>
      </c>
      <c r="N8199" t="s">
        <v>509</v>
      </c>
      <c r="O8199" t="s">
        <v>46</v>
      </c>
      <c r="P8199" t="s">
        <v>46</v>
      </c>
      <c r="Y8199" t="s">
        <v>28372</v>
      </c>
    </row>
    <row r="8200" spans="1:25">
      <c r="A8200" t="s">
        <v>28373</v>
      </c>
      <c r="B8200" t="s">
        <v>28374</v>
      </c>
      <c r="D8200" t="s">
        <v>40</v>
      </c>
      <c r="E8200" t="s">
        <v>41</v>
      </c>
      <c r="J8200" t="s">
        <v>14558</v>
      </c>
      <c r="K8200" t="s">
        <v>14559</v>
      </c>
      <c r="L8200">
        <v>4</v>
      </c>
      <c r="M8200" t="s">
        <v>28375</v>
      </c>
      <c r="N8200" t="s">
        <v>24227</v>
      </c>
      <c r="O8200" t="s">
        <v>46</v>
      </c>
      <c r="P8200" t="s">
        <v>46</v>
      </c>
      <c r="Y8200" t="s">
        <v>28376</v>
      </c>
    </row>
    <row r="8201" spans="1:25">
      <c r="A8201" t="s">
        <v>28377</v>
      </c>
      <c r="B8201" t="s">
        <v>28378</v>
      </c>
      <c r="D8201" t="s">
        <v>40</v>
      </c>
      <c r="E8201" t="s">
        <v>41</v>
      </c>
      <c r="J8201" t="s">
        <v>139</v>
      </c>
      <c r="K8201" t="s">
        <v>140</v>
      </c>
      <c r="L8201">
        <v>4</v>
      </c>
      <c r="M8201" t="s">
        <v>28379</v>
      </c>
      <c r="N8201" t="s">
        <v>1392</v>
      </c>
      <c r="O8201" t="s">
        <v>46</v>
      </c>
      <c r="P8201" t="s">
        <v>46</v>
      </c>
      <c r="Y8201" t="s">
        <v>28380</v>
      </c>
    </row>
    <row r="8202" spans="1:25">
      <c r="A8202" t="s">
        <v>28381</v>
      </c>
      <c r="B8202" t="s">
        <v>28382</v>
      </c>
      <c r="D8202" t="s">
        <v>40</v>
      </c>
      <c r="E8202" t="s">
        <v>41</v>
      </c>
      <c r="J8202" t="s">
        <v>139</v>
      </c>
      <c r="K8202" t="s">
        <v>140</v>
      </c>
      <c r="L8202">
        <v>4</v>
      </c>
      <c r="M8202" t="s">
        <v>28383</v>
      </c>
      <c r="N8202" t="s">
        <v>4037</v>
      </c>
      <c r="O8202" t="s">
        <v>46</v>
      </c>
      <c r="P8202" t="s">
        <v>46</v>
      </c>
      <c r="Y8202" t="s">
        <v>28384</v>
      </c>
    </row>
    <row r="8203" spans="1:25">
      <c r="A8203" t="s">
        <v>28385</v>
      </c>
      <c r="B8203" t="s">
        <v>28386</v>
      </c>
      <c r="D8203" t="s">
        <v>40</v>
      </c>
      <c r="E8203" t="s">
        <v>41</v>
      </c>
      <c r="J8203" t="s">
        <v>248</v>
      </c>
      <c r="K8203" t="s">
        <v>249</v>
      </c>
      <c r="L8203">
        <v>4</v>
      </c>
      <c r="M8203" t="s">
        <v>28387</v>
      </c>
      <c r="N8203" t="s">
        <v>1369</v>
      </c>
      <c r="O8203" t="s">
        <v>46</v>
      </c>
      <c r="P8203" t="s">
        <v>46</v>
      </c>
      <c r="Y8203" t="s">
        <v>28388</v>
      </c>
    </row>
    <row r="8204" spans="1:25">
      <c r="A8204" t="s">
        <v>28389</v>
      </c>
      <c r="B8204" t="s">
        <v>28390</v>
      </c>
      <c r="D8204" t="s">
        <v>40</v>
      </c>
      <c r="E8204" t="s">
        <v>41</v>
      </c>
      <c r="J8204" t="s">
        <v>1554</v>
      </c>
      <c r="K8204" t="s">
        <v>1555</v>
      </c>
      <c r="L8204">
        <v>4</v>
      </c>
      <c r="M8204" t="s">
        <v>28387</v>
      </c>
      <c r="N8204" t="s">
        <v>509</v>
      </c>
      <c r="O8204" t="s">
        <v>46</v>
      </c>
      <c r="P8204" t="s">
        <v>46</v>
      </c>
      <c r="Y8204" t="s">
        <v>28391</v>
      </c>
    </row>
    <row r="8205" spans="1:25">
      <c r="A8205" t="s">
        <v>28392</v>
      </c>
      <c r="B8205" t="s">
        <v>28393</v>
      </c>
      <c r="D8205" t="s">
        <v>40</v>
      </c>
      <c r="E8205" t="s">
        <v>41</v>
      </c>
      <c r="J8205" t="s">
        <v>139</v>
      </c>
      <c r="K8205" t="s">
        <v>140</v>
      </c>
      <c r="L8205">
        <v>4</v>
      </c>
      <c r="M8205" t="s">
        <v>28394</v>
      </c>
      <c r="N8205" t="s">
        <v>24387</v>
      </c>
      <c r="O8205" t="s">
        <v>46</v>
      </c>
      <c r="P8205" t="s">
        <v>46</v>
      </c>
      <c r="Y8205" t="s">
        <v>28395</v>
      </c>
    </row>
    <row r="8206" spans="1:25">
      <c r="A8206" t="s">
        <v>28396</v>
      </c>
      <c r="B8206" t="s">
        <v>28397</v>
      </c>
      <c r="D8206" t="s">
        <v>40</v>
      </c>
      <c r="E8206" t="s">
        <v>41</v>
      </c>
      <c r="J8206" t="s">
        <v>248</v>
      </c>
      <c r="K8206" t="s">
        <v>249</v>
      </c>
      <c r="L8206">
        <v>4</v>
      </c>
      <c r="M8206" t="s">
        <v>28398</v>
      </c>
      <c r="N8206" t="s">
        <v>53</v>
      </c>
      <c r="O8206" t="s">
        <v>46</v>
      </c>
      <c r="P8206" t="s">
        <v>46</v>
      </c>
      <c r="Y8206" t="s">
        <v>28399</v>
      </c>
    </row>
    <row r="8207" spans="1:25">
      <c r="A8207" t="s">
        <v>28400</v>
      </c>
      <c r="B8207" t="s">
        <v>28401</v>
      </c>
      <c r="D8207" t="s">
        <v>40</v>
      </c>
      <c r="E8207" t="s">
        <v>41</v>
      </c>
      <c r="J8207" t="s">
        <v>9159</v>
      </c>
      <c r="K8207" t="s">
        <v>9160</v>
      </c>
      <c r="L8207">
        <v>4</v>
      </c>
      <c r="M8207" t="s">
        <v>28402</v>
      </c>
      <c r="N8207" t="s">
        <v>1369</v>
      </c>
      <c r="O8207" t="s">
        <v>46</v>
      </c>
      <c r="P8207" t="s">
        <v>46</v>
      </c>
      <c r="Y8207" t="s">
        <v>28403</v>
      </c>
    </row>
    <row r="8208" spans="1:25">
      <c r="A8208" t="s">
        <v>28404</v>
      </c>
      <c r="B8208" t="s">
        <v>28405</v>
      </c>
      <c r="D8208" t="s">
        <v>40</v>
      </c>
      <c r="E8208" t="s">
        <v>41</v>
      </c>
      <c r="J8208" t="s">
        <v>599</v>
      </c>
      <c r="K8208" t="s">
        <v>600</v>
      </c>
      <c r="L8208">
        <v>4</v>
      </c>
      <c r="M8208" t="s">
        <v>28406</v>
      </c>
      <c r="N8208" t="s">
        <v>53</v>
      </c>
      <c r="O8208" t="s">
        <v>46</v>
      </c>
      <c r="P8208" t="s">
        <v>46</v>
      </c>
      <c r="Y8208" t="s">
        <v>28407</v>
      </c>
    </row>
    <row r="8209" spans="1:25">
      <c r="A8209" t="s">
        <v>28408</v>
      </c>
      <c r="B8209" t="s">
        <v>28409</v>
      </c>
      <c r="D8209" t="s">
        <v>40</v>
      </c>
      <c r="E8209" t="s">
        <v>41</v>
      </c>
      <c r="J8209" t="s">
        <v>139</v>
      </c>
      <c r="K8209" t="s">
        <v>140</v>
      </c>
      <c r="L8209">
        <v>4</v>
      </c>
      <c r="M8209" t="s">
        <v>28410</v>
      </c>
      <c r="N8209" t="s">
        <v>23361</v>
      </c>
      <c r="O8209" t="s">
        <v>46</v>
      </c>
      <c r="P8209" t="s">
        <v>46</v>
      </c>
      <c r="Y8209" t="s">
        <v>28411</v>
      </c>
    </row>
    <row r="8210" spans="1:25">
      <c r="A8210" t="s">
        <v>28412</v>
      </c>
      <c r="B8210" t="s">
        <v>28413</v>
      </c>
      <c r="D8210" t="s">
        <v>40</v>
      </c>
      <c r="E8210" t="s">
        <v>41</v>
      </c>
      <c r="J8210" t="s">
        <v>6255</v>
      </c>
      <c r="K8210" t="s">
        <v>6256</v>
      </c>
      <c r="L8210">
        <v>4</v>
      </c>
      <c r="M8210" t="s">
        <v>28410</v>
      </c>
      <c r="N8210" t="s">
        <v>24387</v>
      </c>
      <c r="O8210" t="s">
        <v>46</v>
      </c>
      <c r="P8210" t="s">
        <v>46</v>
      </c>
      <c r="Y8210" t="s">
        <v>28414</v>
      </c>
    </row>
    <row r="8211" spans="1:25">
      <c r="A8211" t="s">
        <v>28415</v>
      </c>
      <c r="B8211" t="s">
        <v>28416</v>
      </c>
      <c r="D8211" t="s">
        <v>40</v>
      </c>
      <c r="E8211" t="s">
        <v>41</v>
      </c>
      <c r="J8211" t="s">
        <v>248</v>
      </c>
      <c r="K8211" t="s">
        <v>249</v>
      </c>
      <c r="L8211">
        <v>4</v>
      </c>
      <c r="M8211" t="s">
        <v>28417</v>
      </c>
      <c r="N8211" t="s">
        <v>24227</v>
      </c>
      <c r="O8211" t="s">
        <v>46</v>
      </c>
      <c r="P8211" t="s">
        <v>46</v>
      </c>
      <c r="Y8211" t="s">
        <v>28418</v>
      </c>
    </row>
    <row r="8212" spans="1:25">
      <c r="A8212" t="s">
        <v>28419</v>
      </c>
      <c r="B8212" t="s">
        <v>28420</v>
      </c>
      <c r="D8212" t="s">
        <v>40</v>
      </c>
      <c r="E8212" t="s">
        <v>41</v>
      </c>
      <c r="J8212" t="s">
        <v>2619</v>
      </c>
      <c r="K8212" t="s">
        <v>140</v>
      </c>
      <c r="L8212">
        <v>4</v>
      </c>
      <c r="M8212" t="s">
        <v>28421</v>
      </c>
      <c r="N8212" t="s">
        <v>2621</v>
      </c>
      <c r="O8212" t="s">
        <v>46</v>
      </c>
      <c r="P8212" t="s">
        <v>46</v>
      </c>
      <c r="Y8212" t="s">
        <v>28422</v>
      </c>
    </row>
    <row r="8213" spans="1:25">
      <c r="A8213" t="s">
        <v>28423</v>
      </c>
      <c r="B8213" t="s">
        <v>28424</v>
      </c>
      <c r="D8213" t="s">
        <v>40</v>
      </c>
      <c r="E8213" t="s">
        <v>41</v>
      </c>
      <c r="J8213" t="s">
        <v>139</v>
      </c>
      <c r="K8213" t="s">
        <v>140</v>
      </c>
      <c r="L8213">
        <v>4</v>
      </c>
      <c r="M8213" t="s">
        <v>28425</v>
      </c>
      <c r="N8213" t="s">
        <v>24245</v>
      </c>
      <c r="O8213" t="s">
        <v>46</v>
      </c>
      <c r="P8213" t="s">
        <v>46</v>
      </c>
      <c r="Y8213" t="s">
        <v>28426</v>
      </c>
    </row>
    <row r="8214" spans="1:25">
      <c r="A8214" t="s">
        <v>28427</v>
      </c>
      <c r="B8214" t="s">
        <v>28428</v>
      </c>
      <c r="D8214" t="s">
        <v>40</v>
      </c>
      <c r="E8214" t="s">
        <v>41</v>
      </c>
      <c r="J8214" t="s">
        <v>248</v>
      </c>
      <c r="K8214" t="s">
        <v>249</v>
      </c>
      <c r="L8214">
        <v>4</v>
      </c>
      <c r="M8214" t="s">
        <v>28429</v>
      </c>
      <c r="N8214" t="s">
        <v>1380</v>
      </c>
      <c r="O8214" t="s">
        <v>46</v>
      </c>
      <c r="P8214" t="s">
        <v>46</v>
      </c>
      <c r="Y8214" t="s">
        <v>28430</v>
      </c>
    </row>
    <row r="8215" spans="1:25">
      <c r="A8215" t="s">
        <v>28431</v>
      </c>
      <c r="B8215" t="s">
        <v>28432</v>
      </c>
      <c r="D8215" t="s">
        <v>40</v>
      </c>
      <c r="E8215" t="s">
        <v>41</v>
      </c>
      <c r="J8215" t="s">
        <v>1142</v>
      </c>
      <c r="K8215" t="s">
        <v>1143</v>
      </c>
      <c r="L8215">
        <v>4</v>
      </c>
      <c r="M8215" t="s">
        <v>28433</v>
      </c>
      <c r="N8215" t="s">
        <v>1814</v>
      </c>
      <c r="O8215" t="s">
        <v>46</v>
      </c>
      <c r="P8215" t="s">
        <v>46</v>
      </c>
      <c r="Y8215" t="s">
        <v>28434</v>
      </c>
    </row>
    <row r="8216" spans="1:25">
      <c r="A8216" t="s">
        <v>28435</v>
      </c>
      <c r="B8216" t="s">
        <v>28436</v>
      </c>
      <c r="D8216" t="s">
        <v>40</v>
      </c>
      <c r="E8216" t="s">
        <v>41</v>
      </c>
      <c r="J8216" t="s">
        <v>248</v>
      </c>
      <c r="K8216" t="s">
        <v>249</v>
      </c>
      <c r="L8216">
        <v>4</v>
      </c>
      <c r="M8216" t="s">
        <v>28433</v>
      </c>
      <c r="N8216" t="s">
        <v>752</v>
      </c>
      <c r="O8216" t="s">
        <v>46</v>
      </c>
      <c r="P8216" t="s">
        <v>46</v>
      </c>
      <c r="Y8216" t="s">
        <v>28437</v>
      </c>
    </row>
    <row r="8217" spans="1:25">
      <c r="A8217" t="s">
        <v>28438</v>
      </c>
      <c r="B8217" t="s">
        <v>28439</v>
      </c>
      <c r="D8217" t="s">
        <v>40</v>
      </c>
      <c r="E8217" t="s">
        <v>41</v>
      </c>
      <c r="J8217" t="s">
        <v>6255</v>
      </c>
      <c r="K8217" t="s">
        <v>6256</v>
      </c>
      <c r="L8217">
        <v>3</v>
      </c>
      <c r="M8217" t="s">
        <v>28440</v>
      </c>
      <c r="N8217" t="s">
        <v>436</v>
      </c>
      <c r="O8217" t="s">
        <v>46</v>
      </c>
      <c r="P8217" t="s">
        <v>46</v>
      </c>
      <c r="Y8217" t="s">
        <v>28441</v>
      </c>
    </row>
    <row r="8218" spans="1:25">
      <c r="A8218" t="s">
        <v>28442</v>
      </c>
      <c r="B8218" t="s">
        <v>28443</v>
      </c>
      <c r="D8218" t="s">
        <v>40</v>
      </c>
      <c r="E8218" t="s">
        <v>41</v>
      </c>
      <c r="J8218" t="s">
        <v>1142</v>
      </c>
      <c r="K8218" t="s">
        <v>1143</v>
      </c>
      <c r="L8218">
        <v>5</v>
      </c>
      <c r="M8218" t="s">
        <v>28444</v>
      </c>
      <c r="N8218" t="s">
        <v>350</v>
      </c>
      <c r="O8218" t="s">
        <v>46</v>
      </c>
      <c r="P8218" t="s">
        <v>46</v>
      </c>
      <c r="Y8218" t="s">
        <v>28445</v>
      </c>
    </row>
    <row r="8219" spans="1:25">
      <c r="A8219" t="s">
        <v>28446</v>
      </c>
      <c r="B8219" t="s">
        <v>28447</v>
      </c>
      <c r="D8219" t="s">
        <v>40</v>
      </c>
      <c r="E8219" t="s">
        <v>41</v>
      </c>
      <c r="J8219" t="s">
        <v>248</v>
      </c>
      <c r="K8219" t="s">
        <v>249</v>
      </c>
      <c r="L8219">
        <v>4</v>
      </c>
      <c r="M8219" t="s">
        <v>28448</v>
      </c>
      <c r="N8219" t="s">
        <v>1024</v>
      </c>
      <c r="O8219" t="s">
        <v>46</v>
      </c>
      <c r="P8219" t="s">
        <v>46</v>
      </c>
      <c r="Y8219" t="s">
        <v>28449</v>
      </c>
    </row>
    <row r="8220" spans="1:25">
      <c r="A8220" t="s">
        <v>28450</v>
      </c>
      <c r="B8220" t="s">
        <v>28451</v>
      </c>
      <c r="D8220" t="s">
        <v>40</v>
      </c>
      <c r="E8220" t="s">
        <v>41</v>
      </c>
      <c r="J8220" t="s">
        <v>248</v>
      </c>
      <c r="K8220" t="s">
        <v>249</v>
      </c>
      <c r="L8220">
        <v>4</v>
      </c>
      <c r="M8220" t="s">
        <v>28452</v>
      </c>
      <c r="N8220" t="s">
        <v>1369</v>
      </c>
      <c r="O8220" t="s">
        <v>46</v>
      </c>
      <c r="P8220" t="s">
        <v>46</v>
      </c>
      <c r="Y8220" t="s">
        <v>28453</v>
      </c>
    </row>
    <row r="8221" spans="1:25">
      <c r="A8221" t="s">
        <v>28454</v>
      </c>
      <c r="B8221" t="s">
        <v>28455</v>
      </c>
      <c r="D8221" t="s">
        <v>40</v>
      </c>
      <c r="E8221" t="s">
        <v>41</v>
      </c>
      <c r="J8221" t="s">
        <v>248</v>
      </c>
      <c r="K8221" t="s">
        <v>249</v>
      </c>
      <c r="L8221">
        <v>4</v>
      </c>
      <c r="M8221" t="s">
        <v>28456</v>
      </c>
      <c r="N8221" t="s">
        <v>2346</v>
      </c>
      <c r="O8221" t="s">
        <v>46</v>
      </c>
      <c r="P8221" t="s">
        <v>46</v>
      </c>
      <c r="Y8221" t="s">
        <v>28457</v>
      </c>
    </row>
    <row r="8222" spans="1:25">
      <c r="A8222" t="s">
        <v>28458</v>
      </c>
      <c r="B8222" t="s">
        <v>28459</v>
      </c>
      <c r="D8222" t="s">
        <v>40</v>
      </c>
      <c r="E8222" t="s">
        <v>41</v>
      </c>
      <c r="J8222" t="s">
        <v>599</v>
      </c>
      <c r="K8222" t="s">
        <v>600</v>
      </c>
      <c r="L8222">
        <v>4</v>
      </c>
      <c r="M8222" t="s">
        <v>28456</v>
      </c>
      <c r="N8222" t="s">
        <v>23361</v>
      </c>
      <c r="O8222" t="s">
        <v>46</v>
      </c>
      <c r="P8222" t="s">
        <v>46</v>
      </c>
      <c r="Y8222" t="s">
        <v>28460</v>
      </c>
    </row>
    <row r="8223" spans="1:25">
      <c r="A8223" t="s">
        <v>28461</v>
      </c>
      <c r="B8223" t="s">
        <v>28462</v>
      </c>
      <c r="D8223" t="s">
        <v>40</v>
      </c>
      <c r="E8223" t="s">
        <v>41</v>
      </c>
      <c r="J8223" t="s">
        <v>248</v>
      </c>
      <c r="K8223" t="s">
        <v>249</v>
      </c>
      <c r="L8223">
        <v>4</v>
      </c>
      <c r="M8223" t="s">
        <v>28463</v>
      </c>
      <c r="N8223" t="s">
        <v>24227</v>
      </c>
      <c r="O8223" t="s">
        <v>46</v>
      </c>
      <c r="P8223" t="s">
        <v>46</v>
      </c>
      <c r="Y8223" t="s">
        <v>28464</v>
      </c>
    </row>
    <row r="8224" spans="1:25">
      <c r="A8224" t="s">
        <v>28465</v>
      </c>
      <c r="B8224" t="s">
        <v>28466</v>
      </c>
      <c r="D8224" t="s">
        <v>40</v>
      </c>
      <c r="E8224" t="s">
        <v>41</v>
      </c>
      <c r="J8224" t="s">
        <v>248</v>
      </c>
      <c r="K8224" t="s">
        <v>249</v>
      </c>
      <c r="L8224">
        <v>4</v>
      </c>
      <c r="M8224" t="s">
        <v>28467</v>
      </c>
      <c r="N8224" t="s">
        <v>310</v>
      </c>
      <c r="O8224" t="s">
        <v>46</v>
      </c>
      <c r="P8224" t="s">
        <v>46</v>
      </c>
      <c r="Y8224" t="s">
        <v>28468</v>
      </c>
    </row>
    <row r="8225" spans="1:25">
      <c r="A8225" t="s">
        <v>28469</v>
      </c>
      <c r="B8225" t="s">
        <v>28470</v>
      </c>
      <c r="D8225" t="s">
        <v>40</v>
      </c>
      <c r="E8225" t="s">
        <v>41</v>
      </c>
      <c r="J8225" t="s">
        <v>1142</v>
      </c>
      <c r="K8225" t="s">
        <v>1143</v>
      </c>
      <c r="L8225">
        <v>4</v>
      </c>
      <c r="M8225" t="s">
        <v>28471</v>
      </c>
      <c r="N8225" t="s">
        <v>24387</v>
      </c>
      <c r="O8225" t="s">
        <v>46</v>
      </c>
      <c r="P8225" t="s">
        <v>46</v>
      </c>
      <c r="Y8225" t="s">
        <v>28472</v>
      </c>
    </row>
    <row r="8226" spans="1:25">
      <c r="A8226" t="s">
        <v>28473</v>
      </c>
      <c r="B8226" t="s">
        <v>28474</v>
      </c>
      <c r="D8226" t="s">
        <v>40</v>
      </c>
      <c r="E8226" t="s">
        <v>41</v>
      </c>
      <c r="J8226" t="s">
        <v>139</v>
      </c>
      <c r="K8226" t="s">
        <v>140</v>
      </c>
      <c r="L8226">
        <v>4</v>
      </c>
      <c r="M8226" t="s">
        <v>28471</v>
      </c>
      <c r="N8226" t="s">
        <v>24245</v>
      </c>
      <c r="O8226" t="s">
        <v>46</v>
      </c>
      <c r="P8226" t="s">
        <v>46</v>
      </c>
      <c r="Y8226" t="s">
        <v>28475</v>
      </c>
    </row>
    <row r="8227" spans="1:25">
      <c r="A8227" t="s">
        <v>28476</v>
      </c>
      <c r="B8227" t="s">
        <v>28477</v>
      </c>
      <c r="D8227" t="s">
        <v>40</v>
      </c>
      <c r="E8227" t="s">
        <v>41</v>
      </c>
      <c r="J8227" t="s">
        <v>248</v>
      </c>
      <c r="K8227" t="s">
        <v>249</v>
      </c>
      <c r="L8227">
        <v>4</v>
      </c>
      <c r="M8227" t="s">
        <v>28478</v>
      </c>
      <c r="N8227" t="s">
        <v>310</v>
      </c>
      <c r="O8227" t="s">
        <v>46</v>
      </c>
      <c r="P8227" t="s">
        <v>46</v>
      </c>
      <c r="Y8227" t="s">
        <v>28479</v>
      </c>
    </row>
    <row r="8228" spans="1:25">
      <c r="A8228" t="s">
        <v>28480</v>
      </c>
      <c r="B8228" t="s">
        <v>28481</v>
      </c>
      <c r="D8228" t="s">
        <v>40</v>
      </c>
      <c r="E8228" t="s">
        <v>41</v>
      </c>
      <c r="J8228" t="s">
        <v>248</v>
      </c>
      <c r="K8228" t="s">
        <v>249</v>
      </c>
      <c r="L8228">
        <v>4</v>
      </c>
      <c r="M8228" t="s">
        <v>28482</v>
      </c>
      <c r="N8228" t="s">
        <v>1024</v>
      </c>
      <c r="O8228" t="s">
        <v>46</v>
      </c>
      <c r="P8228" t="s">
        <v>46</v>
      </c>
      <c r="Y8228" t="s">
        <v>28483</v>
      </c>
    </row>
    <row r="8229" spans="1:25">
      <c r="A8229" t="s">
        <v>28484</v>
      </c>
      <c r="B8229" t="s">
        <v>28485</v>
      </c>
      <c r="D8229" t="s">
        <v>40</v>
      </c>
      <c r="E8229" t="s">
        <v>41</v>
      </c>
      <c r="J8229" t="s">
        <v>599</v>
      </c>
      <c r="K8229" t="s">
        <v>600</v>
      </c>
      <c r="L8229">
        <v>4</v>
      </c>
      <c r="M8229" t="s">
        <v>28486</v>
      </c>
      <c r="N8229" t="s">
        <v>1229</v>
      </c>
      <c r="O8229" t="s">
        <v>46</v>
      </c>
      <c r="P8229" t="s">
        <v>46</v>
      </c>
      <c r="Y8229" t="s">
        <v>28487</v>
      </c>
    </row>
    <row r="8230" spans="1:25">
      <c r="A8230" t="s">
        <v>28488</v>
      </c>
      <c r="B8230" t="s">
        <v>28489</v>
      </c>
      <c r="D8230" t="s">
        <v>40</v>
      </c>
      <c r="E8230" t="s">
        <v>41</v>
      </c>
      <c r="J8230" t="s">
        <v>248</v>
      </c>
      <c r="K8230" t="s">
        <v>249</v>
      </c>
      <c r="L8230">
        <v>4</v>
      </c>
      <c r="M8230" t="s">
        <v>28490</v>
      </c>
      <c r="N8230" t="s">
        <v>27228</v>
      </c>
      <c r="O8230" t="s">
        <v>46</v>
      </c>
      <c r="P8230" t="s">
        <v>46</v>
      </c>
      <c r="Y8230" t="s">
        <v>28491</v>
      </c>
    </row>
    <row r="8231" spans="1:25">
      <c r="A8231" t="s">
        <v>28492</v>
      </c>
      <c r="B8231" t="s">
        <v>28493</v>
      </c>
      <c r="D8231" t="s">
        <v>40</v>
      </c>
      <c r="E8231" t="s">
        <v>41</v>
      </c>
      <c r="J8231" t="s">
        <v>139</v>
      </c>
      <c r="K8231" t="s">
        <v>140</v>
      </c>
      <c r="L8231">
        <v>4</v>
      </c>
      <c r="M8231" t="s">
        <v>28494</v>
      </c>
      <c r="N8231" t="s">
        <v>23361</v>
      </c>
      <c r="O8231" t="s">
        <v>46</v>
      </c>
      <c r="P8231" t="s">
        <v>46</v>
      </c>
      <c r="Y8231" t="s">
        <v>28495</v>
      </c>
    </row>
    <row r="8232" spans="1:25">
      <c r="A8232" t="s">
        <v>28496</v>
      </c>
      <c r="B8232" t="s">
        <v>28497</v>
      </c>
      <c r="D8232" t="s">
        <v>40</v>
      </c>
      <c r="E8232" t="s">
        <v>41</v>
      </c>
      <c r="J8232" t="s">
        <v>248</v>
      </c>
      <c r="K8232" t="s">
        <v>249</v>
      </c>
      <c r="L8232">
        <v>4</v>
      </c>
      <c r="M8232" t="s">
        <v>28498</v>
      </c>
      <c r="N8232" t="s">
        <v>178</v>
      </c>
      <c r="O8232" t="s">
        <v>46</v>
      </c>
      <c r="P8232" t="s">
        <v>46</v>
      </c>
      <c r="Y8232" t="s">
        <v>28499</v>
      </c>
    </row>
    <row r="8233" spans="1:25">
      <c r="A8233" t="s">
        <v>28500</v>
      </c>
      <c r="B8233" t="s">
        <v>28501</v>
      </c>
      <c r="D8233" t="s">
        <v>40</v>
      </c>
      <c r="E8233" t="s">
        <v>41</v>
      </c>
      <c r="J8233" t="s">
        <v>248</v>
      </c>
      <c r="K8233" t="s">
        <v>249</v>
      </c>
      <c r="L8233">
        <v>4</v>
      </c>
      <c r="M8233" t="s">
        <v>28502</v>
      </c>
      <c r="N8233" t="s">
        <v>1446</v>
      </c>
      <c r="O8233" t="s">
        <v>46</v>
      </c>
      <c r="P8233" t="s">
        <v>46</v>
      </c>
      <c r="Y8233" t="s">
        <v>28503</v>
      </c>
    </row>
    <row r="8234" spans="1:25">
      <c r="A8234" t="s">
        <v>28504</v>
      </c>
      <c r="B8234" t="s">
        <v>28505</v>
      </c>
      <c r="D8234" t="s">
        <v>40</v>
      </c>
      <c r="E8234" t="s">
        <v>41</v>
      </c>
      <c r="J8234" t="s">
        <v>6179</v>
      </c>
      <c r="K8234" t="s">
        <v>6180</v>
      </c>
      <c r="L8234">
        <v>4</v>
      </c>
      <c r="M8234" t="s">
        <v>28502</v>
      </c>
      <c r="N8234" t="s">
        <v>1392</v>
      </c>
      <c r="O8234" t="s">
        <v>46</v>
      </c>
      <c r="P8234" t="s">
        <v>46</v>
      </c>
      <c r="Y8234" t="s">
        <v>28506</v>
      </c>
    </row>
    <row r="8235" spans="1:25">
      <c r="A8235" t="s">
        <v>28507</v>
      </c>
      <c r="B8235" t="s">
        <v>28508</v>
      </c>
      <c r="D8235" t="s">
        <v>40</v>
      </c>
      <c r="E8235" t="s">
        <v>41</v>
      </c>
      <c r="J8235" t="s">
        <v>248</v>
      </c>
      <c r="K8235" t="s">
        <v>249</v>
      </c>
      <c r="L8235">
        <v>4</v>
      </c>
      <c r="M8235" t="s">
        <v>28509</v>
      </c>
      <c r="N8235" t="s">
        <v>1024</v>
      </c>
      <c r="O8235" t="s">
        <v>46</v>
      </c>
      <c r="P8235" t="s">
        <v>46</v>
      </c>
      <c r="Y8235" t="s">
        <v>28510</v>
      </c>
    </row>
    <row r="8236" spans="1:25">
      <c r="A8236" t="s">
        <v>28511</v>
      </c>
      <c r="B8236" t="s">
        <v>28512</v>
      </c>
      <c r="D8236" t="s">
        <v>40</v>
      </c>
      <c r="E8236" t="s">
        <v>41</v>
      </c>
      <c r="J8236" t="s">
        <v>248</v>
      </c>
      <c r="K8236" t="s">
        <v>249</v>
      </c>
      <c r="L8236">
        <v>4</v>
      </c>
      <c r="M8236" t="s">
        <v>28513</v>
      </c>
      <c r="N8236" t="s">
        <v>53</v>
      </c>
      <c r="O8236" t="s">
        <v>46</v>
      </c>
      <c r="P8236" t="s">
        <v>46</v>
      </c>
      <c r="Y8236" t="s">
        <v>28514</v>
      </c>
    </row>
    <row r="8237" spans="1:25">
      <c r="A8237" t="s">
        <v>28515</v>
      </c>
      <c r="B8237" t="s">
        <v>28516</v>
      </c>
      <c r="D8237" t="s">
        <v>40</v>
      </c>
      <c r="E8237" t="s">
        <v>41</v>
      </c>
      <c r="J8237" t="s">
        <v>248</v>
      </c>
      <c r="K8237" t="s">
        <v>249</v>
      </c>
      <c r="L8237">
        <v>4</v>
      </c>
      <c r="M8237" t="s">
        <v>28517</v>
      </c>
      <c r="N8237" t="s">
        <v>617</v>
      </c>
      <c r="O8237" t="s">
        <v>46</v>
      </c>
      <c r="P8237" t="s">
        <v>46</v>
      </c>
      <c r="Y8237" t="s">
        <v>28518</v>
      </c>
    </row>
    <row r="8238" spans="1:25">
      <c r="A8238" t="s">
        <v>28519</v>
      </c>
      <c r="B8238" t="s">
        <v>28520</v>
      </c>
      <c r="D8238" t="s">
        <v>40</v>
      </c>
      <c r="E8238" t="s">
        <v>41</v>
      </c>
      <c r="J8238" t="s">
        <v>248</v>
      </c>
      <c r="K8238" t="s">
        <v>249</v>
      </c>
      <c r="L8238">
        <v>4</v>
      </c>
      <c r="M8238" t="s">
        <v>28521</v>
      </c>
      <c r="N8238" t="s">
        <v>24227</v>
      </c>
      <c r="O8238" t="s">
        <v>46</v>
      </c>
      <c r="P8238" t="s">
        <v>46</v>
      </c>
      <c r="Y8238" t="s">
        <v>28522</v>
      </c>
    </row>
    <row r="8239" spans="1:25">
      <c r="A8239" t="s">
        <v>28523</v>
      </c>
      <c r="B8239" t="s">
        <v>28524</v>
      </c>
      <c r="D8239" t="s">
        <v>40</v>
      </c>
      <c r="E8239" t="s">
        <v>41</v>
      </c>
      <c r="J8239" t="s">
        <v>248</v>
      </c>
      <c r="K8239" t="s">
        <v>249</v>
      </c>
      <c r="L8239">
        <v>4</v>
      </c>
      <c r="M8239" t="s">
        <v>28525</v>
      </c>
      <c r="N8239" t="s">
        <v>617</v>
      </c>
      <c r="O8239" t="s">
        <v>46</v>
      </c>
      <c r="P8239" t="s">
        <v>46</v>
      </c>
      <c r="Y8239" t="s">
        <v>28526</v>
      </c>
    </row>
    <row r="8240" spans="1:25">
      <c r="A8240" t="s">
        <v>28527</v>
      </c>
      <c r="B8240" t="s">
        <v>28528</v>
      </c>
      <c r="D8240" t="s">
        <v>40</v>
      </c>
      <c r="E8240" t="s">
        <v>41</v>
      </c>
      <c r="J8240" t="s">
        <v>1554</v>
      </c>
      <c r="K8240" t="s">
        <v>1555</v>
      </c>
      <c r="L8240">
        <v>4</v>
      </c>
      <c r="M8240" t="s">
        <v>28529</v>
      </c>
      <c r="N8240" t="s">
        <v>756</v>
      </c>
      <c r="O8240" t="s">
        <v>46</v>
      </c>
      <c r="P8240" t="s">
        <v>46</v>
      </c>
      <c r="Y8240" t="s">
        <v>28530</v>
      </c>
    </row>
    <row r="8241" spans="1:25">
      <c r="A8241" t="s">
        <v>28531</v>
      </c>
      <c r="B8241" t="s">
        <v>28532</v>
      </c>
      <c r="D8241" t="s">
        <v>40</v>
      </c>
      <c r="E8241" t="s">
        <v>41</v>
      </c>
      <c r="J8241" t="s">
        <v>1142</v>
      </c>
      <c r="K8241" t="s">
        <v>1143</v>
      </c>
      <c r="L8241">
        <v>4</v>
      </c>
      <c r="M8241" t="s">
        <v>28533</v>
      </c>
      <c r="N8241" t="s">
        <v>3013</v>
      </c>
      <c r="O8241" t="s">
        <v>46</v>
      </c>
      <c r="P8241" t="s">
        <v>46</v>
      </c>
      <c r="Y8241" t="s">
        <v>28534</v>
      </c>
    </row>
    <row r="8242" spans="1:25">
      <c r="A8242" t="s">
        <v>28535</v>
      </c>
      <c r="B8242" t="s">
        <v>28536</v>
      </c>
      <c r="D8242" t="s">
        <v>40</v>
      </c>
      <c r="E8242" t="s">
        <v>41</v>
      </c>
      <c r="J8242" t="s">
        <v>1554</v>
      </c>
      <c r="K8242" t="s">
        <v>1555</v>
      </c>
      <c r="L8242">
        <v>4</v>
      </c>
      <c r="M8242" t="s">
        <v>28537</v>
      </c>
      <c r="N8242" t="s">
        <v>1369</v>
      </c>
      <c r="O8242" t="s">
        <v>46</v>
      </c>
      <c r="P8242" t="s">
        <v>46</v>
      </c>
      <c r="Y8242" t="s">
        <v>28538</v>
      </c>
    </row>
    <row r="8243" spans="1:25">
      <c r="A8243" t="s">
        <v>28539</v>
      </c>
      <c r="B8243" t="s">
        <v>28540</v>
      </c>
      <c r="D8243" t="s">
        <v>40</v>
      </c>
      <c r="E8243" t="s">
        <v>41</v>
      </c>
      <c r="J8243" t="s">
        <v>248</v>
      </c>
      <c r="K8243" t="s">
        <v>249</v>
      </c>
      <c r="L8243">
        <v>4</v>
      </c>
      <c r="M8243" t="s">
        <v>28541</v>
      </c>
      <c r="N8243" t="s">
        <v>1380</v>
      </c>
      <c r="O8243" t="s">
        <v>46</v>
      </c>
      <c r="P8243" t="s">
        <v>46</v>
      </c>
      <c r="Y8243" t="s">
        <v>28542</v>
      </c>
    </row>
    <row r="8244" spans="1:25">
      <c r="A8244" t="s">
        <v>28543</v>
      </c>
      <c r="B8244" t="s">
        <v>28544</v>
      </c>
      <c r="D8244" t="s">
        <v>40</v>
      </c>
      <c r="E8244" t="s">
        <v>41</v>
      </c>
      <c r="J8244" t="s">
        <v>1142</v>
      </c>
      <c r="K8244" t="s">
        <v>1143</v>
      </c>
      <c r="L8244">
        <v>4</v>
      </c>
      <c r="M8244" t="s">
        <v>28545</v>
      </c>
      <c r="N8244" t="s">
        <v>1229</v>
      </c>
      <c r="O8244" t="s">
        <v>46</v>
      </c>
      <c r="P8244" t="s">
        <v>46</v>
      </c>
      <c r="Y8244" t="s">
        <v>28546</v>
      </c>
    </row>
    <row r="8245" spans="1:25">
      <c r="A8245" t="s">
        <v>28547</v>
      </c>
      <c r="B8245" t="s">
        <v>28548</v>
      </c>
      <c r="D8245" t="s">
        <v>40</v>
      </c>
      <c r="E8245" t="s">
        <v>41</v>
      </c>
      <c r="J8245" t="s">
        <v>248</v>
      </c>
      <c r="K8245" t="s">
        <v>249</v>
      </c>
      <c r="L8245">
        <v>4</v>
      </c>
      <c r="M8245" t="s">
        <v>28549</v>
      </c>
      <c r="N8245" t="s">
        <v>1550</v>
      </c>
      <c r="O8245" t="s">
        <v>46</v>
      </c>
      <c r="P8245" t="s">
        <v>46</v>
      </c>
      <c r="Y8245" t="s">
        <v>28550</v>
      </c>
    </row>
    <row r="8246" spans="1:25">
      <c r="A8246" t="s">
        <v>28551</v>
      </c>
      <c r="B8246" t="s">
        <v>28552</v>
      </c>
      <c r="D8246" t="s">
        <v>40</v>
      </c>
      <c r="E8246" t="s">
        <v>41</v>
      </c>
      <c r="J8246" t="s">
        <v>139</v>
      </c>
      <c r="K8246" t="s">
        <v>140</v>
      </c>
      <c r="L8246">
        <v>4</v>
      </c>
      <c r="M8246" t="s">
        <v>28553</v>
      </c>
      <c r="N8246" t="s">
        <v>25508</v>
      </c>
      <c r="O8246" t="s">
        <v>46</v>
      </c>
      <c r="P8246" t="s">
        <v>46</v>
      </c>
      <c r="Y8246" t="s">
        <v>28554</v>
      </c>
    </row>
    <row r="8247" spans="1:25">
      <c r="A8247" t="s">
        <v>28555</v>
      </c>
      <c r="B8247" t="s">
        <v>28556</v>
      </c>
      <c r="D8247" t="s">
        <v>40</v>
      </c>
      <c r="E8247" t="s">
        <v>41</v>
      </c>
      <c r="J8247" t="s">
        <v>1554</v>
      </c>
      <c r="K8247" t="s">
        <v>1555</v>
      </c>
      <c r="L8247">
        <v>4</v>
      </c>
      <c r="M8247" t="s">
        <v>28557</v>
      </c>
      <c r="N8247" t="s">
        <v>1344</v>
      </c>
      <c r="O8247" t="s">
        <v>46</v>
      </c>
      <c r="P8247" t="s">
        <v>46</v>
      </c>
      <c r="Y8247" t="s">
        <v>28558</v>
      </c>
    </row>
    <row r="8248" spans="1:25">
      <c r="A8248" t="s">
        <v>28559</v>
      </c>
      <c r="B8248" t="s">
        <v>28560</v>
      </c>
      <c r="D8248" t="s">
        <v>40</v>
      </c>
      <c r="E8248" t="s">
        <v>41</v>
      </c>
      <c r="J8248" t="s">
        <v>12440</v>
      </c>
      <c r="K8248" t="s">
        <v>12441</v>
      </c>
      <c r="L8248">
        <v>5</v>
      </c>
      <c r="M8248" t="s">
        <v>28561</v>
      </c>
      <c r="N8248" t="s">
        <v>440</v>
      </c>
      <c r="O8248" t="s">
        <v>46</v>
      </c>
      <c r="P8248" t="s">
        <v>46</v>
      </c>
      <c r="Y8248" t="s">
        <v>28562</v>
      </c>
    </row>
    <row r="8249" spans="1:25">
      <c r="A8249" t="s">
        <v>28563</v>
      </c>
      <c r="B8249" t="s">
        <v>28564</v>
      </c>
      <c r="D8249" t="s">
        <v>40</v>
      </c>
      <c r="E8249" t="s">
        <v>41</v>
      </c>
      <c r="J8249" t="s">
        <v>139</v>
      </c>
      <c r="K8249" t="s">
        <v>140</v>
      </c>
      <c r="L8249">
        <v>4</v>
      </c>
      <c r="M8249" t="s">
        <v>28565</v>
      </c>
      <c r="N8249" t="s">
        <v>178</v>
      </c>
      <c r="O8249" t="s">
        <v>46</v>
      </c>
      <c r="P8249" t="s">
        <v>46</v>
      </c>
      <c r="Y8249" t="s">
        <v>28566</v>
      </c>
    </row>
    <row r="8250" spans="1:25">
      <c r="A8250" t="s">
        <v>28567</v>
      </c>
      <c r="B8250" t="s">
        <v>28568</v>
      </c>
      <c r="D8250" t="s">
        <v>40</v>
      </c>
      <c r="E8250" t="s">
        <v>41</v>
      </c>
      <c r="J8250" t="s">
        <v>599</v>
      </c>
      <c r="K8250" t="s">
        <v>600</v>
      </c>
      <c r="L8250">
        <v>4</v>
      </c>
      <c r="M8250" t="s">
        <v>28569</v>
      </c>
      <c r="N8250" t="s">
        <v>5995</v>
      </c>
      <c r="O8250" t="s">
        <v>46</v>
      </c>
      <c r="P8250" t="s">
        <v>46</v>
      </c>
      <c r="Y8250" t="s">
        <v>28570</v>
      </c>
    </row>
    <row r="8251" spans="1:25">
      <c r="A8251" t="s">
        <v>28571</v>
      </c>
      <c r="B8251" t="s">
        <v>28572</v>
      </c>
      <c r="D8251" t="s">
        <v>40</v>
      </c>
      <c r="E8251" t="s">
        <v>41</v>
      </c>
      <c r="J8251" t="s">
        <v>248</v>
      </c>
      <c r="K8251" t="s">
        <v>249</v>
      </c>
      <c r="L8251">
        <v>4</v>
      </c>
      <c r="M8251" t="s">
        <v>28569</v>
      </c>
      <c r="N8251" t="s">
        <v>53</v>
      </c>
      <c r="O8251" t="s">
        <v>46</v>
      </c>
      <c r="P8251" t="s">
        <v>46</v>
      </c>
      <c r="Y8251" t="s">
        <v>28573</v>
      </c>
    </row>
    <row r="8252" spans="1:25">
      <c r="A8252" t="s">
        <v>28574</v>
      </c>
      <c r="B8252" t="s">
        <v>28575</v>
      </c>
      <c r="D8252" t="s">
        <v>40</v>
      </c>
      <c r="E8252" t="s">
        <v>41</v>
      </c>
      <c r="J8252" t="s">
        <v>599</v>
      </c>
      <c r="K8252" t="s">
        <v>600</v>
      </c>
      <c r="L8252">
        <v>5</v>
      </c>
      <c r="M8252" t="s">
        <v>28576</v>
      </c>
      <c r="N8252" t="s">
        <v>4037</v>
      </c>
      <c r="O8252" t="s">
        <v>46</v>
      </c>
      <c r="P8252" t="s">
        <v>46</v>
      </c>
      <c r="Y8252" t="s">
        <v>28577</v>
      </c>
    </row>
    <row r="8253" spans="1:25">
      <c r="A8253" t="s">
        <v>28578</v>
      </c>
      <c r="B8253" t="s">
        <v>28579</v>
      </c>
      <c r="D8253" t="s">
        <v>40</v>
      </c>
      <c r="E8253" t="s">
        <v>41</v>
      </c>
      <c r="J8253" t="s">
        <v>14558</v>
      </c>
      <c r="K8253" t="s">
        <v>14559</v>
      </c>
      <c r="L8253">
        <v>4</v>
      </c>
      <c r="M8253" t="s">
        <v>28580</v>
      </c>
      <c r="N8253" t="s">
        <v>45</v>
      </c>
      <c r="O8253" t="s">
        <v>46</v>
      </c>
      <c r="P8253" t="s">
        <v>46</v>
      </c>
      <c r="Y8253" t="s">
        <v>28581</v>
      </c>
    </row>
    <row r="8254" spans="1:25">
      <c r="A8254" t="s">
        <v>28582</v>
      </c>
      <c r="B8254" t="s">
        <v>28583</v>
      </c>
      <c r="D8254" t="s">
        <v>40</v>
      </c>
      <c r="E8254" t="s">
        <v>41</v>
      </c>
      <c r="J8254" t="s">
        <v>139</v>
      </c>
      <c r="K8254" t="s">
        <v>140</v>
      </c>
      <c r="L8254">
        <v>4</v>
      </c>
      <c r="M8254" t="s">
        <v>28584</v>
      </c>
      <c r="N8254" t="s">
        <v>23361</v>
      </c>
      <c r="O8254" t="s">
        <v>46</v>
      </c>
      <c r="P8254" t="s">
        <v>46</v>
      </c>
      <c r="Y8254" t="s">
        <v>28585</v>
      </c>
    </row>
    <row r="8255" spans="1:25">
      <c r="A8255" t="s">
        <v>28586</v>
      </c>
      <c r="B8255" t="s">
        <v>28587</v>
      </c>
      <c r="D8255" t="s">
        <v>40</v>
      </c>
      <c r="E8255" t="s">
        <v>41</v>
      </c>
      <c r="J8255" t="s">
        <v>248</v>
      </c>
      <c r="K8255" t="s">
        <v>249</v>
      </c>
      <c r="L8255">
        <v>4</v>
      </c>
      <c r="M8255" t="s">
        <v>28588</v>
      </c>
      <c r="N8255" t="s">
        <v>53</v>
      </c>
      <c r="O8255" t="s">
        <v>46</v>
      </c>
      <c r="P8255" t="s">
        <v>46</v>
      </c>
      <c r="Y8255" t="s">
        <v>28589</v>
      </c>
    </row>
    <row r="8256" spans="1:25">
      <c r="A8256" t="s">
        <v>28590</v>
      </c>
      <c r="B8256" t="s">
        <v>28591</v>
      </c>
      <c r="D8256" t="s">
        <v>40</v>
      </c>
      <c r="E8256" t="s">
        <v>41</v>
      </c>
      <c r="J8256" t="s">
        <v>248</v>
      </c>
      <c r="K8256" t="s">
        <v>249</v>
      </c>
      <c r="L8256">
        <v>4</v>
      </c>
      <c r="M8256" t="s">
        <v>28592</v>
      </c>
      <c r="N8256" t="s">
        <v>1344</v>
      </c>
      <c r="O8256" t="s">
        <v>46</v>
      </c>
      <c r="P8256" t="s">
        <v>46</v>
      </c>
      <c r="Y8256" t="s">
        <v>28593</v>
      </c>
    </row>
    <row r="8257" spans="1:25">
      <c r="A8257" t="s">
        <v>28594</v>
      </c>
      <c r="B8257" t="s">
        <v>28595</v>
      </c>
      <c r="D8257" t="s">
        <v>40</v>
      </c>
      <c r="E8257" t="s">
        <v>41</v>
      </c>
      <c r="J8257" t="s">
        <v>1142</v>
      </c>
      <c r="K8257" t="s">
        <v>1143</v>
      </c>
      <c r="L8257">
        <v>4</v>
      </c>
      <c r="M8257" t="s">
        <v>28596</v>
      </c>
      <c r="N8257" t="s">
        <v>1369</v>
      </c>
      <c r="O8257" t="s">
        <v>46</v>
      </c>
      <c r="P8257" t="s">
        <v>46</v>
      </c>
      <c r="Y8257" t="s">
        <v>28597</v>
      </c>
    </row>
    <row r="8258" spans="1:25">
      <c r="A8258" t="s">
        <v>28598</v>
      </c>
      <c r="B8258" t="s">
        <v>28599</v>
      </c>
      <c r="D8258" t="s">
        <v>40</v>
      </c>
      <c r="E8258" t="s">
        <v>41</v>
      </c>
      <c r="J8258" t="s">
        <v>1142</v>
      </c>
      <c r="K8258" t="s">
        <v>1143</v>
      </c>
      <c r="L8258">
        <v>4</v>
      </c>
      <c r="M8258" t="s">
        <v>28600</v>
      </c>
      <c r="N8258" t="s">
        <v>1550</v>
      </c>
      <c r="O8258" t="s">
        <v>46</v>
      </c>
      <c r="P8258" t="s">
        <v>46</v>
      </c>
      <c r="Y8258" t="s">
        <v>28601</v>
      </c>
    </row>
    <row r="8259" spans="1:25">
      <c r="A8259" t="s">
        <v>28602</v>
      </c>
      <c r="B8259" t="s">
        <v>28603</v>
      </c>
      <c r="D8259" t="s">
        <v>40</v>
      </c>
      <c r="E8259" t="s">
        <v>41</v>
      </c>
      <c r="J8259" t="s">
        <v>6255</v>
      </c>
      <c r="K8259" t="s">
        <v>6256</v>
      </c>
      <c r="L8259">
        <v>4</v>
      </c>
      <c r="M8259" t="s">
        <v>28604</v>
      </c>
      <c r="N8259" t="s">
        <v>756</v>
      </c>
      <c r="O8259" t="s">
        <v>46</v>
      </c>
      <c r="P8259" t="s">
        <v>46</v>
      </c>
      <c r="Y8259" t="s">
        <v>28605</v>
      </c>
    </row>
    <row r="8260" spans="1:25">
      <c r="A8260" t="s">
        <v>28606</v>
      </c>
      <c r="B8260" t="s">
        <v>28607</v>
      </c>
      <c r="D8260" t="s">
        <v>40</v>
      </c>
      <c r="E8260" t="s">
        <v>41</v>
      </c>
      <c r="J8260" t="s">
        <v>139</v>
      </c>
      <c r="K8260" t="s">
        <v>140</v>
      </c>
      <c r="L8260">
        <v>4</v>
      </c>
      <c r="M8260" t="s">
        <v>28604</v>
      </c>
      <c r="N8260" t="s">
        <v>178</v>
      </c>
      <c r="O8260" t="s">
        <v>46</v>
      </c>
      <c r="P8260" t="s">
        <v>46</v>
      </c>
      <c r="Y8260" t="s">
        <v>28608</v>
      </c>
    </row>
    <row r="8261" spans="1:25">
      <c r="A8261" t="s">
        <v>28609</v>
      </c>
      <c r="B8261" t="s">
        <v>28610</v>
      </c>
      <c r="D8261" t="s">
        <v>40</v>
      </c>
      <c r="E8261" t="s">
        <v>41</v>
      </c>
      <c r="J8261" t="s">
        <v>1554</v>
      </c>
      <c r="K8261" t="s">
        <v>1555</v>
      </c>
      <c r="L8261">
        <v>4</v>
      </c>
      <c r="M8261" t="s">
        <v>28611</v>
      </c>
      <c r="N8261" t="s">
        <v>1397</v>
      </c>
      <c r="O8261" t="s">
        <v>46</v>
      </c>
      <c r="P8261" t="s">
        <v>46</v>
      </c>
      <c r="Y8261" t="s">
        <v>28612</v>
      </c>
    </row>
    <row r="8262" spans="1:25">
      <c r="A8262" t="s">
        <v>28613</v>
      </c>
      <c r="B8262" t="s">
        <v>28614</v>
      </c>
      <c r="D8262" t="s">
        <v>40</v>
      </c>
      <c r="E8262" t="s">
        <v>41</v>
      </c>
      <c r="J8262" t="s">
        <v>139</v>
      </c>
      <c r="K8262" t="s">
        <v>140</v>
      </c>
      <c r="L8262">
        <v>4</v>
      </c>
      <c r="M8262" t="s">
        <v>28615</v>
      </c>
      <c r="N8262" t="s">
        <v>1814</v>
      </c>
      <c r="O8262" t="s">
        <v>46</v>
      </c>
      <c r="P8262" t="s">
        <v>46</v>
      </c>
      <c r="Y8262" t="s">
        <v>28616</v>
      </c>
    </row>
    <row r="8263" spans="1:25">
      <c r="A8263" t="s">
        <v>28617</v>
      </c>
      <c r="B8263" t="s">
        <v>28618</v>
      </c>
      <c r="D8263" t="s">
        <v>40</v>
      </c>
      <c r="E8263" t="s">
        <v>41</v>
      </c>
      <c r="J8263" t="s">
        <v>248</v>
      </c>
      <c r="K8263" t="s">
        <v>249</v>
      </c>
      <c r="L8263">
        <v>4</v>
      </c>
      <c r="M8263" t="s">
        <v>28619</v>
      </c>
      <c r="N8263" t="s">
        <v>24227</v>
      </c>
      <c r="O8263" t="s">
        <v>46</v>
      </c>
      <c r="P8263" t="s">
        <v>46</v>
      </c>
      <c r="Y8263" t="s">
        <v>28620</v>
      </c>
    </row>
    <row r="8264" spans="1:25">
      <c r="A8264" t="s">
        <v>28621</v>
      </c>
      <c r="B8264" t="s">
        <v>28622</v>
      </c>
      <c r="D8264" t="s">
        <v>40</v>
      </c>
      <c r="E8264" t="s">
        <v>41</v>
      </c>
      <c r="J8264" t="s">
        <v>1142</v>
      </c>
      <c r="K8264" t="s">
        <v>1143</v>
      </c>
      <c r="L8264">
        <v>4</v>
      </c>
      <c r="M8264" t="s">
        <v>28623</v>
      </c>
      <c r="N8264" t="s">
        <v>24227</v>
      </c>
      <c r="O8264" t="s">
        <v>46</v>
      </c>
      <c r="P8264" t="s">
        <v>46</v>
      </c>
      <c r="Y8264" t="s">
        <v>28624</v>
      </c>
    </row>
    <row r="8265" spans="1:25">
      <c r="A8265" t="s">
        <v>28625</v>
      </c>
      <c r="B8265" t="s">
        <v>28626</v>
      </c>
      <c r="D8265" t="s">
        <v>40</v>
      </c>
      <c r="E8265" t="s">
        <v>41</v>
      </c>
      <c r="J8265" t="s">
        <v>248</v>
      </c>
      <c r="K8265" t="s">
        <v>249</v>
      </c>
      <c r="L8265">
        <v>3</v>
      </c>
      <c r="M8265" t="s">
        <v>28627</v>
      </c>
      <c r="N8265" t="s">
        <v>440</v>
      </c>
      <c r="O8265" t="s">
        <v>46</v>
      </c>
      <c r="P8265" t="s">
        <v>46</v>
      </c>
      <c r="Y8265" t="s">
        <v>28628</v>
      </c>
    </row>
    <row r="8266" spans="1:25">
      <c r="A8266" t="s">
        <v>28629</v>
      </c>
      <c r="B8266" t="s">
        <v>28630</v>
      </c>
      <c r="D8266" t="s">
        <v>40</v>
      </c>
      <c r="E8266" t="s">
        <v>41</v>
      </c>
      <c r="J8266" t="s">
        <v>248</v>
      </c>
      <c r="K8266" t="s">
        <v>249</v>
      </c>
      <c r="L8266">
        <v>3</v>
      </c>
      <c r="M8266" t="s">
        <v>28631</v>
      </c>
      <c r="N8266" t="s">
        <v>315</v>
      </c>
      <c r="O8266" t="s">
        <v>46</v>
      </c>
      <c r="P8266" t="s">
        <v>46</v>
      </c>
      <c r="Y8266" t="s">
        <v>28632</v>
      </c>
    </row>
    <row r="8267" spans="1:25">
      <c r="A8267" t="s">
        <v>28633</v>
      </c>
      <c r="B8267" t="s">
        <v>28634</v>
      </c>
      <c r="D8267" t="s">
        <v>40</v>
      </c>
      <c r="E8267" t="s">
        <v>41</v>
      </c>
      <c r="J8267" t="s">
        <v>1554</v>
      </c>
      <c r="K8267" t="s">
        <v>1555</v>
      </c>
      <c r="L8267">
        <v>3</v>
      </c>
      <c r="M8267" t="s">
        <v>28635</v>
      </c>
      <c r="N8267" t="s">
        <v>24245</v>
      </c>
      <c r="O8267" t="s">
        <v>46</v>
      </c>
      <c r="P8267" t="s">
        <v>46</v>
      </c>
      <c r="Y8267" t="s">
        <v>28636</v>
      </c>
    </row>
    <row r="8268" spans="1:25">
      <c r="A8268" t="s">
        <v>28637</v>
      </c>
      <c r="B8268" t="s">
        <v>28638</v>
      </c>
      <c r="D8268" t="s">
        <v>40</v>
      </c>
      <c r="E8268" t="s">
        <v>41</v>
      </c>
      <c r="J8268" t="s">
        <v>12440</v>
      </c>
      <c r="K8268" t="s">
        <v>12441</v>
      </c>
      <c r="L8268">
        <v>4</v>
      </c>
      <c r="M8268" t="s">
        <v>28639</v>
      </c>
      <c r="N8268" t="s">
        <v>752</v>
      </c>
      <c r="O8268" t="s">
        <v>46</v>
      </c>
      <c r="P8268" t="s">
        <v>46</v>
      </c>
      <c r="Y8268" t="s">
        <v>28640</v>
      </c>
    </row>
    <row r="8269" spans="1:25">
      <c r="A8269" t="s">
        <v>28641</v>
      </c>
      <c r="B8269" t="s">
        <v>28642</v>
      </c>
      <c r="D8269" t="s">
        <v>40</v>
      </c>
      <c r="E8269" t="s">
        <v>41</v>
      </c>
      <c r="J8269" t="s">
        <v>139</v>
      </c>
      <c r="K8269" t="s">
        <v>140</v>
      </c>
      <c r="L8269">
        <v>3</v>
      </c>
      <c r="M8269" t="s">
        <v>28643</v>
      </c>
      <c r="N8269" t="s">
        <v>310</v>
      </c>
      <c r="O8269" t="s">
        <v>46</v>
      </c>
      <c r="P8269" t="s">
        <v>46</v>
      </c>
      <c r="Y8269" t="s">
        <v>28644</v>
      </c>
    </row>
    <row r="8270" spans="1:25">
      <c r="A8270" t="s">
        <v>28645</v>
      </c>
      <c r="B8270" t="s">
        <v>28646</v>
      </c>
      <c r="D8270" t="s">
        <v>40</v>
      </c>
      <c r="E8270" t="s">
        <v>41</v>
      </c>
      <c r="J8270" t="s">
        <v>248</v>
      </c>
      <c r="K8270" t="s">
        <v>249</v>
      </c>
      <c r="L8270">
        <v>3</v>
      </c>
      <c r="M8270" t="s">
        <v>28647</v>
      </c>
      <c r="N8270" t="s">
        <v>23374</v>
      </c>
      <c r="O8270" t="s">
        <v>46</v>
      </c>
      <c r="P8270" t="s">
        <v>46</v>
      </c>
      <c r="Y8270" t="s">
        <v>28648</v>
      </c>
    </row>
    <row r="8271" spans="1:25">
      <c r="A8271" t="s">
        <v>28649</v>
      </c>
      <c r="B8271" t="s">
        <v>28650</v>
      </c>
      <c r="D8271" t="s">
        <v>40</v>
      </c>
      <c r="E8271" t="s">
        <v>41</v>
      </c>
      <c r="J8271" t="s">
        <v>248</v>
      </c>
      <c r="K8271" t="s">
        <v>249</v>
      </c>
      <c r="L8271">
        <v>4</v>
      </c>
      <c r="M8271" t="s">
        <v>28647</v>
      </c>
      <c r="N8271" t="s">
        <v>142</v>
      </c>
      <c r="O8271" t="s">
        <v>46</v>
      </c>
      <c r="P8271" t="s">
        <v>46</v>
      </c>
      <c r="Y8271" t="s">
        <v>28651</v>
      </c>
    </row>
    <row r="8272" spans="1:25">
      <c r="A8272" t="s">
        <v>28652</v>
      </c>
      <c r="B8272" t="s">
        <v>28653</v>
      </c>
      <c r="D8272" t="s">
        <v>40</v>
      </c>
      <c r="E8272" t="s">
        <v>41</v>
      </c>
      <c r="J8272" t="s">
        <v>248</v>
      </c>
      <c r="K8272" t="s">
        <v>249</v>
      </c>
      <c r="L8272">
        <v>3</v>
      </c>
      <c r="M8272" t="s">
        <v>28654</v>
      </c>
      <c r="N8272" t="s">
        <v>257</v>
      </c>
      <c r="O8272" t="s">
        <v>46</v>
      </c>
      <c r="P8272" t="s">
        <v>46</v>
      </c>
      <c r="Y8272" t="s">
        <v>28655</v>
      </c>
    </row>
    <row r="8273" spans="1:25">
      <c r="A8273" t="s">
        <v>28656</v>
      </c>
      <c r="B8273" t="s">
        <v>28657</v>
      </c>
      <c r="D8273" t="s">
        <v>40</v>
      </c>
      <c r="E8273" t="s">
        <v>41</v>
      </c>
      <c r="J8273" t="s">
        <v>1142</v>
      </c>
      <c r="K8273" t="s">
        <v>1143</v>
      </c>
      <c r="L8273">
        <v>3</v>
      </c>
      <c r="M8273" t="s">
        <v>28658</v>
      </c>
      <c r="N8273" t="s">
        <v>1446</v>
      </c>
      <c r="O8273" t="s">
        <v>46</v>
      </c>
      <c r="P8273" t="s">
        <v>46</v>
      </c>
      <c r="Y8273" t="s">
        <v>28659</v>
      </c>
    </row>
    <row r="8274" spans="1:25">
      <c r="A8274" t="s">
        <v>28660</v>
      </c>
      <c r="B8274" t="s">
        <v>28661</v>
      </c>
      <c r="D8274" t="s">
        <v>40</v>
      </c>
      <c r="E8274" t="s">
        <v>41</v>
      </c>
      <c r="J8274" t="s">
        <v>248</v>
      </c>
      <c r="K8274" t="s">
        <v>249</v>
      </c>
      <c r="L8274">
        <v>4</v>
      </c>
      <c r="M8274" t="s">
        <v>28662</v>
      </c>
      <c r="N8274" t="s">
        <v>23374</v>
      </c>
      <c r="O8274" t="s">
        <v>46</v>
      </c>
      <c r="P8274" t="s">
        <v>46</v>
      </c>
      <c r="Y8274" t="s">
        <v>28663</v>
      </c>
    </row>
    <row r="8275" spans="1:25">
      <c r="A8275" t="s">
        <v>28664</v>
      </c>
      <c r="B8275" t="s">
        <v>28665</v>
      </c>
      <c r="D8275" t="s">
        <v>40</v>
      </c>
      <c r="E8275" t="s">
        <v>41</v>
      </c>
      <c r="J8275" t="s">
        <v>248</v>
      </c>
      <c r="K8275" t="s">
        <v>249</v>
      </c>
      <c r="L8275">
        <v>4</v>
      </c>
      <c r="M8275" t="s">
        <v>28666</v>
      </c>
      <c r="N8275" t="s">
        <v>53</v>
      </c>
      <c r="O8275" t="s">
        <v>46</v>
      </c>
      <c r="P8275" t="s">
        <v>46</v>
      </c>
      <c r="Y8275" t="s">
        <v>28667</v>
      </c>
    </row>
    <row r="8276" spans="1:25">
      <c r="A8276" t="s">
        <v>28668</v>
      </c>
      <c r="B8276" t="s">
        <v>28669</v>
      </c>
      <c r="D8276" t="s">
        <v>40</v>
      </c>
      <c r="E8276" t="s">
        <v>41</v>
      </c>
      <c r="J8276" t="s">
        <v>1554</v>
      </c>
      <c r="K8276" t="s">
        <v>1555</v>
      </c>
      <c r="L8276">
        <v>4</v>
      </c>
      <c r="M8276" t="s">
        <v>28670</v>
      </c>
      <c r="N8276" t="s">
        <v>23361</v>
      </c>
      <c r="O8276" t="s">
        <v>46</v>
      </c>
      <c r="P8276" t="s">
        <v>46</v>
      </c>
      <c r="Y8276" t="s">
        <v>28671</v>
      </c>
    </row>
    <row r="8277" spans="1:25">
      <c r="A8277" t="s">
        <v>28672</v>
      </c>
      <c r="B8277" t="s">
        <v>28673</v>
      </c>
      <c r="D8277" t="s">
        <v>40</v>
      </c>
      <c r="E8277" t="s">
        <v>41</v>
      </c>
      <c r="J8277" t="s">
        <v>921</v>
      </c>
      <c r="K8277" t="s">
        <v>922</v>
      </c>
      <c r="L8277">
        <v>4</v>
      </c>
      <c r="M8277" t="s">
        <v>28674</v>
      </c>
      <c r="N8277" t="s">
        <v>350</v>
      </c>
      <c r="O8277" t="s">
        <v>46</v>
      </c>
      <c r="P8277" t="s">
        <v>46</v>
      </c>
      <c r="Y8277" t="s">
        <v>28675</v>
      </c>
    </row>
    <row r="8278" spans="1:25">
      <c r="A8278" t="s">
        <v>28676</v>
      </c>
      <c r="B8278" t="s">
        <v>28677</v>
      </c>
      <c r="D8278" t="s">
        <v>40</v>
      </c>
      <c r="E8278" t="s">
        <v>41</v>
      </c>
      <c r="J8278" t="s">
        <v>248</v>
      </c>
      <c r="K8278" t="s">
        <v>249</v>
      </c>
      <c r="L8278">
        <v>3</v>
      </c>
      <c r="M8278" t="s">
        <v>28678</v>
      </c>
      <c r="N8278" t="s">
        <v>509</v>
      </c>
      <c r="O8278" t="s">
        <v>46</v>
      </c>
      <c r="P8278" t="s">
        <v>46</v>
      </c>
      <c r="Y8278" t="s">
        <v>28679</v>
      </c>
    </row>
    <row r="8279" spans="1:25">
      <c r="A8279" t="s">
        <v>28680</v>
      </c>
      <c r="B8279" t="s">
        <v>28681</v>
      </c>
      <c r="D8279" t="s">
        <v>40</v>
      </c>
      <c r="E8279" t="s">
        <v>41</v>
      </c>
      <c r="J8279" t="s">
        <v>248</v>
      </c>
      <c r="K8279" t="s">
        <v>249</v>
      </c>
      <c r="L8279">
        <v>3</v>
      </c>
      <c r="M8279" t="s">
        <v>28682</v>
      </c>
      <c r="N8279" t="s">
        <v>3013</v>
      </c>
      <c r="O8279" t="s">
        <v>46</v>
      </c>
      <c r="P8279" t="s">
        <v>46</v>
      </c>
      <c r="Y8279" t="s">
        <v>28683</v>
      </c>
    </row>
    <row r="8280" spans="1:25">
      <c r="A8280" t="s">
        <v>28684</v>
      </c>
      <c r="B8280" t="s">
        <v>28685</v>
      </c>
      <c r="D8280" t="s">
        <v>40</v>
      </c>
      <c r="E8280" t="s">
        <v>41</v>
      </c>
      <c r="J8280" t="s">
        <v>139</v>
      </c>
      <c r="K8280" t="s">
        <v>140</v>
      </c>
      <c r="L8280">
        <v>4</v>
      </c>
      <c r="M8280" t="s">
        <v>28686</v>
      </c>
      <c r="N8280" t="s">
        <v>24245</v>
      </c>
      <c r="O8280" t="s">
        <v>46</v>
      </c>
      <c r="P8280" t="s">
        <v>46</v>
      </c>
      <c r="Y8280" t="s">
        <v>28687</v>
      </c>
    </row>
    <row r="8281" spans="1:25">
      <c r="A8281" t="s">
        <v>28688</v>
      </c>
      <c r="B8281" t="s">
        <v>28689</v>
      </c>
      <c r="D8281" t="s">
        <v>40</v>
      </c>
      <c r="E8281" t="s">
        <v>41</v>
      </c>
      <c r="J8281" t="s">
        <v>14558</v>
      </c>
      <c r="K8281" t="s">
        <v>14559</v>
      </c>
      <c r="L8281">
        <v>3</v>
      </c>
      <c r="M8281" t="s">
        <v>28690</v>
      </c>
      <c r="N8281" t="s">
        <v>22465</v>
      </c>
      <c r="O8281" t="s">
        <v>46</v>
      </c>
      <c r="P8281" t="s">
        <v>46</v>
      </c>
      <c r="Y8281" t="s">
        <v>28691</v>
      </c>
    </row>
    <row r="8282" spans="1:25">
      <c r="A8282" t="s">
        <v>28692</v>
      </c>
      <c r="B8282" t="s">
        <v>28693</v>
      </c>
      <c r="D8282" t="s">
        <v>40</v>
      </c>
      <c r="E8282" t="s">
        <v>41</v>
      </c>
      <c r="J8282" t="s">
        <v>139</v>
      </c>
      <c r="K8282" t="s">
        <v>140</v>
      </c>
      <c r="L8282">
        <v>3</v>
      </c>
      <c r="M8282" t="s">
        <v>28694</v>
      </c>
      <c r="N8282" t="s">
        <v>3013</v>
      </c>
      <c r="O8282" t="s">
        <v>46</v>
      </c>
      <c r="P8282" t="s">
        <v>46</v>
      </c>
      <c r="Y8282" t="s">
        <v>28695</v>
      </c>
    </row>
    <row r="8283" spans="1:25">
      <c r="A8283" t="s">
        <v>28696</v>
      </c>
      <c r="B8283" t="s">
        <v>28697</v>
      </c>
      <c r="D8283" t="s">
        <v>40</v>
      </c>
      <c r="E8283" t="s">
        <v>41</v>
      </c>
      <c r="J8283" t="s">
        <v>248</v>
      </c>
      <c r="K8283" t="s">
        <v>249</v>
      </c>
      <c r="L8283">
        <v>3</v>
      </c>
      <c r="M8283" t="s">
        <v>28698</v>
      </c>
      <c r="N8283" t="s">
        <v>1369</v>
      </c>
      <c r="O8283" t="s">
        <v>46</v>
      </c>
      <c r="P8283" t="s">
        <v>46</v>
      </c>
      <c r="Y8283" t="s">
        <v>28699</v>
      </c>
    </row>
    <row r="8284" spans="1:25">
      <c r="A8284" t="s">
        <v>28700</v>
      </c>
      <c r="B8284" t="s">
        <v>28701</v>
      </c>
      <c r="D8284" t="s">
        <v>40</v>
      </c>
      <c r="E8284" t="s">
        <v>41</v>
      </c>
      <c r="J8284" t="s">
        <v>6179</v>
      </c>
      <c r="K8284" t="s">
        <v>6180</v>
      </c>
      <c r="L8284">
        <v>4</v>
      </c>
      <c r="M8284" t="s">
        <v>28702</v>
      </c>
      <c r="N8284" t="s">
        <v>27228</v>
      </c>
      <c r="O8284" t="s">
        <v>46</v>
      </c>
      <c r="P8284" t="s">
        <v>46</v>
      </c>
      <c r="Y8284" t="s">
        <v>28703</v>
      </c>
    </row>
    <row r="8285" spans="1:25">
      <c r="A8285" t="s">
        <v>28704</v>
      </c>
      <c r="B8285" t="s">
        <v>28705</v>
      </c>
      <c r="D8285" t="s">
        <v>40</v>
      </c>
      <c r="E8285" t="s">
        <v>41</v>
      </c>
      <c r="J8285" t="s">
        <v>139</v>
      </c>
      <c r="K8285" t="s">
        <v>140</v>
      </c>
      <c r="L8285">
        <v>4</v>
      </c>
      <c r="M8285" t="s">
        <v>28706</v>
      </c>
      <c r="N8285" t="s">
        <v>25508</v>
      </c>
      <c r="O8285" t="s">
        <v>46</v>
      </c>
      <c r="P8285" t="s">
        <v>46</v>
      </c>
      <c r="Y8285" t="s">
        <v>28707</v>
      </c>
    </row>
    <row r="8286" spans="1:25">
      <c r="A8286" t="s">
        <v>28708</v>
      </c>
      <c r="B8286" t="s">
        <v>28709</v>
      </c>
      <c r="D8286" t="s">
        <v>40</v>
      </c>
      <c r="E8286" t="s">
        <v>41</v>
      </c>
      <c r="J8286" t="s">
        <v>24950</v>
      </c>
      <c r="K8286" t="s">
        <v>24951</v>
      </c>
      <c r="L8286">
        <v>4</v>
      </c>
      <c r="M8286" t="s">
        <v>28710</v>
      </c>
      <c r="N8286" t="s">
        <v>2346</v>
      </c>
      <c r="O8286" t="s">
        <v>46</v>
      </c>
      <c r="P8286" t="s">
        <v>46</v>
      </c>
      <c r="Y8286" t="s">
        <v>28711</v>
      </c>
    </row>
    <row r="8287" spans="1:25">
      <c r="A8287" t="s">
        <v>28712</v>
      </c>
      <c r="B8287" t="s">
        <v>28713</v>
      </c>
      <c r="D8287" t="s">
        <v>40</v>
      </c>
      <c r="E8287" t="s">
        <v>41</v>
      </c>
      <c r="J8287" t="s">
        <v>248</v>
      </c>
      <c r="K8287" t="s">
        <v>249</v>
      </c>
      <c r="L8287">
        <v>4</v>
      </c>
      <c r="M8287" t="s">
        <v>28714</v>
      </c>
      <c r="N8287" t="s">
        <v>1024</v>
      </c>
      <c r="O8287" t="s">
        <v>46</v>
      </c>
      <c r="P8287" t="s">
        <v>46</v>
      </c>
      <c r="Y8287" t="s">
        <v>28715</v>
      </c>
    </row>
    <row r="8288" spans="1:25">
      <c r="A8288" t="s">
        <v>28716</v>
      </c>
      <c r="B8288" t="s">
        <v>28717</v>
      </c>
      <c r="D8288" t="s">
        <v>40</v>
      </c>
      <c r="E8288" t="s">
        <v>41</v>
      </c>
      <c r="J8288" t="s">
        <v>139</v>
      </c>
      <c r="K8288" t="s">
        <v>140</v>
      </c>
      <c r="L8288">
        <v>3</v>
      </c>
      <c r="M8288" t="s">
        <v>28718</v>
      </c>
      <c r="N8288" t="s">
        <v>24245</v>
      </c>
      <c r="O8288" t="s">
        <v>46</v>
      </c>
      <c r="P8288" t="s">
        <v>46</v>
      </c>
      <c r="Y8288" t="s">
        <v>28719</v>
      </c>
    </row>
    <row r="8289" spans="1:25">
      <c r="A8289" t="s">
        <v>28720</v>
      </c>
      <c r="B8289" t="s">
        <v>28721</v>
      </c>
      <c r="D8289" t="s">
        <v>40</v>
      </c>
      <c r="E8289" t="s">
        <v>41</v>
      </c>
      <c r="J8289" t="s">
        <v>1142</v>
      </c>
      <c r="K8289" t="s">
        <v>1143</v>
      </c>
      <c r="L8289">
        <v>5</v>
      </c>
      <c r="M8289" t="s">
        <v>28722</v>
      </c>
      <c r="N8289" t="s">
        <v>53</v>
      </c>
      <c r="O8289" t="s">
        <v>46</v>
      </c>
      <c r="P8289" t="s">
        <v>46</v>
      </c>
      <c r="Y8289" t="s">
        <v>28723</v>
      </c>
    </row>
    <row r="8290" spans="1:25">
      <c r="A8290" t="s">
        <v>28724</v>
      </c>
      <c r="B8290" t="s">
        <v>28725</v>
      </c>
      <c r="D8290" t="s">
        <v>40</v>
      </c>
      <c r="E8290" t="s">
        <v>41</v>
      </c>
      <c r="J8290" t="s">
        <v>248</v>
      </c>
      <c r="K8290" t="s">
        <v>249</v>
      </c>
      <c r="L8290">
        <v>4</v>
      </c>
      <c r="M8290" t="s">
        <v>28726</v>
      </c>
      <c r="N8290" t="s">
        <v>617</v>
      </c>
      <c r="O8290" t="s">
        <v>46</v>
      </c>
      <c r="P8290" t="s">
        <v>46</v>
      </c>
      <c r="Y8290" t="s">
        <v>28727</v>
      </c>
    </row>
    <row r="8291" spans="1:25">
      <c r="A8291" t="s">
        <v>28728</v>
      </c>
      <c r="B8291" t="s">
        <v>28729</v>
      </c>
      <c r="D8291" t="s">
        <v>40</v>
      </c>
      <c r="E8291" t="s">
        <v>41</v>
      </c>
      <c r="J8291" t="s">
        <v>139</v>
      </c>
      <c r="K8291" t="s">
        <v>140</v>
      </c>
      <c r="L8291">
        <v>4</v>
      </c>
      <c r="M8291" t="s">
        <v>28730</v>
      </c>
      <c r="N8291" t="s">
        <v>436</v>
      </c>
      <c r="O8291" t="s">
        <v>46</v>
      </c>
      <c r="P8291" t="s">
        <v>46</v>
      </c>
      <c r="Y8291" t="s">
        <v>28731</v>
      </c>
    </row>
    <row r="8292" spans="1:25">
      <c r="A8292" t="s">
        <v>28732</v>
      </c>
      <c r="B8292" t="s">
        <v>28733</v>
      </c>
      <c r="D8292" t="s">
        <v>40</v>
      </c>
      <c r="E8292" t="s">
        <v>41</v>
      </c>
      <c r="J8292" t="s">
        <v>248</v>
      </c>
      <c r="K8292" t="s">
        <v>249</v>
      </c>
      <c r="L8292">
        <v>4</v>
      </c>
      <c r="M8292" t="s">
        <v>28734</v>
      </c>
      <c r="N8292" t="s">
        <v>310</v>
      </c>
      <c r="O8292" t="s">
        <v>46</v>
      </c>
      <c r="P8292" t="s">
        <v>46</v>
      </c>
      <c r="Y8292" t="s">
        <v>28735</v>
      </c>
    </row>
    <row r="8293" spans="1:25">
      <c r="A8293" t="s">
        <v>28736</v>
      </c>
      <c r="B8293" t="s">
        <v>28737</v>
      </c>
      <c r="D8293" t="s">
        <v>40</v>
      </c>
      <c r="E8293" t="s">
        <v>41</v>
      </c>
      <c r="J8293" t="s">
        <v>9159</v>
      </c>
      <c r="K8293" t="s">
        <v>9160</v>
      </c>
      <c r="L8293">
        <v>4</v>
      </c>
      <c r="M8293" t="s">
        <v>28738</v>
      </c>
      <c r="N8293" t="s">
        <v>1369</v>
      </c>
      <c r="O8293" t="s">
        <v>46</v>
      </c>
      <c r="P8293" t="s">
        <v>46</v>
      </c>
      <c r="Y8293" t="s">
        <v>28739</v>
      </c>
    </row>
    <row r="8294" spans="1:25">
      <c r="A8294" t="s">
        <v>28740</v>
      </c>
      <c r="B8294" t="s">
        <v>28741</v>
      </c>
      <c r="D8294" t="s">
        <v>40</v>
      </c>
      <c r="E8294" t="s">
        <v>41</v>
      </c>
      <c r="J8294" t="s">
        <v>248</v>
      </c>
      <c r="K8294" t="s">
        <v>249</v>
      </c>
      <c r="L8294">
        <v>4</v>
      </c>
      <c r="M8294" t="s">
        <v>28742</v>
      </c>
      <c r="N8294" t="s">
        <v>2346</v>
      </c>
      <c r="O8294" t="s">
        <v>46</v>
      </c>
      <c r="P8294" t="s">
        <v>46</v>
      </c>
      <c r="Y8294" t="s">
        <v>28743</v>
      </c>
    </row>
    <row r="8295" spans="1:25">
      <c r="A8295" t="s">
        <v>28744</v>
      </c>
      <c r="B8295" t="s">
        <v>28745</v>
      </c>
      <c r="D8295" t="s">
        <v>40</v>
      </c>
      <c r="E8295" t="s">
        <v>41</v>
      </c>
      <c r="J8295" t="s">
        <v>11802</v>
      </c>
      <c r="K8295" t="s">
        <v>11803</v>
      </c>
      <c r="L8295">
        <v>4</v>
      </c>
      <c r="M8295" t="s">
        <v>28746</v>
      </c>
      <c r="N8295" t="s">
        <v>350</v>
      </c>
      <c r="O8295" t="s">
        <v>46</v>
      </c>
      <c r="P8295" t="s">
        <v>46</v>
      </c>
      <c r="Y8295" t="s">
        <v>28747</v>
      </c>
    </row>
    <row r="8296" spans="1:25">
      <c r="A8296" t="s">
        <v>28748</v>
      </c>
      <c r="B8296" t="s">
        <v>28749</v>
      </c>
      <c r="D8296" t="s">
        <v>40</v>
      </c>
      <c r="E8296" t="s">
        <v>41</v>
      </c>
      <c r="J8296" t="s">
        <v>1142</v>
      </c>
      <c r="K8296" t="s">
        <v>1143</v>
      </c>
      <c r="L8296">
        <v>5</v>
      </c>
      <c r="M8296" t="s">
        <v>28750</v>
      </c>
      <c r="N8296" t="s">
        <v>24387</v>
      </c>
      <c r="O8296" t="s">
        <v>46</v>
      </c>
      <c r="P8296" t="s">
        <v>46</v>
      </c>
      <c r="Y8296" t="s">
        <v>28751</v>
      </c>
    </row>
    <row r="8297" spans="1:25">
      <c r="A8297" t="s">
        <v>28752</v>
      </c>
      <c r="B8297" t="s">
        <v>28753</v>
      </c>
      <c r="D8297" t="s">
        <v>40</v>
      </c>
      <c r="E8297" t="s">
        <v>41</v>
      </c>
      <c r="J8297" t="s">
        <v>1142</v>
      </c>
      <c r="K8297" t="s">
        <v>1143</v>
      </c>
      <c r="L8297">
        <v>4</v>
      </c>
      <c r="M8297" t="s">
        <v>28754</v>
      </c>
      <c r="N8297" t="s">
        <v>1446</v>
      </c>
      <c r="O8297" t="s">
        <v>46</v>
      </c>
      <c r="P8297" t="s">
        <v>46</v>
      </c>
      <c r="Y8297" t="s">
        <v>28755</v>
      </c>
    </row>
    <row r="8298" spans="1:25">
      <c r="A8298" t="s">
        <v>28756</v>
      </c>
      <c r="B8298" t="s">
        <v>28757</v>
      </c>
      <c r="D8298" t="s">
        <v>40</v>
      </c>
      <c r="E8298" t="s">
        <v>41</v>
      </c>
      <c r="J8298" t="s">
        <v>1142</v>
      </c>
      <c r="K8298" t="s">
        <v>1143</v>
      </c>
      <c r="L8298">
        <v>4</v>
      </c>
      <c r="M8298" t="s">
        <v>28758</v>
      </c>
      <c r="N8298" t="s">
        <v>2346</v>
      </c>
      <c r="O8298" t="s">
        <v>46</v>
      </c>
      <c r="P8298" t="s">
        <v>46</v>
      </c>
      <c r="Y8298" t="s">
        <v>28759</v>
      </c>
    </row>
    <row r="8299" spans="1:25">
      <c r="A8299" t="s">
        <v>28760</v>
      </c>
      <c r="B8299" t="s">
        <v>28761</v>
      </c>
      <c r="D8299" t="s">
        <v>40</v>
      </c>
      <c r="E8299" t="s">
        <v>41</v>
      </c>
      <c r="J8299" t="s">
        <v>1142</v>
      </c>
      <c r="K8299" t="s">
        <v>1143</v>
      </c>
      <c r="L8299">
        <v>4</v>
      </c>
      <c r="M8299" t="s">
        <v>28762</v>
      </c>
      <c r="N8299" t="s">
        <v>257</v>
      </c>
      <c r="O8299" t="s">
        <v>46</v>
      </c>
      <c r="P8299" t="s">
        <v>46</v>
      </c>
      <c r="Y8299" t="s">
        <v>28763</v>
      </c>
    </row>
    <row r="8300" spans="1:25">
      <c r="A8300" t="s">
        <v>28764</v>
      </c>
      <c r="B8300" t="s">
        <v>28765</v>
      </c>
      <c r="D8300" t="s">
        <v>40</v>
      </c>
      <c r="E8300" t="s">
        <v>41</v>
      </c>
      <c r="J8300" t="s">
        <v>248</v>
      </c>
      <c r="K8300" t="s">
        <v>249</v>
      </c>
      <c r="L8300">
        <v>5</v>
      </c>
      <c r="M8300" t="s">
        <v>28766</v>
      </c>
      <c r="N8300" t="s">
        <v>1446</v>
      </c>
      <c r="O8300" t="s">
        <v>46</v>
      </c>
      <c r="P8300" t="s">
        <v>46</v>
      </c>
      <c r="Y8300" t="s">
        <v>28767</v>
      </c>
    </row>
    <row r="8301" spans="1:25">
      <c r="A8301" t="s">
        <v>28768</v>
      </c>
      <c r="B8301" t="s">
        <v>28769</v>
      </c>
      <c r="D8301" t="s">
        <v>40</v>
      </c>
      <c r="E8301" t="s">
        <v>41</v>
      </c>
      <c r="J8301" t="s">
        <v>1142</v>
      </c>
      <c r="K8301" t="s">
        <v>1143</v>
      </c>
      <c r="L8301">
        <v>5</v>
      </c>
      <c r="M8301" t="s">
        <v>28770</v>
      </c>
      <c r="N8301" t="s">
        <v>24227</v>
      </c>
      <c r="O8301" t="s">
        <v>46</v>
      </c>
      <c r="P8301" t="s">
        <v>46</v>
      </c>
      <c r="Y8301" t="s">
        <v>28771</v>
      </c>
    </row>
    <row r="8302" spans="1:25">
      <c r="A8302" t="s">
        <v>28772</v>
      </c>
      <c r="B8302" t="s">
        <v>28773</v>
      </c>
      <c r="D8302" t="s">
        <v>40</v>
      </c>
      <c r="E8302" t="s">
        <v>41</v>
      </c>
      <c r="J8302" t="s">
        <v>139</v>
      </c>
      <c r="K8302" t="s">
        <v>140</v>
      </c>
      <c r="L8302">
        <v>4</v>
      </c>
      <c r="M8302" t="s">
        <v>28774</v>
      </c>
      <c r="N8302" t="s">
        <v>178</v>
      </c>
      <c r="O8302" t="s">
        <v>46</v>
      </c>
      <c r="P8302" t="s">
        <v>46</v>
      </c>
      <c r="Y8302" t="s">
        <v>28775</v>
      </c>
    </row>
    <row r="8303" spans="1:25">
      <c r="A8303" t="s">
        <v>28776</v>
      </c>
      <c r="B8303" t="s">
        <v>28777</v>
      </c>
      <c r="D8303" t="s">
        <v>40</v>
      </c>
      <c r="E8303" t="s">
        <v>41</v>
      </c>
      <c r="J8303" t="s">
        <v>139</v>
      </c>
      <c r="K8303" t="s">
        <v>140</v>
      </c>
      <c r="L8303">
        <v>4</v>
      </c>
      <c r="M8303" t="s">
        <v>28778</v>
      </c>
      <c r="N8303" t="s">
        <v>1550</v>
      </c>
      <c r="O8303" t="s">
        <v>46</v>
      </c>
      <c r="P8303" t="s">
        <v>46</v>
      </c>
      <c r="Y8303" t="s">
        <v>28779</v>
      </c>
    </row>
    <row r="8304" spans="1:25">
      <c r="A8304" t="s">
        <v>28780</v>
      </c>
      <c r="B8304" t="s">
        <v>28781</v>
      </c>
      <c r="D8304" t="s">
        <v>40</v>
      </c>
      <c r="E8304" t="s">
        <v>41</v>
      </c>
      <c r="J8304" t="s">
        <v>2619</v>
      </c>
      <c r="K8304" t="s">
        <v>140</v>
      </c>
      <c r="L8304">
        <v>4</v>
      </c>
      <c r="M8304" t="s">
        <v>28782</v>
      </c>
      <c r="N8304" t="s">
        <v>24245</v>
      </c>
      <c r="O8304" t="s">
        <v>46</v>
      </c>
      <c r="P8304" t="s">
        <v>46</v>
      </c>
      <c r="Y8304" t="s">
        <v>28783</v>
      </c>
    </row>
    <row r="8305" spans="1:25">
      <c r="A8305" t="s">
        <v>28784</v>
      </c>
      <c r="B8305" t="s">
        <v>28785</v>
      </c>
      <c r="D8305" t="s">
        <v>40</v>
      </c>
      <c r="E8305" t="s">
        <v>41</v>
      </c>
      <c r="J8305" t="s">
        <v>1142</v>
      </c>
      <c r="K8305" t="s">
        <v>1143</v>
      </c>
      <c r="L8305">
        <v>4</v>
      </c>
      <c r="M8305" t="s">
        <v>28786</v>
      </c>
      <c r="N8305" t="s">
        <v>53</v>
      </c>
      <c r="O8305" t="s">
        <v>46</v>
      </c>
      <c r="P8305" t="s">
        <v>46</v>
      </c>
      <c r="Y8305" t="s">
        <v>28787</v>
      </c>
    </row>
    <row r="8306" spans="1:25">
      <c r="A8306" t="s">
        <v>28788</v>
      </c>
      <c r="B8306" t="s">
        <v>28789</v>
      </c>
      <c r="D8306" t="s">
        <v>40</v>
      </c>
      <c r="E8306" t="s">
        <v>41</v>
      </c>
      <c r="J8306" t="s">
        <v>248</v>
      </c>
      <c r="K8306" t="s">
        <v>249</v>
      </c>
      <c r="L8306">
        <v>4</v>
      </c>
      <c r="M8306" t="s">
        <v>28790</v>
      </c>
      <c r="N8306" t="s">
        <v>173</v>
      </c>
      <c r="O8306" t="s">
        <v>46</v>
      </c>
      <c r="P8306" t="s">
        <v>46</v>
      </c>
      <c r="Y8306" t="s">
        <v>28791</v>
      </c>
    </row>
    <row r="8307" spans="1:25">
      <c r="A8307" t="s">
        <v>28792</v>
      </c>
      <c r="B8307" t="s">
        <v>28793</v>
      </c>
      <c r="D8307" t="s">
        <v>40</v>
      </c>
      <c r="E8307" t="s">
        <v>41</v>
      </c>
      <c r="J8307" t="s">
        <v>139</v>
      </c>
      <c r="K8307" t="s">
        <v>140</v>
      </c>
      <c r="L8307">
        <v>2</v>
      </c>
      <c r="M8307" t="s">
        <v>28794</v>
      </c>
      <c r="N8307" t="s">
        <v>142</v>
      </c>
      <c r="O8307" t="s">
        <v>46</v>
      </c>
      <c r="P8307" t="s">
        <v>46</v>
      </c>
      <c r="Y8307" t="s">
        <v>28795</v>
      </c>
    </row>
    <row r="8308" spans="1:25">
      <c r="A8308" t="s">
        <v>28796</v>
      </c>
      <c r="B8308" t="s">
        <v>28797</v>
      </c>
      <c r="D8308" t="s">
        <v>40</v>
      </c>
      <c r="E8308" t="s">
        <v>41</v>
      </c>
      <c r="J8308" t="s">
        <v>139</v>
      </c>
      <c r="K8308" t="s">
        <v>140</v>
      </c>
      <c r="L8308">
        <v>4</v>
      </c>
      <c r="M8308" t="s">
        <v>28798</v>
      </c>
      <c r="N8308" t="s">
        <v>24245</v>
      </c>
      <c r="O8308" t="s">
        <v>46</v>
      </c>
      <c r="P8308" t="s">
        <v>46</v>
      </c>
      <c r="Y8308" t="s">
        <v>28799</v>
      </c>
    </row>
    <row r="8309" spans="1:25">
      <c r="A8309" t="s">
        <v>28800</v>
      </c>
      <c r="B8309" t="s">
        <v>28801</v>
      </c>
      <c r="D8309" t="s">
        <v>40</v>
      </c>
      <c r="E8309" t="s">
        <v>41</v>
      </c>
      <c r="J8309" t="s">
        <v>248</v>
      </c>
      <c r="K8309" t="s">
        <v>249</v>
      </c>
      <c r="L8309">
        <v>4</v>
      </c>
      <c r="M8309" t="s">
        <v>28802</v>
      </c>
      <c r="N8309" t="s">
        <v>752</v>
      </c>
      <c r="O8309" t="s">
        <v>46</v>
      </c>
      <c r="P8309" t="s">
        <v>46</v>
      </c>
      <c r="Y8309" t="s">
        <v>28803</v>
      </c>
    </row>
    <row r="8310" spans="1:25">
      <c r="A8310" t="s">
        <v>28804</v>
      </c>
      <c r="B8310" t="s">
        <v>28805</v>
      </c>
      <c r="D8310" t="s">
        <v>40</v>
      </c>
      <c r="E8310" t="s">
        <v>41</v>
      </c>
      <c r="J8310" t="s">
        <v>139</v>
      </c>
      <c r="K8310" t="s">
        <v>140</v>
      </c>
      <c r="L8310">
        <v>4</v>
      </c>
      <c r="M8310" t="s">
        <v>28806</v>
      </c>
      <c r="N8310" t="s">
        <v>1397</v>
      </c>
      <c r="O8310" t="s">
        <v>46</v>
      </c>
      <c r="P8310" t="s">
        <v>46</v>
      </c>
      <c r="Y8310" t="s">
        <v>28807</v>
      </c>
    </row>
    <row r="8311" spans="1:25">
      <c r="A8311" t="s">
        <v>28808</v>
      </c>
      <c r="B8311" t="s">
        <v>28809</v>
      </c>
      <c r="D8311" t="s">
        <v>40</v>
      </c>
      <c r="E8311" t="s">
        <v>41</v>
      </c>
      <c r="J8311" t="s">
        <v>248</v>
      </c>
      <c r="K8311" t="s">
        <v>249</v>
      </c>
      <c r="L8311">
        <v>4</v>
      </c>
      <c r="M8311" t="s">
        <v>28810</v>
      </c>
      <c r="N8311" t="s">
        <v>58</v>
      </c>
      <c r="O8311" t="s">
        <v>46</v>
      </c>
      <c r="P8311" t="s">
        <v>46</v>
      </c>
      <c r="Y8311" t="s">
        <v>28811</v>
      </c>
    </row>
    <row r="8312" spans="1:25">
      <c r="A8312" t="s">
        <v>28812</v>
      </c>
      <c r="B8312" t="s">
        <v>28813</v>
      </c>
      <c r="D8312" t="s">
        <v>40</v>
      </c>
      <c r="E8312" t="s">
        <v>41</v>
      </c>
      <c r="J8312" t="s">
        <v>248</v>
      </c>
      <c r="K8312" t="s">
        <v>249</v>
      </c>
      <c r="L8312">
        <v>4</v>
      </c>
      <c r="M8312" t="s">
        <v>28814</v>
      </c>
      <c r="N8312" t="s">
        <v>1446</v>
      </c>
      <c r="O8312" t="s">
        <v>46</v>
      </c>
      <c r="P8312" t="s">
        <v>46</v>
      </c>
      <c r="Y8312" t="s">
        <v>28815</v>
      </c>
    </row>
    <row r="8313" spans="1:25">
      <c r="A8313" t="s">
        <v>28816</v>
      </c>
      <c r="B8313" t="s">
        <v>28817</v>
      </c>
      <c r="D8313" t="s">
        <v>40</v>
      </c>
      <c r="E8313" t="s">
        <v>41</v>
      </c>
      <c r="J8313" t="s">
        <v>248</v>
      </c>
      <c r="K8313" t="s">
        <v>249</v>
      </c>
      <c r="L8313">
        <v>4</v>
      </c>
      <c r="M8313" t="s">
        <v>28818</v>
      </c>
      <c r="N8313" t="s">
        <v>1814</v>
      </c>
      <c r="O8313" t="s">
        <v>46</v>
      </c>
      <c r="P8313" t="s">
        <v>46</v>
      </c>
      <c r="Y8313" t="s">
        <v>28819</v>
      </c>
    </row>
    <row r="8314" spans="1:25">
      <c r="A8314" t="s">
        <v>28820</v>
      </c>
      <c r="B8314" t="s">
        <v>28821</v>
      </c>
      <c r="D8314" t="s">
        <v>40</v>
      </c>
      <c r="E8314" t="s">
        <v>41</v>
      </c>
      <c r="J8314" t="s">
        <v>1142</v>
      </c>
      <c r="K8314" t="s">
        <v>1143</v>
      </c>
      <c r="L8314">
        <v>4</v>
      </c>
      <c r="M8314" t="s">
        <v>28822</v>
      </c>
      <c r="N8314" t="s">
        <v>178</v>
      </c>
      <c r="O8314" t="s">
        <v>46</v>
      </c>
      <c r="P8314" t="s">
        <v>46</v>
      </c>
      <c r="Y8314" t="s">
        <v>28823</v>
      </c>
    </row>
    <row r="8315" spans="1:25">
      <c r="A8315" t="s">
        <v>28824</v>
      </c>
      <c r="B8315" t="s">
        <v>28825</v>
      </c>
      <c r="D8315" t="s">
        <v>40</v>
      </c>
      <c r="E8315" t="s">
        <v>41</v>
      </c>
      <c r="J8315" t="s">
        <v>248</v>
      </c>
      <c r="K8315" t="s">
        <v>249</v>
      </c>
      <c r="L8315">
        <v>4</v>
      </c>
      <c r="M8315" t="s">
        <v>28826</v>
      </c>
      <c r="N8315" t="s">
        <v>752</v>
      </c>
      <c r="O8315" t="s">
        <v>46</v>
      </c>
      <c r="P8315" t="s">
        <v>46</v>
      </c>
      <c r="Y8315" t="s">
        <v>28827</v>
      </c>
    </row>
    <row r="8316" spans="1:25">
      <c r="A8316" t="s">
        <v>28828</v>
      </c>
      <c r="B8316" t="s">
        <v>28829</v>
      </c>
      <c r="D8316" t="s">
        <v>40</v>
      </c>
      <c r="E8316" t="s">
        <v>41</v>
      </c>
      <c r="J8316" t="s">
        <v>248</v>
      </c>
      <c r="K8316" t="s">
        <v>249</v>
      </c>
      <c r="L8316">
        <v>4</v>
      </c>
      <c r="M8316" t="s">
        <v>28830</v>
      </c>
      <c r="N8316" t="s">
        <v>1024</v>
      </c>
      <c r="O8316" t="s">
        <v>46</v>
      </c>
      <c r="P8316" t="s">
        <v>46</v>
      </c>
      <c r="Y8316" t="s">
        <v>28831</v>
      </c>
    </row>
    <row r="8317" spans="1:25">
      <c r="A8317" t="s">
        <v>28832</v>
      </c>
      <c r="B8317" t="s">
        <v>28833</v>
      </c>
      <c r="D8317" t="s">
        <v>40</v>
      </c>
      <c r="E8317" t="s">
        <v>41</v>
      </c>
      <c r="J8317" t="s">
        <v>892</v>
      </c>
      <c r="K8317" t="s">
        <v>893</v>
      </c>
      <c r="L8317">
        <v>4</v>
      </c>
      <c r="M8317" t="s">
        <v>28834</v>
      </c>
      <c r="N8317" t="s">
        <v>436</v>
      </c>
      <c r="O8317" t="s">
        <v>46</v>
      </c>
      <c r="P8317" t="s">
        <v>46</v>
      </c>
      <c r="Y8317" t="s">
        <v>28835</v>
      </c>
    </row>
    <row r="8318" spans="1:25">
      <c r="A8318" t="s">
        <v>28836</v>
      </c>
      <c r="B8318" t="s">
        <v>28837</v>
      </c>
      <c r="D8318" t="s">
        <v>40</v>
      </c>
      <c r="E8318" t="s">
        <v>41</v>
      </c>
      <c r="J8318" t="s">
        <v>921</v>
      </c>
      <c r="K8318" t="s">
        <v>922</v>
      </c>
      <c r="L8318">
        <v>4</v>
      </c>
      <c r="M8318" t="s">
        <v>28838</v>
      </c>
      <c r="N8318" t="s">
        <v>3013</v>
      </c>
      <c r="O8318" t="s">
        <v>46</v>
      </c>
      <c r="P8318" t="s">
        <v>46</v>
      </c>
      <c r="Y8318" t="s">
        <v>28839</v>
      </c>
    </row>
    <row r="8319" spans="1:25">
      <c r="A8319" t="s">
        <v>28840</v>
      </c>
      <c r="B8319" t="s">
        <v>28841</v>
      </c>
      <c r="D8319" t="s">
        <v>40</v>
      </c>
      <c r="E8319" t="s">
        <v>41</v>
      </c>
      <c r="J8319" t="s">
        <v>1554</v>
      </c>
      <c r="K8319" t="s">
        <v>1555</v>
      </c>
      <c r="L8319">
        <v>2</v>
      </c>
      <c r="M8319" t="s">
        <v>28842</v>
      </c>
      <c r="N8319" t="s">
        <v>257</v>
      </c>
      <c r="O8319" t="s">
        <v>46</v>
      </c>
      <c r="P8319" t="s">
        <v>46</v>
      </c>
      <c r="Y8319" t="s">
        <v>28843</v>
      </c>
    </row>
    <row r="8320" spans="1:25">
      <c r="A8320" t="s">
        <v>28844</v>
      </c>
      <c r="B8320" t="s">
        <v>28845</v>
      </c>
      <c r="D8320" t="s">
        <v>40</v>
      </c>
      <c r="E8320" t="s">
        <v>41</v>
      </c>
      <c r="J8320" t="s">
        <v>911</v>
      </c>
      <c r="K8320" t="s">
        <v>912</v>
      </c>
      <c r="L8320">
        <v>4</v>
      </c>
      <c r="M8320" t="s">
        <v>28846</v>
      </c>
      <c r="N8320" t="s">
        <v>1550</v>
      </c>
      <c r="O8320" t="s">
        <v>46</v>
      </c>
      <c r="P8320" t="s">
        <v>46</v>
      </c>
      <c r="Y8320" t="s">
        <v>28847</v>
      </c>
    </row>
    <row r="8321" spans="1:25">
      <c r="A8321" t="s">
        <v>28848</v>
      </c>
      <c r="B8321" t="s">
        <v>28849</v>
      </c>
      <c r="D8321" t="s">
        <v>40</v>
      </c>
      <c r="E8321" t="s">
        <v>41</v>
      </c>
      <c r="J8321" t="s">
        <v>248</v>
      </c>
      <c r="K8321" t="s">
        <v>249</v>
      </c>
      <c r="L8321">
        <v>4</v>
      </c>
      <c r="M8321" t="s">
        <v>28850</v>
      </c>
      <c r="N8321" t="s">
        <v>756</v>
      </c>
      <c r="O8321" t="s">
        <v>46</v>
      </c>
      <c r="P8321" t="s">
        <v>46</v>
      </c>
      <c r="Y8321" t="s">
        <v>28851</v>
      </c>
    </row>
    <row r="8322" spans="1:25">
      <c r="A8322" t="s">
        <v>28852</v>
      </c>
      <c r="B8322" t="s">
        <v>28853</v>
      </c>
      <c r="D8322" t="s">
        <v>40</v>
      </c>
      <c r="E8322" t="s">
        <v>41</v>
      </c>
      <c r="J8322" t="s">
        <v>1554</v>
      </c>
      <c r="K8322" t="s">
        <v>1555</v>
      </c>
      <c r="L8322">
        <v>3</v>
      </c>
      <c r="M8322" t="s">
        <v>28854</v>
      </c>
      <c r="N8322" t="s">
        <v>257</v>
      </c>
      <c r="O8322" t="s">
        <v>46</v>
      </c>
      <c r="P8322" t="s">
        <v>46</v>
      </c>
      <c r="Y8322" t="s">
        <v>28855</v>
      </c>
    </row>
    <row r="8323" spans="1:25">
      <c r="A8323" t="s">
        <v>28856</v>
      </c>
      <c r="B8323" t="s">
        <v>28857</v>
      </c>
      <c r="D8323" t="s">
        <v>40</v>
      </c>
      <c r="E8323" t="s">
        <v>41</v>
      </c>
      <c r="J8323" t="s">
        <v>1142</v>
      </c>
      <c r="K8323" t="s">
        <v>1143</v>
      </c>
      <c r="L8323">
        <v>5</v>
      </c>
      <c r="M8323" t="s">
        <v>28858</v>
      </c>
      <c r="N8323" t="s">
        <v>1344</v>
      </c>
      <c r="O8323" t="s">
        <v>46</v>
      </c>
      <c r="P8323" t="s">
        <v>46</v>
      </c>
      <c r="Y8323" t="s">
        <v>28859</v>
      </c>
    </row>
    <row r="8324" spans="1:25">
      <c r="A8324" t="s">
        <v>28860</v>
      </c>
      <c r="B8324" t="s">
        <v>28861</v>
      </c>
      <c r="D8324" t="s">
        <v>40</v>
      </c>
      <c r="E8324" t="s">
        <v>41</v>
      </c>
      <c r="J8324" t="s">
        <v>248</v>
      </c>
      <c r="K8324" t="s">
        <v>249</v>
      </c>
      <c r="L8324">
        <v>4</v>
      </c>
      <c r="M8324" t="s">
        <v>28862</v>
      </c>
      <c r="N8324" t="s">
        <v>315</v>
      </c>
      <c r="O8324" t="s">
        <v>46</v>
      </c>
      <c r="P8324" t="s">
        <v>46</v>
      </c>
      <c r="Y8324" t="s">
        <v>28863</v>
      </c>
    </row>
    <row r="8325" spans="1:25">
      <c r="A8325" t="s">
        <v>28864</v>
      </c>
      <c r="B8325" t="s">
        <v>28865</v>
      </c>
      <c r="D8325" t="s">
        <v>40</v>
      </c>
      <c r="E8325" t="s">
        <v>41</v>
      </c>
      <c r="J8325" t="s">
        <v>139</v>
      </c>
      <c r="K8325" t="s">
        <v>140</v>
      </c>
      <c r="L8325">
        <v>4</v>
      </c>
      <c r="M8325" t="s">
        <v>28866</v>
      </c>
      <c r="N8325" t="s">
        <v>1392</v>
      </c>
      <c r="O8325" t="s">
        <v>46</v>
      </c>
      <c r="P8325" t="s">
        <v>46</v>
      </c>
      <c r="Y8325" t="s">
        <v>28867</v>
      </c>
    </row>
    <row r="8326" spans="1:25">
      <c r="A8326" t="s">
        <v>28868</v>
      </c>
      <c r="B8326" t="s">
        <v>28869</v>
      </c>
      <c r="D8326" t="s">
        <v>40</v>
      </c>
      <c r="E8326" t="s">
        <v>41</v>
      </c>
      <c r="J8326" t="s">
        <v>248</v>
      </c>
      <c r="K8326" t="s">
        <v>249</v>
      </c>
      <c r="L8326">
        <v>4</v>
      </c>
      <c r="M8326" t="s">
        <v>28870</v>
      </c>
      <c r="N8326" t="s">
        <v>752</v>
      </c>
      <c r="O8326" t="s">
        <v>46</v>
      </c>
      <c r="P8326" t="s">
        <v>46</v>
      </c>
      <c r="Y8326" t="s">
        <v>28871</v>
      </c>
    </row>
    <row r="8327" spans="1:25">
      <c r="A8327" t="s">
        <v>28872</v>
      </c>
      <c r="B8327" t="s">
        <v>28873</v>
      </c>
      <c r="D8327" t="s">
        <v>40</v>
      </c>
      <c r="E8327" t="s">
        <v>41</v>
      </c>
      <c r="J8327" t="s">
        <v>248</v>
      </c>
      <c r="K8327" t="s">
        <v>249</v>
      </c>
      <c r="L8327">
        <v>2</v>
      </c>
      <c r="M8327" t="s">
        <v>28874</v>
      </c>
      <c r="N8327" t="s">
        <v>1814</v>
      </c>
      <c r="O8327" t="s">
        <v>46</v>
      </c>
      <c r="P8327" t="s">
        <v>46</v>
      </c>
      <c r="Y8327" t="s">
        <v>28875</v>
      </c>
    </row>
    <row r="8328" spans="1:25">
      <c r="A8328" t="s">
        <v>28876</v>
      </c>
      <c r="B8328" t="s">
        <v>28877</v>
      </c>
      <c r="D8328" t="s">
        <v>40</v>
      </c>
      <c r="E8328" t="s">
        <v>41</v>
      </c>
      <c r="J8328" t="s">
        <v>248</v>
      </c>
      <c r="K8328" t="s">
        <v>249</v>
      </c>
      <c r="L8328">
        <v>3</v>
      </c>
      <c r="M8328" t="s">
        <v>28878</v>
      </c>
      <c r="N8328" t="s">
        <v>142</v>
      </c>
      <c r="O8328" t="s">
        <v>46</v>
      </c>
      <c r="P8328" t="s">
        <v>46</v>
      </c>
      <c r="Y8328" t="s">
        <v>28879</v>
      </c>
    </row>
    <row r="8329" spans="1:25">
      <c r="A8329" t="s">
        <v>28880</v>
      </c>
      <c r="B8329" t="s">
        <v>28881</v>
      </c>
      <c r="D8329" t="s">
        <v>40</v>
      </c>
      <c r="E8329" t="s">
        <v>41</v>
      </c>
      <c r="J8329" t="s">
        <v>1554</v>
      </c>
      <c r="K8329" t="s">
        <v>1555</v>
      </c>
      <c r="L8329">
        <v>5</v>
      </c>
      <c r="M8329" t="s">
        <v>28882</v>
      </c>
      <c r="N8329" t="s">
        <v>1392</v>
      </c>
      <c r="O8329" t="s">
        <v>46</v>
      </c>
      <c r="P8329" t="s">
        <v>46</v>
      </c>
      <c r="Y8329" t="s">
        <v>28883</v>
      </c>
    </row>
    <row r="8330" spans="1:25">
      <c r="A8330" t="s">
        <v>28884</v>
      </c>
      <c r="B8330" t="s">
        <v>28885</v>
      </c>
      <c r="D8330" t="s">
        <v>40</v>
      </c>
      <c r="E8330" t="s">
        <v>41</v>
      </c>
      <c r="J8330" t="s">
        <v>248</v>
      </c>
      <c r="K8330" t="s">
        <v>249</v>
      </c>
      <c r="L8330">
        <v>2</v>
      </c>
      <c r="M8330" t="s">
        <v>28886</v>
      </c>
      <c r="N8330" t="s">
        <v>257</v>
      </c>
      <c r="O8330" t="s">
        <v>46</v>
      </c>
      <c r="P8330" t="s">
        <v>46</v>
      </c>
      <c r="Y8330" t="s">
        <v>28887</v>
      </c>
    </row>
    <row r="8331" spans="1:25">
      <c r="A8331" t="s">
        <v>28888</v>
      </c>
      <c r="B8331" t="s">
        <v>28889</v>
      </c>
      <c r="D8331" t="s">
        <v>40</v>
      </c>
      <c r="E8331" t="s">
        <v>41</v>
      </c>
      <c r="J8331" t="s">
        <v>139</v>
      </c>
      <c r="K8331" t="s">
        <v>140</v>
      </c>
      <c r="L8331">
        <v>4</v>
      </c>
      <c r="M8331" t="s">
        <v>28890</v>
      </c>
      <c r="N8331" t="s">
        <v>178</v>
      </c>
      <c r="O8331" t="s">
        <v>46</v>
      </c>
      <c r="P8331" t="s">
        <v>46</v>
      </c>
      <c r="Y8331" t="s">
        <v>28891</v>
      </c>
    </row>
    <row r="8332" spans="1:25">
      <c r="A8332" t="s">
        <v>28892</v>
      </c>
      <c r="B8332" t="s">
        <v>28893</v>
      </c>
      <c r="D8332" t="s">
        <v>40</v>
      </c>
      <c r="E8332" t="s">
        <v>41</v>
      </c>
      <c r="J8332" t="s">
        <v>1142</v>
      </c>
      <c r="K8332" t="s">
        <v>1143</v>
      </c>
      <c r="L8332">
        <v>5</v>
      </c>
      <c r="M8332" t="s">
        <v>28894</v>
      </c>
      <c r="N8332" t="s">
        <v>2621</v>
      </c>
      <c r="O8332" t="s">
        <v>46</v>
      </c>
      <c r="P8332" t="s">
        <v>46</v>
      </c>
      <c r="Y8332" t="s">
        <v>28895</v>
      </c>
    </row>
    <row r="8333" spans="1:25">
      <c r="A8333" t="s">
        <v>28896</v>
      </c>
      <c r="B8333" t="s">
        <v>28897</v>
      </c>
      <c r="D8333" t="s">
        <v>40</v>
      </c>
      <c r="E8333" t="s">
        <v>41</v>
      </c>
      <c r="J8333" t="s">
        <v>1142</v>
      </c>
      <c r="K8333" t="s">
        <v>1143</v>
      </c>
      <c r="L8333">
        <v>4</v>
      </c>
      <c r="M8333" t="s">
        <v>28898</v>
      </c>
      <c r="N8333" t="s">
        <v>24227</v>
      </c>
      <c r="O8333" t="s">
        <v>46</v>
      </c>
      <c r="P8333" t="s">
        <v>46</v>
      </c>
      <c r="Y8333" t="s">
        <v>28899</v>
      </c>
    </row>
    <row r="8334" spans="1:25">
      <c r="A8334" t="s">
        <v>28900</v>
      </c>
      <c r="B8334" t="s">
        <v>28901</v>
      </c>
      <c r="D8334" t="s">
        <v>40</v>
      </c>
      <c r="E8334" t="s">
        <v>41</v>
      </c>
      <c r="J8334" t="s">
        <v>248</v>
      </c>
      <c r="K8334" t="s">
        <v>249</v>
      </c>
      <c r="L8334">
        <v>4</v>
      </c>
      <c r="M8334" t="s">
        <v>28902</v>
      </c>
      <c r="N8334" t="s">
        <v>1478</v>
      </c>
      <c r="O8334" t="s">
        <v>46</v>
      </c>
      <c r="P8334" t="s">
        <v>46</v>
      </c>
      <c r="Y8334" t="s">
        <v>28903</v>
      </c>
    </row>
    <row r="8335" spans="1:25">
      <c r="A8335" t="s">
        <v>28904</v>
      </c>
      <c r="B8335" t="s">
        <v>28905</v>
      </c>
      <c r="D8335" t="s">
        <v>40</v>
      </c>
      <c r="E8335" t="s">
        <v>41</v>
      </c>
      <c r="J8335" t="s">
        <v>248</v>
      </c>
      <c r="K8335" t="s">
        <v>249</v>
      </c>
      <c r="L8335">
        <v>4</v>
      </c>
      <c r="M8335" t="s">
        <v>28906</v>
      </c>
      <c r="N8335" t="s">
        <v>1229</v>
      </c>
      <c r="O8335" t="s">
        <v>46</v>
      </c>
      <c r="P8335" t="s">
        <v>46</v>
      </c>
      <c r="Y8335" t="s">
        <v>28907</v>
      </c>
    </row>
    <row r="8336" spans="1:25">
      <c r="A8336" t="s">
        <v>28908</v>
      </c>
      <c r="B8336" t="s">
        <v>28909</v>
      </c>
      <c r="D8336" t="s">
        <v>40</v>
      </c>
      <c r="E8336" t="s">
        <v>41</v>
      </c>
      <c r="J8336" t="s">
        <v>1142</v>
      </c>
      <c r="K8336" t="s">
        <v>1143</v>
      </c>
      <c r="L8336">
        <v>3</v>
      </c>
      <c r="M8336" t="s">
        <v>28910</v>
      </c>
      <c r="N8336" t="s">
        <v>509</v>
      </c>
      <c r="O8336" t="s">
        <v>46</v>
      </c>
      <c r="P8336" t="s">
        <v>46</v>
      </c>
      <c r="Y8336" t="s">
        <v>28911</v>
      </c>
    </row>
    <row r="8337" spans="1:25">
      <c r="A8337" t="s">
        <v>28912</v>
      </c>
      <c r="B8337" t="s">
        <v>28913</v>
      </c>
      <c r="D8337" t="s">
        <v>40</v>
      </c>
      <c r="E8337" t="s">
        <v>41</v>
      </c>
      <c r="J8337" t="s">
        <v>248</v>
      </c>
      <c r="K8337" t="s">
        <v>249</v>
      </c>
      <c r="L8337">
        <v>4</v>
      </c>
      <c r="M8337" t="s">
        <v>28914</v>
      </c>
      <c r="N8337" t="s">
        <v>350</v>
      </c>
      <c r="O8337" t="s">
        <v>46</v>
      </c>
      <c r="P8337" t="s">
        <v>46</v>
      </c>
      <c r="Y8337" t="s">
        <v>28915</v>
      </c>
    </row>
    <row r="8338" spans="1:25">
      <c r="A8338" t="s">
        <v>28916</v>
      </c>
      <c r="B8338" t="s">
        <v>28917</v>
      </c>
      <c r="D8338" t="s">
        <v>40</v>
      </c>
      <c r="E8338" t="s">
        <v>41</v>
      </c>
      <c r="J8338" t="s">
        <v>248</v>
      </c>
      <c r="K8338" t="s">
        <v>249</v>
      </c>
      <c r="L8338">
        <v>4</v>
      </c>
      <c r="M8338" t="s">
        <v>28918</v>
      </c>
      <c r="N8338" t="s">
        <v>53</v>
      </c>
      <c r="O8338" t="s">
        <v>46</v>
      </c>
      <c r="P8338" t="s">
        <v>46</v>
      </c>
      <c r="Y8338" t="s">
        <v>28919</v>
      </c>
    </row>
    <row r="8339" spans="1:25">
      <c r="A8339" t="s">
        <v>28920</v>
      </c>
      <c r="B8339" t="s">
        <v>28921</v>
      </c>
      <c r="D8339" t="s">
        <v>40</v>
      </c>
      <c r="E8339" t="s">
        <v>41</v>
      </c>
      <c r="J8339" t="s">
        <v>139</v>
      </c>
      <c r="K8339" t="s">
        <v>140</v>
      </c>
      <c r="L8339">
        <v>4</v>
      </c>
      <c r="M8339" t="s">
        <v>28922</v>
      </c>
      <c r="N8339" t="s">
        <v>436</v>
      </c>
      <c r="O8339" t="s">
        <v>46</v>
      </c>
      <c r="P8339" t="s">
        <v>46</v>
      </c>
      <c r="Y8339" t="s">
        <v>28923</v>
      </c>
    </row>
    <row r="8340" spans="1:25">
      <c r="A8340" t="s">
        <v>28924</v>
      </c>
      <c r="B8340" t="s">
        <v>28925</v>
      </c>
      <c r="D8340" t="s">
        <v>40</v>
      </c>
      <c r="E8340" t="s">
        <v>41</v>
      </c>
      <c r="J8340" t="s">
        <v>248</v>
      </c>
      <c r="K8340" t="s">
        <v>249</v>
      </c>
      <c r="L8340">
        <v>4</v>
      </c>
      <c r="M8340" t="s">
        <v>28922</v>
      </c>
      <c r="N8340" t="s">
        <v>1229</v>
      </c>
      <c r="O8340" t="s">
        <v>46</v>
      </c>
      <c r="P8340" t="s">
        <v>46</v>
      </c>
      <c r="Y8340" t="s">
        <v>28926</v>
      </c>
    </row>
    <row r="8341" spans="1:25">
      <c r="A8341" t="s">
        <v>28927</v>
      </c>
      <c r="B8341" t="s">
        <v>28928</v>
      </c>
      <c r="D8341" t="s">
        <v>40</v>
      </c>
      <c r="E8341" t="s">
        <v>41</v>
      </c>
      <c r="J8341" t="s">
        <v>1142</v>
      </c>
      <c r="K8341" t="s">
        <v>1143</v>
      </c>
      <c r="L8341">
        <v>5</v>
      </c>
      <c r="M8341" t="s">
        <v>28929</v>
      </c>
      <c r="N8341" t="s">
        <v>24240</v>
      </c>
      <c r="O8341" t="s">
        <v>46</v>
      </c>
      <c r="P8341" t="s">
        <v>46</v>
      </c>
      <c r="Y8341" t="s">
        <v>28930</v>
      </c>
    </row>
    <row r="8342" spans="1:25">
      <c r="A8342" t="s">
        <v>28931</v>
      </c>
      <c r="B8342" t="s">
        <v>28932</v>
      </c>
      <c r="D8342" t="s">
        <v>40</v>
      </c>
      <c r="E8342" t="s">
        <v>41</v>
      </c>
      <c r="J8342" t="s">
        <v>139</v>
      </c>
      <c r="K8342" t="s">
        <v>140</v>
      </c>
      <c r="L8342">
        <v>5</v>
      </c>
      <c r="M8342" t="s">
        <v>28929</v>
      </c>
      <c r="N8342" t="s">
        <v>310</v>
      </c>
      <c r="O8342" t="s">
        <v>46</v>
      </c>
      <c r="P8342" t="s">
        <v>46</v>
      </c>
      <c r="Y8342" t="s">
        <v>28933</v>
      </c>
    </row>
    <row r="8343" spans="1:25">
      <c r="A8343" t="s">
        <v>28934</v>
      </c>
      <c r="B8343" t="s">
        <v>28935</v>
      </c>
      <c r="D8343" t="s">
        <v>40</v>
      </c>
      <c r="E8343" t="s">
        <v>41</v>
      </c>
      <c r="J8343" t="s">
        <v>139</v>
      </c>
      <c r="K8343" t="s">
        <v>140</v>
      </c>
      <c r="L8343">
        <v>4</v>
      </c>
      <c r="M8343" t="s">
        <v>28936</v>
      </c>
      <c r="N8343" t="s">
        <v>28937</v>
      </c>
      <c r="O8343" t="s">
        <v>46</v>
      </c>
      <c r="P8343" t="s">
        <v>46</v>
      </c>
      <c r="Y8343" t="s">
        <v>28938</v>
      </c>
    </row>
    <row r="8344" spans="1:25">
      <c r="A8344" t="s">
        <v>28939</v>
      </c>
      <c r="B8344" t="s">
        <v>28940</v>
      </c>
      <c r="D8344" t="s">
        <v>40</v>
      </c>
      <c r="E8344" t="s">
        <v>41</v>
      </c>
      <c r="J8344" t="s">
        <v>1554</v>
      </c>
      <c r="K8344" t="s">
        <v>1555</v>
      </c>
      <c r="L8344">
        <v>4</v>
      </c>
      <c r="M8344" t="s">
        <v>28941</v>
      </c>
      <c r="N8344" t="s">
        <v>23374</v>
      </c>
      <c r="O8344" t="s">
        <v>46</v>
      </c>
      <c r="P8344" t="s">
        <v>46</v>
      </c>
      <c r="Y8344" t="s">
        <v>28942</v>
      </c>
    </row>
    <row r="8345" spans="1:25">
      <c r="A8345" t="s">
        <v>28943</v>
      </c>
      <c r="B8345" t="s">
        <v>28944</v>
      </c>
      <c r="D8345" t="s">
        <v>40</v>
      </c>
      <c r="E8345" t="s">
        <v>41</v>
      </c>
      <c r="J8345" t="s">
        <v>248</v>
      </c>
      <c r="K8345" t="s">
        <v>249</v>
      </c>
      <c r="L8345">
        <v>4</v>
      </c>
      <c r="M8345" t="s">
        <v>28945</v>
      </c>
      <c r="N8345" t="s">
        <v>178</v>
      </c>
      <c r="O8345" t="s">
        <v>46</v>
      </c>
      <c r="P8345" t="s">
        <v>46</v>
      </c>
      <c r="Y8345" t="s">
        <v>28946</v>
      </c>
    </row>
    <row r="8346" spans="1:25">
      <c r="A8346" t="s">
        <v>28947</v>
      </c>
      <c r="B8346" t="s">
        <v>28948</v>
      </c>
      <c r="D8346" t="s">
        <v>40</v>
      </c>
      <c r="E8346" t="s">
        <v>41</v>
      </c>
      <c r="J8346" t="s">
        <v>14558</v>
      </c>
      <c r="K8346" t="s">
        <v>14559</v>
      </c>
      <c r="L8346">
        <v>4</v>
      </c>
      <c r="M8346" t="s">
        <v>28945</v>
      </c>
      <c r="N8346" t="s">
        <v>1369</v>
      </c>
      <c r="O8346" t="s">
        <v>46</v>
      </c>
      <c r="P8346" t="s">
        <v>46</v>
      </c>
      <c r="Y8346" t="s">
        <v>28949</v>
      </c>
    </row>
    <row r="8347" spans="1:25">
      <c r="A8347" t="s">
        <v>28950</v>
      </c>
      <c r="B8347" t="s">
        <v>28951</v>
      </c>
      <c r="D8347" t="s">
        <v>40</v>
      </c>
      <c r="E8347" t="s">
        <v>41</v>
      </c>
      <c r="J8347" t="s">
        <v>248</v>
      </c>
      <c r="K8347" t="s">
        <v>249</v>
      </c>
      <c r="L8347">
        <v>3</v>
      </c>
      <c r="M8347" t="s">
        <v>28952</v>
      </c>
      <c r="N8347" t="s">
        <v>315</v>
      </c>
      <c r="O8347" t="s">
        <v>46</v>
      </c>
      <c r="P8347" t="s">
        <v>46</v>
      </c>
      <c r="Y8347" t="s">
        <v>28953</v>
      </c>
    </row>
    <row r="8348" spans="1:25">
      <c r="A8348" t="s">
        <v>28954</v>
      </c>
      <c r="B8348" t="s">
        <v>28955</v>
      </c>
      <c r="D8348" t="s">
        <v>40</v>
      </c>
      <c r="E8348" t="s">
        <v>41</v>
      </c>
      <c r="J8348" t="s">
        <v>1554</v>
      </c>
      <c r="K8348" t="s">
        <v>1555</v>
      </c>
      <c r="L8348">
        <v>3</v>
      </c>
      <c r="M8348" t="s">
        <v>28956</v>
      </c>
      <c r="N8348" t="s">
        <v>509</v>
      </c>
      <c r="O8348" t="s">
        <v>46</v>
      </c>
      <c r="P8348" t="s">
        <v>46</v>
      </c>
      <c r="Y8348" t="s">
        <v>28957</v>
      </c>
    </row>
    <row r="8349" spans="1:25">
      <c r="A8349" t="s">
        <v>28958</v>
      </c>
      <c r="B8349" t="s">
        <v>28959</v>
      </c>
      <c r="D8349" t="s">
        <v>40</v>
      </c>
      <c r="E8349" t="s">
        <v>41</v>
      </c>
      <c r="J8349" t="s">
        <v>248</v>
      </c>
      <c r="K8349" t="s">
        <v>249</v>
      </c>
      <c r="L8349">
        <v>4</v>
      </c>
      <c r="M8349" t="s">
        <v>28960</v>
      </c>
      <c r="N8349" t="s">
        <v>27228</v>
      </c>
      <c r="O8349" t="s">
        <v>46</v>
      </c>
      <c r="P8349" t="s">
        <v>46</v>
      </c>
      <c r="Y8349" t="s">
        <v>28961</v>
      </c>
    </row>
    <row r="8350" spans="1:25">
      <c r="A8350" t="s">
        <v>28962</v>
      </c>
      <c r="B8350" t="s">
        <v>28963</v>
      </c>
      <c r="D8350" t="s">
        <v>40</v>
      </c>
      <c r="E8350" t="s">
        <v>41</v>
      </c>
      <c r="J8350" t="s">
        <v>248</v>
      </c>
      <c r="K8350" t="s">
        <v>249</v>
      </c>
      <c r="L8350">
        <v>3</v>
      </c>
      <c r="M8350" t="s">
        <v>28964</v>
      </c>
      <c r="N8350" t="s">
        <v>1446</v>
      </c>
      <c r="O8350" t="s">
        <v>46</v>
      </c>
      <c r="P8350" t="s">
        <v>46</v>
      </c>
      <c r="Y8350" t="s">
        <v>28965</v>
      </c>
    </row>
    <row r="8351" spans="1:25">
      <c r="A8351" t="s">
        <v>28966</v>
      </c>
      <c r="B8351" t="s">
        <v>28967</v>
      </c>
      <c r="D8351" t="s">
        <v>40</v>
      </c>
      <c r="E8351" t="s">
        <v>41</v>
      </c>
      <c r="J8351" t="s">
        <v>248</v>
      </c>
      <c r="K8351" t="s">
        <v>249</v>
      </c>
      <c r="L8351">
        <v>4</v>
      </c>
      <c r="M8351" t="s">
        <v>28968</v>
      </c>
      <c r="N8351" t="s">
        <v>1478</v>
      </c>
      <c r="O8351" t="s">
        <v>46</v>
      </c>
      <c r="P8351" t="s">
        <v>46</v>
      </c>
      <c r="Y8351" t="s">
        <v>28969</v>
      </c>
    </row>
    <row r="8352" spans="1:25">
      <c r="A8352" t="s">
        <v>28970</v>
      </c>
      <c r="B8352" t="s">
        <v>28971</v>
      </c>
      <c r="D8352" t="s">
        <v>40</v>
      </c>
      <c r="E8352" t="s">
        <v>41</v>
      </c>
      <c r="J8352" t="s">
        <v>1142</v>
      </c>
      <c r="K8352" t="s">
        <v>1143</v>
      </c>
      <c r="L8352">
        <v>4</v>
      </c>
      <c r="M8352" t="s">
        <v>28972</v>
      </c>
      <c r="N8352" t="s">
        <v>257</v>
      </c>
      <c r="O8352" t="s">
        <v>46</v>
      </c>
      <c r="P8352" t="s">
        <v>46</v>
      </c>
      <c r="Y8352" t="s">
        <v>28973</v>
      </c>
    </row>
    <row r="8353" spans="1:25">
      <c r="A8353" t="s">
        <v>28974</v>
      </c>
      <c r="B8353" t="s">
        <v>28975</v>
      </c>
      <c r="D8353" t="s">
        <v>40</v>
      </c>
      <c r="E8353" t="s">
        <v>41</v>
      </c>
      <c r="J8353" t="s">
        <v>921</v>
      </c>
      <c r="K8353" t="s">
        <v>922</v>
      </c>
      <c r="L8353">
        <v>6</v>
      </c>
      <c r="M8353" t="s">
        <v>28976</v>
      </c>
      <c r="N8353" t="s">
        <v>1392</v>
      </c>
      <c r="O8353" t="s">
        <v>46</v>
      </c>
      <c r="P8353" t="s">
        <v>46</v>
      </c>
      <c r="Y8353" t="s">
        <v>28977</v>
      </c>
    </row>
    <row r="8354" spans="1:25">
      <c r="A8354" t="s">
        <v>28978</v>
      </c>
      <c r="B8354" t="s">
        <v>28979</v>
      </c>
      <c r="D8354" t="s">
        <v>40</v>
      </c>
      <c r="E8354" t="s">
        <v>41</v>
      </c>
      <c r="J8354" t="s">
        <v>248</v>
      </c>
      <c r="K8354" t="s">
        <v>249</v>
      </c>
      <c r="L8354">
        <v>4</v>
      </c>
      <c r="M8354" t="s">
        <v>28980</v>
      </c>
      <c r="N8354" t="s">
        <v>1397</v>
      </c>
      <c r="O8354" t="s">
        <v>46</v>
      </c>
      <c r="P8354" t="s">
        <v>46</v>
      </c>
      <c r="Y8354" t="s">
        <v>28981</v>
      </c>
    </row>
    <row r="8355" spans="1:25">
      <c r="A8355" t="s">
        <v>28982</v>
      </c>
      <c r="B8355" t="s">
        <v>28983</v>
      </c>
      <c r="D8355" t="s">
        <v>40</v>
      </c>
      <c r="E8355" t="s">
        <v>41</v>
      </c>
      <c r="J8355" t="s">
        <v>921</v>
      </c>
      <c r="K8355" t="s">
        <v>922</v>
      </c>
      <c r="L8355">
        <v>5</v>
      </c>
      <c r="M8355" t="s">
        <v>28984</v>
      </c>
      <c r="N8355" t="s">
        <v>3013</v>
      </c>
      <c r="O8355" t="s">
        <v>46</v>
      </c>
      <c r="P8355" t="s">
        <v>46</v>
      </c>
      <c r="Y8355" t="s">
        <v>28985</v>
      </c>
    </row>
    <row r="8356" spans="1:25">
      <c r="A8356" t="s">
        <v>28986</v>
      </c>
      <c r="B8356" t="s">
        <v>28987</v>
      </c>
      <c r="D8356" t="s">
        <v>40</v>
      </c>
      <c r="E8356" t="s">
        <v>41</v>
      </c>
      <c r="J8356" t="s">
        <v>139</v>
      </c>
      <c r="K8356" t="s">
        <v>140</v>
      </c>
      <c r="L8356">
        <v>5</v>
      </c>
      <c r="M8356" t="s">
        <v>28988</v>
      </c>
      <c r="N8356" t="s">
        <v>310</v>
      </c>
      <c r="O8356" t="s">
        <v>46</v>
      </c>
      <c r="P8356" t="s">
        <v>46</v>
      </c>
      <c r="Y8356" t="s">
        <v>28989</v>
      </c>
    </row>
    <row r="8357" spans="1:25">
      <c r="A8357" t="s">
        <v>28990</v>
      </c>
      <c r="B8357" t="s">
        <v>28991</v>
      </c>
      <c r="D8357" t="s">
        <v>40</v>
      </c>
      <c r="E8357" t="s">
        <v>41</v>
      </c>
      <c r="J8357" t="s">
        <v>1142</v>
      </c>
      <c r="K8357" t="s">
        <v>1143</v>
      </c>
      <c r="L8357">
        <v>4</v>
      </c>
      <c r="M8357" t="s">
        <v>28992</v>
      </c>
      <c r="N8357" t="s">
        <v>1369</v>
      </c>
      <c r="O8357" t="s">
        <v>46</v>
      </c>
      <c r="P8357" t="s">
        <v>46</v>
      </c>
      <c r="Y8357" t="s">
        <v>28993</v>
      </c>
    </row>
    <row r="8358" spans="1:25">
      <c r="A8358" t="s">
        <v>28994</v>
      </c>
      <c r="B8358" t="s">
        <v>28995</v>
      </c>
      <c r="D8358" t="s">
        <v>40</v>
      </c>
      <c r="E8358" t="s">
        <v>41</v>
      </c>
      <c r="J8358" t="s">
        <v>139</v>
      </c>
      <c r="K8358" t="s">
        <v>140</v>
      </c>
      <c r="L8358">
        <v>4</v>
      </c>
      <c r="M8358" t="s">
        <v>28996</v>
      </c>
      <c r="N8358" t="s">
        <v>1550</v>
      </c>
      <c r="O8358" t="s">
        <v>46</v>
      </c>
      <c r="P8358" t="s">
        <v>46</v>
      </c>
      <c r="Y8358" t="s">
        <v>28997</v>
      </c>
    </row>
    <row r="8359" spans="1:25">
      <c r="A8359" t="s">
        <v>28998</v>
      </c>
      <c r="B8359" t="s">
        <v>28999</v>
      </c>
      <c r="D8359" t="s">
        <v>40</v>
      </c>
      <c r="E8359" t="s">
        <v>41</v>
      </c>
      <c r="J8359" t="s">
        <v>9159</v>
      </c>
      <c r="K8359" t="s">
        <v>9160</v>
      </c>
      <c r="L8359">
        <v>4</v>
      </c>
      <c r="M8359" t="s">
        <v>29000</v>
      </c>
      <c r="N8359" t="s">
        <v>24387</v>
      </c>
      <c r="O8359" t="s">
        <v>46</v>
      </c>
      <c r="P8359" t="s">
        <v>46</v>
      </c>
      <c r="Y8359" t="s">
        <v>29001</v>
      </c>
    </row>
    <row r="8360" spans="1:25">
      <c r="A8360" t="s">
        <v>29002</v>
      </c>
      <c r="B8360" t="s">
        <v>29003</v>
      </c>
      <c r="D8360" t="s">
        <v>40</v>
      </c>
      <c r="E8360" t="s">
        <v>41</v>
      </c>
      <c r="J8360" t="s">
        <v>248</v>
      </c>
      <c r="K8360" t="s">
        <v>249</v>
      </c>
      <c r="L8360">
        <v>4</v>
      </c>
      <c r="M8360" t="s">
        <v>29004</v>
      </c>
      <c r="N8360" t="s">
        <v>1397</v>
      </c>
      <c r="O8360" t="s">
        <v>46</v>
      </c>
      <c r="P8360" t="s">
        <v>46</v>
      </c>
      <c r="Y8360" t="s">
        <v>29005</v>
      </c>
    </row>
    <row r="8361" spans="1:25">
      <c r="A8361" t="s">
        <v>29006</v>
      </c>
      <c r="B8361" t="s">
        <v>29007</v>
      </c>
      <c r="D8361" t="s">
        <v>40</v>
      </c>
      <c r="E8361" t="s">
        <v>41</v>
      </c>
      <c r="J8361" t="s">
        <v>139</v>
      </c>
      <c r="K8361" t="s">
        <v>140</v>
      </c>
      <c r="L8361">
        <v>4</v>
      </c>
      <c r="M8361" t="s">
        <v>29008</v>
      </c>
      <c r="N8361" t="s">
        <v>950</v>
      </c>
      <c r="O8361" t="s">
        <v>46</v>
      </c>
      <c r="P8361" t="s">
        <v>46</v>
      </c>
      <c r="Y8361" t="s">
        <v>29009</v>
      </c>
    </row>
    <row r="8362" spans="1:25">
      <c r="A8362" t="s">
        <v>29010</v>
      </c>
      <c r="B8362" t="s">
        <v>29011</v>
      </c>
      <c r="D8362" t="s">
        <v>40</v>
      </c>
      <c r="E8362" t="s">
        <v>41</v>
      </c>
      <c r="J8362" t="s">
        <v>1554</v>
      </c>
      <c r="K8362" t="s">
        <v>1555</v>
      </c>
      <c r="L8362">
        <v>4</v>
      </c>
      <c r="M8362" t="s">
        <v>29012</v>
      </c>
      <c r="N8362" t="s">
        <v>350</v>
      </c>
      <c r="O8362" t="s">
        <v>46</v>
      </c>
      <c r="P8362" t="s">
        <v>46</v>
      </c>
      <c r="Y8362" t="s">
        <v>29013</v>
      </c>
    </row>
    <row r="8363" spans="1:25">
      <c r="A8363" t="s">
        <v>29014</v>
      </c>
      <c r="B8363" t="s">
        <v>29015</v>
      </c>
      <c r="D8363" t="s">
        <v>40</v>
      </c>
      <c r="E8363" t="s">
        <v>41</v>
      </c>
      <c r="J8363" t="s">
        <v>248</v>
      </c>
      <c r="K8363" t="s">
        <v>249</v>
      </c>
      <c r="L8363">
        <v>4</v>
      </c>
      <c r="M8363" t="s">
        <v>29016</v>
      </c>
      <c r="N8363" t="s">
        <v>617</v>
      </c>
      <c r="O8363" t="s">
        <v>46</v>
      </c>
      <c r="P8363" t="s">
        <v>46</v>
      </c>
      <c r="Y8363" t="s">
        <v>29017</v>
      </c>
    </row>
    <row r="8364" spans="1:25">
      <c r="A8364" t="s">
        <v>29018</v>
      </c>
      <c r="B8364" t="s">
        <v>29019</v>
      </c>
      <c r="D8364" t="s">
        <v>40</v>
      </c>
      <c r="E8364" t="s">
        <v>41</v>
      </c>
      <c r="J8364" t="s">
        <v>11802</v>
      </c>
      <c r="K8364" t="s">
        <v>11803</v>
      </c>
      <c r="L8364">
        <v>4</v>
      </c>
      <c r="M8364" t="s">
        <v>29020</v>
      </c>
      <c r="N8364" t="s">
        <v>178</v>
      </c>
      <c r="O8364" t="s">
        <v>46</v>
      </c>
      <c r="P8364" t="s">
        <v>46</v>
      </c>
      <c r="Y8364" t="s">
        <v>29021</v>
      </c>
    </row>
    <row r="8365" spans="1:25">
      <c r="A8365" t="s">
        <v>29022</v>
      </c>
      <c r="B8365" t="s">
        <v>29023</v>
      </c>
      <c r="D8365" t="s">
        <v>40</v>
      </c>
      <c r="E8365" t="s">
        <v>41</v>
      </c>
      <c r="J8365" t="s">
        <v>248</v>
      </c>
      <c r="K8365" t="s">
        <v>249</v>
      </c>
      <c r="L8365">
        <v>4</v>
      </c>
      <c r="M8365" t="s">
        <v>29024</v>
      </c>
      <c r="N8365" t="s">
        <v>29025</v>
      </c>
      <c r="O8365" t="s">
        <v>46</v>
      </c>
      <c r="P8365" t="s">
        <v>46</v>
      </c>
      <c r="Y8365" t="s">
        <v>29026</v>
      </c>
    </row>
    <row r="8366" spans="1:25">
      <c r="A8366" t="s">
        <v>29027</v>
      </c>
      <c r="B8366" t="s">
        <v>29028</v>
      </c>
      <c r="D8366" t="s">
        <v>40</v>
      </c>
      <c r="E8366" t="s">
        <v>41</v>
      </c>
      <c r="J8366" t="s">
        <v>248</v>
      </c>
      <c r="K8366" t="s">
        <v>249</v>
      </c>
      <c r="L8366">
        <v>4</v>
      </c>
      <c r="M8366" t="s">
        <v>29029</v>
      </c>
      <c r="N8366" t="s">
        <v>1380</v>
      </c>
      <c r="O8366" t="s">
        <v>46</v>
      </c>
      <c r="P8366" t="s">
        <v>46</v>
      </c>
      <c r="Y8366" t="s">
        <v>29030</v>
      </c>
    </row>
    <row r="8367" spans="1:25">
      <c r="A8367" t="s">
        <v>29031</v>
      </c>
      <c r="B8367" t="s">
        <v>29032</v>
      </c>
      <c r="D8367" t="s">
        <v>40</v>
      </c>
      <c r="E8367" t="s">
        <v>41</v>
      </c>
      <c r="J8367" t="s">
        <v>599</v>
      </c>
      <c r="K8367" t="s">
        <v>600</v>
      </c>
      <c r="L8367">
        <v>4</v>
      </c>
      <c r="M8367" t="s">
        <v>29033</v>
      </c>
      <c r="N8367" t="s">
        <v>58</v>
      </c>
      <c r="O8367" t="s">
        <v>46</v>
      </c>
      <c r="P8367" t="s">
        <v>46</v>
      </c>
      <c r="Y8367" t="s">
        <v>29034</v>
      </c>
    </row>
    <row r="8368" spans="1:25">
      <c r="A8368" t="s">
        <v>29035</v>
      </c>
      <c r="B8368" t="s">
        <v>29036</v>
      </c>
      <c r="D8368" t="s">
        <v>40</v>
      </c>
      <c r="E8368" t="s">
        <v>41</v>
      </c>
      <c r="J8368" t="s">
        <v>1142</v>
      </c>
      <c r="K8368" t="s">
        <v>1143</v>
      </c>
      <c r="L8368">
        <v>3</v>
      </c>
      <c r="M8368" t="s">
        <v>29037</v>
      </c>
      <c r="N8368" t="s">
        <v>756</v>
      </c>
      <c r="O8368" t="s">
        <v>46</v>
      </c>
      <c r="P8368" t="s">
        <v>46</v>
      </c>
      <c r="Y8368" t="s">
        <v>29038</v>
      </c>
    </row>
    <row r="8369" spans="1:25">
      <c r="A8369" t="s">
        <v>29039</v>
      </c>
      <c r="B8369" t="s">
        <v>29040</v>
      </c>
      <c r="D8369" t="s">
        <v>40</v>
      </c>
      <c r="E8369" t="s">
        <v>41</v>
      </c>
      <c r="J8369" t="s">
        <v>248</v>
      </c>
      <c r="K8369" t="s">
        <v>249</v>
      </c>
      <c r="L8369">
        <v>4</v>
      </c>
      <c r="M8369" t="s">
        <v>29041</v>
      </c>
      <c r="N8369" t="s">
        <v>266</v>
      </c>
      <c r="O8369" t="s">
        <v>46</v>
      </c>
      <c r="P8369" t="s">
        <v>46</v>
      </c>
      <c r="Y8369" t="s">
        <v>29042</v>
      </c>
    </row>
    <row r="8370" spans="1:25">
      <c r="A8370" t="s">
        <v>29043</v>
      </c>
      <c r="B8370" t="s">
        <v>29044</v>
      </c>
      <c r="D8370" t="s">
        <v>40</v>
      </c>
      <c r="E8370" t="s">
        <v>41</v>
      </c>
      <c r="J8370" t="s">
        <v>14558</v>
      </c>
      <c r="K8370" t="s">
        <v>14559</v>
      </c>
      <c r="L8370">
        <v>4</v>
      </c>
      <c r="M8370" t="s">
        <v>29045</v>
      </c>
      <c r="N8370" t="s">
        <v>350</v>
      </c>
      <c r="O8370" t="s">
        <v>46</v>
      </c>
      <c r="P8370" t="s">
        <v>46</v>
      </c>
      <c r="Y8370" t="s">
        <v>29046</v>
      </c>
    </row>
    <row r="8371" spans="1:25">
      <c r="A8371" t="s">
        <v>29047</v>
      </c>
      <c r="B8371" t="s">
        <v>29048</v>
      </c>
      <c r="D8371" t="s">
        <v>40</v>
      </c>
      <c r="E8371" t="s">
        <v>41</v>
      </c>
      <c r="J8371" t="s">
        <v>12440</v>
      </c>
      <c r="K8371" t="s">
        <v>12441</v>
      </c>
      <c r="L8371">
        <v>5</v>
      </c>
      <c r="M8371" t="s">
        <v>29049</v>
      </c>
      <c r="N8371" t="s">
        <v>1344</v>
      </c>
      <c r="O8371" t="s">
        <v>46</v>
      </c>
      <c r="P8371" t="s">
        <v>46</v>
      </c>
      <c r="Y8371" t="s">
        <v>29050</v>
      </c>
    </row>
    <row r="8372" spans="1:25">
      <c r="A8372" t="s">
        <v>29051</v>
      </c>
      <c r="B8372" t="s">
        <v>29052</v>
      </c>
      <c r="D8372" t="s">
        <v>40</v>
      </c>
      <c r="E8372" t="s">
        <v>41</v>
      </c>
      <c r="J8372" t="s">
        <v>12440</v>
      </c>
      <c r="K8372" t="s">
        <v>12441</v>
      </c>
      <c r="L8372">
        <v>5</v>
      </c>
      <c r="M8372" t="s">
        <v>29053</v>
      </c>
      <c r="N8372" t="s">
        <v>64</v>
      </c>
      <c r="O8372" t="s">
        <v>46</v>
      </c>
      <c r="P8372" t="s">
        <v>46</v>
      </c>
      <c r="Y8372" t="s">
        <v>29054</v>
      </c>
    </row>
    <row r="8373" spans="1:25">
      <c r="A8373" t="s">
        <v>29055</v>
      </c>
      <c r="B8373" t="s">
        <v>29056</v>
      </c>
      <c r="D8373" t="s">
        <v>40</v>
      </c>
      <c r="E8373" t="s">
        <v>41</v>
      </c>
      <c r="J8373" t="s">
        <v>1554</v>
      </c>
      <c r="K8373" t="s">
        <v>1555</v>
      </c>
      <c r="L8373">
        <v>4</v>
      </c>
      <c r="M8373" t="s">
        <v>29057</v>
      </c>
      <c r="N8373" t="s">
        <v>24227</v>
      </c>
      <c r="O8373" t="s">
        <v>46</v>
      </c>
      <c r="P8373" t="s">
        <v>46</v>
      </c>
      <c r="Y8373" t="s">
        <v>29058</v>
      </c>
    </row>
    <row r="8374" spans="1:25">
      <c r="A8374" t="s">
        <v>29059</v>
      </c>
      <c r="B8374" t="s">
        <v>29060</v>
      </c>
      <c r="D8374" t="s">
        <v>40</v>
      </c>
      <c r="E8374" t="s">
        <v>41</v>
      </c>
      <c r="J8374" t="s">
        <v>921</v>
      </c>
      <c r="K8374" t="s">
        <v>922</v>
      </c>
      <c r="L8374">
        <v>4</v>
      </c>
      <c r="M8374" t="s">
        <v>29061</v>
      </c>
      <c r="N8374" t="s">
        <v>25508</v>
      </c>
      <c r="O8374" t="s">
        <v>46</v>
      </c>
      <c r="P8374" t="s">
        <v>46</v>
      </c>
      <c r="Y8374" t="s">
        <v>29062</v>
      </c>
    </row>
    <row r="8375" spans="1:25">
      <c r="A8375" t="s">
        <v>29063</v>
      </c>
      <c r="B8375" t="s">
        <v>29064</v>
      </c>
      <c r="D8375" t="s">
        <v>40</v>
      </c>
      <c r="E8375" t="s">
        <v>41</v>
      </c>
      <c r="J8375" t="s">
        <v>12440</v>
      </c>
      <c r="K8375" t="s">
        <v>12441</v>
      </c>
      <c r="L8375">
        <v>5</v>
      </c>
      <c r="M8375" t="s">
        <v>29065</v>
      </c>
      <c r="N8375" t="s">
        <v>64</v>
      </c>
      <c r="O8375" t="s">
        <v>46</v>
      </c>
      <c r="P8375" t="s">
        <v>46</v>
      </c>
      <c r="Y8375" t="s">
        <v>29066</v>
      </c>
    </row>
    <row r="8376" spans="1:25">
      <c r="A8376" t="s">
        <v>29067</v>
      </c>
      <c r="B8376" t="s">
        <v>29068</v>
      </c>
      <c r="D8376" t="s">
        <v>40</v>
      </c>
      <c r="E8376" t="s">
        <v>41</v>
      </c>
      <c r="J8376" t="s">
        <v>139</v>
      </c>
      <c r="K8376" t="s">
        <v>140</v>
      </c>
      <c r="L8376">
        <v>4</v>
      </c>
      <c r="M8376" t="s">
        <v>29069</v>
      </c>
      <c r="N8376" t="s">
        <v>1478</v>
      </c>
      <c r="O8376" t="s">
        <v>46</v>
      </c>
      <c r="P8376" t="s">
        <v>46</v>
      </c>
      <c r="Y8376" t="s">
        <v>29070</v>
      </c>
    </row>
    <row r="8377" spans="1:25">
      <c r="A8377" t="s">
        <v>29071</v>
      </c>
      <c r="B8377" t="s">
        <v>29072</v>
      </c>
      <c r="D8377" t="s">
        <v>40</v>
      </c>
      <c r="E8377" t="s">
        <v>41</v>
      </c>
      <c r="J8377" t="s">
        <v>248</v>
      </c>
      <c r="K8377" t="s">
        <v>249</v>
      </c>
      <c r="L8377">
        <v>4</v>
      </c>
      <c r="M8377" t="s">
        <v>29073</v>
      </c>
      <c r="N8377" t="s">
        <v>58</v>
      </c>
      <c r="O8377" t="s">
        <v>46</v>
      </c>
      <c r="P8377" t="s">
        <v>46</v>
      </c>
      <c r="Y8377" t="s">
        <v>29074</v>
      </c>
    </row>
    <row r="8378" spans="1:25">
      <c r="A8378" t="s">
        <v>29075</v>
      </c>
      <c r="B8378" t="s">
        <v>29076</v>
      </c>
      <c r="D8378" t="s">
        <v>40</v>
      </c>
      <c r="E8378" t="s">
        <v>41</v>
      </c>
      <c r="J8378" t="s">
        <v>1142</v>
      </c>
      <c r="K8378" t="s">
        <v>1143</v>
      </c>
      <c r="L8378">
        <v>4</v>
      </c>
      <c r="M8378" t="s">
        <v>29077</v>
      </c>
      <c r="N8378" t="s">
        <v>178</v>
      </c>
      <c r="O8378" t="s">
        <v>46</v>
      </c>
      <c r="P8378" t="s">
        <v>46</v>
      </c>
      <c r="Y8378" t="s">
        <v>29078</v>
      </c>
    </row>
    <row r="8379" spans="1:25">
      <c r="A8379" t="s">
        <v>29079</v>
      </c>
      <c r="B8379" t="s">
        <v>29080</v>
      </c>
      <c r="D8379" t="s">
        <v>40</v>
      </c>
      <c r="E8379" t="s">
        <v>41</v>
      </c>
      <c r="J8379" t="s">
        <v>12440</v>
      </c>
      <c r="K8379" t="s">
        <v>12441</v>
      </c>
      <c r="L8379">
        <v>5</v>
      </c>
      <c r="M8379" t="s">
        <v>29081</v>
      </c>
      <c r="N8379" t="s">
        <v>64</v>
      </c>
      <c r="O8379" t="s">
        <v>46</v>
      </c>
      <c r="P8379" t="s">
        <v>46</v>
      </c>
      <c r="Y8379" t="s">
        <v>29082</v>
      </c>
    </row>
    <row r="8380" spans="1:25">
      <c r="A8380" t="s">
        <v>29083</v>
      </c>
      <c r="B8380" t="s">
        <v>29084</v>
      </c>
      <c r="D8380" t="s">
        <v>40</v>
      </c>
      <c r="E8380" t="s">
        <v>41</v>
      </c>
      <c r="J8380" t="s">
        <v>1142</v>
      </c>
      <c r="K8380" t="s">
        <v>1143</v>
      </c>
      <c r="L8380">
        <v>4</v>
      </c>
      <c r="M8380" t="s">
        <v>29085</v>
      </c>
      <c r="N8380" t="s">
        <v>4037</v>
      </c>
      <c r="O8380" t="s">
        <v>46</v>
      </c>
      <c r="P8380" t="s">
        <v>46</v>
      </c>
      <c r="Y8380" t="s">
        <v>29086</v>
      </c>
    </row>
    <row r="8381" spans="1:25">
      <c r="A8381" t="s">
        <v>29087</v>
      </c>
      <c r="B8381" t="s">
        <v>29088</v>
      </c>
      <c r="D8381" t="s">
        <v>40</v>
      </c>
      <c r="E8381" t="s">
        <v>41</v>
      </c>
      <c r="J8381" t="s">
        <v>12440</v>
      </c>
      <c r="K8381" t="s">
        <v>12441</v>
      </c>
      <c r="L8381">
        <v>5</v>
      </c>
      <c r="M8381" t="s">
        <v>29089</v>
      </c>
      <c r="N8381" t="s">
        <v>64</v>
      </c>
      <c r="O8381" t="s">
        <v>46</v>
      </c>
      <c r="P8381" t="s">
        <v>46</v>
      </c>
      <c r="Y8381" t="s">
        <v>29090</v>
      </c>
    </row>
    <row r="8382" spans="1:25">
      <c r="A8382" t="s">
        <v>29091</v>
      </c>
      <c r="B8382" t="s">
        <v>29092</v>
      </c>
      <c r="D8382" t="s">
        <v>40</v>
      </c>
      <c r="E8382" t="s">
        <v>41</v>
      </c>
      <c r="J8382" t="s">
        <v>1142</v>
      </c>
      <c r="K8382" t="s">
        <v>1143</v>
      </c>
      <c r="L8382">
        <v>4</v>
      </c>
      <c r="M8382" t="s">
        <v>29093</v>
      </c>
      <c r="N8382" t="s">
        <v>142</v>
      </c>
      <c r="O8382" t="s">
        <v>46</v>
      </c>
      <c r="P8382" t="s">
        <v>46</v>
      </c>
      <c r="Y8382" t="s">
        <v>29094</v>
      </c>
    </row>
    <row r="8383" spans="1:25">
      <c r="A8383" t="s">
        <v>29095</v>
      </c>
      <c r="B8383" t="s">
        <v>29096</v>
      </c>
      <c r="D8383" t="s">
        <v>40</v>
      </c>
      <c r="E8383" t="s">
        <v>41</v>
      </c>
      <c r="J8383" t="s">
        <v>599</v>
      </c>
      <c r="K8383" t="s">
        <v>600</v>
      </c>
      <c r="L8383">
        <v>4</v>
      </c>
      <c r="M8383" t="s">
        <v>29093</v>
      </c>
      <c r="N8383" t="s">
        <v>53</v>
      </c>
      <c r="O8383" t="s">
        <v>46</v>
      </c>
      <c r="P8383" t="s">
        <v>46</v>
      </c>
      <c r="Y8383" t="s">
        <v>29097</v>
      </c>
    </row>
    <row r="8384" spans="1:25">
      <c r="A8384" t="s">
        <v>29098</v>
      </c>
      <c r="B8384" t="s">
        <v>29099</v>
      </c>
      <c r="D8384" t="s">
        <v>40</v>
      </c>
      <c r="E8384" t="s">
        <v>41</v>
      </c>
      <c r="J8384" t="s">
        <v>248</v>
      </c>
      <c r="K8384" t="s">
        <v>249</v>
      </c>
      <c r="L8384">
        <v>4</v>
      </c>
      <c r="M8384" t="s">
        <v>29100</v>
      </c>
      <c r="N8384" t="s">
        <v>1550</v>
      </c>
      <c r="O8384" t="s">
        <v>46</v>
      </c>
      <c r="P8384" t="s">
        <v>46</v>
      </c>
      <c r="Y8384" t="s">
        <v>29101</v>
      </c>
    </row>
    <row r="8385" spans="1:25">
      <c r="A8385" t="s">
        <v>29102</v>
      </c>
      <c r="B8385" t="s">
        <v>29103</v>
      </c>
      <c r="D8385" t="s">
        <v>40</v>
      </c>
      <c r="E8385" t="s">
        <v>41</v>
      </c>
      <c r="J8385" t="s">
        <v>12440</v>
      </c>
      <c r="K8385" t="s">
        <v>12441</v>
      </c>
      <c r="L8385">
        <v>5</v>
      </c>
      <c r="M8385" t="s">
        <v>29104</v>
      </c>
      <c r="N8385" t="s">
        <v>64</v>
      </c>
      <c r="O8385" t="s">
        <v>46</v>
      </c>
      <c r="P8385" t="s">
        <v>46</v>
      </c>
      <c r="Y8385" t="s">
        <v>29105</v>
      </c>
    </row>
    <row r="8386" spans="1:25">
      <c r="A8386" t="s">
        <v>29106</v>
      </c>
      <c r="B8386" t="s">
        <v>29107</v>
      </c>
      <c r="D8386" t="s">
        <v>40</v>
      </c>
      <c r="E8386" t="s">
        <v>41</v>
      </c>
      <c r="J8386" t="s">
        <v>139</v>
      </c>
      <c r="K8386" t="s">
        <v>140</v>
      </c>
      <c r="L8386">
        <v>3</v>
      </c>
      <c r="M8386" t="s">
        <v>29108</v>
      </c>
      <c r="N8386" t="s">
        <v>1446</v>
      </c>
      <c r="O8386" t="s">
        <v>46</v>
      </c>
      <c r="P8386" t="s">
        <v>46</v>
      </c>
      <c r="Y8386" t="s">
        <v>29109</v>
      </c>
    </row>
    <row r="8387" spans="1:25">
      <c r="A8387" t="s">
        <v>29110</v>
      </c>
      <c r="B8387" t="s">
        <v>29111</v>
      </c>
      <c r="D8387" t="s">
        <v>40</v>
      </c>
      <c r="E8387" t="s">
        <v>41</v>
      </c>
      <c r="J8387" t="s">
        <v>1554</v>
      </c>
      <c r="K8387" t="s">
        <v>1555</v>
      </c>
      <c r="L8387">
        <v>4</v>
      </c>
      <c r="M8387" t="s">
        <v>29112</v>
      </c>
      <c r="N8387" t="s">
        <v>29025</v>
      </c>
      <c r="O8387" t="s">
        <v>46</v>
      </c>
      <c r="P8387" t="s">
        <v>46</v>
      </c>
      <c r="Y8387" t="s">
        <v>29113</v>
      </c>
    </row>
    <row r="8388" spans="1:25">
      <c r="A8388" t="s">
        <v>29114</v>
      </c>
      <c r="B8388" t="s">
        <v>29115</v>
      </c>
      <c r="D8388" t="s">
        <v>40</v>
      </c>
      <c r="E8388" t="s">
        <v>41</v>
      </c>
      <c r="J8388" t="s">
        <v>6179</v>
      </c>
      <c r="K8388" t="s">
        <v>6180</v>
      </c>
      <c r="L8388">
        <v>4</v>
      </c>
      <c r="M8388" t="s">
        <v>29116</v>
      </c>
      <c r="N8388" t="s">
        <v>1024</v>
      </c>
      <c r="O8388" t="s">
        <v>46</v>
      </c>
      <c r="P8388" t="s">
        <v>46</v>
      </c>
      <c r="Y8388" t="s">
        <v>29117</v>
      </c>
    </row>
    <row r="8389" spans="1:25">
      <c r="A8389" t="s">
        <v>29118</v>
      </c>
      <c r="B8389" t="s">
        <v>29119</v>
      </c>
      <c r="D8389" t="s">
        <v>40</v>
      </c>
      <c r="E8389" t="s">
        <v>41</v>
      </c>
      <c r="J8389" t="s">
        <v>11802</v>
      </c>
      <c r="K8389" t="s">
        <v>11803</v>
      </c>
      <c r="L8389">
        <v>4</v>
      </c>
      <c r="M8389" t="s">
        <v>29120</v>
      </c>
      <c r="N8389" t="s">
        <v>1229</v>
      </c>
      <c r="O8389" t="s">
        <v>46</v>
      </c>
      <c r="P8389" t="s">
        <v>46</v>
      </c>
      <c r="Y8389" t="s">
        <v>29121</v>
      </c>
    </row>
    <row r="8390" spans="1:25">
      <c r="A8390" t="s">
        <v>29122</v>
      </c>
      <c r="B8390" t="s">
        <v>29123</v>
      </c>
      <c r="D8390" t="s">
        <v>40</v>
      </c>
      <c r="E8390" t="s">
        <v>41</v>
      </c>
      <c r="J8390" t="s">
        <v>248</v>
      </c>
      <c r="K8390" t="s">
        <v>249</v>
      </c>
      <c r="L8390">
        <v>4</v>
      </c>
      <c r="M8390" t="s">
        <v>29124</v>
      </c>
      <c r="N8390" t="s">
        <v>23374</v>
      </c>
      <c r="O8390" t="s">
        <v>46</v>
      </c>
      <c r="P8390" t="s">
        <v>46</v>
      </c>
      <c r="Y8390" t="s">
        <v>29125</v>
      </c>
    </row>
    <row r="8391" spans="1:25">
      <c r="A8391" t="s">
        <v>29126</v>
      </c>
      <c r="B8391" t="s">
        <v>29127</v>
      </c>
      <c r="D8391" t="s">
        <v>40</v>
      </c>
      <c r="E8391" t="s">
        <v>41</v>
      </c>
      <c r="J8391" t="s">
        <v>14558</v>
      </c>
      <c r="K8391" t="s">
        <v>14559</v>
      </c>
      <c r="L8391">
        <v>4</v>
      </c>
      <c r="M8391" t="s">
        <v>29128</v>
      </c>
      <c r="N8391" t="s">
        <v>24245</v>
      </c>
      <c r="O8391" t="s">
        <v>46</v>
      </c>
      <c r="P8391" t="s">
        <v>46</v>
      </c>
      <c r="Y8391" t="s">
        <v>29129</v>
      </c>
    </row>
    <row r="8392" spans="1:25">
      <c r="A8392" t="s">
        <v>29130</v>
      </c>
      <c r="B8392" t="s">
        <v>29131</v>
      </c>
      <c r="D8392" t="s">
        <v>40</v>
      </c>
      <c r="E8392" t="s">
        <v>41</v>
      </c>
      <c r="J8392" t="s">
        <v>248</v>
      </c>
      <c r="K8392" t="s">
        <v>249</v>
      </c>
      <c r="L8392">
        <v>4</v>
      </c>
      <c r="M8392" t="s">
        <v>29132</v>
      </c>
      <c r="N8392" t="s">
        <v>950</v>
      </c>
      <c r="O8392" t="s">
        <v>46</v>
      </c>
      <c r="P8392" t="s">
        <v>46</v>
      </c>
      <c r="Y8392" t="s">
        <v>29133</v>
      </c>
    </row>
    <row r="8393" spans="1:25">
      <c r="A8393" t="s">
        <v>29134</v>
      </c>
      <c r="B8393" t="s">
        <v>29135</v>
      </c>
      <c r="D8393" t="s">
        <v>40</v>
      </c>
      <c r="E8393" t="s">
        <v>41</v>
      </c>
      <c r="J8393" t="s">
        <v>248</v>
      </c>
      <c r="K8393" t="s">
        <v>249</v>
      </c>
      <c r="L8393">
        <v>4</v>
      </c>
      <c r="M8393" t="s">
        <v>29136</v>
      </c>
      <c r="N8393" t="s">
        <v>315</v>
      </c>
      <c r="O8393" t="s">
        <v>46</v>
      </c>
      <c r="P8393" t="s">
        <v>46</v>
      </c>
      <c r="Y8393" t="s">
        <v>29137</v>
      </c>
    </row>
    <row r="8394" spans="1:25">
      <c r="A8394" t="s">
        <v>29138</v>
      </c>
      <c r="B8394" t="s">
        <v>29139</v>
      </c>
      <c r="D8394" t="s">
        <v>40</v>
      </c>
      <c r="E8394" t="s">
        <v>41</v>
      </c>
      <c r="J8394" t="s">
        <v>248</v>
      </c>
      <c r="K8394" t="s">
        <v>249</v>
      </c>
      <c r="L8394">
        <v>3</v>
      </c>
      <c r="M8394" t="s">
        <v>29140</v>
      </c>
      <c r="N8394" t="s">
        <v>24227</v>
      </c>
      <c r="O8394" t="s">
        <v>46</v>
      </c>
      <c r="P8394" t="s">
        <v>46</v>
      </c>
      <c r="Y8394" t="s">
        <v>29141</v>
      </c>
    </row>
    <row r="8395" spans="1:25">
      <c r="A8395" t="s">
        <v>29142</v>
      </c>
      <c r="B8395" t="s">
        <v>29143</v>
      </c>
      <c r="D8395" t="s">
        <v>40</v>
      </c>
      <c r="E8395" t="s">
        <v>41</v>
      </c>
      <c r="J8395" t="s">
        <v>1554</v>
      </c>
      <c r="K8395" t="s">
        <v>1555</v>
      </c>
      <c r="L8395">
        <v>3</v>
      </c>
      <c r="M8395" t="s">
        <v>29144</v>
      </c>
      <c r="N8395" t="s">
        <v>1344</v>
      </c>
      <c r="O8395" t="s">
        <v>46</v>
      </c>
      <c r="P8395" t="s">
        <v>46</v>
      </c>
      <c r="Y8395" t="s">
        <v>29145</v>
      </c>
    </row>
    <row r="8396" spans="1:25">
      <c r="A8396" t="s">
        <v>29146</v>
      </c>
      <c r="B8396" t="s">
        <v>29147</v>
      </c>
      <c r="D8396" t="s">
        <v>40</v>
      </c>
      <c r="E8396" t="s">
        <v>41</v>
      </c>
      <c r="J8396" t="s">
        <v>1142</v>
      </c>
      <c r="K8396" t="s">
        <v>1143</v>
      </c>
      <c r="L8396">
        <v>3</v>
      </c>
      <c r="M8396" t="s">
        <v>29148</v>
      </c>
      <c r="N8396" t="s">
        <v>950</v>
      </c>
      <c r="O8396" t="s">
        <v>46</v>
      </c>
      <c r="P8396" t="s">
        <v>46</v>
      </c>
      <c r="Y8396" t="s">
        <v>29149</v>
      </c>
    </row>
    <row r="8397" spans="1:25">
      <c r="A8397" t="s">
        <v>29150</v>
      </c>
      <c r="B8397" t="s">
        <v>29151</v>
      </c>
      <c r="D8397" t="s">
        <v>40</v>
      </c>
      <c r="E8397" t="s">
        <v>41</v>
      </c>
      <c r="J8397" t="s">
        <v>248</v>
      </c>
      <c r="K8397" t="s">
        <v>249</v>
      </c>
      <c r="L8397">
        <v>3</v>
      </c>
      <c r="M8397" t="s">
        <v>29152</v>
      </c>
      <c r="N8397" t="s">
        <v>142</v>
      </c>
      <c r="O8397" t="s">
        <v>46</v>
      </c>
      <c r="P8397" t="s">
        <v>46</v>
      </c>
      <c r="Y8397" t="s">
        <v>29153</v>
      </c>
    </row>
    <row r="8398" spans="1:25">
      <c r="A8398" t="s">
        <v>29154</v>
      </c>
      <c r="B8398" t="s">
        <v>29155</v>
      </c>
      <c r="D8398" t="s">
        <v>40</v>
      </c>
      <c r="E8398" t="s">
        <v>41</v>
      </c>
      <c r="J8398" t="s">
        <v>12440</v>
      </c>
      <c r="K8398" t="s">
        <v>12441</v>
      </c>
      <c r="L8398">
        <v>4</v>
      </c>
      <c r="M8398" t="s">
        <v>29156</v>
      </c>
      <c r="N8398" t="s">
        <v>64</v>
      </c>
      <c r="O8398" t="s">
        <v>46</v>
      </c>
      <c r="P8398" t="s">
        <v>46</v>
      </c>
      <c r="Y8398" t="s">
        <v>29157</v>
      </c>
    </row>
    <row r="8399" spans="1:25">
      <c r="A8399" t="s">
        <v>29158</v>
      </c>
      <c r="B8399" t="s">
        <v>29159</v>
      </c>
      <c r="D8399" t="s">
        <v>40</v>
      </c>
      <c r="E8399" t="s">
        <v>41</v>
      </c>
      <c r="J8399" t="s">
        <v>139</v>
      </c>
      <c r="K8399" t="s">
        <v>140</v>
      </c>
      <c r="L8399">
        <v>3</v>
      </c>
      <c r="M8399" t="s">
        <v>29156</v>
      </c>
      <c r="N8399" t="s">
        <v>310</v>
      </c>
      <c r="O8399" t="s">
        <v>46</v>
      </c>
      <c r="P8399" t="s">
        <v>46</v>
      </c>
      <c r="Y8399" t="s">
        <v>29160</v>
      </c>
    </row>
    <row r="8400" spans="1:25">
      <c r="A8400" t="s">
        <v>29161</v>
      </c>
      <c r="B8400" t="s">
        <v>29162</v>
      </c>
      <c r="D8400" t="s">
        <v>40</v>
      </c>
      <c r="E8400" t="s">
        <v>41</v>
      </c>
      <c r="J8400" t="s">
        <v>1142</v>
      </c>
      <c r="K8400" t="s">
        <v>1143</v>
      </c>
      <c r="L8400">
        <v>3</v>
      </c>
      <c r="M8400" t="s">
        <v>29163</v>
      </c>
      <c r="N8400" t="s">
        <v>22465</v>
      </c>
      <c r="O8400" t="s">
        <v>46</v>
      </c>
      <c r="P8400" t="s">
        <v>46</v>
      </c>
      <c r="Y8400" t="s">
        <v>29164</v>
      </c>
    </row>
    <row r="8401" spans="1:25">
      <c r="A8401" t="s">
        <v>29165</v>
      </c>
      <c r="B8401" t="s">
        <v>29166</v>
      </c>
      <c r="D8401" t="s">
        <v>40</v>
      </c>
      <c r="E8401" t="s">
        <v>41</v>
      </c>
      <c r="J8401" t="s">
        <v>22447</v>
      </c>
      <c r="K8401" t="s">
        <v>22448</v>
      </c>
      <c r="L8401">
        <v>3</v>
      </c>
      <c r="M8401" t="s">
        <v>29167</v>
      </c>
      <c r="N8401" t="s">
        <v>178</v>
      </c>
      <c r="O8401" t="s">
        <v>46</v>
      </c>
      <c r="P8401" t="s">
        <v>46</v>
      </c>
      <c r="Y8401" t="s">
        <v>29168</v>
      </c>
    </row>
    <row r="8402" spans="1:25">
      <c r="A8402" t="s">
        <v>29169</v>
      </c>
      <c r="B8402" t="s">
        <v>29170</v>
      </c>
      <c r="D8402" t="s">
        <v>40</v>
      </c>
      <c r="E8402" t="s">
        <v>41</v>
      </c>
      <c r="J8402" t="s">
        <v>248</v>
      </c>
      <c r="K8402" t="s">
        <v>249</v>
      </c>
      <c r="L8402">
        <v>3</v>
      </c>
      <c r="M8402" t="s">
        <v>29171</v>
      </c>
      <c r="N8402" t="s">
        <v>1369</v>
      </c>
      <c r="O8402" t="s">
        <v>46</v>
      </c>
      <c r="P8402" t="s">
        <v>46</v>
      </c>
      <c r="Y8402" t="s">
        <v>29172</v>
      </c>
    </row>
    <row r="8403" spans="1:25">
      <c r="A8403" t="s">
        <v>29173</v>
      </c>
      <c r="B8403" t="s">
        <v>29174</v>
      </c>
      <c r="D8403" t="s">
        <v>40</v>
      </c>
      <c r="E8403" t="s">
        <v>41</v>
      </c>
      <c r="J8403" t="s">
        <v>139</v>
      </c>
      <c r="K8403" t="s">
        <v>140</v>
      </c>
      <c r="L8403">
        <v>3</v>
      </c>
      <c r="M8403" t="s">
        <v>29175</v>
      </c>
      <c r="N8403" t="s">
        <v>24245</v>
      </c>
      <c r="O8403" t="s">
        <v>46</v>
      </c>
      <c r="P8403" t="s">
        <v>46</v>
      </c>
      <c r="Y8403" t="s">
        <v>29176</v>
      </c>
    </row>
    <row r="8404" spans="1:25">
      <c r="A8404" t="s">
        <v>29177</v>
      </c>
      <c r="B8404" t="s">
        <v>29178</v>
      </c>
      <c r="D8404" t="s">
        <v>40</v>
      </c>
      <c r="E8404" t="s">
        <v>41</v>
      </c>
      <c r="J8404" t="s">
        <v>1142</v>
      </c>
      <c r="K8404" t="s">
        <v>1143</v>
      </c>
      <c r="L8404">
        <v>3</v>
      </c>
      <c r="M8404" t="s">
        <v>29175</v>
      </c>
      <c r="N8404" t="s">
        <v>257</v>
      </c>
      <c r="O8404" t="s">
        <v>46</v>
      </c>
      <c r="P8404" t="s">
        <v>46</v>
      </c>
      <c r="Y8404" t="s">
        <v>29179</v>
      </c>
    </row>
    <row r="8405" spans="1:25">
      <c r="A8405" t="s">
        <v>29180</v>
      </c>
      <c r="B8405" t="s">
        <v>29181</v>
      </c>
      <c r="D8405" t="s">
        <v>40</v>
      </c>
      <c r="E8405" t="s">
        <v>41</v>
      </c>
      <c r="J8405" t="s">
        <v>248</v>
      </c>
      <c r="K8405" t="s">
        <v>249</v>
      </c>
      <c r="L8405">
        <v>3</v>
      </c>
      <c r="M8405" t="s">
        <v>29182</v>
      </c>
      <c r="N8405" t="s">
        <v>350</v>
      </c>
      <c r="O8405" t="s">
        <v>46</v>
      </c>
      <c r="P8405" t="s">
        <v>46</v>
      </c>
      <c r="Y8405" t="s">
        <v>29183</v>
      </c>
    </row>
    <row r="8406" spans="1:25">
      <c r="A8406" t="s">
        <v>29184</v>
      </c>
      <c r="B8406" t="s">
        <v>29185</v>
      </c>
      <c r="D8406" t="s">
        <v>40</v>
      </c>
      <c r="E8406" t="s">
        <v>41</v>
      </c>
      <c r="J8406" t="s">
        <v>248</v>
      </c>
      <c r="K8406" t="s">
        <v>249</v>
      </c>
      <c r="L8406">
        <v>3</v>
      </c>
      <c r="M8406" t="s">
        <v>29186</v>
      </c>
      <c r="N8406" t="s">
        <v>752</v>
      </c>
      <c r="O8406" t="s">
        <v>46</v>
      </c>
      <c r="P8406" t="s">
        <v>46</v>
      </c>
      <c r="Y8406" t="s">
        <v>29187</v>
      </c>
    </row>
    <row r="8407" spans="1:25">
      <c r="A8407" t="s">
        <v>29188</v>
      </c>
      <c r="B8407" t="s">
        <v>29189</v>
      </c>
      <c r="D8407" t="s">
        <v>40</v>
      </c>
      <c r="E8407" t="s">
        <v>41</v>
      </c>
      <c r="J8407" t="s">
        <v>248</v>
      </c>
      <c r="K8407" t="s">
        <v>249</v>
      </c>
      <c r="L8407">
        <v>3</v>
      </c>
      <c r="M8407" t="s">
        <v>29190</v>
      </c>
      <c r="N8407" t="s">
        <v>142</v>
      </c>
      <c r="O8407" t="s">
        <v>46</v>
      </c>
      <c r="P8407" t="s">
        <v>46</v>
      </c>
      <c r="Y8407" t="s">
        <v>29191</v>
      </c>
    </row>
    <row r="8408" spans="1:25">
      <c r="A8408" t="s">
        <v>29192</v>
      </c>
      <c r="B8408" t="s">
        <v>29193</v>
      </c>
      <c r="D8408" t="s">
        <v>40</v>
      </c>
      <c r="E8408" t="s">
        <v>41</v>
      </c>
      <c r="J8408" t="s">
        <v>921</v>
      </c>
      <c r="K8408" t="s">
        <v>922</v>
      </c>
      <c r="L8408">
        <v>7</v>
      </c>
      <c r="M8408" t="s">
        <v>29194</v>
      </c>
      <c r="N8408" t="s">
        <v>291</v>
      </c>
      <c r="O8408" t="s">
        <v>46</v>
      </c>
      <c r="P8408" t="s">
        <v>46</v>
      </c>
      <c r="Y8408" t="s">
        <v>29195</v>
      </c>
    </row>
    <row r="8409" spans="1:25">
      <c r="A8409" t="s">
        <v>29196</v>
      </c>
      <c r="B8409" t="s">
        <v>29197</v>
      </c>
      <c r="D8409" t="s">
        <v>40</v>
      </c>
      <c r="E8409" t="s">
        <v>41</v>
      </c>
      <c r="J8409" t="s">
        <v>6255</v>
      </c>
      <c r="K8409" t="s">
        <v>6256</v>
      </c>
      <c r="L8409">
        <v>3</v>
      </c>
      <c r="M8409" t="s">
        <v>29198</v>
      </c>
      <c r="N8409" t="s">
        <v>1397</v>
      </c>
      <c r="O8409" t="s">
        <v>46</v>
      </c>
      <c r="P8409" t="s">
        <v>46</v>
      </c>
      <c r="Y8409" t="s">
        <v>29199</v>
      </c>
    </row>
    <row r="8410" spans="1:25">
      <c r="A8410" t="s">
        <v>29200</v>
      </c>
      <c r="B8410" t="s">
        <v>29201</v>
      </c>
      <c r="D8410" t="s">
        <v>40</v>
      </c>
      <c r="E8410" t="s">
        <v>41</v>
      </c>
      <c r="J8410" t="s">
        <v>6179</v>
      </c>
      <c r="K8410" t="s">
        <v>6180</v>
      </c>
      <c r="L8410">
        <v>3</v>
      </c>
      <c r="M8410" t="s">
        <v>29198</v>
      </c>
      <c r="N8410" t="s">
        <v>436</v>
      </c>
      <c r="O8410" t="s">
        <v>46</v>
      </c>
      <c r="P8410" t="s">
        <v>46</v>
      </c>
      <c r="Y8410" t="s">
        <v>29202</v>
      </c>
    </row>
    <row r="8411" spans="1:25">
      <c r="A8411" t="s">
        <v>29203</v>
      </c>
      <c r="B8411" t="s">
        <v>29204</v>
      </c>
      <c r="D8411" t="s">
        <v>40</v>
      </c>
      <c r="E8411" t="s">
        <v>41</v>
      </c>
      <c r="J8411" t="s">
        <v>11802</v>
      </c>
      <c r="K8411" t="s">
        <v>11803</v>
      </c>
      <c r="L8411">
        <v>3</v>
      </c>
      <c r="M8411" t="s">
        <v>29205</v>
      </c>
      <c r="N8411" t="s">
        <v>4037</v>
      </c>
      <c r="O8411" t="s">
        <v>46</v>
      </c>
      <c r="P8411" t="s">
        <v>46</v>
      </c>
      <c r="Y8411" t="s">
        <v>29206</v>
      </c>
    </row>
    <row r="8412" spans="1:25">
      <c r="A8412" t="s">
        <v>29207</v>
      </c>
      <c r="B8412" t="s">
        <v>29208</v>
      </c>
      <c r="D8412" t="s">
        <v>40</v>
      </c>
      <c r="E8412" t="s">
        <v>41</v>
      </c>
      <c r="J8412" t="s">
        <v>248</v>
      </c>
      <c r="K8412" t="s">
        <v>249</v>
      </c>
      <c r="L8412">
        <v>3</v>
      </c>
      <c r="M8412" t="s">
        <v>29209</v>
      </c>
      <c r="N8412" t="s">
        <v>617</v>
      </c>
      <c r="O8412" t="s">
        <v>46</v>
      </c>
      <c r="P8412" t="s">
        <v>46</v>
      </c>
      <c r="Y8412" t="s">
        <v>29210</v>
      </c>
    </row>
    <row r="8413" spans="1:25">
      <c r="A8413" t="s">
        <v>29211</v>
      </c>
      <c r="B8413" t="s">
        <v>29212</v>
      </c>
      <c r="D8413" t="s">
        <v>40</v>
      </c>
      <c r="E8413" t="s">
        <v>41</v>
      </c>
      <c r="J8413" t="s">
        <v>248</v>
      </c>
      <c r="K8413" t="s">
        <v>249</v>
      </c>
      <c r="L8413">
        <v>3</v>
      </c>
      <c r="M8413" t="s">
        <v>29213</v>
      </c>
      <c r="N8413" t="s">
        <v>1276</v>
      </c>
      <c r="O8413" t="s">
        <v>46</v>
      </c>
      <c r="P8413" t="s">
        <v>46</v>
      </c>
      <c r="Y8413" t="s">
        <v>29214</v>
      </c>
    </row>
    <row r="8414" spans="1:25">
      <c r="A8414" t="s">
        <v>29215</v>
      </c>
      <c r="B8414" t="s">
        <v>29216</v>
      </c>
      <c r="D8414" t="s">
        <v>40</v>
      </c>
      <c r="E8414" t="s">
        <v>41</v>
      </c>
      <c r="J8414" t="s">
        <v>139</v>
      </c>
      <c r="K8414" t="s">
        <v>140</v>
      </c>
      <c r="L8414">
        <v>4</v>
      </c>
      <c r="M8414" t="s">
        <v>29217</v>
      </c>
      <c r="N8414" t="s">
        <v>1550</v>
      </c>
      <c r="O8414" t="s">
        <v>46</v>
      </c>
      <c r="P8414" t="s">
        <v>46</v>
      </c>
      <c r="Y8414" t="s">
        <v>29218</v>
      </c>
    </row>
    <row r="8415" spans="1:25">
      <c r="A8415" t="s">
        <v>29219</v>
      </c>
      <c r="B8415" t="s">
        <v>29220</v>
      </c>
      <c r="D8415" t="s">
        <v>40</v>
      </c>
      <c r="E8415" t="s">
        <v>41</v>
      </c>
      <c r="J8415" t="s">
        <v>599</v>
      </c>
      <c r="K8415" t="s">
        <v>600</v>
      </c>
      <c r="L8415">
        <v>4</v>
      </c>
      <c r="M8415" t="s">
        <v>29221</v>
      </c>
      <c r="N8415" t="s">
        <v>23374</v>
      </c>
      <c r="O8415" t="s">
        <v>46</v>
      </c>
      <c r="P8415" t="s">
        <v>46</v>
      </c>
      <c r="Y8415" t="s">
        <v>29222</v>
      </c>
    </row>
    <row r="8416" spans="1:25">
      <c r="A8416" t="s">
        <v>29223</v>
      </c>
      <c r="B8416" t="s">
        <v>29224</v>
      </c>
      <c r="D8416" t="s">
        <v>40</v>
      </c>
      <c r="E8416" t="s">
        <v>41</v>
      </c>
      <c r="J8416" t="s">
        <v>248</v>
      </c>
      <c r="K8416" t="s">
        <v>249</v>
      </c>
      <c r="L8416">
        <v>3</v>
      </c>
      <c r="M8416" t="s">
        <v>29225</v>
      </c>
      <c r="N8416" t="s">
        <v>310</v>
      </c>
      <c r="O8416" t="s">
        <v>46</v>
      </c>
      <c r="P8416" t="s">
        <v>46</v>
      </c>
      <c r="Y8416" t="s">
        <v>29226</v>
      </c>
    </row>
    <row r="8417" spans="1:25">
      <c r="A8417" t="s">
        <v>29227</v>
      </c>
      <c r="B8417" t="s">
        <v>29228</v>
      </c>
      <c r="D8417" t="s">
        <v>40</v>
      </c>
      <c r="E8417" t="s">
        <v>41</v>
      </c>
      <c r="J8417" t="s">
        <v>139</v>
      </c>
      <c r="K8417" t="s">
        <v>140</v>
      </c>
      <c r="L8417">
        <v>3</v>
      </c>
      <c r="M8417" t="s">
        <v>29229</v>
      </c>
      <c r="N8417" t="s">
        <v>509</v>
      </c>
      <c r="O8417" t="s">
        <v>46</v>
      </c>
      <c r="P8417" t="s">
        <v>46</v>
      </c>
      <c r="Y8417" t="s">
        <v>29230</v>
      </c>
    </row>
    <row r="8418" spans="1:25">
      <c r="A8418" t="s">
        <v>29231</v>
      </c>
      <c r="B8418" t="s">
        <v>29232</v>
      </c>
      <c r="D8418" t="s">
        <v>40</v>
      </c>
      <c r="E8418" t="s">
        <v>41</v>
      </c>
      <c r="J8418" t="s">
        <v>6255</v>
      </c>
      <c r="K8418" t="s">
        <v>6256</v>
      </c>
      <c r="L8418">
        <v>3</v>
      </c>
      <c r="M8418" t="s">
        <v>29233</v>
      </c>
      <c r="N8418" t="s">
        <v>756</v>
      </c>
      <c r="O8418" t="s">
        <v>46</v>
      </c>
      <c r="P8418" t="s">
        <v>46</v>
      </c>
      <c r="Y8418" t="s">
        <v>29234</v>
      </c>
    </row>
    <row r="8419" spans="1:25">
      <c r="A8419" t="s">
        <v>29235</v>
      </c>
      <c r="B8419" t="s">
        <v>29236</v>
      </c>
      <c r="D8419" t="s">
        <v>40</v>
      </c>
      <c r="E8419" t="s">
        <v>41</v>
      </c>
      <c r="J8419" t="s">
        <v>248</v>
      </c>
      <c r="K8419" t="s">
        <v>249</v>
      </c>
      <c r="L8419">
        <v>4</v>
      </c>
      <c r="M8419" t="s">
        <v>29237</v>
      </c>
      <c r="N8419" t="s">
        <v>752</v>
      </c>
      <c r="O8419" t="s">
        <v>46</v>
      </c>
      <c r="P8419" t="s">
        <v>46</v>
      </c>
      <c r="Y8419" t="s">
        <v>29238</v>
      </c>
    </row>
    <row r="8420" spans="1:25">
      <c r="A8420" t="s">
        <v>29239</v>
      </c>
      <c r="B8420" t="s">
        <v>29240</v>
      </c>
      <c r="D8420" t="s">
        <v>40</v>
      </c>
      <c r="E8420" t="s">
        <v>41</v>
      </c>
      <c r="J8420" t="s">
        <v>12440</v>
      </c>
      <c r="K8420" t="s">
        <v>12441</v>
      </c>
      <c r="L8420">
        <v>4</v>
      </c>
      <c r="M8420" t="s">
        <v>29241</v>
      </c>
      <c r="N8420" t="s">
        <v>64</v>
      </c>
      <c r="O8420" t="s">
        <v>46</v>
      </c>
      <c r="P8420" t="s">
        <v>46</v>
      </c>
      <c r="Y8420" t="s">
        <v>29242</v>
      </c>
    </row>
    <row r="8421" spans="1:25">
      <c r="A8421" t="s">
        <v>29243</v>
      </c>
      <c r="B8421" t="s">
        <v>29244</v>
      </c>
      <c r="D8421" t="s">
        <v>40</v>
      </c>
      <c r="E8421" t="s">
        <v>41</v>
      </c>
      <c r="J8421" t="s">
        <v>12440</v>
      </c>
      <c r="K8421" t="s">
        <v>12441</v>
      </c>
      <c r="L8421">
        <v>4</v>
      </c>
      <c r="M8421" t="s">
        <v>29245</v>
      </c>
      <c r="N8421" t="s">
        <v>64</v>
      </c>
      <c r="O8421" t="s">
        <v>46</v>
      </c>
      <c r="P8421" t="s">
        <v>46</v>
      </c>
      <c r="Y8421" t="s">
        <v>29246</v>
      </c>
    </row>
    <row r="8422" spans="1:25">
      <c r="A8422" t="s">
        <v>29247</v>
      </c>
      <c r="B8422" t="s">
        <v>29248</v>
      </c>
      <c r="D8422" t="s">
        <v>40</v>
      </c>
      <c r="E8422" t="s">
        <v>41</v>
      </c>
      <c r="J8422" t="s">
        <v>248</v>
      </c>
      <c r="K8422" t="s">
        <v>249</v>
      </c>
      <c r="L8422">
        <v>3</v>
      </c>
      <c r="M8422" t="s">
        <v>29249</v>
      </c>
      <c r="N8422" t="s">
        <v>1276</v>
      </c>
      <c r="O8422" t="s">
        <v>46</v>
      </c>
      <c r="P8422" t="s">
        <v>46</v>
      </c>
      <c r="Y8422" t="s">
        <v>29250</v>
      </c>
    </row>
    <row r="8423" spans="1:25">
      <c r="A8423" t="s">
        <v>29251</v>
      </c>
      <c r="B8423" t="s">
        <v>29252</v>
      </c>
      <c r="D8423" t="s">
        <v>40</v>
      </c>
      <c r="E8423" t="s">
        <v>41</v>
      </c>
      <c r="J8423" t="s">
        <v>248</v>
      </c>
      <c r="K8423" t="s">
        <v>249</v>
      </c>
      <c r="L8423">
        <v>3</v>
      </c>
      <c r="M8423" t="s">
        <v>29253</v>
      </c>
      <c r="N8423" t="s">
        <v>142</v>
      </c>
      <c r="O8423" t="s">
        <v>46</v>
      </c>
      <c r="P8423" t="s">
        <v>46</v>
      </c>
      <c r="Y8423" t="s">
        <v>29254</v>
      </c>
    </row>
    <row r="8424" spans="1:25">
      <c r="A8424" t="s">
        <v>29255</v>
      </c>
      <c r="B8424" t="s">
        <v>29256</v>
      </c>
      <c r="D8424" t="s">
        <v>40</v>
      </c>
      <c r="E8424" t="s">
        <v>41</v>
      </c>
      <c r="J8424" t="s">
        <v>139</v>
      </c>
      <c r="K8424" t="s">
        <v>140</v>
      </c>
      <c r="L8424">
        <v>4</v>
      </c>
      <c r="M8424" t="s">
        <v>29257</v>
      </c>
      <c r="N8424" t="s">
        <v>1550</v>
      </c>
      <c r="O8424" t="s">
        <v>46</v>
      </c>
      <c r="P8424" t="s">
        <v>46</v>
      </c>
      <c r="Y8424" t="s">
        <v>29258</v>
      </c>
    </row>
    <row r="8425" spans="1:25">
      <c r="A8425" t="s">
        <v>29259</v>
      </c>
      <c r="B8425" t="s">
        <v>29260</v>
      </c>
      <c r="D8425" t="s">
        <v>40</v>
      </c>
      <c r="E8425" t="s">
        <v>41</v>
      </c>
      <c r="J8425" t="s">
        <v>139</v>
      </c>
      <c r="K8425" t="s">
        <v>140</v>
      </c>
      <c r="L8425">
        <v>4</v>
      </c>
      <c r="M8425" t="s">
        <v>29261</v>
      </c>
      <c r="N8425" t="s">
        <v>1344</v>
      </c>
      <c r="O8425" t="s">
        <v>46</v>
      </c>
      <c r="P8425" t="s">
        <v>46</v>
      </c>
      <c r="Y8425" t="s">
        <v>29262</v>
      </c>
    </row>
    <row r="8426" spans="1:25">
      <c r="A8426" t="s">
        <v>29263</v>
      </c>
      <c r="B8426" t="s">
        <v>29264</v>
      </c>
      <c r="D8426" t="s">
        <v>40</v>
      </c>
      <c r="E8426" t="s">
        <v>41</v>
      </c>
      <c r="J8426" t="s">
        <v>1554</v>
      </c>
      <c r="K8426" t="s">
        <v>1555</v>
      </c>
      <c r="L8426">
        <v>3</v>
      </c>
      <c r="M8426" t="s">
        <v>29265</v>
      </c>
      <c r="N8426" t="s">
        <v>24227</v>
      </c>
      <c r="O8426" t="s">
        <v>46</v>
      </c>
      <c r="P8426" t="s">
        <v>46</v>
      </c>
      <c r="Y8426" t="s">
        <v>29266</v>
      </c>
    </row>
    <row r="8427" spans="1:25">
      <c r="A8427" t="s">
        <v>29267</v>
      </c>
      <c r="B8427" t="s">
        <v>29268</v>
      </c>
      <c r="D8427" t="s">
        <v>40</v>
      </c>
      <c r="E8427" t="s">
        <v>41</v>
      </c>
      <c r="J8427" t="s">
        <v>139</v>
      </c>
      <c r="K8427" t="s">
        <v>140</v>
      </c>
      <c r="L8427">
        <v>3</v>
      </c>
      <c r="M8427" t="s">
        <v>29269</v>
      </c>
      <c r="N8427" t="s">
        <v>436</v>
      </c>
      <c r="O8427" t="s">
        <v>46</v>
      </c>
      <c r="P8427" t="s">
        <v>46</v>
      </c>
      <c r="Y8427" t="s">
        <v>29270</v>
      </c>
    </row>
    <row r="8428" spans="1:25">
      <c r="A8428" t="s">
        <v>29271</v>
      </c>
      <c r="B8428" t="s">
        <v>29272</v>
      </c>
      <c r="D8428" t="s">
        <v>40</v>
      </c>
      <c r="E8428" t="s">
        <v>41</v>
      </c>
      <c r="J8428" t="s">
        <v>248</v>
      </c>
      <c r="K8428" t="s">
        <v>249</v>
      </c>
      <c r="L8428">
        <v>3</v>
      </c>
      <c r="M8428" t="s">
        <v>29273</v>
      </c>
      <c r="N8428" t="s">
        <v>1369</v>
      </c>
      <c r="O8428" t="s">
        <v>46</v>
      </c>
      <c r="P8428" t="s">
        <v>46</v>
      </c>
      <c r="Y8428" t="s">
        <v>29274</v>
      </c>
    </row>
    <row r="8429" spans="1:25">
      <c r="A8429" t="s">
        <v>29275</v>
      </c>
      <c r="B8429" t="s">
        <v>29276</v>
      </c>
      <c r="D8429" t="s">
        <v>40</v>
      </c>
      <c r="E8429" t="s">
        <v>41</v>
      </c>
      <c r="J8429" t="s">
        <v>248</v>
      </c>
      <c r="K8429" t="s">
        <v>249</v>
      </c>
      <c r="L8429">
        <v>4</v>
      </c>
      <c r="M8429" t="s">
        <v>29277</v>
      </c>
      <c r="N8429" t="s">
        <v>142</v>
      </c>
      <c r="O8429" t="s">
        <v>46</v>
      </c>
      <c r="P8429" t="s">
        <v>46</v>
      </c>
      <c r="Y8429" t="s">
        <v>29278</v>
      </c>
    </row>
    <row r="8430" spans="1:25">
      <c r="A8430" t="s">
        <v>29279</v>
      </c>
      <c r="B8430" t="s">
        <v>29280</v>
      </c>
      <c r="D8430" t="s">
        <v>40</v>
      </c>
      <c r="E8430" t="s">
        <v>41</v>
      </c>
      <c r="J8430" t="s">
        <v>11802</v>
      </c>
      <c r="K8430" t="s">
        <v>11803</v>
      </c>
      <c r="L8430">
        <v>4</v>
      </c>
      <c r="M8430" t="s">
        <v>29277</v>
      </c>
      <c r="N8430" t="s">
        <v>4037</v>
      </c>
      <c r="O8430" t="s">
        <v>46</v>
      </c>
      <c r="P8430" t="s">
        <v>46</v>
      </c>
      <c r="Y8430" t="s">
        <v>29281</v>
      </c>
    </row>
    <row r="8431" spans="1:25">
      <c r="A8431" t="s">
        <v>29282</v>
      </c>
      <c r="B8431" t="s">
        <v>29283</v>
      </c>
      <c r="D8431" t="s">
        <v>40</v>
      </c>
      <c r="E8431" t="s">
        <v>41</v>
      </c>
      <c r="J8431" t="s">
        <v>248</v>
      </c>
      <c r="K8431" t="s">
        <v>249</v>
      </c>
      <c r="L8431">
        <v>3</v>
      </c>
      <c r="M8431" t="s">
        <v>29284</v>
      </c>
      <c r="N8431" t="s">
        <v>24227</v>
      </c>
      <c r="O8431" t="s">
        <v>46</v>
      </c>
      <c r="P8431" t="s">
        <v>46</v>
      </c>
      <c r="Y8431" t="s">
        <v>29285</v>
      </c>
    </row>
    <row r="8432" spans="1:25">
      <c r="A8432" t="s">
        <v>29286</v>
      </c>
      <c r="B8432" t="s">
        <v>29287</v>
      </c>
      <c r="D8432" t="s">
        <v>40</v>
      </c>
      <c r="E8432" t="s">
        <v>41</v>
      </c>
      <c r="J8432" t="s">
        <v>139</v>
      </c>
      <c r="K8432" t="s">
        <v>140</v>
      </c>
      <c r="L8432">
        <v>3</v>
      </c>
      <c r="M8432" t="s">
        <v>29288</v>
      </c>
      <c r="N8432" t="s">
        <v>24245</v>
      </c>
      <c r="O8432" t="s">
        <v>46</v>
      </c>
      <c r="P8432" t="s">
        <v>46</v>
      </c>
      <c r="Y8432" t="s">
        <v>29289</v>
      </c>
    </row>
    <row r="8433" spans="1:25">
      <c r="A8433" t="s">
        <v>29290</v>
      </c>
      <c r="B8433" t="s">
        <v>29291</v>
      </c>
      <c r="D8433" t="s">
        <v>40</v>
      </c>
      <c r="E8433" t="s">
        <v>41</v>
      </c>
      <c r="J8433" t="s">
        <v>1142</v>
      </c>
      <c r="K8433" t="s">
        <v>1143</v>
      </c>
      <c r="L8433">
        <v>3</v>
      </c>
      <c r="M8433" t="s">
        <v>29292</v>
      </c>
      <c r="N8433" t="s">
        <v>950</v>
      </c>
      <c r="O8433" t="s">
        <v>46</v>
      </c>
      <c r="P8433" t="s">
        <v>46</v>
      </c>
      <c r="Y8433" t="s">
        <v>29293</v>
      </c>
    </row>
    <row r="8434" spans="1:25">
      <c r="A8434" t="s">
        <v>29294</v>
      </c>
      <c r="B8434" t="s">
        <v>29295</v>
      </c>
      <c r="D8434" t="s">
        <v>40</v>
      </c>
      <c r="E8434" t="s">
        <v>41</v>
      </c>
      <c r="J8434" t="s">
        <v>248</v>
      </c>
      <c r="K8434" t="s">
        <v>249</v>
      </c>
      <c r="L8434">
        <v>3</v>
      </c>
      <c r="M8434" t="s">
        <v>29296</v>
      </c>
      <c r="N8434" t="s">
        <v>1478</v>
      </c>
      <c r="O8434" t="s">
        <v>46</v>
      </c>
      <c r="P8434" t="s">
        <v>46</v>
      </c>
      <c r="Y8434" t="s">
        <v>29297</v>
      </c>
    </row>
    <row r="8435" spans="1:25">
      <c r="A8435" t="s">
        <v>29298</v>
      </c>
      <c r="B8435" t="s">
        <v>29299</v>
      </c>
      <c r="D8435" t="s">
        <v>40</v>
      </c>
      <c r="E8435" t="s">
        <v>41</v>
      </c>
      <c r="J8435" t="s">
        <v>139</v>
      </c>
      <c r="K8435" t="s">
        <v>140</v>
      </c>
      <c r="L8435">
        <v>3</v>
      </c>
      <c r="M8435" t="s">
        <v>29296</v>
      </c>
      <c r="N8435" t="s">
        <v>1550</v>
      </c>
      <c r="O8435" t="s">
        <v>46</v>
      </c>
      <c r="P8435" t="s">
        <v>46</v>
      </c>
      <c r="Y8435" t="s">
        <v>29300</v>
      </c>
    </row>
    <row r="8436" spans="1:25">
      <c r="A8436" t="s">
        <v>29301</v>
      </c>
      <c r="B8436" t="s">
        <v>29302</v>
      </c>
      <c r="D8436" t="s">
        <v>40</v>
      </c>
      <c r="E8436" t="s">
        <v>41</v>
      </c>
      <c r="J8436" t="s">
        <v>139</v>
      </c>
      <c r="K8436" t="s">
        <v>140</v>
      </c>
      <c r="L8436">
        <v>3</v>
      </c>
      <c r="M8436" t="s">
        <v>29303</v>
      </c>
      <c r="N8436" t="s">
        <v>24387</v>
      </c>
      <c r="O8436" t="s">
        <v>46</v>
      </c>
      <c r="P8436" t="s">
        <v>46</v>
      </c>
      <c r="Y8436" t="s">
        <v>29304</v>
      </c>
    </row>
    <row r="8437" spans="1:25">
      <c r="A8437" t="s">
        <v>29305</v>
      </c>
      <c r="B8437" t="s">
        <v>29306</v>
      </c>
      <c r="D8437" t="s">
        <v>40</v>
      </c>
      <c r="E8437" t="s">
        <v>41</v>
      </c>
      <c r="J8437" t="s">
        <v>12440</v>
      </c>
      <c r="K8437" t="s">
        <v>12441</v>
      </c>
      <c r="L8437">
        <v>4</v>
      </c>
      <c r="M8437" t="s">
        <v>29303</v>
      </c>
      <c r="N8437" t="s">
        <v>64</v>
      </c>
      <c r="O8437" t="s">
        <v>46</v>
      </c>
      <c r="P8437" t="s">
        <v>46</v>
      </c>
      <c r="Y8437" t="s">
        <v>29307</v>
      </c>
    </row>
    <row r="8438" spans="1:25">
      <c r="A8438" t="s">
        <v>29308</v>
      </c>
      <c r="B8438" t="s">
        <v>29309</v>
      </c>
      <c r="D8438" t="s">
        <v>40</v>
      </c>
      <c r="E8438" t="s">
        <v>41</v>
      </c>
      <c r="J8438" t="s">
        <v>248</v>
      </c>
      <c r="K8438" t="s">
        <v>249</v>
      </c>
      <c r="L8438">
        <v>3</v>
      </c>
      <c r="M8438" t="s">
        <v>29310</v>
      </c>
      <c r="N8438" t="s">
        <v>23374</v>
      </c>
      <c r="O8438" t="s">
        <v>46</v>
      </c>
      <c r="P8438" t="s">
        <v>46</v>
      </c>
      <c r="Y8438" t="s">
        <v>29311</v>
      </c>
    </row>
    <row r="8439" spans="1:25">
      <c r="A8439" t="s">
        <v>29312</v>
      </c>
      <c r="B8439" t="s">
        <v>29313</v>
      </c>
      <c r="D8439" t="s">
        <v>40</v>
      </c>
      <c r="E8439" t="s">
        <v>41</v>
      </c>
      <c r="J8439" t="s">
        <v>1142</v>
      </c>
      <c r="K8439" t="s">
        <v>1143</v>
      </c>
      <c r="L8439">
        <v>3</v>
      </c>
      <c r="M8439" t="s">
        <v>29310</v>
      </c>
      <c r="N8439" t="s">
        <v>2346</v>
      </c>
      <c r="O8439" t="s">
        <v>46</v>
      </c>
      <c r="P8439" t="s">
        <v>46</v>
      </c>
      <c r="Y8439" t="s">
        <v>29314</v>
      </c>
    </row>
    <row r="8440" spans="1:25">
      <c r="A8440" t="s">
        <v>29315</v>
      </c>
      <c r="B8440" t="s">
        <v>29316</v>
      </c>
      <c r="D8440" t="s">
        <v>40</v>
      </c>
      <c r="E8440" t="s">
        <v>41</v>
      </c>
      <c r="J8440" t="s">
        <v>1142</v>
      </c>
      <c r="K8440" t="s">
        <v>1143</v>
      </c>
      <c r="L8440">
        <v>3</v>
      </c>
      <c r="M8440" t="s">
        <v>29317</v>
      </c>
      <c r="N8440" t="s">
        <v>752</v>
      </c>
      <c r="O8440" t="s">
        <v>46</v>
      </c>
      <c r="P8440" t="s">
        <v>46</v>
      </c>
      <c r="Y8440" t="s">
        <v>29318</v>
      </c>
    </row>
    <row r="8441" spans="1:25">
      <c r="A8441" t="s">
        <v>29319</v>
      </c>
      <c r="B8441" t="s">
        <v>29320</v>
      </c>
      <c r="D8441" t="s">
        <v>40</v>
      </c>
      <c r="E8441" t="s">
        <v>41</v>
      </c>
      <c r="J8441" t="s">
        <v>12440</v>
      </c>
      <c r="K8441" t="s">
        <v>12441</v>
      </c>
      <c r="L8441">
        <v>4</v>
      </c>
      <c r="M8441" t="s">
        <v>29321</v>
      </c>
      <c r="N8441" t="s">
        <v>64</v>
      </c>
      <c r="O8441" t="s">
        <v>46</v>
      </c>
      <c r="P8441" t="s">
        <v>46</v>
      </c>
      <c r="Y8441" t="s">
        <v>29322</v>
      </c>
    </row>
    <row r="8442" spans="1:25">
      <c r="A8442" t="s">
        <v>29323</v>
      </c>
      <c r="B8442" t="s">
        <v>29324</v>
      </c>
      <c r="D8442" t="s">
        <v>40</v>
      </c>
      <c r="E8442" t="s">
        <v>41</v>
      </c>
      <c r="J8442" t="s">
        <v>248</v>
      </c>
      <c r="K8442" t="s">
        <v>249</v>
      </c>
      <c r="L8442">
        <v>3</v>
      </c>
      <c r="M8442" t="s">
        <v>29325</v>
      </c>
      <c r="N8442" t="s">
        <v>4037</v>
      </c>
      <c r="O8442" t="s">
        <v>46</v>
      </c>
      <c r="P8442" t="s">
        <v>46</v>
      </c>
      <c r="Y8442" t="s">
        <v>29326</v>
      </c>
    </row>
    <row r="8443" spans="1:25">
      <c r="A8443" t="s">
        <v>29327</v>
      </c>
      <c r="B8443" t="s">
        <v>29328</v>
      </c>
      <c r="D8443" t="s">
        <v>40</v>
      </c>
      <c r="E8443" t="s">
        <v>41</v>
      </c>
      <c r="J8443" t="s">
        <v>139</v>
      </c>
      <c r="K8443" t="s">
        <v>140</v>
      </c>
      <c r="L8443">
        <v>3</v>
      </c>
      <c r="M8443" t="s">
        <v>29325</v>
      </c>
      <c r="N8443" t="s">
        <v>24245</v>
      </c>
      <c r="O8443" t="s">
        <v>46</v>
      </c>
      <c r="P8443" t="s">
        <v>46</v>
      </c>
      <c r="Y8443" t="s">
        <v>29329</v>
      </c>
    </row>
    <row r="8444" spans="1:25">
      <c r="A8444" t="s">
        <v>29330</v>
      </c>
      <c r="B8444" t="s">
        <v>29331</v>
      </c>
      <c r="D8444" t="s">
        <v>40</v>
      </c>
      <c r="E8444" t="s">
        <v>41</v>
      </c>
      <c r="J8444" t="s">
        <v>921</v>
      </c>
      <c r="K8444" t="s">
        <v>922</v>
      </c>
      <c r="L8444">
        <v>3</v>
      </c>
      <c r="M8444" t="s">
        <v>29332</v>
      </c>
      <c r="N8444" t="s">
        <v>2621</v>
      </c>
      <c r="O8444" t="s">
        <v>46</v>
      </c>
      <c r="P8444" t="s">
        <v>46</v>
      </c>
      <c r="Y8444" t="s">
        <v>29333</v>
      </c>
    </row>
    <row r="8445" spans="1:25">
      <c r="A8445" t="s">
        <v>29334</v>
      </c>
      <c r="B8445" t="s">
        <v>29335</v>
      </c>
      <c r="D8445" t="s">
        <v>40</v>
      </c>
      <c r="E8445" t="s">
        <v>41</v>
      </c>
      <c r="J8445" t="s">
        <v>12440</v>
      </c>
      <c r="K8445" t="s">
        <v>12441</v>
      </c>
      <c r="L8445">
        <v>4</v>
      </c>
      <c r="M8445" t="s">
        <v>29336</v>
      </c>
      <c r="N8445" t="s">
        <v>64</v>
      </c>
      <c r="O8445" t="s">
        <v>46</v>
      </c>
      <c r="P8445" t="s">
        <v>46</v>
      </c>
      <c r="Y8445" t="s">
        <v>29337</v>
      </c>
    </row>
    <row r="8446" spans="1:25">
      <c r="A8446" t="s">
        <v>29338</v>
      </c>
      <c r="B8446" t="s">
        <v>29339</v>
      </c>
      <c r="D8446" t="s">
        <v>40</v>
      </c>
      <c r="E8446" t="s">
        <v>41</v>
      </c>
      <c r="J8446" t="s">
        <v>248</v>
      </c>
      <c r="K8446" t="s">
        <v>249</v>
      </c>
      <c r="L8446">
        <v>3</v>
      </c>
      <c r="M8446" t="s">
        <v>29340</v>
      </c>
      <c r="N8446" t="s">
        <v>24227</v>
      </c>
      <c r="O8446" t="s">
        <v>46</v>
      </c>
      <c r="P8446" t="s">
        <v>46</v>
      </c>
      <c r="Y8446" t="s">
        <v>29341</v>
      </c>
    </row>
    <row r="8447" spans="1:25">
      <c r="A8447" t="s">
        <v>29342</v>
      </c>
      <c r="B8447" t="s">
        <v>29343</v>
      </c>
      <c r="D8447" t="s">
        <v>40</v>
      </c>
      <c r="E8447" t="s">
        <v>41</v>
      </c>
      <c r="J8447" t="s">
        <v>248</v>
      </c>
      <c r="K8447" t="s">
        <v>249</v>
      </c>
      <c r="L8447">
        <v>3</v>
      </c>
      <c r="M8447" t="s">
        <v>29344</v>
      </c>
      <c r="N8447" t="s">
        <v>617</v>
      </c>
      <c r="O8447" t="s">
        <v>46</v>
      </c>
      <c r="P8447" t="s">
        <v>46</v>
      </c>
      <c r="Y8447" t="s">
        <v>29345</v>
      </c>
    </row>
    <row r="8448" spans="1:25">
      <c r="A8448" t="s">
        <v>29346</v>
      </c>
      <c r="B8448" t="s">
        <v>29347</v>
      </c>
      <c r="D8448" t="s">
        <v>40</v>
      </c>
      <c r="E8448" t="s">
        <v>41</v>
      </c>
      <c r="J8448" t="s">
        <v>248</v>
      </c>
      <c r="K8448" t="s">
        <v>249</v>
      </c>
      <c r="L8448">
        <v>3</v>
      </c>
      <c r="M8448" t="s">
        <v>29348</v>
      </c>
      <c r="N8448" t="s">
        <v>53</v>
      </c>
      <c r="O8448" t="s">
        <v>46</v>
      </c>
      <c r="P8448" t="s">
        <v>46</v>
      </c>
      <c r="Y8448" t="s">
        <v>29349</v>
      </c>
    </row>
    <row r="8449" spans="1:25">
      <c r="A8449" t="s">
        <v>29350</v>
      </c>
      <c r="B8449" t="s">
        <v>29351</v>
      </c>
      <c r="D8449" t="s">
        <v>40</v>
      </c>
      <c r="E8449" t="s">
        <v>41</v>
      </c>
      <c r="J8449" t="s">
        <v>22447</v>
      </c>
      <c r="K8449" t="s">
        <v>22448</v>
      </c>
      <c r="L8449">
        <v>3</v>
      </c>
      <c r="M8449" t="s">
        <v>29352</v>
      </c>
      <c r="N8449" t="s">
        <v>23374</v>
      </c>
      <c r="O8449" t="s">
        <v>46</v>
      </c>
      <c r="P8449" t="s">
        <v>46</v>
      </c>
      <c r="Y8449" t="s">
        <v>29353</v>
      </c>
    </row>
    <row r="8450" spans="1:25">
      <c r="A8450" t="s">
        <v>29354</v>
      </c>
      <c r="B8450" t="s">
        <v>29355</v>
      </c>
      <c r="D8450" t="s">
        <v>40</v>
      </c>
      <c r="E8450" t="s">
        <v>41</v>
      </c>
      <c r="J8450" t="s">
        <v>248</v>
      </c>
      <c r="K8450" t="s">
        <v>249</v>
      </c>
      <c r="L8450">
        <v>4</v>
      </c>
      <c r="M8450" t="s">
        <v>29356</v>
      </c>
      <c r="N8450" t="s">
        <v>24245</v>
      </c>
      <c r="O8450" t="s">
        <v>46</v>
      </c>
      <c r="P8450" t="s">
        <v>46</v>
      </c>
      <c r="Y8450" t="s">
        <v>29357</v>
      </c>
    </row>
    <row r="8451" spans="1:25">
      <c r="A8451" t="s">
        <v>29358</v>
      </c>
      <c r="B8451" t="s">
        <v>29359</v>
      </c>
      <c r="D8451" t="s">
        <v>40</v>
      </c>
      <c r="E8451" t="s">
        <v>41</v>
      </c>
      <c r="J8451" t="s">
        <v>248</v>
      </c>
      <c r="K8451" t="s">
        <v>249</v>
      </c>
      <c r="L8451">
        <v>4</v>
      </c>
      <c r="M8451" t="s">
        <v>29360</v>
      </c>
      <c r="N8451" t="s">
        <v>310</v>
      </c>
      <c r="O8451" t="s">
        <v>46</v>
      </c>
      <c r="P8451" t="s">
        <v>46</v>
      </c>
      <c r="Y8451" t="s">
        <v>29361</v>
      </c>
    </row>
    <row r="8452" spans="1:25">
      <c r="A8452" t="s">
        <v>29362</v>
      </c>
      <c r="B8452" t="s">
        <v>29363</v>
      </c>
      <c r="D8452" t="s">
        <v>40</v>
      </c>
      <c r="E8452" t="s">
        <v>41</v>
      </c>
      <c r="J8452" t="s">
        <v>248</v>
      </c>
      <c r="K8452" t="s">
        <v>249</v>
      </c>
      <c r="L8452">
        <v>4</v>
      </c>
      <c r="M8452" t="s">
        <v>29364</v>
      </c>
      <c r="N8452" t="s">
        <v>1024</v>
      </c>
      <c r="O8452" t="s">
        <v>46</v>
      </c>
      <c r="P8452" t="s">
        <v>46</v>
      </c>
      <c r="Y8452" t="s">
        <v>29365</v>
      </c>
    </row>
    <row r="8453" spans="1:25">
      <c r="A8453" t="s">
        <v>29366</v>
      </c>
      <c r="B8453" t="s">
        <v>29367</v>
      </c>
      <c r="D8453" t="s">
        <v>40</v>
      </c>
      <c r="E8453" t="s">
        <v>41</v>
      </c>
      <c r="J8453" t="s">
        <v>248</v>
      </c>
      <c r="K8453" t="s">
        <v>249</v>
      </c>
      <c r="L8453">
        <v>4</v>
      </c>
      <c r="M8453" t="s">
        <v>29368</v>
      </c>
      <c r="N8453" t="s">
        <v>3013</v>
      </c>
      <c r="O8453" t="s">
        <v>46</v>
      </c>
      <c r="P8453" t="s">
        <v>46</v>
      </c>
      <c r="Y8453" t="s">
        <v>29369</v>
      </c>
    </row>
    <row r="8454" spans="1:25">
      <c r="A8454" t="s">
        <v>29370</v>
      </c>
      <c r="B8454" t="s">
        <v>29371</v>
      </c>
      <c r="D8454" t="s">
        <v>40</v>
      </c>
      <c r="E8454" t="s">
        <v>41</v>
      </c>
      <c r="J8454" t="s">
        <v>1554</v>
      </c>
      <c r="K8454" t="s">
        <v>1555</v>
      </c>
      <c r="L8454">
        <v>3</v>
      </c>
      <c r="M8454" t="s">
        <v>29372</v>
      </c>
      <c r="N8454" t="s">
        <v>1446</v>
      </c>
      <c r="O8454" t="s">
        <v>46</v>
      </c>
      <c r="P8454" t="s">
        <v>46</v>
      </c>
      <c r="Y8454" t="s">
        <v>29373</v>
      </c>
    </row>
    <row r="8455" spans="1:25">
      <c r="A8455" t="s">
        <v>29374</v>
      </c>
      <c r="B8455" t="s">
        <v>29375</v>
      </c>
      <c r="D8455" t="s">
        <v>40</v>
      </c>
      <c r="E8455" t="s">
        <v>41</v>
      </c>
      <c r="J8455" t="s">
        <v>248</v>
      </c>
      <c r="K8455" t="s">
        <v>249</v>
      </c>
      <c r="L8455">
        <v>3</v>
      </c>
      <c r="M8455" t="s">
        <v>29376</v>
      </c>
      <c r="N8455" t="s">
        <v>5995</v>
      </c>
      <c r="O8455" t="s">
        <v>46</v>
      </c>
      <c r="P8455" t="s">
        <v>46</v>
      </c>
      <c r="Y8455" t="s">
        <v>29377</v>
      </c>
    </row>
    <row r="8456" spans="1:25">
      <c r="A8456" t="s">
        <v>29378</v>
      </c>
      <c r="B8456" t="s">
        <v>29379</v>
      </c>
      <c r="D8456" t="s">
        <v>40</v>
      </c>
      <c r="E8456" t="s">
        <v>41</v>
      </c>
      <c r="J8456" t="s">
        <v>139</v>
      </c>
      <c r="K8456" t="s">
        <v>140</v>
      </c>
      <c r="L8456">
        <v>3</v>
      </c>
      <c r="M8456" t="s">
        <v>29380</v>
      </c>
      <c r="N8456" t="s">
        <v>310</v>
      </c>
      <c r="O8456" t="s">
        <v>46</v>
      </c>
      <c r="P8456" t="s">
        <v>46</v>
      </c>
      <c r="Y8456" t="s">
        <v>29381</v>
      </c>
    </row>
    <row r="8457" spans="1:25">
      <c r="A8457" t="s">
        <v>29382</v>
      </c>
      <c r="B8457" t="s">
        <v>29383</v>
      </c>
      <c r="D8457" t="s">
        <v>40</v>
      </c>
      <c r="E8457" t="s">
        <v>41</v>
      </c>
      <c r="J8457" t="s">
        <v>1142</v>
      </c>
      <c r="K8457" t="s">
        <v>1143</v>
      </c>
      <c r="L8457">
        <v>3</v>
      </c>
      <c r="M8457" t="s">
        <v>29384</v>
      </c>
      <c r="N8457" t="s">
        <v>756</v>
      </c>
      <c r="O8457" t="s">
        <v>46</v>
      </c>
      <c r="P8457" t="s">
        <v>46</v>
      </c>
      <c r="Y8457" t="s">
        <v>29385</v>
      </c>
    </row>
    <row r="8458" spans="1:25">
      <c r="A8458" t="s">
        <v>29386</v>
      </c>
      <c r="B8458" t="s">
        <v>29387</v>
      </c>
      <c r="D8458" t="s">
        <v>40</v>
      </c>
      <c r="E8458" t="s">
        <v>41</v>
      </c>
      <c r="J8458" t="s">
        <v>1554</v>
      </c>
      <c r="K8458" t="s">
        <v>1555</v>
      </c>
      <c r="L8458">
        <v>3</v>
      </c>
      <c r="M8458" t="s">
        <v>29388</v>
      </c>
      <c r="N8458" t="s">
        <v>1478</v>
      </c>
      <c r="O8458" t="s">
        <v>46</v>
      </c>
      <c r="P8458" t="s">
        <v>46</v>
      </c>
      <c r="Y8458" t="s">
        <v>29389</v>
      </c>
    </row>
    <row r="8459" spans="1:25">
      <c r="A8459" t="s">
        <v>29390</v>
      </c>
      <c r="B8459" t="s">
        <v>29391</v>
      </c>
      <c r="D8459" t="s">
        <v>40</v>
      </c>
      <c r="E8459" t="s">
        <v>41</v>
      </c>
      <c r="J8459" t="s">
        <v>1554</v>
      </c>
      <c r="K8459" t="s">
        <v>1555</v>
      </c>
      <c r="L8459">
        <v>3</v>
      </c>
      <c r="M8459" t="s">
        <v>29392</v>
      </c>
      <c r="N8459" t="s">
        <v>1276</v>
      </c>
      <c r="O8459" t="s">
        <v>46</v>
      </c>
      <c r="P8459" t="s">
        <v>46</v>
      </c>
      <c r="Y8459" t="s">
        <v>29393</v>
      </c>
    </row>
    <row r="8460" spans="1:25">
      <c r="A8460" t="s">
        <v>29394</v>
      </c>
      <c r="B8460" t="s">
        <v>29395</v>
      </c>
      <c r="D8460" t="s">
        <v>40</v>
      </c>
      <c r="E8460" t="s">
        <v>41</v>
      </c>
      <c r="J8460" t="s">
        <v>139</v>
      </c>
      <c r="K8460" t="s">
        <v>140</v>
      </c>
      <c r="L8460">
        <v>3</v>
      </c>
      <c r="M8460" t="s">
        <v>29396</v>
      </c>
      <c r="N8460" t="s">
        <v>24227</v>
      </c>
      <c r="O8460" t="s">
        <v>46</v>
      </c>
      <c r="P8460" t="s">
        <v>46</v>
      </c>
      <c r="Y8460" t="s">
        <v>29397</v>
      </c>
    </row>
    <row r="8461" spans="1:25">
      <c r="A8461" t="s">
        <v>29398</v>
      </c>
      <c r="B8461" t="s">
        <v>29399</v>
      </c>
      <c r="D8461" t="s">
        <v>40</v>
      </c>
      <c r="E8461" t="s">
        <v>41</v>
      </c>
      <c r="J8461" t="s">
        <v>1142</v>
      </c>
      <c r="K8461" t="s">
        <v>1143</v>
      </c>
      <c r="L8461">
        <v>3</v>
      </c>
      <c r="M8461" t="s">
        <v>29400</v>
      </c>
      <c r="N8461" t="s">
        <v>1550</v>
      </c>
      <c r="O8461" t="s">
        <v>46</v>
      </c>
      <c r="P8461" t="s">
        <v>46</v>
      </c>
      <c r="Y8461" t="s">
        <v>29401</v>
      </c>
    </row>
    <row r="8462" spans="1:25">
      <c r="A8462" t="s">
        <v>29402</v>
      </c>
      <c r="B8462" t="s">
        <v>29403</v>
      </c>
      <c r="D8462" t="s">
        <v>40</v>
      </c>
      <c r="E8462" t="s">
        <v>41</v>
      </c>
      <c r="J8462" t="s">
        <v>248</v>
      </c>
      <c r="K8462" t="s">
        <v>249</v>
      </c>
      <c r="L8462">
        <v>3</v>
      </c>
      <c r="M8462" t="s">
        <v>29404</v>
      </c>
      <c r="N8462" t="s">
        <v>24245</v>
      </c>
      <c r="O8462" t="s">
        <v>46</v>
      </c>
      <c r="P8462" t="s">
        <v>46</v>
      </c>
      <c r="Y8462" t="s">
        <v>29405</v>
      </c>
    </row>
    <row r="8463" spans="1:25">
      <c r="A8463" t="s">
        <v>29406</v>
      </c>
      <c r="B8463" t="s">
        <v>29407</v>
      </c>
      <c r="D8463" t="s">
        <v>40</v>
      </c>
      <c r="E8463" t="s">
        <v>41</v>
      </c>
      <c r="J8463" t="s">
        <v>12440</v>
      </c>
      <c r="K8463" t="s">
        <v>12441</v>
      </c>
      <c r="L8463">
        <v>4</v>
      </c>
      <c r="M8463" t="s">
        <v>29408</v>
      </c>
      <c r="N8463" t="s">
        <v>64</v>
      </c>
      <c r="O8463" t="s">
        <v>46</v>
      </c>
      <c r="P8463" t="s">
        <v>46</v>
      </c>
      <c r="Y8463" t="s">
        <v>29409</v>
      </c>
    </row>
    <row r="8464" spans="1:25">
      <c r="A8464" t="s">
        <v>29410</v>
      </c>
      <c r="B8464" t="s">
        <v>29411</v>
      </c>
      <c r="D8464" t="s">
        <v>40</v>
      </c>
      <c r="E8464" t="s">
        <v>41</v>
      </c>
      <c r="J8464" t="s">
        <v>248</v>
      </c>
      <c r="K8464" t="s">
        <v>249</v>
      </c>
      <c r="L8464">
        <v>3</v>
      </c>
      <c r="M8464" t="s">
        <v>29412</v>
      </c>
      <c r="N8464" t="s">
        <v>310</v>
      </c>
      <c r="O8464" t="s">
        <v>46</v>
      </c>
      <c r="P8464" t="s">
        <v>46</v>
      </c>
      <c r="Y8464" t="s">
        <v>29413</v>
      </c>
    </row>
    <row r="8465" spans="1:25">
      <c r="A8465" t="s">
        <v>29414</v>
      </c>
      <c r="B8465" t="s">
        <v>29415</v>
      </c>
      <c r="D8465" t="s">
        <v>40</v>
      </c>
      <c r="E8465" t="s">
        <v>41</v>
      </c>
      <c r="J8465" t="s">
        <v>248</v>
      </c>
      <c r="K8465" t="s">
        <v>249</v>
      </c>
      <c r="L8465">
        <v>3</v>
      </c>
      <c r="M8465" t="s">
        <v>29416</v>
      </c>
      <c r="N8465" t="s">
        <v>24245</v>
      </c>
      <c r="O8465" t="s">
        <v>46</v>
      </c>
      <c r="P8465" t="s">
        <v>46</v>
      </c>
      <c r="Y8465" t="s">
        <v>29417</v>
      </c>
    </row>
    <row r="8466" spans="1:25">
      <c r="A8466" t="s">
        <v>29418</v>
      </c>
      <c r="B8466" t="s">
        <v>29419</v>
      </c>
      <c r="D8466" t="s">
        <v>40</v>
      </c>
      <c r="E8466" t="s">
        <v>41</v>
      </c>
      <c r="J8466" t="s">
        <v>248</v>
      </c>
      <c r="K8466" t="s">
        <v>249</v>
      </c>
      <c r="L8466">
        <v>3</v>
      </c>
      <c r="M8466" t="s">
        <v>29416</v>
      </c>
      <c r="N8466" t="s">
        <v>1024</v>
      </c>
      <c r="O8466" t="s">
        <v>46</v>
      </c>
      <c r="P8466" t="s">
        <v>46</v>
      </c>
      <c r="Y8466" t="s">
        <v>29420</v>
      </c>
    </row>
    <row r="8467" spans="1:25">
      <c r="A8467" t="s">
        <v>29421</v>
      </c>
      <c r="B8467" t="s">
        <v>29422</v>
      </c>
      <c r="D8467" t="s">
        <v>40</v>
      </c>
      <c r="E8467" t="s">
        <v>41</v>
      </c>
      <c r="J8467" t="s">
        <v>1142</v>
      </c>
      <c r="K8467" t="s">
        <v>1143</v>
      </c>
      <c r="L8467">
        <v>3</v>
      </c>
      <c r="M8467" t="s">
        <v>29423</v>
      </c>
      <c r="N8467" t="s">
        <v>4037</v>
      </c>
      <c r="O8467" t="s">
        <v>46</v>
      </c>
      <c r="P8467" t="s">
        <v>46</v>
      </c>
      <c r="Y8467" t="s">
        <v>29424</v>
      </c>
    </row>
    <row r="8468" spans="1:25">
      <c r="A8468" t="s">
        <v>29425</v>
      </c>
      <c r="B8468" t="s">
        <v>29426</v>
      </c>
      <c r="D8468" t="s">
        <v>40</v>
      </c>
      <c r="E8468" t="s">
        <v>41</v>
      </c>
      <c r="J8468" t="s">
        <v>11802</v>
      </c>
      <c r="K8468" t="s">
        <v>11803</v>
      </c>
      <c r="L8468">
        <v>3</v>
      </c>
      <c r="M8468" t="s">
        <v>29427</v>
      </c>
      <c r="N8468" t="s">
        <v>178</v>
      </c>
      <c r="O8468" t="s">
        <v>46</v>
      </c>
      <c r="P8468" t="s">
        <v>46</v>
      </c>
      <c r="Y8468" t="s">
        <v>29428</v>
      </c>
    </row>
    <row r="8469" spans="1:25">
      <c r="A8469" t="s">
        <v>29429</v>
      </c>
      <c r="B8469" t="s">
        <v>29430</v>
      </c>
      <c r="D8469" t="s">
        <v>40</v>
      </c>
      <c r="E8469" t="s">
        <v>41</v>
      </c>
      <c r="J8469" t="s">
        <v>139</v>
      </c>
      <c r="K8469" t="s">
        <v>140</v>
      </c>
      <c r="L8469">
        <v>3</v>
      </c>
      <c r="M8469" t="s">
        <v>29427</v>
      </c>
      <c r="N8469" t="s">
        <v>1397</v>
      </c>
      <c r="O8469" t="s">
        <v>46</v>
      </c>
      <c r="P8469" t="s">
        <v>46</v>
      </c>
      <c r="Y8469" t="s">
        <v>29431</v>
      </c>
    </row>
    <row r="8470" spans="1:25">
      <c r="A8470" t="s">
        <v>29432</v>
      </c>
      <c r="B8470" t="s">
        <v>29433</v>
      </c>
      <c r="D8470" t="s">
        <v>40</v>
      </c>
      <c r="E8470" t="s">
        <v>41</v>
      </c>
      <c r="J8470" t="s">
        <v>139</v>
      </c>
      <c r="K8470" t="s">
        <v>140</v>
      </c>
      <c r="L8470">
        <v>3</v>
      </c>
      <c r="M8470" t="s">
        <v>29434</v>
      </c>
      <c r="N8470" t="s">
        <v>24387</v>
      </c>
      <c r="O8470" t="s">
        <v>46</v>
      </c>
      <c r="P8470" t="s">
        <v>46</v>
      </c>
      <c r="Y8470" t="s">
        <v>29435</v>
      </c>
    </row>
    <row r="8471" spans="1:25">
      <c r="A8471" t="s">
        <v>29436</v>
      </c>
      <c r="B8471" t="s">
        <v>29437</v>
      </c>
      <c r="D8471" t="s">
        <v>40</v>
      </c>
      <c r="E8471" t="s">
        <v>41</v>
      </c>
      <c r="J8471" t="s">
        <v>1554</v>
      </c>
      <c r="K8471" t="s">
        <v>1555</v>
      </c>
      <c r="L8471">
        <v>3</v>
      </c>
      <c r="M8471" t="s">
        <v>29438</v>
      </c>
      <c r="N8471" t="s">
        <v>24227</v>
      </c>
      <c r="O8471" t="s">
        <v>46</v>
      </c>
      <c r="P8471" t="s">
        <v>46</v>
      </c>
      <c r="Y8471" t="s">
        <v>29439</v>
      </c>
    </row>
    <row r="8472" spans="1:25">
      <c r="A8472" t="s">
        <v>29440</v>
      </c>
      <c r="B8472" t="s">
        <v>29441</v>
      </c>
      <c r="D8472" t="s">
        <v>40</v>
      </c>
      <c r="E8472" t="s">
        <v>41</v>
      </c>
      <c r="J8472" t="s">
        <v>139</v>
      </c>
      <c r="K8472" t="s">
        <v>140</v>
      </c>
      <c r="L8472">
        <v>3</v>
      </c>
      <c r="M8472" t="s">
        <v>29442</v>
      </c>
      <c r="N8472" t="s">
        <v>310</v>
      </c>
      <c r="O8472" t="s">
        <v>46</v>
      </c>
      <c r="P8472" t="s">
        <v>46</v>
      </c>
      <c r="Y8472" t="s">
        <v>29443</v>
      </c>
    </row>
    <row r="8473" spans="1:25">
      <c r="A8473" t="s">
        <v>29444</v>
      </c>
      <c r="B8473" t="s">
        <v>29445</v>
      </c>
      <c r="D8473" t="s">
        <v>40</v>
      </c>
      <c r="E8473" t="s">
        <v>41</v>
      </c>
      <c r="J8473" t="s">
        <v>248</v>
      </c>
      <c r="K8473" t="s">
        <v>249</v>
      </c>
      <c r="L8473">
        <v>3</v>
      </c>
      <c r="M8473" t="s">
        <v>29446</v>
      </c>
      <c r="N8473" t="s">
        <v>1550</v>
      </c>
      <c r="O8473" t="s">
        <v>46</v>
      </c>
      <c r="P8473" t="s">
        <v>46</v>
      </c>
      <c r="Y8473" t="s">
        <v>29447</v>
      </c>
    </row>
    <row r="8474" spans="1:25">
      <c r="A8474" t="s">
        <v>29448</v>
      </c>
      <c r="B8474" t="s">
        <v>29449</v>
      </c>
      <c r="D8474" t="s">
        <v>40</v>
      </c>
      <c r="E8474" t="s">
        <v>41</v>
      </c>
      <c r="J8474" t="s">
        <v>248</v>
      </c>
      <c r="K8474" t="s">
        <v>249</v>
      </c>
      <c r="L8474">
        <v>3</v>
      </c>
      <c r="M8474" t="s">
        <v>29450</v>
      </c>
      <c r="N8474" t="s">
        <v>950</v>
      </c>
      <c r="O8474" t="s">
        <v>46</v>
      </c>
      <c r="P8474" t="s">
        <v>46</v>
      </c>
      <c r="Y8474" t="s">
        <v>29451</v>
      </c>
    </row>
    <row r="8475" spans="1:25">
      <c r="A8475" t="s">
        <v>29452</v>
      </c>
      <c r="B8475" t="s">
        <v>29453</v>
      </c>
      <c r="D8475" t="s">
        <v>40</v>
      </c>
      <c r="E8475" t="s">
        <v>41</v>
      </c>
      <c r="J8475" t="s">
        <v>1554</v>
      </c>
      <c r="K8475" t="s">
        <v>1555</v>
      </c>
      <c r="L8475">
        <v>3</v>
      </c>
      <c r="M8475" t="s">
        <v>29454</v>
      </c>
      <c r="N8475" t="s">
        <v>1446</v>
      </c>
      <c r="O8475" t="s">
        <v>46</v>
      </c>
      <c r="P8475" t="s">
        <v>46</v>
      </c>
      <c r="Y8475" t="s">
        <v>29455</v>
      </c>
    </row>
    <row r="8476" spans="1:25">
      <c r="A8476" t="s">
        <v>29456</v>
      </c>
      <c r="B8476" t="s">
        <v>29457</v>
      </c>
      <c r="D8476" t="s">
        <v>40</v>
      </c>
      <c r="E8476" t="s">
        <v>41</v>
      </c>
      <c r="J8476" t="s">
        <v>1554</v>
      </c>
      <c r="K8476" t="s">
        <v>1555</v>
      </c>
      <c r="L8476">
        <v>3</v>
      </c>
      <c r="M8476" t="s">
        <v>29458</v>
      </c>
      <c r="N8476" t="s">
        <v>53</v>
      </c>
      <c r="O8476" t="s">
        <v>46</v>
      </c>
      <c r="P8476" t="s">
        <v>46</v>
      </c>
      <c r="Y8476" t="s">
        <v>29459</v>
      </c>
    </row>
    <row r="8477" spans="1:25">
      <c r="A8477" t="s">
        <v>29460</v>
      </c>
      <c r="B8477" t="s">
        <v>29461</v>
      </c>
      <c r="D8477" t="s">
        <v>40</v>
      </c>
      <c r="E8477" t="s">
        <v>41</v>
      </c>
      <c r="J8477" t="s">
        <v>248</v>
      </c>
      <c r="K8477" t="s">
        <v>249</v>
      </c>
      <c r="L8477">
        <v>3</v>
      </c>
      <c r="M8477" t="s">
        <v>29462</v>
      </c>
      <c r="N8477" t="s">
        <v>23374</v>
      </c>
      <c r="O8477" t="s">
        <v>46</v>
      </c>
      <c r="P8477" t="s">
        <v>46</v>
      </c>
      <c r="Y8477" t="s">
        <v>29463</v>
      </c>
    </row>
    <row r="8478" spans="1:25">
      <c r="A8478" t="s">
        <v>29464</v>
      </c>
      <c r="B8478" t="s">
        <v>29465</v>
      </c>
      <c r="D8478" t="s">
        <v>40</v>
      </c>
      <c r="E8478" t="s">
        <v>41</v>
      </c>
      <c r="J8478" t="s">
        <v>248</v>
      </c>
      <c r="K8478" t="s">
        <v>249</v>
      </c>
      <c r="L8478">
        <v>3</v>
      </c>
      <c r="M8478" t="s">
        <v>29466</v>
      </c>
      <c r="N8478" t="s">
        <v>1276</v>
      </c>
      <c r="O8478" t="s">
        <v>46</v>
      </c>
      <c r="P8478" t="s">
        <v>46</v>
      </c>
      <c r="Y8478" t="s">
        <v>29467</v>
      </c>
    </row>
    <row r="8479" spans="1:25">
      <c r="A8479" t="s">
        <v>29468</v>
      </c>
      <c r="B8479" t="s">
        <v>29469</v>
      </c>
      <c r="D8479" t="s">
        <v>40</v>
      </c>
      <c r="E8479" t="s">
        <v>41</v>
      </c>
      <c r="J8479" t="s">
        <v>139</v>
      </c>
      <c r="K8479" t="s">
        <v>140</v>
      </c>
      <c r="L8479">
        <v>3</v>
      </c>
      <c r="M8479" t="s">
        <v>29470</v>
      </c>
      <c r="N8479" t="s">
        <v>3013</v>
      </c>
      <c r="O8479" t="s">
        <v>46</v>
      </c>
      <c r="P8479" t="s">
        <v>46</v>
      </c>
      <c r="Y8479" t="s">
        <v>29471</v>
      </c>
    </row>
    <row r="8480" spans="1:25">
      <c r="A8480" t="s">
        <v>29472</v>
      </c>
      <c r="B8480" t="s">
        <v>29473</v>
      </c>
      <c r="D8480" t="s">
        <v>40</v>
      </c>
      <c r="E8480" t="s">
        <v>41</v>
      </c>
      <c r="J8480" t="s">
        <v>139</v>
      </c>
      <c r="K8480" t="s">
        <v>140</v>
      </c>
      <c r="L8480">
        <v>3</v>
      </c>
      <c r="M8480" t="s">
        <v>29474</v>
      </c>
      <c r="N8480" t="s">
        <v>142</v>
      </c>
      <c r="O8480" t="s">
        <v>46</v>
      </c>
      <c r="P8480" t="s">
        <v>46</v>
      </c>
      <c r="Y8480" t="s">
        <v>29475</v>
      </c>
    </row>
    <row r="8481" spans="1:25">
      <c r="A8481" t="s">
        <v>29476</v>
      </c>
      <c r="B8481" t="s">
        <v>29477</v>
      </c>
      <c r="D8481" t="s">
        <v>40</v>
      </c>
      <c r="E8481" t="s">
        <v>41</v>
      </c>
      <c r="J8481" t="s">
        <v>248</v>
      </c>
      <c r="K8481" t="s">
        <v>249</v>
      </c>
      <c r="L8481">
        <v>3</v>
      </c>
      <c r="M8481" t="s">
        <v>29478</v>
      </c>
      <c r="N8481" t="s">
        <v>24227</v>
      </c>
      <c r="O8481" t="s">
        <v>46</v>
      </c>
      <c r="P8481" t="s">
        <v>46</v>
      </c>
      <c r="Y8481" t="s">
        <v>29479</v>
      </c>
    </row>
    <row r="8482" spans="1:25">
      <c r="A8482" t="s">
        <v>29480</v>
      </c>
      <c r="B8482" t="s">
        <v>29481</v>
      </c>
      <c r="D8482" t="s">
        <v>40</v>
      </c>
      <c r="E8482" t="s">
        <v>41</v>
      </c>
      <c r="J8482" t="s">
        <v>139</v>
      </c>
      <c r="K8482" t="s">
        <v>140</v>
      </c>
      <c r="L8482">
        <v>3</v>
      </c>
      <c r="M8482" t="s">
        <v>29478</v>
      </c>
      <c r="N8482" t="s">
        <v>27228</v>
      </c>
      <c r="O8482" t="s">
        <v>46</v>
      </c>
      <c r="P8482" t="s">
        <v>46</v>
      </c>
      <c r="Y8482" t="s">
        <v>29482</v>
      </c>
    </row>
    <row r="8483" spans="1:25">
      <c r="A8483" t="s">
        <v>29483</v>
      </c>
      <c r="B8483" t="s">
        <v>29484</v>
      </c>
      <c r="D8483" t="s">
        <v>40</v>
      </c>
      <c r="E8483" t="s">
        <v>41</v>
      </c>
      <c r="J8483" t="s">
        <v>139</v>
      </c>
      <c r="K8483" t="s">
        <v>140</v>
      </c>
      <c r="L8483">
        <v>3</v>
      </c>
      <c r="M8483" t="s">
        <v>29485</v>
      </c>
      <c r="N8483" t="s">
        <v>310</v>
      </c>
      <c r="O8483" t="s">
        <v>46</v>
      </c>
      <c r="P8483" t="s">
        <v>46</v>
      </c>
      <c r="Y8483" t="s">
        <v>29486</v>
      </c>
    </row>
    <row r="8484" spans="1:25">
      <c r="A8484" t="s">
        <v>29487</v>
      </c>
      <c r="B8484" t="s">
        <v>29488</v>
      </c>
      <c r="D8484" t="s">
        <v>40</v>
      </c>
      <c r="E8484" t="s">
        <v>41</v>
      </c>
      <c r="J8484" t="s">
        <v>248</v>
      </c>
      <c r="K8484" t="s">
        <v>249</v>
      </c>
      <c r="L8484">
        <v>3</v>
      </c>
      <c r="M8484" t="s">
        <v>29485</v>
      </c>
      <c r="N8484" t="s">
        <v>1024</v>
      </c>
      <c r="O8484" t="s">
        <v>46</v>
      </c>
      <c r="P8484" t="s">
        <v>46</v>
      </c>
      <c r="Y8484" t="s">
        <v>29489</v>
      </c>
    </row>
    <row r="8485" spans="1:25">
      <c r="A8485" t="s">
        <v>29490</v>
      </c>
      <c r="B8485" t="s">
        <v>29491</v>
      </c>
      <c r="D8485" t="s">
        <v>40</v>
      </c>
      <c r="E8485" t="s">
        <v>41</v>
      </c>
      <c r="J8485" t="s">
        <v>248</v>
      </c>
      <c r="K8485" t="s">
        <v>249</v>
      </c>
      <c r="L8485">
        <v>3</v>
      </c>
      <c r="M8485" t="s">
        <v>29492</v>
      </c>
      <c r="N8485" t="s">
        <v>53</v>
      </c>
      <c r="O8485" t="s">
        <v>46</v>
      </c>
      <c r="P8485" t="s">
        <v>46</v>
      </c>
      <c r="Y8485" t="s">
        <v>29493</v>
      </c>
    </row>
    <row r="8486" spans="1:25">
      <c r="A8486" t="s">
        <v>29494</v>
      </c>
      <c r="B8486" t="s">
        <v>29495</v>
      </c>
      <c r="D8486" t="s">
        <v>40</v>
      </c>
      <c r="E8486" t="s">
        <v>41</v>
      </c>
      <c r="J8486" t="s">
        <v>139</v>
      </c>
      <c r="K8486" t="s">
        <v>140</v>
      </c>
      <c r="L8486">
        <v>3</v>
      </c>
      <c r="M8486" t="s">
        <v>29496</v>
      </c>
      <c r="N8486" t="s">
        <v>4037</v>
      </c>
      <c r="O8486" t="s">
        <v>46</v>
      </c>
      <c r="P8486" t="s">
        <v>46</v>
      </c>
      <c r="Y8486" t="s">
        <v>29497</v>
      </c>
    </row>
    <row r="8487" spans="1:25">
      <c r="A8487" t="s">
        <v>29498</v>
      </c>
      <c r="B8487" t="s">
        <v>29499</v>
      </c>
      <c r="D8487" t="s">
        <v>40</v>
      </c>
      <c r="E8487" t="s">
        <v>41</v>
      </c>
      <c r="J8487" t="s">
        <v>248</v>
      </c>
      <c r="K8487" t="s">
        <v>249</v>
      </c>
      <c r="L8487">
        <v>3</v>
      </c>
      <c r="M8487" t="s">
        <v>29500</v>
      </c>
      <c r="N8487" t="s">
        <v>950</v>
      </c>
      <c r="O8487" t="s">
        <v>46</v>
      </c>
      <c r="P8487" t="s">
        <v>46</v>
      </c>
      <c r="Y8487" t="s">
        <v>29501</v>
      </c>
    </row>
    <row r="8488" spans="1:25">
      <c r="A8488" t="s">
        <v>29502</v>
      </c>
      <c r="B8488" t="s">
        <v>29503</v>
      </c>
      <c r="D8488" t="s">
        <v>40</v>
      </c>
      <c r="E8488" t="s">
        <v>41</v>
      </c>
      <c r="J8488" t="s">
        <v>248</v>
      </c>
      <c r="K8488" t="s">
        <v>249</v>
      </c>
      <c r="L8488">
        <v>3</v>
      </c>
      <c r="M8488" t="s">
        <v>29504</v>
      </c>
      <c r="N8488" t="s">
        <v>440</v>
      </c>
      <c r="O8488" t="s">
        <v>46</v>
      </c>
      <c r="P8488" t="s">
        <v>46</v>
      </c>
      <c r="Y8488" t="s">
        <v>29505</v>
      </c>
    </row>
    <row r="8489" spans="1:25">
      <c r="A8489" t="s">
        <v>29506</v>
      </c>
      <c r="B8489" t="s">
        <v>29507</v>
      </c>
      <c r="D8489" t="s">
        <v>40</v>
      </c>
      <c r="E8489" t="s">
        <v>41</v>
      </c>
      <c r="J8489" t="s">
        <v>1554</v>
      </c>
      <c r="K8489" t="s">
        <v>1555</v>
      </c>
      <c r="L8489">
        <v>3</v>
      </c>
      <c r="M8489" t="s">
        <v>29504</v>
      </c>
      <c r="N8489" t="s">
        <v>24245</v>
      </c>
      <c r="O8489" t="s">
        <v>46</v>
      </c>
      <c r="P8489" t="s">
        <v>46</v>
      </c>
      <c r="Y8489" t="s">
        <v>29508</v>
      </c>
    </row>
    <row r="8490" spans="1:25">
      <c r="A8490" t="s">
        <v>29509</v>
      </c>
      <c r="B8490" t="s">
        <v>29510</v>
      </c>
      <c r="D8490" t="s">
        <v>40</v>
      </c>
      <c r="E8490" t="s">
        <v>41</v>
      </c>
      <c r="J8490" t="s">
        <v>248</v>
      </c>
      <c r="K8490" t="s">
        <v>249</v>
      </c>
      <c r="L8490">
        <v>3</v>
      </c>
      <c r="M8490" t="s">
        <v>29511</v>
      </c>
      <c r="N8490" t="s">
        <v>2346</v>
      </c>
      <c r="O8490" t="s">
        <v>46</v>
      </c>
      <c r="P8490" t="s">
        <v>46</v>
      </c>
      <c r="Y8490" t="s">
        <v>29512</v>
      </c>
    </row>
    <row r="8491" spans="1:25">
      <c r="A8491" t="s">
        <v>29513</v>
      </c>
      <c r="B8491" t="s">
        <v>29514</v>
      </c>
      <c r="D8491" t="s">
        <v>40</v>
      </c>
      <c r="E8491" t="s">
        <v>41</v>
      </c>
      <c r="J8491" t="s">
        <v>248</v>
      </c>
      <c r="K8491" t="s">
        <v>249</v>
      </c>
      <c r="L8491">
        <v>3</v>
      </c>
      <c r="M8491" t="s">
        <v>29515</v>
      </c>
      <c r="N8491" t="s">
        <v>752</v>
      </c>
      <c r="O8491" t="s">
        <v>46</v>
      </c>
      <c r="P8491" t="s">
        <v>46</v>
      </c>
      <c r="Y8491" t="s">
        <v>29516</v>
      </c>
    </row>
    <row r="8492" spans="1:25">
      <c r="A8492" t="s">
        <v>29517</v>
      </c>
      <c r="B8492" t="s">
        <v>29518</v>
      </c>
      <c r="D8492" t="s">
        <v>40</v>
      </c>
      <c r="E8492" t="s">
        <v>41</v>
      </c>
      <c r="J8492" t="s">
        <v>248</v>
      </c>
      <c r="K8492" t="s">
        <v>249</v>
      </c>
      <c r="L8492">
        <v>3</v>
      </c>
      <c r="M8492" t="s">
        <v>29519</v>
      </c>
      <c r="N8492" t="s">
        <v>24240</v>
      </c>
      <c r="O8492" t="s">
        <v>46</v>
      </c>
      <c r="P8492" t="s">
        <v>46</v>
      </c>
      <c r="Y8492" t="s">
        <v>29520</v>
      </c>
    </row>
    <row r="8493" spans="1:25">
      <c r="A8493" t="s">
        <v>29521</v>
      </c>
      <c r="B8493" t="s">
        <v>29522</v>
      </c>
      <c r="D8493" t="s">
        <v>40</v>
      </c>
      <c r="E8493" t="s">
        <v>41</v>
      </c>
      <c r="J8493" t="s">
        <v>139</v>
      </c>
      <c r="K8493" t="s">
        <v>140</v>
      </c>
      <c r="L8493">
        <v>3</v>
      </c>
      <c r="M8493" t="s">
        <v>29523</v>
      </c>
      <c r="N8493" t="s">
        <v>3013</v>
      </c>
      <c r="O8493" t="s">
        <v>46</v>
      </c>
      <c r="P8493" t="s">
        <v>46</v>
      </c>
      <c r="Y8493" t="s">
        <v>29524</v>
      </c>
    </row>
    <row r="8494" spans="1:25">
      <c r="A8494" t="s">
        <v>29525</v>
      </c>
      <c r="B8494" t="s">
        <v>29526</v>
      </c>
      <c r="D8494" t="s">
        <v>40</v>
      </c>
      <c r="E8494" t="s">
        <v>41</v>
      </c>
      <c r="J8494" t="s">
        <v>248</v>
      </c>
      <c r="K8494" t="s">
        <v>249</v>
      </c>
      <c r="L8494">
        <v>3</v>
      </c>
      <c r="M8494" t="s">
        <v>29527</v>
      </c>
      <c r="N8494" t="s">
        <v>1478</v>
      </c>
      <c r="O8494" t="s">
        <v>46</v>
      </c>
      <c r="P8494" t="s">
        <v>46</v>
      </c>
      <c r="Y8494" t="s">
        <v>29528</v>
      </c>
    </row>
    <row r="8495" spans="1:25">
      <c r="A8495" t="s">
        <v>29529</v>
      </c>
      <c r="B8495" t="s">
        <v>29530</v>
      </c>
      <c r="D8495" t="s">
        <v>40</v>
      </c>
      <c r="E8495" t="s">
        <v>41</v>
      </c>
      <c r="J8495" t="s">
        <v>139</v>
      </c>
      <c r="K8495" t="s">
        <v>140</v>
      </c>
      <c r="L8495">
        <v>3</v>
      </c>
      <c r="M8495" t="s">
        <v>29531</v>
      </c>
      <c r="N8495" t="s">
        <v>3013</v>
      </c>
      <c r="O8495" t="s">
        <v>46</v>
      </c>
      <c r="P8495" t="s">
        <v>46</v>
      </c>
      <c r="Y8495" t="s">
        <v>29532</v>
      </c>
    </row>
    <row r="8496" spans="1:25">
      <c r="A8496" t="s">
        <v>29533</v>
      </c>
      <c r="B8496" t="s">
        <v>29534</v>
      </c>
      <c r="D8496" t="s">
        <v>40</v>
      </c>
      <c r="E8496" t="s">
        <v>41</v>
      </c>
      <c r="J8496" t="s">
        <v>139</v>
      </c>
      <c r="K8496" t="s">
        <v>140</v>
      </c>
      <c r="L8496">
        <v>3</v>
      </c>
      <c r="M8496" t="s">
        <v>29535</v>
      </c>
      <c r="N8496" t="s">
        <v>24245</v>
      </c>
      <c r="O8496" t="s">
        <v>46</v>
      </c>
      <c r="P8496" t="s">
        <v>46</v>
      </c>
      <c r="Y8496" t="s">
        <v>29536</v>
      </c>
    </row>
    <row r="8497" spans="1:25">
      <c r="A8497" t="s">
        <v>29537</v>
      </c>
      <c r="B8497" t="s">
        <v>29538</v>
      </c>
      <c r="D8497" t="s">
        <v>40</v>
      </c>
      <c r="E8497" t="s">
        <v>41</v>
      </c>
      <c r="J8497" t="s">
        <v>248</v>
      </c>
      <c r="K8497" t="s">
        <v>249</v>
      </c>
      <c r="L8497">
        <v>3</v>
      </c>
      <c r="M8497" t="s">
        <v>29539</v>
      </c>
      <c r="N8497" t="s">
        <v>142</v>
      </c>
      <c r="O8497" t="s">
        <v>46</v>
      </c>
      <c r="P8497" t="s">
        <v>46</v>
      </c>
      <c r="Y8497" t="s">
        <v>29540</v>
      </c>
    </row>
    <row r="8498" spans="1:25">
      <c r="A8498" t="s">
        <v>29541</v>
      </c>
      <c r="B8498" t="s">
        <v>29542</v>
      </c>
      <c r="D8498" t="s">
        <v>40</v>
      </c>
      <c r="E8498" t="s">
        <v>41</v>
      </c>
      <c r="J8498" t="s">
        <v>921</v>
      </c>
      <c r="K8498" t="s">
        <v>922</v>
      </c>
      <c r="L8498">
        <v>5</v>
      </c>
      <c r="M8498" t="s">
        <v>29543</v>
      </c>
      <c r="N8498" t="s">
        <v>266</v>
      </c>
      <c r="O8498" t="s">
        <v>46</v>
      </c>
      <c r="P8498" t="s">
        <v>46</v>
      </c>
      <c r="Y8498" t="s">
        <v>29544</v>
      </c>
    </row>
    <row r="8499" spans="1:25">
      <c r="A8499" t="s">
        <v>29545</v>
      </c>
      <c r="B8499" t="s">
        <v>29546</v>
      </c>
      <c r="D8499" t="s">
        <v>40</v>
      </c>
      <c r="E8499" t="s">
        <v>41</v>
      </c>
      <c r="J8499" t="s">
        <v>1142</v>
      </c>
      <c r="K8499" t="s">
        <v>1143</v>
      </c>
      <c r="L8499">
        <v>3</v>
      </c>
      <c r="M8499" t="s">
        <v>29547</v>
      </c>
      <c r="N8499" t="s">
        <v>1024</v>
      </c>
      <c r="O8499" t="s">
        <v>46</v>
      </c>
      <c r="P8499" t="s">
        <v>46</v>
      </c>
      <c r="Y8499" t="s">
        <v>29548</v>
      </c>
    </row>
    <row r="8500" spans="1:25">
      <c r="A8500" t="s">
        <v>29549</v>
      </c>
      <c r="B8500" t="s">
        <v>29550</v>
      </c>
      <c r="D8500" t="s">
        <v>40</v>
      </c>
      <c r="E8500" t="s">
        <v>41</v>
      </c>
      <c r="J8500" t="s">
        <v>248</v>
      </c>
      <c r="K8500" t="s">
        <v>249</v>
      </c>
      <c r="L8500">
        <v>3</v>
      </c>
      <c r="M8500" t="s">
        <v>29551</v>
      </c>
      <c r="N8500" t="s">
        <v>310</v>
      </c>
      <c r="O8500" t="s">
        <v>46</v>
      </c>
      <c r="P8500" t="s">
        <v>46</v>
      </c>
      <c r="Y8500" t="s">
        <v>29552</v>
      </c>
    </row>
    <row r="8501" spans="1:25">
      <c r="A8501" t="s">
        <v>29553</v>
      </c>
      <c r="B8501" t="s">
        <v>29554</v>
      </c>
      <c r="D8501" t="s">
        <v>40</v>
      </c>
      <c r="E8501" t="s">
        <v>41</v>
      </c>
      <c r="J8501" t="s">
        <v>248</v>
      </c>
      <c r="K8501" t="s">
        <v>249</v>
      </c>
      <c r="L8501">
        <v>3</v>
      </c>
      <c r="M8501" t="s">
        <v>29555</v>
      </c>
      <c r="N8501" t="s">
        <v>1550</v>
      </c>
      <c r="O8501" t="s">
        <v>46</v>
      </c>
      <c r="P8501" t="s">
        <v>46</v>
      </c>
      <c r="Y8501" t="s">
        <v>29556</v>
      </c>
    </row>
    <row r="8502" spans="1:25">
      <c r="A8502" t="s">
        <v>29557</v>
      </c>
      <c r="B8502" t="s">
        <v>29558</v>
      </c>
      <c r="D8502" t="s">
        <v>40</v>
      </c>
      <c r="E8502" t="s">
        <v>41</v>
      </c>
      <c r="J8502" t="s">
        <v>248</v>
      </c>
      <c r="K8502" t="s">
        <v>249</v>
      </c>
      <c r="L8502">
        <v>3</v>
      </c>
      <c r="M8502" t="s">
        <v>29559</v>
      </c>
      <c r="N8502" t="s">
        <v>1397</v>
      </c>
      <c r="O8502" t="s">
        <v>46</v>
      </c>
      <c r="P8502" t="s">
        <v>46</v>
      </c>
      <c r="Y8502" t="s">
        <v>29560</v>
      </c>
    </row>
    <row r="8503" spans="1:25">
      <c r="A8503" t="s">
        <v>29561</v>
      </c>
      <c r="B8503" t="s">
        <v>29562</v>
      </c>
      <c r="D8503" t="s">
        <v>40</v>
      </c>
      <c r="E8503" t="s">
        <v>41</v>
      </c>
      <c r="J8503" t="s">
        <v>1554</v>
      </c>
      <c r="K8503" t="s">
        <v>1555</v>
      </c>
      <c r="L8503">
        <v>3</v>
      </c>
      <c r="M8503" t="s">
        <v>29563</v>
      </c>
      <c r="N8503" t="s">
        <v>178</v>
      </c>
      <c r="O8503" t="s">
        <v>46</v>
      </c>
      <c r="P8503" t="s">
        <v>46</v>
      </c>
      <c r="Y8503" t="s">
        <v>29564</v>
      </c>
    </row>
    <row r="8504" spans="1:25">
      <c r="A8504" t="s">
        <v>29565</v>
      </c>
      <c r="B8504" t="s">
        <v>29566</v>
      </c>
      <c r="D8504" t="s">
        <v>40</v>
      </c>
      <c r="E8504" t="s">
        <v>41</v>
      </c>
      <c r="J8504" t="s">
        <v>248</v>
      </c>
      <c r="K8504" t="s">
        <v>249</v>
      </c>
      <c r="L8504">
        <v>3</v>
      </c>
      <c r="M8504" t="s">
        <v>29567</v>
      </c>
      <c r="N8504" t="s">
        <v>950</v>
      </c>
      <c r="O8504" t="s">
        <v>46</v>
      </c>
      <c r="P8504" t="s">
        <v>46</v>
      </c>
      <c r="Y8504" t="s">
        <v>29568</v>
      </c>
    </row>
    <row r="8505" spans="1:25">
      <c r="A8505" t="s">
        <v>29569</v>
      </c>
      <c r="B8505" t="s">
        <v>29570</v>
      </c>
      <c r="D8505" t="s">
        <v>40</v>
      </c>
      <c r="E8505" t="s">
        <v>41</v>
      </c>
      <c r="J8505" t="s">
        <v>1554</v>
      </c>
      <c r="K8505" t="s">
        <v>1555</v>
      </c>
      <c r="L8505">
        <v>3</v>
      </c>
      <c r="M8505" t="s">
        <v>29571</v>
      </c>
      <c r="N8505" t="s">
        <v>436</v>
      </c>
      <c r="O8505" t="s">
        <v>46</v>
      </c>
      <c r="P8505" t="s">
        <v>46</v>
      </c>
      <c r="Y8505" t="s">
        <v>29572</v>
      </c>
    </row>
    <row r="8506" spans="1:25">
      <c r="A8506" t="s">
        <v>29573</v>
      </c>
      <c r="B8506" t="s">
        <v>29574</v>
      </c>
      <c r="D8506" t="s">
        <v>40</v>
      </c>
      <c r="E8506" t="s">
        <v>41</v>
      </c>
      <c r="J8506" t="s">
        <v>248</v>
      </c>
      <c r="K8506" t="s">
        <v>249</v>
      </c>
      <c r="L8506">
        <v>3</v>
      </c>
      <c r="M8506" t="s">
        <v>29575</v>
      </c>
      <c r="N8506" t="s">
        <v>1276</v>
      </c>
      <c r="O8506" t="s">
        <v>46</v>
      </c>
      <c r="P8506" t="s">
        <v>46</v>
      </c>
      <c r="Y8506" t="s">
        <v>29576</v>
      </c>
    </row>
    <row r="8507" spans="1:25">
      <c r="A8507" t="s">
        <v>29577</v>
      </c>
      <c r="B8507" t="s">
        <v>29578</v>
      </c>
      <c r="D8507" t="s">
        <v>40</v>
      </c>
      <c r="E8507" t="s">
        <v>41</v>
      </c>
      <c r="J8507" t="s">
        <v>248</v>
      </c>
      <c r="K8507" t="s">
        <v>249</v>
      </c>
      <c r="L8507">
        <v>3</v>
      </c>
      <c r="M8507" t="s">
        <v>29579</v>
      </c>
      <c r="N8507" t="s">
        <v>24227</v>
      </c>
      <c r="O8507" t="s">
        <v>46</v>
      </c>
      <c r="P8507" t="s">
        <v>46</v>
      </c>
      <c r="Y8507" t="s">
        <v>29580</v>
      </c>
    </row>
    <row r="8508" spans="1:25">
      <c r="A8508" t="s">
        <v>29581</v>
      </c>
      <c r="B8508" t="s">
        <v>29582</v>
      </c>
      <c r="D8508" t="s">
        <v>40</v>
      </c>
      <c r="E8508" t="s">
        <v>41</v>
      </c>
      <c r="J8508" t="s">
        <v>248</v>
      </c>
      <c r="K8508" t="s">
        <v>249</v>
      </c>
      <c r="L8508">
        <v>3</v>
      </c>
      <c r="M8508" t="s">
        <v>29583</v>
      </c>
      <c r="N8508" t="s">
        <v>23361</v>
      </c>
      <c r="O8508" t="s">
        <v>46</v>
      </c>
      <c r="P8508" t="s">
        <v>46</v>
      </c>
      <c r="Y8508" t="s">
        <v>29584</v>
      </c>
    </row>
    <row r="8509" spans="1:25">
      <c r="A8509" t="s">
        <v>29585</v>
      </c>
      <c r="B8509" t="s">
        <v>29586</v>
      </c>
      <c r="D8509" t="s">
        <v>40</v>
      </c>
      <c r="E8509" t="s">
        <v>41</v>
      </c>
      <c r="J8509" t="s">
        <v>248</v>
      </c>
      <c r="K8509" t="s">
        <v>249</v>
      </c>
      <c r="L8509">
        <v>3</v>
      </c>
      <c r="M8509" t="s">
        <v>29587</v>
      </c>
      <c r="N8509" t="s">
        <v>27228</v>
      </c>
      <c r="O8509" t="s">
        <v>46</v>
      </c>
      <c r="P8509" t="s">
        <v>46</v>
      </c>
      <c r="Y8509" t="s">
        <v>29588</v>
      </c>
    </row>
    <row r="8510" spans="1:25">
      <c r="A8510" t="s">
        <v>29589</v>
      </c>
      <c r="B8510" t="s">
        <v>29590</v>
      </c>
      <c r="D8510" t="s">
        <v>40</v>
      </c>
      <c r="E8510" t="s">
        <v>41</v>
      </c>
      <c r="J8510" t="s">
        <v>139</v>
      </c>
      <c r="K8510" t="s">
        <v>140</v>
      </c>
      <c r="L8510">
        <v>3</v>
      </c>
      <c r="M8510" t="s">
        <v>29591</v>
      </c>
      <c r="N8510" t="s">
        <v>178</v>
      </c>
      <c r="O8510" t="s">
        <v>46</v>
      </c>
      <c r="P8510" t="s">
        <v>46</v>
      </c>
      <c r="Y8510" t="s">
        <v>29592</v>
      </c>
    </row>
    <row r="8511" spans="1:25">
      <c r="A8511" t="s">
        <v>29593</v>
      </c>
      <c r="B8511" t="s">
        <v>29594</v>
      </c>
      <c r="D8511" t="s">
        <v>40</v>
      </c>
      <c r="E8511" t="s">
        <v>41</v>
      </c>
      <c r="J8511" t="s">
        <v>139</v>
      </c>
      <c r="K8511" t="s">
        <v>140</v>
      </c>
      <c r="L8511">
        <v>3</v>
      </c>
      <c r="M8511" t="s">
        <v>29595</v>
      </c>
      <c r="N8511" t="s">
        <v>4037</v>
      </c>
      <c r="O8511" t="s">
        <v>46</v>
      </c>
      <c r="P8511" t="s">
        <v>46</v>
      </c>
      <c r="Y8511" t="s">
        <v>29596</v>
      </c>
    </row>
    <row r="8512" spans="1:25">
      <c r="A8512" t="s">
        <v>29597</v>
      </c>
      <c r="B8512" t="s">
        <v>29598</v>
      </c>
      <c r="D8512" t="s">
        <v>40</v>
      </c>
      <c r="E8512" t="s">
        <v>41</v>
      </c>
      <c r="J8512" t="s">
        <v>1142</v>
      </c>
      <c r="K8512" t="s">
        <v>1143</v>
      </c>
      <c r="L8512">
        <v>3</v>
      </c>
      <c r="M8512" t="s">
        <v>29599</v>
      </c>
      <c r="N8512" t="s">
        <v>756</v>
      </c>
      <c r="O8512" t="s">
        <v>46</v>
      </c>
      <c r="P8512" t="s">
        <v>46</v>
      </c>
      <c r="Y8512" t="s">
        <v>29600</v>
      </c>
    </row>
    <row r="8513" spans="1:25">
      <c r="A8513" t="s">
        <v>29601</v>
      </c>
      <c r="B8513" t="s">
        <v>29602</v>
      </c>
      <c r="D8513" t="s">
        <v>40</v>
      </c>
      <c r="E8513" t="s">
        <v>41</v>
      </c>
      <c r="J8513" t="s">
        <v>248</v>
      </c>
      <c r="K8513" t="s">
        <v>249</v>
      </c>
      <c r="L8513">
        <v>3</v>
      </c>
      <c r="M8513" t="s">
        <v>29603</v>
      </c>
      <c r="N8513" t="s">
        <v>1369</v>
      </c>
      <c r="O8513" t="s">
        <v>46</v>
      </c>
      <c r="P8513" t="s">
        <v>46</v>
      </c>
      <c r="Y8513" t="s">
        <v>29604</v>
      </c>
    </row>
    <row r="8514" spans="1:25">
      <c r="A8514" t="s">
        <v>29605</v>
      </c>
      <c r="B8514" t="s">
        <v>29606</v>
      </c>
      <c r="D8514" t="s">
        <v>40</v>
      </c>
      <c r="E8514" t="s">
        <v>41</v>
      </c>
      <c r="J8514" t="s">
        <v>248</v>
      </c>
      <c r="K8514" t="s">
        <v>249</v>
      </c>
      <c r="L8514">
        <v>3</v>
      </c>
      <c r="M8514" t="s">
        <v>29607</v>
      </c>
      <c r="N8514" t="s">
        <v>53</v>
      </c>
      <c r="O8514" t="s">
        <v>46</v>
      </c>
      <c r="P8514" t="s">
        <v>46</v>
      </c>
      <c r="Y8514" t="s">
        <v>29608</v>
      </c>
    </row>
    <row r="8515" spans="1:25">
      <c r="A8515" t="s">
        <v>29609</v>
      </c>
      <c r="B8515" t="s">
        <v>29610</v>
      </c>
      <c r="D8515" t="s">
        <v>40</v>
      </c>
      <c r="E8515" t="s">
        <v>41</v>
      </c>
      <c r="J8515" t="s">
        <v>9159</v>
      </c>
      <c r="K8515" t="s">
        <v>9160</v>
      </c>
      <c r="L8515">
        <v>3</v>
      </c>
      <c r="M8515" t="s">
        <v>29611</v>
      </c>
      <c r="N8515" t="s">
        <v>1369</v>
      </c>
      <c r="O8515" t="s">
        <v>46</v>
      </c>
      <c r="P8515" t="s">
        <v>46</v>
      </c>
      <c r="Y8515" t="s">
        <v>29612</v>
      </c>
    </row>
    <row r="8516" spans="1:25">
      <c r="A8516" t="s">
        <v>29613</v>
      </c>
      <c r="B8516" t="s">
        <v>29614</v>
      </c>
      <c r="D8516" t="s">
        <v>40</v>
      </c>
      <c r="E8516" t="s">
        <v>41</v>
      </c>
      <c r="J8516" t="s">
        <v>12440</v>
      </c>
      <c r="K8516" t="s">
        <v>12441</v>
      </c>
      <c r="L8516">
        <v>4</v>
      </c>
      <c r="M8516" t="s">
        <v>29615</v>
      </c>
      <c r="N8516" t="s">
        <v>64</v>
      </c>
      <c r="O8516" t="s">
        <v>46</v>
      </c>
      <c r="P8516" t="s">
        <v>46</v>
      </c>
      <c r="Y8516" t="s">
        <v>29616</v>
      </c>
    </row>
    <row r="8517" spans="1:25">
      <c r="A8517" t="s">
        <v>29617</v>
      </c>
      <c r="B8517" t="s">
        <v>29618</v>
      </c>
      <c r="D8517" t="s">
        <v>40</v>
      </c>
      <c r="E8517" t="s">
        <v>41</v>
      </c>
      <c r="J8517" t="s">
        <v>139</v>
      </c>
      <c r="K8517" t="s">
        <v>140</v>
      </c>
      <c r="L8517">
        <v>3</v>
      </c>
      <c r="M8517" t="s">
        <v>29619</v>
      </c>
      <c r="N8517" t="s">
        <v>25508</v>
      </c>
      <c r="O8517" t="s">
        <v>46</v>
      </c>
      <c r="P8517" t="s">
        <v>46</v>
      </c>
      <c r="Y8517" t="s">
        <v>29620</v>
      </c>
    </row>
    <row r="8518" spans="1:25">
      <c r="A8518" t="s">
        <v>29621</v>
      </c>
      <c r="B8518" t="s">
        <v>29622</v>
      </c>
      <c r="D8518" t="s">
        <v>40</v>
      </c>
      <c r="E8518" t="s">
        <v>41</v>
      </c>
      <c r="J8518" t="s">
        <v>248</v>
      </c>
      <c r="K8518" t="s">
        <v>249</v>
      </c>
      <c r="L8518">
        <v>3</v>
      </c>
      <c r="M8518" t="s">
        <v>29623</v>
      </c>
      <c r="N8518" t="s">
        <v>1814</v>
      </c>
      <c r="O8518" t="s">
        <v>46</v>
      </c>
      <c r="P8518" t="s">
        <v>46</v>
      </c>
      <c r="Y8518" t="s">
        <v>29624</v>
      </c>
    </row>
    <row r="8519" spans="1:25">
      <c r="A8519" t="s">
        <v>29625</v>
      </c>
      <c r="B8519" t="s">
        <v>29626</v>
      </c>
      <c r="D8519" t="s">
        <v>40</v>
      </c>
      <c r="E8519" t="s">
        <v>41</v>
      </c>
      <c r="J8519" t="s">
        <v>1554</v>
      </c>
      <c r="K8519" t="s">
        <v>1555</v>
      </c>
      <c r="L8519">
        <v>3</v>
      </c>
      <c r="M8519" t="s">
        <v>29627</v>
      </c>
      <c r="N8519" t="s">
        <v>315</v>
      </c>
      <c r="O8519" t="s">
        <v>46</v>
      </c>
      <c r="P8519" t="s">
        <v>46</v>
      </c>
      <c r="Y8519" t="s">
        <v>29628</v>
      </c>
    </row>
    <row r="8520" spans="1:25">
      <c r="A8520" t="s">
        <v>29629</v>
      </c>
      <c r="B8520" t="s">
        <v>29630</v>
      </c>
      <c r="D8520" t="s">
        <v>40</v>
      </c>
      <c r="E8520" t="s">
        <v>41</v>
      </c>
      <c r="J8520" t="s">
        <v>911</v>
      </c>
      <c r="K8520" t="s">
        <v>912</v>
      </c>
      <c r="L8520">
        <v>3</v>
      </c>
      <c r="M8520" t="s">
        <v>29631</v>
      </c>
      <c r="N8520" t="s">
        <v>24240</v>
      </c>
      <c r="O8520" t="s">
        <v>46</v>
      </c>
      <c r="P8520" t="s">
        <v>46</v>
      </c>
      <c r="Y8520" t="s">
        <v>29632</v>
      </c>
    </row>
    <row r="8521" spans="1:25">
      <c r="A8521" t="s">
        <v>29633</v>
      </c>
      <c r="B8521" t="s">
        <v>29634</v>
      </c>
      <c r="D8521" t="s">
        <v>40</v>
      </c>
      <c r="E8521" t="s">
        <v>41</v>
      </c>
      <c r="J8521" t="s">
        <v>1142</v>
      </c>
      <c r="K8521" t="s">
        <v>1143</v>
      </c>
      <c r="L8521">
        <v>3</v>
      </c>
      <c r="M8521" t="s">
        <v>29635</v>
      </c>
      <c r="N8521" t="s">
        <v>440</v>
      </c>
      <c r="O8521" t="s">
        <v>46</v>
      </c>
      <c r="P8521" t="s">
        <v>46</v>
      </c>
      <c r="Y8521" t="s">
        <v>29636</v>
      </c>
    </row>
    <row r="8522" spans="1:25">
      <c r="A8522" t="s">
        <v>29637</v>
      </c>
      <c r="B8522" t="s">
        <v>29638</v>
      </c>
      <c r="D8522" t="s">
        <v>40</v>
      </c>
      <c r="E8522" t="s">
        <v>41</v>
      </c>
      <c r="J8522" t="s">
        <v>1554</v>
      </c>
      <c r="K8522" t="s">
        <v>1555</v>
      </c>
      <c r="L8522">
        <v>3</v>
      </c>
      <c r="M8522" t="s">
        <v>29639</v>
      </c>
      <c r="N8522" t="s">
        <v>23361</v>
      </c>
      <c r="O8522" t="s">
        <v>46</v>
      </c>
      <c r="P8522" t="s">
        <v>46</v>
      </c>
      <c r="Y8522" t="s">
        <v>29640</v>
      </c>
    </row>
    <row r="8523" spans="1:25">
      <c r="A8523" t="s">
        <v>29641</v>
      </c>
      <c r="B8523" t="s">
        <v>29642</v>
      </c>
      <c r="D8523" t="s">
        <v>40</v>
      </c>
      <c r="E8523" t="s">
        <v>41</v>
      </c>
      <c r="J8523" t="s">
        <v>139</v>
      </c>
      <c r="K8523" t="s">
        <v>140</v>
      </c>
      <c r="L8523">
        <v>3</v>
      </c>
      <c r="M8523" t="s">
        <v>29639</v>
      </c>
      <c r="N8523" t="s">
        <v>24245</v>
      </c>
      <c r="O8523" t="s">
        <v>46</v>
      </c>
      <c r="P8523" t="s">
        <v>46</v>
      </c>
      <c r="Y8523" t="s">
        <v>29643</v>
      </c>
    </row>
    <row r="8524" spans="1:25">
      <c r="A8524" t="s">
        <v>29644</v>
      </c>
      <c r="B8524" t="s">
        <v>29645</v>
      </c>
      <c r="D8524" t="s">
        <v>40</v>
      </c>
      <c r="E8524" t="s">
        <v>41</v>
      </c>
      <c r="J8524" t="s">
        <v>248</v>
      </c>
      <c r="K8524" t="s">
        <v>249</v>
      </c>
      <c r="L8524">
        <v>3</v>
      </c>
      <c r="M8524" t="s">
        <v>29646</v>
      </c>
      <c r="N8524" t="s">
        <v>1446</v>
      </c>
      <c r="O8524" t="s">
        <v>46</v>
      </c>
      <c r="P8524" t="s">
        <v>46</v>
      </c>
      <c r="Y8524" t="s">
        <v>29647</v>
      </c>
    </row>
    <row r="8525" spans="1:25">
      <c r="A8525" t="s">
        <v>29648</v>
      </c>
      <c r="B8525" t="s">
        <v>29649</v>
      </c>
      <c r="D8525" t="s">
        <v>40</v>
      </c>
      <c r="E8525" t="s">
        <v>41</v>
      </c>
      <c r="J8525" t="s">
        <v>248</v>
      </c>
      <c r="K8525" t="s">
        <v>249</v>
      </c>
      <c r="L8525">
        <v>3</v>
      </c>
      <c r="M8525" t="s">
        <v>29650</v>
      </c>
      <c r="N8525" t="s">
        <v>1276</v>
      </c>
      <c r="O8525" t="s">
        <v>46</v>
      </c>
      <c r="P8525" t="s">
        <v>46</v>
      </c>
      <c r="Y8525" t="s">
        <v>29651</v>
      </c>
    </row>
    <row r="8526" spans="1:25">
      <c r="A8526" t="s">
        <v>29652</v>
      </c>
      <c r="B8526" t="s">
        <v>29653</v>
      </c>
      <c r="D8526" t="s">
        <v>40</v>
      </c>
      <c r="E8526" t="s">
        <v>41</v>
      </c>
      <c r="J8526" t="s">
        <v>248</v>
      </c>
      <c r="K8526" t="s">
        <v>249</v>
      </c>
      <c r="L8526">
        <v>3</v>
      </c>
      <c r="M8526" t="s">
        <v>29650</v>
      </c>
      <c r="N8526" t="s">
        <v>142</v>
      </c>
      <c r="O8526" t="s">
        <v>46</v>
      </c>
      <c r="P8526" t="s">
        <v>46</v>
      </c>
      <c r="Y8526" t="s">
        <v>29654</v>
      </c>
    </row>
    <row r="8527" spans="1:25">
      <c r="A8527" t="s">
        <v>29655</v>
      </c>
      <c r="B8527" t="s">
        <v>29656</v>
      </c>
      <c r="D8527" t="s">
        <v>40</v>
      </c>
      <c r="E8527" t="s">
        <v>41</v>
      </c>
      <c r="J8527" t="s">
        <v>248</v>
      </c>
      <c r="K8527" t="s">
        <v>249</v>
      </c>
      <c r="L8527">
        <v>3</v>
      </c>
      <c r="M8527" t="s">
        <v>29657</v>
      </c>
      <c r="N8527" t="s">
        <v>53</v>
      </c>
      <c r="O8527" t="s">
        <v>46</v>
      </c>
      <c r="P8527" t="s">
        <v>46</v>
      </c>
      <c r="Y8527" t="s">
        <v>29658</v>
      </c>
    </row>
    <row r="8528" spans="1:25">
      <c r="A8528" t="s">
        <v>29659</v>
      </c>
      <c r="B8528" t="s">
        <v>29660</v>
      </c>
      <c r="D8528" t="s">
        <v>40</v>
      </c>
      <c r="E8528" t="s">
        <v>41</v>
      </c>
      <c r="J8528" t="s">
        <v>139</v>
      </c>
      <c r="K8528" t="s">
        <v>140</v>
      </c>
      <c r="L8528">
        <v>3</v>
      </c>
      <c r="M8528" t="s">
        <v>29661</v>
      </c>
      <c r="N8528" t="s">
        <v>25508</v>
      </c>
      <c r="O8528" t="s">
        <v>46</v>
      </c>
      <c r="P8528" t="s">
        <v>46</v>
      </c>
      <c r="Y8528" t="s">
        <v>29662</v>
      </c>
    </row>
    <row r="8529" spans="1:25">
      <c r="A8529" t="s">
        <v>29663</v>
      </c>
      <c r="B8529" t="s">
        <v>29664</v>
      </c>
      <c r="D8529" t="s">
        <v>40</v>
      </c>
      <c r="E8529" t="s">
        <v>41</v>
      </c>
      <c r="J8529" t="s">
        <v>139</v>
      </c>
      <c r="K8529" t="s">
        <v>140</v>
      </c>
      <c r="L8529">
        <v>3</v>
      </c>
      <c r="M8529" t="s">
        <v>29665</v>
      </c>
      <c r="N8529" t="s">
        <v>1344</v>
      </c>
      <c r="O8529" t="s">
        <v>46</v>
      </c>
      <c r="P8529" t="s">
        <v>46</v>
      </c>
      <c r="Y8529" t="s">
        <v>29666</v>
      </c>
    </row>
    <row r="8530" spans="1:25">
      <c r="A8530" t="s">
        <v>29667</v>
      </c>
      <c r="B8530" t="s">
        <v>29668</v>
      </c>
      <c r="D8530" t="s">
        <v>40</v>
      </c>
      <c r="E8530" t="s">
        <v>41</v>
      </c>
      <c r="J8530" t="s">
        <v>248</v>
      </c>
      <c r="K8530" t="s">
        <v>249</v>
      </c>
      <c r="L8530">
        <v>3</v>
      </c>
      <c r="M8530" t="s">
        <v>29669</v>
      </c>
      <c r="N8530" t="s">
        <v>950</v>
      </c>
      <c r="O8530" t="s">
        <v>46</v>
      </c>
      <c r="P8530" t="s">
        <v>46</v>
      </c>
      <c r="Y8530" t="s">
        <v>29670</v>
      </c>
    </row>
    <row r="8531" spans="1:25">
      <c r="A8531" t="s">
        <v>29671</v>
      </c>
      <c r="B8531" t="s">
        <v>29672</v>
      </c>
      <c r="D8531" t="s">
        <v>40</v>
      </c>
      <c r="E8531" t="s">
        <v>41</v>
      </c>
      <c r="J8531" t="s">
        <v>248</v>
      </c>
      <c r="K8531" t="s">
        <v>249</v>
      </c>
      <c r="L8531">
        <v>3</v>
      </c>
      <c r="M8531" t="s">
        <v>29673</v>
      </c>
      <c r="N8531" t="s">
        <v>1229</v>
      </c>
      <c r="O8531" t="s">
        <v>46</v>
      </c>
      <c r="P8531" t="s">
        <v>46</v>
      </c>
      <c r="Y8531" t="s">
        <v>29674</v>
      </c>
    </row>
    <row r="8532" spans="1:25">
      <c r="A8532" t="s">
        <v>29675</v>
      </c>
      <c r="B8532" t="s">
        <v>29676</v>
      </c>
      <c r="D8532" t="s">
        <v>40</v>
      </c>
      <c r="E8532" t="s">
        <v>41</v>
      </c>
      <c r="J8532" t="s">
        <v>248</v>
      </c>
      <c r="K8532" t="s">
        <v>249</v>
      </c>
      <c r="L8532">
        <v>3</v>
      </c>
      <c r="M8532" t="s">
        <v>29677</v>
      </c>
      <c r="N8532" t="s">
        <v>1024</v>
      </c>
      <c r="O8532" t="s">
        <v>46</v>
      </c>
      <c r="P8532" t="s">
        <v>46</v>
      </c>
      <c r="Y8532" t="s">
        <v>29678</v>
      </c>
    </row>
    <row r="8533" spans="1:25">
      <c r="A8533" t="s">
        <v>29679</v>
      </c>
      <c r="B8533" t="s">
        <v>29680</v>
      </c>
      <c r="D8533" t="s">
        <v>40</v>
      </c>
      <c r="E8533" t="s">
        <v>41</v>
      </c>
      <c r="J8533" t="s">
        <v>248</v>
      </c>
      <c r="K8533" t="s">
        <v>249</v>
      </c>
      <c r="L8533">
        <v>3</v>
      </c>
      <c r="M8533" t="s">
        <v>29681</v>
      </c>
      <c r="N8533" t="s">
        <v>1276</v>
      </c>
      <c r="O8533" t="s">
        <v>46</v>
      </c>
      <c r="P8533" t="s">
        <v>46</v>
      </c>
      <c r="Y8533" t="s">
        <v>29682</v>
      </c>
    </row>
    <row r="8534" spans="1:25">
      <c r="A8534" t="s">
        <v>29683</v>
      </c>
      <c r="B8534" t="s">
        <v>29684</v>
      </c>
      <c r="D8534" t="s">
        <v>40</v>
      </c>
      <c r="E8534" t="s">
        <v>41</v>
      </c>
      <c r="J8534" t="s">
        <v>248</v>
      </c>
      <c r="K8534" t="s">
        <v>249</v>
      </c>
      <c r="L8534">
        <v>3</v>
      </c>
      <c r="M8534" t="s">
        <v>29685</v>
      </c>
      <c r="N8534" t="s">
        <v>315</v>
      </c>
      <c r="O8534" t="s">
        <v>46</v>
      </c>
      <c r="P8534" t="s">
        <v>46</v>
      </c>
      <c r="Y8534" t="s">
        <v>29686</v>
      </c>
    </row>
    <row r="8535" spans="1:25">
      <c r="A8535" t="s">
        <v>29687</v>
      </c>
      <c r="B8535" t="s">
        <v>29688</v>
      </c>
      <c r="D8535" t="s">
        <v>40</v>
      </c>
      <c r="E8535" t="s">
        <v>41</v>
      </c>
      <c r="J8535" t="s">
        <v>1142</v>
      </c>
      <c r="K8535" t="s">
        <v>1143</v>
      </c>
      <c r="L8535">
        <v>3</v>
      </c>
      <c r="M8535" t="s">
        <v>29689</v>
      </c>
      <c r="N8535" t="s">
        <v>3013</v>
      </c>
      <c r="O8535" t="s">
        <v>46</v>
      </c>
      <c r="P8535" t="s">
        <v>46</v>
      </c>
      <c r="Y8535" t="s">
        <v>29690</v>
      </c>
    </row>
    <row r="8536" spans="1:25">
      <c r="A8536" t="s">
        <v>29691</v>
      </c>
      <c r="B8536" t="s">
        <v>29692</v>
      </c>
      <c r="D8536" t="s">
        <v>40</v>
      </c>
      <c r="E8536" t="s">
        <v>41</v>
      </c>
      <c r="J8536" t="s">
        <v>139</v>
      </c>
      <c r="K8536" t="s">
        <v>140</v>
      </c>
      <c r="L8536">
        <v>3</v>
      </c>
      <c r="M8536" t="s">
        <v>29693</v>
      </c>
      <c r="N8536" t="s">
        <v>142</v>
      </c>
      <c r="O8536" t="s">
        <v>46</v>
      </c>
      <c r="P8536" t="s">
        <v>46</v>
      </c>
      <c r="Y8536" t="s">
        <v>29694</v>
      </c>
    </row>
    <row r="8537" spans="1:25">
      <c r="A8537" t="s">
        <v>29695</v>
      </c>
      <c r="B8537" t="s">
        <v>29696</v>
      </c>
      <c r="D8537" t="s">
        <v>40</v>
      </c>
      <c r="E8537" t="s">
        <v>41</v>
      </c>
      <c r="J8537" t="s">
        <v>248</v>
      </c>
      <c r="K8537" t="s">
        <v>249</v>
      </c>
      <c r="L8537">
        <v>3</v>
      </c>
      <c r="M8537" t="s">
        <v>29697</v>
      </c>
      <c r="N8537" t="s">
        <v>1229</v>
      </c>
      <c r="O8537" t="s">
        <v>46</v>
      </c>
      <c r="P8537" t="s">
        <v>46</v>
      </c>
      <c r="Y8537" t="s">
        <v>29698</v>
      </c>
    </row>
    <row r="8538" spans="1:25">
      <c r="A8538" t="s">
        <v>29699</v>
      </c>
      <c r="B8538" t="s">
        <v>29700</v>
      </c>
      <c r="D8538" t="s">
        <v>40</v>
      </c>
      <c r="E8538" t="s">
        <v>41</v>
      </c>
      <c r="J8538" t="s">
        <v>248</v>
      </c>
      <c r="K8538" t="s">
        <v>249</v>
      </c>
      <c r="L8538">
        <v>3</v>
      </c>
      <c r="M8538" t="s">
        <v>29701</v>
      </c>
      <c r="N8538" t="s">
        <v>53</v>
      </c>
      <c r="O8538" t="s">
        <v>46</v>
      </c>
      <c r="P8538" t="s">
        <v>46</v>
      </c>
      <c r="Y8538" t="s">
        <v>29702</v>
      </c>
    </row>
    <row r="8539" spans="1:25">
      <c r="A8539" t="s">
        <v>29703</v>
      </c>
      <c r="B8539" t="s">
        <v>29704</v>
      </c>
      <c r="D8539" t="s">
        <v>40</v>
      </c>
      <c r="E8539" t="s">
        <v>41</v>
      </c>
      <c r="J8539" t="s">
        <v>248</v>
      </c>
      <c r="K8539" t="s">
        <v>249</v>
      </c>
      <c r="L8539">
        <v>3</v>
      </c>
      <c r="M8539" t="s">
        <v>29705</v>
      </c>
      <c r="N8539" t="s">
        <v>1397</v>
      </c>
      <c r="O8539" t="s">
        <v>46</v>
      </c>
      <c r="P8539" t="s">
        <v>46</v>
      </c>
      <c r="Y8539" t="s">
        <v>29706</v>
      </c>
    </row>
    <row r="8540" spans="1:25">
      <c r="A8540" t="s">
        <v>29707</v>
      </c>
      <c r="B8540" t="s">
        <v>29708</v>
      </c>
      <c r="D8540" t="s">
        <v>40</v>
      </c>
      <c r="E8540" t="s">
        <v>41</v>
      </c>
      <c r="J8540" t="s">
        <v>248</v>
      </c>
      <c r="K8540" t="s">
        <v>249</v>
      </c>
      <c r="L8540">
        <v>3</v>
      </c>
      <c r="M8540" t="s">
        <v>29709</v>
      </c>
      <c r="N8540" t="s">
        <v>1024</v>
      </c>
      <c r="O8540" t="s">
        <v>46</v>
      </c>
      <c r="P8540" t="s">
        <v>46</v>
      </c>
      <c r="Y8540" t="s">
        <v>29710</v>
      </c>
    </row>
    <row r="8541" spans="1:25">
      <c r="A8541" t="s">
        <v>29711</v>
      </c>
      <c r="B8541" t="s">
        <v>29712</v>
      </c>
      <c r="D8541" t="s">
        <v>40</v>
      </c>
      <c r="E8541" t="s">
        <v>41</v>
      </c>
      <c r="J8541" t="s">
        <v>248</v>
      </c>
      <c r="K8541" t="s">
        <v>249</v>
      </c>
      <c r="L8541">
        <v>3</v>
      </c>
      <c r="M8541" t="s">
        <v>29713</v>
      </c>
      <c r="N8541" t="s">
        <v>24245</v>
      </c>
      <c r="O8541" t="s">
        <v>46</v>
      </c>
      <c r="P8541" t="s">
        <v>46</v>
      </c>
      <c r="Y8541" t="s">
        <v>29714</v>
      </c>
    </row>
    <row r="8542" spans="1:25">
      <c r="A8542" t="s">
        <v>29715</v>
      </c>
      <c r="B8542" t="s">
        <v>29716</v>
      </c>
      <c r="D8542" t="s">
        <v>40</v>
      </c>
      <c r="E8542" t="s">
        <v>41</v>
      </c>
      <c r="J8542" t="s">
        <v>1142</v>
      </c>
      <c r="K8542" t="s">
        <v>1143</v>
      </c>
      <c r="L8542">
        <v>3</v>
      </c>
      <c r="M8542" t="s">
        <v>29713</v>
      </c>
      <c r="N8542" t="s">
        <v>178</v>
      </c>
      <c r="O8542" t="s">
        <v>46</v>
      </c>
      <c r="P8542" t="s">
        <v>46</v>
      </c>
      <c r="Y8542" t="s">
        <v>29717</v>
      </c>
    </row>
    <row r="8543" spans="1:25">
      <c r="A8543" t="s">
        <v>29718</v>
      </c>
      <c r="B8543" t="s">
        <v>29719</v>
      </c>
      <c r="D8543" t="s">
        <v>40</v>
      </c>
      <c r="E8543" t="s">
        <v>41</v>
      </c>
      <c r="J8543" t="s">
        <v>139</v>
      </c>
      <c r="K8543" t="s">
        <v>140</v>
      </c>
      <c r="L8543">
        <v>3</v>
      </c>
      <c r="M8543" t="s">
        <v>29720</v>
      </c>
      <c r="N8543" t="s">
        <v>1550</v>
      </c>
      <c r="O8543" t="s">
        <v>46</v>
      </c>
      <c r="P8543" t="s">
        <v>46</v>
      </c>
      <c r="Y8543" t="s">
        <v>29721</v>
      </c>
    </row>
    <row r="8544" spans="1:25">
      <c r="A8544" t="s">
        <v>29722</v>
      </c>
      <c r="B8544" t="s">
        <v>29723</v>
      </c>
      <c r="D8544" t="s">
        <v>40</v>
      </c>
      <c r="E8544" t="s">
        <v>41</v>
      </c>
      <c r="J8544" t="s">
        <v>911</v>
      </c>
      <c r="K8544" t="s">
        <v>912</v>
      </c>
      <c r="L8544">
        <v>3</v>
      </c>
      <c r="M8544" t="s">
        <v>29724</v>
      </c>
      <c r="N8544" t="s">
        <v>752</v>
      </c>
      <c r="O8544" t="s">
        <v>46</v>
      </c>
      <c r="P8544" t="s">
        <v>46</v>
      </c>
      <c r="Y8544" t="s">
        <v>29725</v>
      </c>
    </row>
    <row r="8545" spans="1:25">
      <c r="A8545" t="s">
        <v>29726</v>
      </c>
      <c r="B8545" t="s">
        <v>29727</v>
      </c>
      <c r="D8545" t="s">
        <v>40</v>
      </c>
      <c r="E8545" t="s">
        <v>41</v>
      </c>
      <c r="J8545" t="s">
        <v>248</v>
      </c>
      <c r="K8545" t="s">
        <v>249</v>
      </c>
      <c r="L8545">
        <v>3</v>
      </c>
      <c r="M8545" t="s">
        <v>29728</v>
      </c>
      <c r="N8545" t="s">
        <v>617</v>
      </c>
      <c r="O8545" t="s">
        <v>46</v>
      </c>
      <c r="P8545" t="s">
        <v>46</v>
      </c>
      <c r="Y8545" t="s">
        <v>29729</v>
      </c>
    </row>
    <row r="8546" spans="1:25">
      <c r="A8546" t="s">
        <v>29730</v>
      </c>
      <c r="B8546" t="s">
        <v>29731</v>
      </c>
      <c r="D8546" t="s">
        <v>40</v>
      </c>
      <c r="E8546" t="s">
        <v>41</v>
      </c>
      <c r="J8546" t="s">
        <v>1142</v>
      </c>
      <c r="K8546" t="s">
        <v>1143</v>
      </c>
      <c r="L8546">
        <v>4</v>
      </c>
      <c r="M8546" t="s">
        <v>29732</v>
      </c>
      <c r="N8546" t="s">
        <v>1814</v>
      </c>
      <c r="O8546" t="s">
        <v>46</v>
      </c>
      <c r="P8546" t="s">
        <v>46</v>
      </c>
      <c r="Y8546" t="s">
        <v>29733</v>
      </c>
    </row>
    <row r="8547" spans="1:25">
      <c r="A8547" t="s">
        <v>29734</v>
      </c>
      <c r="B8547" t="s">
        <v>29735</v>
      </c>
      <c r="D8547" t="s">
        <v>40</v>
      </c>
      <c r="E8547" t="s">
        <v>41</v>
      </c>
      <c r="J8547" t="s">
        <v>248</v>
      </c>
      <c r="K8547" t="s">
        <v>249</v>
      </c>
      <c r="L8547">
        <v>3</v>
      </c>
      <c r="M8547" t="s">
        <v>29732</v>
      </c>
      <c r="N8547" t="s">
        <v>142</v>
      </c>
      <c r="O8547" t="s">
        <v>46</v>
      </c>
      <c r="P8547" t="s">
        <v>46</v>
      </c>
      <c r="Y8547" t="s">
        <v>29736</v>
      </c>
    </row>
    <row r="8548" spans="1:25">
      <c r="A8548" t="s">
        <v>29737</v>
      </c>
      <c r="B8548" t="s">
        <v>29738</v>
      </c>
      <c r="D8548" t="s">
        <v>40</v>
      </c>
      <c r="E8548" t="s">
        <v>41</v>
      </c>
      <c r="J8548" t="s">
        <v>9159</v>
      </c>
      <c r="K8548" t="s">
        <v>9160</v>
      </c>
      <c r="L8548">
        <v>3</v>
      </c>
      <c r="M8548" t="s">
        <v>29739</v>
      </c>
      <c r="N8548" t="s">
        <v>1369</v>
      </c>
      <c r="O8548" t="s">
        <v>46</v>
      </c>
      <c r="P8548" t="s">
        <v>46</v>
      </c>
      <c r="Y8548" t="s">
        <v>29740</v>
      </c>
    </row>
    <row r="8549" spans="1:25">
      <c r="A8549" t="s">
        <v>29741</v>
      </c>
      <c r="B8549" t="s">
        <v>29742</v>
      </c>
      <c r="D8549" t="s">
        <v>40</v>
      </c>
      <c r="E8549" t="s">
        <v>41</v>
      </c>
      <c r="J8549" t="s">
        <v>248</v>
      </c>
      <c r="K8549" t="s">
        <v>249</v>
      </c>
      <c r="L8549">
        <v>3</v>
      </c>
      <c r="M8549" t="s">
        <v>29743</v>
      </c>
      <c r="N8549" t="s">
        <v>178</v>
      </c>
      <c r="O8549" t="s">
        <v>46</v>
      </c>
      <c r="P8549" t="s">
        <v>46</v>
      </c>
      <c r="Y8549" t="s">
        <v>29744</v>
      </c>
    </row>
    <row r="8550" spans="1:25">
      <c r="A8550" t="s">
        <v>29745</v>
      </c>
      <c r="B8550" t="s">
        <v>29746</v>
      </c>
      <c r="D8550" t="s">
        <v>40</v>
      </c>
      <c r="E8550" t="s">
        <v>41</v>
      </c>
      <c r="J8550" t="s">
        <v>139</v>
      </c>
      <c r="K8550" t="s">
        <v>140</v>
      </c>
      <c r="L8550">
        <v>3</v>
      </c>
      <c r="M8550" t="s">
        <v>29747</v>
      </c>
      <c r="N8550" t="s">
        <v>1276</v>
      </c>
      <c r="O8550" t="s">
        <v>46</v>
      </c>
      <c r="P8550" t="s">
        <v>46</v>
      </c>
      <c r="Y8550" t="s">
        <v>29748</v>
      </c>
    </row>
    <row r="8551" spans="1:25">
      <c r="A8551" t="s">
        <v>29749</v>
      </c>
      <c r="B8551" t="s">
        <v>29750</v>
      </c>
      <c r="D8551" t="s">
        <v>40</v>
      </c>
      <c r="E8551" t="s">
        <v>41</v>
      </c>
      <c r="J8551" t="s">
        <v>248</v>
      </c>
      <c r="K8551" t="s">
        <v>249</v>
      </c>
      <c r="L8551">
        <v>3</v>
      </c>
      <c r="M8551" t="s">
        <v>29751</v>
      </c>
      <c r="N8551" t="s">
        <v>24245</v>
      </c>
      <c r="O8551" t="s">
        <v>46</v>
      </c>
      <c r="P8551" t="s">
        <v>46</v>
      </c>
      <c r="Y8551" t="s">
        <v>29752</v>
      </c>
    </row>
    <row r="8552" spans="1:25">
      <c r="A8552" t="s">
        <v>29753</v>
      </c>
      <c r="B8552" t="s">
        <v>29754</v>
      </c>
      <c r="D8552" t="s">
        <v>40</v>
      </c>
      <c r="E8552" t="s">
        <v>41</v>
      </c>
      <c r="J8552" t="s">
        <v>22447</v>
      </c>
      <c r="K8552" t="s">
        <v>22448</v>
      </c>
      <c r="L8552">
        <v>3</v>
      </c>
      <c r="M8552" t="s">
        <v>29755</v>
      </c>
      <c r="N8552" t="s">
        <v>3013</v>
      </c>
      <c r="O8552" t="s">
        <v>46</v>
      </c>
      <c r="P8552" t="s">
        <v>46</v>
      </c>
      <c r="Y8552" t="s">
        <v>29756</v>
      </c>
    </row>
    <row r="8553" spans="1:25">
      <c r="A8553" t="s">
        <v>29757</v>
      </c>
      <c r="B8553" t="s">
        <v>29758</v>
      </c>
      <c r="D8553" t="s">
        <v>40</v>
      </c>
      <c r="E8553" t="s">
        <v>41</v>
      </c>
      <c r="J8553" t="s">
        <v>248</v>
      </c>
      <c r="K8553" t="s">
        <v>249</v>
      </c>
      <c r="L8553">
        <v>3</v>
      </c>
      <c r="M8553" t="s">
        <v>29755</v>
      </c>
      <c r="N8553" t="s">
        <v>315</v>
      </c>
      <c r="O8553" t="s">
        <v>46</v>
      </c>
      <c r="P8553" t="s">
        <v>46</v>
      </c>
      <c r="Y8553" t="s">
        <v>29759</v>
      </c>
    </row>
    <row r="8554" spans="1:25">
      <c r="A8554" t="s">
        <v>29760</v>
      </c>
      <c r="B8554" t="s">
        <v>29761</v>
      </c>
      <c r="D8554" t="s">
        <v>40</v>
      </c>
      <c r="E8554" t="s">
        <v>41</v>
      </c>
      <c r="J8554" t="s">
        <v>1142</v>
      </c>
      <c r="K8554" t="s">
        <v>1143</v>
      </c>
      <c r="L8554">
        <v>3</v>
      </c>
      <c r="M8554" t="s">
        <v>29762</v>
      </c>
      <c r="N8554" t="s">
        <v>752</v>
      </c>
      <c r="O8554" t="s">
        <v>46</v>
      </c>
      <c r="P8554" t="s">
        <v>46</v>
      </c>
      <c r="Y8554" t="s">
        <v>29763</v>
      </c>
    </row>
    <row r="8555" spans="1:25">
      <c r="A8555" t="s">
        <v>29764</v>
      </c>
      <c r="B8555" t="s">
        <v>29765</v>
      </c>
      <c r="D8555" t="s">
        <v>40</v>
      </c>
      <c r="E8555" t="s">
        <v>41</v>
      </c>
      <c r="J8555" t="s">
        <v>11802</v>
      </c>
      <c r="K8555" t="s">
        <v>11803</v>
      </c>
      <c r="L8555">
        <v>3</v>
      </c>
      <c r="M8555" t="s">
        <v>29766</v>
      </c>
      <c r="N8555" t="s">
        <v>24240</v>
      </c>
      <c r="O8555" t="s">
        <v>46</v>
      </c>
      <c r="P8555" t="s">
        <v>46</v>
      </c>
      <c r="Y8555" t="s">
        <v>29767</v>
      </c>
    </row>
    <row r="8556" spans="1:25">
      <c r="A8556" t="s">
        <v>29768</v>
      </c>
      <c r="B8556" t="s">
        <v>29769</v>
      </c>
      <c r="D8556" t="s">
        <v>40</v>
      </c>
      <c r="E8556" t="s">
        <v>41</v>
      </c>
      <c r="J8556" t="s">
        <v>1554</v>
      </c>
      <c r="K8556" t="s">
        <v>1555</v>
      </c>
      <c r="L8556">
        <v>3</v>
      </c>
      <c r="M8556" t="s">
        <v>29770</v>
      </c>
      <c r="N8556" t="s">
        <v>1478</v>
      </c>
      <c r="O8556" t="s">
        <v>46</v>
      </c>
      <c r="P8556" t="s">
        <v>46</v>
      </c>
      <c r="Y8556" t="s">
        <v>29771</v>
      </c>
    </row>
    <row r="8557" spans="1:25">
      <c r="A8557" t="s">
        <v>29772</v>
      </c>
      <c r="B8557" t="s">
        <v>29773</v>
      </c>
      <c r="D8557" t="s">
        <v>40</v>
      </c>
      <c r="E8557" t="s">
        <v>41</v>
      </c>
      <c r="J8557" t="s">
        <v>139</v>
      </c>
      <c r="K8557" t="s">
        <v>140</v>
      </c>
      <c r="L8557">
        <v>3</v>
      </c>
      <c r="M8557" t="s">
        <v>29774</v>
      </c>
      <c r="N8557" t="s">
        <v>1397</v>
      </c>
      <c r="O8557" t="s">
        <v>46</v>
      </c>
      <c r="P8557" t="s">
        <v>46</v>
      </c>
      <c r="Y8557" t="s">
        <v>29775</v>
      </c>
    </row>
    <row r="8558" spans="1:25">
      <c r="A8558" t="s">
        <v>29776</v>
      </c>
      <c r="B8558" t="s">
        <v>29777</v>
      </c>
      <c r="D8558" t="s">
        <v>40</v>
      </c>
      <c r="E8558" t="s">
        <v>41</v>
      </c>
      <c r="J8558" t="s">
        <v>1142</v>
      </c>
      <c r="K8558" t="s">
        <v>1143</v>
      </c>
      <c r="L8558">
        <v>3</v>
      </c>
      <c r="M8558" t="s">
        <v>29778</v>
      </c>
      <c r="N8558" t="s">
        <v>2621</v>
      </c>
      <c r="O8558" t="s">
        <v>46</v>
      </c>
      <c r="P8558" t="s">
        <v>46</v>
      </c>
      <c r="Y8558" t="s">
        <v>29779</v>
      </c>
    </row>
    <row r="8559" spans="1:25">
      <c r="A8559" t="s">
        <v>29780</v>
      </c>
      <c r="B8559" t="s">
        <v>29781</v>
      </c>
      <c r="D8559" t="s">
        <v>40</v>
      </c>
      <c r="E8559" t="s">
        <v>41</v>
      </c>
      <c r="J8559" t="s">
        <v>6179</v>
      </c>
      <c r="K8559" t="s">
        <v>6180</v>
      </c>
      <c r="L8559">
        <v>3</v>
      </c>
      <c r="M8559" t="s">
        <v>29782</v>
      </c>
      <c r="N8559" t="s">
        <v>617</v>
      </c>
      <c r="O8559" t="s">
        <v>46</v>
      </c>
      <c r="P8559" t="s">
        <v>46</v>
      </c>
      <c r="Y8559" t="s">
        <v>29783</v>
      </c>
    </row>
    <row r="8560" spans="1:25">
      <c r="A8560" t="s">
        <v>29784</v>
      </c>
      <c r="B8560" t="s">
        <v>29785</v>
      </c>
      <c r="D8560" t="s">
        <v>40</v>
      </c>
      <c r="E8560" t="s">
        <v>41</v>
      </c>
      <c r="J8560" t="s">
        <v>248</v>
      </c>
      <c r="K8560" t="s">
        <v>249</v>
      </c>
      <c r="L8560">
        <v>3</v>
      </c>
      <c r="M8560" t="s">
        <v>29786</v>
      </c>
      <c r="N8560" t="s">
        <v>24245</v>
      </c>
      <c r="O8560" t="s">
        <v>46</v>
      </c>
      <c r="P8560" t="s">
        <v>46</v>
      </c>
      <c r="Y8560" t="s">
        <v>29787</v>
      </c>
    </row>
    <row r="8561" spans="1:25">
      <c r="A8561" t="s">
        <v>29788</v>
      </c>
      <c r="B8561" t="s">
        <v>29789</v>
      </c>
      <c r="D8561" t="s">
        <v>40</v>
      </c>
      <c r="E8561" t="s">
        <v>41</v>
      </c>
      <c r="J8561" t="s">
        <v>248</v>
      </c>
      <c r="K8561" t="s">
        <v>249</v>
      </c>
      <c r="L8561">
        <v>3</v>
      </c>
      <c r="M8561" t="s">
        <v>29790</v>
      </c>
      <c r="N8561" t="s">
        <v>752</v>
      </c>
      <c r="O8561" t="s">
        <v>46</v>
      </c>
      <c r="P8561" t="s">
        <v>46</v>
      </c>
      <c r="Y8561" t="s">
        <v>29791</v>
      </c>
    </row>
    <row r="8562" spans="1:25">
      <c r="A8562" t="s">
        <v>29792</v>
      </c>
      <c r="B8562" t="s">
        <v>29793</v>
      </c>
      <c r="D8562" t="s">
        <v>40</v>
      </c>
      <c r="E8562" t="s">
        <v>41</v>
      </c>
      <c r="J8562" t="s">
        <v>139</v>
      </c>
      <c r="K8562" t="s">
        <v>140</v>
      </c>
      <c r="L8562">
        <v>3</v>
      </c>
      <c r="M8562" t="s">
        <v>29794</v>
      </c>
      <c r="N8562" t="s">
        <v>1276</v>
      </c>
      <c r="O8562" t="s">
        <v>46</v>
      </c>
      <c r="P8562" t="s">
        <v>46</v>
      </c>
      <c r="Y8562" t="s">
        <v>29795</v>
      </c>
    </row>
    <row r="8563" spans="1:25">
      <c r="A8563" t="s">
        <v>29796</v>
      </c>
      <c r="B8563" t="s">
        <v>29797</v>
      </c>
      <c r="D8563" t="s">
        <v>40</v>
      </c>
      <c r="E8563" t="s">
        <v>41</v>
      </c>
      <c r="J8563" t="s">
        <v>248</v>
      </c>
      <c r="K8563" t="s">
        <v>249</v>
      </c>
      <c r="L8563">
        <v>3</v>
      </c>
      <c r="M8563" t="s">
        <v>29798</v>
      </c>
      <c r="N8563" t="s">
        <v>1397</v>
      </c>
      <c r="O8563" t="s">
        <v>46</v>
      </c>
      <c r="P8563" t="s">
        <v>46</v>
      </c>
      <c r="Y8563" t="s">
        <v>29799</v>
      </c>
    </row>
    <row r="8564" spans="1:25">
      <c r="A8564" t="s">
        <v>29800</v>
      </c>
      <c r="B8564" t="s">
        <v>29801</v>
      </c>
      <c r="D8564" t="s">
        <v>40</v>
      </c>
      <c r="E8564" t="s">
        <v>41</v>
      </c>
      <c r="J8564" t="s">
        <v>248</v>
      </c>
      <c r="K8564" t="s">
        <v>249</v>
      </c>
      <c r="L8564">
        <v>3</v>
      </c>
      <c r="M8564" t="s">
        <v>29802</v>
      </c>
      <c r="N8564" t="s">
        <v>1024</v>
      </c>
      <c r="O8564" t="s">
        <v>46</v>
      </c>
      <c r="P8564" t="s">
        <v>46</v>
      </c>
      <c r="Y8564" t="s">
        <v>29803</v>
      </c>
    </row>
    <row r="8565" spans="1:25">
      <c r="A8565" t="s">
        <v>29804</v>
      </c>
      <c r="B8565" t="s">
        <v>29805</v>
      </c>
      <c r="D8565" t="s">
        <v>40</v>
      </c>
      <c r="E8565" t="s">
        <v>41</v>
      </c>
      <c r="J8565" t="s">
        <v>139</v>
      </c>
      <c r="K8565" t="s">
        <v>140</v>
      </c>
      <c r="L8565">
        <v>3</v>
      </c>
      <c r="M8565" t="s">
        <v>29806</v>
      </c>
      <c r="N8565" t="s">
        <v>2346</v>
      </c>
      <c r="O8565" t="s">
        <v>46</v>
      </c>
      <c r="P8565" t="s">
        <v>46</v>
      </c>
      <c r="Y8565" t="s">
        <v>29807</v>
      </c>
    </row>
    <row r="8566" spans="1:25">
      <c r="A8566" t="s">
        <v>29808</v>
      </c>
      <c r="B8566" t="s">
        <v>29809</v>
      </c>
      <c r="D8566" t="s">
        <v>40</v>
      </c>
      <c r="E8566" t="s">
        <v>41</v>
      </c>
      <c r="J8566" t="s">
        <v>139</v>
      </c>
      <c r="K8566" t="s">
        <v>140</v>
      </c>
      <c r="L8566">
        <v>3</v>
      </c>
      <c r="M8566" t="s">
        <v>29810</v>
      </c>
      <c r="N8566" t="s">
        <v>24245</v>
      </c>
      <c r="O8566" t="s">
        <v>46</v>
      </c>
      <c r="P8566" t="s">
        <v>46</v>
      </c>
      <c r="Y8566" t="s">
        <v>29811</v>
      </c>
    </row>
    <row r="8567" spans="1:25">
      <c r="A8567" t="s">
        <v>29812</v>
      </c>
      <c r="B8567" t="s">
        <v>29813</v>
      </c>
      <c r="D8567" t="s">
        <v>40</v>
      </c>
      <c r="E8567" t="s">
        <v>41</v>
      </c>
      <c r="J8567" t="s">
        <v>248</v>
      </c>
      <c r="K8567" t="s">
        <v>249</v>
      </c>
      <c r="L8567">
        <v>3</v>
      </c>
      <c r="M8567" t="s">
        <v>29814</v>
      </c>
      <c r="N8567" t="s">
        <v>4037</v>
      </c>
      <c r="O8567" t="s">
        <v>46</v>
      </c>
      <c r="P8567" t="s">
        <v>46</v>
      </c>
      <c r="Y8567" t="s">
        <v>29815</v>
      </c>
    </row>
    <row r="8568" spans="1:25">
      <c r="A8568" t="s">
        <v>29816</v>
      </c>
      <c r="B8568" t="s">
        <v>29817</v>
      </c>
      <c r="D8568" t="s">
        <v>40</v>
      </c>
      <c r="E8568" t="s">
        <v>41</v>
      </c>
      <c r="J8568" t="s">
        <v>248</v>
      </c>
      <c r="K8568" t="s">
        <v>249</v>
      </c>
      <c r="L8568">
        <v>3</v>
      </c>
      <c r="M8568" t="s">
        <v>29814</v>
      </c>
      <c r="N8568" t="s">
        <v>142</v>
      </c>
      <c r="O8568" t="s">
        <v>46</v>
      </c>
      <c r="P8568" t="s">
        <v>46</v>
      </c>
      <c r="Y8568" t="s">
        <v>29818</v>
      </c>
    </row>
    <row r="8569" spans="1:25">
      <c r="A8569" t="s">
        <v>29819</v>
      </c>
      <c r="B8569" t="s">
        <v>29820</v>
      </c>
      <c r="D8569" t="s">
        <v>40</v>
      </c>
      <c r="E8569" t="s">
        <v>41</v>
      </c>
      <c r="J8569" t="s">
        <v>1554</v>
      </c>
      <c r="K8569" t="s">
        <v>1555</v>
      </c>
      <c r="L8569">
        <v>3</v>
      </c>
      <c r="M8569" t="s">
        <v>29821</v>
      </c>
      <c r="N8569" t="s">
        <v>1446</v>
      </c>
      <c r="O8569" t="s">
        <v>46</v>
      </c>
      <c r="P8569" t="s">
        <v>46</v>
      </c>
      <c r="Y8569" t="s">
        <v>29822</v>
      </c>
    </row>
    <row r="8570" spans="1:25">
      <c r="A8570" t="s">
        <v>29823</v>
      </c>
      <c r="B8570" t="s">
        <v>29824</v>
      </c>
      <c r="D8570" t="s">
        <v>40</v>
      </c>
      <c r="E8570" t="s">
        <v>41</v>
      </c>
      <c r="J8570" t="s">
        <v>248</v>
      </c>
      <c r="K8570" t="s">
        <v>249</v>
      </c>
      <c r="L8570">
        <v>3</v>
      </c>
      <c r="M8570" t="s">
        <v>29825</v>
      </c>
      <c r="N8570" t="s">
        <v>257</v>
      </c>
      <c r="O8570" t="s">
        <v>46</v>
      </c>
      <c r="P8570" t="s">
        <v>46</v>
      </c>
      <c r="Y8570" t="s">
        <v>29826</v>
      </c>
    </row>
    <row r="8571" spans="1:25">
      <c r="A8571" t="s">
        <v>29827</v>
      </c>
      <c r="B8571" t="s">
        <v>29828</v>
      </c>
      <c r="D8571" t="s">
        <v>40</v>
      </c>
      <c r="E8571" t="s">
        <v>41</v>
      </c>
      <c r="J8571" t="s">
        <v>248</v>
      </c>
      <c r="K8571" t="s">
        <v>249</v>
      </c>
      <c r="L8571">
        <v>3</v>
      </c>
      <c r="M8571" t="s">
        <v>29829</v>
      </c>
      <c r="N8571" t="s">
        <v>1550</v>
      </c>
      <c r="O8571" t="s">
        <v>46</v>
      </c>
      <c r="P8571" t="s">
        <v>46</v>
      </c>
      <c r="Y8571" t="s">
        <v>29830</v>
      </c>
    </row>
    <row r="8572" spans="1:25">
      <c r="A8572" t="s">
        <v>29831</v>
      </c>
      <c r="B8572" t="s">
        <v>29832</v>
      </c>
      <c r="D8572" t="s">
        <v>40</v>
      </c>
      <c r="E8572" t="s">
        <v>41</v>
      </c>
      <c r="J8572" t="s">
        <v>2619</v>
      </c>
      <c r="K8572" t="s">
        <v>140</v>
      </c>
      <c r="L8572">
        <v>4</v>
      </c>
      <c r="M8572" t="s">
        <v>29833</v>
      </c>
      <c r="N8572" t="s">
        <v>2621</v>
      </c>
      <c r="O8572" t="s">
        <v>46</v>
      </c>
      <c r="P8572" t="s">
        <v>46</v>
      </c>
      <c r="Y8572" t="s">
        <v>29834</v>
      </c>
    </row>
    <row r="8573" spans="1:25">
      <c r="A8573" t="s">
        <v>29835</v>
      </c>
      <c r="B8573" t="s">
        <v>29836</v>
      </c>
      <c r="D8573" t="s">
        <v>40</v>
      </c>
      <c r="E8573" t="s">
        <v>41</v>
      </c>
      <c r="J8573" t="s">
        <v>248</v>
      </c>
      <c r="K8573" t="s">
        <v>249</v>
      </c>
      <c r="L8573">
        <v>3</v>
      </c>
      <c r="M8573" t="s">
        <v>29837</v>
      </c>
      <c r="N8573" t="s">
        <v>310</v>
      </c>
      <c r="O8573" t="s">
        <v>46</v>
      </c>
      <c r="P8573" t="s">
        <v>46</v>
      </c>
      <c r="Y8573" t="s">
        <v>29838</v>
      </c>
    </row>
    <row r="8574" spans="1:25">
      <c r="A8574" t="s">
        <v>29839</v>
      </c>
      <c r="B8574" t="s">
        <v>29840</v>
      </c>
      <c r="D8574" t="s">
        <v>40</v>
      </c>
      <c r="E8574" t="s">
        <v>41</v>
      </c>
      <c r="J8574" t="s">
        <v>248</v>
      </c>
      <c r="K8574" t="s">
        <v>249</v>
      </c>
      <c r="L8574">
        <v>3</v>
      </c>
      <c r="M8574" t="s">
        <v>29837</v>
      </c>
      <c r="N8574" t="s">
        <v>24245</v>
      </c>
      <c r="O8574" t="s">
        <v>46</v>
      </c>
      <c r="P8574" t="s">
        <v>46</v>
      </c>
      <c r="Y8574" t="s">
        <v>29841</v>
      </c>
    </row>
    <row r="8575" spans="1:25">
      <c r="A8575" t="s">
        <v>29842</v>
      </c>
      <c r="B8575" t="s">
        <v>29843</v>
      </c>
      <c r="D8575" t="s">
        <v>40</v>
      </c>
      <c r="E8575" t="s">
        <v>41</v>
      </c>
      <c r="J8575" t="s">
        <v>6179</v>
      </c>
      <c r="K8575" t="s">
        <v>6180</v>
      </c>
      <c r="L8575">
        <v>3</v>
      </c>
      <c r="M8575" t="s">
        <v>29844</v>
      </c>
      <c r="N8575" t="s">
        <v>2346</v>
      </c>
      <c r="O8575" t="s">
        <v>46</v>
      </c>
      <c r="P8575" t="s">
        <v>46</v>
      </c>
      <c r="Y8575" t="s">
        <v>29845</v>
      </c>
    </row>
    <row r="8576" spans="1:25">
      <c r="A8576" t="s">
        <v>29846</v>
      </c>
      <c r="B8576" t="s">
        <v>29847</v>
      </c>
      <c r="D8576" t="s">
        <v>40</v>
      </c>
      <c r="E8576" t="s">
        <v>41</v>
      </c>
      <c r="J8576" t="s">
        <v>139</v>
      </c>
      <c r="K8576" t="s">
        <v>140</v>
      </c>
      <c r="L8576">
        <v>3</v>
      </c>
      <c r="M8576" t="s">
        <v>29848</v>
      </c>
      <c r="N8576" t="s">
        <v>3013</v>
      </c>
      <c r="O8576" t="s">
        <v>46</v>
      </c>
      <c r="P8576" t="s">
        <v>46</v>
      </c>
      <c r="Y8576" t="s">
        <v>29849</v>
      </c>
    </row>
    <row r="8577" spans="1:25">
      <c r="A8577" t="s">
        <v>29850</v>
      </c>
      <c r="B8577" t="s">
        <v>29851</v>
      </c>
      <c r="D8577" t="s">
        <v>40</v>
      </c>
      <c r="E8577" t="s">
        <v>41</v>
      </c>
      <c r="J8577" t="s">
        <v>248</v>
      </c>
      <c r="K8577" t="s">
        <v>249</v>
      </c>
      <c r="L8577">
        <v>3</v>
      </c>
      <c r="M8577" t="s">
        <v>29852</v>
      </c>
      <c r="N8577" t="s">
        <v>142</v>
      </c>
      <c r="O8577" t="s">
        <v>46</v>
      </c>
      <c r="P8577" t="s">
        <v>46</v>
      </c>
      <c r="Y8577" t="s">
        <v>29853</v>
      </c>
    </row>
    <row r="8578" spans="1:25">
      <c r="A8578" t="s">
        <v>29854</v>
      </c>
      <c r="B8578" t="s">
        <v>29855</v>
      </c>
      <c r="D8578" t="s">
        <v>40</v>
      </c>
      <c r="E8578" t="s">
        <v>41</v>
      </c>
      <c r="J8578" t="s">
        <v>12440</v>
      </c>
      <c r="K8578" t="s">
        <v>12441</v>
      </c>
      <c r="L8578">
        <v>4</v>
      </c>
      <c r="M8578" t="s">
        <v>29856</v>
      </c>
      <c r="N8578" t="s">
        <v>64</v>
      </c>
      <c r="O8578" t="s">
        <v>46</v>
      </c>
      <c r="P8578" t="s">
        <v>46</v>
      </c>
      <c r="Y8578" t="s">
        <v>29857</v>
      </c>
    </row>
    <row r="8579" spans="1:25">
      <c r="A8579" t="s">
        <v>29858</v>
      </c>
      <c r="B8579" t="s">
        <v>29859</v>
      </c>
      <c r="D8579" t="s">
        <v>40</v>
      </c>
      <c r="E8579" t="s">
        <v>41</v>
      </c>
      <c r="J8579" t="s">
        <v>14558</v>
      </c>
      <c r="K8579" t="s">
        <v>14559</v>
      </c>
      <c r="L8579">
        <v>3</v>
      </c>
      <c r="M8579" t="s">
        <v>29860</v>
      </c>
      <c r="N8579" t="s">
        <v>24227</v>
      </c>
      <c r="O8579" t="s">
        <v>46</v>
      </c>
      <c r="P8579" t="s">
        <v>46</v>
      </c>
      <c r="Y8579" t="s">
        <v>29861</v>
      </c>
    </row>
    <row r="8580" spans="1:25">
      <c r="A8580" t="s">
        <v>29862</v>
      </c>
      <c r="B8580" t="s">
        <v>29863</v>
      </c>
      <c r="D8580" t="s">
        <v>40</v>
      </c>
      <c r="E8580" t="s">
        <v>41</v>
      </c>
      <c r="J8580" t="s">
        <v>248</v>
      </c>
      <c r="K8580" t="s">
        <v>249</v>
      </c>
      <c r="L8580">
        <v>3</v>
      </c>
      <c r="M8580" t="s">
        <v>29864</v>
      </c>
      <c r="N8580" t="s">
        <v>142</v>
      </c>
      <c r="O8580" t="s">
        <v>46</v>
      </c>
      <c r="P8580" t="s">
        <v>46</v>
      </c>
      <c r="Y8580" t="s">
        <v>29865</v>
      </c>
    </row>
    <row r="8581" spans="1:25">
      <c r="A8581" t="s">
        <v>29866</v>
      </c>
      <c r="B8581" t="s">
        <v>29867</v>
      </c>
      <c r="D8581" t="s">
        <v>40</v>
      </c>
      <c r="E8581" t="s">
        <v>41</v>
      </c>
      <c r="J8581" t="s">
        <v>1554</v>
      </c>
      <c r="K8581" t="s">
        <v>1555</v>
      </c>
      <c r="L8581">
        <v>3</v>
      </c>
      <c r="M8581" t="s">
        <v>29868</v>
      </c>
      <c r="N8581" t="s">
        <v>24245</v>
      </c>
      <c r="O8581" t="s">
        <v>46</v>
      </c>
      <c r="P8581" t="s">
        <v>46</v>
      </c>
      <c r="Y8581" t="s">
        <v>29869</v>
      </c>
    </row>
    <row r="8582" spans="1:25">
      <c r="A8582" t="s">
        <v>29870</v>
      </c>
      <c r="B8582" t="s">
        <v>29871</v>
      </c>
      <c r="D8582" t="s">
        <v>40</v>
      </c>
      <c r="E8582" t="s">
        <v>41</v>
      </c>
      <c r="J8582" t="s">
        <v>911</v>
      </c>
      <c r="K8582" t="s">
        <v>912</v>
      </c>
      <c r="L8582">
        <v>4</v>
      </c>
      <c r="M8582" t="s">
        <v>29872</v>
      </c>
      <c r="N8582" t="s">
        <v>1380</v>
      </c>
      <c r="O8582" t="s">
        <v>46</v>
      </c>
      <c r="P8582" t="s">
        <v>46</v>
      </c>
      <c r="Y8582" t="s">
        <v>29873</v>
      </c>
    </row>
    <row r="8583" spans="1:25">
      <c r="A8583" t="s">
        <v>29874</v>
      </c>
      <c r="B8583" t="s">
        <v>29875</v>
      </c>
      <c r="D8583" t="s">
        <v>40</v>
      </c>
      <c r="E8583" t="s">
        <v>41</v>
      </c>
      <c r="J8583" t="s">
        <v>1554</v>
      </c>
      <c r="K8583" t="s">
        <v>1555</v>
      </c>
      <c r="L8583">
        <v>3</v>
      </c>
      <c r="M8583" t="s">
        <v>29876</v>
      </c>
      <c r="N8583" t="s">
        <v>178</v>
      </c>
      <c r="O8583" t="s">
        <v>46</v>
      </c>
      <c r="P8583" t="s">
        <v>46</v>
      </c>
      <c r="Y8583" t="s">
        <v>29877</v>
      </c>
    </row>
    <row r="8584" spans="1:25">
      <c r="A8584" t="s">
        <v>29878</v>
      </c>
      <c r="B8584" t="s">
        <v>29879</v>
      </c>
      <c r="D8584" t="s">
        <v>40</v>
      </c>
      <c r="E8584" t="s">
        <v>41</v>
      </c>
      <c r="J8584" t="s">
        <v>248</v>
      </c>
      <c r="K8584" t="s">
        <v>249</v>
      </c>
      <c r="L8584">
        <v>3</v>
      </c>
      <c r="M8584" t="s">
        <v>29880</v>
      </c>
      <c r="N8584" t="s">
        <v>5995</v>
      </c>
      <c r="O8584" t="s">
        <v>46</v>
      </c>
      <c r="P8584" t="s">
        <v>46</v>
      </c>
      <c r="Y8584" t="s">
        <v>29881</v>
      </c>
    </row>
    <row r="8585" spans="1:25">
      <c r="A8585" t="s">
        <v>29882</v>
      </c>
      <c r="B8585" t="s">
        <v>29883</v>
      </c>
      <c r="D8585" t="s">
        <v>40</v>
      </c>
      <c r="E8585" t="s">
        <v>41</v>
      </c>
      <c r="J8585" t="s">
        <v>1142</v>
      </c>
      <c r="K8585" t="s">
        <v>1143</v>
      </c>
      <c r="L8585">
        <v>3</v>
      </c>
      <c r="M8585" t="s">
        <v>29884</v>
      </c>
      <c r="N8585" t="s">
        <v>1024</v>
      </c>
      <c r="O8585" t="s">
        <v>46</v>
      </c>
      <c r="P8585" t="s">
        <v>46</v>
      </c>
      <c r="Y8585" t="s">
        <v>29885</v>
      </c>
    </row>
    <row r="8586" spans="1:25">
      <c r="A8586" t="s">
        <v>29886</v>
      </c>
      <c r="B8586" t="s">
        <v>29887</v>
      </c>
      <c r="D8586" t="s">
        <v>40</v>
      </c>
      <c r="E8586" t="s">
        <v>41</v>
      </c>
      <c r="J8586" t="s">
        <v>11802</v>
      </c>
      <c r="K8586" t="s">
        <v>11803</v>
      </c>
      <c r="L8586">
        <v>3</v>
      </c>
      <c r="M8586" t="s">
        <v>29888</v>
      </c>
      <c r="N8586" t="s">
        <v>310</v>
      </c>
      <c r="O8586" t="s">
        <v>46</v>
      </c>
      <c r="P8586" t="s">
        <v>46</v>
      </c>
      <c r="Y8586" t="s">
        <v>29889</v>
      </c>
    </row>
    <row r="8587" spans="1:25">
      <c r="A8587" t="s">
        <v>29890</v>
      </c>
      <c r="B8587" t="s">
        <v>29891</v>
      </c>
      <c r="D8587" t="s">
        <v>40</v>
      </c>
      <c r="E8587" t="s">
        <v>41</v>
      </c>
      <c r="J8587" t="s">
        <v>139</v>
      </c>
      <c r="K8587" t="s">
        <v>140</v>
      </c>
      <c r="L8587">
        <v>3</v>
      </c>
      <c r="M8587" t="s">
        <v>29892</v>
      </c>
      <c r="N8587" t="s">
        <v>24245</v>
      </c>
      <c r="O8587" t="s">
        <v>46</v>
      </c>
      <c r="P8587" t="s">
        <v>46</v>
      </c>
      <c r="Y8587" t="s">
        <v>29893</v>
      </c>
    </row>
    <row r="8588" spans="1:25">
      <c r="A8588" t="s">
        <v>29894</v>
      </c>
      <c r="B8588" t="s">
        <v>29895</v>
      </c>
      <c r="D8588" t="s">
        <v>40</v>
      </c>
      <c r="E8588" t="s">
        <v>41</v>
      </c>
      <c r="J8588" t="s">
        <v>248</v>
      </c>
      <c r="K8588" t="s">
        <v>249</v>
      </c>
      <c r="L8588">
        <v>3</v>
      </c>
      <c r="M8588" t="s">
        <v>29896</v>
      </c>
      <c r="N8588" t="s">
        <v>1229</v>
      </c>
      <c r="O8588" t="s">
        <v>46</v>
      </c>
      <c r="P8588" t="s">
        <v>46</v>
      </c>
      <c r="Y8588" t="s">
        <v>29897</v>
      </c>
    </row>
    <row r="8589" spans="1:25">
      <c r="A8589" t="s">
        <v>29898</v>
      </c>
      <c r="B8589" t="s">
        <v>29899</v>
      </c>
      <c r="D8589" t="s">
        <v>40</v>
      </c>
      <c r="E8589" t="s">
        <v>41</v>
      </c>
      <c r="J8589" t="s">
        <v>248</v>
      </c>
      <c r="K8589" t="s">
        <v>249</v>
      </c>
      <c r="L8589">
        <v>3</v>
      </c>
      <c r="M8589" t="s">
        <v>29900</v>
      </c>
      <c r="N8589" t="s">
        <v>257</v>
      </c>
      <c r="O8589" t="s">
        <v>46</v>
      </c>
      <c r="P8589" t="s">
        <v>46</v>
      </c>
      <c r="Y8589" t="s">
        <v>29901</v>
      </c>
    </row>
    <row r="8590" spans="1:25">
      <c r="A8590" t="s">
        <v>29902</v>
      </c>
      <c r="B8590" t="s">
        <v>29903</v>
      </c>
      <c r="D8590" t="s">
        <v>40</v>
      </c>
      <c r="E8590" t="s">
        <v>41</v>
      </c>
      <c r="J8590" t="s">
        <v>248</v>
      </c>
      <c r="K8590" t="s">
        <v>249</v>
      </c>
      <c r="L8590">
        <v>3</v>
      </c>
      <c r="M8590" t="s">
        <v>29904</v>
      </c>
      <c r="N8590" t="s">
        <v>315</v>
      </c>
      <c r="O8590" t="s">
        <v>46</v>
      </c>
      <c r="P8590" t="s">
        <v>46</v>
      </c>
      <c r="Y8590" t="s">
        <v>29905</v>
      </c>
    </row>
    <row r="8591" spans="1:25">
      <c r="A8591" t="s">
        <v>29906</v>
      </c>
      <c r="B8591" t="s">
        <v>29907</v>
      </c>
      <c r="D8591" t="s">
        <v>40</v>
      </c>
      <c r="E8591" t="s">
        <v>41</v>
      </c>
      <c r="J8591" t="s">
        <v>1142</v>
      </c>
      <c r="K8591" t="s">
        <v>1143</v>
      </c>
      <c r="L8591">
        <v>3</v>
      </c>
      <c r="M8591" t="s">
        <v>29908</v>
      </c>
      <c r="N8591" t="s">
        <v>45</v>
      </c>
      <c r="O8591" t="s">
        <v>46</v>
      </c>
      <c r="P8591" t="s">
        <v>46</v>
      </c>
      <c r="Y8591" t="s">
        <v>29909</v>
      </c>
    </row>
    <row r="8592" spans="1:25">
      <c r="A8592" t="s">
        <v>29910</v>
      </c>
      <c r="B8592" t="s">
        <v>29911</v>
      </c>
      <c r="D8592" t="s">
        <v>40</v>
      </c>
      <c r="E8592" t="s">
        <v>41</v>
      </c>
      <c r="J8592" t="s">
        <v>1554</v>
      </c>
      <c r="K8592" t="s">
        <v>1555</v>
      </c>
      <c r="L8592">
        <v>3</v>
      </c>
      <c r="M8592" t="s">
        <v>29912</v>
      </c>
      <c r="N8592" t="s">
        <v>53</v>
      </c>
      <c r="O8592" t="s">
        <v>46</v>
      </c>
      <c r="P8592" t="s">
        <v>46</v>
      </c>
      <c r="Y8592" t="s">
        <v>29913</v>
      </c>
    </row>
    <row r="8593" spans="1:25">
      <c r="A8593" t="s">
        <v>29914</v>
      </c>
      <c r="B8593" t="s">
        <v>29915</v>
      </c>
      <c r="D8593" t="s">
        <v>40</v>
      </c>
      <c r="E8593" t="s">
        <v>41</v>
      </c>
      <c r="J8593" t="s">
        <v>248</v>
      </c>
      <c r="K8593" t="s">
        <v>249</v>
      </c>
      <c r="L8593">
        <v>3</v>
      </c>
      <c r="M8593" t="s">
        <v>29916</v>
      </c>
      <c r="N8593" t="s">
        <v>24240</v>
      </c>
      <c r="O8593" t="s">
        <v>46</v>
      </c>
      <c r="P8593" t="s">
        <v>46</v>
      </c>
      <c r="Y8593" t="s">
        <v>29917</v>
      </c>
    </row>
    <row r="8594" spans="1:25">
      <c r="A8594" t="s">
        <v>29918</v>
      </c>
      <c r="B8594" t="s">
        <v>29919</v>
      </c>
      <c r="D8594" t="s">
        <v>40</v>
      </c>
      <c r="E8594" t="s">
        <v>41</v>
      </c>
      <c r="J8594" t="s">
        <v>139</v>
      </c>
      <c r="K8594" t="s">
        <v>140</v>
      </c>
      <c r="L8594">
        <v>3</v>
      </c>
      <c r="M8594" t="s">
        <v>29920</v>
      </c>
      <c r="N8594" t="s">
        <v>436</v>
      </c>
      <c r="O8594" t="s">
        <v>46</v>
      </c>
      <c r="P8594" t="s">
        <v>46</v>
      </c>
      <c r="Y8594" t="s">
        <v>29921</v>
      </c>
    </row>
    <row r="8595" spans="1:25">
      <c r="A8595" t="s">
        <v>29922</v>
      </c>
      <c r="B8595" t="s">
        <v>29923</v>
      </c>
      <c r="D8595" t="s">
        <v>40</v>
      </c>
      <c r="E8595" t="s">
        <v>41</v>
      </c>
      <c r="J8595" t="s">
        <v>139</v>
      </c>
      <c r="K8595" t="s">
        <v>140</v>
      </c>
      <c r="L8595">
        <v>3</v>
      </c>
      <c r="M8595" t="s">
        <v>29920</v>
      </c>
      <c r="N8595" t="s">
        <v>1550</v>
      </c>
      <c r="O8595" t="s">
        <v>46</v>
      </c>
      <c r="P8595" t="s">
        <v>46</v>
      </c>
      <c r="Y8595" t="s">
        <v>29924</v>
      </c>
    </row>
    <row r="8596" spans="1:25">
      <c r="A8596" t="s">
        <v>29925</v>
      </c>
      <c r="B8596" t="s">
        <v>29926</v>
      </c>
      <c r="D8596" t="s">
        <v>40</v>
      </c>
      <c r="E8596" t="s">
        <v>41</v>
      </c>
      <c r="J8596" t="s">
        <v>248</v>
      </c>
      <c r="K8596" t="s">
        <v>249</v>
      </c>
      <c r="L8596">
        <v>3</v>
      </c>
      <c r="M8596" t="s">
        <v>29927</v>
      </c>
      <c r="N8596" t="s">
        <v>950</v>
      </c>
      <c r="O8596" t="s">
        <v>46</v>
      </c>
      <c r="P8596" t="s">
        <v>46</v>
      </c>
      <c r="Y8596" t="s">
        <v>29928</v>
      </c>
    </row>
    <row r="8597" spans="1:25">
      <c r="A8597" t="s">
        <v>29929</v>
      </c>
      <c r="B8597" t="s">
        <v>29930</v>
      </c>
      <c r="D8597" t="s">
        <v>40</v>
      </c>
      <c r="E8597" t="s">
        <v>41</v>
      </c>
      <c r="J8597" t="s">
        <v>248</v>
      </c>
      <c r="K8597" t="s">
        <v>249</v>
      </c>
      <c r="L8597">
        <v>3</v>
      </c>
      <c r="M8597" t="s">
        <v>29931</v>
      </c>
      <c r="N8597" t="s">
        <v>58</v>
      </c>
      <c r="O8597" t="s">
        <v>46</v>
      </c>
      <c r="P8597" t="s">
        <v>46</v>
      </c>
      <c r="Y8597" t="s">
        <v>29932</v>
      </c>
    </row>
    <row r="8598" spans="1:25">
      <c r="A8598" t="s">
        <v>29933</v>
      </c>
      <c r="B8598" t="s">
        <v>29934</v>
      </c>
      <c r="D8598" t="s">
        <v>40</v>
      </c>
      <c r="E8598" t="s">
        <v>41</v>
      </c>
      <c r="J8598" t="s">
        <v>1142</v>
      </c>
      <c r="K8598" t="s">
        <v>1143</v>
      </c>
      <c r="L8598">
        <v>4</v>
      </c>
      <c r="M8598" t="s">
        <v>29935</v>
      </c>
      <c r="N8598" t="s">
        <v>1814</v>
      </c>
      <c r="O8598" t="s">
        <v>46</v>
      </c>
      <c r="P8598" t="s">
        <v>46</v>
      </c>
      <c r="Y8598" t="s">
        <v>29936</v>
      </c>
    </row>
    <row r="8599" spans="1:25">
      <c r="A8599" t="s">
        <v>29937</v>
      </c>
      <c r="B8599" t="s">
        <v>29938</v>
      </c>
      <c r="D8599" t="s">
        <v>40</v>
      </c>
      <c r="E8599" t="s">
        <v>41</v>
      </c>
      <c r="J8599" t="s">
        <v>248</v>
      </c>
      <c r="K8599" t="s">
        <v>249</v>
      </c>
      <c r="L8599">
        <v>3</v>
      </c>
      <c r="M8599" t="s">
        <v>29939</v>
      </c>
      <c r="N8599" t="s">
        <v>257</v>
      </c>
      <c r="O8599" t="s">
        <v>46</v>
      </c>
      <c r="P8599" t="s">
        <v>46</v>
      </c>
      <c r="Y8599" t="s">
        <v>29940</v>
      </c>
    </row>
    <row r="8600" spans="1:25">
      <c r="A8600" t="s">
        <v>29941</v>
      </c>
      <c r="B8600" t="s">
        <v>29942</v>
      </c>
      <c r="D8600" t="s">
        <v>40</v>
      </c>
      <c r="E8600" t="s">
        <v>41</v>
      </c>
      <c r="J8600" t="s">
        <v>6179</v>
      </c>
      <c r="K8600" t="s">
        <v>6180</v>
      </c>
      <c r="L8600">
        <v>3</v>
      </c>
      <c r="M8600" t="s">
        <v>29943</v>
      </c>
      <c r="N8600" t="s">
        <v>1024</v>
      </c>
      <c r="O8600" t="s">
        <v>46</v>
      </c>
      <c r="P8600" t="s">
        <v>46</v>
      </c>
      <c r="Y8600" t="s">
        <v>29944</v>
      </c>
    </row>
    <row r="8601" spans="1:25">
      <c r="A8601" t="s">
        <v>29945</v>
      </c>
      <c r="B8601" t="s">
        <v>29946</v>
      </c>
      <c r="D8601" t="s">
        <v>40</v>
      </c>
      <c r="E8601" t="s">
        <v>41</v>
      </c>
      <c r="J8601" t="s">
        <v>248</v>
      </c>
      <c r="K8601" t="s">
        <v>249</v>
      </c>
      <c r="L8601">
        <v>3</v>
      </c>
      <c r="M8601" t="s">
        <v>29947</v>
      </c>
      <c r="N8601" t="s">
        <v>310</v>
      </c>
      <c r="O8601" t="s">
        <v>46</v>
      </c>
      <c r="P8601" t="s">
        <v>46</v>
      </c>
      <c r="Y8601" t="s">
        <v>29948</v>
      </c>
    </row>
    <row r="8602" spans="1:25">
      <c r="A8602" t="s">
        <v>29949</v>
      </c>
      <c r="B8602" t="s">
        <v>29950</v>
      </c>
      <c r="D8602" t="s">
        <v>40</v>
      </c>
      <c r="E8602" t="s">
        <v>41</v>
      </c>
      <c r="J8602" t="s">
        <v>1554</v>
      </c>
      <c r="K8602" t="s">
        <v>1555</v>
      </c>
      <c r="L8602">
        <v>3</v>
      </c>
      <c r="M8602" t="s">
        <v>29951</v>
      </c>
      <c r="N8602" t="s">
        <v>509</v>
      </c>
      <c r="O8602" t="s">
        <v>46</v>
      </c>
      <c r="P8602" t="s">
        <v>46</v>
      </c>
      <c r="Y8602" t="s">
        <v>29952</v>
      </c>
    </row>
    <row r="8603" spans="1:25">
      <c r="A8603" t="s">
        <v>29953</v>
      </c>
      <c r="B8603" t="s">
        <v>29954</v>
      </c>
      <c r="D8603" t="s">
        <v>40</v>
      </c>
      <c r="E8603" t="s">
        <v>41</v>
      </c>
      <c r="J8603" t="s">
        <v>599</v>
      </c>
      <c r="K8603" t="s">
        <v>600</v>
      </c>
      <c r="L8603">
        <v>3</v>
      </c>
      <c r="M8603" t="s">
        <v>29955</v>
      </c>
      <c r="N8603" t="s">
        <v>1229</v>
      </c>
      <c r="O8603" t="s">
        <v>46</v>
      </c>
      <c r="P8603" t="s">
        <v>46</v>
      </c>
      <c r="Y8603" t="s">
        <v>29956</v>
      </c>
    </row>
    <row r="8604" spans="1:25">
      <c r="A8604" t="s">
        <v>29957</v>
      </c>
      <c r="B8604" t="s">
        <v>29958</v>
      </c>
      <c r="D8604" t="s">
        <v>40</v>
      </c>
      <c r="E8604" t="s">
        <v>41</v>
      </c>
      <c r="J8604" t="s">
        <v>6179</v>
      </c>
      <c r="K8604" t="s">
        <v>6180</v>
      </c>
      <c r="L8604">
        <v>3</v>
      </c>
      <c r="M8604" t="s">
        <v>29959</v>
      </c>
      <c r="N8604" t="s">
        <v>4037</v>
      </c>
      <c r="O8604" t="s">
        <v>46</v>
      </c>
      <c r="P8604" t="s">
        <v>46</v>
      </c>
      <c r="Y8604" t="s">
        <v>29960</v>
      </c>
    </row>
    <row r="8605" spans="1:25">
      <c r="A8605" t="s">
        <v>29961</v>
      </c>
      <c r="B8605" t="s">
        <v>29962</v>
      </c>
      <c r="D8605" t="s">
        <v>40</v>
      </c>
      <c r="E8605" t="s">
        <v>41</v>
      </c>
      <c r="J8605" t="s">
        <v>1142</v>
      </c>
      <c r="K8605" t="s">
        <v>1143</v>
      </c>
      <c r="L8605">
        <v>3</v>
      </c>
      <c r="M8605" t="s">
        <v>29963</v>
      </c>
      <c r="N8605" t="s">
        <v>142</v>
      </c>
      <c r="O8605" t="s">
        <v>46</v>
      </c>
      <c r="P8605" t="s">
        <v>46</v>
      </c>
      <c r="Y8605" t="s">
        <v>29964</v>
      </c>
    </row>
    <row r="8606" spans="1:25">
      <c r="A8606" t="s">
        <v>29965</v>
      </c>
      <c r="B8606" t="s">
        <v>29966</v>
      </c>
      <c r="D8606" t="s">
        <v>40</v>
      </c>
      <c r="E8606" t="s">
        <v>41</v>
      </c>
      <c r="J8606" t="s">
        <v>248</v>
      </c>
      <c r="K8606" t="s">
        <v>249</v>
      </c>
      <c r="L8606">
        <v>3</v>
      </c>
      <c r="M8606" t="s">
        <v>29967</v>
      </c>
      <c r="N8606" t="s">
        <v>23361</v>
      </c>
      <c r="O8606" t="s">
        <v>46</v>
      </c>
      <c r="P8606" t="s">
        <v>46</v>
      </c>
      <c r="Y8606" t="s">
        <v>29968</v>
      </c>
    </row>
    <row r="8607" spans="1:25">
      <c r="A8607" t="s">
        <v>29969</v>
      </c>
      <c r="B8607" t="s">
        <v>29970</v>
      </c>
      <c r="D8607" t="s">
        <v>40</v>
      </c>
      <c r="E8607" t="s">
        <v>41</v>
      </c>
      <c r="J8607" t="s">
        <v>1142</v>
      </c>
      <c r="K8607" t="s">
        <v>1143</v>
      </c>
      <c r="L8607">
        <v>3</v>
      </c>
      <c r="M8607" t="s">
        <v>29971</v>
      </c>
      <c r="N8607" t="s">
        <v>1344</v>
      </c>
      <c r="O8607" t="s">
        <v>46</v>
      </c>
      <c r="P8607" t="s">
        <v>46</v>
      </c>
      <c r="Y8607" t="s">
        <v>29972</v>
      </c>
    </row>
    <row r="8608" spans="1:25">
      <c r="A8608" t="s">
        <v>29973</v>
      </c>
      <c r="B8608" t="s">
        <v>29974</v>
      </c>
      <c r="D8608" t="s">
        <v>40</v>
      </c>
      <c r="E8608" t="s">
        <v>41</v>
      </c>
      <c r="J8608" t="s">
        <v>139</v>
      </c>
      <c r="K8608" t="s">
        <v>140</v>
      </c>
      <c r="L8608">
        <v>3</v>
      </c>
      <c r="M8608" t="s">
        <v>29975</v>
      </c>
      <c r="N8608" t="s">
        <v>1550</v>
      </c>
      <c r="O8608" t="s">
        <v>46</v>
      </c>
      <c r="P8608" t="s">
        <v>46</v>
      </c>
      <c r="Y8608" t="s">
        <v>29976</v>
      </c>
    </row>
    <row r="8609" spans="1:25">
      <c r="A8609" t="s">
        <v>29977</v>
      </c>
      <c r="B8609" t="s">
        <v>29978</v>
      </c>
      <c r="D8609" t="s">
        <v>40</v>
      </c>
      <c r="E8609" t="s">
        <v>41</v>
      </c>
      <c r="J8609" t="s">
        <v>1142</v>
      </c>
      <c r="K8609" t="s">
        <v>1143</v>
      </c>
      <c r="L8609">
        <v>3</v>
      </c>
      <c r="M8609" t="s">
        <v>29979</v>
      </c>
      <c r="N8609" t="s">
        <v>257</v>
      </c>
      <c r="O8609" t="s">
        <v>46</v>
      </c>
      <c r="P8609" t="s">
        <v>46</v>
      </c>
      <c r="Y8609" t="s">
        <v>29980</v>
      </c>
    </row>
    <row r="8610" spans="1:25">
      <c r="A8610" t="s">
        <v>29981</v>
      </c>
      <c r="B8610" t="s">
        <v>29982</v>
      </c>
      <c r="D8610" t="s">
        <v>40</v>
      </c>
      <c r="E8610" t="s">
        <v>41</v>
      </c>
      <c r="J8610" t="s">
        <v>248</v>
      </c>
      <c r="K8610" t="s">
        <v>249</v>
      </c>
      <c r="L8610">
        <v>3</v>
      </c>
      <c r="M8610" t="s">
        <v>29983</v>
      </c>
      <c r="N8610" t="s">
        <v>23374</v>
      </c>
      <c r="O8610" t="s">
        <v>46</v>
      </c>
      <c r="P8610" t="s">
        <v>46</v>
      </c>
      <c r="Y8610" t="s">
        <v>29984</v>
      </c>
    </row>
    <row r="8611" spans="1:25">
      <c r="A8611" t="s">
        <v>29985</v>
      </c>
      <c r="B8611" t="s">
        <v>29986</v>
      </c>
      <c r="D8611" t="s">
        <v>40</v>
      </c>
      <c r="E8611" t="s">
        <v>41</v>
      </c>
      <c r="J8611" t="s">
        <v>1554</v>
      </c>
      <c r="K8611" t="s">
        <v>1555</v>
      </c>
      <c r="L8611">
        <v>3</v>
      </c>
      <c r="M8611" t="s">
        <v>29987</v>
      </c>
      <c r="N8611" t="s">
        <v>950</v>
      </c>
      <c r="O8611" t="s">
        <v>46</v>
      </c>
      <c r="P8611" t="s">
        <v>46</v>
      </c>
      <c r="Y8611" t="s">
        <v>29988</v>
      </c>
    </row>
    <row r="8612" spans="1:25">
      <c r="A8612" t="s">
        <v>29989</v>
      </c>
      <c r="B8612" t="s">
        <v>29990</v>
      </c>
      <c r="D8612" t="s">
        <v>40</v>
      </c>
      <c r="E8612" t="s">
        <v>41</v>
      </c>
      <c r="J8612" t="s">
        <v>248</v>
      </c>
      <c r="K8612" t="s">
        <v>249</v>
      </c>
      <c r="L8612">
        <v>3</v>
      </c>
      <c r="M8612" t="s">
        <v>29991</v>
      </c>
      <c r="N8612" t="s">
        <v>142</v>
      </c>
      <c r="O8612" t="s">
        <v>46</v>
      </c>
      <c r="P8612" t="s">
        <v>46</v>
      </c>
      <c r="Y8612" t="s">
        <v>29992</v>
      </c>
    </row>
    <row r="8613" spans="1:25">
      <c r="A8613" t="s">
        <v>29993</v>
      </c>
      <c r="B8613" t="s">
        <v>29994</v>
      </c>
      <c r="D8613" t="s">
        <v>40</v>
      </c>
      <c r="E8613" t="s">
        <v>41</v>
      </c>
      <c r="J8613" t="s">
        <v>1142</v>
      </c>
      <c r="K8613" t="s">
        <v>1143</v>
      </c>
      <c r="L8613">
        <v>3</v>
      </c>
      <c r="M8613" t="s">
        <v>29995</v>
      </c>
      <c r="N8613" t="s">
        <v>178</v>
      </c>
      <c r="O8613" t="s">
        <v>46</v>
      </c>
      <c r="P8613" t="s">
        <v>46</v>
      </c>
      <c r="Y8613" t="s">
        <v>29996</v>
      </c>
    </row>
    <row r="8614" spans="1:25">
      <c r="A8614" t="s">
        <v>29997</v>
      </c>
      <c r="B8614" t="s">
        <v>29998</v>
      </c>
      <c r="D8614" t="s">
        <v>40</v>
      </c>
      <c r="E8614" t="s">
        <v>41</v>
      </c>
      <c r="J8614" t="s">
        <v>12440</v>
      </c>
      <c r="K8614" t="s">
        <v>12441</v>
      </c>
      <c r="L8614">
        <v>4</v>
      </c>
      <c r="M8614" t="s">
        <v>29999</v>
      </c>
      <c r="N8614" t="s">
        <v>64</v>
      </c>
      <c r="O8614" t="s">
        <v>46</v>
      </c>
      <c r="P8614" t="s">
        <v>46</v>
      </c>
      <c r="Y8614" t="s">
        <v>30000</v>
      </c>
    </row>
    <row r="8615" spans="1:25">
      <c r="A8615" t="s">
        <v>30001</v>
      </c>
      <c r="B8615" t="s">
        <v>30002</v>
      </c>
      <c r="D8615" t="s">
        <v>40</v>
      </c>
      <c r="E8615" t="s">
        <v>41</v>
      </c>
      <c r="J8615" t="s">
        <v>12440</v>
      </c>
      <c r="K8615" t="s">
        <v>12441</v>
      </c>
      <c r="L8615">
        <v>4</v>
      </c>
      <c r="M8615" t="s">
        <v>30003</v>
      </c>
      <c r="N8615" t="s">
        <v>64</v>
      </c>
      <c r="O8615" t="s">
        <v>46</v>
      </c>
      <c r="P8615" t="s">
        <v>46</v>
      </c>
      <c r="Y8615" t="s">
        <v>30004</v>
      </c>
    </row>
    <row r="8616" spans="1:25">
      <c r="A8616" t="s">
        <v>30005</v>
      </c>
      <c r="B8616" t="s">
        <v>30006</v>
      </c>
      <c r="D8616" t="s">
        <v>40</v>
      </c>
      <c r="E8616" t="s">
        <v>41</v>
      </c>
      <c r="J8616" t="s">
        <v>1554</v>
      </c>
      <c r="K8616" t="s">
        <v>1555</v>
      </c>
      <c r="L8616">
        <v>3</v>
      </c>
      <c r="M8616" t="s">
        <v>30007</v>
      </c>
      <c r="N8616" t="s">
        <v>24240</v>
      </c>
      <c r="O8616" t="s">
        <v>46</v>
      </c>
      <c r="P8616" t="s">
        <v>46</v>
      </c>
      <c r="Y8616" t="s">
        <v>30008</v>
      </c>
    </row>
    <row r="8617" spans="1:25">
      <c r="A8617" t="s">
        <v>30009</v>
      </c>
      <c r="B8617" t="s">
        <v>30010</v>
      </c>
      <c r="D8617" t="s">
        <v>40</v>
      </c>
      <c r="E8617" t="s">
        <v>41</v>
      </c>
      <c r="J8617" t="s">
        <v>248</v>
      </c>
      <c r="K8617" t="s">
        <v>249</v>
      </c>
      <c r="L8617">
        <v>3</v>
      </c>
      <c r="M8617" t="s">
        <v>30011</v>
      </c>
      <c r="N8617" t="s">
        <v>1276</v>
      </c>
      <c r="O8617" t="s">
        <v>46</v>
      </c>
      <c r="P8617" t="s">
        <v>46</v>
      </c>
      <c r="Y8617" t="s">
        <v>30012</v>
      </c>
    </row>
    <row r="8618" spans="1:25">
      <c r="A8618" t="s">
        <v>30013</v>
      </c>
      <c r="B8618" t="s">
        <v>30014</v>
      </c>
      <c r="D8618" t="s">
        <v>40</v>
      </c>
      <c r="E8618" t="s">
        <v>41</v>
      </c>
      <c r="J8618" t="s">
        <v>11802</v>
      </c>
      <c r="K8618" t="s">
        <v>11803</v>
      </c>
      <c r="L8618">
        <v>3</v>
      </c>
      <c r="M8618" t="s">
        <v>30015</v>
      </c>
      <c r="N8618" t="s">
        <v>296</v>
      </c>
      <c r="O8618" t="s">
        <v>46</v>
      </c>
      <c r="P8618" t="s">
        <v>46</v>
      </c>
      <c r="Y8618" t="s">
        <v>30016</v>
      </c>
    </row>
    <row r="8619" spans="1:25">
      <c r="A8619" t="s">
        <v>30017</v>
      </c>
      <c r="B8619" t="s">
        <v>30018</v>
      </c>
      <c r="D8619" t="s">
        <v>40</v>
      </c>
      <c r="E8619" t="s">
        <v>41</v>
      </c>
      <c r="J8619" t="s">
        <v>12440</v>
      </c>
      <c r="K8619" t="s">
        <v>12441</v>
      </c>
      <c r="L8619">
        <v>4</v>
      </c>
      <c r="M8619" t="s">
        <v>30019</v>
      </c>
      <c r="N8619" t="s">
        <v>64</v>
      </c>
      <c r="O8619" t="s">
        <v>46</v>
      </c>
      <c r="P8619" t="s">
        <v>46</v>
      </c>
      <c r="Y8619" t="s">
        <v>30020</v>
      </c>
    </row>
    <row r="8620" spans="1:25">
      <c r="A8620" t="s">
        <v>30021</v>
      </c>
      <c r="B8620" t="s">
        <v>30022</v>
      </c>
      <c r="D8620" t="s">
        <v>40</v>
      </c>
      <c r="E8620" t="s">
        <v>41</v>
      </c>
      <c r="J8620" t="s">
        <v>248</v>
      </c>
      <c r="K8620" t="s">
        <v>249</v>
      </c>
      <c r="L8620">
        <v>3</v>
      </c>
      <c r="M8620" t="s">
        <v>30023</v>
      </c>
      <c r="N8620" t="s">
        <v>950</v>
      </c>
      <c r="O8620" t="s">
        <v>46</v>
      </c>
      <c r="P8620" t="s">
        <v>46</v>
      </c>
      <c r="Y8620" t="s">
        <v>30024</v>
      </c>
    </row>
    <row r="8621" spans="1:25">
      <c r="A8621" t="s">
        <v>30025</v>
      </c>
      <c r="B8621" t="s">
        <v>30026</v>
      </c>
      <c r="D8621" t="s">
        <v>40</v>
      </c>
      <c r="E8621" t="s">
        <v>41</v>
      </c>
      <c r="J8621" t="s">
        <v>248</v>
      </c>
      <c r="K8621" t="s">
        <v>249</v>
      </c>
      <c r="L8621">
        <v>3</v>
      </c>
      <c r="M8621" t="s">
        <v>30027</v>
      </c>
      <c r="N8621" t="s">
        <v>1229</v>
      </c>
      <c r="O8621" t="s">
        <v>46</v>
      </c>
      <c r="P8621" t="s">
        <v>46</v>
      </c>
      <c r="Y8621" t="s">
        <v>30028</v>
      </c>
    </row>
    <row r="8622" spans="1:25">
      <c r="A8622" t="s">
        <v>30029</v>
      </c>
      <c r="B8622" t="s">
        <v>30030</v>
      </c>
      <c r="D8622" t="s">
        <v>40</v>
      </c>
      <c r="E8622" t="s">
        <v>41</v>
      </c>
      <c r="J8622" t="s">
        <v>6255</v>
      </c>
      <c r="K8622" t="s">
        <v>6256</v>
      </c>
      <c r="L8622">
        <v>3</v>
      </c>
      <c r="M8622" t="s">
        <v>30031</v>
      </c>
      <c r="N8622" t="s">
        <v>24240</v>
      </c>
      <c r="O8622" t="s">
        <v>46</v>
      </c>
      <c r="P8622" t="s">
        <v>46</v>
      </c>
      <c r="Y8622" t="s">
        <v>30032</v>
      </c>
    </row>
    <row r="8623" spans="1:25">
      <c r="A8623" t="s">
        <v>30033</v>
      </c>
      <c r="B8623" t="s">
        <v>30034</v>
      </c>
      <c r="D8623" t="s">
        <v>40</v>
      </c>
      <c r="E8623" t="s">
        <v>41</v>
      </c>
      <c r="J8623" t="s">
        <v>1142</v>
      </c>
      <c r="K8623" t="s">
        <v>1143</v>
      </c>
      <c r="L8623">
        <v>3</v>
      </c>
      <c r="M8623" t="s">
        <v>30035</v>
      </c>
      <c r="N8623" t="s">
        <v>756</v>
      </c>
      <c r="O8623" t="s">
        <v>46</v>
      </c>
      <c r="P8623" t="s">
        <v>46</v>
      </c>
      <c r="Y8623" t="s">
        <v>30036</v>
      </c>
    </row>
    <row r="8624" spans="1:25">
      <c r="A8624" t="s">
        <v>30037</v>
      </c>
      <c r="B8624" t="s">
        <v>30038</v>
      </c>
      <c r="D8624" t="s">
        <v>40</v>
      </c>
      <c r="E8624" t="s">
        <v>41</v>
      </c>
      <c r="J8624" t="s">
        <v>11802</v>
      </c>
      <c r="K8624" t="s">
        <v>11803</v>
      </c>
      <c r="L8624">
        <v>3</v>
      </c>
      <c r="M8624" t="s">
        <v>30035</v>
      </c>
      <c r="N8624" t="s">
        <v>45</v>
      </c>
      <c r="O8624" t="s">
        <v>46</v>
      </c>
      <c r="P8624" t="s">
        <v>46</v>
      </c>
      <c r="Y8624" t="s">
        <v>30039</v>
      </c>
    </row>
    <row r="8625" spans="1:25">
      <c r="A8625" t="s">
        <v>30040</v>
      </c>
      <c r="B8625" t="s">
        <v>30041</v>
      </c>
      <c r="D8625" t="s">
        <v>40</v>
      </c>
      <c r="E8625" t="s">
        <v>41</v>
      </c>
      <c r="J8625" t="s">
        <v>1554</v>
      </c>
      <c r="K8625" t="s">
        <v>1555</v>
      </c>
      <c r="L8625">
        <v>3</v>
      </c>
      <c r="M8625" t="s">
        <v>30042</v>
      </c>
      <c r="N8625" t="s">
        <v>25508</v>
      </c>
      <c r="O8625" t="s">
        <v>46</v>
      </c>
      <c r="P8625" t="s">
        <v>46</v>
      </c>
      <c r="Y8625" t="s">
        <v>30043</v>
      </c>
    </row>
    <row r="8626" spans="1:25">
      <c r="A8626" t="s">
        <v>30044</v>
      </c>
      <c r="B8626" t="s">
        <v>30045</v>
      </c>
      <c r="D8626" t="s">
        <v>40</v>
      </c>
      <c r="E8626" t="s">
        <v>41</v>
      </c>
      <c r="J8626" t="s">
        <v>1142</v>
      </c>
      <c r="K8626" t="s">
        <v>1143</v>
      </c>
      <c r="L8626">
        <v>3</v>
      </c>
      <c r="M8626" t="s">
        <v>30046</v>
      </c>
      <c r="N8626" t="s">
        <v>24387</v>
      </c>
      <c r="O8626" t="s">
        <v>46</v>
      </c>
      <c r="P8626" t="s">
        <v>46</v>
      </c>
      <c r="Y8626" t="s">
        <v>30047</v>
      </c>
    </row>
    <row r="8627" spans="1:25">
      <c r="A8627" t="s">
        <v>30048</v>
      </c>
      <c r="B8627" t="s">
        <v>30049</v>
      </c>
      <c r="D8627" t="s">
        <v>40</v>
      </c>
      <c r="E8627" t="s">
        <v>41</v>
      </c>
      <c r="J8627" t="s">
        <v>1142</v>
      </c>
      <c r="K8627" t="s">
        <v>1143</v>
      </c>
      <c r="L8627">
        <v>3</v>
      </c>
      <c r="M8627" t="s">
        <v>30050</v>
      </c>
      <c r="N8627" t="s">
        <v>2621</v>
      </c>
      <c r="O8627" t="s">
        <v>46</v>
      </c>
      <c r="P8627" t="s">
        <v>46</v>
      </c>
      <c r="Y8627" t="s">
        <v>30051</v>
      </c>
    </row>
    <row r="8628" spans="1:25">
      <c r="A8628" t="s">
        <v>30052</v>
      </c>
      <c r="B8628" t="s">
        <v>30053</v>
      </c>
      <c r="D8628" t="s">
        <v>40</v>
      </c>
      <c r="E8628" t="s">
        <v>41</v>
      </c>
      <c r="J8628" t="s">
        <v>139</v>
      </c>
      <c r="K8628" t="s">
        <v>140</v>
      </c>
      <c r="L8628">
        <v>3</v>
      </c>
      <c r="M8628" t="s">
        <v>30050</v>
      </c>
      <c r="N8628" t="s">
        <v>23361</v>
      </c>
      <c r="O8628" t="s">
        <v>46</v>
      </c>
      <c r="P8628" t="s">
        <v>46</v>
      </c>
      <c r="Y8628" t="s">
        <v>30054</v>
      </c>
    </row>
    <row r="8629" spans="1:25">
      <c r="A8629" t="s">
        <v>30055</v>
      </c>
      <c r="B8629" t="s">
        <v>30056</v>
      </c>
      <c r="D8629" t="s">
        <v>40</v>
      </c>
      <c r="E8629" t="s">
        <v>41</v>
      </c>
      <c r="J8629" t="s">
        <v>248</v>
      </c>
      <c r="K8629" t="s">
        <v>249</v>
      </c>
      <c r="L8629">
        <v>3</v>
      </c>
      <c r="M8629" t="s">
        <v>30057</v>
      </c>
      <c r="N8629" t="s">
        <v>22465</v>
      </c>
      <c r="O8629" t="s">
        <v>46</v>
      </c>
      <c r="P8629" t="s">
        <v>46</v>
      </c>
      <c r="Y8629" t="s">
        <v>30058</v>
      </c>
    </row>
    <row r="8630" spans="1:25">
      <c r="A8630" t="s">
        <v>30059</v>
      </c>
      <c r="B8630" t="s">
        <v>30060</v>
      </c>
      <c r="D8630" t="s">
        <v>40</v>
      </c>
      <c r="E8630" t="s">
        <v>41</v>
      </c>
      <c r="J8630" t="s">
        <v>1554</v>
      </c>
      <c r="K8630" t="s">
        <v>1555</v>
      </c>
      <c r="L8630">
        <v>3</v>
      </c>
      <c r="M8630" t="s">
        <v>30061</v>
      </c>
      <c r="N8630" t="s">
        <v>1024</v>
      </c>
      <c r="O8630" t="s">
        <v>46</v>
      </c>
      <c r="P8630" t="s">
        <v>46</v>
      </c>
      <c r="Y8630" t="s">
        <v>30062</v>
      </c>
    </row>
    <row r="8631" spans="1:25">
      <c r="A8631" t="s">
        <v>30063</v>
      </c>
      <c r="B8631" t="s">
        <v>30064</v>
      </c>
      <c r="D8631" t="s">
        <v>40</v>
      </c>
      <c r="E8631" t="s">
        <v>41</v>
      </c>
      <c r="J8631" t="s">
        <v>248</v>
      </c>
      <c r="K8631" t="s">
        <v>249</v>
      </c>
      <c r="L8631">
        <v>3</v>
      </c>
      <c r="M8631" t="s">
        <v>30061</v>
      </c>
      <c r="N8631" t="s">
        <v>142</v>
      </c>
      <c r="O8631" t="s">
        <v>46</v>
      </c>
      <c r="P8631" t="s">
        <v>46</v>
      </c>
      <c r="Y8631" t="s">
        <v>30065</v>
      </c>
    </row>
    <row r="8632" spans="1:25">
      <c r="A8632" t="s">
        <v>30066</v>
      </c>
      <c r="B8632" t="s">
        <v>30067</v>
      </c>
      <c r="D8632" t="s">
        <v>40</v>
      </c>
      <c r="E8632" t="s">
        <v>41</v>
      </c>
      <c r="J8632" t="s">
        <v>248</v>
      </c>
      <c r="K8632" t="s">
        <v>249</v>
      </c>
      <c r="L8632">
        <v>3</v>
      </c>
      <c r="M8632" t="s">
        <v>30068</v>
      </c>
      <c r="N8632" t="s">
        <v>350</v>
      </c>
      <c r="O8632" t="s">
        <v>46</v>
      </c>
      <c r="P8632" t="s">
        <v>46</v>
      </c>
      <c r="Y8632" t="s">
        <v>30069</v>
      </c>
    </row>
    <row r="8633" spans="1:25">
      <c r="A8633" t="s">
        <v>30070</v>
      </c>
      <c r="B8633" t="s">
        <v>30071</v>
      </c>
      <c r="D8633" t="s">
        <v>40</v>
      </c>
      <c r="E8633" t="s">
        <v>41</v>
      </c>
      <c r="J8633" t="s">
        <v>1554</v>
      </c>
      <c r="K8633" t="s">
        <v>1555</v>
      </c>
      <c r="L8633">
        <v>3</v>
      </c>
      <c r="M8633" t="s">
        <v>30068</v>
      </c>
      <c r="N8633" t="s">
        <v>1380</v>
      </c>
      <c r="O8633" t="s">
        <v>46</v>
      </c>
      <c r="P8633" t="s">
        <v>46</v>
      </c>
      <c r="Y8633" t="s">
        <v>30072</v>
      </c>
    </row>
    <row r="8634" spans="1:25">
      <c r="A8634" t="s">
        <v>30073</v>
      </c>
      <c r="B8634" t="s">
        <v>30074</v>
      </c>
      <c r="D8634" t="s">
        <v>40</v>
      </c>
      <c r="E8634" t="s">
        <v>41</v>
      </c>
      <c r="J8634" t="s">
        <v>9159</v>
      </c>
      <c r="K8634" t="s">
        <v>9160</v>
      </c>
      <c r="L8634">
        <v>3</v>
      </c>
      <c r="M8634" t="s">
        <v>30075</v>
      </c>
      <c r="N8634" t="s">
        <v>2346</v>
      </c>
      <c r="O8634" t="s">
        <v>46</v>
      </c>
      <c r="P8634" t="s">
        <v>46</v>
      </c>
      <c r="Y8634" t="s">
        <v>30076</v>
      </c>
    </row>
    <row r="8635" spans="1:25">
      <c r="A8635" t="s">
        <v>30077</v>
      </c>
      <c r="B8635" t="s">
        <v>30078</v>
      </c>
      <c r="D8635" t="s">
        <v>40</v>
      </c>
      <c r="E8635" t="s">
        <v>41</v>
      </c>
      <c r="J8635" t="s">
        <v>248</v>
      </c>
      <c r="K8635" t="s">
        <v>249</v>
      </c>
      <c r="L8635">
        <v>3</v>
      </c>
      <c r="M8635" t="s">
        <v>30079</v>
      </c>
      <c r="N8635" t="s">
        <v>3013</v>
      </c>
      <c r="O8635" t="s">
        <v>46</v>
      </c>
      <c r="P8635" t="s">
        <v>46</v>
      </c>
      <c r="Y8635" t="s">
        <v>30080</v>
      </c>
    </row>
    <row r="8636" spans="1:25">
      <c r="A8636" t="s">
        <v>30081</v>
      </c>
      <c r="B8636" t="s">
        <v>30082</v>
      </c>
      <c r="D8636" t="s">
        <v>40</v>
      </c>
      <c r="E8636" t="s">
        <v>41</v>
      </c>
      <c r="J8636" t="s">
        <v>6255</v>
      </c>
      <c r="K8636" t="s">
        <v>6256</v>
      </c>
      <c r="L8636">
        <v>3</v>
      </c>
      <c r="M8636" t="s">
        <v>30083</v>
      </c>
      <c r="N8636" t="s">
        <v>756</v>
      </c>
      <c r="O8636" t="s">
        <v>46</v>
      </c>
      <c r="P8636" t="s">
        <v>46</v>
      </c>
      <c r="Y8636" t="s">
        <v>30084</v>
      </c>
    </row>
    <row r="8637" spans="1:25">
      <c r="A8637" t="s">
        <v>30085</v>
      </c>
      <c r="B8637" t="s">
        <v>30086</v>
      </c>
      <c r="D8637" t="s">
        <v>40</v>
      </c>
      <c r="E8637" t="s">
        <v>41</v>
      </c>
      <c r="J8637" t="s">
        <v>1142</v>
      </c>
      <c r="K8637" t="s">
        <v>1143</v>
      </c>
      <c r="L8637">
        <v>3</v>
      </c>
      <c r="M8637" t="s">
        <v>30087</v>
      </c>
      <c r="N8637" t="s">
        <v>23374</v>
      </c>
      <c r="O8637" t="s">
        <v>46</v>
      </c>
      <c r="P8637" t="s">
        <v>46</v>
      </c>
      <c r="Y8637" t="s">
        <v>30088</v>
      </c>
    </row>
    <row r="8638" spans="1:25">
      <c r="A8638" t="s">
        <v>30089</v>
      </c>
      <c r="B8638" t="s">
        <v>30090</v>
      </c>
      <c r="D8638" t="s">
        <v>40</v>
      </c>
      <c r="E8638" t="s">
        <v>41</v>
      </c>
      <c r="J8638" t="s">
        <v>248</v>
      </c>
      <c r="K8638" t="s">
        <v>249</v>
      </c>
      <c r="L8638">
        <v>3</v>
      </c>
      <c r="M8638" t="s">
        <v>30091</v>
      </c>
      <c r="N8638" t="s">
        <v>310</v>
      </c>
      <c r="O8638" t="s">
        <v>46</v>
      </c>
      <c r="P8638" t="s">
        <v>46</v>
      </c>
      <c r="Y8638" t="s">
        <v>30092</v>
      </c>
    </row>
    <row r="8639" spans="1:25">
      <c r="A8639" t="s">
        <v>30093</v>
      </c>
      <c r="B8639" t="s">
        <v>30094</v>
      </c>
      <c r="D8639" t="s">
        <v>40</v>
      </c>
      <c r="E8639" t="s">
        <v>41</v>
      </c>
      <c r="J8639" t="s">
        <v>22447</v>
      </c>
      <c r="K8639" t="s">
        <v>22448</v>
      </c>
      <c r="L8639">
        <v>3</v>
      </c>
      <c r="M8639" t="s">
        <v>30095</v>
      </c>
      <c r="N8639" t="s">
        <v>315</v>
      </c>
      <c r="O8639" t="s">
        <v>46</v>
      </c>
      <c r="P8639" t="s">
        <v>46</v>
      </c>
      <c r="Y8639" t="s">
        <v>30096</v>
      </c>
    </row>
    <row r="8640" spans="1:25">
      <c r="A8640" t="s">
        <v>30097</v>
      </c>
      <c r="B8640" t="s">
        <v>30098</v>
      </c>
      <c r="D8640" t="s">
        <v>40</v>
      </c>
      <c r="E8640" t="s">
        <v>41</v>
      </c>
      <c r="J8640" t="s">
        <v>1142</v>
      </c>
      <c r="K8640" t="s">
        <v>1143</v>
      </c>
      <c r="L8640">
        <v>3</v>
      </c>
      <c r="M8640" t="s">
        <v>30095</v>
      </c>
      <c r="N8640" t="s">
        <v>1446</v>
      </c>
      <c r="O8640" t="s">
        <v>46</v>
      </c>
      <c r="P8640" t="s">
        <v>46</v>
      </c>
      <c r="Y8640" t="s">
        <v>30099</v>
      </c>
    </row>
    <row r="8641" spans="1:25">
      <c r="A8641" t="s">
        <v>30100</v>
      </c>
      <c r="B8641" t="s">
        <v>30101</v>
      </c>
      <c r="D8641" t="s">
        <v>40</v>
      </c>
      <c r="E8641" t="s">
        <v>41</v>
      </c>
      <c r="J8641" t="s">
        <v>1554</v>
      </c>
      <c r="K8641" t="s">
        <v>1555</v>
      </c>
      <c r="L8641">
        <v>3</v>
      </c>
      <c r="M8641" t="s">
        <v>30102</v>
      </c>
      <c r="N8641" t="s">
        <v>25508</v>
      </c>
      <c r="O8641" t="s">
        <v>46</v>
      </c>
      <c r="P8641" t="s">
        <v>46</v>
      </c>
      <c r="Y8641" t="s">
        <v>30103</v>
      </c>
    </row>
    <row r="8642" spans="1:25">
      <c r="A8642" t="s">
        <v>30104</v>
      </c>
      <c r="B8642" t="s">
        <v>30105</v>
      </c>
      <c r="D8642" t="s">
        <v>40</v>
      </c>
      <c r="E8642" t="s">
        <v>41</v>
      </c>
      <c r="J8642" t="s">
        <v>248</v>
      </c>
      <c r="K8642" t="s">
        <v>249</v>
      </c>
      <c r="L8642">
        <v>3</v>
      </c>
      <c r="M8642" t="s">
        <v>30106</v>
      </c>
      <c r="N8642" t="s">
        <v>1276</v>
      </c>
      <c r="O8642" t="s">
        <v>46</v>
      </c>
      <c r="P8642" t="s">
        <v>46</v>
      </c>
      <c r="Y8642" t="s">
        <v>30107</v>
      </c>
    </row>
    <row r="8643" spans="1:25">
      <c r="A8643" t="s">
        <v>30108</v>
      </c>
      <c r="B8643" t="s">
        <v>30109</v>
      </c>
      <c r="D8643" t="s">
        <v>40</v>
      </c>
      <c r="E8643" t="s">
        <v>41</v>
      </c>
      <c r="J8643" t="s">
        <v>248</v>
      </c>
      <c r="K8643" t="s">
        <v>249</v>
      </c>
      <c r="L8643">
        <v>3</v>
      </c>
      <c r="M8643" t="s">
        <v>30110</v>
      </c>
      <c r="N8643" t="s">
        <v>1024</v>
      </c>
      <c r="O8643" t="s">
        <v>46</v>
      </c>
      <c r="P8643" t="s">
        <v>46</v>
      </c>
      <c r="Y8643" t="s">
        <v>30111</v>
      </c>
    </row>
    <row r="8644" spans="1:25">
      <c r="A8644" t="s">
        <v>30112</v>
      </c>
      <c r="B8644" t="s">
        <v>30113</v>
      </c>
      <c r="D8644" t="s">
        <v>40</v>
      </c>
      <c r="E8644" t="s">
        <v>41</v>
      </c>
      <c r="J8644" t="s">
        <v>9159</v>
      </c>
      <c r="K8644" t="s">
        <v>9160</v>
      </c>
      <c r="L8644">
        <v>3</v>
      </c>
      <c r="M8644" t="s">
        <v>30114</v>
      </c>
      <c r="N8644" t="s">
        <v>1369</v>
      </c>
      <c r="O8644" t="s">
        <v>46</v>
      </c>
      <c r="P8644" t="s">
        <v>46</v>
      </c>
      <c r="Y8644" t="s">
        <v>30115</v>
      </c>
    </row>
    <row r="8645" spans="1:25">
      <c r="A8645" t="s">
        <v>30116</v>
      </c>
      <c r="B8645" t="s">
        <v>30117</v>
      </c>
      <c r="D8645" t="s">
        <v>40</v>
      </c>
      <c r="E8645" t="s">
        <v>41</v>
      </c>
      <c r="J8645" t="s">
        <v>139</v>
      </c>
      <c r="K8645" t="s">
        <v>140</v>
      </c>
      <c r="L8645">
        <v>3</v>
      </c>
      <c r="M8645" t="s">
        <v>30118</v>
      </c>
      <c r="N8645" t="s">
        <v>22465</v>
      </c>
      <c r="O8645" t="s">
        <v>46</v>
      </c>
      <c r="P8645" t="s">
        <v>46</v>
      </c>
      <c r="Y8645" t="s">
        <v>30119</v>
      </c>
    </row>
    <row r="8646" spans="1:25">
      <c r="A8646" t="s">
        <v>30120</v>
      </c>
      <c r="B8646" t="s">
        <v>30121</v>
      </c>
      <c r="D8646" t="s">
        <v>40</v>
      </c>
      <c r="E8646" t="s">
        <v>41</v>
      </c>
      <c r="J8646" t="s">
        <v>139</v>
      </c>
      <c r="K8646" t="s">
        <v>140</v>
      </c>
      <c r="L8646">
        <v>3</v>
      </c>
      <c r="M8646" t="s">
        <v>30122</v>
      </c>
      <c r="N8646" t="s">
        <v>24245</v>
      </c>
      <c r="O8646" t="s">
        <v>46</v>
      </c>
      <c r="P8646" t="s">
        <v>46</v>
      </c>
      <c r="Y8646" t="s">
        <v>30123</v>
      </c>
    </row>
    <row r="8647" spans="1:25">
      <c r="A8647" t="s">
        <v>30124</v>
      </c>
      <c r="B8647" t="s">
        <v>30125</v>
      </c>
      <c r="D8647" t="s">
        <v>40</v>
      </c>
      <c r="E8647" t="s">
        <v>41</v>
      </c>
      <c r="J8647" t="s">
        <v>248</v>
      </c>
      <c r="K8647" t="s">
        <v>249</v>
      </c>
      <c r="L8647">
        <v>3</v>
      </c>
      <c r="M8647" t="s">
        <v>30126</v>
      </c>
      <c r="N8647" t="s">
        <v>1380</v>
      </c>
      <c r="O8647" t="s">
        <v>46</v>
      </c>
      <c r="P8647" t="s">
        <v>46</v>
      </c>
      <c r="Y8647" t="s">
        <v>30127</v>
      </c>
    </row>
    <row r="8648" spans="1:25">
      <c r="A8648" t="s">
        <v>30128</v>
      </c>
      <c r="B8648" t="s">
        <v>30129</v>
      </c>
      <c r="D8648" t="s">
        <v>40</v>
      </c>
      <c r="E8648" t="s">
        <v>41</v>
      </c>
      <c r="J8648" t="s">
        <v>248</v>
      </c>
      <c r="K8648" t="s">
        <v>249</v>
      </c>
      <c r="L8648">
        <v>3</v>
      </c>
      <c r="M8648" t="s">
        <v>30130</v>
      </c>
      <c r="N8648" t="s">
        <v>45</v>
      </c>
      <c r="O8648" t="s">
        <v>46</v>
      </c>
      <c r="P8648" t="s">
        <v>46</v>
      </c>
      <c r="Y8648" t="s">
        <v>30131</v>
      </c>
    </row>
    <row r="8649" spans="1:25">
      <c r="A8649" t="s">
        <v>30132</v>
      </c>
      <c r="B8649" t="s">
        <v>30133</v>
      </c>
      <c r="D8649" t="s">
        <v>40</v>
      </c>
      <c r="E8649" t="s">
        <v>41</v>
      </c>
      <c r="J8649" t="s">
        <v>139</v>
      </c>
      <c r="K8649" t="s">
        <v>140</v>
      </c>
      <c r="L8649">
        <v>3</v>
      </c>
      <c r="M8649" t="s">
        <v>30130</v>
      </c>
      <c r="N8649" t="s">
        <v>950</v>
      </c>
      <c r="O8649" t="s">
        <v>46</v>
      </c>
      <c r="P8649" t="s">
        <v>46</v>
      </c>
      <c r="Y8649" t="s">
        <v>30134</v>
      </c>
    </row>
    <row r="8650" spans="1:25">
      <c r="A8650" t="s">
        <v>30135</v>
      </c>
      <c r="B8650" t="s">
        <v>30136</v>
      </c>
      <c r="D8650" t="s">
        <v>40</v>
      </c>
      <c r="E8650" t="s">
        <v>41</v>
      </c>
      <c r="J8650" t="s">
        <v>248</v>
      </c>
      <c r="K8650" t="s">
        <v>249</v>
      </c>
      <c r="L8650">
        <v>3</v>
      </c>
      <c r="M8650" t="s">
        <v>30137</v>
      </c>
      <c r="N8650" t="s">
        <v>3013</v>
      </c>
      <c r="O8650" t="s">
        <v>46</v>
      </c>
      <c r="P8650" t="s">
        <v>46</v>
      </c>
      <c r="Y8650" t="s">
        <v>30138</v>
      </c>
    </row>
    <row r="8651" spans="1:25">
      <c r="A8651" t="s">
        <v>30139</v>
      </c>
      <c r="B8651" t="s">
        <v>30140</v>
      </c>
      <c r="D8651" t="s">
        <v>40</v>
      </c>
      <c r="E8651" t="s">
        <v>41</v>
      </c>
      <c r="J8651" t="s">
        <v>16458</v>
      </c>
      <c r="K8651" t="s">
        <v>16459</v>
      </c>
      <c r="L8651">
        <v>3</v>
      </c>
      <c r="M8651" t="s">
        <v>30141</v>
      </c>
      <c r="N8651" t="s">
        <v>3013</v>
      </c>
      <c r="O8651" t="s">
        <v>46</v>
      </c>
      <c r="P8651" t="s">
        <v>46</v>
      </c>
      <c r="Y8651" t="s">
        <v>30142</v>
      </c>
    </row>
    <row r="8652" spans="1:25">
      <c r="A8652" t="s">
        <v>30143</v>
      </c>
      <c r="B8652" t="s">
        <v>30144</v>
      </c>
      <c r="D8652" t="s">
        <v>40</v>
      </c>
      <c r="E8652" t="s">
        <v>41</v>
      </c>
      <c r="J8652" t="s">
        <v>1554</v>
      </c>
      <c r="K8652" t="s">
        <v>1555</v>
      </c>
      <c r="L8652">
        <v>3</v>
      </c>
      <c r="M8652" t="s">
        <v>30145</v>
      </c>
      <c r="N8652" t="s">
        <v>617</v>
      </c>
      <c r="O8652" t="s">
        <v>46</v>
      </c>
      <c r="P8652" t="s">
        <v>46</v>
      </c>
      <c r="Y8652" t="s">
        <v>30146</v>
      </c>
    </row>
    <row r="8653" spans="1:25">
      <c r="A8653" t="s">
        <v>30147</v>
      </c>
      <c r="B8653" t="s">
        <v>30148</v>
      </c>
      <c r="D8653" t="s">
        <v>40</v>
      </c>
      <c r="E8653" t="s">
        <v>41</v>
      </c>
      <c r="J8653" t="s">
        <v>248</v>
      </c>
      <c r="K8653" t="s">
        <v>249</v>
      </c>
      <c r="L8653">
        <v>3</v>
      </c>
      <c r="M8653" t="s">
        <v>30149</v>
      </c>
      <c r="N8653" t="s">
        <v>509</v>
      </c>
      <c r="O8653" t="s">
        <v>46</v>
      </c>
      <c r="P8653" t="s">
        <v>46</v>
      </c>
      <c r="Y8653" t="s">
        <v>30150</v>
      </c>
    </row>
    <row r="8654" spans="1:25">
      <c r="A8654" t="s">
        <v>30151</v>
      </c>
      <c r="B8654" t="s">
        <v>30152</v>
      </c>
      <c r="D8654" t="s">
        <v>40</v>
      </c>
      <c r="E8654" t="s">
        <v>41</v>
      </c>
      <c r="J8654" t="s">
        <v>248</v>
      </c>
      <c r="K8654" t="s">
        <v>249</v>
      </c>
      <c r="L8654">
        <v>3</v>
      </c>
      <c r="M8654" t="s">
        <v>30149</v>
      </c>
      <c r="N8654" t="s">
        <v>950</v>
      </c>
      <c r="O8654" t="s">
        <v>46</v>
      </c>
      <c r="P8654" t="s">
        <v>46</v>
      </c>
      <c r="Y8654" t="s">
        <v>30153</v>
      </c>
    </row>
    <row r="8655" spans="1:25">
      <c r="A8655" t="s">
        <v>30154</v>
      </c>
      <c r="B8655" t="s">
        <v>30155</v>
      </c>
      <c r="D8655" t="s">
        <v>40</v>
      </c>
      <c r="E8655" t="s">
        <v>41</v>
      </c>
      <c r="J8655" t="s">
        <v>1142</v>
      </c>
      <c r="K8655" t="s">
        <v>1143</v>
      </c>
      <c r="L8655">
        <v>3</v>
      </c>
      <c r="M8655" t="s">
        <v>30156</v>
      </c>
      <c r="N8655" t="s">
        <v>142</v>
      </c>
      <c r="O8655" t="s">
        <v>46</v>
      </c>
      <c r="P8655" t="s">
        <v>46</v>
      </c>
      <c r="Y8655" t="s">
        <v>30157</v>
      </c>
    </row>
    <row r="8656" spans="1:25">
      <c r="A8656" t="s">
        <v>30158</v>
      </c>
      <c r="B8656" t="s">
        <v>30159</v>
      </c>
      <c r="D8656" t="s">
        <v>40</v>
      </c>
      <c r="E8656" t="s">
        <v>41</v>
      </c>
      <c r="J8656" t="s">
        <v>248</v>
      </c>
      <c r="K8656" t="s">
        <v>249</v>
      </c>
      <c r="L8656">
        <v>3</v>
      </c>
      <c r="M8656" t="s">
        <v>30160</v>
      </c>
      <c r="N8656" t="s">
        <v>291</v>
      </c>
      <c r="O8656" t="s">
        <v>46</v>
      </c>
      <c r="P8656" t="s">
        <v>46</v>
      </c>
      <c r="Y8656" t="s">
        <v>30161</v>
      </c>
    </row>
    <row r="8657" spans="1:25">
      <c r="A8657" t="s">
        <v>30162</v>
      </c>
      <c r="B8657" t="s">
        <v>30163</v>
      </c>
      <c r="D8657" t="s">
        <v>40</v>
      </c>
      <c r="E8657" t="s">
        <v>41</v>
      </c>
      <c r="J8657" t="s">
        <v>248</v>
      </c>
      <c r="K8657" t="s">
        <v>249</v>
      </c>
      <c r="L8657">
        <v>4</v>
      </c>
      <c r="M8657" t="s">
        <v>30164</v>
      </c>
      <c r="N8657" t="s">
        <v>1550</v>
      </c>
      <c r="O8657" t="s">
        <v>46</v>
      </c>
      <c r="P8657" t="s">
        <v>46</v>
      </c>
      <c r="Y8657" t="s">
        <v>30165</v>
      </c>
    </row>
    <row r="8658" spans="1:25">
      <c r="A8658" t="s">
        <v>30166</v>
      </c>
      <c r="B8658" t="s">
        <v>30167</v>
      </c>
      <c r="D8658" t="s">
        <v>40</v>
      </c>
      <c r="E8658" t="s">
        <v>41</v>
      </c>
      <c r="J8658" t="s">
        <v>248</v>
      </c>
      <c r="K8658" t="s">
        <v>249</v>
      </c>
      <c r="L8658">
        <v>3</v>
      </c>
      <c r="M8658" t="s">
        <v>30168</v>
      </c>
      <c r="N8658" t="s">
        <v>24387</v>
      </c>
      <c r="O8658" t="s">
        <v>46</v>
      </c>
      <c r="P8658" t="s">
        <v>46</v>
      </c>
      <c r="Y8658" t="s">
        <v>30169</v>
      </c>
    </row>
    <row r="8659" spans="1:25">
      <c r="A8659" t="s">
        <v>30170</v>
      </c>
      <c r="B8659" t="s">
        <v>30171</v>
      </c>
      <c r="D8659" t="s">
        <v>40</v>
      </c>
      <c r="E8659" t="s">
        <v>41</v>
      </c>
      <c r="J8659" t="s">
        <v>139</v>
      </c>
      <c r="K8659" t="s">
        <v>140</v>
      </c>
      <c r="L8659">
        <v>3</v>
      </c>
      <c r="M8659" t="s">
        <v>30168</v>
      </c>
      <c r="N8659" t="s">
        <v>310</v>
      </c>
      <c r="O8659" t="s">
        <v>46</v>
      </c>
      <c r="P8659" t="s">
        <v>46</v>
      </c>
      <c r="Y8659" t="s">
        <v>30172</v>
      </c>
    </row>
    <row r="8660" spans="1:25">
      <c r="A8660" t="s">
        <v>30173</v>
      </c>
      <c r="B8660" t="s">
        <v>30174</v>
      </c>
      <c r="D8660" t="s">
        <v>40</v>
      </c>
      <c r="E8660" t="s">
        <v>41</v>
      </c>
      <c r="J8660" t="s">
        <v>1142</v>
      </c>
      <c r="K8660" t="s">
        <v>1143</v>
      </c>
      <c r="L8660">
        <v>3</v>
      </c>
      <c r="M8660" t="s">
        <v>30175</v>
      </c>
      <c r="N8660" t="s">
        <v>22465</v>
      </c>
      <c r="O8660" t="s">
        <v>46</v>
      </c>
      <c r="P8660" t="s">
        <v>46</v>
      </c>
      <c r="Y8660" t="s">
        <v>30176</v>
      </c>
    </row>
    <row r="8661" spans="1:25">
      <c r="A8661" t="s">
        <v>30177</v>
      </c>
      <c r="B8661" t="s">
        <v>30178</v>
      </c>
      <c r="D8661" t="s">
        <v>40</v>
      </c>
      <c r="E8661" t="s">
        <v>41</v>
      </c>
      <c r="J8661" t="s">
        <v>1554</v>
      </c>
      <c r="K8661" t="s">
        <v>1555</v>
      </c>
      <c r="L8661">
        <v>3</v>
      </c>
      <c r="M8661" t="s">
        <v>30179</v>
      </c>
      <c r="N8661" t="s">
        <v>25508</v>
      </c>
      <c r="O8661" t="s">
        <v>46</v>
      </c>
      <c r="P8661" t="s">
        <v>46</v>
      </c>
      <c r="Y8661" t="s">
        <v>30180</v>
      </c>
    </row>
    <row r="8662" spans="1:25">
      <c r="A8662" t="s">
        <v>30181</v>
      </c>
      <c r="B8662" t="s">
        <v>30182</v>
      </c>
      <c r="D8662" t="s">
        <v>40</v>
      </c>
      <c r="E8662" t="s">
        <v>41</v>
      </c>
      <c r="J8662" t="s">
        <v>6255</v>
      </c>
      <c r="K8662" t="s">
        <v>6256</v>
      </c>
      <c r="L8662">
        <v>3</v>
      </c>
      <c r="M8662" t="s">
        <v>30183</v>
      </c>
      <c r="N8662" t="s">
        <v>1369</v>
      </c>
      <c r="O8662" t="s">
        <v>46</v>
      </c>
      <c r="P8662" t="s">
        <v>46</v>
      </c>
      <c r="Y8662" t="s">
        <v>30184</v>
      </c>
    </row>
    <row r="8663" spans="1:25">
      <c r="A8663" t="s">
        <v>30185</v>
      </c>
      <c r="B8663" t="s">
        <v>30186</v>
      </c>
      <c r="D8663" t="s">
        <v>40</v>
      </c>
      <c r="E8663" t="s">
        <v>41</v>
      </c>
      <c r="J8663" t="s">
        <v>248</v>
      </c>
      <c r="K8663" t="s">
        <v>249</v>
      </c>
      <c r="L8663">
        <v>2</v>
      </c>
      <c r="M8663" t="s">
        <v>30187</v>
      </c>
      <c r="N8663" t="s">
        <v>310</v>
      </c>
      <c r="O8663" t="s">
        <v>46</v>
      </c>
      <c r="P8663" t="s">
        <v>46</v>
      </c>
      <c r="Y8663" t="s">
        <v>30188</v>
      </c>
    </row>
    <row r="8664" spans="1:25">
      <c r="A8664" t="s">
        <v>30189</v>
      </c>
      <c r="B8664" t="s">
        <v>30190</v>
      </c>
      <c r="D8664" t="s">
        <v>40</v>
      </c>
      <c r="E8664" t="s">
        <v>41</v>
      </c>
      <c r="J8664" t="s">
        <v>248</v>
      </c>
      <c r="K8664" t="s">
        <v>249</v>
      </c>
      <c r="L8664">
        <v>3</v>
      </c>
      <c r="M8664" t="s">
        <v>30191</v>
      </c>
      <c r="N8664" t="s">
        <v>1024</v>
      </c>
      <c r="O8664" t="s">
        <v>46</v>
      </c>
      <c r="P8664" t="s">
        <v>46</v>
      </c>
      <c r="Y8664" t="s">
        <v>30192</v>
      </c>
    </row>
    <row r="8665" spans="1:25">
      <c r="A8665" t="s">
        <v>30193</v>
      </c>
      <c r="B8665" t="s">
        <v>30194</v>
      </c>
      <c r="D8665" t="s">
        <v>40</v>
      </c>
      <c r="E8665" t="s">
        <v>41</v>
      </c>
      <c r="J8665" t="s">
        <v>248</v>
      </c>
      <c r="K8665" t="s">
        <v>249</v>
      </c>
      <c r="L8665">
        <v>3</v>
      </c>
      <c r="M8665" t="s">
        <v>30195</v>
      </c>
      <c r="N8665" t="s">
        <v>509</v>
      </c>
      <c r="O8665" t="s">
        <v>46</v>
      </c>
      <c r="P8665" t="s">
        <v>46</v>
      </c>
      <c r="Y8665" t="s">
        <v>30196</v>
      </c>
    </row>
    <row r="8666" spans="1:25">
      <c r="A8666" t="s">
        <v>30197</v>
      </c>
      <c r="B8666" t="s">
        <v>30198</v>
      </c>
      <c r="D8666" t="s">
        <v>40</v>
      </c>
      <c r="E8666" t="s">
        <v>41</v>
      </c>
      <c r="J8666" t="s">
        <v>1142</v>
      </c>
      <c r="K8666" t="s">
        <v>1143</v>
      </c>
      <c r="L8666">
        <v>3</v>
      </c>
      <c r="M8666" t="s">
        <v>30199</v>
      </c>
      <c r="N8666" t="s">
        <v>1229</v>
      </c>
      <c r="O8666" t="s">
        <v>46</v>
      </c>
      <c r="P8666" t="s">
        <v>46</v>
      </c>
      <c r="Y8666" t="s">
        <v>30200</v>
      </c>
    </row>
    <row r="8667" spans="1:25">
      <c r="A8667" t="s">
        <v>30201</v>
      </c>
      <c r="B8667" t="s">
        <v>30202</v>
      </c>
      <c r="D8667" t="s">
        <v>40</v>
      </c>
      <c r="E8667" t="s">
        <v>41</v>
      </c>
      <c r="J8667" t="s">
        <v>248</v>
      </c>
      <c r="K8667" t="s">
        <v>249</v>
      </c>
      <c r="L8667">
        <v>3</v>
      </c>
      <c r="M8667" t="s">
        <v>30203</v>
      </c>
      <c r="N8667" t="s">
        <v>22465</v>
      </c>
      <c r="O8667" t="s">
        <v>46</v>
      </c>
      <c r="P8667" t="s">
        <v>46</v>
      </c>
      <c r="Y8667" t="s">
        <v>30204</v>
      </c>
    </row>
    <row r="8668" spans="1:25">
      <c r="A8668" t="s">
        <v>30205</v>
      </c>
      <c r="B8668" t="s">
        <v>30206</v>
      </c>
      <c r="D8668" t="s">
        <v>40</v>
      </c>
      <c r="E8668" t="s">
        <v>41</v>
      </c>
      <c r="J8668" t="s">
        <v>248</v>
      </c>
      <c r="K8668" t="s">
        <v>249</v>
      </c>
      <c r="L8668">
        <v>3</v>
      </c>
      <c r="M8668" t="s">
        <v>30207</v>
      </c>
      <c r="N8668" t="s">
        <v>45</v>
      </c>
      <c r="O8668" t="s">
        <v>46</v>
      </c>
      <c r="P8668" t="s">
        <v>46</v>
      </c>
      <c r="Y8668" t="s">
        <v>30208</v>
      </c>
    </row>
    <row r="8669" spans="1:25">
      <c r="A8669" t="s">
        <v>30209</v>
      </c>
      <c r="B8669" t="s">
        <v>30210</v>
      </c>
      <c r="D8669" t="s">
        <v>40</v>
      </c>
      <c r="E8669" t="s">
        <v>41</v>
      </c>
      <c r="J8669" t="s">
        <v>599</v>
      </c>
      <c r="K8669" t="s">
        <v>600</v>
      </c>
      <c r="L8669">
        <v>3</v>
      </c>
      <c r="M8669" t="s">
        <v>30211</v>
      </c>
      <c r="N8669" t="s">
        <v>24387</v>
      </c>
      <c r="O8669" t="s">
        <v>46</v>
      </c>
      <c r="P8669" t="s">
        <v>46</v>
      </c>
      <c r="Y8669" t="s">
        <v>30212</v>
      </c>
    </row>
    <row r="8670" spans="1:25">
      <c r="A8670" t="s">
        <v>30213</v>
      </c>
      <c r="B8670" t="s">
        <v>30214</v>
      </c>
      <c r="D8670" t="s">
        <v>40</v>
      </c>
      <c r="E8670" t="s">
        <v>41</v>
      </c>
      <c r="J8670" t="s">
        <v>1142</v>
      </c>
      <c r="K8670" t="s">
        <v>1143</v>
      </c>
      <c r="L8670">
        <v>3</v>
      </c>
      <c r="M8670" t="s">
        <v>30215</v>
      </c>
      <c r="N8670" t="s">
        <v>310</v>
      </c>
      <c r="O8670" t="s">
        <v>46</v>
      </c>
      <c r="P8670" t="s">
        <v>46</v>
      </c>
      <c r="Y8670" t="s">
        <v>30216</v>
      </c>
    </row>
    <row r="8671" spans="1:25">
      <c r="A8671" t="s">
        <v>30217</v>
      </c>
      <c r="B8671" t="s">
        <v>30218</v>
      </c>
      <c r="D8671" t="s">
        <v>40</v>
      </c>
      <c r="E8671" t="s">
        <v>41</v>
      </c>
      <c r="J8671" t="s">
        <v>11802</v>
      </c>
      <c r="K8671" t="s">
        <v>11803</v>
      </c>
      <c r="L8671">
        <v>3</v>
      </c>
      <c r="M8671" t="s">
        <v>30219</v>
      </c>
      <c r="N8671" t="s">
        <v>1276</v>
      </c>
      <c r="O8671" t="s">
        <v>46</v>
      </c>
      <c r="P8671" t="s">
        <v>46</v>
      </c>
      <c r="Y8671" t="s">
        <v>30220</v>
      </c>
    </row>
    <row r="8672" spans="1:25">
      <c r="A8672" t="s">
        <v>30221</v>
      </c>
      <c r="B8672" t="s">
        <v>30222</v>
      </c>
      <c r="D8672" t="s">
        <v>40</v>
      </c>
      <c r="E8672" t="s">
        <v>41</v>
      </c>
      <c r="J8672" t="s">
        <v>139</v>
      </c>
      <c r="K8672" t="s">
        <v>140</v>
      </c>
      <c r="L8672">
        <v>3</v>
      </c>
      <c r="M8672" t="s">
        <v>30223</v>
      </c>
      <c r="N8672" t="s">
        <v>24240</v>
      </c>
      <c r="O8672" t="s">
        <v>46</v>
      </c>
      <c r="P8672" t="s">
        <v>46</v>
      </c>
      <c r="Y8672" t="s">
        <v>30224</v>
      </c>
    </row>
    <row r="8673" spans="1:25">
      <c r="A8673" t="s">
        <v>30225</v>
      </c>
      <c r="B8673" t="s">
        <v>30226</v>
      </c>
      <c r="D8673" t="s">
        <v>40</v>
      </c>
      <c r="E8673" t="s">
        <v>41</v>
      </c>
      <c r="J8673" t="s">
        <v>1142</v>
      </c>
      <c r="K8673" t="s">
        <v>1143</v>
      </c>
      <c r="L8673">
        <v>3</v>
      </c>
      <c r="M8673" t="s">
        <v>30227</v>
      </c>
      <c r="N8673" t="s">
        <v>2621</v>
      </c>
      <c r="O8673" t="s">
        <v>46</v>
      </c>
      <c r="P8673" t="s">
        <v>46</v>
      </c>
      <c r="Y8673" t="s">
        <v>30228</v>
      </c>
    </row>
    <row r="8674" spans="1:25">
      <c r="A8674" t="s">
        <v>30229</v>
      </c>
      <c r="B8674" t="s">
        <v>30230</v>
      </c>
      <c r="D8674" t="s">
        <v>40</v>
      </c>
      <c r="E8674" t="s">
        <v>41</v>
      </c>
      <c r="J8674" t="s">
        <v>248</v>
      </c>
      <c r="K8674" t="s">
        <v>249</v>
      </c>
      <c r="L8674">
        <v>3</v>
      </c>
      <c r="M8674" t="s">
        <v>30227</v>
      </c>
      <c r="N8674" t="s">
        <v>142</v>
      </c>
      <c r="O8674" t="s">
        <v>46</v>
      </c>
      <c r="P8674" t="s">
        <v>46</v>
      </c>
      <c r="Y8674" t="s">
        <v>30231</v>
      </c>
    </row>
    <row r="8675" spans="1:25">
      <c r="A8675" t="s">
        <v>30232</v>
      </c>
      <c r="B8675" t="s">
        <v>30233</v>
      </c>
      <c r="D8675" t="s">
        <v>40</v>
      </c>
      <c r="E8675" t="s">
        <v>41</v>
      </c>
      <c r="J8675" t="s">
        <v>248</v>
      </c>
      <c r="K8675" t="s">
        <v>249</v>
      </c>
      <c r="L8675">
        <v>3</v>
      </c>
      <c r="M8675" t="s">
        <v>30234</v>
      </c>
      <c r="N8675" t="s">
        <v>23361</v>
      </c>
      <c r="O8675" t="s">
        <v>46</v>
      </c>
      <c r="P8675" t="s">
        <v>46</v>
      </c>
      <c r="Y8675" t="s">
        <v>30235</v>
      </c>
    </row>
    <row r="8676" spans="1:25">
      <c r="A8676" t="s">
        <v>30236</v>
      </c>
      <c r="B8676" t="s">
        <v>30237</v>
      </c>
      <c r="D8676" t="s">
        <v>40</v>
      </c>
      <c r="E8676" t="s">
        <v>41</v>
      </c>
      <c r="J8676" t="s">
        <v>248</v>
      </c>
      <c r="K8676" t="s">
        <v>249</v>
      </c>
      <c r="L8676">
        <v>3</v>
      </c>
      <c r="M8676" t="s">
        <v>30238</v>
      </c>
      <c r="N8676" t="s">
        <v>315</v>
      </c>
      <c r="O8676" t="s">
        <v>46</v>
      </c>
      <c r="P8676" t="s">
        <v>46</v>
      </c>
      <c r="Y8676" t="s">
        <v>30239</v>
      </c>
    </row>
    <row r="8677" spans="1:25">
      <c r="A8677" t="s">
        <v>30240</v>
      </c>
      <c r="B8677" t="s">
        <v>30241</v>
      </c>
      <c r="D8677" t="s">
        <v>40</v>
      </c>
      <c r="E8677" t="s">
        <v>41</v>
      </c>
      <c r="J8677" t="s">
        <v>1554</v>
      </c>
      <c r="K8677" t="s">
        <v>1555</v>
      </c>
      <c r="L8677">
        <v>3</v>
      </c>
      <c r="M8677" t="s">
        <v>30242</v>
      </c>
      <c r="N8677" t="s">
        <v>45</v>
      </c>
      <c r="O8677" t="s">
        <v>46</v>
      </c>
      <c r="P8677" t="s">
        <v>46</v>
      </c>
      <c r="Y8677" t="s">
        <v>30243</v>
      </c>
    </row>
    <row r="8678" spans="1:25">
      <c r="A8678" t="s">
        <v>30244</v>
      </c>
      <c r="B8678" t="s">
        <v>30245</v>
      </c>
      <c r="D8678" t="s">
        <v>40</v>
      </c>
      <c r="E8678" t="s">
        <v>41</v>
      </c>
      <c r="J8678" t="s">
        <v>248</v>
      </c>
      <c r="K8678" t="s">
        <v>249</v>
      </c>
      <c r="L8678">
        <v>3</v>
      </c>
      <c r="M8678" t="s">
        <v>30246</v>
      </c>
      <c r="N8678" t="s">
        <v>53</v>
      </c>
      <c r="O8678" t="s">
        <v>46</v>
      </c>
      <c r="P8678" t="s">
        <v>46</v>
      </c>
      <c r="Y8678" t="s">
        <v>30247</v>
      </c>
    </row>
    <row r="8679" spans="1:25">
      <c r="A8679" t="s">
        <v>30248</v>
      </c>
      <c r="B8679" t="s">
        <v>30249</v>
      </c>
      <c r="D8679" t="s">
        <v>40</v>
      </c>
      <c r="E8679" t="s">
        <v>41</v>
      </c>
      <c r="J8679" t="s">
        <v>248</v>
      </c>
      <c r="K8679" t="s">
        <v>249</v>
      </c>
      <c r="L8679">
        <v>3</v>
      </c>
      <c r="M8679" t="s">
        <v>30250</v>
      </c>
      <c r="N8679" t="s">
        <v>1397</v>
      </c>
      <c r="O8679" t="s">
        <v>46</v>
      </c>
      <c r="P8679" t="s">
        <v>46</v>
      </c>
      <c r="Y8679" t="s">
        <v>30251</v>
      </c>
    </row>
    <row r="8680" spans="1:25">
      <c r="A8680" t="s">
        <v>30252</v>
      </c>
      <c r="B8680" t="s">
        <v>30253</v>
      </c>
      <c r="D8680" t="s">
        <v>40</v>
      </c>
      <c r="E8680" t="s">
        <v>41</v>
      </c>
      <c r="J8680" t="s">
        <v>1554</v>
      </c>
      <c r="K8680" t="s">
        <v>1555</v>
      </c>
      <c r="L8680">
        <v>3</v>
      </c>
      <c r="M8680" t="s">
        <v>30254</v>
      </c>
      <c r="N8680" t="s">
        <v>23374</v>
      </c>
      <c r="O8680" t="s">
        <v>46</v>
      </c>
      <c r="P8680" t="s">
        <v>46</v>
      </c>
      <c r="Y8680" t="s">
        <v>30255</v>
      </c>
    </row>
    <row r="8681" spans="1:25">
      <c r="A8681" t="s">
        <v>30256</v>
      </c>
      <c r="B8681" t="s">
        <v>30257</v>
      </c>
      <c r="D8681" t="s">
        <v>40</v>
      </c>
      <c r="E8681" t="s">
        <v>41</v>
      </c>
      <c r="J8681" t="s">
        <v>248</v>
      </c>
      <c r="K8681" t="s">
        <v>249</v>
      </c>
      <c r="L8681">
        <v>3</v>
      </c>
      <c r="M8681" t="s">
        <v>30258</v>
      </c>
      <c r="N8681" t="s">
        <v>1024</v>
      </c>
      <c r="O8681" t="s">
        <v>46</v>
      </c>
      <c r="P8681" t="s">
        <v>46</v>
      </c>
      <c r="Y8681" t="s">
        <v>30259</v>
      </c>
    </row>
    <row r="8682" spans="1:25">
      <c r="A8682" t="s">
        <v>30260</v>
      </c>
      <c r="B8682" t="s">
        <v>30261</v>
      </c>
      <c r="D8682" t="s">
        <v>40</v>
      </c>
      <c r="E8682" t="s">
        <v>41</v>
      </c>
      <c r="J8682" t="s">
        <v>1142</v>
      </c>
      <c r="K8682" t="s">
        <v>1143</v>
      </c>
      <c r="L8682">
        <v>3</v>
      </c>
      <c r="M8682" t="s">
        <v>30262</v>
      </c>
      <c r="N8682" t="s">
        <v>24227</v>
      </c>
      <c r="O8682" t="s">
        <v>46</v>
      </c>
      <c r="P8682" t="s">
        <v>46</v>
      </c>
      <c r="Y8682" t="s">
        <v>30263</v>
      </c>
    </row>
    <row r="8683" spans="1:25">
      <c r="A8683" t="s">
        <v>30264</v>
      </c>
      <c r="B8683" t="s">
        <v>30265</v>
      </c>
      <c r="D8683" t="s">
        <v>40</v>
      </c>
      <c r="E8683" t="s">
        <v>41</v>
      </c>
      <c r="J8683" t="s">
        <v>12440</v>
      </c>
      <c r="K8683" t="s">
        <v>12441</v>
      </c>
      <c r="L8683">
        <v>4</v>
      </c>
      <c r="M8683" t="s">
        <v>30266</v>
      </c>
      <c r="N8683" t="s">
        <v>24387</v>
      </c>
      <c r="O8683" t="s">
        <v>46</v>
      </c>
      <c r="P8683" t="s">
        <v>46</v>
      </c>
      <c r="Y8683" t="s">
        <v>30267</v>
      </c>
    </row>
    <row r="8684" spans="1:25">
      <c r="A8684" t="s">
        <v>30268</v>
      </c>
      <c r="B8684" t="s">
        <v>30269</v>
      </c>
      <c r="D8684" t="s">
        <v>40</v>
      </c>
      <c r="E8684" t="s">
        <v>41</v>
      </c>
      <c r="J8684" t="s">
        <v>248</v>
      </c>
      <c r="K8684" t="s">
        <v>249</v>
      </c>
      <c r="L8684">
        <v>3</v>
      </c>
      <c r="M8684" t="s">
        <v>30270</v>
      </c>
      <c r="N8684" t="s">
        <v>24245</v>
      </c>
      <c r="O8684" t="s">
        <v>46</v>
      </c>
      <c r="P8684" t="s">
        <v>46</v>
      </c>
      <c r="Y8684" t="s">
        <v>30271</v>
      </c>
    </row>
    <row r="8685" spans="1:25">
      <c r="A8685" t="s">
        <v>30272</v>
      </c>
      <c r="B8685" t="s">
        <v>30273</v>
      </c>
      <c r="D8685" t="s">
        <v>40</v>
      </c>
      <c r="E8685" t="s">
        <v>41</v>
      </c>
      <c r="J8685" t="s">
        <v>139</v>
      </c>
      <c r="K8685" t="s">
        <v>140</v>
      </c>
      <c r="L8685">
        <v>3</v>
      </c>
      <c r="M8685" t="s">
        <v>30274</v>
      </c>
      <c r="N8685" t="s">
        <v>436</v>
      </c>
      <c r="O8685" t="s">
        <v>46</v>
      </c>
      <c r="P8685" t="s">
        <v>46</v>
      </c>
      <c r="Y8685" t="s">
        <v>30275</v>
      </c>
    </row>
    <row r="8686" spans="1:25">
      <c r="A8686" t="s">
        <v>30276</v>
      </c>
      <c r="B8686" t="s">
        <v>30277</v>
      </c>
      <c r="D8686" t="s">
        <v>40</v>
      </c>
      <c r="E8686" t="s">
        <v>41</v>
      </c>
      <c r="J8686" t="s">
        <v>6179</v>
      </c>
      <c r="K8686" t="s">
        <v>6180</v>
      </c>
      <c r="L8686">
        <v>3</v>
      </c>
      <c r="M8686" t="s">
        <v>30278</v>
      </c>
      <c r="N8686" t="s">
        <v>1397</v>
      </c>
      <c r="O8686" t="s">
        <v>46</v>
      </c>
      <c r="P8686" t="s">
        <v>46</v>
      </c>
      <c r="Y8686" t="s">
        <v>30279</v>
      </c>
    </row>
    <row r="8687" spans="1:25">
      <c r="A8687" t="s">
        <v>30280</v>
      </c>
      <c r="B8687" t="s">
        <v>30281</v>
      </c>
      <c r="D8687" t="s">
        <v>40</v>
      </c>
      <c r="E8687" t="s">
        <v>41</v>
      </c>
      <c r="J8687" t="s">
        <v>248</v>
      </c>
      <c r="K8687" t="s">
        <v>249</v>
      </c>
      <c r="L8687">
        <v>3</v>
      </c>
      <c r="M8687" t="s">
        <v>30278</v>
      </c>
      <c r="N8687" t="s">
        <v>23374</v>
      </c>
      <c r="O8687" t="s">
        <v>46</v>
      </c>
      <c r="P8687" t="s">
        <v>46</v>
      </c>
      <c r="Y8687" t="s">
        <v>30282</v>
      </c>
    </row>
    <row r="8688" spans="1:25">
      <c r="A8688" t="s">
        <v>30283</v>
      </c>
      <c r="B8688" t="s">
        <v>30284</v>
      </c>
      <c r="D8688" t="s">
        <v>40</v>
      </c>
      <c r="E8688" t="s">
        <v>41</v>
      </c>
      <c r="J8688" t="s">
        <v>248</v>
      </c>
      <c r="K8688" t="s">
        <v>249</v>
      </c>
      <c r="L8688">
        <v>3</v>
      </c>
      <c r="M8688" t="s">
        <v>30285</v>
      </c>
      <c r="N8688" t="s">
        <v>950</v>
      </c>
      <c r="O8688" t="s">
        <v>46</v>
      </c>
      <c r="P8688" t="s">
        <v>46</v>
      </c>
      <c r="Y8688" t="s">
        <v>30286</v>
      </c>
    </row>
    <row r="8689" spans="1:25">
      <c r="A8689" t="s">
        <v>30287</v>
      </c>
      <c r="B8689" t="s">
        <v>30288</v>
      </c>
      <c r="D8689" t="s">
        <v>40</v>
      </c>
      <c r="E8689" t="s">
        <v>41</v>
      </c>
      <c r="J8689" t="s">
        <v>1554</v>
      </c>
      <c r="K8689" t="s">
        <v>1555</v>
      </c>
      <c r="L8689">
        <v>3</v>
      </c>
      <c r="M8689" t="s">
        <v>30289</v>
      </c>
      <c r="N8689" t="s">
        <v>1369</v>
      </c>
      <c r="O8689" t="s">
        <v>46</v>
      </c>
      <c r="P8689" t="s">
        <v>46</v>
      </c>
      <c r="Y8689" t="s">
        <v>30290</v>
      </c>
    </row>
    <row r="8690" spans="1:25">
      <c r="A8690" t="s">
        <v>30291</v>
      </c>
      <c r="B8690" t="s">
        <v>30292</v>
      </c>
      <c r="D8690" t="s">
        <v>40</v>
      </c>
      <c r="E8690" t="s">
        <v>41</v>
      </c>
      <c r="J8690" t="s">
        <v>139</v>
      </c>
      <c r="K8690" t="s">
        <v>140</v>
      </c>
      <c r="L8690">
        <v>3</v>
      </c>
      <c r="M8690" t="s">
        <v>30293</v>
      </c>
      <c r="N8690" t="s">
        <v>310</v>
      </c>
      <c r="O8690" t="s">
        <v>46</v>
      </c>
      <c r="P8690" t="s">
        <v>46</v>
      </c>
      <c r="Y8690" t="s">
        <v>30294</v>
      </c>
    </row>
    <row r="8691" spans="1:25">
      <c r="A8691" t="s">
        <v>30295</v>
      </c>
      <c r="B8691" t="s">
        <v>30296</v>
      </c>
      <c r="D8691" t="s">
        <v>40</v>
      </c>
      <c r="E8691" t="s">
        <v>41</v>
      </c>
      <c r="J8691" t="s">
        <v>248</v>
      </c>
      <c r="K8691" t="s">
        <v>249</v>
      </c>
      <c r="L8691">
        <v>3</v>
      </c>
      <c r="M8691" t="s">
        <v>30293</v>
      </c>
      <c r="N8691" t="s">
        <v>1550</v>
      </c>
      <c r="O8691" t="s">
        <v>46</v>
      </c>
      <c r="P8691" t="s">
        <v>46</v>
      </c>
      <c r="Y8691" t="s">
        <v>30297</v>
      </c>
    </row>
    <row r="8692" spans="1:25">
      <c r="A8692" t="s">
        <v>30298</v>
      </c>
      <c r="B8692" t="s">
        <v>30299</v>
      </c>
      <c r="D8692" t="s">
        <v>40</v>
      </c>
      <c r="E8692" t="s">
        <v>41</v>
      </c>
      <c r="J8692" t="s">
        <v>248</v>
      </c>
      <c r="K8692" t="s">
        <v>249</v>
      </c>
      <c r="L8692">
        <v>3</v>
      </c>
      <c r="M8692" t="s">
        <v>30300</v>
      </c>
      <c r="N8692" t="s">
        <v>45</v>
      </c>
      <c r="O8692" t="s">
        <v>46</v>
      </c>
      <c r="P8692" t="s">
        <v>46</v>
      </c>
      <c r="Y8692" t="s">
        <v>30301</v>
      </c>
    </row>
    <row r="8693" spans="1:25">
      <c r="A8693" t="s">
        <v>30302</v>
      </c>
      <c r="B8693" t="s">
        <v>30303</v>
      </c>
      <c r="D8693" t="s">
        <v>40</v>
      </c>
      <c r="E8693" t="s">
        <v>41</v>
      </c>
      <c r="J8693" t="s">
        <v>248</v>
      </c>
      <c r="K8693" t="s">
        <v>249</v>
      </c>
      <c r="L8693">
        <v>3</v>
      </c>
      <c r="M8693" t="s">
        <v>30304</v>
      </c>
      <c r="N8693" t="s">
        <v>1478</v>
      </c>
      <c r="O8693" t="s">
        <v>46</v>
      </c>
      <c r="P8693" t="s">
        <v>46</v>
      </c>
      <c r="Y8693" t="s">
        <v>30305</v>
      </c>
    </row>
    <row r="8694" spans="1:25">
      <c r="A8694" t="s">
        <v>30306</v>
      </c>
      <c r="B8694" t="s">
        <v>30307</v>
      </c>
      <c r="D8694" t="s">
        <v>40</v>
      </c>
      <c r="E8694" t="s">
        <v>41</v>
      </c>
      <c r="J8694" t="s">
        <v>248</v>
      </c>
      <c r="K8694" t="s">
        <v>249</v>
      </c>
      <c r="L8694">
        <v>3</v>
      </c>
      <c r="M8694" t="s">
        <v>30308</v>
      </c>
      <c r="N8694" t="s">
        <v>178</v>
      </c>
      <c r="O8694" t="s">
        <v>46</v>
      </c>
      <c r="P8694" t="s">
        <v>46</v>
      </c>
      <c r="Y8694" t="s">
        <v>30309</v>
      </c>
    </row>
    <row r="8695" spans="1:25">
      <c r="A8695" t="s">
        <v>30310</v>
      </c>
      <c r="B8695" t="s">
        <v>30311</v>
      </c>
      <c r="D8695" t="s">
        <v>40</v>
      </c>
      <c r="E8695" t="s">
        <v>41</v>
      </c>
      <c r="J8695" t="s">
        <v>248</v>
      </c>
      <c r="K8695" t="s">
        <v>249</v>
      </c>
      <c r="L8695">
        <v>3</v>
      </c>
      <c r="M8695" t="s">
        <v>30312</v>
      </c>
      <c r="N8695" t="s">
        <v>24227</v>
      </c>
      <c r="O8695" t="s">
        <v>46</v>
      </c>
      <c r="P8695" t="s">
        <v>46</v>
      </c>
      <c r="Y8695" t="s">
        <v>30313</v>
      </c>
    </row>
    <row r="8696" spans="1:25">
      <c r="A8696" t="s">
        <v>30314</v>
      </c>
      <c r="B8696" t="s">
        <v>30315</v>
      </c>
      <c r="D8696" t="s">
        <v>40</v>
      </c>
      <c r="E8696" t="s">
        <v>41</v>
      </c>
      <c r="J8696" t="s">
        <v>1142</v>
      </c>
      <c r="K8696" t="s">
        <v>1143</v>
      </c>
      <c r="L8696">
        <v>3</v>
      </c>
      <c r="M8696" t="s">
        <v>30316</v>
      </c>
      <c r="N8696" t="s">
        <v>23374</v>
      </c>
      <c r="O8696" t="s">
        <v>46</v>
      </c>
      <c r="P8696" t="s">
        <v>46</v>
      </c>
      <c r="Y8696" t="s">
        <v>30317</v>
      </c>
    </row>
    <row r="8697" spans="1:25">
      <c r="A8697" t="s">
        <v>30318</v>
      </c>
      <c r="B8697" t="s">
        <v>30319</v>
      </c>
      <c r="D8697" t="s">
        <v>40</v>
      </c>
      <c r="E8697" t="s">
        <v>41</v>
      </c>
      <c r="J8697" t="s">
        <v>248</v>
      </c>
      <c r="K8697" t="s">
        <v>249</v>
      </c>
      <c r="L8697">
        <v>3</v>
      </c>
      <c r="M8697" t="s">
        <v>30320</v>
      </c>
      <c r="N8697" t="s">
        <v>752</v>
      </c>
      <c r="O8697" t="s">
        <v>46</v>
      </c>
      <c r="P8697" t="s">
        <v>46</v>
      </c>
      <c r="Y8697" t="s">
        <v>30321</v>
      </c>
    </row>
    <row r="8698" spans="1:25">
      <c r="A8698" t="s">
        <v>30322</v>
      </c>
      <c r="B8698" t="s">
        <v>30323</v>
      </c>
      <c r="D8698" t="s">
        <v>40</v>
      </c>
      <c r="E8698" t="s">
        <v>41</v>
      </c>
      <c r="J8698" t="s">
        <v>248</v>
      </c>
      <c r="K8698" t="s">
        <v>249</v>
      </c>
      <c r="L8698">
        <v>3</v>
      </c>
      <c r="M8698" t="s">
        <v>30324</v>
      </c>
      <c r="N8698" t="s">
        <v>1369</v>
      </c>
      <c r="O8698" t="s">
        <v>46</v>
      </c>
      <c r="P8698" t="s">
        <v>46</v>
      </c>
      <c r="Y8698" t="s">
        <v>30325</v>
      </c>
    </row>
    <row r="8699" spans="1:25">
      <c r="A8699" t="s">
        <v>30326</v>
      </c>
      <c r="B8699" t="s">
        <v>30327</v>
      </c>
      <c r="D8699" t="s">
        <v>40</v>
      </c>
      <c r="E8699" t="s">
        <v>41</v>
      </c>
      <c r="J8699" t="s">
        <v>2619</v>
      </c>
      <c r="K8699" t="s">
        <v>140</v>
      </c>
      <c r="L8699">
        <v>3</v>
      </c>
      <c r="M8699" t="s">
        <v>30328</v>
      </c>
      <c r="N8699" t="s">
        <v>2621</v>
      </c>
      <c r="O8699" t="s">
        <v>46</v>
      </c>
      <c r="P8699" t="s">
        <v>46</v>
      </c>
      <c r="Y8699" t="s">
        <v>30329</v>
      </c>
    </row>
    <row r="8700" spans="1:25">
      <c r="A8700" t="s">
        <v>30330</v>
      </c>
      <c r="B8700" t="s">
        <v>30331</v>
      </c>
      <c r="D8700" t="s">
        <v>40</v>
      </c>
      <c r="E8700" t="s">
        <v>41</v>
      </c>
      <c r="J8700" t="s">
        <v>248</v>
      </c>
      <c r="K8700" t="s">
        <v>249</v>
      </c>
      <c r="L8700">
        <v>3</v>
      </c>
      <c r="M8700" t="s">
        <v>30332</v>
      </c>
      <c r="N8700" t="s">
        <v>3013</v>
      </c>
      <c r="O8700" t="s">
        <v>46</v>
      </c>
      <c r="P8700" t="s">
        <v>46</v>
      </c>
      <c r="Y8700" t="s">
        <v>30333</v>
      </c>
    </row>
    <row r="8701" spans="1:25">
      <c r="A8701" t="s">
        <v>30334</v>
      </c>
      <c r="B8701" t="s">
        <v>30335</v>
      </c>
      <c r="D8701" t="s">
        <v>40</v>
      </c>
      <c r="E8701" t="s">
        <v>41</v>
      </c>
      <c r="J8701" t="s">
        <v>139</v>
      </c>
      <c r="K8701" t="s">
        <v>140</v>
      </c>
      <c r="L8701">
        <v>3</v>
      </c>
      <c r="M8701" t="s">
        <v>30336</v>
      </c>
      <c r="N8701" t="s">
        <v>440</v>
      </c>
      <c r="O8701" t="s">
        <v>46</v>
      </c>
      <c r="P8701" t="s">
        <v>46</v>
      </c>
      <c r="Y8701" t="s">
        <v>30337</v>
      </c>
    </row>
    <row r="8702" spans="1:25">
      <c r="A8702" t="s">
        <v>30338</v>
      </c>
      <c r="B8702" t="s">
        <v>30339</v>
      </c>
      <c r="D8702" t="s">
        <v>40</v>
      </c>
      <c r="E8702" t="s">
        <v>41</v>
      </c>
      <c r="J8702" t="s">
        <v>248</v>
      </c>
      <c r="K8702" t="s">
        <v>249</v>
      </c>
      <c r="L8702">
        <v>3</v>
      </c>
      <c r="M8702" t="s">
        <v>30340</v>
      </c>
      <c r="N8702" t="s">
        <v>1478</v>
      </c>
      <c r="O8702" t="s">
        <v>46</v>
      </c>
      <c r="P8702" t="s">
        <v>46</v>
      </c>
      <c r="Y8702" t="s">
        <v>30341</v>
      </c>
    </row>
    <row r="8703" spans="1:25">
      <c r="A8703" t="s">
        <v>30342</v>
      </c>
      <c r="B8703" t="s">
        <v>30343</v>
      </c>
      <c r="D8703" t="s">
        <v>40</v>
      </c>
      <c r="E8703" t="s">
        <v>41</v>
      </c>
      <c r="J8703" t="s">
        <v>248</v>
      </c>
      <c r="K8703" t="s">
        <v>249</v>
      </c>
      <c r="L8703">
        <v>3</v>
      </c>
      <c r="M8703" t="s">
        <v>30344</v>
      </c>
      <c r="N8703" t="s">
        <v>22465</v>
      </c>
      <c r="O8703" t="s">
        <v>46</v>
      </c>
      <c r="P8703" t="s">
        <v>46</v>
      </c>
      <c r="Y8703" t="s">
        <v>30345</v>
      </c>
    </row>
    <row r="8704" spans="1:25">
      <c r="A8704" t="s">
        <v>30346</v>
      </c>
      <c r="B8704" t="s">
        <v>30347</v>
      </c>
      <c r="D8704" t="s">
        <v>40</v>
      </c>
      <c r="E8704" t="s">
        <v>41</v>
      </c>
      <c r="J8704" t="s">
        <v>1142</v>
      </c>
      <c r="K8704" t="s">
        <v>1143</v>
      </c>
      <c r="L8704">
        <v>3</v>
      </c>
      <c r="M8704" t="s">
        <v>30348</v>
      </c>
      <c r="N8704" t="s">
        <v>142</v>
      </c>
      <c r="O8704" t="s">
        <v>46</v>
      </c>
      <c r="P8704" t="s">
        <v>46</v>
      </c>
      <c r="Y8704" t="s">
        <v>30349</v>
      </c>
    </row>
    <row r="8705" spans="1:25">
      <c r="A8705" t="s">
        <v>30350</v>
      </c>
      <c r="B8705" t="s">
        <v>30351</v>
      </c>
      <c r="D8705" t="s">
        <v>40</v>
      </c>
      <c r="E8705" t="s">
        <v>41</v>
      </c>
      <c r="J8705" t="s">
        <v>1554</v>
      </c>
      <c r="K8705" t="s">
        <v>1555</v>
      </c>
      <c r="L8705">
        <v>3</v>
      </c>
      <c r="M8705" t="s">
        <v>30352</v>
      </c>
      <c r="N8705" t="s">
        <v>24245</v>
      </c>
      <c r="O8705" t="s">
        <v>46</v>
      </c>
      <c r="P8705" t="s">
        <v>46</v>
      </c>
      <c r="Y8705" t="s">
        <v>30353</v>
      </c>
    </row>
    <row r="8706" spans="1:25">
      <c r="A8706" t="s">
        <v>30354</v>
      </c>
      <c r="B8706" t="s">
        <v>30355</v>
      </c>
      <c r="D8706" t="s">
        <v>40</v>
      </c>
      <c r="E8706" t="s">
        <v>41</v>
      </c>
      <c r="J8706" t="s">
        <v>248</v>
      </c>
      <c r="K8706" t="s">
        <v>249</v>
      </c>
      <c r="L8706">
        <v>3</v>
      </c>
      <c r="M8706" t="s">
        <v>30356</v>
      </c>
      <c r="N8706" t="s">
        <v>1446</v>
      </c>
      <c r="O8706" t="s">
        <v>46</v>
      </c>
      <c r="P8706" t="s">
        <v>46</v>
      </c>
      <c r="Y8706" t="s">
        <v>30357</v>
      </c>
    </row>
    <row r="8707" spans="1:25">
      <c r="A8707" t="s">
        <v>30358</v>
      </c>
      <c r="B8707" t="s">
        <v>30359</v>
      </c>
      <c r="D8707" t="s">
        <v>40</v>
      </c>
      <c r="E8707" t="s">
        <v>41</v>
      </c>
      <c r="J8707" t="s">
        <v>248</v>
      </c>
      <c r="K8707" t="s">
        <v>249</v>
      </c>
      <c r="L8707">
        <v>3</v>
      </c>
      <c r="M8707" t="s">
        <v>30360</v>
      </c>
      <c r="N8707" t="s">
        <v>257</v>
      </c>
      <c r="O8707" t="s">
        <v>46</v>
      </c>
      <c r="P8707" t="s">
        <v>46</v>
      </c>
      <c r="Y8707" t="s">
        <v>30361</v>
      </c>
    </row>
    <row r="8708" spans="1:25">
      <c r="A8708" t="s">
        <v>30362</v>
      </c>
      <c r="B8708" t="s">
        <v>30363</v>
      </c>
      <c r="D8708" t="s">
        <v>40</v>
      </c>
      <c r="E8708" t="s">
        <v>41</v>
      </c>
      <c r="J8708" t="s">
        <v>1554</v>
      </c>
      <c r="K8708" t="s">
        <v>1555</v>
      </c>
      <c r="L8708">
        <v>3</v>
      </c>
      <c r="M8708" t="s">
        <v>30364</v>
      </c>
      <c r="N8708" t="s">
        <v>1344</v>
      </c>
      <c r="O8708" t="s">
        <v>46</v>
      </c>
      <c r="P8708" t="s">
        <v>46</v>
      </c>
      <c r="Y8708" t="s">
        <v>30365</v>
      </c>
    </row>
    <row r="8709" spans="1:25">
      <c r="A8709" t="s">
        <v>30366</v>
      </c>
      <c r="B8709" t="s">
        <v>30367</v>
      </c>
      <c r="D8709" t="s">
        <v>40</v>
      </c>
      <c r="E8709" t="s">
        <v>41</v>
      </c>
      <c r="J8709" t="s">
        <v>1554</v>
      </c>
      <c r="K8709" t="s">
        <v>1555</v>
      </c>
      <c r="L8709">
        <v>3</v>
      </c>
      <c r="M8709" t="s">
        <v>30368</v>
      </c>
      <c r="N8709" t="s">
        <v>4037</v>
      </c>
      <c r="O8709" t="s">
        <v>46</v>
      </c>
      <c r="P8709" t="s">
        <v>46</v>
      </c>
      <c r="Y8709" t="s">
        <v>30369</v>
      </c>
    </row>
    <row r="8710" spans="1:25">
      <c r="A8710" t="s">
        <v>30370</v>
      </c>
      <c r="B8710" t="s">
        <v>30371</v>
      </c>
      <c r="D8710" t="s">
        <v>40</v>
      </c>
      <c r="E8710" t="s">
        <v>41</v>
      </c>
      <c r="J8710" t="s">
        <v>248</v>
      </c>
      <c r="K8710" t="s">
        <v>249</v>
      </c>
      <c r="L8710">
        <v>3</v>
      </c>
      <c r="M8710" t="s">
        <v>30372</v>
      </c>
      <c r="N8710" t="s">
        <v>1276</v>
      </c>
      <c r="O8710" t="s">
        <v>46</v>
      </c>
      <c r="P8710" t="s">
        <v>46</v>
      </c>
      <c r="Y8710" t="s">
        <v>30373</v>
      </c>
    </row>
    <row r="8711" spans="1:25">
      <c r="A8711" t="s">
        <v>30374</v>
      </c>
      <c r="B8711" t="s">
        <v>30375</v>
      </c>
      <c r="D8711" t="s">
        <v>40</v>
      </c>
      <c r="E8711" t="s">
        <v>41</v>
      </c>
      <c r="J8711" t="s">
        <v>248</v>
      </c>
      <c r="K8711" t="s">
        <v>249</v>
      </c>
      <c r="L8711">
        <v>3</v>
      </c>
      <c r="M8711" t="s">
        <v>30376</v>
      </c>
      <c r="N8711" t="s">
        <v>142</v>
      </c>
      <c r="O8711" t="s">
        <v>46</v>
      </c>
      <c r="P8711" t="s">
        <v>46</v>
      </c>
      <c r="Y8711" t="s">
        <v>30377</v>
      </c>
    </row>
    <row r="8712" spans="1:25">
      <c r="A8712" t="s">
        <v>30378</v>
      </c>
      <c r="B8712" t="s">
        <v>30379</v>
      </c>
      <c r="D8712" t="s">
        <v>40</v>
      </c>
      <c r="E8712" t="s">
        <v>41</v>
      </c>
      <c r="J8712" t="s">
        <v>248</v>
      </c>
      <c r="K8712" t="s">
        <v>249</v>
      </c>
      <c r="L8712">
        <v>3</v>
      </c>
      <c r="M8712" t="s">
        <v>30380</v>
      </c>
      <c r="N8712" t="s">
        <v>950</v>
      </c>
      <c r="O8712" t="s">
        <v>46</v>
      </c>
      <c r="P8712" t="s">
        <v>46</v>
      </c>
      <c r="Y8712" t="s">
        <v>30381</v>
      </c>
    </row>
    <row r="8713" spans="1:25">
      <c r="A8713" t="s">
        <v>30382</v>
      </c>
      <c r="B8713" t="s">
        <v>30383</v>
      </c>
      <c r="D8713" t="s">
        <v>40</v>
      </c>
      <c r="E8713" t="s">
        <v>41</v>
      </c>
      <c r="J8713" t="s">
        <v>11802</v>
      </c>
      <c r="K8713" t="s">
        <v>11803</v>
      </c>
      <c r="L8713">
        <v>3</v>
      </c>
      <c r="M8713" t="s">
        <v>30384</v>
      </c>
      <c r="N8713" t="s">
        <v>24245</v>
      </c>
      <c r="O8713" t="s">
        <v>46</v>
      </c>
      <c r="P8713" t="s">
        <v>46</v>
      </c>
      <c r="Y8713" t="s">
        <v>30385</v>
      </c>
    </row>
    <row r="8714" spans="1:25">
      <c r="A8714" t="s">
        <v>30386</v>
      </c>
      <c r="B8714" t="s">
        <v>30387</v>
      </c>
      <c r="D8714" t="s">
        <v>40</v>
      </c>
      <c r="E8714" t="s">
        <v>41</v>
      </c>
      <c r="J8714" t="s">
        <v>1554</v>
      </c>
      <c r="K8714" t="s">
        <v>1555</v>
      </c>
      <c r="L8714">
        <v>3</v>
      </c>
      <c r="M8714" t="s">
        <v>30388</v>
      </c>
      <c r="N8714" t="s">
        <v>45</v>
      </c>
      <c r="O8714" t="s">
        <v>46</v>
      </c>
      <c r="P8714" t="s">
        <v>46</v>
      </c>
      <c r="Y8714" t="s">
        <v>30389</v>
      </c>
    </row>
    <row r="8715" spans="1:25">
      <c r="A8715" t="s">
        <v>30390</v>
      </c>
      <c r="B8715" t="s">
        <v>30391</v>
      </c>
      <c r="D8715" t="s">
        <v>40</v>
      </c>
      <c r="E8715" t="s">
        <v>41</v>
      </c>
      <c r="J8715" t="s">
        <v>248</v>
      </c>
      <c r="K8715" t="s">
        <v>249</v>
      </c>
      <c r="L8715">
        <v>3</v>
      </c>
      <c r="M8715" t="s">
        <v>30392</v>
      </c>
      <c r="N8715" t="s">
        <v>1478</v>
      </c>
      <c r="O8715" t="s">
        <v>46</v>
      </c>
      <c r="P8715" t="s">
        <v>46</v>
      </c>
      <c r="Y8715" t="s">
        <v>30393</v>
      </c>
    </row>
    <row r="8716" spans="1:25">
      <c r="A8716" t="s">
        <v>30394</v>
      </c>
      <c r="B8716" t="s">
        <v>30395</v>
      </c>
      <c r="D8716" t="s">
        <v>40</v>
      </c>
      <c r="E8716" t="s">
        <v>41</v>
      </c>
      <c r="J8716" t="s">
        <v>1142</v>
      </c>
      <c r="K8716" t="s">
        <v>1143</v>
      </c>
      <c r="L8716">
        <v>3</v>
      </c>
      <c r="M8716" t="s">
        <v>30396</v>
      </c>
      <c r="N8716" t="s">
        <v>53</v>
      </c>
      <c r="O8716" t="s">
        <v>46</v>
      </c>
      <c r="P8716" t="s">
        <v>46</v>
      </c>
      <c r="Y8716" t="s">
        <v>30397</v>
      </c>
    </row>
    <row r="8717" spans="1:25">
      <c r="A8717" t="s">
        <v>30398</v>
      </c>
      <c r="B8717" t="s">
        <v>30399</v>
      </c>
      <c r="D8717" t="s">
        <v>40</v>
      </c>
      <c r="E8717" t="s">
        <v>41</v>
      </c>
      <c r="J8717" t="s">
        <v>248</v>
      </c>
      <c r="K8717" t="s">
        <v>249</v>
      </c>
      <c r="L8717">
        <v>3</v>
      </c>
      <c r="M8717" t="s">
        <v>30400</v>
      </c>
      <c r="N8717" t="s">
        <v>950</v>
      </c>
      <c r="O8717" t="s">
        <v>46</v>
      </c>
      <c r="P8717" t="s">
        <v>46</v>
      </c>
      <c r="Y8717" t="s">
        <v>30401</v>
      </c>
    </row>
    <row r="8718" spans="1:25">
      <c r="A8718" t="s">
        <v>30402</v>
      </c>
      <c r="B8718" t="s">
        <v>30403</v>
      </c>
      <c r="D8718" t="s">
        <v>40</v>
      </c>
      <c r="E8718" t="s">
        <v>41</v>
      </c>
      <c r="J8718" t="s">
        <v>139</v>
      </c>
      <c r="K8718" t="s">
        <v>140</v>
      </c>
      <c r="L8718">
        <v>3</v>
      </c>
      <c r="M8718" t="s">
        <v>30404</v>
      </c>
      <c r="N8718" t="s">
        <v>24245</v>
      </c>
      <c r="O8718" t="s">
        <v>46</v>
      </c>
      <c r="P8718" t="s">
        <v>46</v>
      </c>
      <c r="Y8718" t="s">
        <v>30405</v>
      </c>
    </row>
    <row r="8719" spans="1:25">
      <c r="A8719" t="s">
        <v>30406</v>
      </c>
      <c r="B8719" t="s">
        <v>30407</v>
      </c>
      <c r="D8719" t="s">
        <v>40</v>
      </c>
      <c r="E8719" t="s">
        <v>41</v>
      </c>
      <c r="J8719" t="s">
        <v>248</v>
      </c>
      <c r="K8719" t="s">
        <v>249</v>
      </c>
      <c r="L8719">
        <v>3</v>
      </c>
      <c r="M8719" t="s">
        <v>30408</v>
      </c>
      <c r="N8719" t="s">
        <v>257</v>
      </c>
      <c r="O8719" t="s">
        <v>46</v>
      </c>
      <c r="P8719" t="s">
        <v>46</v>
      </c>
      <c r="Y8719" t="s">
        <v>30409</v>
      </c>
    </row>
    <row r="8720" spans="1:25">
      <c r="A8720" t="s">
        <v>30410</v>
      </c>
      <c r="B8720" t="s">
        <v>30411</v>
      </c>
      <c r="D8720" t="s">
        <v>40</v>
      </c>
      <c r="E8720" t="s">
        <v>41</v>
      </c>
      <c r="J8720" t="s">
        <v>12440</v>
      </c>
      <c r="K8720" t="s">
        <v>12441</v>
      </c>
      <c r="L8720">
        <v>4</v>
      </c>
      <c r="M8720" t="s">
        <v>30412</v>
      </c>
      <c r="N8720" t="s">
        <v>752</v>
      </c>
      <c r="O8720" t="s">
        <v>46</v>
      </c>
      <c r="P8720" t="s">
        <v>46</v>
      </c>
      <c r="Y8720" t="s">
        <v>30413</v>
      </c>
    </row>
    <row r="8721" spans="1:25">
      <c r="A8721" t="s">
        <v>30414</v>
      </c>
      <c r="B8721" t="s">
        <v>30415</v>
      </c>
      <c r="D8721" t="s">
        <v>40</v>
      </c>
      <c r="E8721" t="s">
        <v>41</v>
      </c>
      <c r="J8721" t="s">
        <v>248</v>
      </c>
      <c r="K8721" t="s">
        <v>249</v>
      </c>
      <c r="L8721">
        <v>3</v>
      </c>
      <c r="M8721" t="s">
        <v>30412</v>
      </c>
      <c r="N8721" t="s">
        <v>310</v>
      </c>
      <c r="O8721" t="s">
        <v>46</v>
      </c>
      <c r="P8721" t="s">
        <v>46</v>
      </c>
      <c r="Y8721" t="s">
        <v>30416</v>
      </c>
    </row>
    <row r="8722" spans="1:25">
      <c r="A8722" t="s">
        <v>30417</v>
      </c>
      <c r="B8722" t="s">
        <v>30418</v>
      </c>
      <c r="D8722" t="s">
        <v>40</v>
      </c>
      <c r="E8722" t="s">
        <v>41</v>
      </c>
      <c r="J8722" t="s">
        <v>1142</v>
      </c>
      <c r="K8722" t="s">
        <v>1143</v>
      </c>
      <c r="L8722">
        <v>3</v>
      </c>
      <c r="M8722" t="s">
        <v>30419</v>
      </c>
      <c r="N8722" t="s">
        <v>2621</v>
      </c>
      <c r="O8722" t="s">
        <v>46</v>
      </c>
      <c r="P8722" t="s">
        <v>46</v>
      </c>
      <c r="Y8722" t="s">
        <v>30420</v>
      </c>
    </row>
    <row r="8723" spans="1:25">
      <c r="A8723" t="s">
        <v>30421</v>
      </c>
      <c r="B8723" t="s">
        <v>30422</v>
      </c>
      <c r="D8723" t="s">
        <v>40</v>
      </c>
      <c r="E8723" t="s">
        <v>41</v>
      </c>
      <c r="J8723" t="s">
        <v>1554</v>
      </c>
      <c r="K8723" t="s">
        <v>1555</v>
      </c>
      <c r="L8723">
        <v>3</v>
      </c>
      <c r="M8723" t="s">
        <v>30423</v>
      </c>
      <c r="N8723" t="s">
        <v>142</v>
      </c>
      <c r="O8723" t="s">
        <v>46</v>
      </c>
      <c r="P8723" t="s">
        <v>46</v>
      </c>
      <c r="Y8723" t="s">
        <v>30424</v>
      </c>
    </row>
    <row r="8724" spans="1:25">
      <c r="A8724" t="s">
        <v>30425</v>
      </c>
      <c r="B8724" t="s">
        <v>30426</v>
      </c>
      <c r="D8724" t="s">
        <v>40</v>
      </c>
      <c r="E8724" t="s">
        <v>41</v>
      </c>
      <c r="J8724" t="s">
        <v>1142</v>
      </c>
      <c r="K8724" t="s">
        <v>1143</v>
      </c>
      <c r="L8724">
        <v>3</v>
      </c>
      <c r="M8724" t="s">
        <v>30427</v>
      </c>
      <c r="N8724" t="s">
        <v>509</v>
      </c>
      <c r="O8724" t="s">
        <v>46</v>
      </c>
      <c r="P8724" t="s">
        <v>46</v>
      </c>
      <c r="Y8724" t="s">
        <v>30428</v>
      </c>
    </row>
    <row r="8725" spans="1:25">
      <c r="A8725" t="s">
        <v>30429</v>
      </c>
      <c r="B8725" t="s">
        <v>30430</v>
      </c>
      <c r="D8725" t="s">
        <v>40</v>
      </c>
      <c r="E8725" t="s">
        <v>41</v>
      </c>
      <c r="J8725" t="s">
        <v>6255</v>
      </c>
      <c r="K8725" t="s">
        <v>6256</v>
      </c>
      <c r="L8725">
        <v>4</v>
      </c>
      <c r="M8725" t="s">
        <v>30431</v>
      </c>
      <c r="N8725" t="s">
        <v>142</v>
      </c>
      <c r="O8725" t="s">
        <v>46</v>
      </c>
      <c r="P8725" t="s">
        <v>46</v>
      </c>
      <c r="Y8725" t="s">
        <v>30432</v>
      </c>
    </row>
    <row r="8726" spans="1:25">
      <c r="A8726" t="s">
        <v>30433</v>
      </c>
      <c r="B8726" t="s">
        <v>30434</v>
      </c>
      <c r="D8726" t="s">
        <v>40</v>
      </c>
      <c r="E8726" t="s">
        <v>41</v>
      </c>
      <c r="J8726" t="s">
        <v>248</v>
      </c>
      <c r="K8726" t="s">
        <v>249</v>
      </c>
      <c r="L8726">
        <v>3</v>
      </c>
      <c r="M8726" t="s">
        <v>30435</v>
      </c>
      <c r="N8726" t="s">
        <v>24245</v>
      </c>
      <c r="O8726" t="s">
        <v>46</v>
      </c>
      <c r="P8726" t="s">
        <v>46</v>
      </c>
      <c r="Y8726" t="s">
        <v>30436</v>
      </c>
    </row>
    <row r="8727" spans="1:25">
      <c r="A8727" t="s">
        <v>30437</v>
      </c>
      <c r="B8727" t="s">
        <v>30438</v>
      </c>
      <c r="D8727" t="s">
        <v>40</v>
      </c>
      <c r="E8727" t="s">
        <v>41</v>
      </c>
      <c r="J8727" t="s">
        <v>24950</v>
      </c>
      <c r="K8727" t="s">
        <v>24951</v>
      </c>
      <c r="L8727">
        <v>3</v>
      </c>
      <c r="M8727" t="s">
        <v>30439</v>
      </c>
      <c r="N8727" t="s">
        <v>23374</v>
      </c>
      <c r="O8727" t="s">
        <v>46</v>
      </c>
      <c r="P8727" t="s">
        <v>46</v>
      </c>
      <c r="Y8727" t="s">
        <v>30440</v>
      </c>
    </row>
    <row r="8728" spans="1:25">
      <c r="A8728" t="s">
        <v>30441</v>
      </c>
      <c r="B8728" t="s">
        <v>30442</v>
      </c>
      <c r="D8728" t="s">
        <v>40</v>
      </c>
      <c r="E8728" t="s">
        <v>41</v>
      </c>
      <c r="J8728" t="s">
        <v>248</v>
      </c>
      <c r="K8728" t="s">
        <v>249</v>
      </c>
      <c r="L8728">
        <v>3</v>
      </c>
      <c r="M8728" t="s">
        <v>30443</v>
      </c>
      <c r="N8728" t="s">
        <v>24387</v>
      </c>
      <c r="O8728" t="s">
        <v>46</v>
      </c>
      <c r="P8728" t="s">
        <v>46</v>
      </c>
      <c r="Y8728" t="s">
        <v>30444</v>
      </c>
    </row>
    <row r="8729" spans="1:25">
      <c r="A8729" t="s">
        <v>30445</v>
      </c>
      <c r="B8729" t="s">
        <v>30446</v>
      </c>
      <c r="D8729" t="s">
        <v>40</v>
      </c>
      <c r="E8729" t="s">
        <v>41</v>
      </c>
      <c r="J8729" t="s">
        <v>248</v>
      </c>
      <c r="K8729" t="s">
        <v>249</v>
      </c>
      <c r="L8729">
        <v>3</v>
      </c>
      <c r="M8729" t="s">
        <v>30447</v>
      </c>
      <c r="N8729" t="s">
        <v>950</v>
      </c>
      <c r="O8729" t="s">
        <v>46</v>
      </c>
      <c r="P8729" t="s">
        <v>46</v>
      </c>
      <c r="Y8729" t="s">
        <v>30448</v>
      </c>
    </row>
    <row r="8730" spans="1:25">
      <c r="A8730" t="s">
        <v>30449</v>
      </c>
      <c r="B8730" t="s">
        <v>30450</v>
      </c>
      <c r="D8730" t="s">
        <v>40</v>
      </c>
      <c r="E8730" t="s">
        <v>41</v>
      </c>
      <c r="J8730" t="s">
        <v>248</v>
      </c>
      <c r="K8730" t="s">
        <v>249</v>
      </c>
      <c r="L8730">
        <v>3</v>
      </c>
      <c r="M8730" t="s">
        <v>30451</v>
      </c>
      <c r="N8730" t="s">
        <v>2621</v>
      </c>
      <c r="O8730" t="s">
        <v>46</v>
      </c>
      <c r="P8730" t="s">
        <v>46</v>
      </c>
      <c r="Y8730" t="s">
        <v>30452</v>
      </c>
    </row>
    <row r="8731" spans="1:25">
      <c r="A8731" t="s">
        <v>30453</v>
      </c>
      <c r="B8731" t="s">
        <v>30454</v>
      </c>
      <c r="D8731" t="s">
        <v>40</v>
      </c>
      <c r="E8731" t="s">
        <v>41</v>
      </c>
      <c r="J8731" t="s">
        <v>248</v>
      </c>
      <c r="K8731" t="s">
        <v>249</v>
      </c>
      <c r="L8731">
        <v>3</v>
      </c>
      <c r="M8731" t="s">
        <v>30455</v>
      </c>
      <c r="N8731" t="s">
        <v>3013</v>
      </c>
      <c r="O8731" t="s">
        <v>46</v>
      </c>
      <c r="P8731" t="s">
        <v>46</v>
      </c>
      <c r="Y8731" t="s">
        <v>30456</v>
      </c>
    </row>
    <row r="8732" spans="1:25">
      <c r="A8732" t="s">
        <v>30457</v>
      </c>
      <c r="B8732" t="s">
        <v>30458</v>
      </c>
      <c r="D8732" t="s">
        <v>40</v>
      </c>
      <c r="E8732" t="s">
        <v>41</v>
      </c>
      <c r="J8732" t="s">
        <v>139</v>
      </c>
      <c r="K8732" t="s">
        <v>140</v>
      </c>
      <c r="L8732">
        <v>3</v>
      </c>
      <c r="M8732" t="s">
        <v>30459</v>
      </c>
      <c r="N8732" t="s">
        <v>1478</v>
      </c>
      <c r="O8732" t="s">
        <v>46</v>
      </c>
      <c r="P8732" t="s">
        <v>46</v>
      </c>
      <c r="Y8732" t="s">
        <v>30460</v>
      </c>
    </row>
    <row r="8733" spans="1:25">
      <c r="A8733" t="s">
        <v>30461</v>
      </c>
      <c r="B8733" t="s">
        <v>30462</v>
      </c>
      <c r="D8733" t="s">
        <v>40</v>
      </c>
      <c r="E8733" t="s">
        <v>41</v>
      </c>
      <c r="J8733" t="s">
        <v>248</v>
      </c>
      <c r="K8733" t="s">
        <v>249</v>
      </c>
      <c r="L8733">
        <v>3</v>
      </c>
      <c r="M8733" t="s">
        <v>30463</v>
      </c>
      <c r="N8733" t="s">
        <v>23374</v>
      </c>
      <c r="O8733" t="s">
        <v>46</v>
      </c>
      <c r="P8733" t="s">
        <v>46</v>
      </c>
      <c r="Y8733" t="s">
        <v>30464</v>
      </c>
    </row>
    <row r="8734" spans="1:25">
      <c r="A8734" t="s">
        <v>30465</v>
      </c>
      <c r="B8734" t="s">
        <v>30466</v>
      </c>
      <c r="D8734" t="s">
        <v>40</v>
      </c>
      <c r="E8734" t="s">
        <v>41</v>
      </c>
      <c r="J8734" t="s">
        <v>1142</v>
      </c>
      <c r="K8734" t="s">
        <v>1143</v>
      </c>
      <c r="L8734">
        <v>3</v>
      </c>
      <c r="M8734" t="s">
        <v>30467</v>
      </c>
      <c r="N8734" t="s">
        <v>310</v>
      </c>
      <c r="O8734" t="s">
        <v>46</v>
      </c>
      <c r="P8734" t="s">
        <v>46</v>
      </c>
      <c r="Y8734" t="s">
        <v>30468</v>
      </c>
    </row>
    <row r="8735" spans="1:25">
      <c r="A8735" t="s">
        <v>30469</v>
      </c>
      <c r="B8735" t="s">
        <v>30470</v>
      </c>
      <c r="D8735" t="s">
        <v>40</v>
      </c>
      <c r="E8735" t="s">
        <v>41</v>
      </c>
      <c r="J8735" t="s">
        <v>139</v>
      </c>
      <c r="K8735" t="s">
        <v>140</v>
      </c>
      <c r="L8735">
        <v>3</v>
      </c>
      <c r="M8735" t="s">
        <v>30471</v>
      </c>
      <c r="N8735" t="s">
        <v>2346</v>
      </c>
      <c r="O8735" t="s">
        <v>46</v>
      </c>
      <c r="P8735" t="s">
        <v>46</v>
      </c>
      <c r="Y8735" t="s">
        <v>30472</v>
      </c>
    </row>
    <row r="8736" spans="1:25">
      <c r="A8736" t="s">
        <v>30473</v>
      </c>
      <c r="B8736" t="s">
        <v>30474</v>
      </c>
      <c r="D8736" t="s">
        <v>40</v>
      </c>
      <c r="E8736" t="s">
        <v>41</v>
      </c>
      <c r="J8736" t="s">
        <v>248</v>
      </c>
      <c r="K8736" t="s">
        <v>249</v>
      </c>
      <c r="L8736">
        <v>3</v>
      </c>
      <c r="M8736" t="s">
        <v>30475</v>
      </c>
      <c r="N8736" t="s">
        <v>1024</v>
      </c>
      <c r="O8736" t="s">
        <v>46</v>
      </c>
      <c r="P8736" t="s">
        <v>46</v>
      </c>
      <c r="Y8736" t="s">
        <v>30476</v>
      </c>
    </row>
    <row r="8737" spans="1:25">
      <c r="A8737" t="s">
        <v>30477</v>
      </c>
      <c r="B8737" t="s">
        <v>30478</v>
      </c>
      <c r="D8737" t="s">
        <v>40</v>
      </c>
      <c r="E8737" t="s">
        <v>41</v>
      </c>
      <c r="J8737" t="s">
        <v>248</v>
      </c>
      <c r="K8737" t="s">
        <v>249</v>
      </c>
      <c r="L8737">
        <v>3</v>
      </c>
      <c r="M8737" t="s">
        <v>30479</v>
      </c>
      <c r="N8737" t="s">
        <v>350</v>
      </c>
      <c r="O8737" t="s">
        <v>46</v>
      </c>
      <c r="P8737" t="s">
        <v>46</v>
      </c>
      <c r="Y8737" t="s">
        <v>30480</v>
      </c>
    </row>
    <row r="8738" spans="1:25">
      <c r="A8738" t="s">
        <v>30481</v>
      </c>
      <c r="B8738" t="s">
        <v>30482</v>
      </c>
      <c r="D8738" t="s">
        <v>40</v>
      </c>
      <c r="E8738" t="s">
        <v>41</v>
      </c>
      <c r="J8738" t="s">
        <v>248</v>
      </c>
      <c r="K8738" t="s">
        <v>249</v>
      </c>
      <c r="L8738">
        <v>3</v>
      </c>
      <c r="M8738" t="s">
        <v>30483</v>
      </c>
      <c r="N8738" t="s">
        <v>752</v>
      </c>
      <c r="O8738" t="s">
        <v>46</v>
      </c>
      <c r="P8738" t="s">
        <v>46</v>
      </c>
      <c r="Y8738" t="s">
        <v>30484</v>
      </c>
    </row>
    <row r="8739" spans="1:25">
      <c r="A8739" t="s">
        <v>30485</v>
      </c>
      <c r="B8739" t="s">
        <v>30486</v>
      </c>
      <c r="D8739" t="s">
        <v>40</v>
      </c>
      <c r="E8739" t="s">
        <v>41</v>
      </c>
      <c r="J8739" t="s">
        <v>139</v>
      </c>
      <c r="K8739" t="s">
        <v>140</v>
      </c>
      <c r="L8739">
        <v>3</v>
      </c>
      <c r="M8739" t="s">
        <v>30487</v>
      </c>
      <c r="N8739" t="s">
        <v>24240</v>
      </c>
      <c r="O8739" t="s">
        <v>46</v>
      </c>
      <c r="P8739" t="s">
        <v>46</v>
      </c>
      <c r="Y8739" t="s">
        <v>30488</v>
      </c>
    </row>
    <row r="8740" spans="1:25">
      <c r="A8740" t="s">
        <v>30489</v>
      </c>
      <c r="B8740" t="s">
        <v>30490</v>
      </c>
      <c r="D8740" t="s">
        <v>40</v>
      </c>
      <c r="E8740" t="s">
        <v>41</v>
      </c>
      <c r="J8740" t="s">
        <v>1554</v>
      </c>
      <c r="K8740" t="s">
        <v>1555</v>
      </c>
      <c r="L8740">
        <v>3</v>
      </c>
      <c r="M8740" t="s">
        <v>30491</v>
      </c>
      <c r="N8740" t="s">
        <v>23374</v>
      </c>
      <c r="O8740" t="s">
        <v>46</v>
      </c>
      <c r="P8740" t="s">
        <v>46</v>
      </c>
      <c r="Y8740" t="s">
        <v>30492</v>
      </c>
    </row>
    <row r="8741" spans="1:25">
      <c r="A8741" t="s">
        <v>30493</v>
      </c>
      <c r="B8741" t="s">
        <v>30494</v>
      </c>
      <c r="D8741" t="s">
        <v>40</v>
      </c>
      <c r="E8741" t="s">
        <v>41</v>
      </c>
      <c r="J8741" t="s">
        <v>1554</v>
      </c>
      <c r="K8741" t="s">
        <v>1555</v>
      </c>
      <c r="L8741">
        <v>3</v>
      </c>
      <c r="M8741" t="s">
        <v>30495</v>
      </c>
      <c r="N8741" t="s">
        <v>1446</v>
      </c>
      <c r="O8741" t="s">
        <v>46</v>
      </c>
      <c r="P8741" t="s">
        <v>46</v>
      </c>
      <c r="Y8741" t="s">
        <v>30496</v>
      </c>
    </row>
    <row r="8742" spans="1:25">
      <c r="A8742" t="s">
        <v>30497</v>
      </c>
      <c r="B8742" t="s">
        <v>30498</v>
      </c>
      <c r="D8742" t="s">
        <v>40</v>
      </c>
      <c r="E8742" t="s">
        <v>41</v>
      </c>
      <c r="J8742" t="s">
        <v>1142</v>
      </c>
      <c r="K8742" t="s">
        <v>1143</v>
      </c>
      <c r="L8742">
        <v>3</v>
      </c>
      <c r="M8742" t="s">
        <v>30499</v>
      </c>
      <c r="N8742" t="s">
        <v>178</v>
      </c>
      <c r="O8742" t="s">
        <v>46</v>
      </c>
      <c r="P8742" t="s">
        <v>46</v>
      </c>
      <c r="Y8742" t="s">
        <v>30500</v>
      </c>
    </row>
    <row r="8743" spans="1:25">
      <c r="A8743" t="s">
        <v>30501</v>
      </c>
      <c r="B8743" t="s">
        <v>30502</v>
      </c>
      <c r="D8743" t="s">
        <v>40</v>
      </c>
      <c r="E8743" t="s">
        <v>41</v>
      </c>
      <c r="J8743" t="s">
        <v>139</v>
      </c>
      <c r="K8743" t="s">
        <v>140</v>
      </c>
      <c r="L8743">
        <v>3</v>
      </c>
      <c r="M8743" t="s">
        <v>30503</v>
      </c>
      <c r="N8743" t="s">
        <v>950</v>
      </c>
      <c r="O8743" t="s">
        <v>46</v>
      </c>
      <c r="P8743" t="s">
        <v>46</v>
      </c>
      <c r="Y8743" t="s">
        <v>30504</v>
      </c>
    </row>
    <row r="8744" spans="1:25">
      <c r="A8744" t="s">
        <v>30505</v>
      </c>
      <c r="B8744" t="s">
        <v>30506</v>
      </c>
      <c r="D8744" t="s">
        <v>40</v>
      </c>
      <c r="E8744" t="s">
        <v>41</v>
      </c>
      <c r="J8744" t="s">
        <v>248</v>
      </c>
      <c r="K8744" t="s">
        <v>249</v>
      </c>
      <c r="L8744">
        <v>3</v>
      </c>
      <c r="M8744" t="s">
        <v>30507</v>
      </c>
      <c r="N8744" t="s">
        <v>350</v>
      </c>
      <c r="O8744" t="s">
        <v>46</v>
      </c>
      <c r="P8744" t="s">
        <v>46</v>
      </c>
      <c r="Y8744" t="s">
        <v>30508</v>
      </c>
    </row>
    <row r="8745" spans="1:25">
      <c r="A8745" t="s">
        <v>30509</v>
      </c>
      <c r="B8745" t="s">
        <v>30510</v>
      </c>
      <c r="D8745" t="s">
        <v>40</v>
      </c>
      <c r="E8745" t="s">
        <v>41</v>
      </c>
      <c r="J8745" t="s">
        <v>248</v>
      </c>
      <c r="K8745" t="s">
        <v>249</v>
      </c>
      <c r="L8745">
        <v>3</v>
      </c>
      <c r="M8745" t="s">
        <v>30511</v>
      </c>
      <c r="N8745" t="s">
        <v>1550</v>
      </c>
      <c r="O8745" t="s">
        <v>46</v>
      </c>
      <c r="P8745" t="s">
        <v>46</v>
      </c>
      <c r="Y8745" t="s">
        <v>30512</v>
      </c>
    </row>
    <row r="8746" spans="1:25">
      <c r="A8746" t="s">
        <v>30513</v>
      </c>
      <c r="B8746" t="s">
        <v>30514</v>
      </c>
      <c r="D8746" t="s">
        <v>40</v>
      </c>
      <c r="E8746" t="s">
        <v>41</v>
      </c>
      <c r="J8746" t="s">
        <v>1554</v>
      </c>
      <c r="K8746" t="s">
        <v>1555</v>
      </c>
      <c r="L8746">
        <v>3</v>
      </c>
      <c r="M8746" t="s">
        <v>30515</v>
      </c>
      <c r="N8746" t="s">
        <v>53</v>
      </c>
      <c r="O8746" t="s">
        <v>46</v>
      </c>
      <c r="P8746" t="s">
        <v>46</v>
      </c>
      <c r="Y8746" t="s">
        <v>30516</v>
      </c>
    </row>
    <row r="8747" spans="1:25">
      <c r="A8747" t="s">
        <v>30517</v>
      </c>
      <c r="B8747" t="s">
        <v>30518</v>
      </c>
      <c r="D8747" t="s">
        <v>40</v>
      </c>
      <c r="E8747" t="s">
        <v>41</v>
      </c>
      <c r="J8747" t="s">
        <v>14558</v>
      </c>
      <c r="K8747" t="s">
        <v>14559</v>
      </c>
      <c r="L8747">
        <v>3</v>
      </c>
      <c r="M8747" t="s">
        <v>30519</v>
      </c>
      <c r="N8747" t="s">
        <v>142</v>
      </c>
      <c r="O8747" t="s">
        <v>46</v>
      </c>
      <c r="P8747" t="s">
        <v>46</v>
      </c>
      <c r="Y8747" t="s">
        <v>30520</v>
      </c>
    </row>
    <row r="8748" spans="1:25">
      <c r="A8748" t="s">
        <v>30521</v>
      </c>
      <c r="B8748" t="s">
        <v>30522</v>
      </c>
      <c r="D8748" t="s">
        <v>40</v>
      </c>
      <c r="E8748" t="s">
        <v>41</v>
      </c>
      <c r="J8748" t="s">
        <v>139</v>
      </c>
      <c r="K8748" t="s">
        <v>140</v>
      </c>
      <c r="L8748">
        <v>3</v>
      </c>
      <c r="M8748" t="s">
        <v>30523</v>
      </c>
      <c r="N8748" t="s">
        <v>24245</v>
      </c>
      <c r="O8748" t="s">
        <v>46</v>
      </c>
      <c r="P8748" t="s">
        <v>46</v>
      </c>
      <c r="Y8748" t="s">
        <v>30524</v>
      </c>
    </row>
    <row r="8749" spans="1:25">
      <c r="A8749" t="s">
        <v>30525</v>
      </c>
      <c r="B8749" t="s">
        <v>30526</v>
      </c>
      <c r="D8749" t="s">
        <v>40</v>
      </c>
      <c r="E8749" t="s">
        <v>41</v>
      </c>
      <c r="J8749" t="s">
        <v>599</v>
      </c>
      <c r="K8749" t="s">
        <v>600</v>
      </c>
      <c r="L8749">
        <v>3</v>
      </c>
      <c r="M8749" t="s">
        <v>30527</v>
      </c>
      <c r="N8749" t="s">
        <v>950</v>
      </c>
      <c r="O8749" t="s">
        <v>46</v>
      </c>
      <c r="P8749" t="s">
        <v>46</v>
      </c>
      <c r="Y8749" t="s">
        <v>30528</v>
      </c>
    </row>
    <row r="8750" spans="1:25">
      <c r="A8750" t="s">
        <v>30529</v>
      </c>
      <c r="B8750" t="s">
        <v>30530</v>
      </c>
      <c r="D8750" t="s">
        <v>40</v>
      </c>
      <c r="E8750" t="s">
        <v>41</v>
      </c>
      <c r="J8750" t="s">
        <v>139</v>
      </c>
      <c r="K8750" t="s">
        <v>140</v>
      </c>
      <c r="L8750">
        <v>3</v>
      </c>
      <c r="M8750" t="s">
        <v>30527</v>
      </c>
      <c r="N8750" t="s">
        <v>45</v>
      </c>
      <c r="O8750" t="s">
        <v>46</v>
      </c>
      <c r="P8750" t="s">
        <v>46</v>
      </c>
      <c r="Y8750" t="s">
        <v>30531</v>
      </c>
    </row>
    <row r="8751" spans="1:25">
      <c r="A8751" t="s">
        <v>30532</v>
      </c>
      <c r="B8751" t="s">
        <v>30533</v>
      </c>
      <c r="D8751" t="s">
        <v>40</v>
      </c>
      <c r="E8751" t="s">
        <v>41</v>
      </c>
      <c r="J8751" t="s">
        <v>248</v>
      </c>
      <c r="K8751" t="s">
        <v>249</v>
      </c>
      <c r="L8751">
        <v>3</v>
      </c>
      <c r="M8751" t="s">
        <v>30534</v>
      </c>
      <c r="N8751" t="s">
        <v>310</v>
      </c>
      <c r="O8751" t="s">
        <v>46</v>
      </c>
      <c r="P8751" t="s">
        <v>46</v>
      </c>
      <c r="Y8751" t="s">
        <v>30535</v>
      </c>
    </row>
    <row r="8752" spans="1:25">
      <c r="A8752" t="s">
        <v>30536</v>
      </c>
      <c r="B8752" t="s">
        <v>30537</v>
      </c>
      <c r="D8752" t="s">
        <v>40</v>
      </c>
      <c r="E8752" t="s">
        <v>41</v>
      </c>
      <c r="J8752" t="s">
        <v>911</v>
      </c>
      <c r="K8752" t="s">
        <v>912</v>
      </c>
      <c r="L8752">
        <v>3</v>
      </c>
      <c r="M8752" t="s">
        <v>30534</v>
      </c>
      <c r="N8752" t="s">
        <v>4037</v>
      </c>
      <c r="O8752" t="s">
        <v>46</v>
      </c>
      <c r="P8752" t="s">
        <v>46</v>
      </c>
      <c r="Y8752" t="s">
        <v>30538</v>
      </c>
    </row>
    <row r="8753" spans="1:25">
      <c r="A8753" t="s">
        <v>30539</v>
      </c>
      <c r="B8753" t="s">
        <v>30540</v>
      </c>
      <c r="D8753" t="s">
        <v>40</v>
      </c>
      <c r="E8753" t="s">
        <v>41</v>
      </c>
      <c r="J8753" t="s">
        <v>139</v>
      </c>
      <c r="K8753" t="s">
        <v>140</v>
      </c>
      <c r="L8753">
        <v>3</v>
      </c>
      <c r="M8753" t="s">
        <v>30541</v>
      </c>
      <c r="N8753" t="s">
        <v>350</v>
      </c>
      <c r="O8753" t="s">
        <v>46</v>
      </c>
      <c r="P8753" t="s">
        <v>46</v>
      </c>
      <c r="Y8753" t="s">
        <v>30542</v>
      </c>
    </row>
    <row r="8754" spans="1:25">
      <c r="A8754" t="s">
        <v>30543</v>
      </c>
      <c r="B8754" t="s">
        <v>30544</v>
      </c>
      <c r="D8754" t="s">
        <v>40</v>
      </c>
      <c r="E8754" t="s">
        <v>41</v>
      </c>
      <c r="J8754" t="s">
        <v>1142</v>
      </c>
      <c r="K8754" t="s">
        <v>1143</v>
      </c>
      <c r="L8754">
        <v>3</v>
      </c>
      <c r="M8754" t="s">
        <v>30545</v>
      </c>
      <c r="N8754" t="s">
        <v>24227</v>
      </c>
      <c r="O8754" t="s">
        <v>46</v>
      </c>
      <c r="P8754" t="s">
        <v>46</v>
      </c>
      <c r="Y8754" t="s">
        <v>30546</v>
      </c>
    </row>
    <row r="8755" spans="1:25">
      <c r="A8755" t="s">
        <v>30547</v>
      </c>
      <c r="B8755" t="s">
        <v>30548</v>
      </c>
      <c r="D8755" t="s">
        <v>40</v>
      </c>
      <c r="E8755" t="s">
        <v>41</v>
      </c>
      <c r="J8755" t="s">
        <v>248</v>
      </c>
      <c r="K8755" t="s">
        <v>249</v>
      </c>
      <c r="L8755">
        <v>3</v>
      </c>
      <c r="M8755" t="s">
        <v>30549</v>
      </c>
      <c r="N8755" t="s">
        <v>509</v>
      </c>
      <c r="O8755" t="s">
        <v>46</v>
      </c>
      <c r="P8755" t="s">
        <v>46</v>
      </c>
      <c r="Y8755" t="s">
        <v>30550</v>
      </c>
    </row>
    <row r="8756" spans="1:25">
      <c r="A8756" t="s">
        <v>30551</v>
      </c>
      <c r="B8756" t="s">
        <v>30552</v>
      </c>
      <c r="D8756" t="s">
        <v>40</v>
      </c>
      <c r="E8756" t="s">
        <v>41</v>
      </c>
      <c r="J8756" t="s">
        <v>139</v>
      </c>
      <c r="K8756" t="s">
        <v>140</v>
      </c>
      <c r="L8756">
        <v>3</v>
      </c>
      <c r="M8756" t="s">
        <v>30553</v>
      </c>
      <c r="N8756" t="s">
        <v>950</v>
      </c>
      <c r="O8756" t="s">
        <v>46</v>
      </c>
      <c r="P8756" t="s">
        <v>46</v>
      </c>
      <c r="Y8756" t="s">
        <v>30554</v>
      </c>
    </row>
    <row r="8757" spans="1:25">
      <c r="A8757" t="s">
        <v>30555</v>
      </c>
      <c r="B8757" t="s">
        <v>30556</v>
      </c>
      <c r="D8757" t="s">
        <v>40</v>
      </c>
      <c r="E8757" t="s">
        <v>41</v>
      </c>
      <c r="J8757" t="s">
        <v>139</v>
      </c>
      <c r="K8757" t="s">
        <v>140</v>
      </c>
      <c r="L8757">
        <v>3</v>
      </c>
      <c r="M8757" t="s">
        <v>30557</v>
      </c>
      <c r="N8757" t="s">
        <v>436</v>
      </c>
      <c r="O8757" t="s">
        <v>46</v>
      </c>
      <c r="P8757" t="s">
        <v>46</v>
      </c>
      <c r="Y8757" t="s">
        <v>30558</v>
      </c>
    </row>
    <row r="8758" spans="1:25">
      <c r="A8758" t="s">
        <v>30559</v>
      </c>
      <c r="B8758" t="s">
        <v>30560</v>
      </c>
      <c r="D8758" t="s">
        <v>40</v>
      </c>
      <c r="E8758" t="s">
        <v>41</v>
      </c>
      <c r="J8758" t="s">
        <v>1142</v>
      </c>
      <c r="K8758" t="s">
        <v>1143</v>
      </c>
      <c r="L8758">
        <v>3</v>
      </c>
      <c r="M8758" t="s">
        <v>30561</v>
      </c>
      <c r="N8758" t="s">
        <v>5995</v>
      </c>
      <c r="O8758" t="s">
        <v>46</v>
      </c>
      <c r="P8758" t="s">
        <v>46</v>
      </c>
      <c r="Y8758" t="s">
        <v>30562</v>
      </c>
    </row>
    <row r="8759" spans="1:25">
      <c r="A8759" t="s">
        <v>30563</v>
      </c>
      <c r="B8759" t="s">
        <v>30564</v>
      </c>
      <c r="D8759" t="s">
        <v>40</v>
      </c>
      <c r="E8759" t="s">
        <v>41</v>
      </c>
      <c r="J8759" t="s">
        <v>248</v>
      </c>
      <c r="K8759" t="s">
        <v>249</v>
      </c>
      <c r="L8759">
        <v>3</v>
      </c>
      <c r="M8759" t="s">
        <v>30565</v>
      </c>
      <c r="N8759" t="s">
        <v>1446</v>
      </c>
      <c r="O8759" t="s">
        <v>46</v>
      </c>
      <c r="P8759" t="s">
        <v>46</v>
      </c>
      <c r="Y8759" t="s">
        <v>30566</v>
      </c>
    </row>
    <row r="8760" spans="1:25">
      <c r="A8760" t="s">
        <v>30567</v>
      </c>
      <c r="B8760" t="s">
        <v>30568</v>
      </c>
      <c r="D8760" t="s">
        <v>40</v>
      </c>
      <c r="E8760" t="s">
        <v>41</v>
      </c>
      <c r="J8760" t="s">
        <v>248</v>
      </c>
      <c r="K8760" t="s">
        <v>249</v>
      </c>
      <c r="L8760">
        <v>3</v>
      </c>
      <c r="M8760" t="s">
        <v>30569</v>
      </c>
      <c r="N8760" t="s">
        <v>257</v>
      </c>
      <c r="O8760" t="s">
        <v>46</v>
      </c>
      <c r="P8760" t="s">
        <v>46</v>
      </c>
      <c r="Y8760" t="s">
        <v>30570</v>
      </c>
    </row>
    <row r="8761" spans="1:25">
      <c r="A8761" t="s">
        <v>30571</v>
      </c>
      <c r="B8761" t="s">
        <v>30572</v>
      </c>
      <c r="D8761" t="s">
        <v>40</v>
      </c>
      <c r="E8761" t="s">
        <v>41</v>
      </c>
      <c r="J8761" t="s">
        <v>248</v>
      </c>
      <c r="K8761" t="s">
        <v>249</v>
      </c>
      <c r="L8761">
        <v>3</v>
      </c>
      <c r="M8761" t="s">
        <v>30573</v>
      </c>
      <c r="N8761" t="s">
        <v>142</v>
      </c>
      <c r="O8761" t="s">
        <v>46</v>
      </c>
      <c r="P8761" t="s">
        <v>46</v>
      </c>
      <c r="Y8761" t="s">
        <v>30574</v>
      </c>
    </row>
    <row r="8762" spans="1:25">
      <c r="A8762" t="s">
        <v>30575</v>
      </c>
      <c r="B8762" t="s">
        <v>30576</v>
      </c>
      <c r="D8762" t="s">
        <v>40</v>
      </c>
      <c r="E8762" t="s">
        <v>41</v>
      </c>
      <c r="J8762" t="s">
        <v>139</v>
      </c>
      <c r="K8762" t="s">
        <v>140</v>
      </c>
      <c r="L8762">
        <v>3</v>
      </c>
      <c r="M8762" t="s">
        <v>30577</v>
      </c>
      <c r="N8762" t="s">
        <v>1276</v>
      </c>
      <c r="O8762" t="s">
        <v>46</v>
      </c>
      <c r="P8762" t="s">
        <v>46</v>
      </c>
      <c r="Y8762" t="s">
        <v>30578</v>
      </c>
    </row>
    <row r="8763" spans="1:25">
      <c r="A8763" t="s">
        <v>30579</v>
      </c>
      <c r="B8763" t="s">
        <v>30580</v>
      </c>
      <c r="D8763" t="s">
        <v>40</v>
      </c>
      <c r="E8763" t="s">
        <v>41</v>
      </c>
      <c r="J8763" t="s">
        <v>248</v>
      </c>
      <c r="K8763" t="s">
        <v>249</v>
      </c>
      <c r="L8763">
        <v>3</v>
      </c>
      <c r="M8763" t="s">
        <v>30581</v>
      </c>
      <c r="N8763" t="s">
        <v>24387</v>
      </c>
      <c r="O8763" t="s">
        <v>46</v>
      </c>
      <c r="P8763" t="s">
        <v>46</v>
      </c>
      <c r="Y8763" t="s">
        <v>30582</v>
      </c>
    </row>
    <row r="8764" spans="1:25">
      <c r="A8764" t="s">
        <v>30583</v>
      </c>
      <c r="B8764" t="s">
        <v>30584</v>
      </c>
      <c r="D8764" t="s">
        <v>40</v>
      </c>
      <c r="E8764" t="s">
        <v>41</v>
      </c>
      <c r="J8764" t="s">
        <v>139</v>
      </c>
      <c r="K8764" t="s">
        <v>140</v>
      </c>
      <c r="L8764">
        <v>3</v>
      </c>
      <c r="M8764" t="s">
        <v>30585</v>
      </c>
      <c r="N8764" t="s">
        <v>310</v>
      </c>
      <c r="O8764" t="s">
        <v>46</v>
      </c>
      <c r="P8764" t="s">
        <v>46</v>
      </c>
      <c r="Y8764" t="s">
        <v>30586</v>
      </c>
    </row>
    <row r="8765" spans="1:25">
      <c r="A8765" t="s">
        <v>30587</v>
      </c>
      <c r="B8765" t="s">
        <v>30588</v>
      </c>
      <c r="D8765" t="s">
        <v>40</v>
      </c>
      <c r="E8765" t="s">
        <v>41</v>
      </c>
      <c r="J8765" t="s">
        <v>248</v>
      </c>
      <c r="K8765" t="s">
        <v>249</v>
      </c>
      <c r="L8765">
        <v>3</v>
      </c>
      <c r="M8765" t="s">
        <v>30585</v>
      </c>
      <c r="N8765" t="s">
        <v>350</v>
      </c>
      <c r="O8765" t="s">
        <v>46</v>
      </c>
      <c r="P8765" t="s">
        <v>46</v>
      </c>
      <c r="Y8765" t="s">
        <v>30589</v>
      </c>
    </row>
    <row r="8766" spans="1:25">
      <c r="A8766" t="s">
        <v>30590</v>
      </c>
      <c r="B8766" t="s">
        <v>30591</v>
      </c>
      <c r="D8766" t="s">
        <v>40</v>
      </c>
      <c r="E8766" t="s">
        <v>41</v>
      </c>
      <c r="J8766" t="s">
        <v>248</v>
      </c>
      <c r="K8766" t="s">
        <v>249</v>
      </c>
      <c r="L8766">
        <v>3</v>
      </c>
      <c r="M8766" t="s">
        <v>30592</v>
      </c>
      <c r="N8766" t="s">
        <v>1024</v>
      </c>
      <c r="O8766" t="s">
        <v>46</v>
      </c>
      <c r="P8766" t="s">
        <v>46</v>
      </c>
      <c r="Y8766" t="s">
        <v>30593</v>
      </c>
    </row>
    <row r="8767" spans="1:25">
      <c r="A8767" t="s">
        <v>30594</v>
      </c>
      <c r="B8767" t="s">
        <v>30595</v>
      </c>
      <c r="D8767" t="s">
        <v>40</v>
      </c>
      <c r="E8767" t="s">
        <v>41</v>
      </c>
      <c r="J8767" t="s">
        <v>248</v>
      </c>
      <c r="K8767" t="s">
        <v>249</v>
      </c>
      <c r="L8767">
        <v>3</v>
      </c>
      <c r="M8767" t="s">
        <v>30596</v>
      </c>
      <c r="N8767" t="s">
        <v>23374</v>
      </c>
      <c r="O8767" t="s">
        <v>46</v>
      </c>
      <c r="P8767" t="s">
        <v>46</v>
      </c>
      <c r="Y8767" t="s">
        <v>30597</v>
      </c>
    </row>
    <row r="8768" spans="1:25">
      <c r="A8768" t="s">
        <v>30598</v>
      </c>
      <c r="B8768" t="s">
        <v>30599</v>
      </c>
      <c r="D8768" t="s">
        <v>40</v>
      </c>
      <c r="E8768" t="s">
        <v>41</v>
      </c>
      <c r="J8768" t="s">
        <v>139</v>
      </c>
      <c r="K8768" t="s">
        <v>140</v>
      </c>
      <c r="L8768">
        <v>3</v>
      </c>
      <c r="M8768" t="s">
        <v>30600</v>
      </c>
      <c r="N8768" t="s">
        <v>178</v>
      </c>
      <c r="O8768" t="s">
        <v>46</v>
      </c>
      <c r="P8768" t="s">
        <v>46</v>
      </c>
      <c r="Y8768" t="s">
        <v>30601</v>
      </c>
    </row>
    <row r="8769" spans="1:25">
      <c r="A8769" t="s">
        <v>30602</v>
      </c>
      <c r="B8769" t="s">
        <v>30603</v>
      </c>
      <c r="D8769" t="s">
        <v>40</v>
      </c>
      <c r="E8769" t="s">
        <v>41</v>
      </c>
      <c r="J8769" t="s">
        <v>6255</v>
      </c>
      <c r="K8769" t="s">
        <v>6256</v>
      </c>
      <c r="L8769">
        <v>3</v>
      </c>
      <c r="M8769" t="s">
        <v>30604</v>
      </c>
      <c r="N8769" t="s">
        <v>45</v>
      </c>
      <c r="O8769" t="s">
        <v>46</v>
      </c>
      <c r="P8769" t="s">
        <v>46</v>
      </c>
      <c r="Y8769" t="s">
        <v>30605</v>
      </c>
    </row>
    <row r="8770" spans="1:25">
      <c r="A8770" t="s">
        <v>30606</v>
      </c>
      <c r="B8770" t="s">
        <v>30607</v>
      </c>
      <c r="D8770" t="s">
        <v>40</v>
      </c>
      <c r="E8770" t="s">
        <v>41</v>
      </c>
      <c r="J8770" t="s">
        <v>248</v>
      </c>
      <c r="K8770" t="s">
        <v>249</v>
      </c>
      <c r="L8770">
        <v>3</v>
      </c>
      <c r="M8770" t="s">
        <v>30608</v>
      </c>
      <c r="N8770" t="s">
        <v>350</v>
      </c>
      <c r="O8770" t="s">
        <v>46</v>
      </c>
      <c r="P8770" t="s">
        <v>46</v>
      </c>
      <c r="Y8770" t="s">
        <v>30609</v>
      </c>
    </row>
    <row r="8771" spans="1:25">
      <c r="A8771" t="s">
        <v>30610</v>
      </c>
      <c r="B8771" t="s">
        <v>30611</v>
      </c>
      <c r="D8771" t="s">
        <v>40</v>
      </c>
      <c r="E8771" t="s">
        <v>41</v>
      </c>
      <c r="J8771" t="s">
        <v>248</v>
      </c>
      <c r="K8771" t="s">
        <v>249</v>
      </c>
      <c r="L8771">
        <v>3</v>
      </c>
      <c r="M8771" t="s">
        <v>30612</v>
      </c>
      <c r="N8771" t="s">
        <v>3013</v>
      </c>
      <c r="O8771" t="s">
        <v>46</v>
      </c>
      <c r="P8771" t="s">
        <v>46</v>
      </c>
      <c r="Y8771" t="s">
        <v>30613</v>
      </c>
    </row>
    <row r="8772" spans="1:25">
      <c r="A8772" t="s">
        <v>30614</v>
      </c>
      <c r="B8772" t="s">
        <v>30615</v>
      </c>
      <c r="D8772" t="s">
        <v>40</v>
      </c>
      <c r="E8772" t="s">
        <v>41</v>
      </c>
      <c r="J8772" t="s">
        <v>248</v>
      </c>
      <c r="K8772" t="s">
        <v>249</v>
      </c>
      <c r="L8772">
        <v>3</v>
      </c>
      <c r="M8772" t="s">
        <v>30616</v>
      </c>
      <c r="N8772" t="s">
        <v>1344</v>
      </c>
      <c r="O8772" t="s">
        <v>46</v>
      </c>
      <c r="P8772" t="s">
        <v>46</v>
      </c>
      <c r="Y8772" t="s">
        <v>30617</v>
      </c>
    </row>
    <row r="8773" spans="1:25">
      <c r="A8773" t="s">
        <v>30618</v>
      </c>
      <c r="B8773" t="s">
        <v>30619</v>
      </c>
      <c r="D8773" t="s">
        <v>40</v>
      </c>
      <c r="E8773" t="s">
        <v>41</v>
      </c>
      <c r="J8773" t="s">
        <v>248</v>
      </c>
      <c r="K8773" t="s">
        <v>249</v>
      </c>
      <c r="L8773">
        <v>3</v>
      </c>
      <c r="M8773" t="s">
        <v>30620</v>
      </c>
      <c r="N8773" t="s">
        <v>24227</v>
      </c>
      <c r="O8773" t="s">
        <v>46</v>
      </c>
      <c r="P8773" t="s">
        <v>46</v>
      </c>
      <c r="Y8773" t="s">
        <v>30621</v>
      </c>
    </row>
    <row r="8774" spans="1:25">
      <c r="A8774" t="s">
        <v>30622</v>
      </c>
      <c r="B8774" t="s">
        <v>30623</v>
      </c>
      <c r="D8774" t="s">
        <v>40</v>
      </c>
      <c r="E8774" t="s">
        <v>41</v>
      </c>
      <c r="J8774" t="s">
        <v>248</v>
      </c>
      <c r="K8774" t="s">
        <v>249</v>
      </c>
      <c r="L8774">
        <v>3</v>
      </c>
      <c r="M8774" t="s">
        <v>30624</v>
      </c>
      <c r="N8774" t="s">
        <v>440</v>
      </c>
      <c r="O8774" t="s">
        <v>46</v>
      </c>
      <c r="P8774" t="s">
        <v>46</v>
      </c>
      <c r="Y8774" t="s">
        <v>30625</v>
      </c>
    </row>
    <row r="8775" spans="1:25">
      <c r="A8775" t="s">
        <v>30626</v>
      </c>
      <c r="B8775" t="s">
        <v>30627</v>
      </c>
      <c r="D8775" t="s">
        <v>40</v>
      </c>
      <c r="E8775" t="s">
        <v>41</v>
      </c>
      <c r="J8775" t="s">
        <v>139</v>
      </c>
      <c r="K8775" t="s">
        <v>140</v>
      </c>
      <c r="L8775">
        <v>3</v>
      </c>
      <c r="M8775" t="s">
        <v>30628</v>
      </c>
      <c r="N8775" t="s">
        <v>509</v>
      </c>
      <c r="O8775" t="s">
        <v>46</v>
      </c>
      <c r="P8775" t="s">
        <v>46</v>
      </c>
      <c r="Y8775" t="s">
        <v>30629</v>
      </c>
    </row>
    <row r="8776" spans="1:25">
      <c r="A8776" t="s">
        <v>30630</v>
      </c>
      <c r="B8776" t="s">
        <v>30631</v>
      </c>
      <c r="D8776" t="s">
        <v>40</v>
      </c>
      <c r="E8776" t="s">
        <v>41</v>
      </c>
      <c r="J8776" t="s">
        <v>248</v>
      </c>
      <c r="K8776" t="s">
        <v>249</v>
      </c>
      <c r="L8776">
        <v>3</v>
      </c>
      <c r="M8776" t="s">
        <v>30632</v>
      </c>
      <c r="N8776" t="s">
        <v>1397</v>
      </c>
      <c r="O8776" t="s">
        <v>46</v>
      </c>
      <c r="P8776" t="s">
        <v>46</v>
      </c>
      <c r="Y8776" t="s">
        <v>30633</v>
      </c>
    </row>
    <row r="8777" spans="1:25">
      <c r="A8777" t="s">
        <v>30634</v>
      </c>
      <c r="B8777" t="s">
        <v>30635</v>
      </c>
      <c r="D8777" t="s">
        <v>40</v>
      </c>
      <c r="E8777" t="s">
        <v>41</v>
      </c>
      <c r="J8777" t="s">
        <v>248</v>
      </c>
      <c r="K8777" t="s">
        <v>249</v>
      </c>
      <c r="L8777">
        <v>3</v>
      </c>
      <c r="M8777" t="s">
        <v>30636</v>
      </c>
      <c r="N8777" t="s">
        <v>1024</v>
      </c>
      <c r="O8777" t="s">
        <v>46</v>
      </c>
      <c r="P8777" t="s">
        <v>46</v>
      </c>
      <c r="Y8777" t="s">
        <v>30637</v>
      </c>
    </row>
    <row r="8778" spans="1:25">
      <c r="A8778" t="s">
        <v>30638</v>
      </c>
      <c r="B8778" t="s">
        <v>30639</v>
      </c>
      <c r="D8778" t="s">
        <v>40</v>
      </c>
      <c r="E8778" t="s">
        <v>41</v>
      </c>
      <c r="J8778" t="s">
        <v>1142</v>
      </c>
      <c r="K8778" t="s">
        <v>1143</v>
      </c>
      <c r="L8778">
        <v>3</v>
      </c>
      <c r="M8778" t="s">
        <v>30640</v>
      </c>
      <c r="N8778" t="s">
        <v>22465</v>
      </c>
      <c r="O8778" t="s">
        <v>46</v>
      </c>
      <c r="P8778" t="s">
        <v>46</v>
      </c>
      <c r="Y8778" t="s">
        <v>30641</v>
      </c>
    </row>
    <row r="8779" spans="1:25">
      <c r="A8779" t="s">
        <v>30642</v>
      </c>
      <c r="B8779" t="s">
        <v>30643</v>
      </c>
      <c r="D8779" t="s">
        <v>40</v>
      </c>
      <c r="E8779" t="s">
        <v>41</v>
      </c>
      <c r="J8779" t="s">
        <v>6179</v>
      </c>
      <c r="K8779" t="s">
        <v>6180</v>
      </c>
      <c r="L8779">
        <v>3</v>
      </c>
      <c r="M8779" t="s">
        <v>30644</v>
      </c>
      <c r="N8779" t="s">
        <v>1380</v>
      </c>
      <c r="O8779" t="s">
        <v>46</v>
      </c>
      <c r="P8779" t="s">
        <v>46</v>
      </c>
      <c r="Y8779" t="s">
        <v>30645</v>
      </c>
    </row>
    <row r="8780" spans="1:25">
      <c r="A8780" t="s">
        <v>30646</v>
      </c>
      <c r="B8780" t="s">
        <v>30647</v>
      </c>
      <c r="D8780" t="s">
        <v>40</v>
      </c>
      <c r="E8780" t="s">
        <v>41</v>
      </c>
      <c r="J8780" t="s">
        <v>16458</v>
      </c>
      <c r="K8780" t="s">
        <v>16459</v>
      </c>
      <c r="L8780">
        <v>3</v>
      </c>
      <c r="M8780" t="s">
        <v>30648</v>
      </c>
      <c r="N8780" t="s">
        <v>4037</v>
      </c>
      <c r="O8780" t="s">
        <v>46</v>
      </c>
      <c r="P8780" t="s">
        <v>46</v>
      </c>
      <c r="Y8780" t="s">
        <v>30649</v>
      </c>
    </row>
    <row r="8781" spans="1:25">
      <c r="A8781" t="s">
        <v>30650</v>
      </c>
      <c r="B8781" t="s">
        <v>30651</v>
      </c>
      <c r="D8781" t="s">
        <v>40</v>
      </c>
      <c r="E8781" t="s">
        <v>41</v>
      </c>
      <c r="J8781" t="s">
        <v>1142</v>
      </c>
      <c r="K8781" t="s">
        <v>1143</v>
      </c>
      <c r="L8781">
        <v>3</v>
      </c>
      <c r="M8781" t="s">
        <v>30652</v>
      </c>
      <c r="N8781" t="s">
        <v>2621</v>
      </c>
      <c r="O8781" t="s">
        <v>46</v>
      </c>
      <c r="P8781" t="s">
        <v>46</v>
      </c>
      <c r="Y8781" t="s">
        <v>30653</v>
      </c>
    </row>
    <row r="8782" spans="1:25">
      <c r="A8782" t="s">
        <v>30654</v>
      </c>
      <c r="B8782" t="s">
        <v>30655</v>
      </c>
      <c r="D8782" t="s">
        <v>40</v>
      </c>
      <c r="E8782" t="s">
        <v>41</v>
      </c>
      <c r="J8782" t="s">
        <v>248</v>
      </c>
      <c r="K8782" t="s">
        <v>249</v>
      </c>
      <c r="L8782">
        <v>3</v>
      </c>
      <c r="M8782" t="s">
        <v>30656</v>
      </c>
      <c r="N8782" t="s">
        <v>1276</v>
      </c>
      <c r="O8782" t="s">
        <v>46</v>
      </c>
      <c r="P8782" t="s">
        <v>46</v>
      </c>
      <c r="Y8782" t="s">
        <v>30657</v>
      </c>
    </row>
    <row r="8783" spans="1:25">
      <c r="A8783" t="s">
        <v>30658</v>
      </c>
      <c r="B8783" t="s">
        <v>30659</v>
      </c>
      <c r="D8783" t="s">
        <v>40</v>
      </c>
      <c r="E8783" t="s">
        <v>41</v>
      </c>
      <c r="J8783" t="s">
        <v>248</v>
      </c>
      <c r="K8783" t="s">
        <v>249</v>
      </c>
      <c r="L8783">
        <v>3</v>
      </c>
      <c r="M8783" t="s">
        <v>30660</v>
      </c>
      <c r="N8783" t="s">
        <v>756</v>
      </c>
      <c r="O8783" t="s">
        <v>46</v>
      </c>
      <c r="P8783" t="s">
        <v>46</v>
      </c>
      <c r="Y8783" t="s">
        <v>30661</v>
      </c>
    </row>
    <row r="8784" spans="1:25">
      <c r="A8784" t="s">
        <v>30662</v>
      </c>
      <c r="B8784" t="s">
        <v>30663</v>
      </c>
      <c r="D8784" t="s">
        <v>40</v>
      </c>
      <c r="E8784" t="s">
        <v>41</v>
      </c>
      <c r="J8784" t="s">
        <v>248</v>
      </c>
      <c r="K8784" t="s">
        <v>249</v>
      </c>
      <c r="L8784">
        <v>3</v>
      </c>
      <c r="M8784" t="s">
        <v>30664</v>
      </c>
      <c r="N8784" t="s">
        <v>24245</v>
      </c>
      <c r="O8784" t="s">
        <v>46</v>
      </c>
      <c r="P8784" t="s">
        <v>46</v>
      </c>
      <c r="Y8784" t="s">
        <v>30665</v>
      </c>
    </row>
    <row r="8785" spans="1:25">
      <c r="A8785" t="s">
        <v>30666</v>
      </c>
      <c r="B8785" t="s">
        <v>30667</v>
      </c>
      <c r="D8785" t="s">
        <v>40</v>
      </c>
      <c r="E8785" t="s">
        <v>41</v>
      </c>
      <c r="J8785" t="s">
        <v>248</v>
      </c>
      <c r="K8785" t="s">
        <v>249</v>
      </c>
      <c r="L8785">
        <v>3</v>
      </c>
      <c r="M8785" t="s">
        <v>30668</v>
      </c>
      <c r="N8785" t="s">
        <v>24240</v>
      </c>
      <c r="O8785" t="s">
        <v>46</v>
      </c>
      <c r="P8785" t="s">
        <v>46</v>
      </c>
      <c r="Y8785" t="s">
        <v>30669</v>
      </c>
    </row>
    <row r="8786" spans="1:25">
      <c r="A8786" t="s">
        <v>30670</v>
      </c>
      <c r="B8786" t="s">
        <v>30671</v>
      </c>
      <c r="D8786" t="s">
        <v>40</v>
      </c>
      <c r="E8786" t="s">
        <v>41</v>
      </c>
      <c r="J8786" t="s">
        <v>921</v>
      </c>
      <c r="K8786" t="s">
        <v>922</v>
      </c>
      <c r="L8786">
        <v>4</v>
      </c>
      <c r="M8786" t="s">
        <v>30672</v>
      </c>
      <c r="N8786" t="s">
        <v>315</v>
      </c>
      <c r="O8786" t="s">
        <v>46</v>
      </c>
      <c r="P8786" t="s">
        <v>46</v>
      </c>
      <c r="Y8786" t="s">
        <v>30673</v>
      </c>
    </row>
    <row r="8787" spans="1:25">
      <c r="A8787" t="s">
        <v>30674</v>
      </c>
      <c r="B8787" t="s">
        <v>30675</v>
      </c>
      <c r="D8787" t="s">
        <v>40</v>
      </c>
      <c r="E8787" t="s">
        <v>41</v>
      </c>
      <c r="J8787" t="s">
        <v>139</v>
      </c>
      <c r="K8787" t="s">
        <v>140</v>
      </c>
      <c r="L8787">
        <v>3</v>
      </c>
      <c r="M8787" t="s">
        <v>30676</v>
      </c>
      <c r="N8787" t="s">
        <v>24387</v>
      </c>
      <c r="O8787" t="s">
        <v>46</v>
      </c>
      <c r="P8787" t="s">
        <v>46</v>
      </c>
      <c r="Y8787" t="s">
        <v>30677</v>
      </c>
    </row>
    <row r="8788" spans="1:25">
      <c r="A8788" t="s">
        <v>30678</v>
      </c>
      <c r="B8788" t="s">
        <v>30679</v>
      </c>
      <c r="D8788" t="s">
        <v>40</v>
      </c>
      <c r="E8788" t="s">
        <v>41</v>
      </c>
      <c r="J8788" t="s">
        <v>248</v>
      </c>
      <c r="K8788" t="s">
        <v>249</v>
      </c>
      <c r="L8788">
        <v>3</v>
      </c>
      <c r="M8788" t="s">
        <v>30680</v>
      </c>
      <c r="N8788" t="s">
        <v>1024</v>
      </c>
      <c r="O8788" t="s">
        <v>46</v>
      </c>
      <c r="P8788" t="s">
        <v>46</v>
      </c>
      <c r="Y8788" t="s">
        <v>30681</v>
      </c>
    </row>
    <row r="8789" spans="1:25">
      <c r="A8789" t="s">
        <v>30682</v>
      </c>
      <c r="B8789" t="s">
        <v>30683</v>
      </c>
      <c r="D8789" t="s">
        <v>40</v>
      </c>
      <c r="E8789" t="s">
        <v>41</v>
      </c>
      <c r="J8789" t="s">
        <v>248</v>
      </c>
      <c r="K8789" t="s">
        <v>249</v>
      </c>
      <c r="L8789">
        <v>2</v>
      </c>
      <c r="M8789" t="s">
        <v>30684</v>
      </c>
      <c r="N8789" t="s">
        <v>1814</v>
      </c>
      <c r="O8789" t="s">
        <v>46</v>
      </c>
      <c r="P8789" t="s">
        <v>46</v>
      </c>
      <c r="Y8789" t="s">
        <v>30685</v>
      </c>
    </row>
    <row r="8790" spans="1:25">
      <c r="A8790" t="s">
        <v>30686</v>
      </c>
      <c r="B8790" t="s">
        <v>30687</v>
      </c>
      <c r="D8790" t="s">
        <v>40</v>
      </c>
      <c r="E8790" t="s">
        <v>41</v>
      </c>
      <c r="J8790" t="s">
        <v>139</v>
      </c>
      <c r="K8790" t="s">
        <v>140</v>
      </c>
      <c r="L8790">
        <v>2</v>
      </c>
      <c r="M8790" t="s">
        <v>30688</v>
      </c>
      <c r="N8790" t="s">
        <v>1276</v>
      </c>
      <c r="O8790" t="s">
        <v>46</v>
      </c>
      <c r="P8790" t="s">
        <v>46</v>
      </c>
      <c r="Y8790" t="s">
        <v>30689</v>
      </c>
    </row>
    <row r="8791" spans="1:25">
      <c r="A8791" t="s">
        <v>30690</v>
      </c>
      <c r="B8791" t="s">
        <v>30691</v>
      </c>
      <c r="D8791" t="s">
        <v>40</v>
      </c>
      <c r="E8791" t="s">
        <v>41</v>
      </c>
      <c r="J8791" t="s">
        <v>1554</v>
      </c>
      <c r="K8791" t="s">
        <v>1555</v>
      </c>
      <c r="L8791">
        <v>2</v>
      </c>
      <c r="M8791" t="s">
        <v>30692</v>
      </c>
      <c r="N8791" t="s">
        <v>53</v>
      </c>
      <c r="O8791" t="s">
        <v>46</v>
      </c>
      <c r="P8791" t="s">
        <v>46</v>
      </c>
      <c r="Y8791" t="s">
        <v>30693</v>
      </c>
    </row>
    <row r="8792" spans="1:25">
      <c r="A8792" t="s">
        <v>30694</v>
      </c>
      <c r="B8792" t="s">
        <v>30695</v>
      </c>
      <c r="D8792" t="s">
        <v>40</v>
      </c>
      <c r="E8792" t="s">
        <v>41</v>
      </c>
      <c r="J8792" t="s">
        <v>248</v>
      </c>
      <c r="K8792" t="s">
        <v>249</v>
      </c>
      <c r="L8792">
        <v>2</v>
      </c>
      <c r="M8792" t="s">
        <v>30696</v>
      </c>
      <c r="N8792" t="s">
        <v>23374</v>
      </c>
      <c r="O8792" t="s">
        <v>46</v>
      </c>
      <c r="P8792" t="s">
        <v>46</v>
      </c>
      <c r="Y8792" t="s">
        <v>30697</v>
      </c>
    </row>
    <row r="8793" spans="1:25">
      <c r="A8793" t="s">
        <v>30698</v>
      </c>
      <c r="B8793" t="s">
        <v>30699</v>
      </c>
      <c r="D8793" t="s">
        <v>40</v>
      </c>
      <c r="E8793" t="s">
        <v>41</v>
      </c>
      <c r="J8793" t="s">
        <v>1142</v>
      </c>
      <c r="K8793" t="s">
        <v>1143</v>
      </c>
      <c r="L8793">
        <v>2</v>
      </c>
      <c r="M8793" t="s">
        <v>30696</v>
      </c>
      <c r="N8793" t="s">
        <v>3013</v>
      </c>
      <c r="O8793" t="s">
        <v>46</v>
      </c>
      <c r="P8793" t="s">
        <v>46</v>
      </c>
      <c r="Y8793" t="s">
        <v>30700</v>
      </c>
    </row>
    <row r="8794" spans="1:25">
      <c r="A8794" t="s">
        <v>30701</v>
      </c>
      <c r="B8794" t="s">
        <v>30702</v>
      </c>
      <c r="D8794" t="s">
        <v>40</v>
      </c>
      <c r="E8794" t="s">
        <v>41</v>
      </c>
      <c r="J8794" t="s">
        <v>248</v>
      </c>
      <c r="K8794" t="s">
        <v>249</v>
      </c>
      <c r="L8794">
        <v>3</v>
      </c>
      <c r="M8794" t="s">
        <v>30703</v>
      </c>
      <c r="N8794" t="s">
        <v>509</v>
      </c>
      <c r="O8794" t="s">
        <v>46</v>
      </c>
      <c r="P8794" t="s">
        <v>46</v>
      </c>
      <c r="Y8794" t="s">
        <v>30704</v>
      </c>
    </row>
    <row r="8795" spans="1:25">
      <c r="A8795" t="s">
        <v>30705</v>
      </c>
      <c r="B8795" t="s">
        <v>30706</v>
      </c>
      <c r="D8795" t="s">
        <v>40</v>
      </c>
      <c r="E8795" t="s">
        <v>41</v>
      </c>
      <c r="J8795" t="s">
        <v>139</v>
      </c>
      <c r="K8795" t="s">
        <v>140</v>
      </c>
      <c r="L8795">
        <v>2</v>
      </c>
      <c r="M8795" t="s">
        <v>30707</v>
      </c>
      <c r="N8795" t="s">
        <v>24387</v>
      </c>
      <c r="O8795" t="s">
        <v>46</v>
      </c>
      <c r="P8795" t="s">
        <v>46</v>
      </c>
      <c r="Y8795" t="s">
        <v>30708</v>
      </c>
    </row>
    <row r="8796" spans="1:25">
      <c r="A8796" t="s">
        <v>30709</v>
      </c>
      <c r="B8796" t="s">
        <v>30710</v>
      </c>
      <c r="D8796" t="s">
        <v>40</v>
      </c>
      <c r="E8796" t="s">
        <v>41</v>
      </c>
      <c r="J8796" t="s">
        <v>139</v>
      </c>
      <c r="K8796" t="s">
        <v>140</v>
      </c>
      <c r="L8796">
        <v>2</v>
      </c>
      <c r="M8796" t="s">
        <v>30711</v>
      </c>
      <c r="N8796" t="s">
        <v>24245</v>
      </c>
      <c r="O8796" t="s">
        <v>46</v>
      </c>
      <c r="P8796" t="s">
        <v>46</v>
      </c>
      <c r="Y8796" t="s">
        <v>30712</v>
      </c>
    </row>
    <row r="8797" spans="1:25">
      <c r="A8797" t="s">
        <v>30713</v>
      </c>
      <c r="B8797" t="s">
        <v>30714</v>
      </c>
      <c r="D8797" t="s">
        <v>40</v>
      </c>
      <c r="E8797" t="s">
        <v>41</v>
      </c>
      <c r="J8797" t="s">
        <v>12440</v>
      </c>
      <c r="K8797" t="s">
        <v>12441</v>
      </c>
      <c r="L8797">
        <v>3</v>
      </c>
      <c r="M8797" t="s">
        <v>30715</v>
      </c>
      <c r="N8797" t="s">
        <v>45</v>
      </c>
      <c r="O8797" t="s">
        <v>46</v>
      </c>
      <c r="P8797" t="s">
        <v>46</v>
      </c>
      <c r="Y8797" t="s">
        <v>30716</v>
      </c>
    </row>
    <row r="8798" spans="1:25">
      <c r="A8798" t="s">
        <v>30717</v>
      </c>
      <c r="B8798" t="s">
        <v>30718</v>
      </c>
      <c r="D8798" t="s">
        <v>40</v>
      </c>
      <c r="E8798" t="s">
        <v>41</v>
      </c>
      <c r="J8798" t="s">
        <v>1142</v>
      </c>
      <c r="K8798" t="s">
        <v>1143</v>
      </c>
      <c r="L8798">
        <v>2</v>
      </c>
      <c r="M8798" t="s">
        <v>30719</v>
      </c>
      <c r="N8798" t="s">
        <v>950</v>
      </c>
      <c r="O8798" t="s">
        <v>46</v>
      </c>
      <c r="P8798" t="s">
        <v>46</v>
      </c>
      <c r="Y8798" t="s">
        <v>30720</v>
      </c>
    </row>
    <row r="8799" spans="1:25">
      <c r="A8799" t="s">
        <v>30721</v>
      </c>
      <c r="B8799" t="s">
        <v>30722</v>
      </c>
      <c r="D8799" t="s">
        <v>40</v>
      </c>
      <c r="E8799" t="s">
        <v>41</v>
      </c>
      <c r="J8799" t="s">
        <v>248</v>
      </c>
      <c r="K8799" t="s">
        <v>249</v>
      </c>
      <c r="L8799">
        <v>2</v>
      </c>
      <c r="M8799" t="s">
        <v>30723</v>
      </c>
      <c r="N8799" t="s">
        <v>1024</v>
      </c>
      <c r="O8799" t="s">
        <v>46</v>
      </c>
      <c r="P8799" t="s">
        <v>46</v>
      </c>
      <c r="Y8799" t="s">
        <v>30724</v>
      </c>
    </row>
    <row r="8800" spans="1:25">
      <c r="A8800" t="s">
        <v>30725</v>
      </c>
      <c r="B8800" t="s">
        <v>30726</v>
      </c>
      <c r="D8800" t="s">
        <v>40</v>
      </c>
      <c r="E8800" t="s">
        <v>41</v>
      </c>
      <c r="J8800" t="s">
        <v>248</v>
      </c>
      <c r="K8800" t="s">
        <v>249</v>
      </c>
      <c r="L8800">
        <v>2</v>
      </c>
      <c r="M8800" t="s">
        <v>30727</v>
      </c>
      <c r="N8800" t="s">
        <v>24227</v>
      </c>
      <c r="O8800" t="s">
        <v>46</v>
      </c>
      <c r="P8800" t="s">
        <v>46</v>
      </c>
      <c r="Y8800" t="s">
        <v>30728</v>
      </c>
    </row>
    <row r="8801" spans="1:25">
      <c r="A8801" t="s">
        <v>30729</v>
      </c>
      <c r="B8801" t="s">
        <v>30730</v>
      </c>
      <c r="D8801" t="s">
        <v>40</v>
      </c>
      <c r="E8801" t="s">
        <v>41</v>
      </c>
      <c r="J8801" t="s">
        <v>14558</v>
      </c>
      <c r="K8801" t="s">
        <v>14559</v>
      </c>
      <c r="L8801">
        <v>2</v>
      </c>
      <c r="M8801" t="s">
        <v>30731</v>
      </c>
      <c r="N8801" t="s">
        <v>178</v>
      </c>
      <c r="O8801" t="s">
        <v>46</v>
      </c>
      <c r="P8801" t="s">
        <v>46</v>
      </c>
      <c r="Y8801" t="s">
        <v>30732</v>
      </c>
    </row>
    <row r="8802" spans="1:25">
      <c r="A8802" t="s">
        <v>30733</v>
      </c>
      <c r="B8802" t="s">
        <v>30734</v>
      </c>
      <c r="D8802" t="s">
        <v>40</v>
      </c>
      <c r="E8802" t="s">
        <v>41</v>
      </c>
      <c r="J8802" t="s">
        <v>2619</v>
      </c>
      <c r="K8802" t="s">
        <v>140</v>
      </c>
      <c r="L8802">
        <v>2</v>
      </c>
      <c r="M8802" t="s">
        <v>30735</v>
      </c>
      <c r="N8802" t="s">
        <v>2621</v>
      </c>
      <c r="O8802" t="s">
        <v>46</v>
      </c>
      <c r="P8802" t="s">
        <v>46</v>
      </c>
      <c r="Y8802" t="s">
        <v>30736</v>
      </c>
    </row>
    <row r="8803" spans="1:25">
      <c r="A8803" t="s">
        <v>30737</v>
      </c>
      <c r="B8803" t="s">
        <v>30738</v>
      </c>
      <c r="D8803" t="s">
        <v>40</v>
      </c>
      <c r="E8803" t="s">
        <v>41</v>
      </c>
      <c r="J8803" t="s">
        <v>139</v>
      </c>
      <c r="K8803" t="s">
        <v>140</v>
      </c>
      <c r="L8803">
        <v>2</v>
      </c>
      <c r="M8803" t="s">
        <v>30739</v>
      </c>
      <c r="N8803" t="s">
        <v>142</v>
      </c>
      <c r="O8803" t="s">
        <v>46</v>
      </c>
      <c r="P8803" t="s">
        <v>46</v>
      </c>
      <c r="Y8803" t="s">
        <v>30740</v>
      </c>
    </row>
    <row r="8804" spans="1:25">
      <c r="A8804" t="s">
        <v>30741</v>
      </c>
      <c r="B8804" t="s">
        <v>30742</v>
      </c>
      <c r="D8804" t="s">
        <v>40</v>
      </c>
      <c r="E8804" t="s">
        <v>41</v>
      </c>
      <c r="J8804" t="s">
        <v>248</v>
      </c>
      <c r="K8804" t="s">
        <v>249</v>
      </c>
      <c r="L8804">
        <v>2</v>
      </c>
      <c r="M8804" t="s">
        <v>30743</v>
      </c>
      <c r="N8804" t="s">
        <v>350</v>
      </c>
      <c r="O8804" t="s">
        <v>46</v>
      </c>
      <c r="P8804" t="s">
        <v>46</v>
      </c>
      <c r="Y8804" t="s">
        <v>30744</v>
      </c>
    </row>
    <row r="8805" spans="1:25">
      <c r="A8805" t="s">
        <v>30745</v>
      </c>
      <c r="B8805" t="s">
        <v>30746</v>
      </c>
      <c r="D8805" t="s">
        <v>40</v>
      </c>
      <c r="E8805" t="s">
        <v>41</v>
      </c>
      <c r="J8805" t="s">
        <v>248</v>
      </c>
      <c r="K8805" t="s">
        <v>249</v>
      </c>
      <c r="L8805">
        <v>3</v>
      </c>
      <c r="M8805" t="s">
        <v>30747</v>
      </c>
      <c r="N8805" t="s">
        <v>3013</v>
      </c>
      <c r="O8805" t="s">
        <v>46</v>
      </c>
      <c r="P8805" t="s">
        <v>46</v>
      </c>
      <c r="Y8805" t="s">
        <v>30748</v>
      </c>
    </row>
    <row r="8806" spans="1:25">
      <c r="A8806" t="s">
        <v>30749</v>
      </c>
      <c r="B8806" t="s">
        <v>30750</v>
      </c>
      <c r="D8806" t="s">
        <v>40</v>
      </c>
      <c r="E8806" t="s">
        <v>41</v>
      </c>
      <c r="J8806" t="s">
        <v>1142</v>
      </c>
      <c r="K8806" t="s">
        <v>1143</v>
      </c>
      <c r="L8806">
        <v>2</v>
      </c>
      <c r="M8806" t="s">
        <v>30751</v>
      </c>
      <c r="N8806" t="s">
        <v>53</v>
      </c>
      <c r="O8806" t="s">
        <v>46</v>
      </c>
      <c r="P8806" t="s">
        <v>46</v>
      </c>
      <c r="Y8806" t="s">
        <v>30752</v>
      </c>
    </row>
    <row r="8807" spans="1:25">
      <c r="A8807" t="s">
        <v>30753</v>
      </c>
      <c r="B8807" t="s">
        <v>30754</v>
      </c>
      <c r="D8807" t="s">
        <v>40</v>
      </c>
      <c r="E8807" t="s">
        <v>41</v>
      </c>
      <c r="J8807" t="s">
        <v>248</v>
      </c>
      <c r="K8807" t="s">
        <v>249</v>
      </c>
      <c r="L8807">
        <v>2</v>
      </c>
      <c r="M8807" t="s">
        <v>30751</v>
      </c>
      <c r="N8807" t="s">
        <v>3013</v>
      </c>
      <c r="O8807" t="s">
        <v>46</v>
      </c>
      <c r="P8807" t="s">
        <v>46</v>
      </c>
      <c r="Y8807" t="s">
        <v>30755</v>
      </c>
    </row>
    <row r="8808" spans="1:25">
      <c r="A8808" t="s">
        <v>30756</v>
      </c>
      <c r="B8808" t="s">
        <v>30757</v>
      </c>
      <c r="D8808" t="s">
        <v>40</v>
      </c>
      <c r="E8808" t="s">
        <v>41</v>
      </c>
      <c r="J8808" t="s">
        <v>6179</v>
      </c>
      <c r="K8808" t="s">
        <v>6180</v>
      </c>
      <c r="L8808">
        <v>2</v>
      </c>
      <c r="M8808" t="s">
        <v>30758</v>
      </c>
      <c r="N8808" t="s">
        <v>436</v>
      </c>
      <c r="O8808" t="s">
        <v>46</v>
      </c>
      <c r="P8808" t="s">
        <v>46</v>
      </c>
      <c r="Y8808" t="s">
        <v>30759</v>
      </c>
    </row>
    <row r="8809" spans="1:25">
      <c r="A8809" t="s">
        <v>30760</v>
      </c>
      <c r="B8809" t="s">
        <v>30761</v>
      </c>
      <c r="D8809" t="s">
        <v>40</v>
      </c>
      <c r="E8809" t="s">
        <v>41</v>
      </c>
      <c r="J8809" t="s">
        <v>139</v>
      </c>
      <c r="K8809" t="s">
        <v>140</v>
      </c>
      <c r="L8809">
        <v>2</v>
      </c>
      <c r="M8809" t="s">
        <v>30762</v>
      </c>
      <c r="N8809" t="s">
        <v>1550</v>
      </c>
      <c r="O8809" t="s">
        <v>46</v>
      </c>
      <c r="P8809" t="s">
        <v>46</v>
      </c>
      <c r="Y8809" t="s">
        <v>30763</v>
      </c>
    </row>
    <row r="8810" spans="1:25">
      <c r="A8810" t="s">
        <v>30764</v>
      </c>
      <c r="B8810" t="s">
        <v>30765</v>
      </c>
      <c r="D8810" t="s">
        <v>40</v>
      </c>
      <c r="E8810" t="s">
        <v>41</v>
      </c>
      <c r="J8810" t="s">
        <v>6255</v>
      </c>
      <c r="K8810" t="s">
        <v>6256</v>
      </c>
      <c r="L8810">
        <v>2</v>
      </c>
      <c r="M8810" t="s">
        <v>30766</v>
      </c>
      <c r="N8810" t="s">
        <v>1397</v>
      </c>
      <c r="O8810" t="s">
        <v>46</v>
      </c>
      <c r="P8810" t="s">
        <v>46</v>
      </c>
      <c r="Y8810" t="s">
        <v>30767</v>
      </c>
    </row>
    <row r="8811" spans="1:25">
      <c r="A8811" t="s">
        <v>30768</v>
      </c>
      <c r="B8811" t="s">
        <v>30769</v>
      </c>
      <c r="D8811" t="s">
        <v>40</v>
      </c>
      <c r="E8811" t="s">
        <v>41</v>
      </c>
      <c r="J8811" t="s">
        <v>1142</v>
      </c>
      <c r="K8811" t="s">
        <v>1143</v>
      </c>
      <c r="L8811">
        <v>2</v>
      </c>
      <c r="M8811" t="s">
        <v>30770</v>
      </c>
      <c r="N8811" t="s">
        <v>142</v>
      </c>
      <c r="O8811" t="s">
        <v>46</v>
      </c>
      <c r="P8811" t="s">
        <v>46</v>
      </c>
      <c r="Y8811" t="s">
        <v>30771</v>
      </c>
    </row>
    <row r="8812" spans="1:25">
      <c r="A8812" t="s">
        <v>30772</v>
      </c>
      <c r="B8812" t="s">
        <v>30773</v>
      </c>
      <c r="D8812" t="s">
        <v>40</v>
      </c>
      <c r="E8812" t="s">
        <v>41</v>
      </c>
      <c r="J8812" t="s">
        <v>248</v>
      </c>
      <c r="K8812" t="s">
        <v>249</v>
      </c>
      <c r="L8812">
        <v>2</v>
      </c>
      <c r="M8812" t="s">
        <v>30774</v>
      </c>
      <c r="N8812" t="s">
        <v>1024</v>
      </c>
      <c r="O8812" t="s">
        <v>46</v>
      </c>
      <c r="P8812" t="s">
        <v>46</v>
      </c>
      <c r="Y8812" t="s">
        <v>30775</v>
      </c>
    </row>
    <row r="8813" spans="1:25">
      <c r="A8813" t="s">
        <v>30776</v>
      </c>
      <c r="B8813" t="s">
        <v>30777</v>
      </c>
      <c r="D8813" t="s">
        <v>40</v>
      </c>
      <c r="E8813" t="s">
        <v>41</v>
      </c>
      <c r="J8813" t="s">
        <v>139</v>
      </c>
      <c r="K8813" t="s">
        <v>140</v>
      </c>
      <c r="L8813">
        <v>2</v>
      </c>
      <c r="M8813" t="s">
        <v>30778</v>
      </c>
      <c r="N8813" t="s">
        <v>24245</v>
      </c>
      <c r="O8813" t="s">
        <v>46</v>
      </c>
      <c r="P8813" t="s">
        <v>46</v>
      </c>
      <c r="Y8813" t="s">
        <v>30779</v>
      </c>
    </row>
    <row r="8814" spans="1:25">
      <c r="A8814" t="s">
        <v>30780</v>
      </c>
      <c r="B8814" t="s">
        <v>30781</v>
      </c>
      <c r="D8814" t="s">
        <v>40</v>
      </c>
      <c r="E8814" t="s">
        <v>41</v>
      </c>
      <c r="J8814" t="s">
        <v>6179</v>
      </c>
      <c r="K8814" t="s">
        <v>6180</v>
      </c>
      <c r="L8814">
        <v>2</v>
      </c>
      <c r="M8814" t="s">
        <v>30782</v>
      </c>
      <c r="N8814" t="s">
        <v>257</v>
      </c>
      <c r="O8814" t="s">
        <v>46</v>
      </c>
      <c r="P8814" t="s">
        <v>46</v>
      </c>
      <c r="Y8814" t="s">
        <v>30783</v>
      </c>
    </row>
    <row r="8815" spans="1:25">
      <c r="A8815" t="s">
        <v>30784</v>
      </c>
      <c r="B8815" t="s">
        <v>30785</v>
      </c>
      <c r="D8815" t="s">
        <v>40</v>
      </c>
      <c r="E8815" t="s">
        <v>41</v>
      </c>
      <c r="J8815" t="s">
        <v>248</v>
      </c>
      <c r="K8815" t="s">
        <v>249</v>
      </c>
      <c r="L8815">
        <v>2</v>
      </c>
      <c r="M8815" t="s">
        <v>30786</v>
      </c>
      <c r="N8815" t="s">
        <v>1276</v>
      </c>
      <c r="O8815" t="s">
        <v>46</v>
      </c>
      <c r="P8815" t="s">
        <v>46</v>
      </c>
      <c r="Y8815" t="s">
        <v>30787</v>
      </c>
    </row>
    <row r="8816" spans="1:25">
      <c r="A8816" t="s">
        <v>30788</v>
      </c>
      <c r="B8816" t="s">
        <v>30789</v>
      </c>
      <c r="D8816" t="s">
        <v>40</v>
      </c>
      <c r="E8816" t="s">
        <v>41</v>
      </c>
      <c r="J8816" t="s">
        <v>248</v>
      </c>
      <c r="K8816" t="s">
        <v>249</v>
      </c>
      <c r="L8816">
        <v>2</v>
      </c>
      <c r="M8816" t="s">
        <v>30790</v>
      </c>
      <c r="N8816" t="s">
        <v>310</v>
      </c>
      <c r="O8816" t="s">
        <v>46</v>
      </c>
      <c r="P8816" t="s">
        <v>46</v>
      </c>
      <c r="Y8816" t="s">
        <v>30791</v>
      </c>
    </row>
    <row r="8817" spans="1:25">
      <c r="A8817" t="s">
        <v>30792</v>
      </c>
      <c r="B8817" t="s">
        <v>30793</v>
      </c>
      <c r="D8817" t="s">
        <v>40</v>
      </c>
      <c r="E8817" t="s">
        <v>41</v>
      </c>
      <c r="J8817" t="s">
        <v>248</v>
      </c>
      <c r="K8817" t="s">
        <v>249</v>
      </c>
      <c r="L8817">
        <v>2</v>
      </c>
      <c r="M8817" t="s">
        <v>30794</v>
      </c>
      <c r="N8817" t="s">
        <v>142</v>
      </c>
      <c r="O8817" t="s">
        <v>46</v>
      </c>
      <c r="P8817" t="s">
        <v>46</v>
      </c>
      <c r="Y8817" t="s">
        <v>30795</v>
      </c>
    </row>
    <row r="8818" spans="1:25">
      <c r="A8818" t="s">
        <v>30796</v>
      </c>
      <c r="B8818" t="s">
        <v>30797</v>
      </c>
      <c r="D8818" t="s">
        <v>40</v>
      </c>
      <c r="E8818" t="s">
        <v>41</v>
      </c>
      <c r="J8818" t="s">
        <v>248</v>
      </c>
      <c r="K8818" t="s">
        <v>249</v>
      </c>
      <c r="L8818">
        <v>2</v>
      </c>
      <c r="M8818" t="s">
        <v>30798</v>
      </c>
      <c r="N8818" t="s">
        <v>3013</v>
      </c>
      <c r="O8818" t="s">
        <v>46</v>
      </c>
      <c r="P8818" t="s">
        <v>46</v>
      </c>
      <c r="Y8818" t="s">
        <v>30799</v>
      </c>
    </row>
    <row r="8819" spans="1:25">
      <c r="A8819" t="s">
        <v>30800</v>
      </c>
      <c r="B8819" t="s">
        <v>30801</v>
      </c>
      <c r="D8819" t="s">
        <v>40</v>
      </c>
      <c r="E8819" t="s">
        <v>41</v>
      </c>
      <c r="J8819" t="s">
        <v>2619</v>
      </c>
      <c r="K8819" t="s">
        <v>140</v>
      </c>
      <c r="L8819">
        <v>2</v>
      </c>
      <c r="M8819" t="s">
        <v>30798</v>
      </c>
      <c r="N8819" t="s">
        <v>2621</v>
      </c>
      <c r="O8819" t="s">
        <v>46</v>
      </c>
      <c r="P8819" t="s">
        <v>46</v>
      </c>
      <c r="Y8819" t="s">
        <v>30802</v>
      </c>
    </row>
    <row r="8820" spans="1:25">
      <c r="A8820" t="s">
        <v>30803</v>
      </c>
      <c r="B8820" t="s">
        <v>30804</v>
      </c>
      <c r="D8820" t="s">
        <v>40</v>
      </c>
      <c r="E8820" t="s">
        <v>41</v>
      </c>
      <c r="J8820" t="s">
        <v>1142</v>
      </c>
      <c r="K8820" t="s">
        <v>1143</v>
      </c>
      <c r="L8820">
        <v>2</v>
      </c>
      <c r="M8820" t="s">
        <v>30805</v>
      </c>
      <c r="N8820" t="s">
        <v>24227</v>
      </c>
      <c r="O8820" t="s">
        <v>46</v>
      </c>
      <c r="P8820" t="s">
        <v>46</v>
      </c>
      <c r="Y8820" t="s">
        <v>30806</v>
      </c>
    </row>
    <row r="8821" spans="1:25">
      <c r="A8821" t="s">
        <v>30807</v>
      </c>
      <c r="B8821" t="s">
        <v>30808</v>
      </c>
      <c r="D8821" t="s">
        <v>40</v>
      </c>
      <c r="E8821" t="s">
        <v>41</v>
      </c>
      <c r="J8821" t="s">
        <v>139</v>
      </c>
      <c r="K8821" t="s">
        <v>140</v>
      </c>
      <c r="L8821">
        <v>2</v>
      </c>
      <c r="M8821" t="s">
        <v>30809</v>
      </c>
      <c r="N8821" t="s">
        <v>1344</v>
      </c>
      <c r="O8821" t="s">
        <v>46</v>
      </c>
      <c r="P8821" t="s">
        <v>46</v>
      </c>
      <c r="Y8821" t="s">
        <v>30810</v>
      </c>
    </row>
    <row r="8822" spans="1:25">
      <c r="A8822" t="s">
        <v>30811</v>
      </c>
      <c r="B8822" t="s">
        <v>30812</v>
      </c>
      <c r="D8822" t="s">
        <v>40</v>
      </c>
      <c r="E8822" t="s">
        <v>41</v>
      </c>
      <c r="J8822" t="s">
        <v>1554</v>
      </c>
      <c r="K8822" t="s">
        <v>1555</v>
      </c>
      <c r="L8822">
        <v>2</v>
      </c>
      <c r="M8822" t="s">
        <v>30813</v>
      </c>
      <c r="N8822" t="s">
        <v>4037</v>
      </c>
      <c r="O8822" t="s">
        <v>46</v>
      </c>
      <c r="P8822" t="s">
        <v>46</v>
      </c>
      <c r="Y8822" t="s">
        <v>30814</v>
      </c>
    </row>
    <row r="8823" spans="1:25">
      <c r="A8823" t="s">
        <v>30815</v>
      </c>
      <c r="B8823" t="s">
        <v>30816</v>
      </c>
      <c r="D8823" t="s">
        <v>40</v>
      </c>
      <c r="E8823" t="s">
        <v>41</v>
      </c>
      <c r="J8823" t="s">
        <v>139</v>
      </c>
      <c r="K8823" t="s">
        <v>140</v>
      </c>
      <c r="L8823">
        <v>3</v>
      </c>
      <c r="M8823" t="s">
        <v>30817</v>
      </c>
      <c r="N8823" t="s">
        <v>178</v>
      </c>
      <c r="O8823" t="s">
        <v>46</v>
      </c>
      <c r="P8823" t="s">
        <v>46</v>
      </c>
      <c r="Y8823" t="s">
        <v>30818</v>
      </c>
    </row>
    <row r="8824" spans="1:25">
      <c r="A8824" t="s">
        <v>30819</v>
      </c>
      <c r="B8824" t="s">
        <v>30820</v>
      </c>
      <c r="D8824" t="s">
        <v>40</v>
      </c>
      <c r="E8824" t="s">
        <v>41</v>
      </c>
      <c r="J8824" t="s">
        <v>248</v>
      </c>
      <c r="K8824" t="s">
        <v>249</v>
      </c>
      <c r="L8824">
        <v>2</v>
      </c>
      <c r="M8824" t="s">
        <v>30821</v>
      </c>
      <c r="N8824" t="s">
        <v>310</v>
      </c>
      <c r="O8824" t="s">
        <v>46</v>
      </c>
      <c r="P8824" t="s">
        <v>46</v>
      </c>
      <c r="Y8824" t="s">
        <v>30822</v>
      </c>
    </row>
    <row r="8825" spans="1:25">
      <c r="A8825" t="s">
        <v>30823</v>
      </c>
      <c r="B8825" t="s">
        <v>30824</v>
      </c>
      <c r="D8825" t="s">
        <v>40</v>
      </c>
      <c r="E8825" t="s">
        <v>41</v>
      </c>
      <c r="J8825" t="s">
        <v>248</v>
      </c>
      <c r="K8825" t="s">
        <v>249</v>
      </c>
      <c r="L8825">
        <v>3</v>
      </c>
      <c r="M8825" t="s">
        <v>30825</v>
      </c>
      <c r="N8825" t="s">
        <v>509</v>
      </c>
      <c r="O8825" t="s">
        <v>46</v>
      </c>
      <c r="P8825" t="s">
        <v>46</v>
      </c>
      <c r="Y8825" t="s">
        <v>30826</v>
      </c>
    </row>
    <row r="8826" spans="1:25">
      <c r="A8826" t="s">
        <v>30827</v>
      </c>
      <c r="B8826" t="s">
        <v>30828</v>
      </c>
      <c r="D8826" t="s">
        <v>40</v>
      </c>
      <c r="E8826" t="s">
        <v>41</v>
      </c>
      <c r="J8826" t="s">
        <v>248</v>
      </c>
      <c r="K8826" t="s">
        <v>249</v>
      </c>
      <c r="L8826">
        <v>2</v>
      </c>
      <c r="M8826" t="s">
        <v>30829</v>
      </c>
      <c r="N8826" t="s">
        <v>291</v>
      </c>
      <c r="O8826" t="s">
        <v>46</v>
      </c>
      <c r="P8826" t="s">
        <v>46</v>
      </c>
      <c r="Y8826" t="s">
        <v>30830</v>
      </c>
    </row>
    <row r="8827" spans="1:25">
      <c r="A8827" t="s">
        <v>30831</v>
      </c>
      <c r="B8827" t="s">
        <v>30832</v>
      </c>
      <c r="D8827" t="s">
        <v>40</v>
      </c>
      <c r="E8827" t="s">
        <v>41</v>
      </c>
      <c r="J8827" t="s">
        <v>248</v>
      </c>
      <c r="K8827" t="s">
        <v>249</v>
      </c>
      <c r="L8827">
        <v>2</v>
      </c>
      <c r="M8827" t="s">
        <v>30833</v>
      </c>
      <c r="N8827" t="s">
        <v>142</v>
      </c>
      <c r="O8827" t="s">
        <v>46</v>
      </c>
      <c r="P8827" t="s">
        <v>46</v>
      </c>
      <c r="Y8827" t="s">
        <v>30834</v>
      </c>
    </row>
    <row r="8828" spans="1:25">
      <c r="A8828" t="s">
        <v>30835</v>
      </c>
      <c r="B8828" t="s">
        <v>30836</v>
      </c>
      <c r="D8828" t="s">
        <v>40</v>
      </c>
      <c r="E8828" t="s">
        <v>41</v>
      </c>
      <c r="J8828" t="s">
        <v>6255</v>
      </c>
      <c r="K8828" t="s">
        <v>6256</v>
      </c>
      <c r="L8828">
        <v>3</v>
      </c>
      <c r="M8828" t="s">
        <v>30833</v>
      </c>
      <c r="N8828" t="s">
        <v>1138</v>
      </c>
      <c r="O8828" t="s">
        <v>46</v>
      </c>
      <c r="P8828" t="s">
        <v>46</v>
      </c>
      <c r="Y8828" t="s">
        <v>30837</v>
      </c>
    </row>
    <row r="8829" spans="1:25">
      <c r="A8829" t="s">
        <v>30838</v>
      </c>
      <c r="B8829" t="s">
        <v>30839</v>
      </c>
      <c r="D8829" t="s">
        <v>40</v>
      </c>
      <c r="E8829" t="s">
        <v>41</v>
      </c>
      <c r="J8829" t="s">
        <v>248</v>
      </c>
      <c r="K8829" t="s">
        <v>249</v>
      </c>
      <c r="L8829">
        <v>3</v>
      </c>
      <c r="M8829" t="s">
        <v>30840</v>
      </c>
      <c r="N8829" t="s">
        <v>25388</v>
      </c>
      <c r="O8829" t="s">
        <v>46</v>
      </c>
      <c r="P8829" t="s">
        <v>46</v>
      </c>
      <c r="Y8829" t="s">
        <v>30841</v>
      </c>
    </row>
    <row r="8830" spans="1:25">
      <c r="A8830" t="s">
        <v>30842</v>
      </c>
      <c r="B8830" t="s">
        <v>30843</v>
      </c>
      <c r="D8830" t="s">
        <v>40</v>
      </c>
      <c r="E8830" t="s">
        <v>41</v>
      </c>
      <c r="J8830" t="s">
        <v>11802</v>
      </c>
      <c r="K8830" t="s">
        <v>11803</v>
      </c>
      <c r="L8830">
        <v>2</v>
      </c>
      <c r="M8830" t="s">
        <v>30844</v>
      </c>
      <c r="N8830" t="s">
        <v>1446</v>
      </c>
      <c r="O8830" t="s">
        <v>46</v>
      </c>
      <c r="P8830" t="s">
        <v>46</v>
      </c>
      <c r="Y8830" t="s">
        <v>30845</v>
      </c>
    </row>
    <row r="8831" spans="1:25">
      <c r="A8831" t="s">
        <v>30846</v>
      </c>
      <c r="B8831" t="s">
        <v>30847</v>
      </c>
      <c r="D8831" t="s">
        <v>40</v>
      </c>
      <c r="E8831" t="s">
        <v>41</v>
      </c>
      <c r="J8831" t="s">
        <v>248</v>
      </c>
      <c r="K8831" t="s">
        <v>249</v>
      </c>
      <c r="L8831">
        <v>3</v>
      </c>
      <c r="M8831" t="s">
        <v>30848</v>
      </c>
      <c r="N8831" t="s">
        <v>617</v>
      </c>
      <c r="O8831" t="s">
        <v>46</v>
      </c>
      <c r="P8831" t="s">
        <v>46</v>
      </c>
      <c r="Y8831" t="s">
        <v>30849</v>
      </c>
    </row>
    <row r="8832" spans="1:25">
      <c r="A8832" t="s">
        <v>30850</v>
      </c>
      <c r="B8832" t="s">
        <v>30851</v>
      </c>
      <c r="D8832" t="s">
        <v>40</v>
      </c>
      <c r="E8832" t="s">
        <v>41</v>
      </c>
      <c r="J8832" t="s">
        <v>1142</v>
      </c>
      <c r="K8832" t="s">
        <v>1143</v>
      </c>
      <c r="L8832">
        <v>2</v>
      </c>
      <c r="M8832" t="s">
        <v>30852</v>
      </c>
      <c r="N8832" t="s">
        <v>1024</v>
      </c>
      <c r="O8832" t="s">
        <v>46</v>
      </c>
      <c r="P8832" t="s">
        <v>46</v>
      </c>
      <c r="Y8832" t="s">
        <v>30853</v>
      </c>
    </row>
    <row r="8833" spans="1:25">
      <c r="A8833" t="s">
        <v>30854</v>
      </c>
      <c r="B8833" t="s">
        <v>30855</v>
      </c>
      <c r="D8833" t="s">
        <v>40</v>
      </c>
      <c r="E8833" t="s">
        <v>41</v>
      </c>
      <c r="J8833" t="s">
        <v>139</v>
      </c>
      <c r="K8833" t="s">
        <v>140</v>
      </c>
      <c r="L8833">
        <v>2</v>
      </c>
      <c r="M8833" t="s">
        <v>30856</v>
      </c>
      <c r="N8833" t="s">
        <v>142</v>
      </c>
      <c r="O8833" t="s">
        <v>46</v>
      </c>
      <c r="P8833" t="s">
        <v>46</v>
      </c>
      <c r="Y8833" t="s">
        <v>30857</v>
      </c>
    </row>
    <row r="8834" spans="1:25">
      <c r="A8834" t="s">
        <v>30858</v>
      </c>
      <c r="B8834" t="s">
        <v>30859</v>
      </c>
      <c r="D8834" t="s">
        <v>40</v>
      </c>
      <c r="E8834" t="s">
        <v>41</v>
      </c>
      <c r="J8834" t="s">
        <v>1142</v>
      </c>
      <c r="K8834" t="s">
        <v>1143</v>
      </c>
      <c r="L8834">
        <v>2</v>
      </c>
      <c r="M8834" t="s">
        <v>30860</v>
      </c>
      <c r="N8834" t="s">
        <v>1550</v>
      </c>
      <c r="O8834" t="s">
        <v>46</v>
      </c>
      <c r="P8834" t="s">
        <v>46</v>
      </c>
      <c r="Y8834" t="s">
        <v>30861</v>
      </c>
    </row>
    <row r="8835" spans="1:25">
      <c r="A8835" t="s">
        <v>30862</v>
      </c>
      <c r="B8835" t="s">
        <v>30863</v>
      </c>
      <c r="D8835" t="s">
        <v>40</v>
      </c>
      <c r="E8835" t="s">
        <v>41</v>
      </c>
      <c r="J8835" t="s">
        <v>248</v>
      </c>
      <c r="K8835" t="s">
        <v>249</v>
      </c>
      <c r="L8835">
        <v>2</v>
      </c>
      <c r="M8835" t="s">
        <v>30864</v>
      </c>
      <c r="N8835" t="s">
        <v>1369</v>
      </c>
      <c r="O8835" t="s">
        <v>46</v>
      </c>
      <c r="P8835" t="s">
        <v>46</v>
      </c>
      <c r="Y8835" t="s">
        <v>30865</v>
      </c>
    </row>
    <row r="8836" spans="1:25">
      <c r="A8836" t="s">
        <v>30866</v>
      </c>
      <c r="B8836" t="s">
        <v>30867</v>
      </c>
      <c r="D8836" t="s">
        <v>40</v>
      </c>
      <c r="E8836" t="s">
        <v>41</v>
      </c>
      <c r="J8836" t="s">
        <v>139</v>
      </c>
      <c r="K8836" t="s">
        <v>140</v>
      </c>
      <c r="L8836">
        <v>3</v>
      </c>
      <c r="M8836" t="s">
        <v>30868</v>
      </c>
      <c r="N8836" t="s">
        <v>178</v>
      </c>
      <c r="O8836" t="s">
        <v>46</v>
      </c>
      <c r="P8836" t="s">
        <v>46</v>
      </c>
      <c r="Y8836" t="s">
        <v>30869</v>
      </c>
    </row>
    <row r="8837" spans="1:25">
      <c r="A8837" t="s">
        <v>30870</v>
      </c>
      <c r="B8837" t="s">
        <v>30871</v>
      </c>
      <c r="D8837" t="s">
        <v>40</v>
      </c>
      <c r="E8837" t="s">
        <v>41</v>
      </c>
      <c r="J8837" t="s">
        <v>248</v>
      </c>
      <c r="K8837" t="s">
        <v>249</v>
      </c>
      <c r="L8837">
        <v>2</v>
      </c>
      <c r="M8837" t="s">
        <v>30872</v>
      </c>
      <c r="N8837" t="s">
        <v>142</v>
      </c>
      <c r="O8837" t="s">
        <v>46</v>
      </c>
      <c r="P8837" t="s">
        <v>46</v>
      </c>
      <c r="Y8837" t="s">
        <v>30873</v>
      </c>
    </row>
    <row r="8838" spans="1:25">
      <c r="A8838" t="s">
        <v>30874</v>
      </c>
      <c r="B8838" t="s">
        <v>30875</v>
      </c>
      <c r="D8838" t="s">
        <v>40</v>
      </c>
      <c r="E8838" t="s">
        <v>41</v>
      </c>
      <c r="J8838" t="s">
        <v>248</v>
      </c>
      <c r="K8838" t="s">
        <v>249</v>
      </c>
      <c r="L8838">
        <v>2</v>
      </c>
      <c r="M8838" t="s">
        <v>30872</v>
      </c>
      <c r="N8838" t="s">
        <v>58</v>
      </c>
      <c r="O8838" t="s">
        <v>46</v>
      </c>
      <c r="P8838" t="s">
        <v>46</v>
      </c>
      <c r="Y8838" t="s">
        <v>30876</v>
      </c>
    </row>
    <row r="8839" spans="1:25">
      <c r="A8839" t="s">
        <v>30877</v>
      </c>
      <c r="B8839" t="s">
        <v>30878</v>
      </c>
      <c r="D8839" t="s">
        <v>40</v>
      </c>
      <c r="E8839" t="s">
        <v>41</v>
      </c>
      <c r="J8839" t="s">
        <v>1554</v>
      </c>
      <c r="K8839" t="s">
        <v>1555</v>
      </c>
      <c r="L8839">
        <v>2</v>
      </c>
      <c r="M8839" t="s">
        <v>30872</v>
      </c>
      <c r="N8839" t="s">
        <v>24227</v>
      </c>
      <c r="O8839" t="s">
        <v>46</v>
      </c>
      <c r="P8839" t="s">
        <v>46</v>
      </c>
      <c r="Y8839" t="s">
        <v>30879</v>
      </c>
    </row>
    <row r="8840" spans="1:25">
      <c r="A8840" t="s">
        <v>30880</v>
      </c>
      <c r="B8840" t="s">
        <v>30881</v>
      </c>
      <c r="D8840" t="s">
        <v>40</v>
      </c>
      <c r="E8840" t="s">
        <v>41</v>
      </c>
      <c r="J8840" t="s">
        <v>12440</v>
      </c>
      <c r="K8840" t="s">
        <v>12441</v>
      </c>
      <c r="L8840">
        <v>3</v>
      </c>
      <c r="M8840" t="s">
        <v>30882</v>
      </c>
      <c r="N8840" t="s">
        <v>64</v>
      </c>
      <c r="O8840" t="s">
        <v>46</v>
      </c>
      <c r="P8840" t="s">
        <v>46</v>
      </c>
      <c r="Y8840" t="s">
        <v>30883</v>
      </c>
    </row>
    <row r="8841" spans="1:25">
      <c r="A8841" t="s">
        <v>30884</v>
      </c>
      <c r="B8841" t="s">
        <v>30885</v>
      </c>
      <c r="D8841" t="s">
        <v>40</v>
      </c>
      <c r="E8841" t="s">
        <v>41</v>
      </c>
      <c r="J8841" t="s">
        <v>1554</v>
      </c>
      <c r="K8841" t="s">
        <v>1555</v>
      </c>
      <c r="L8841">
        <v>2</v>
      </c>
      <c r="M8841" t="s">
        <v>30886</v>
      </c>
      <c r="N8841" t="s">
        <v>509</v>
      </c>
      <c r="O8841" t="s">
        <v>46</v>
      </c>
      <c r="P8841" t="s">
        <v>46</v>
      </c>
      <c r="Y8841" t="s">
        <v>30887</v>
      </c>
    </row>
    <row r="8842" spans="1:25">
      <c r="A8842" t="s">
        <v>30888</v>
      </c>
      <c r="B8842" t="s">
        <v>30889</v>
      </c>
      <c r="D8842" t="s">
        <v>40</v>
      </c>
      <c r="E8842" t="s">
        <v>41</v>
      </c>
      <c r="J8842" t="s">
        <v>248</v>
      </c>
      <c r="K8842" t="s">
        <v>249</v>
      </c>
      <c r="L8842">
        <v>2</v>
      </c>
      <c r="M8842" t="s">
        <v>30890</v>
      </c>
      <c r="N8842" t="s">
        <v>350</v>
      </c>
      <c r="O8842" t="s">
        <v>46</v>
      </c>
      <c r="P8842" t="s">
        <v>46</v>
      </c>
      <c r="Y8842" t="s">
        <v>30891</v>
      </c>
    </row>
    <row r="8843" spans="1:25">
      <c r="A8843" t="s">
        <v>30892</v>
      </c>
      <c r="B8843" t="s">
        <v>30893</v>
      </c>
      <c r="D8843" t="s">
        <v>40</v>
      </c>
      <c r="E8843" t="s">
        <v>41</v>
      </c>
      <c r="J8843" t="s">
        <v>248</v>
      </c>
      <c r="K8843" t="s">
        <v>249</v>
      </c>
      <c r="L8843">
        <v>2</v>
      </c>
      <c r="M8843" t="s">
        <v>30894</v>
      </c>
      <c r="N8843" t="s">
        <v>1550</v>
      </c>
      <c r="O8843" t="s">
        <v>46</v>
      </c>
      <c r="P8843" t="s">
        <v>46</v>
      </c>
      <c r="Y8843" t="s">
        <v>30895</v>
      </c>
    </row>
    <row r="8844" spans="1:25">
      <c r="A8844" t="s">
        <v>30896</v>
      </c>
      <c r="B8844" t="s">
        <v>30897</v>
      </c>
      <c r="D8844" t="s">
        <v>40</v>
      </c>
      <c r="E8844" t="s">
        <v>41</v>
      </c>
      <c r="J8844" t="s">
        <v>248</v>
      </c>
      <c r="K8844" t="s">
        <v>249</v>
      </c>
      <c r="L8844">
        <v>2</v>
      </c>
      <c r="M8844" t="s">
        <v>30898</v>
      </c>
      <c r="N8844" t="s">
        <v>142</v>
      </c>
      <c r="O8844" t="s">
        <v>46</v>
      </c>
      <c r="P8844" t="s">
        <v>46</v>
      </c>
      <c r="Y8844" t="s">
        <v>30899</v>
      </c>
    </row>
    <row r="8845" spans="1:25">
      <c r="A8845" t="s">
        <v>30900</v>
      </c>
      <c r="B8845" t="s">
        <v>30901</v>
      </c>
      <c r="D8845" t="s">
        <v>40</v>
      </c>
      <c r="E8845" t="s">
        <v>41</v>
      </c>
      <c r="J8845" t="s">
        <v>1142</v>
      </c>
      <c r="K8845" t="s">
        <v>1143</v>
      </c>
      <c r="L8845">
        <v>2</v>
      </c>
      <c r="M8845" t="s">
        <v>30902</v>
      </c>
      <c r="N8845" t="s">
        <v>617</v>
      </c>
      <c r="O8845" t="s">
        <v>46</v>
      </c>
      <c r="P8845" t="s">
        <v>46</v>
      </c>
      <c r="Y8845" t="s">
        <v>30903</v>
      </c>
    </row>
    <row r="8846" spans="1:25">
      <c r="A8846" t="s">
        <v>30904</v>
      </c>
      <c r="B8846" t="s">
        <v>30905</v>
      </c>
      <c r="D8846" t="s">
        <v>40</v>
      </c>
      <c r="E8846" t="s">
        <v>41</v>
      </c>
      <c r="J8846" t="s">
        <v>11802</v>
      </c>
      <c r="K8846" t="s">
        <v>11803</v>
      </c>
      <c r="L8846">
        <v>2</v>
      </c>
      <c r="M8846" t="s">
        <v>30906</v>
      </c>
      <c r="N8846" t="s">
        <v>2621</v>
      </c>
      <c r="O8846" t="s">
        <v>46</v>
      </c>
      <c r="P8846" t="s">
        <v>46</v>
      </c>
      <c r="Y8846" t="s">
        <v>30907</v>
      </c>
    </row>
    <row r="8847" spans="1:25">
      <c r="A8847" t="s">
        <v>30908</v>
      </c>
      <c r="B8847" t="s">
        <v>30909</v>
      </c>
      <c r="D8847" t="s">
        <v>40</v>
      </c>
      <c r="E8847" t="s">
        <v>41</v>
      </c>
      <c r="J8847" t="s">
        <v>6179</v>
      </c>
      <c r="K8847" t="s">
        <v>6180</v>
      </c>
      <c r="L8847">
        <v>2</v>
      </c>
      <c r="M8847" t="s">
        <v>30910</v>
      </c>
      <c r="N8847" t="s">
        <v>142</v>
      </c>
      <c r="O8847" t="s">
        <v>46</v>
      </c>
      <c r="P8847" t="s">
        <v>46</v>
      </c>
      <c r="Y8847" t="s">
        <v>30911</v>
      </c>
    </row>
    <row r="8848" spans="1:25">
      <c r="A8848" t="s">
        <v>30912</v>
      </c>
      <c r="B8848" t="s">
        <v>30913</v>
      </c>
      <c r="D8848" t="s">
        <v>40</v>
      </c>
      <c r="E8848" t="s">
        <v>41</v>
      </c>
      <c r="J8848" t="s">
        <v>248</v>
      </c>
      <c r="K8848" t="s">
        <v>249</v>
      </c>
      <c r="L8848">
        <v>2</v>
      </c>
      <c r="M8848" t="s">
        <v>30914</v>
      </c>
      <c r="N8848" t="s">
        <v>1024</v>
      </c>
      <c r="O8848" t="s">
        <v>46</v>
      </c>
      <c r="P8848" t="s">
        <v>46</v>
      </c>
      <c r="Y8848" t="s">
        <v>30915</v>
      </c>
    </row>
    <row r="8849" spans="1:25">
      <c r="A8849" t="s">
        <v>30916</v>
      </c>
      <c r="B8849" t="s">
        <v>30917</v>
      </c>
      <c r="D8849" t="s">
        <v>40</v>
      </c>
      <c r="E8849" t="s">
        <v>41</v>
      </c>
      <c r="J8849" t="s">
        <v>12440</v>
      </c>
      <c r="K8849" t="s">
        <v>12441</v>
      </c>
      <c r="L8849">
        <v>4</v>
      </c>
      <c r="M8849" t="s">
        <v>30918</v>
      </c>
      <c r="N8849" t="s">
        <v>2346</v>
      </c>
      <c r="O8849" t="s">
        <v>46</v>
      </c>
      <c r="P8849" t="s">
        <v>46</v>
      </c>
      <c r="Y8849" t="s">
        <v>30919</v>
      </c>
    </row>
    <row r="8850" spans="1:25">
      <c r="A8850" t="s">
        <v>30920</v>
      </c>
      <c r="B8850" t="s">
        <v>30921</v>
      </c>
      <c r="D8850" t="s">
        <v>40</v>
      </c>
      <c r="E8850" t="s">
        <v>41</v>
      </c>
      <c r="J8850" t="s">
        <v>248</v>
      </c>
      <c r="K8850" t="s">
        <v>249</v>
      </c>
      <c r="L8850">
        <v>2</v>
      </c>
      <c r="M8850" t="s">
        <v>30922</v>
      </c>
      <c r="N8850" t="s">
        <v>1024</v>
      </c>
      <c r="O8850" t="s">
        <v>46</v>
      </c>
      <c r="P8850" t="s">
        <v>46</v>
      </c>
      <c r="Y8850" t="s">
        <v>30923</v>
      </c>
    </row>
    <row r="8851" spans="1:25">
      <c r="A8851" t="s">
        <v>30924</v>
      </c>
      <c r="B8851" t="s">
        <v>30925</v>
      </c>
      <c r="D8851" t="s">
        <v>40</v>
      </c>
      <c r="E8851" t="s">
        <v>41</v>
      </c>
      <c r="J8851" t="s">
        <v>248</v>
      </c>
      <c r="K8851" t="s">
        <v>249</v>
      </c>
      <c r="L8851">
        <v>2</v>
      </c>
      <c r="M8851" t="s">
        <v>30926</v>
      </c>
      <c r="N8851" t="s">
        <v>24245</v>
      </c>
      <c r="O8851" t="s">
        <v>46</v>
      </c>
      <c r="P8851" t="s">
        <v>46</v>
      </c>
      <c r="Y8851" t="s">
        <v>30927</v>
      </c>
    </row>
    <row r="8852" spans="1:25">
      <c r="A8852" t="s">
        <v>30928</v>
      </c>
      <c r="B8852" t="s">
        <v>30929</v>
      </c>
      <c r="D8852" t="s">
        <v>40</v>
      </c>
      <c r="E8852" t="s">
        <v>41</v>
      </c>
      <c r="J8852" t="s">
        <v>248</v>
      </c>
      <c r="K8852" t="s">
        <v>249</v>
      </c>
      <c r="L8852">
        <v>3</v>
      </c>
      <c r="M8852" t="s">
        <v>30930</v>
      </c>
      <c r="N8852" t="s">
        <v>53</v>
      </c>
      <c r="O8852" t="s">
        <v>46</v>
      </c>
      <c r="P8852" t="s">
        <v>46</v>
      </c>
      <c r="Y8852" t="s">
        <v>30931</v>
      </c>
    </row>
    <row r="8853" spans="1:25">
      <c r="A8853" t="s">
        <v>30932</v>
      </c>
      <c r="B8853" t="s">
        <v>30933</v>
      </c>
      <c r="D8853" t="s">
        <v>40</v>
      </c>
      <c r="E8853" t="s">
        <v>41</v>
      </c>
      <c r="J8853" t="s">
        <v>248</v>
      </c>
      <c r="K8853" t="s">
        <v>249</v>
      </c>
      <c r="L8853">
        <v>2</v>
      </c>
      <c r="M8853" t="s">
        <v>30934</v>
      </c>
      <c r="N8853" t="s">
        <v>257</v>
      </c>
      <c r="O8853" t="s">
        <v>46</v>
      </c>
      <c r="P8853" t="s">
        <v>46</v>
      </c>
      <c r="Y8853" t="s">
        <v>30935</v>
      </c>
    </row>
    <row r="8854" spans="1:25">
      <c r="A8854" t="s">
        <v>30936</v>
      </c>
      <c r="B8854" t="s">
        <v>30937</v>
      </c>
      <c r="D8854" t="s">
        <v>40</v>
      </c>
      <c r="E8854" t="s">
        <v>41</v>
      </c>
      <c r="J8854" t="s">
        <v>248</v>
      </c>
      <c r="K8854" t="s">
        <v>249</v>
      </c>
      <c r="L8854">
        <v>3</v>
      </c>
      <c r="M8854" t="s">
        <v>30938</v>
      </c>
      <c r="N8854" t="s">
        <v>617</v>
      </c>
      <c r="O8854" t="s">
        <v>46</v>
      </c>
      <c r="P8854" t="s">
        <v>46</v>
      </c>
      <c r="Y8854" t="s">
        <v>30939</v>
      </c>
    </row>
    <row r="8855" spans="1:25">
      <c r="A8855" t="s">
        <v>30940</v>
      </c>
      <c r="B8855" t="s">
        <v>30941</v>
      </c>
      <c r="D8855" t="s">
        <v>40</v>
      </c>
      <c r="E8855" t="s">
        <v>41</v>
      </c>
      <c r="J8855" t="s">
        <v>248</v>
      </c>
      <c r="K8855" t="s">
        <v>249</v>
      </c>
      <c r="L8855">
        <v>2</v>
      </c>
      <c r="M8855" t="s">
        <v>30942</v>
      </c>
      <c r="N8855" t="s">
        <v>53</v>
      </c>
      <c r="O8855" t="s">
        <v>46</v>
      </c>
      <c r="P8855" t="s">
        <v>46</v>
      </c>
      <c r="Y8855" t="s">
        <v>30943</v>
      </c>
    </row>
    <row r="8856" spans="1:25">
      <c r="A8856" t="s">
        <v>30944</v>
      </c>
      <c r="B8856" t="s">
        <v>30945</v>
      </c>
      <c r="D8856" t="s">
        <v>40</v>
      </c>
      <c r="E8856" t="s">
        <v>41</v>
      </c>
      <c r="J8856" t="s">
        <v>248</v>
      </c>
      <c r="K8856" t="s">
        <v>249</v>
      </c>
      <c r="L8856">
        <v>3</v>
      </c>
      <c r="M8856" t="s">
        <v>30946</v>
      </c>
      <c r="N8856" t="s">
        <v>58</v>
      </c>
      <c r="O8856" t="s">
        <v>46</v>
      </c>
      <c r="P8856" t="s">
        <v>46</v>
      </c>
      <c r="Y8856" t="s">
        <v>30947</v>
      </c>
    </row>
    <row r="8857" spans="1:25">
      <c r="A8857" t="s">
        <v>30948</v>
      </c>
      <c r="B8857" t="s">
        <v>30949</v>
      </c>
      <c r="D8857" t="s">
        <v>40</v>
      </c>
      <c r="E8857" t="s">
        <v>41</v>
      </c>
      <c r="J8857" t="s">
        <v>12440</v>
      </c>
      <c r="K8857" t="s">
        <v>12441</v>
      </c>
      <c r="L8857">
        <v>4</v>
      </c>
      <c r="M8857" t="s">
        <v>30950</v>
      </c>
      <c r="N8857" t="s">
        <v>64</v>
      </c>
      <c r="O8857" t="s">
        <v>46</v>
      </c>
      <c r="P8857" t="s">
        <v>46</v>
      </c>
      <c r="Y8857" t="s">
        <v>30951</v>
      </c>
    </row>
    <row r="8858" spans="1:25">
      <c r="A8858" t="s">
        <v>30952</v>
      </c>
      <c r="B8858" t="s">
        <v>30953</v>
      </c>
      <c r="D8858" t="s">
        <v>40</v>
      </c>
      <c r="E8858" t="s">
        <v>41</v>
      </c>
      <c r="J8858" t="s">
        <v>6255</v>
      </c>
      <c r="K8858" t="s">
        <v>6256</v>
      </c>
      <c r="L8858">
        <v>2</v>
      </c>
      <c r="M8858" t="s">
        <v>30954</v>
      </c>
      <c r="N8858" t="s">
        <v>142</v>
      </c>
      <c r="O8858" t="s">
        <v>46</v>
      </c>
      <c r="P8858" t="s">
        <v>46</v>
      </c>
      <c r="Y8858" t="s">
        <v>30955</v>
      </c>
    </row>
    <row r="8859" spans="1:25">
      <c r="A8859" t="s">
        <v>30956</v>
      </c>
      <c r="B8859" t="s">
        <v>30957</v>
      </c>
      <c r="D8859" t="s">
        <v>40</v>
      </c>
      <c r="E8859" t="s">
        <v>41</v>
      </c>
      <c r="J8859" t="s">
        <v>248</v>
      </c>
      <c r="K8859" t="s">
        <v>249</v>
      </c>
      <c r="L8859">
        <v>2</v>
      </c>
      <c r="M8859" t="s">
        <v>30958</v>
      </c>
      <c r="N8859" t="s">
        <v>178</v>
      </c>
      <c r="O8859" t="s">
        <v>46</v>
      </c>
      <c r="P8859" t="s">
        <v>46</v>
      </c>
      <c r="Y8859" t="s">
        <v>30959</v>
      </c>
    </row>
    <row r="8860" spans="1:25">
      <c r="A8860" t="s">
        <v>30960</v>
      </c>
      <c r="B8860" t="s">
        <v>30961</v>
      </c>
      <c r="D8860" t="s">
        <v>40</v>
      </c>
      <c r="E8860" t="s">
        <v>41</v>
      </c>
      <c r="J8860" t="s">
        <v>14558</v>
      </c>
      <c r="K8860" t="s">
        <v>14559</v>
      </c>
      <c r="L8860">
        <v>2</v>
      </c>
      <c r="M8860" t="s">
        <v>30962</v>
      </c>
      <c r="N8860" t="s">
        <v>24245</v>
      </c>
      <c r="O8860" t="s">
        <v>46</v>
      </c>
      <c r="P8860" t="s">
        <v>46</v>
      </c>
      <c r="Y8860" t="s">
        <v>30963</v>
      </c>
    </row>
    <row r="8861" spans="1:25">
      <c r="A8861" t="s">
        <v>30964</v>
      </c>
      <c r="B8861" t="s">
        <v>30965</v>
      </c>
      <c r="D8861" t="s">
        <v>40</v>
      </c>
      <c r="E8861" t="s">
        <v>41</v>
      </c>
      <c r="J8861" t="s">
        <v>248</v>
      </c>
      <c r="K8861" t="s">
        <v>249</v>
      </c>
      <c r="L8861">
        <v>2</v>
      </c>
      <c r="M8861" t="s">
        <v>30966</v>
      </c>
      <c r="N8861" t="s">
        <v>1446</v>
      </c>
      <c r="O8861" t="s">
        <v>46</v>
      </c>
      <c r="P8861" t="s">
        <v>46</v>
      </c>
      <c r="Y8861" t="s">
        <v>30967</v>
      </c>
    </row>
    <row r="8862" spans="1:25">
      <c r="A8862" t="s">
        <v>30968</v>
      </c>
      <c r="B8862" t="s">
        <v>30969</v>
      </c>
      <c r="D8862" t="s">
        <v>40</v>
      </c>
      <c r="E8862" t="s">
        <v>41</v>
      </c>
      <c r="J8862" t="s">
        <v>139</v>
      </c>
      <c r="K8862" t="s">
        <v>140</v>
      </c>
      <c r="L8862">
        <v>3</v>
      </c>
      <c r="M8862" t="s">
        <v>30970</v>
      </c>
      <c r="N8862" t="s">
        <v>24245</v>
      </c>
      <c r="O8862" t="s">
        <v>46</v>
      </c>
      <c r="P8862" t="s">
        <v>46</v>
      </c>
      <c r="Y8862" t="s">
        <v>30971</v>
      </c>
    </row>
    <row r="8863" spans="1:25">
      <c r="A8863" t="s">
        <v>30972</v>
      </c>
      <c r="B8863" t="s">
        <v>30973</v>
      </c>
      <c r="D8863" t="s">
        <v>40</v>
      </c>
      <c r="E8863" t="s">
        <v>41</v>
      </c>
      <c r="J8863" t="s">
        <v>6179</v>
      </c>
      <c r="K8863" t="s">
        <v>6180</v>
      </c>
      <c r="L8863">
        <v>3</v>
      </c>
      <c r="M8863" t="s">
        <v>30974</v>
      </c>
      <c r="N8863" t="s">
        <v>756</v>
      </c>
      <c r="O8863" t="s">
        <v>46</v>
      </c>
      <c r="P8863" t="s">
        <v>46</v>
      </c>
      <c r="Y8863" t="s">
        <v>30975</v>
      </c>
    </row>
    <row r="8864" spans="1:25">
      <c r="A8864" t="s">
        <v>30976</v>
      </c>
      <c r="B8864" t="s">
        <v>30977</v>
      </c>
      <c r="D8864" t="s">
        <v>40</v>
      </c>
      <c r="E8864" t="s">
        <v>41</v>
      </c>
      <c r="J8864" t="s">
        <v>248</v>
      </c>
      <c r="K8864" t="s">
        <v>249</v>
      </c>
      <c r="L8864">
        <v>3</v>
      </c>
      <c r="M8864" t="s">
        <v>30978</v>
      </c>
      <c r="N8864" t="s">
        <v>53</v>
      </c>
      <c r="O8864" t="s">
        <v>46</v>
      </c>
      <c r="P8864" t="s">
        <v>46</v>
      </c>
      <c r="Y8864" t="s">
        <v>30979</v>
      </c>
    </row>
    <row r="8865" spans="1:25">
      <c r="A8865" t="s">
        <v>30980</v>
      </c>
      <c r="B8865" t="s">
        <v>30981</v>
      </c>
      <c r="D8865" t="s">
        <v>40</v>
      </c>
      <c r="E8865" t="s">
        <v>41</v>
      </c>
      <c r="J8865" t="s">
        <v>1554</v>
      </c>
      <c r="K8865" t="s">
        <v>1555</v>
      </c>
      <c r="L8865">
        <v>3</v>
      </c>
      <c r="M8865" t="s">
        <v>30982</v>
      </c>
      <c r="N8865" t="s">
        <v>24227</v>
      </c>
      <c r="O8865" t="s">
        <v>46</v>
      </c>
      <c r="P8865" t="s">
        <v>46</v>
      </c>
      <c r="Y8865" t="s">
        <v>30983</v>
      </c>
    </row>
    <row r="8866" spans="1:25">
      <c r="A8866" t="s">
        <v>30984</v>
      </c>
      <c r="B8866" t="s">
        <v>30985</v>
      </c>
      <c r="D8866" t="s">
        <v>40</v>
      </c>
      <c r="E8866" t="s">
        <v>41</v>
      </c>
      <c r="J8866" t="s">
        <v>248</v>
      </c>
      <c r="K8866" t="s">
        <v>249</v>
      </c>
      <c r="L8866">
        <v>2</v>
      </c>
      <c r="M8866" t="s">
        <v>30986</v>
      </c>
      <c r="N8866" t="s">
        <v>1369</v>
      </c>
      <c r="O8866" t="s">
        <v>46</v>
      </c>
      <c r="P8866" t="s">
        <v>46</v>
      </c>
      <c r="Y8866" t="s">
        <v>30987</v>
      </c>
    </row>
    <row r="8867" spans="1:25">
      <c r="A8867" t="s">
        <v>30988</v>
      </c>
      <c r="B8867" t="s">
        <v>30989</v>
      </c>
      <c r="D8867" t="s">
        <v>40</v>
      </c>
      <c r="E8867" t="s">
        <v>41</v>
      </c>
      <c r="J8867" t="s">
        <v>248</v>
      </c>
      <c r="K8867" t="s">
        <v>249</v>
      </c>
      <c r="L8867">
        <v>2</v>
      </c>
      <c r="M8867" t="s">
        <v>30990</v>
      </c>
      <c r="N8867" t="s">
        <v>350</v>
      </c>
      <c r="O8867" t="s">
        <v>46</v>
      </c>
      <c r="P8867" t="s">
        <v>46</v>
      </c>
      <c r="Y8867" t="s">
        <v>30991</v>
      </c>
    </row>
    <row r="8868" spans="1:25">
      <c r="A8868" t="s">
        <v>30992</v>
      </c>
      <c r="B8868" t="s">
        <v>30993</v>
      </c>
      <c r="D8868" t="s">
        <v>40</v>
      </c>
      <c r="E8868" t="s">
        <v>41</v>
      </c>
      <c r="J8868" t="s">
        <v>12440</v>
      </c>
      <c r="K8868" t="s">
        <v>12441</v>
      </c>
      <c r="L8868">
        <v>3</v>
      </c>
      <c r="M8868" t="s">
        <v>30994</v>
      </c>
      <c r="N8868" t="s">
        <v>64</v>
      </c>
      <c r="O8868" t="s">
        <v>46</v>
      </c>
      <c r="P8868" t="s">
        <v>46</v>
      </c>
      <c r="Y8868" t="s">
        <v>30995</v>
      </c>
    </row>
    <row r="8869" spans="1:25">
      <c r="A8869" t="s">
        <v>30996</v>
      </c>
      <c r="B8869" t="s">
        <v>30997</v>
      </c>
      <c r="D8869" t="s">
        <v>40</v>
      </c>
      <c r="E8869" t="s">
        <v>41</v>
      </c>
      <c r="J8869" t="s">
        <v>139</v>
      </c>
      <c r="K8869" t="s">
        <v>140</v>
      </c>
      <c r="L8869">
        <v>2</v>
      </c>
      <c r="M8869" t="s">
        <v>30994</v>
      </c>
      <c r="N8869" t="s">
        <v>3013</v>
      </c>
      <c r="O8869" t="s">
        <v>46</v>
      </c>
      <c r="P8869" t="s">
        <v>46</v>
      </c>
      <c r="Y8869" t="s">
        <v>30998</v>
      </c>
    </row>
    <row r="8870" spans="1:25">
      <c r="A8870" t="s">
        <v>30999</v>
      </c>
      <c r="B8870" t="s">
        <v>31000</v>
      </c>
      <c r="D8870" t="s">
        <v>40</v>
      </c>
      <c r="E8870" t="s">
        <v>41</v>
      </c>
      <c r="J8870" t="s">
        <v>1554</v>
      </c>
      <c r="K8870" t="s">
        <v>1555</v>
      </c>
      <c r="L8870">
        <v>2</v>
      </c>
      <c r="M8870" t="s">
        <v>31001</v>
      </c>
      <c r="N8870" t="s">
        <v>45</v>
      </c>
      <c r="O8870" t="s">
        <v>46</v>
      </c>
      <c r="P8870" t="s">
        <v>46</v>
      </c>
      <c r="Y8870" t="s">
        <v>31002</v>
      </c>
    </row>
    <row r="8871" spans="1:25">
      <c r="A8871" t="s">
        <v>31003</v>
      </c>
      <c r="B8871" t="s">
        <v>31004</v>
      </c>
      <c r="D8871" t="s">
        <v>40</v>
      </c>
      <c r="E8871" t="s">
        <v>41</v>
      </c>
      <c r="J8871" t="s">
        <v>139</v>
      </c>
      <c r="K8871" t="s">
        <v>140</v>
      </c>
      <c r="L8871">
        <v>3</v>
      </c>
      <c r="M8871" t="s">
        <v>31005</v>
      </c>
      <c r="N8871" t="s">
        <v>24245</v>
      </c>
      <c r="O8871" t="s">
        <v>46</v>
      </c>
      <c r="P8871" t="s">
        <v>46</v>
      </c>
      <c r="Y8871" t="s">
        <v>31006</v>
      </c>
    </row>
    <row r="8872" spans="1:25">
      <c r="A8872" t="s">
        <v>31007</v>
      </c>
      <c r="B8872" t="s">
        <v>31008</v>
      </c>
      <c r="D8872" t="s">
        <v>40</v>
      </c>
      <c r="E8872" t="s">
        <v>41</v>
      </c>
      <c r="J8872" t="s">
        <v>248</v>
      </c>
      <c r="K8872" t="s">
        <v>249</v>
      </c>
      <c r="L8872">
        <v>2</v>
      </c>
      <c r="M8872" t="s">
        <v>31009</v>
      </c>
      <c r="N8872" t="s">
        <v>178</v>
      </c>
      <c r="O8872" t="s">
        <v>46</v>
      </c>
      <c r="P8872" t="s">
        <v>46</v>
      </c>
      <c r="Y8872" t="s">
        <v>31010</v>
      </c>
    </row>
    <row r="8873" spans="1:25">
      <c r="A8873" t="s">
        <v>31011</v>
      </c>
      <c r="B8873" t="s">
        <v>31012</v>
      </c>
      <c r="D8873" t="s">
        <v>40</v>
      </c>
      <c r="E8873" t="s">
        <v>41</v>
      </c>
      <c r="J8873" t="s">
        <v>11802</v>
      </c>
      <c r="K8873" t="s">
        <v>11803</v>
      </c>
      <c r="L8873">
        <v>2</v>
      </c>
      <c r="M8873" t="s">
        <v>31013</v>
      </c>
      <c r="N8873" t="s">
        <v>257</v>
      </c>
      <c r="O8873" t="s">
        <v>46</v>
      </c>
      <c r="P8873" t="s">
        <v>46</v>
      </c>
      <c r="Y8873" t="s">
        <v>31014</v>
      </c>
    </row>
    <row r="8874" spans="1:25">
      <c r="A8874" t="s">
        <v>31015</v>
      </c>
      <c r="B8874" t="s">
        <v>31016</v>
      </c>
      <c r="D8874" t="s">
        <v>40</v>
      </c>
      <c r="E8874" t="s">
        <v>41</v>
      </c>
      <c r="J8874" t="s">
        <v>248</v>
      </c>
      <c r="K8874" t="s">
        <v>249</v>
      </c>
      <c r="L8874">
        <v>2</v>
      </c>
      <c r="M8874" t="s">
        <v>31017</v>
      </c>
      <c r="N8874" t="s">
        <v>315</v>
      </c>
      <c r="O8874" t="s">
        <v>46</v>
      </c>
      <c r="P8874" t="s">
        <v>46</v>
      </c>
      <c r="Y8874" t="s">
        <v>31018</v>
      </c>
    </row>
    <row r="8875" spans="1:25">
      <c r="A8875" t="s">
        <v>31019</v>
      </c>
      <c r="B8875" t="s">
        <v>31020</v>
      </c>
      <c r="D8875" t="s">
        <v>40</v>
      </c>
      <c r="E8875" t="s">
        <v>41</v>
      </c>
      <c r="J8875" t="s">
        <v>248</v>
      </c>
      <c r="K8875" t="s">
        <v>249</v>
      </c>
      <c r="L8875">
        <v>2</v>
      </c>
      <c r="M8875" t="s">
        <v>31021</v>
      </c>
      <c r="N8875" t="s">
        <v>24227</v>
      </c>
      <c r="O8875" t="s">
        <v>46</v>
      </c>
      <c r="P8875" t="s">
        <v>46</v>
      </c>
      <c r="Y8875" t="s">
        <v>31022</v>
      </c>
    </row>
    <row r="8876" spans="1:25">
      <c r="A8876" t="s">
        <v>31023</v>
      </c>
      <c r="B8876" t="s">
        <v>31024</v>
      </c>
      <c r="D8876" t="s">
        <v>40</v>
      </c>
      <c r="E8876" t="s">
        <v>41</v>
      </c>
      <c r="J8876" t="s">
        <v>248</v>
      </c>
      <c r="K8876" t="s">
        <v>249</v>
      </c>
      <c r="L8876">
        <v>2</v>
      </c>
      <c r="M8876" t="s">
        <v>31025</v>
      </c>
      <c r="N8876" t="s">
        <v>1446</v>
      </c>
      <c r="O8876" t="s">
        <v>46</v>
      </c>
      <c r="P8876" t="s">
        <v>46</v>
      </c>
      <c r="Y8876" t="s">
        <v>31026</v>
      </c>
    </row>
    <row r="8877" spans="1:25">
      <c r="A8877" t="s">
        <v>31027</v>
      </c>
      <c r="B8877" t="s">
        <v>31028</v>
      </c>
      <c r="D8877" t="s">
        <v>40</v>
      </c>
      <c r="E8877" t="s">
        <v>41</v>
      </c>
      <c r="J8877" t="s">
        <v>1142</v>
      </c>
      <c r="K8877" t="s">
        <v>1143</v>
      </c>
      <c r="L8877">
        <v>2</v>
      </c>
      <c r="M8877" t="s">
        <v>31029</v>
      </c>
      <c r="N8877" t="s">
        <v>3013</v>
      </c>
      <c r="O8877" t="s">
        <v>46</v>
      </c>
      <c r="P8877" t="s">
        <v>46</v>
      </c>
      <c r="Y8877" t="s">
        <v>31030</v>
      </c>
    </row>
    <row r="8878" spans="1:25">
      <c r="A8878" t="s">
        <v>31031</v>
      </c>
      <c r="B8878" t="s">
        <v>31032</v>
      </c>
      <c r="D8878" t="s">
        <v>40</v>
      </c>
      <c r="E8878" t="s">
        <v>41</v>
      </c>
      <c r="J8878" t="s">
        <v>1554</v>
      </c>
      <c r="K8878" t="s">
        <v>1555</v>
      </c>
      <c r="L8878">
        <v>2</v>
      </c>
      <c r="M8878" t="s">
        <v>31033</v>
      </c>
      <c r="N8878" t="s">
        <v>25508</v>
      </c>
      <c r="O8878" t="s">
        <v>46</v>
      </c>
      <c r="P8878" t="s">
        <v>46</v>
      </c>
      <c r="Y8878" t="s">
        <v>31034</v>
      </c>
    </row>
    <row r="8879" spans="1:25">
      <c r="A8879" t="s">
        <v>31035</v>
      </c>
      <c r="B8879" t="s">
        <v>31036</v>
      </c>
      <c r="D8879" t="s">
        <v>40</v>
      </c>
      <c r="E8879" t="s">
        <v>41</v>
      </c>
      <c r="J8879" t="s">
        <v>248</v>
      </c>
      <c r="K8879" t="s">
        <v>249</v>
      </c>
      <c r="L8879">
        <v>3</v>
      </c>
      <c r="M8879" t="s">
        <v>31037</v>
      </c>
      <c r="N8879" t="s">
        <v>509</v>
      </c>
      <c r="O8879" t="s">
        <v>46</v>
      </c>
      <c r="P8879" t="s">
        <v>46</v>
      </c>
      <c r="Y8879" t="s">
        <v>31038</v>
      </c>
    </row>
    <row r="8880" spans="1:25">
      <c r="A8880" t="s">
        <v>31039</v>
      </c>
      <c r="B8880" t="s">
        <v>31040</v>
      </c>
      <c r="D8880" t="s">
        <v>40</v>
      </c>
      <c r="E8880" t="s">
        <v>41</v>
      </c>
      <c r="J8880" t="s">
        <v>1554</v>
      </c>
      <c r="K8880" t="s">
        <v>1555</v>
      </c>
      <c r="L8880">
        <v>2</v>
      </c>
      <c r="M8880" t="s">
        <v>31041</v>
      </c>
      <c r="N8880" t="s">
        <v>1369</v>
      </c>
      <c r="O8880" t="s">
        <v>46</v>
      </c>
      <c r="P8880" t="s">
        <v>46</v>
      </c>
      <c r="Y8880" t="s">
        <v>31042</v>
      </c>
    </row>
    <row r="8881" spans="1:25">
      <c r="A8881" t="s">
        <v>31043</v>
      </c>
      <c r="B8881" t="s">
        <v>31044</v>
      </c>
      <c r="D8881" t="s">
        <v>40</v>
      </c>
      <c r="E8881" t="s">
        <v>41</v>
      </c>
      <c r="J8881" t="s">
        <v>248</v>
      </c>
      <c r="K8881" t="s">
        <v>249</v>
      </c>
      <c r="L8881">
        <v>2</v>
      </c>
      <c r="M8881" t="s">
        <v>31045</v>
      </c>
      <c r="N8881" t="s">
        <v>257</v>
      </c>
      <c r="O8881" t="s">
        <v>46</v>
      </c>
      <c r="P8881" t="s">
        <v>46</v>
      </c>
      <c r="Y8881" t="s">
        <v>31046</v>
      </c>
    </row>
    <row r="8882" spans="1:25">
      <c r="A8882" t="s">
        <v>31047</v>
      </c>
      <c r="B8882" t="s">
        <v>31048</v>
      </c>
      <c r="D8882" t="s">
        <v>40</v>
      </c>
      <c r="E8882" t="s">
        <v>41</v>
      </c>
      <c r="J8882" t="s">
        <v>911</v>
      </c>
      <c r="K8882" t="s">
        <v>912</v>
      </c>
      <c r="L8882">
        <v>2</v>
      </c>
      <c r="M8882" t="s">
        <v>31049</v>
      </c>
      <c r="N8882" t="s">
        <v>2621</v>
      </c>
      <c r="O8882" t="s">
        <v>46</v>
      </c>
      <c r="P8882" t="s">
        <v>46</v>
      </c>
      <c r="Y8882" t="s">
        <v>31050</v>
      </c>
    </row>
    <row r="8883" spans="1:25">
      <c r="A8883" t="s">
        <v>31051</v>
      </c>
      <c r="B8883" t="s">
        <v>31052</v>
      </c>
      <c r="D8883" t="s">
        <v>40</v>
      </c>
      <c r="E8883" t="s">
        <v>41</v>
      </c>
      <c r="J8883" t="s">
        <v>139</v>
      </c>
      <c r="K8883" t="s">
        <v>140</v>
      </c>
      <c r="L8883">
        <v>2</v>
      </c>
      <c r="M8883" t="s">
        <v>31053</v>
      </c>
      <c r="N8883" t="s">
        <v>142</v>
      </c>
      <c r="O8883" t="s">
        <v>46</v>
      </c>
      <c r="P8883" t="s">
        <v>46</v>
      </c>
      <c r="Y8883" t="s">
        <v>31054</v>
      </c>
    </row>
    <row r="8884" spans="1:25">
      <c r="A8884" t="s">
        <v>31055</v>
      </c>
      <c r="B8884" t="s">
        <v>31056</v>
      </c>
      <c r="D8884" t="s">
        <v>40</v>
      </c>
      <c r="E8884" t="s">
        <v>41</v>
      </c>
      <c r="J8884" t="s">
        <v>12440</v>
      </c>
      <c r="K8884" t="s">
        <v>12441</v>
      </c>
      <c r="L8884">
        <v>3</v>
      </c>
      <c r="M8884" t="s">
        <v>31057</v>
      </c>
      <c r="N8884" t="s">
        <v>64</v>
      </c>
      <c r="O8884" t="s">
        <v>46</v>
      </c>
      <c r="P8884" t="s">
        <v>46</v>
      </c>
      <c r="Y8884" t="s">
        <v>31058</v>
      </c>
    </row>
    <row r="8885" spans="1:25">
      <c r="A8885" t="s">
        <v>31059</v>
      </c>
      <c r="B8885" t="s">
        <v>31060</v>
      </c>
      <c r="D8885" t="s">
        <v>40</v>
      </c>
      <c r="E8885" t="s">
        <v>41</v>
      </c>
      <c r="J8885" t="s">
        <v>1142</v>
      </c>
      <c r="K8885" t="s">
        <v>1143</v>
      </c>
      <c r="L8885">
        <v>2</v>
      </c>
      <c r="M8885" t="s">
        <v>31061</v>
      </c>
      <c r="N8885" t="s">
        <v>509</v>
      </c>
      <c r="O8885" t="s">
        <v>46</v>
      </c>
      <c r="P8885" t="s">
        <v>46</v>
      </c>
      <c r="Y8885" t="s">
        <v>31062</v>
      </c>
    </row>
    <row r="8886" spans="1:25">
      <c r="A8886" t="s">
        <v>31063</v>
      </c>
      <c r="B8886" t="s">
        <v>31064</v>
      </c>
      <c r="D8886" t="s">
        <v>40</v>
      </c>
      <c r="E8886" t="s">
        <v>41</v>
      </c>
      <c r="J8886" t="s">
        <v>248</v>
      </c>
      <c r="K8886" t="s">
        <v>249</v>
      </c>
      <c r="L8886">
        <v>2</v>
      </c>
      <c r="M8886" t="s">
        <v>31065</v>
      </c>
      <c r="N8886" t="s">
        <v>1024</v>
      </c>
      <c r="O8886" t="s">
        <v>46</v>
      </c>
      <c r="P8886" t="s">
        <v>46</v>
      </c>
      <c r="Y8886" t="s">
        <v>31066</v>
      </c>
    </row>
    <row r="8887" spans="1:25">
      <c r="A8887" t="s">
        <v>31067</v>
      </c>
      <c r="B8887" t="s">
        <v>31068</v>
      </c>
      <c r="D8887" t="s">
        <v>40</v>
      </c>
      <c r="E8887" t="s">
        <v>41</v>
      </c>
      <c r="J8887" t="s">
        <v>1142</v>
      </c>
      <c r="K8887" t="s">
        <v>1143</v>
      </c>
      <c r="L8887">
        <v>2</v>
      </c>
      <c r="M8887" t="s">
        <v>31069</v>
      </c>
      <c r="N8887" t="s">
        <v>24227</v>
      </c>
      <c r="O8887" t="s">
        <v>46</v>
      </c>
      <c r="P8887" t="s">
        <v>46</v>
      </c>
      <c r="Y8887" t="s">
        <v>31070</v>
      </c>
    </row>
    <row r="8888" spans="1:25">
      <c r="A8888" t="s">
        <v>31071</v>
      </c>
      <c r="B8888" t="s">
        <v>31072</v>
      </c>
      <c r="D8888" t="s">
        <v>40</v>
      </c>
      <c r="E8888" t="s">
        <v>41</v>
      </c>
      <c r="J8888" t="s">
        <v>1142</v>
      </c>
      <c r="K8888" t="s">
        <v>1143</v>
      </c>
      <c r="L8888">
        <v>2</v>
      </c>
      <c r="M8888" t="s">
        <v>31073</v>
      </c>
      <c r="N8888" t="s">
        <v>257</v>
      </c>
      <c r="O8888" t="s">
        <v>46</v>
      </c>
      <c r="P8888" t="s">
        <v>46</v>
      </c>
      <c r="Y8888" t="s">
        <v>31074</v>
      </c>
    </row>
    <row r="8889" spans="1:25">
      <c r="A8889" t="s">
        <v>31075</v>
      </c>
      <c r="B8889" t="s">
        <v>31076</v>
      </c>
      <c r="D8889" t="s">
        <v>40</v>
      </c>
      <c r="E8889" t="s">
        <v>41</v>
      </c>
      <c r="J8889" t="s">
        <v>248</v>
      </c>
      <c r="K8889" t="s">
        <v>249</v>
      </c>
      <c r="L8889">
        <v>3</v>
      </c>
      <c r="M8889" t="s">
        <v>31077</v>
      </c>
      <c r="N8889" t="s">
        <v>142</v>
      </c>
      <c r="O8889" t="s">
        <v>46</v>
      </c>
      <c r="P8889" t="s">
        <v>46</v>
      </c>
      <c r="Y8889" t="s">
        <v>31078</v>
      </c>
    </row>
    <row r="8890" spans="1:25">
      <c r="A8890" t="s">
        <v>31079</v>
      </c>
      <c r="B8890" t="s">
        <v>31080</v>
      </c>
      <c r="D8890" t="s">
        <v>40</v>
      </c>
      <c r="E8890" t="s">
        <v>41</v>
      </c>
      <c r="J8890" t="s">
        <v>139</v>
      </c>
      <c r="K8890" t="s">
        <v>140</v>
      </c>
      <c r="L8890">
        <v>3</v>
      </c>
      <c r="M8890" t="s">
        <v>31081</v>
      </c>
      <c r="N8890" t="s">
        <v>436</v>
      </c>
      <c r="O8890" t="s">
        <v>46</v>
      </c>
      <c r="P8890" t="s">
        <v>46</v>
      </c>
      <c r="Y8890" t="s">
        <v>31082</v>
      </c>
    </row>
    <row r="8891" spans="1:25">
      <c r="A8891" t="s">
        <v>31083</v>
      </c>
      <c r="B8891" t="s">
        <v>31084</v>
      </c>
      <c r="D8891" t="s">
        <v>40</v>
      </c>
      <c r="E8891" t="s">
        <v>41</v>
      </c>
      <c r="J8891" t="s">
        <v>248</v>
      </c>
      <c r="K8891" t="s">
        <v>249</v>
      </c>
      <c r="L8891">
        <v>3</v>
      </c>
      <c r="M8891" t="s">
        <v>31085</v>
      </c>
      <c r="N8891" t="s">
        <v>142</v>
      </c>
      <c r="O8891" t="s">
        <v>46</v>
      </c>
      <c r="P8891" t="s">
        <v>46</v>
      </c>
      <c r="Y8891" t="s">
        <v>31086</v>
      </c>
    </row>
    <row r="8892" spans="1:25">
      <c r="A8892" t="s">
        <v>31087</v>
      </c>
      <c r="B8892" t="s">
        <v>31088</v>
      </c>
      <c r="D8892" t="s">
        <v>40</v>
      </c>
      <c r="E8892" t="s">
        <v>41</v>
      </c>
      <c r="J8892" t="s">
        <v>1554</v>
      </c>
      <c r="K8892" t="s">
        <v>1555</v>
      </c>
      <c r="L8892">
        <v>2</v>
      </c>
      <c r="M8892" t="s">
        <v>31085</v>
      </c>
      <c r="N8892" t="s">
        <v>25508</v>
      </c>
      <c r="O8892" t="s">
        <v>46</v>
      </c>
      <c r="P8892" t="s">
        <v>46</v>
      </c>
      <c r="Y8892" t="s">
        <v>31089</v>
      </c>
    </row>
    <row r="8893" spans="1:25">
      <c r="A8893" t="s">
        <v>31090</v>
      </c>
      <c r="B8893" t="s">
        <v>31091</v>
      </c>
      <c r="D8893" t="s">
        <v>40</v>
      </c>
      <c r="E8893" t="s">
        <v>41</v>
      </c>
      <c r="J8893" t="s">
        <v>911</v>
      </c>
      <c r="K8893" t="s">
        <v>912</v>
      </c>
      <c r="L8893">
        <v>2</v>
      </c>
      <c r="M8893" t="s">
        <v>31092</v>
      </c>
      <c r="N8893" t="s">
        <v>350</v>
      </c>
      <c r="O8893" t="s">
        <v>46</v>
      </c>
      <c r="P8893" t="s">
        <v>46</v>
      </c>
      <c r="Y8893" t="s">
        <v>31093</v>
      </c>
    </row>
    <row r="8894" spans="1:25">
      <c r="A8894" t="s">
        <v>31094</v>
      </c>
      <c r="B8894" t="s">
        <v>31095</v>
      </c>
      <c r="D8894" t="s">
        <v>40</v>
      </c>
      <c r="E8894" t="s">
        <v>41</v>
      </c>
      <c r="J8894" t="s">
        <v>12440</v>
      </c>
      <c r="K8894" t="s">
        <v>12441</v>
      </c>
      <c r="L8894">
        <v>3</v>
      </c>
      <c r="M8894" t="s">
        <v>31096</v>
      </c>
      <c r="N8894" t="s">
        <v>64</v>
      </c>
      <c r="O8894" t="s">
        <v>46</v>
      </c>
      <c r="P8894" t="s">
        <v>46</v>
      </c>
      <c r="Y8894" t="s">
        <v>31097</v>
      </c>
    </row>
    <row r="8895" spans="1:25">
      <c r="A8895" t="s">
        <v>31098</v>
      </c>
      <c r="B8895" t="s">
        <v>31099</v>
      </c>
      <c r="D8895" t="s">
        <v>40</v>
      </c>
      <c r="E8895" t="s">
        <v>41</v>
      </c>
      <c r="J8895" t="s">
        <v>248</v>
      </c>
      <c r="K8895" t="s">
        <v>249</v>
      </c>
      <c r="L8895">
        <v>2</v>
      </c>
      <c r="M8895" t="s">
        <v>31100</v>
      </c>
      <c r="N8895" t="s">
        <v>1380</v>
      </c>
      <c r="O8895" t="s">
        <v>46</v>
      </c>
      <c r="P8895" t="s">
        <v>46</v>
      </c>
      <c r="Y8895" t="s">
        <v>31101</v>
      </c>
    </row>
    <row r="8896" spans="1:25">
      <c r="A8896" t="s">
        <v>31102</v>
      </c>
      <c r="B8896" t="s">
        <v>31103</v>
      </c>
      <c r="D8896" t="s">
        <v>40</v>
      </c>
      <c r="E8896" t="s">
        <v>41</v>
      </c>
      <c r="J8896" t="s">
        <v>248</v>
      </c>
      <c r="K8896" t="s">
        <v>249</v>
      </c>
      <c r="L8896">
        <v>2</v>
      </c>
      <c r="M8896" t="s">
        <v>31104</v>
      </c>
      <c r="N8896" t="s">
        <v>1276</v>
      </c>
      <c r="O8896" t="s">
        <v>46</v>
      </c>
      <c r="P8896" t="s">
        <v>46</v>
      </c>
      <c r="Y8896" t="s">
        <v>31105</v>
      </c>
    </row>
    <row r="8897" spans="1:25">
      <c r="A8897" t="s">
        <v>31106</v>
      </c>
      <c r="B8897" t="s">
        <v>31107</v>
      </c>
      <c r="D8897" t="s">
        <v>40</v>
      </c>
      <c r="E8897" t="s">
        <v>41</v>
      </c>
      <c r="J8897" t="s">
        <v>1142</v>
      </c>
      <c r="K8897" t="s">
        <v>1143</v>
      </c>
      <c r="L8897">
        <v>2</v>
      </c>
      <c r="M8897" t="s">
        <v>31108</v>
      </c>
      <c r="N8897" t="s">
        <v>1550</v>
      </c>
      <c r="O8897" t="s">
        <v>46</v>
      </c>
      <c r="P8897" t="s">
        <v>46</v>
      </c>
      <c r="Y8897" t="s">
        <v>31109</v>
      </c>
    </row>
    <row r="8898" spans="1:25">
      <c r="A8898" t="s">
        <v>31110</v>
      </c>
      <c r="B8898" t="s">
        <v>31111</v>
      </c>
      <c r="D8898" t="s">
        <v>40</v>
      </c>
      <c r="E8898" t="s">
        <v>41</v>
      </c>
      <c r="J8898" t="s">
        <v>248</v>
      </c>
      <c r="K8898" t="s">
        <v>249</v>
      </c>
      <c r="L8898">
        <v>2</v>
      </c>
      <c r="M8898" t="s">
        <v>31112</v>
      </c>
      <c r="N8898" t="s">
        <v>58</v>
      </c>
      <c r="O8898" t="s">
        <v>46</v>
      </c>
      <c r="P8898" t="s">
        <v>46</v>
      </c>
      <c r="Y8898" t="s">
        <v>31113</v>
      </c>
    </row>
    <row r="8899" spans="1:25">
      <c r="A8899" t="s">
        <v>31114</v>
      </c>
      <c r="B8899" t="s">
        <v>31115</v>
      </c>
      <c r="D8899" t="s">
        <v>40</v>
      </c>
      <c r="E8899" t="s">
        <v>41</v>
      </c>
      <c r="J8899" t="s">
        <v>139</v>
      </c>
      <c r="K8899" t="s">
        <v>140</v>
      </c>
      <c r="L8899">
        <v>2</v>
      </c>
      <c r="M8899" t="s">
        <v>31116</v>
      </c>
      <c r="N8899" t="s">
        <v>1397</v>
      </c>
      <c r="O8899" t="s">
        <v>46</v>
      </c>
      <c r="P8899" t="s">
        <v>46</v>
      </c>
      <c r="Y8899" t="s">
        <v>31117</v>
      </c>
    </row>
    <row r="8900" spans="1:25">
      <c r="A8900" t="s">
        <v>31118</v>
      </c>
      <c r="B8900" t="s">
        <v>31119</v>
      </c>
      <c r="D8900" t="s">
        <v>40</v>
      </c>
      <c r="E8900" t="s">
        <v>41</v>
      </c>
      <c r="J8900" t="s">
        <v>139</v>
      </c>
      <c r="K8900" t="s">
        <v>140</v>
      </c>
      <c r="L8900">
        <v>2</v>
      </c>
      <c r="M8900" t="s">
        <v>31120</v>
      </c>
      <c r="N8900" t="s">
        <v>3013</v>
      </c>
      <c r="O8900" t="s">
        <v>46</v>
      </c>
      <c r="P8900" t="s">
        <v>46</v>
      </c>
      <c r="Y8900" t="s">
        <v>31121</v>
      </c>
    </row>
    <row r="8901" spans="1:25">
      <c r="A8901" t="s">
        <v>31122</v>
      </c>
      <c r="B8901" t="s">
        <v>31123</v>
      </c>
      <c r="D8901" t="s">
        <v>40</v>
      </c>
      <c r="E8901" t="s">
        <v>41</v>
      </c>
      <c r="J8901" t="s">
        <v>248</v>
      </c>
      <c r="K8901" t="s">
        <v>249</v>
      </c>
      <c r="L8901">
        <v>2</v>
      </c>
      <c r="M8901" t="s">
        <v>31124</v>
      </c>
      <c r="N8901" t="s">
        <v>1369</v>
      </c>
      <c r="O8901" t="s">
        <v>46</v>
      </c>
      <c r="P8901" t="s">
        <v>46</v>
      </c>
      <c r="Y8901" t="s">
        <v>31125</v>
      </c>
    </row>
    <row r="8902" spans="1:25">
      <c r="A8902" t="s">
        <v>31126</v>
      </c>
      <c r="B8902" t="s">
        <v>31127</v>
      </c>
      <c r="D8902" t="s">
        <v>40</v>
      </c>
      <c r="E8902" t="s">
        <v>41</v>
      </c>
      <c r="J8902" t="s">
        <v>248</v>
      </c>
      <c r="K8902" t="s">
        <v>249</v>
      </c>
      <c r="L8902">
        <v>2</v>
      </c>
      <c r="M8902" t="s">
        <v>31128</v>
      </c>
      <c r="N8902" t="s">
        <v>58</v>
      </c>
      <c r="O8902" t="s">
        <v>46</v>
      </c>
      <c r="P8902" t="s">
        <v>46</v>
      </c>
      <c r="Y8902" t="s">
        <v>31129</v>
      </c>
    </row>
    <row r="8903" spans="1:25">
      <c r="A8903" t="s">
        <v>31130</v>
      </c>
      <c r="B8903" t="s">
        <v>31131</v>
      </c>
      <c r="D8903" t="s">
        <v>40</v>
      </c>
      <c r="E8903" t="s">
        <v>41</v>
      </c>
      <c r="J8903" t="s">
        <v>1554</v>
      </c>
      <c r="K8903" t="s">
        <v>1555</v>
      </c>
      <c r="L8903">
        <v>2</v>
      </c>
      <c r="M8903" t="s">
        <v>31128</v>
      </c>
      <c r="N8903" t="s">
        <v>1380</v>
      </c>
      <c r="O8903" t="s">
        <v>46</v>
      </c>
      <c r="P8903" t="s">
        <v>46</v>
      </c>
      <c r="Y8903" t="s">
        <v>31132</v>
      </c>
    </row>
    <row r="8904" spans="1:25">
      <c r="A8904" t="s">
        <v>31133</v>
      </c>
      <c r="B8904" t="s">
        <v>31134</v>
      </c>
      <c r="D8904" t="s">
        <v>40</v>
      </c>
      <c r="E8904" t="s">
        <v>41</v>
      </c>
      <c r="J8904" t="s">
        <v>1554</v>
      </c>
      <c r="K8904" t="s">
        <v>1555</v>
      </c>
      <c r="L8904">
        <v>2</v>
      </c>
      <c r="M8904" t="s">
        <v>31135</v>
      </c>
      <c r="N8904" t="s">
        <v>950</v>
      </c>
      <c r="O8904" t="s">
        <v>46</v>
      </c>
      <c r="P8904" t="s">
        <v>46</v>
      </c>
      <c r="Y8904" t="s">
        <v>31136</v>
      </c>
    </row>
    <row r="8905" spans="1:25">
      <c r="A8905" t="s">
        <v>31137</v>
      </c>
      <c r="B8905" t="s">
        <v>31138</v>
      </c>
      <c r="D8905" t="s">
        <v>40</v>
      </c>
      <c r="E8905" t="s">
        <v>41</v>
      </c>
      <c r="J8905" t="s">
        <v>23219</v>
      </c>
      <c r="K8905" t="s">
        <v>23220</v>
      </c>
      <c r="L8905">
        <v>2</v>
      </c>
      <c r="M8905" t="s">
        <v>31139</v>
      </c>
      <c r="N8905" t="s">
        <v>1229</v>
      </c>
      <c r="O8905" t="s">
        <v>46</v>
      </c>
      <c r="P8905" t="s">
        <v>46</v>
      </c>
      <c r="Y8905" t="s">
        <v>31140</v>
      </c>
    </row>
    <row r="8906" spans="1:25">
      <c r="A8906" t="s">
        <v>31141</v>
      </c>
      <c r="B8906" t="s">
        <v>31142</v>
      </c>
      <c r="D8906" t="s">
        <v>40</v>
      </c>
      <c r="E8906" t="s">
        <v>41</v>
      </c>
      <c r="J8906" t="s">
        <v>248</v>
      </c>
      <c r="K8906" t="s">
        <v>249</v>
      </c>
      <c r="L8906">
        <v>2</v>
      </c>
      <c r="M8906" t="s">
        <v>31143</v>
      </c>
      <c r="N8906" t="s">
        <v>1446</v>
      </c>
      <c r="O8906" t="s">
        <v>46</v>
      </c>
      <c r="P8906" t="s">
        <v>46</v>
      </c>
      <c r="Y8906" t="s">
        <v>31144</v>
      </c>
    </row>
    <row r="8907" spans="1:25">
      <c r="A8907" t="s">
        <v>31145</v>
      </c>
      <c r="B8907" t="s">
        <v>31146</v>
      </c>
      <c r="D8907" t="s">
        <v>40</v>
      </c>
      <c r="E8907" t="s">
        <v>41</v>
      </c>
      <c r="J8907" t="s">
        <v>248</v>
      </c>
      <c r="K8907" t="s">
        <v>249</v>
      </c>
      <c r="L8907">
        <v>2</v>
      </c>
      <c r="M8907" t="s">
        <v>31147</v>
      </c>
      <c r="N8907" t="s">
        <v>257</v>
      </c>
      <c r="O8907" t="s">
        <v>46</v>
      </c>
      <c r="P8907" t="s">
        <v>46</v>
      </c>
      <c r="Y8907" t="s">
        <v>31148</v>
      </c>
    </row>
    <row r="8908" spans="1:25">
      <c r="A8908" t="s">
        <v>31149</v>
      </c>
      <c r="B8908" t="s">
        <v>31150</v>
      </c>
      <c r="D8908" t="s">
        <v>40</v>
      </c>
      <c r="E8908" t="s">
        <v>41</v>
      </c>
      <c r="J8908" t="s">
        <v>139</v>
      </c>
      <c r="K8908" t="s">
        <v>140</v>
      </c>
      <c r="L8908">
        <v>2</v>
      </c>
      <c r="M8908" t="s">
        <v>31151</v>
      </c>
      <c r="N8908" t="s">
        <v>25508</v>
      </c>
      <c r="O8908" t="s">
        <v>46</v>
      </c>
      <c r="P8908" t="s">
        <v>46</v>
      </c>
      <c r="Y8908" t="s">
        <v>31152</v>
      </c>
    </row>
    <row r="8909" spans="1:25">
      <c r="A8909" t="s">
        <v>31153</v>
      </c>
      <c r="B8909" t="s">
        <v>31154</v>
      </c>
      <c r="D8909" t="s">
        <v>40</v>
      </c>
      <c r="E8909" t="s">
        <v>41</v>
      </c>
      <c r="J8909" t="s">
        <v>248</v>
      </c>
      <c r="K8909" t="s">
        <v>249</v>
      </c>
      <c r="L8909">
        <v>2</v>
      </c>
      <c r="M8909" t="s">
        <v>31155</v>
      </c>
      <c r="N8909" t="s">
        <v>23374</v>
      </c>
      <c r="O8909" t="s">
        <v>46</v>
      </c>
      <c r="P8909" t="s">
        <v>46</v>
      </c>
      <c r="Y8909" t="s">
        <v>31156</v>
      </c>
    </row>
    <row r="8910" spans="1:25">
      <c r="A8910" t="s">
        <v>31157</v>
      </c>
      <c r="B8910" t="s">
        <v>31158</v>
      </c>
      <c r="D8910" t="s">
        <v>40</v>
      </c>
      <c r="E8910" t="s">
        <v>41</v>
      </c>
      <c r="J8910" t="s">
        <v>1142</v>
      </c>
      <c r="K8910" t="s">
        <v>1143</v>
      </c>
      <c r="L8910">
        <v>2</v>
      </c>
      <c r="M8910" t="s">
        <v>31159</v>
      </c>
      <c r="N8910" t="s">
        <v>178</v>
      </c>
      <c r="O8910" t="s">
        <v>46</v>
      </c>
      <c r="P8910" t="s">
        <v>46</v>
      </c>
      <c r="Y8910" t="s">
        <v>31160</v>
      </c>
    </row>
    <row r="8911" spans="1:25">
      <c r="A8911" t="s">
        <v>31161</v>
      </c>
      <c r="B8911" t="s">
        <v>31162</v>
      </c>
      <c r="D8911" t="s">
        <v>40</v>
      </c>
      <c r="E8911" t="s">
        <v>41</v>
      </c>
      <c r="J8911" t="s">
        <v>11802</v>
      </c>
      <c r="K8911" t="s">
        <v>11803</v>
      </c>
      <c r="L8911">
        <v>2</v>
      </c>
      <c r="M8911" t="s">
        <v>31163</v>
      </c>
      <c r="N8911" t="s">
        <v>5995</v>
      </c>
      <c r="O8911" t="s">
        <v>46</v>
      </c>
      <c r="P8911" t="s">
        <v>46</v>
      </c>
      <c r="Y8911" t="s">
        <v>31164</v>
      </c>
    </row>
    <row r="8912" spans="1:25">
      <c r="A8912" t="s">
        <v>31165</v>
      </c>
      <c r="B8912" t="s">
        <v>31166</v>
      </c>
      <c r="D8912" t="s">
        <v>40</v>
      </c>
      <c r="E8912" t="s">
        <v>41</v>
      </c>
      <c r="J8912" t="s">
        <v>248</v>
      </c>
      <c r="K8912" t="s">
        <v>249</v>
      </c>
      <c r="L8912">
        <v>2</v>
      </c>
      <c r="M8912" t="s">
        <v>31167</v>
      </c>
      <c r="N8912" t="s">
        <v>257</v>
      </c>
      <c r="O8912" t="s">
        <v>46</v>
      </c>
      <c r="P8912" t="s">
        <v>46</v>
      </c>
      <c r="Y8912" t="s">
        <v>31168</v>
      </c>
    </row>
    <row r="8913" spans="1:25">
      <c r="A8913" t="s">
        <v>31169</v>
      </c>
      <c r="B8913" t="s">
        <v>31170</v>
      </c>
      <c r="D8913" t="s">
        <v>40</v>
      </c>
      <c r="E8913" t="s">
        <v>41</v>
      </c>
      <c r="J8913" t="s">
        <v>248</v>
      </c>
      <c r="K8913" t="s">
        <v>249</v>
      </c>
      <c r="L8913">
        <v>2</v>
      </c>
      <c r="M8913" t="s">
        <v>31167</v>
      </c>
      <c r="N8913" t="s">
        <v>924</v>
      </c>
      <c r="O8913" t="s">
        <v>46</v>
      </c>
      <c r="P8913" t="s">
        <v>46</v>
      </c>
      <c r="Y8913" t="s">
        <v>31171</v>
      </c>
    </row>
    <row r="8914" spans="1:25">
      <c r="A8914" t="s">
        <v>31172</v>
      </c>
      <c r="B8914" t="s">
        <v>31173</v>
      </c>
      <c r="D8914" t="s">
        <v>40</v>
      </c>
      <c r="E8914" t="s">
        <v>41</v>
      </c>
      <c r="J8914" t="s">
        <v>1554</v>
      </c>
      <c r="K8914" t="s">
        <v>1555</v>
      </c>
      <c r="L8914">
        <v>2</v>
      </c>
      <c r="M8914" t="s">
        <v>31174</v>
      </c>
      <c r="N8914" t="s">
        <v>509</v>
      </c>
      <c r="O8914" t="s">
        <v>46</v>
      </c>
      <c r="P8914" t="s">
        <v>46</v>
      </c>
      <c r="Y8914" t="s">
        <v>31175</v>
      </c>
    </row>
    <row r="8915" spans="1:25">
      <c r="A8915" t="s">
        <v>31176</v>
      </c>
      <c r="B8915" t="s">
        <v>31177</v>
      </c>
      <c r="D8915" t="s">
        <v>40</v>
      </c>
      <c r="E8915" t="s">
        <v>41</v>
      </c>
      <c r="J8915" t="s">
        <v>248</v>
      </c>
      <c r="K8915" t="s">
        <v>249</v>
      </c>
      <c r="L8915">
        <v>2</v>
      </c>
      <c r="M8915" t="s">
        <v>31178</v>
      </c>
      <c r="N8915" t="s">
        <v>24245</v>
      </c>
      <c r="O8915" t="s">
        <v>46</v>
      </c>
      <c r="P8915" t="s">
        <v>46</v>
      </c>
      <c r="Y8915" t="s">
        <v>31179</v>
      </c>
    </row>
    <row r="8916" spans="1:25">
      <c r="A8916" t="s">
        <v>31180</v>
      </c>
      <c r="B8916" t="s">
        <v>31181</v>
      </c>
      <c r="D8916" t="s">
        <v>40</v>
      </c>
      <c r="E8916" t="s">
        <v>41</v>
      </c>
      <c r="J8916" t="s">
        <v>6255</v>
      </c>
      <c r="K8916" t="s">
        <v>6256</v>
      </c>
      <c r="L8916">
        <v>2</v>
      </c>
      <c r="M8916" t="s">
        <v>31182</v>
      </c>
      <c r="N8916" t="s">
        <v>1276</v>
      </c>
      <c r="O8916" t="s">
        <v>46</v>
      </c>
      <c r="P8916" t="s">
        <v>46</v>
      </c>
      <c r="Y8916" t="s">
        <v>31183</v>
      </c>
    </row>
    <row r="8917" spans="1:25">
      <c r="A8917" t="s">
        <v>31184</v>
      </c>
      <c r="B8917" t="s">
        <v>31185</v>
      </c>
      <c r="D8917" t="s">
        <v>40</v>
      </c>
      <c r="E8917" t="s">
        <v>41</v>
      </c>
      <c r="J8917" t="s">
        <v>6255</v>
      </c>
      <c r="K8917" t="s">
        <v>6256</v>
      </c>
      <c r="L8917">
        <v>2</v>
      </c>
      <c r="M8917" t="s">
        <v>31182</v>
      </c>
      <c r="N8917" t="s">
        <v>315</v>
      </c>
      <c r="O8917" t="s">
        <v>46</v>
      </c>
      <c r="P8917" t="s">
        <v>46</v>
      </c>
      <c r="Y8917" t="s">
        <v>31186</v>
      </c>
    </row>
    <row r="8918" spans="1:25">
      <c r="A8918" t="s">
        <v>31187</v>
      </c>
      <c r="B8918" t="s">
        <v>31188</v>
      </c>
      <c r="D8918" t="s">
        <v>40</v>
      </c>
      <c r="E8918" t="s">
        <v>41</v>
      </c>
      <c r="J8918" t="s">
        <v>6255</v>
      </c>
      <c r="K8918" t="s">
        <v>6256</v>
      </c>
      <c r="L8918">
        <v>2</v>
      </c>
      <c r="M8918" t="s">
        <v>31182</v>
      </c>
      <c r="N8918" t="s">
        <v>142</v>
      </c>
      <c r="O8918" t="s">
        <v>46</v>
      </c>
      <c r="P8918" t="s">
        <v>46</v>
      </c>
      <c r="Y8918" t="s">
        <v>31189</v>
      </c>
    </row>
    <row r="8919" spans="1:25">
      <c r="A8919" t="s">
        <v>31190</v>
      </c>
      <c r="B8919" t="s">
        <v>31191</v>
      </c>
      <c r="D8919" t="s">
        <v>40</v>
      </c>
      <c r="E8919" t="s">
        <v>41</v>
      </c>
      <c r="J8919" t="s">
        <v>248</v>
      </c>
      <c r="K8919" t="s">
        <v>249</v>
      </c>
      <c r="L8919">
        <v>2</v>
      </c>
      <c r="M8919" t="s">
        <v>31192</v>
      </c>
      <c r="N8919" t="s">
        <v>142</v>
      </c>
      <c r="O8919" t="s">
        <v>46</v>
      </c>
      <c r="P8919" t="s">
        <v>46</v>
      </c>
      <c r="Y8919" t="s">
        <v>31193</v>
      </c>
    </row>
    <row r="8920" spans="1:25">
      <c r="A8920" t="s">
        <v>31194</v>
      </c>
      <c r="B8920" t="s">
        <v>31195</v>
      </c>
      <c r="D8920" t="s">
        <v>40</v>
      </c>
      <c r="E8920" t="s">
        <v>41</v>
      </c>
      <c r="J8920" t="s">
        <v>248</v>
      </c>
      <c r="K8920" t="s">
        <v>249</v>
      </c>
      <c r="L8920">
        <v>2</v>
      </c>
      <c r="M8920" t="s">
        <v>31196</v>
      </c>
      <c r="N8920" t="s">
        <v>1024</v>
      </c>
      <c r="O8920" t="s">
        <v>46</v>
      </c>
      <c r="P8920" t="s">
        <v>46</v>
      </c>
      <c r="Y8920" t="s">
        <v>31197</v>
      </c>
    </row>
    <row r="8921" spans="1:25">
      <c r="A8921" t="s">
        <v>31198</v>
      </c>
      <c r="B8921" t="s">
        <v>31199</v>
      </c>
      <c r="D8921" t="s">
        <v>40</v>
      </c>
      <c r="E8921" t="s">
        <v>41</v>
      </c>
      <c r="J8921" t="s">
        <v>12440</v>
      </c>
      <c r="K8921" t="s">
        <v>12441</v>
      </c>
      <c r="L8921">
        <v>3</v>
      </c>
      <c r="M8921" t="s">
        <v>31200</v>
      </c>
      <c r="N8921" t="s">
        <v>64</v>
      </c>
      <c r="O8921" t="s">
        <v>46</v>
      </c>
      <c r="P8921" t="s">
        <v>46</v>
      </c>
      <c r="Y8921" t="s">
        <v>31201</v>
      </c>
    </row>
    <row r="8922" spans="1:25">
      <c r="A8922" t="s">
        <v>31202</v>
      </c>
      <c r="B8922" t="s">
        <v>31203</v>
      </c>
      <c r="D8922" t="s">
        <v>40</v>
      </c>
      <c r="E8922" t="s">
        <v>41</v>
      </c>
      <c r="J8922" t="s">
        <v>248</v>
      </c>
      <c r="K8922" t="s">
        <v>249</v>
      </c>
      <c r="L8922">
        <v>2</v>
      </c>
      <c r="M8922" t="s">
        <v>31204</v>
      </c>
      <c r="N8922" t="s">
        <v>756</v>
      </c>
      <c r="O8922" t="s">
        <v>46</v>
      </c>
      <c r="P8922" t="s">
        <v>46</v>
      </c>
      <c r="Y8922" t="s">
        <v>31205</v>
      </c>
    </row>
    <row r="8923" spans="1:25">
      <c r="A8923" t="s">
        <v>31206</v>
      </c>
      <c r="B8923" t="s">
        <v>31207</v>
      </c>
      <c r="D8923" t="s">
        <v>40</v>
      </c>
      <c r="E8923" t="s">
        <v>41</v>
      </c>
      <c r="J8923" t="s">
        <v>911</v>
      </c>
      <c r="K8923" t="s">
        <v>912</v>
      </c>
      <c r="L8923">
        <v>2</v>
      </c>
      <c r="M8923" t="s">
        <v>31208</v>
      </c>
      <c r="N8923" t="s">
        <v>2621</v>
      </c>
      <c r="O8923" t="s">
        <v>46</v>
      </c>
      <c r="P8923" t="s">
        <v>46</v>
      </c>
      <c r="Y8923" t="s">
        <v>31209</v>
      </c>
    </row>
    <row r="8924" spans="1:25">
      <c r="A8924" t="s">
        <v>31210</v>
      </c>
      <c r="B8924" t="s">
        <v>31211</v>
      </c>
      <c r="D8924" t="s">
        <v>40</v>
      </c>
      <c r="E8924" t="s">
        <v>41</v>
      </c>
      <c r="J8924" t="s">
        <v>1554</v>
      </c>
      <c r="K8924" t="s">
        <v>1555</v>
      </c>
      <c r="L8924">
        <v>2</v>
      </c>
      <c r="M8924" t="s">
        <v>31208</v>
      </c>
      <c r="N8924" t="s">
        <v>5995</v>
      </c>
      <c r="O8924" t="s">
        <v>46</v>
      </c>
      <c r="P8924" t="s">
        <v>46</v>
      </c>
      <c r="Y8924" t="s">
        <v>31212</v>
      </c>
    </row>
    <row r="8925" spans="1:25">
      <c r="A8925" t="s">
        <v>31213</v>
      </c>
      <c r="B8925" t="s">
        <v>31214</v>
      </c>
      <c r="D8925" t="s">
        <v>40</v>
      </c>
      <c r="E8925" t="s">
        <v>41</v>
      </c>
      <c r="J8925" t="s">
        <v>1554</v>
      </c>
      <c r="K8925" t="s">
        <v>1555</v>
      </c>
      <c r="L8925">
        <v>2</v>
      </c>
      <c r="M8925" t="s">
        <v>31215</v>
      </c>
      <c r="N8925" t="s">
        <v>58</v>
      </c>
      <c r="O8925" t="s">
        <v>46</v>
      </c>
      <c r="P8925" t="s">
        <v>46</v>
      </c>
      <c r="Y8925" t="s">
        <v>31216</v>
      </c>
    </row>
    <row r="8926" spans="1:25">
      <c r="A8926" t="s">
        <v>31217</v>
      </c>
      <c r="B8926" t="s">
        <v>31218</v>
      </c>
      <c r="D8926" t="s">
        <v>40</v>
      </c>
      <c r="E8926" t="s">
        <v>41</v>
      </c>
      <c r="J8926" t="s">
        <v>139</v>
      </c>
      <c r="K8926" t="s">
        <v>140</v>
      </c>
      <c r="L8926">
        <v>2</v>
      </c>
      <c r="M8926" t="s">
        <v>31219</v>
      </c>
      <c r="N8926" t="s">
        <v>257</v>
      </c>
      <c r="O8926" t="s">
        <v>46</v>
      </c>
      <c r="P8926" t="s">
        <v>46</v>
      </c>
      <c r="Y8926" t="s">
        <v>31220</v>
      </c>
    </row>
    <row r="8927" spans="1:25">
      <c r="A8927" t="s">
        <v>31221</v>
      </c>
      <c r="B8927" t="s">
        <v>31222</v>
      </c>
      <c r="D8927" t="s">
        <v>40</v>
      </c>
      <c r="E8927" t="s">
        <v>41</v>
      </c>
      <c r="J8927" t="s">
        <v>1554</v>
      </c>
      <c r="K8927" t="s">
        <v>1555</v>
      </c>
      <c r="L8927">
        <v>2</v>
      </c>
      <c r="M8927" t="s">
        <v>31223</v>
      </c>
      <c r="N8927" t="s">
        <v>23361</v>
      </c>
      <c r="O8927" t="s">
        <v>46</v>
      </c>
      <c r="P8927" t="s">
        <v>46</v>
      </c>
      <c r="Y8927" t="s">
        <v>31224</v>
      </c>
    </row>
    <row r="8928" spans="1:25">
      <c r="A8928" t="s">
        <v>31225</v>
      </c>
      <c r="B8928" t="s">
        <v>31226</v>
      </c>
      <c r="D8928" t="s">
        <v>40</v>
      </c>
      <c r="E8928" t="s">
        <v>41</v>
      </c>
      <c r="J8928" t="s">
        <v>6179</v>
      </c>
      <c r="K8928" t="s">
        <v>6180</v>
      </c>
      <c r="L8928">
        <v>2</v>
      </c>
      <c r="M8928" t="s">
        <v>31227</v>
      </c>
      <c r="N8928" t="s">
        <v>315</v>
      </c>
      <c r="O8928" t="s">
        <v>46</v>
      </c>
      <c r="P8928" t="s">
        <v>46</v>
      </c>
      <c r="Y8928" t="s">
        <v>31228</v>
      </c>
    </row>
    <row r="8929" spans="1:25">
      <c r="A8929" t="s">
        <v>31229</v>
      </c>
      <c r="B8929" t="s">
        <v>31230</v>
      </c>
      <c r="D8929" t="s">
        <v>40</v>
      </c>
      <c r="E8929" t="s">
        <v>41</v>
      </c>
      <c r="J8929" t="s">
        <v>248</v>
      </c>
      <c r="K8929" t="s">
        <v>249</v>
      </c>
      <c r="L8929">
        <v>2</v>
      </c>
      <c r="M8929" t="s">
        <v>31227</v>
      </c>
      <c r="N8929" t="s">
        <v>1397</v>
      </c>
      <c r="O8929" t="s">
        <v>46</v>
      </c>
      <c r="P8929" t="s">
        <v>46</v>
      </c>
      <c r="Y8929" t="s">
        <v>31231</v>
      </c>
    </row>
    <row r="8930" spans="1:25">
      <c r="A8930" t="s">
        <v>31232</v>
      </c>
      <c r="B8930" t="s">
        <v>31233</v>
      </c>
      <c r="D8930" t="s">
        <v>40</v>
      </c>
      <c r="E8930" t="s">
        <v>41</v>
      </c>
      <c r="J8930" t="s">
        <v>248</v>
      </c>
      <c r="K8930" t="s">
        <v>249</v>
      </c>
      <c r="L8930">
        <v>3</v>
      </c>
      <c r="M8930" t="s">
        <v>31234</v>
      </c>
      <c r="N8930" t="s">
        <v>296</v>
      </c>
      <c r="O8930" t="s">
        <v>46</v>
      </c>
      <c r="P8930" t="s">
        <v>46</v>
      </c>
      <c r="Y8930" t="s">
        <v>31235</v>
      </c>
    </row>
    <row r="8931" spans="1:25">
      <c r="A8931" t="s">
        <v>31236</v>
      </c>
      <c r="B8931" t="s">
        <v>31237</v>
      </c>
      <c r="D8931" t="s">
        <v>40</v>
      </c>
      <c r="E8931" t="s">
        <v>41</v>
      </c>
      <c r="J8931" t="s">
        <v>139</v>
      </c>
      <c r="K8931" t="s">
        <v>140</v>
      </c>
      <c r="L8931">
        <v>4</v>
      </c>
      <c r="M8931" t="s">
        <v>31238</v>
      </c>
      <c r="N8931" t="s">
        <v>23361</v>
      </c>
      <c r="O8931" t="s">
        <v>46</v>
      </c>
      <c r="P8931" t="s">
        <v>46</v>
      </c>
      <c r="Y8931" t="s">
        <v>31239</v>
      </c>
    </row>
    <row r="8932" spans="1:25">
      <c r="A8932" t="s">
        <v>31240</v>
      </c>
      <c r="B8932" t="s">
        <v>31241</v>
      </c>
      <c r="D8932" t="s">
        <v>40</v>
      </c>
      <c r="E8932" t="s">
        <v>41</v>
      </c>
      <c r="J8932" t="s">
        <v>248</v>
      </c>
      <c r="K8932" t="s">
        <v>249</v>
      </c>
      <c r="L8932">
        <v>2</v>
      </c>
      <c r="M8932" t="s">
        <v>31242</v>
      </c>
      <c r="N8932" t="s">
        <v>1397</v>
      </c>
      <c r="O8932" t="s">
        <v>46</v>
      </c>
      <c r="P8932" t="s">
        <v>46</v>
      </c>
      <c r="Y8932" t="s">
        <v>31243</v>
      </c>
    </row>
    <row r="8933" spans="1:25">
      <c r="A8933" t="s">
        <v>31244</v>
      </c>
      <c r="B8933" t="s">
        <v>31245</v>
      </c>
      <c r="D8933" t="s">
        <v>40</v>
      </c>
      <c r="E8933" t="s">
        <v>41</v>
      </c>
      <c r="J8933" t="s">
        <v>12440</v>
      </c>
      <c r="K8933" t="s">
        <v>12441</v>
      </c>
      <c r="L8933">
        <v>3</v>
      </c>
      <c r="M8933" t="s">
        <v>31246</v>
      </c>
      <c r="N8933" t="s">
        <v>23374</v>
      </c>
      <c r="O8933" t="s">
        <v>46</v>
      </c>
      <c r="P8933" t="s">
        <v>46</v>
      </c>
      <c r="Y8933" t="s">
        <v>31247</v>
      </c>
    </row>
    <row r="8934" spans="1:25">
      <c r="A8934" t="s">
        <v>31248</v>
      </c>
      <c r="B8934" t="s">
        <v>31249</v>
      </c>
      <c r="D8934" t="s">
        <v>40</v>
      </c>
      <c r="E8934" t="s">
        <v>41</v>
      </c>
      <c r="J8934" t="s">
        <v>248</v>
      </c>
      <c r="K8934" t="s">
        <v>249</v>
      </c>
      <c r="L8934">
        <v>2</v>
      </c>
      <c r="M8934" t="s">
        <v>31250</v>
      </c>
      <c r="N8934" t="s">
        <v>1024</v>
      </c>
      <c r="O8934" t="s">
        <v>46</v>
      </c>
      <c r="P8934" t="s">
        <v>46</v>
      </c>
      <c r="Y8934" t="s">
        <v>31251</v>
      </c>
    </row>
    <row r="8935" spans="1:25">
      <c r="A8935" t="s">
        <v>31252</v>
      </c>
      <c r="B8935" t="s">
        <v>31253</v>
      </c>
      <c r="D8935" t="s">
        <v>40</v>
      </c>
      <c r="E8935" t="s">
        <v>41</v>
      </c>
      <c r="J8935" t="s">
        <v>599</v>
      </c>
      <c r="K8935" t="s">
        <v>600</v>
      </c>
      <c r="L8935">
        <v>2</v>
      </c>
      <c r="M8935" t="s">
        <v>31254</v>
      </c>
      <c r="N8935" t="s">
        <v>752</v>
      </c>
      <c r="O8935" t="s">
        <v>46</v>
      </c>
      <c r="P8935" t="s">
        <v>46</v>
      </c>
      <c r="Y8935" t="s">
        <v>31255</v>
      </c>
    </row>
    <row r="8936" spans="1:25">
      <c r="A8936" t="s">
        <v>31256</v>
      </c>
      <c r="B8936" t="s">
        <v>31257</v>
      </c>
      <c r="D8936" t="s">
        <v>40</v>
      </c>
      <c r="E8936" t="s">
        <v>41</v>
      </c>
      <c r="J8936" t="s">
        <v>248</v>
      </c>
      <c r="K8936" t="s">
        <v>249</v>
      </c>
      <c r="L8936">
        <v>2</v>
      </c>
      <c r="M8936" t="s">
        <v>31254</v>
      </c>
      <c r="N8936" t="s">
        <v>315</v>
      </c>
      <c r="O8936" t="s">
        <v>46</v>
      </c>
      <c r="P8936" t="s">
        <v>46</v>
      </c>
      <c r="Y8936" t="s">
        <v>31258</v>
      </c>
    </row>
    <row r="8937" spans="1:25">
      <c r="A8937" t="s">
        <v>31259</v>
      </c>
      <c r="B8937" t="s">
        <v>31260</v>
      </c>
      <c r="D8937" t="s">
        <v>40</v>
      </c>
      <c r="E8937" t="s">
        <v>41</v>
      </c>
      <c r="J8937" t="s">
        <v>139</v>
      </c>
      <c r="K8937" t="s">
        <v>140</v>
      </c>
      <c r="L8937">
        <v>2</v>
      </c>
      <c r="M8937" t="s">
        <v>31261</v>
      </c>
      <c r="N8937" t="s">
        <v>24245</v>
      </c>
      <c r="O8937" t="s">
        <v>46</v>
      </c>
      <c r="P8937" t="s">
        <v>46</v>
      </c>
      <c r="Y8937" t="s">
        <v>31262</v>
      </c>
    </row>
    <row r="8938" spans="1:25">
      <c r="A8938" t="s">
        <v>31263</v>
      </c>
      <c r="B8938" t="s">
        <v>31264</v>
      </c>
      <c r="D8938" t="s">
        <v>40</v>
      </c>
      <c r="E8938" t="s">
        <v>41</v>
      </c>
      <c r="J8938" t="s">
        <v>1554</v>
      </c>
      <c r="K8938" t="s">
        <v>1555</v>
      </c>
      <c r="L8938">
        <v>2</v>
      </c>
      <c r="M8938" t="s">
        <v>31261</v>
      </c>
      <c r="N8938" t="s">
        <v>296</v>
      </c>
      <c r="O8938" t="s">
        <v>46</v>
      </c>
      <c r="P8938" t="s">
        <v>46</v>
      </c>
      <c r="Y8938" t="s">
        <v>31265</v>
      </c>
    </row>
    <row r="8939" spans="1:25">
      <c r="A8939" t="s">
        <v>31266</v>
      </c>
      <c r="B8939" t="s">
        <v>31267</v>
      </c>
      <c r="D8939" t="s">
        <v>40</v>
      </c>
      <c r="E8939" t="s">
        <v>41</v>
      </c>
      <c r="J8939" t="s">
        <v>248</v>
      </c>
      <c r="K8939" t="s">
        <v>249</v>
      </c>
      <c r="L8939">
        <v>2</v>
      </c>
      <c r="M8939" t="s">
        <v>31268</v>
      </c>
      <c r="N8939" t="s">
        <v>24240</v>
      </c>
      <c r="O8939" t="s">
        <v>46</v>
      </c>
      <c r="P8939" t="s">
        <v>46</v>
      </c>
      <c r="Y8939" t="s">
        <v>31269</v>
      </c>
    </row>
    <row r="8940" spans="1:25">
      <c r="A8940" t="s">
        <v>31270</v>
      </c>
      <c r="B8940" t="s">
        <v>31271</v>
      </c>
      <c r="D8940" t="s">
        <v>40</v>
      </c>
      <c r="E8940" t="s">
        <v>41</v>
      </c>
      <c r="J8940" t="s">
        <v>1554</v>
      </c>
      <c r="K8940" t="s">
        <v>1555</v>
      </c>
      <c r="L8940">
        <v>2</v>
      </c>
      <c r="M8940" t="s">
        <v>31272</v>
      </c>
      <c r="N8940" t="s">
        <v>924</v>
      </c>
      <c r="O8940" t="s">
        <v>46</v>
      </c>
      <c r="P8940" t="s">
        <v>46</v>
      </c>
      <c r="Y8940" t="s">
        <v>31273</v>
      </c>
    </row>
    <row r="8941" spans="1:25">
      <c r="A8941" t="s">
        <v>31274</v>
      </c>
      <c r="B8941" t="s">
        <v>31275</v>
      </c>
      <c r="D8941" t="s">
        <v>40</v>
      </c>
      <c r="E8941" t="s">
        <v>41</v>
      </c>
      <c r="J8941" t="s">
        <v>248</v>
      </c>
      <c r="K8941" t="s">
        <v>249</v>
      </c>
      <c r="L8941">
        <v>2</v>
      </c>
      <c r="M8941" t="s">
        <v>31276</v>
      </c>
      <c r="N8941" t="s">
        <v>752</v>
      </c>
      <c r="O8941" t="s">
        <v>46</v>
      </c>
      <c r="P8941" t="s">
        <v>46</v>
      </c>
      <c r="Y8941" t="s">
        <v>31277</v>
      </c>
    </row>
    <row r="8942" spans="1:25">
      <c r="A8942" t="s">
        <v>31278</v>
      </c>
      <c r="B8942" t="s">
        <v>31279</v>
      </c>
      <c r="D8942" t="s">
        <v>40</v>
      </c>
      <c r="E8942" t="s">
        <v>41</v>
      </c>
      <c r="J8942" t="s">
        <v>1554</v>
      </c>
      <c r="K8942" t="s">
        <v>1555</v>
      </c>
      <c r="L8942">
        <v>3</v>
      </c>
      <c r="M8942" t="s">
        <v>31280</v>
      </c>
      <c r="N8942" t="s">
        <v>178</v>
      </c>
      <c r="O8942" t="s">
        <v>46</v>
      </c>
      <c r="P8942" t="s">
        <v>46</v>
      </c>
      <c r="Y8942" t="s">
        <v>31281</v>
      </c>
    </row>
    <row r="8943" spans="1:25">
      <c r="A8943" t="s">
        <v>31282</v>
      </c>
      <c r="B8943" t="s">
        <v>31283</v>
      </c>
      <c r="D8943" t="s">
        <v>40</v>
      </c>
      <c r="E8943" t="s">
        <v>41</v>
      </c>
      <c r="J8943" t="s">
        <v>139</v>
      </c>
      <c r="K8943" t="s">
        <v>140</v>
      </c>
      <c r="L8943">
        <v>3</v>
      </c>
      <c r="M8943" t="s">
        <v>31284</v>
      </c>
      <c r="N8943" t="s">
        <v>24245</v>
      </c>
      <c r="O8943" t="s">
        <v>46</v>
      </c>
      <c r="P8943" t="s">
        <v>46</v>
      </c>
      <c r="Y8943" t="s">
        <v>31285</v>
      </c>
    </row>
    <row r="8944" spans="1:25">
      <c r="A8944" t="s">
        <v>31286</v>
      </c>
      <c r="B8944" t="s">
        <v>31287</v>
      </c>
      <c r="D8944" t="s">
        <v>40</v>
      </c>
      <c r="E8944" t="s">
        <v>41</v>
      </c>
      <c r="J8944" t="s">
        <v>248</v>
      </c>
      <c r="K8944" t="s">
        <v>249</v>
      </c>
      <c r="L8944">
        <v>3</v>
      </c>
      <c r="M8944" t="s">
        <v>31288</v>
      </c>
      <c r="N8944" t="s">
        <v>752</v>
      </c>
      <c r="O8944" t="s">
        <v>46</v>
      </c>
      <c r="P8944" t="s">
        <v>46</v>
      </c>
      <c r="Y8944" t="s">
        <v>31289</v>
      </c>
    </row>
    <row r="8945" spans="1:25">
      <c r="A8945" t="s">
        <v>31290</v>
      </c>
      <c r="B8945" t="s">
        <v>31291</v>
      </c>
      <c r="D8945" t="s">
        <v>40</v>
      </c>
      <c r="E8945" t="s">
        <v>41</v>
      </c>
      <c r="J8945" t="s">
        <v>1142</v>
      </c>
      <c r="K8945" t="s">
        <v>1143</v>
      </c>
      <c r="L8945">
        <v>2</v>
      </c>
      <c r="M8945" t="s">
        <v>31292</v>
      </c>
      <c r="N8945" t="s">
        <v>24227</v>
      </c>
      <c r="O8945" t="s">
        <v>46</v>
      </c>
      <c r="P8945" t="s">
        <v>46</v>
      </c>
      <c r="Y8945" t="s">
        <v>31293</v>
      </c>
    </row>
    <row r="8946" spans="1:25">
      <c r="A8946" t="s">
        <v>31294</v>
      </c>
      <c r="B8946" t="s">
        <v>31295</v>
      </c>
      <c r="D8946" t="s">
        <v>40</v>
      </c>
      <c r="E8946" t="s">
        <v>41</v>
      </c>
      <c r="J8946" t="s">
        <v>248</v>
      </c>
      <c r="K8946" t="s">
        <v>249</v>
      </c>
      <c r="L8946">
        <v>2</v>
      </c>
      <c r="M8946" t="s">
        <v>31296</v>
      </c>
      <c r="N8946" t="s">
        <v>1478</v>
      </c>
      <c r="O8946" t="s">
        <v>46</v>
      </c>
      <c r="P8946" t="s">
        <v>46</v>
      </c>
      <c r="Y8946" t="s">
        <v>31297</v>
      </c>
    </row>
    <row r="8947" spans="1:25">
      <c r="A8947" t="s">
        <v>31298</v>
      </c>
      <c r="B8947" t="s">
        <v>31299</v>
      </c>
      <c r="D8947" t="s">
        <v>40</v>
      </c>
      <c r="E8947" t="s">
        <v>41</v>
      </c>
      <c r="J8947" t="s">
        <v>248</v>
      </c>
      <c r="K8947" t="s">
        <v>249</v>
      </c>
      <c r="L8947">
        <v>3</v>
      </c>
      <c r="M8947" t="s">
        <v>31300</v>
      </c>
      <c r="N8947" t="s">
        <v>1814</v>
      </c>
      <c r="O8947" t="s">
        <v>46</v>
      </c>
      <c r="P8947" t="s">
        <v>46</v>
      </c>
      <c r="Y8947" t="s">
        <v>31301</v>
      </c>
    </row>
    <row r="8948" spans="1:25">
      <c r="A8948" t="s">
        <v>31302</v>
      </c>
      <c r="B8948" t="s">
        <v>31303</v>
      </c>
      <c r="D8948" t="s">
        <v>40</v>
      </c>
      <c r="E8948" t="s">
        <v>41</v>
      </c>
      <c r="J8948" t="s">
        <v>2619</v>
      </c>
      <c r="K8948" t="s">
        <v>140</v>
      </c>
      <c r="L8948">
        <v>2</v>
      </c>
      <c r="M8948" t="s">
        <v>31304</v>
      </c>
      <c r="N8948" t="s">
        <v>2621</v>
      </c>
      <c r="O8948" t="s">
        <v>46</v>
      </c>
      <c r="P8948" t="s">
        <v>46</v>
      </c>
      <c r="Y8948" t="s">
        <v>31305</v>
      </c>
    </row>
    <row r="8949" spans="1:25">
      <c r="A8949" t="s">
        <v>31306</v>
      </c>
      <c r="B8949" t="s">
        <v>31307</v>
      </c>
      <c r="D8949" t="s">
        <v>40</v>
      </c>
      <c r="E8949" t="s">
        <v>41</v>
      </c>
      <c r="J8949" t="s">
        <v>139</v>
      </c>
      <c r="K8949" t="s">
        <v>140</v>
      </c>
      <c r="L8949">
        <v>2</v>
      </c>
      <c r="M8949" t="s">
        <v>31308</v>
      </c>
      <c r="N8949" t="s">
        <v>1397</v>
      </c>
      <c r="O8949" t="s">
        <v>46</v>
      </c>
      <c r="P8949" t="s">
        <v>46</v>
      </c>
      <c r="Y8949" t="s">
        <v>31309</v>
      </c>
    </row>
    <row r="8950" spans="1:25">
      <c r="A8950" t="s">
        <v>31310</v>
      </c>
      <c r="B8950" t="s">
        <v>31311</v>
      </c>
      <c r="D8950" t="s">
        <v>40</v>
      </c>
      <c r="E8950" t="s">
        <v>41</v>
      </c>
      <c r="J8950" t="s">
        <v>1142</v>
      </c>
      <c r="K8950" t="s">
        <v>1143</v>
      </c>
      <c r="L8950">
        <v>3</v>
      </c>
      <c r="M8950" t="s">
        <v>31312</v>
      </c>
      <c r="N8950" t="s">
        <v>436</v>
      </c>
      <c r="O8950" t="s">
        <v>46</v>
      </c>
      <c r="P8950" t="s">
        <v>46</v>
      </c>
      <c r="Y8950" t="s">
        <v>31313</v>
      </c>
    </row>
    <row r="8951" spans="1:25">
      <c r="A8951" t="s">
        <v>31314</v>
      </c>
      <c r="B8951" t="s">
        <v>31315</v>
      </c>
      <c r="D8951" t="s">
        <v>40</v>
      </c>
      <c r="E8951" t="s">
        <v>41</v>
      </c>
      <c r="J8951" t="s">
        <v>11802</v>
      </c>
      <c r="K8951" t="s">
        <v>11803</v>
      </c>
      <c r="L8951">
        <v>3</v>
      </c>
      <c r="M8951" t="s">
        <v>31316</v>
      </c>
      <c r="N8951" t="s">
        <v>1024</v>
      </c>
      <c r="O8951" t="s">
        <v>46</v>
      </c>
      <c r="P8951" t="s">
        <v>46</v>
      </c>
      <c r="Y8951" t="s">
        <v>31317</v>
      </c>
    </row>
    <row r="8952" spans="1:25">
      <c r="A8952" t="s">
        <v>31318</v>
      </c>
      <c r="B8952" t="s">
        <v>31319</v>
      </c>
      <c r="D8952" t="s">
        <v>40</v>
      </c>
      <c r="E8952" t="s">
        <v>41</v>
      </c>
      <c r="J8952" t="s">
        <v>139</v>
      </c>
      <c r="K8952" t="s">
        <v>140</v>
      </c>
      <c r="L8952">
        <v>3</v>
      </c>
      <c r="M8952" t="s">
        <v>31316</v>
      </c>
      <c r="N8952" t="s">
        <v>1550</v>
      </c>
      <c r="O8952" t="s">
        <v>46</v>
      </c>
      <c r="P8952" t="s">
        <v>46</v>
      </c>
      <c r="Y8952" t="s">
        <v>31320</v>
      </c>
    </row>
    <row r="8953" spans="1:25">
      <c r="A8953" t="s">
        <v>31321</v>
      </c>
      <c r="B8953" t="s">
        <v>31322</v>
      </c>
      <c r="D8953" t="s">
        <v>40</v>
      </c>
      <c r="E8953" t="s">
        <v>41</v>
      </c>
      <c r="J8953" t="s">
        <v>599</v>
      </c>
      <c r="K8953" t="s">
        <v>600</v>
      </c>
      <c r="L8953">
        <v>3</v>
      </c>
      <c r="M8953" t="s">
        <v>31323</v>
      </c>
      <c r="N8953" t="s">
        <v>24245</v>
      </c>
      <c r="O8953" t="s">
        <v>46</v>
      </c>
      <c r="P8953" t="s">
        <v>46</v>
      </c>
      <c r="Y8953" t="s">
        <v>31324</v>
      </c>
    </row>
    <row r="8954" spans="1:25">
      <c r="A8954" t="s">
        <v>31325</v>
      </c>
      <c r="B8954" t="s">
        <v>31326</v>
      </c>
      <c r="D8954" t="s">
        <v>40</v>
      </c>
      <c r="E8954" t="s">
        <v>41</v>
      </c>
      <c r="J8954" t="s">
        <v>1142</v>
      </c>
      <c r="K8954" t="s">
        <v>1143</v>
      </c>
      <c r="L8954">
        <v>3</v>
      </c>
      <c r="M8954" t="s">
        <v>31327</v>
      </c>
      <c r="N8954" t="s">
        <v>23374</v>
      </c>
      <c r="O8954" t="s">
        <v>46</v>
      </c>
      <c r="P8954" t="s">
        <v>46</v>
      </c>
      <c r="Y8954" t="s">
        <v>31328</v>
      </c>
    </row>
    <row r="8955" spans="1:25">
      <c r="A8955" t="s">
        <v>31329</v>
      </c>
      <c r="B8955" t="s">
        <v>31330</v>
      </c>
      <c r="D8955" t="s">
        <v>40</v>
      </c>
      <c r="E8955" t="s">
        <v>41</v>
      </c>
      <c r="J8955" t="s">
        <v>139</v>
      </c>
      <c r="K8955" t="s">
        <v>140</v>
      </c>
      <c r="L8955">
        <v>2</v>
      </c>
      <c r="M8955" t="s">
        <v>31331</v>
      </c>
      <c r="N8955" t="s">
        <v>2346</v>
      </c>
      <c r="O8955" t="s">
        <v>46</v>
      </c>
      <c r="P8955" t="s">
        <v>46</v>
      </c>
      <c r="Y8955" t="s">
        <v>31332</v>
      </c>
    </row>
    <row r="8956" spans="1:25">
      <c r="A8956" t="s">
        <v>31333</v>
      </c>
      <c r="B8956" t="s">
        <v>31334</v>
      </c>
      <c r="D8956" t="s">
        <v>40</v>
      </c>
      <c r="E8956" t="s">
        <v>41</v>
      </c>
      <c r="J8956" t="s">
        <v>248</v>
      </c>
      <c r="K8956" t="s">
        <v>249</v>
      </c>
      <c r="L8956">
        <v>3</v>
      </c>
      <c r="M8956" t="s">
        <v>31335</v>
      </c>
      <c r="N8956" t="s">
        <v>315</v>
      </c>
      <c r="O8956" t="s">
        <v>46</v>
      </c>
      <c r="P8956" t="s">
        <v>46</v>
      </c>
      <c r="Y8956" t="s">
        <v>31336</v>
      </c>
    </row>
    <row r="8957" spans="1:25">
      <c r="A8957" t="s">
        <v>31337</v>
      </c>
      <c r="B8957" t="s">
        <v>31338</v>
      </c>
      <c r="D8957" t="s">
        <v>40</v>
      </c>
      <c r="E8957" t="s">
        <v>41</v>
      </c>
      <c r="J8957" t="s">
        <v>1142</v>
      </c>
      <c r="K8957" t="s">
        <v>1143</v>
      </c>
      <c r="L8957">
        <v>3</v>
      </c>
      <c r="M8957" t="s">
        <v>31339</v>
      </c>
      <c r="N8957" t="s">
        <v>509</v>
      </c>
      <c r="O8957" t="s">
        <v>46</v>
      </c>
      <c r="P8957" t="s">
        <v>46</v>
      </c>
      <c r="Y8957" t="s">
        <v>31340</v>
      </c>
    </row>
    <row r="8958" spans="1:25">
      <c r="A8958" t="s">
        <v>31341</v>
      </c>
      <c r="B8958" t="s">
        <v>31342</v>
      </c>
      <c r="D8958" t="s">
        <v>40</v>
      </c>
      <c r="E8958" t="s">
        <v>41</v>
      </c>
      <c r="J8958" t="s">
        <v>14558</v>
      </c>
      <c r="K8958" t="s">
        <v>14559</v>
      </c>
      <c r="L8958">
        <v>3</v>
      </c>
      <c r="M8958" t="s">
        <v>31339</v>
      </c>
      <c r="N8958" t="s">
        <v>440</v>
      </c>
      <c r="O8958" t="s">
        <v>46</v>
      </c>
      <c r="P8958" t="s">
        <v>46</v>
      </c>
      <c r="Y8958" t="s">
        <v>31343</v>
      </c>
    </row>
    <row r="8959" spans="1:25">
      <c r="A8959" t="s">
        <v>31344</v>
      </c>
      <c r="B8959" t="s">
        <v>31345</v>
      </c>
      <c r="D8959" t="s">
        <v>40</v>
      </c>
      <c r="E8959" t="s">
        <v>41</v>
      </c>
      <c r="J8959" t="s">
        <v>248</v>
      </c>
      <c r="K8959" t="s">
        <v>249</v>
      </c>
      <c r="L8959">
        <v>3</v>
      </c>
      <c r="M8959" t="s">
        <v>31346</v>
      </c>
      <c r="N8959" t="s">
        <v>617</v>
      </c>
      <c r="O8959" t="s">
        <v>46</v>
      </c>
      <c r="P8959" t="s">
        <v>46</v>
      </c>
      <c r="Y8959" t="s">
        <v>31347</v>
      </c>
    </row>
    <row r="8960" spans="1:25">
      <c r="A8960" t="s">
        <v>31348</v>
      </c>
      <c r="B8960" t="s">
        <v>31349</v>
      </c>
      <c r="D8960" t="s">
        <v>40</v>
      </c>
      <c r="E8960" t="s">
        <v>41</v>
      </c>
      <c r="J8960" t="s">
        <v>23071</v>
      </c>
      <c r="K8960" t="s">
        <v>23072</v>
      </c>
      <c r="L8960">
        <v>3</v>
      </c>
      <c r="M8960" t="s">
        <v>31350</v>
      </c>
      <c r="N8960" t="s">
        <v>23374</v>
      </c>
      <c r="O8960" t="s">
        <v>46</v>
      </c>
      <c r="P8960" t="s">
        <v>46</v>
      </c>
      <c r="Y8960" t="s">
        <v>31351</v>
      </c>
    </row>
    <row r="8961" spans="1:25">
      <c r="A8961" t="s">
        <v>31352</v>
      </c>
      <c r="B8961" t="s">
        <v>31353</v>
      </c>
      <c r="D8961" t="s">
        <v>40</v>
      </c>
      <c r="E8961" t="s">
        <v>41</v>
      </c>
      <c r="J8961" t="s">
        <v>139</v>
      </c>
      <c r="K8961" t="s">
        <v>140</v>
      </c>
      <c r="L8961">
        <v>2</v>
      </c>
      <c r="M8961" t="s">
        <v>31354</v>
      </c>
      <c r="N8961" t="s">
        <v>142</v>
      </c>
      <c r="O8961" t="s">
        <v>46</v>
      </c>
      <c r="P8961" t="s">
        <v>46</v>
      </c>
      <c r="Y8961" t="s">
        <v>31355</v>
      </c>
    </row>
    <row r="8962" spans="1:25">
      <c r="A8962" t="s">
        <v>31356</v>
      </c>
      <c r="B8962" t="s">
        <v>31357</v>
      </c>
      <c r="D8962" t="s">
        <v>40</v>
      </c>
      <c r="E8962" t="s">
        <v>41</v>
      </c>
      <c r="J8962" t="s">
        <v>6179</v>
      </c>
      <c r="K8962" t="s">
        <v>6180</v>
      </c>
      <c r="L8962">
        <v>3</v>
      </c>
      <c r="M8962" t="s">
        <v>31358</v>
      </c>
      <c r="N8962" t="s">
        <v>1550</v>
      </c>
      <c r="O8962" t="s">
        <v>46</v>
      </c>
      <c r="P8962" t="s">
        <v>46</v>
      </c>
      <c r="Y8962" t="s">
        <v>31359</v>
      </c>
    </row>
    <row r="8963" spans="1:25">
      <c r="A8963" t="s">
        <v>31360</v>
      </c>
      <c r="B8963" t="s">
        <v>31361</v>
      </c>
      <c r="D8963" t="s">
        <v>40</v>
      </c>
      <c r="E8963" t="s">
        <v>41</v>
      </c>
      <c r="J8963" t="s">
        <v>139</v>
      </c>
      <c r="K8963" t="s">
        <v>140</v>
      </c>
      <c r="L8963">
        <v>2</v>
      </c>
      <c r="M8963" t="s">
        <v>31362</v>
      </c>
      <c r="N8963" t="s">
        <v>24245</v>
      </c>
      <c r="O8963" t="s">
        <v>46</v>
      </c>
      <c r="P8963" t="s">
        <v>46</v>
      </c>
      <c r="Y8963" t="s">
        <v>31363</v>
      </c>
    </row>
    <row r="8964" spans="1:25">
      <c r="A8964" t="s">
        <v>31364</v>
      </c>
      <c r="B8964" t="s">
        <v>31365</v>
      </c>
      <c r="D8964" t="s">
        <v>40</v>
      </c>
      <c r="E8964" t="s">
        <v>41</v>
      </c>
      <c r="J8964" t="s">
        <v>248</v>
      </c>
      <c r="K8964" t="s">
        <v>249</v>
      </c>
      <c r="L8964">
        <v>2</v>
      </c>
      <c r="M8964" t="s">
        <v>31366</v>
      </c>
      <c r="N8964" t="s">
        <v>1814</v>
      </c>
      <c r="O8964" t="s">
        <v>46</v>
      </c>
      <c r="P8964" t="s">
        <v>46</v>
      </c>
      <c r="Y8964" t="s">
        <v>31367</v>
      </c>
    </row>
    <row r="8965" spans="1:25">
      <c r="A8965" t="s">
        <v>31368</v>
      </c>
      <c r="B8965" t="s">
        <v>31369</v>
      </c>
      <c r="D8965" t="s">
        <v>40</v>
      </c>
      <c r="E8965" t="s">
        <v>41</v>
      </c>
      <c r="J8965" t="s">
        <v>248</v>
      </c>
      <c r="K8965" t="s">
        <v>249</v>
      </c>
      <c r="L8965">
        <v>3</v>
      </c>
      <c r="M8965" t="s">
        <v>31370</v>
      </c>
      <c r="N8965" t="s">
        <v>3013</v>
      </c>
      <c r="O8965" t="s">
        <v>46</v>
      </c>
      <c r="P8965" t="s">
        <v>46</v>
      </c>
      <c r="Y8965" t="s">
        <v>31371</v>
      </c>
    </row>
    <row r="8966" spans="1:25">
      <c r="A8966" t="s">
        <v>31372</v>
      </c>
      <c r="B8966" t="s">
        <v>31373</v>
      </c>
      <c r="D8966" t="s">
        <v>40</v>
      </c>
      <c r="E8966" t="s">
        <v>41</v>
      </c>
      <c r="J8966" t="s">
        <v>139</v>
      </c>
      <c r="K8966" t="s">
        <v>140</v>
      </c>
      <c r="L8966">
        <v>2</v>
      </c>
      <c r="M8966" t="s">
        <v>31374</v>
      </c>
      <c r="N8966" t="s">
        <v>950</v>
      </c>
      <c r="O8966" t="s">
        <v>46</v>
      </c>
      <c r="P8966" t="s">
        <v>46</v>
      </c>
      <c r="Y8966" t="s">
        <v>31375</v>
      </c>
    </row>
    <row r="8967" spans="1:25">
      <c r="A8967" t="s">
        <v>31376</v>
      </c>
      <c r="B8967" t="s">
        <v>31377</v>
      </c>
      <c r="D8967" t="s">
        <v>40</v>
      </c>
      <c r="E8967" t="s">
        <v>41</v>
      </c>
      <c r="J8967" t="s">
        <v>248</v>
      </c>
      <c r="K8967" t="s">
        <v>249</v>
      </c>
      <c r="L8967">
        <v>2</v>
      </c>
      <c r="M8967" t="s">
        <v>31378</v>
      </c>
      <c r="N8967" t="s">
        <v>315</v>
      </c>
      <c r="O8967" t="s">
        <v>46</v>
      </c>
      <c r="P8967" t="s">
        <v>46</v>
      </c>
      <c r="Y8967" t="s">
        <v>31379</v>
      </c>
    </row>
    <row r="8968" spans="1:25">
      <c r="A8968" t="s">
        <v>31380</v>
      </c>
      <c r="B8968" t="s">
        <v>31381</v>
      </c>
      <c r="D8968" t="s">
        <v>40</v>
      </c>
      <c r="E8968" t="s">
        <v>41</v>
      </c>
      <c r="J8968" t="s">
        <v>248</v>
      </c>
      <c r="K8968" t="s">
        <v>249</v>
      </c>
      <c r="L8968">
        <v>2</v>
      </c>
      <c r="M8968" t="s">
        <v>31378</v>
      </c>
      <c r="N8968" t="s">
        <v>1024</v>
      </c>
      <c r="O8968" t="s">
        <v>46</v>
      </c>
      <c r="P8968" t="s">
        <v>46</v>
      </c>
      <c r="Y8968" t="s">
        <v>31382</v>
      </c>
    </row>
    <row r="8969" spans="1:25">
      <c r="A8969" t="s">
        <v>31383</v>
      </c>
      <c r="B8969" t="s">
        <v>31384</v>
      </c>
      <c r="D8969" t="s">
        <v>40</v>
      </c>
      <c r="E8969" t="s">
        <v>41</v>
      </c>
      <c r="J8969" t="s">
        <v>139</v>
      </c>
      <c r="K8969" t="s">
        <v>140</v>
      </c>
      <c r="L8969">
        <v>2</v>
      </c>
      <c r="M8969" t="s">
        <v>31385</v>
      </c>
      <c r="N8969" t="s">
        <v>24245</v>
      </c>
      <c r="O8969" t="s">
        <v>46</v>
      </c>
      <c r="P8969" t="s">
        <v>46</v>
      </c>
      <c r="Y8969" t="s">
        <v>31386</v>
      </c>
    </row>
    <row r="8970" spans="1:25">
      <c r="A8970" t="s">
        <v>31387</v>
      </c>
      <c r="B8970" t="s">
        <v>31388</v>
      </c>
      <c r="D8970" t="s">
        <v>40</v>
      </c>
      <c r="E8970" t="s">
        <v>41</v>
      </c>
      <c r="J8970" t="s">
        <v>248</v>
      </c>
      <c r="K8970" t="s">
        <v>249</v>
      </c>
      <c r="L8970">
        <v>2</v>
      </c>
      <c r="M8970" t="s">
        <v>31385</v>
      </c>
      <c r="N8970" t="s">
        <v>617</v>
      </c>
      <c r="O8970" t="s">
        <v>46</v>
      </c>
      <c r="P8970" t="s">
        <v>46</v>
      </c>
      <c r="Y8970" t="s">
        <v>31389</v>
      </c>
    </row>
    <row r="8971" spans="1:25">
      <c r="A8971" t="s">
        <v>31390</v>
      </c>
      <c r="B8971" t="s">
        <v>31391</v>
      </c>
      <c r="D8971" t="s">
        <v>40</v>
      </c>
      <c r="E8971" t="s">
        <v>41</v>
      </c>
      <c r="J8971" t="s">
        <v>248</v>
      </c>
      <c r="K8971" t="s">
        <v>249</v>
      </c>
      <c r="L8971">
        <v>2</v>
      </c>
      <c r="M8971" t="s">
        <v>31385</v>
      </c>
      <c r="N8971" t="s">
        <v>24227</v>
      </c>
      <c r="O8971" t="s">
        <v>46</v>
      </c>
      <c r="P8971" t="s">
        <v>46</v>
      </c>
      <c r="Y8971" t="s">
        <v>31392</v>
      </c>
    </row>
    <row r="8972" spans="1:25">
      <c r="A8972" t="s">
        <v>31393</v>
      </c>
      <c r="B8972" t="s">
        <v>31394</v>
      </c>
      <c r="D8972" t="s">
        <v>40</v>
      </c>
      <c r="E8972" t="s">
        <v>41</v>
      </c>
      <c r="J8972" t="s">
        <v>248</v>
      </c>
      <c r="K8972" t="s">
        <v>249</v>
      </c>
      <c r="L8972">
        <v>2</v>
      </c>
      <c r="M8972" t="s">
        <v>31395</v>
      </c>
      <c r="N8972" t="s">
        <v>1369</v>
      </c>
      <c r="O8972" t="s">
        <v>46</v>
      </c>
      <c r="P8972" t="s">
        <v>46</v>
      </c>
      <c r="Y8972" t="s">
        <v>31396</v>
      </c>
    </row>
    <row r="8973" spans="1:25">
      <c r="A8973" t="s">
        <v>31397</v>
      </c>
      <c r="B8973" t="s">
        <v>31398</v>
      </c>
      <c r="D8973" t="s">
        <v>40</v>
      </c>
      <c r="E8973" t="s">
        <v>41</v>
      </c>
      <c r="J8973" t="s">
        <v>248</v>
      </c>
      <c r="K8973" t="s">
        <v>249</v>
      </c>
      <c r="L8973">
        <v>2</v>
      </c>
      <c r="M8973" t="s">
        <v>31399</v>
      </c>
      <c r="N8973" t="s">
        <v>53</v>
      </c>
      <c r="O8973" t="s">
        <v>46</v>
      </c>
      <c r="P8973" t="s">
        <v>46</v>
      </c>
      <c r="Y8973" t="s">
        <v>31400</v>
      </c>
    </row>
    <row r="8974" spans="1:25">
      <c r="A8974" t="s">
        <v>31401</v>
      </c>
      <c r="B8974" t="s">
        <v>31402</v>
      </c>
      <c r="D8974" t="s">
        <v>40</v>
      </c>
      <c r="E8974" t="s">
        <v>41</v>
      </c>
      <c r="J8974" t="s">
        <v>12440</v>
      </c>
      <c r="K8974" t="s">
        <v>12441</v>
      </c>
      <c r="L8974">
        <v>3</v>
      </c>
      <c r="M8974" t="s">
        <v>31403</v>
      </c>
      <c r="N8974" t="s">
        <v>64</v>
      </c>
      <c r="O8974" t="s">
        <v>46</v>
      </c>
      <c r="P8974" t="s">
        <v>46</v>
      </c>
      <c r="Y8974" t="s">
        <v>31404</v>
      </c>
    </row>
    <row r="8975" spans="1:25">
      <c r="A8975" t="s">
        <v>31405</v>
      </c>
      <c r="B8975" t="s">
        <v>31406</v>
      </c>
      <c r="D8975" t="s">
        <v>40</v>
      </c>
      <c r="E8975" t="s">
        <v>41</v>
      </c>
      <c r="J8975" t="s">
        <v>2619</v>
      </c>
      <c r="K8975" t="s">
        <v>140</v>
      </c>
      <c r="L8975">
        <v>2</v>
      </c>
      <c r="M8975" t="s">
        <v>31407</v>
      </c>
      <c r="N8975" t="s">
        <v>2621</v>
      </c>
      <c r="O8975" t="s">
        <v>46</v>
      </c>
      <c r="P8975" t="s">
        <v>46</v>
      </c>
      <c r="Y8975" t="s">
        <v>31408</v>
      </c>
    </row>
    <row r="8976" spans="1:25">
      <c r="A8976" t="s">
        <v>31409</v>
      </c>
      <c r="B8976" t="s">
        <v>31410</v>
      </c>
      <c r="D8976" t="s">
        <v>40</v>
      </c>
      <c r="E8976" t="s">
        <v>41</v>
      </c>
      <c r="J8976" t="s">
        <v>2619</v>
      </c>
      <c r="K8976" t="s">
        <v>140</v>
      </c>
      <c r="L8976">
        <v>2</v>
      </c>
      <c r="M8976" t="s">
        <v>31411</v>
      </c>
      <c r="N8976" t="s">
        <v>24245</v>
      </c>
      <c r="O8976" t="s">
        <v>46</v>
      </c>
      <c r="P8976" t="s">
        <v>46</v>
      </c>
      <c r="Y8976" t="s">
        <v>31412</v>
      </c>
    </row>
    <row r="8977" spans="1:25">
      <c r="A8977" t="s">
        <v>31413</v>
      </c>
      <c r="B8977" t="s">
        <v>31414</v>
      </c>
      <c r="D8977" t="s">
        <v>40</v>
      </c>
      <c r="E8977" t="s">
        <v>41</v>
      </c>
      <c r="J8977" t="s">
        <v>248</v>
      </c>
      <c r="K8977" t="s">
        <v>249</v>
      </c>
      <c r="L8977">
        <v>2</v>
      </c>
      <c r="M8977" t="s">
        <v>31415</v>
      </c>
      <c r="N8977" t="s">
        <v>58</v>
      </c>
      <c r="O8977" t="s">
        <v>46</v>
      </c>
      <c r="P8977" t="s">
        <v>46</v>
      </c>
      <c r="Y8977" t="s">
        <v>31416</v>
      </c>
    </row>
    <row r="8978" spans="1:25">
      <c r="A8978" t="s">
        <v>31417</v>
      </c>
      <c r="B8978" t="s">
        <v>31418</v>
      </c>
      <c r="D8978" t="s">
        <v>40</v>
      </c>
      <c r="E8978" t="s">
        <v>41</v>
      </c>
      <c r="J8978" t="s">
        <v>248</v>
      </c>
      <c r="K8978" t="s">
        <v>249</v>
      </c>
      <c r="L8978">
        <v>2</v>
      </c>
      <c r="M8978" t="s">
        <v>31419</v>
      </c>
      <c r="N8978" t="s">
        <v>24227</v>
      </c>
      <c r="O8978" t="s">
        <v>46</v>
      </c>
      <c r="P8978" t="s">
        <v>46</v>
      </c>
      <c r="Y8978" t="s">
        <v>31420</v>
      </c>
    </row>
    <row r="8979" spans="1:25">
      <c r="A8979" t="s">
        <v>31421</v>
      </c>
      <c r="B8979" t="s">
        <v>31422</v>
      </c>
      <c r="D8979" t="s">
        <v>40</v>
      </c>
      <c r="E8979" t="s">
        <v>41</v>
      </c>
      <c r="J8979" t="s">
        <v>1142</v>
      </c>
      <c r="K8979" t="s">
        <v>1143</v>
      </c>
      <c r="L8979">
        <v>2</v>
      </c>
      <c r="M8979" t="s">
        <v>31423</v>
      </c>
      <c r="N8979" t="s">
        <v>2621</v>
      </c>
      <c r="O8979" t="s">
        <v>46</v>
      </c>
      <c r="P8979" t="s">
        <v>46</v>
      </c>
      <c r="Y8979" t="s">
        <v>31424</v>
      </c>
    </row>
    <row r="8980" spans="1:25">
      <c r="A8980" t="s">
        <v>31425</v>
      </c>
      <c r="B8980" t="s">
        <v>31426</v>
      </c>
      <c r="D8980" t="s">
        <v>40</v>
      </c>
      <c r="E8980" t="s">
        <v>41</v>
      </c>
      <c r="J8980" t="s">
        <v>248</v>
      </c>
      <c r="K8980" t="s">
        <v>249</v>
      </c>
      <c r="L8980">
        <v>2</v>
      </c>
      <c r="M8980" t="s">
        <v>31427</v>
      </c>
      <c r="N8980" t="s">
        <v>350</v>
      </c>
      <c r="O8980" t="s">
        <v>46</v>
      </c>
      <c r="P8980" t="s">
        <v>46</v>
      </c>
      <c r="Y8980" t="s">
        <v>31428</v>
      </c>
    </row>
    <row r="8981" spans="1:25">
      <c r="A8981" t="s">
        <v>31429</v>
      </c>
      <c r="B8981" t="s">
        <v>31430</v>
      </c>
      <c r="D8981" t="s">
        <v>40</v>
      </c>
      <c r="E8981" t="s">
        <v>41</v>
      </c>
      <c r="J8981" t="s">
        <v>1554</v>
      </c>
      <c r="K8981" t="s">
        <v>1555</v>
      </c>
      <c r="L8981">
        <v>2</v>
      </c>
      <c r="M8981" t="s">
        <v>31427</v>
      </c>
      <c r="N8981" t="s">
        <v>25508</v>
      </c>
      <c r="O8981" t="s">
        <v>46</v>
      </c>
      <c r="P8981" t="s">
        <v>46</v>
      </c>
      <c r="Y8981" t="s">
        <v>31431</v>
      </c>
    </row>
    <row r="8982" spans="1:25">
      <c r="A8982" t="s">
        <v>31432</v>
      </c>
      <c r="B8982" t="s">
        <v>31433</v>
      </c>
      <c r="D8982" t="s">
        <v>40</v>
      </c>
      <c r="E8982" t="s">
        <v>41</v>
      </c>
      <c r="J8982" t="s">
        <v>248</v>
      </c>
      <c r="K8982" t="s">
        <v>249</v>
      </c>
      <c r="L8982">
        <v>2</v>
      </c>
      <c r="M8982" t="s">
        <v>31434</v>
      </c>
      <c r="N8982" t="s">
        <v>509</v>
      </c>
      <c r="O8982" t="s">
        <v>46</v>
      </c>
      <c r="P8982" t="s">
        <v>46</v>
      </c>
      <c r="Y8982" t="s">
        <v>31435</v>
      </c>
    </row>
    <row r="8983" spans="1:25">
      <c r="A8983" t="s">
        <v>31436</v>
      </c>
      <c r="B8983" t="s">
        <v>31437</v>
      </c>
      <c r="D8983" t="s">
        <v>40</v>
      </c>
      <c r="E8983" t="s">
        <v>41</v>
      </c>
      <c r="J8983" t="s">
        <v>6255</v>
      </c>
      <c r="K8983" t="s">
        <v>6256</v>
      </c>
      <c r="L8983">
        <v>2</v>
      </c>
      <c r="M8983" t="s">
        <v>31438</v>
      </c>
      <c r="N8983" t="s">
        <v>178</v>
      </c>
      <c r="O8983" t="s">
        <v>46</v>
      </c>
      <c r="P8983" t="s">
        <v>46</v>
      </c>
      <c r="Y8983" t="s">
        <v>31439</v>
      </c>
    </row>
    <row r="8984" spans="1:25">
      <c r="A8984" t="s">
        <v>31440</v>
      </c>
      <c r="B8984" t="s">
        <v>31441</v>
      </c>
      <c r="D8984" t="s">
        <v>40</v>
      </c>
      <c r="E8984" t="s">
        <v>41</v>
      </c>
      <c r="J8984" t="s">
        <v>248</v>
      </c>
      <c r="K8984" t="s">
        <v>249</v>
      </c>
      <c r="L8984">
        <v>2</v>
      </c>
      <c r="M8984" t="s">
        <v>31442</v>
      </c>
      <c r="N8984" t="s">
        <v>1446</v>
      </c>
      <c r="O8984" t="s">
        <v>46</v>
      </c>
      <c r="P8984" t="s">
        <v>46</v>
      </c>
      <c r="Y8984" t="s">
        <v>31443</v>
      </c>
    </row>
    <row r="8985" spans="1:25">
      <c r="A8985" t="s">
        <v>31444</v>
      </c>
      <c r="B8985" t="s">
        <v>31445</v>
      </c>
      <c r="D8985" t="s">
        <v>40</v>
      </c>
      <c r="E8985" t="s">
        <v>41</v>
      </c>
      <c r="J8985" t="s">
        <v>12440</v>
      </c>
      <c r="K8985" t="s">
        <v>12441</v>
      </c>
      <c r="L8985">
        <v>3</v>
      </c>
      <c r="M8985" t="s">
        <v>31446</v>
      </c>
      <c r="N8985" t="s">
        <v>64</v>
      </c>
      <c r="O8985" t="s">
        <v>46</v>
      </c>
      <c r="P8985" t="s">
        <v>46</v>
      </c>
      <c r="Y8985" t="s">
        <v>31447</v>
      </c>
    </row>
    <row r="8986" spans="1:25">
      <c r="A8986" t="s">
        <v>31448</v>
      </c>
      <c r="B8986" t="s">
        <v>31449</v>
      </c>
      <c r="D8986" t="s">
        <v>40</v>
      </c>
      <c r="E8986" t="s">
        <v>41</v>
      </c>
      <c r="J8986" t="s">
        <v>1554</v>
      </c>
      <c r="K8986" t="s">
        <v>1555</v>
      </c>
      <c r="L8986">
        <v>2</v>
      </c>
      <c r="M8986" t="s">
        <v>31450</v>
      </c>
      <c r="N8986" t="s">
        <v>24240</v>
      </c>
      <c r="O8986" t="s">
        <v>46</v>
      </c>
      <c r="P8986" t="s">
        <v>46</v>
      </c>
      <c r="Y8986" t="s">
        <v>31451</v>
      </c>
    </row>
    <row r="8987" spans="1:25">
      <c r="A8987" t="s">
        <v>31452</v>
      </c>
      <c r="B8987" t="s">
        <v>31453</v>
      </c>
      <c r="D8987" t="s">
        <v>40</v>
      </c>
      <c r="E8987" t="s">
        <v>41</v>
      </c>
      <c r="J8987" t="s">
        <v>248</v>
      </c>
      <c r="K8987" t="s">
        <v>249</v>
      </c>
      <c r="L8987">
        <v>2</v>
      </c>
      <c r="M8987" t="s">
        <v>31454</v>
      </c>
      <c r="N8987" t="s">
        <v>3013</v>
      </c>
      <c r="O8987" t="s">
        <v>46</v>
      </c>
      <c r="P8987" t="s">
        <v>46</v>
      </c>
      <c r="Y8987" t="s">
        <v>31455</v>
      </c>
    </row>
    <row r="8988" spans="1:25">
      <c r="A8988" t="s">
        <v>31456</v>
      </c>
      <c r="B8988" t="s">
        <v>31457</v>
      </c>
      <c r="D8988" t="s">
        <v>40</v>
      </c>
      <c r="E8988" t="s">
        <v>41</v>
      </c>
      <c r="J8988" t="s">
        <v>22447</v>
      </c>
      <c r="K8988" t="s">
        <v>22448</v>
      </c>
      <c r="L8988">
        <v>2</v>
      </c>
      <c r="M8988" t="s">
        <v>31454</v>
      </c>
      <c r="N8988" t="s">
        <v>58</v>
      </c>
      <c r="O8988" t="s">
        <v>46</v>
      </c>
      <c r="P8988" t="s">
        <v>46</v>
      </c>
      <c r="Y8988" t="s">
        <v>31458</v>
      </c>
    </row>
    <row r="8989" spans="1:25">
      <c r="A8989" t="s">
        <v>31459</v>
      </c>
      <c r="B8989" t="s">
        <v>31460</v>
      </c>
      <c r="D8989" t="s">
        <v>40</v>
      </c>
      <c r="E8989" t="s">
        <v>41</v>
      </c>
      <c r="J8989" t="s">
        <v>6179</v>
      </c>
      <c r="K8989" t="s">
        <v>6180</v>
      </c>
      <c r="L8989">
        <v>2</v>
      </c>
      <c r="M8989" t="s">
        <v>31461</v>
      </c>
      <c r="N8989" t="s">
        <v>1550</v>
      </c>
      <c r="O8989" t="s">
        <v>46</v>
      </c>
      <c r="P8989" t="s">
        <v>46</v>
      </c>
      <c r="Y8989" t="s">
        <v>31462</v>
      </c>
    </row>
    <row r="8990" spans="1:25">
      <c r="A8990" t="s">
        <v>31463</v>
      </c>
      <c r="B8990" t="s">
        <v>31464</v>
      </c>
      <c r="D8990" t="s">
        <v>40</v>
      </c>
      <c r="E8990" t="s">
        <v>41</v>
      </c>
      <c r="J8990" t="s">
        <v>248</v>
      </c>
      <c r="K8990" t="s">
        <v>249</v>
      </c>
      <c r="L8990">
        <v>2</v>
      </c>
      <c r="M8990" t="s">
        <v>31461</v>
      </c>
      <c r="N8990" t="s">
        <v>1446</v>
      </c>
      <c r="O8990" t="s">
        <v>46</v>
      </c>
      <c r="P8990" t="s">
        <v>46</v>
      </c>
      <c r="Y8990" t="s">
        <v>31465</v>
      </c>
    </row>
    <row r="8991" spans="1:25">
      <c r="A8991" t="s">
        <v>31466</v>
      </c>
      <c r="B8991" t="s">
        <v>31467</v>
      </c>
      <c r="D8991" t="s">
        <v>40</v>
      </c>
      <c r="E8991" t="s">
        <v>41</v>
      </c>
      <c r="J8991" t="s">
        <v>139</v>
      </c>
      <c r="K8991" t="s">
        <v>140</v>
      </c>
      <c r="L8991">
        <v>2</v>
      </c>
      <c r="M8991" t="s">
        <v>31468</v>
      </c>
      <c r="N8991" t="s">
        <v>1392</v>
      </c>
      <c r="O8991" t="s">
        <v>46</v>
      </c>
      <c r="P8991" t="s">
        <v>46</v>
      </c>
      <c r="Y8991" t="s">
        <v>31469</v>
      </c>
    </row>
    <row r="8992" spans="1:25">
      <c r="A8992" t="s">
        <v>31470</v>
      </c>
      <c r="B8992" t="s">
        <v>31471</v>
      </c>
      <c r="D8992" t="s">
        <v>40</v>
      </c>
      <c r="E8992" t="s">
        <v>41</v>
      </c>
      <c r="J8992" t="s">
        <v>248</v>
      </c>
      <c r="K8992" t="s">
        <v>249</v>
      </c>
      <c r="L8992">
        <v>2</v>
      </c>
      <c r="M8992" t="s">
        <v>31472</v>
      </c>
      <c r="N8992" t="s">
        <v>440</v>
      </c>
      <c r="O8992" t="s">
        <v>46</v>
      </c>
      <c r="P8992" t="s">
        <v>46</v>
      </c>
      <c r="Y8992" t="s">
        <v>31473</v>
      </c>
    </row>
    <row r="8993" spans="1:25">
      <c r="A8993" t="s">
        <v>31474</v>
      </c>
      <c r="B8993" t="s">
        <v>31475</v>
      </c>
      <c r="D8993" t="s">
        <v>40</v>
      </c>
      <c r="E8993" t="s">
        <v>41</v>
      </c>
      <c r="J8993" t="s">
        <v>248</v>
      </c>
      <c r="K8993" t="s">
        <v>249</v>
      </c>
      <c r="L8993">
        <v>2</v>
      </c>
      <c r="M8993" t="s">
        <v>31476</v>
      </c>
      <c r="N8993" t="s">
        <v>440</v>
      </c>
      <c r="O8993" t="s">
        <v>46</v>
      </c>
      <c r="P8993" t="s">
        <v>46</v>
      </c>
      <c r="Y8993" t="s">
        <v>31477</v>
      </c>
    </row>
    <row r="8994" spans="1:25">
      <c r="A8994" t="s">
        <v>31478</v>
      </c>
      <c r="B8994" t="s">
        <v>31479</v>
      </c>
      <c r="D8994" t="s">
        <v>40</v>
      </c>
      <c r="E8994" t="s">
        <v>41</v>
      </c>
      <c r="J8994" t="s">
        <v>1142</v>
      </c>
      <c r="K8994" t="s">
        <v>1143</v>
      </c>
      <c r="L8994">
        <v>2</v>
      </c>
      <c r="M8994" t="s">
        <v>31480</v>
      </c>
      <c r="N8994" t="s">
        <v>350</v>
      </c>
      <c r="O8994" t="s">
        <v>46</v>
      </c>
      <c r="P8994" t="s">
        <v>46</v>
      </c>
      <c r="Y8994" t="s">
        <v>31481</v>
      </c>
    </row>
    <row r="8995" spans="1:25">
      <c r="A8995" t="s">
        <v>31482</v>
      </c>
      <c r="B8995" t="s">
        <v>31483</v>
      </c>
      <c r="D8995" t="s">
        <v>40</v>
      </c>
      <c r="E8995" t="s">
        <v>41</v>
      </c>
      <c r="J8995" t="s">
        <v>1142</v>
      </c>
      <c r="K8995" t="s">
        <v>1143</v>
      </c>
      <c r="L8995">
        <v>2</v>
      </c>
      <c r="M8995" t="s">
        <v>31480</v>
      </c>
      <c r="N8995" t="s">
        <v>756</v>
      </c>
      <c r="O8995" t="s">
        <v>46</v>
      </c>
      <c r="P8995" t="s">
        <v>46</v>
      </c>
      <c r="Y8995" t="s">
        <v>31484</v>
      </c>
    </row>
    <row r="8996" spans="1:25">
      <c r="A8996" t="s">
        <v>31485</v>
      </c>
      <c r="B8996" t="s">
        <v>31486</v>
      </c>
      <c r="D8996" t="s">
        <v>40</v>
      </c>
      <c r="E8996" t="s">
        <v>41</v>
      </c>
      <c r="J8996" t="s">
        <v>14558</v>
      </c>
      <c r="K8996" t="s">
        <v>14559</v>
      </c>
      <c r="L8996">
        <v>2</v>
      </c>
      <c r="M8996" t="s">
        <v>31487</v>
      </c>
      <c r="N8996" t="s">
        <v>24227</v>
      </c>
      <c r="O8996" t="s">
        <v>46</v>
      </c>
      <c r="P8996" t="s">
        <v>46</v>
      </c>
      <c r="Y8996" t="s">
        <v>31488</v>
      </c>
    </row>
    <row r="8997" spans="1:25">
      <c r="A8997" t="s">
        <v>31489</v>
      </c>
      <c r="B8997" t="s">
        <v>31490</v>
      </c>
      <c r="D8997" t="s">
        <v>40</v>
      </c>
      <c r="E8997" t="s">
        <v>41</v>
      </c>
      <c r="J8997" t="s">
        <v>139</v>
      </c>
      <c r="K8997" t="s">
        <v>140</v>
      </c>
      <c r="L8997">
        <v>2</v>
      </c>
      <c r="M8997" t="s">
        <v>31491</v>
      </c>
      <c r="N8997" t="s">
        <v>1397</v>
      </c>
      <c r="O8997" t="s">
        <v>46</v>
      </c>
      <c r="P8997" t="s">
        <v>46</v>
      </c>
      <c r="Y8997" t="s">
        <v>31492</v>
      </c>
    </row>
    <row r="8998" spans="1:25">
      <c r="A8998" t="s">
        <v>31493</v>
      </c>
      <c r="B8998" t="s">
        <v>31494</v>
      </c>
      <c r="D8998" t="s">
        <v>40</v>
      </c>
      <c r="E8998" t="s">
        <v>41</v>
      </c>
      <c r="J8998" t="s">
        <v>248</v>
      </c>
      <c r="K8998" t="s">
        <v>249</v>
      </c>
      <c r="L8998">
        <v>2</v>
      </c>
      <c r="M8998" t="s">
        <v>31495</v>
      </c>
      <c r="N8998" t="s">
        <v>509</v>
      </c>
      <c r="O8998" t="s">
        <v>46</v>
      </c>
      <c r="P8998" t="s">
        <v>46</v>
      </c>
      <c r="Y8998" t="s">
        <v>31496</v>
      </c>
    </row>
    <row r="8999" spans="1:25">
      <c r="A8999" t="s">
        <v>31497</v>
      </c>
      <c r="B8999" t="s">
        <v>31498</v>
      </c>
      <c r="D8999" t="s">
        <v>40</v>
      </c>
      <c r="E8999" t="s">
        <v>41</v>
      </c>
      <c r="J8999" t="s">
        <v>1142</v>
      </c>
      <c r="K8999" t="s">
        <v>1143</v>
      </c>
      <c r="L8999">
        <v>2</v>
      </c>
      <c r="M8999" t="s">
        <v>31499</v>
      </c>
      <c r="N8999" t="s">
        <v>142</v>
      </c>
      <c r="O8999" t="s">
        <v>46</v>
      </c>
      <c r="P8999" t="s">
        <v>46</v>
      </c>
      <c r="Y8999" t="s">
        <v>31500</v>
      </c>
    </row>
    <row r="9000" spans="1:25">
      <c r="A9000" t="s">
        <v>31501</v>
      </c>
      <c r="B9000" t="s">
        <v>31502</v>
      </c>
      <c r="D9000" t="s">
        <v>40</v>
      </c>
      <c r="E9000" t="s">
        <v>41</v>
      </c>
      <c r="J9000" t="s">
        <v>1554</v>
      </c>
      <c r="K9000" t="s">
        <v>1555</v>
      </c>
      <c r="L9000">
        <v>2</v>
      </c>
      <c r="M9000" t="s">
        <v>31499</v>
      </c>
      <c r="N9000" t="s">
        <v>178</v>
      </c>
      <c r="O9000" t="s">
        <v>46</v>
      </c>
      <c r="P9000" t="s">
        <v>46</v>
      </c>
      <c r="Y9000" t="s">
        <v>31503</v>
      </c>
    </row>
    <row r="9001" spans="1:25">
      <c r="A9001" t="s">
        <v>31504</v>
      </c>
      <c r="B9001" t="s">
        <v>31505</v>
      </c>
      <c r="D9001" t="s">
        <v>40</v>
      </c>
      <c r="E9001" t="s">
        <v>41</v>
      </c>
      <c r="J9001" t="s">
        <v>139</v>
      </c>
      <c r="K9001" t="s">
        <v>140</v>
      </c>
      <c r="L9001">
        <v>2</v>
      </c>
      <c r="M9001" t="s">
        <v>31506</v>
      </c>
      <c r="N9001" t="s">
        <v>436</v>
      </c>
      <c r="O9001" t="s">
        <v>46</v>
      </c>
      <c r="P9001" t="s">
        <v>46</v>
      </c>
      <c r="Y9001" t="s">
        <v>31507</v>
      </c>
    </row>
    <row r="9002" spans="1:25">
      <c r="A9002" t="s">
        <v>31508</v>
      </c>
      <c r="B9002" t="s">
        <v>31509</v>
      </c>
      <c r="D9002" t="s">
        <v>40</v>
      </c>
      <c r="E9002" t="s">
        <v>41</v>
      </c>
      <c r="J9002" t="s">
        <v>16458</v>
      </c>
      <c r="K9002" t="s">
        <v>16459</v>
      </c>
      <c r="L9002">
        <v>2</v>
      </c>
      <c r="M9002" t="s">
        <v>31506</v>
      </c>
      <c r="N9002" t="s">
        <v>509</v>
      </c>
      <c r="O9002" t="s">
        <v>46</v>
      </c>
      <c r="P9002" t="s">
        <v>46</v>
      </c>
      <c r="Y9002" t="s">
        <v>31510</v>
      </c>
    </row>
    <row r="9003" spans="1:25">
      <c r="A9003" t="s">
        <v>31511</v>
      </c>
      <c r="B9003" t="s">
        <v>31512</v>
      </c>
      <c r="D9003" t="s">
        <v>40</v>
      </c>
      <c r="E9003" t="s">
        <v>41</v>
      </c>
      <c r="J9003" t="s">
        <v>139</v>
      </c>
      <c r="K9003" t="s">
        <v>140</v>
      </c>
      <c r="L9003">
        <v>2</v>
      </c>
      <c r="M9003" t="s">
        <v>31513</v>
      </c>
      <c r="N9003" t="s">
        <v>142</v>
      </c>
      <c r="O9003" t="s">
        <v>46</v>
      </c>
      <c r="P9003" t="s">
        <v>46</v>
      </c>
      <c r="Y9003" t="s">
        <v>31514</v>
      </c>
    </row>
    <row r="9004" spans="1:25">
      <c r="A9004" t="s">
        <v>31515</v>
      </c>
      <c r="B9004" t="s">
        <v>31516</v>
      </c>
      <c r="D9004" t="s">
        <v>40</v>
      </c>
      <c r="E9004" t="s">
        <v>41</v>
      </c>
      <c r="J9004" t="s">
        <v>6179</v>
      </c>
      <c r="K9004" t="s">
        <v>6180</v>
      </c>
      <c r="L9004">
        <v>2</v>
      </c>
      <c r="M9004" t="s">
        <v>31517</v>
      </c>
      <c r="N9004" t="s">
        <v>1276</v>
      </c>
      <c r="O9004" t="s">
        <v>46</v>
      </c>
      <c r="P9004" t="s">
        <v>46</v>
      </c>
      <c r="Y9004" t="s">
        <v>31518</v>
      </c>
    </row>
    <row r="9005" spans="1:25">
      <c r="A9005" t="s">
        <v>31519</v>
      </c>
      <c r="B9005" t="s">
        <v>31520</v>
      </c>
      <c r="D9005" t="s">
        <v>40</v>
      </c>
      <c r="E9005" t="s">
        <v>41</v>
      </c>
      <c r="J9005" t="s">
        <v>139</v>
      </c>
      <c r="K9005" t="s">
        <v>140</v>
      </c>
      <c r="L9005">
        <v>2</v>
      </c>
      <c r="M9005" t="s">
        <v>31521</v>
      </c>
      <c r="N9005" t="s">
        <v>296</v>
      </c>
      <c r="O9005" t="s">
        <v>46</v>
      </c>
      <c r="P9005" t="s">
        <v>46</v>
      </c>
      <c r="Y9005" t="s">
        <v>31522</v>
      </c>
    </row>
    <row r="9006" spans="1:25">
      <c r="A9006" t="s">
        <v>31523</v>
      </c>
      <c r="B9006" t="s">
        <v>31524</v>
      </c>
      <c r="D9006" t="s">
        <v>40</v>
      </c>
      <c r="E9006" t="s">
        <v>41</v>
      </c>
      <c r="J9006" t="s">
        <v>6179</v>
      </c>
      <c r="K9006" t="s">
        <v>6180</v>
      </c>
      <c r="L9006">
        <v>2</v>
      </c>
      <c r="M9006" t="s">
        <v>31525</v>
      </c>
      <c r="N9006" t="s">
        <v>1024</v>
      </c>
      <c r="O9006" t="s">
        <v>46</v>
      </c>
      <c r="P9006" t="s">
        <v>46</v>
      </c>
      <c r="Y9006" t="s">
        <v>31526</v>
      </c>
    </row>
    <row r="9007" spans="1:25">
      <c r="A9007" t="s">
        <v>31527</v>
      </c>
      <c r="B9007" t="s">
        <v>31528</v>
      </c>
      <c r="D9007" t="s">
        <v>40</v>
      </c>
      <c r="E9007" t="s">
        <v>41</v>
      </c>
      <c r="J9007" t="s">
        <v>921</v>
      </c>
      <c r="K9007" t="s">
        <v>922</v>
      </c>
      <c r="L9007">
        <v>3</v>
      </c>
      <c r="M9007" t="s">
        <v>31529</v>
      </c>
      <c r="N9007" t="s">
        <v>266</v>
      </c>
      <c r="O9007" t="s">
        <v>46</v>
      </c>
      <c r="P9007" t="s">
        <v>46</v>
      </c>
      <c r="Y9007" t="s">
        <v>31530</v>
      </c>
    </row>
    <row r="9008" spans="1:25">
      <c r="A9008" t="s">
        <v>31531</v>
      </c>
      <c r="B9008" t="s">
        <v>31532</v>
      </c>
      <c r="D9008" t="s">
        <v>40</v>
      </c>
      <c r="E9008" t="s">
        <v>41</v>
      </c>
      <c r="J9008" t="s">
        <v>6179</v>
      </c>
      <c r="K9008" t="s">
        <v>6180</v>
      </c>
      <c r="L9008">
        <v>2</v>
      </c>
      <c r="M9008" t="s">
        <v>31533</v>
      </c>
      <c r="N9008" t="s">
        <v>27228</v>
      </c>
      <c r="O9008" t="s">
        <v>46</v>
      </c>
      <c r="P9008" t="s">
        <v>46</v>
      </c>
      <c r="Y9008" t="s">
        <v>31534</v>
      </c>
    </row>
    <row r="9009" spans="1:25">
      <c r="A9009" t="s">
        <v>31535</v>
      </c>
      <c r="B9009" t="s">
        <v>31536</v>
      </c>
      <c r="D9009" t="s">
        <v>40</v>
      </c>
      <c r="E9009" t="s">
        <v>41</v>
      </c>
      <c r="J9009" t="s">
        <v>248</v>
      </c>
      <c r="K9009" t="s">
        <v>249</v>
      </c>
      <c r="L9009">
        <v>2</v>
      </c>
      <c r="M9009" t="s">
        <v>31537</v>
      </c>
      <c r="N9009" t="s">
        <v>3013</v>
      </c>
      <c r="O9009" t="s">
        <v>46</v>
      </c>
      <c r="P9009" t="s">
        <v>46</v>
      </c>
      <c r="Y9009" t="s">
        <v>31538</v>
      </c>
    </row>
    <row r="9010" spans="1:25">
      <c r="A9010" t="s">
        <v>31539</v>
      </c>
      <c r="B9010" t="s">
        <v>31540</v>
      </c>
      <c r="D9010" t="s">
        <v>40</v>
      </c>
      <c r="E9010" t="s">
        <v>41</v>
      </c>
      <c r="J9010" t="s">
        <v>1142</v>
      </c>
      <c r="K9010" t="s">
        <v>1143</v>
      </c>
      <c r="L9010">
        <v>2</v>
      </c>
      <c r="M9010" t="s">
        <v>31541</v>
      </c>
      <c r="N9010" t="s">
        <v>756</v>
      </c>
      <c r="O9010" t="s">
        <v>46</v>
      </c>
      <c r="P9010" t="s">
        <v>46</v>
      </c>
      <c r="Y9010" t="s">
        <v>31542</v>
      </c>
    </row>
    <row r="9011" spans="1:25">
      <c r="A9011" t="s">
        <v>31543</v>
      </c>
      <c r="B9011" t="s">
        <v>31544</v>
      </c>
      <c r="D9011" t="s">
        <v>40</v>
      </c>
      <c r="E9011" t="s">
        <v>41</v>
      </c>
      <c r="J9011" t="s">
        <v>248</v>
      </c>
      <c r="K9011" t="s">
        <v>249</v>
      </c>
      <c r="L9011">
        <v>2</v>
      </c>
      <c r="M9011" t="s">
        <v>31545</v>
      </c>
      <c r="N9011" t="s">
        <v>53</v>
      </c>
      <c r="O9011" t="s">
        <v>46</v>
      </c>
      <c r="P9011" t="s">
        <v>46</v>
      </c>
      <c r="Y9011" t="s">
        <v>31546</v>
      </c>
    </row>
    <row r="9012" spans="1:25">
      <c r="A9012" t="s">
        <v>31547</v>
      </c>
      <c r="B9012" t="s">
        <v>31548</v>
      </c>
      <c r="D9012" t="s">
        <v>40</v>
      </c>
      <c r="E9012" t="s">
        <v>41</v>
      </c>
      <c r="J9012" t="s">
        <v>248</v>
      </c>
      <c r="K9012" t="s">
        <v>249</v>
      </c>
      <c r="L9012">
        <v>2</v>
      </c>
      <c r="M9012" t="s">
        <v>31549</v>
      </c>
      <c r="N9012" t="s">
        <v>617</v>
      </c>
      <c r="O9012" t="s">
        <v>46</v>
      </c>
      <c r="P9012" t="s">
        <v>46</v>
      </c>
      <c r="Y9012" t="s">
        <v>31550</v>
      </c>
    </row>
    <row r="9013" spans="1:25">
      <c r="A9013" t="s">
        <v>31551</v>
      </c>
      <c r="B9013" t="s">
        <v>31552</v>
      </c>
      <c r="D9013" t="s">
        <v>40</v>
      </c>
      <c r="E9013" t="s">
        <v>41</v>
      </c>
      <c r="J9013" t="s">
        <v>1142</v>
      </c>
      <c r="K9013" t="s">
        <v>1143</v>
      </c>
      <c r="L9013">
        <v>2</v>
      </c>
      <c r="M9013" t="s">
        <v>31553</v>
      </c>
      <c r="N9013" t="s">
        <v>2621</v>
      </c>
      <c r="O9013" t="s">
        <v>46</v>
      </c>
      <c r="P9013" t="s">
        <v>46</v>
      </c>
      <c r="Y9013" t="s">
        <v>31554</v>
      </c>
    </row>
    <row r="9014" spans="1:25">
      <c r="A9014" t="s">
        <v>31555</v>
      </c>
      <c r="B9014" t="s">
        <v>31556</v>
      </c>
      <c r="D9014" t="s">
        <v>40</v>
      </c>
      <c r="E9014" t="s">
        <v>41</v>
      </c>
      <c r="J9014" t="s">
        <v>2619</v>
      </c>
      <c r="K9014" t="s">
        <v>140</v>
      </c>
      <c r="L9014">
        <v>2</v>
      </c>
      <c r="M9014" t="s">
        <v>31557</v>
      </c>
      <c r="N9014" t="s">
        <v>24245</v>
      </c>
      <c r="O9014" t="s">
        <v>46</v>
      </c>
      <c r="P9014" t="s">
        <v>46</v>
      </c>
      <c r="Y9014" t="s">
        <v>31558</v>
      </c>
    </row>
    <row r="9015" spans="1:25">
      <c r="A9015" t="s">
        <v>31559</v>
      </c>
      <c r="B9015" t="s">
        <v>31560</v>
      </c>
      <c r="D9015" t="s">
        <v>40</v>
      </c>
      <c r="E9015" t="s">
        <v>41</v>
      </c>
      <c r="J9015" t="s">
        <v>6179</v>
      </c>
      <c r="K9015" t="s">
        <v>6180</v>
      </c>
      <c r="L9015">
        <v>2</v>
      </c>
      <c r="M9015" t="s">
        <v>31561</v>
      </c>
      <c r="N9015" t="s">
        <v>1397</v>
      </c>
      <c r="O9015" t="s">
        <v>46</v>
      </c>
      <c r="P9015" t="s">
        <v>46</v>
      </c>
      <c r="Y9015" t="s">
        <v>31562</v>
      </c>
    </row>
    <row r="9016" spans="1:25">
      <c r="A9016" t="s">
        <v>31563</v>
      </c>
      <c r="B9016" t="s">
        <v>31564</v>
      </c>
      <c r="D9016" t="s">
        <v>40</v>
      </c>
      <c r="E9016" t="s">
        <v>41</v>
      </c>
      <c r="J9016" t="s">
        <v>248</v>
      </c>
      <c r="K9016" t="s">
        <v>249</v>
      </c>
      <c r="L9016">
        <v>2</v>
      </c>
      <c r="M9016" t="s">
        <v>31565</v>
      </c>
      <c r="N9016" t="s">
        <v>58</v>
      </c>
      <c r="O9016" t="s">
        <v>46</v>
      </c>
      <c r="P9016" t="s">
        <v>46</v>
      </c>
      <c r="Y9016" t="s">
        <v>31566</v>
      </c>
    </row>
    <row r="9017" spans="1:25">
      <c r="A9017" t="s">
        <v>31567</v>
      </c>
      <c r="B9017" t="s">
        <v>31568</v>
      </c>
      <c r="D9017" t="s">
        <v>40</v>
      </c>
      <c r="E9017" t="s">
        <v>41</v>
      </c>
      <c r="J9017" t="s">
        <v>14558</v>
      </c>
      <c r="K9017" t="s">
        <v>14559</v>
      </c>
      <c r="L9017">
        <v>2</v>
      </c>
      <c r="M9017" t="s">
        <v>31565</v>
      </c>
      <c r="N9017" t="s">
        <v>1229</v>
      </c>
      <c r="O9017" t="s">
        <v>46</v>
      </c>
      <c r="P9017" t="s">
        <v>46</v>
      </c>
      <c r="Y9017" t="s">
        <v>31569</v>
      </c>
    </row>
    <row r="9018" spans="1:25">
      <c r="A9018" t="s">
        <v>31570</v>
      </c>
      <c r="B9018" t="s">
        <v>31571</v>
      </c>
      <c r="D9018" t="s">
        <v>40</v>
      </c>
      <c r="E9018" t="s">
        <v>41</v>
      </c>
      <c r="J9018" t="s">
        <v>1554</v>
      </c>
      <c r="K9018" t="s">
        <v>1555</v>
      </c>
      <c r="L9018">
        <v>2</v>
      </c>
      <c r="M9018" t="s">
        <v>31572</v>
      </c>
      <c r="N9018" t="s">
        <v>296</v>
      </c>
      <c r="O9018" t="s">
        <v>46</v>
      </c>
      <c r="P9018" t="s">
        <v>46</v>
      </c>
      <c r="Y9018" t="s">
        <v>31573</v>
      </c>
    </row>
    <row r="9019" spans="1:25">
      <c r="A9019" t="s">
        <v>31574</v>
      </c>
      <c r="B9019" t="s">
        <v>31575</v>
      </c>
      <c r="D9019" t="s">
        <v>40</v>
      </c>
      <c r="E9019" t="s">
        <v>41</v>
      </c>
      <c r="J9019" t="s">
        <v>22447</v>
      </c>
      <c r="K9019" t="s">
        <v>22448</v>
      </c>
      <c r="L9019">
        <v>2</v>
      </c>
      <c r="M9019" t="s">
        <v>31576</v>
      </c>
      <c r="N9019" t="s">
        <v>756</v>
      </c>
      <c r="O9019" t="s">
        <v>46</v>
      </c>
      <c r="P9019" t="s">
        <v>46</v>
      </c>
      <c r="Y9019" t="s">
        <v>31577</v>
      </c>
    </row>
    <row r="9020" spans="1:25">
      <c r="A9020" t="s">
        <v>31578</v>
      </c>
      <c r="B9020" t="s">
        <v>31579</v>
      </c>
      <c r="D9020" t="s">
        <v>40</v>
      </c>
      <c r="E9020" t="s">
        <v>41</v>
      </c>
      <c r="J9020" t="s">
        <v>248</v>
      </c>
      <c r="K9020" t="s">
        <v>249</v>
      </c>
      <c r="L9020">
        <v>2</v>
      </c>
      <c r="M9020" t="s">
        <v>31580</v>
      </c>
      <c r="N9020" t="s">
        <v>31581</v>
      </c>
      <c r="O9020" t="s">
        <v>46</v>
      </c>
      <c r="P9020" t="s">
        <v>46</v>
      </c>
      <c r="Y9020" t="s">
        <v>31582</v>
      </c>
    </row>
    <row r="9021" spans="1:25">
      <c r="A9021" t="s">
        <v>31583</v>
      </c>
      <c r="B9021" t="s">
        <v>31584</v>
      </c>
      <c r="D9021" t="s">
        <v>40</v>
      </c>
      <c r="E9021" t="s">
        <v>41</v>
      </c>
      <c r="J9021" t="s">
        <v>248</v>
      </c>
      <c r="K9021" t="s">
        <v>249</v>
      </c>
      <c r="L9021">
        <v>2</v>
      </c>
      <c r="M9021" t="s">
        <v>31580</v>
      </c>
      <c r="N9021" t="s">
        <v>53</v>
      </c>
      <c r="O9021" t="s">
        <v>46</v>
      </c>
      <c r="P9021" t="s">
        <v>46</v>
      </c>
      <c r="Y9021" t="s">
        <v>31585</v>
      </c>
    </row>
    <row r="9022" spans="1:25">
      <c r="A9022" t="s">
        <v>31586</v>
      </c>
      <c r="B9022" t="s">
        <v>31587</v>
      </c>
      <c r="D9022" t="s">
        <v>40</v>
      </c>
      <c r="E9022" t="s">
        <v>41</v>
      </c>
      <c r="J9022" t="s">
        <v>139</v>
      </c>
      <c r="K9022" t="s">
        <v>140</v>
      </c>
      <c r="L9022">
        <v>2</v>
      </c>
      <c r="M9022" t="s">
        <v>31588</v>
      </c>
      <c r="N9022" t="s">
        <v>1550</v>
      </c>
      <c r="O9022" t="s">
        <v>46</v>
      </c>
      <c r="P9022" t="s">
        <v>46</v>
      </c>
      <c r="Y9022" t="s">
        <v>31589</v>
      </c>
    </row>
    <row r="9023" spans="1:25">
      <c r="A9023" t="s">
        <v>31590</v>
      </c>
      <c r="B9023" t="s">
        <v>31591</v>
      </c>
      <c r="D9023" t="s">
        <v>40</v>
      </c>
      <c r="E9023" t="s">
        <v>41</v>
      </c>
      <c r="J9023" t="s">
        <v>12440</v>
      </c>
      <c r="K9023" t="s">
        <v>12441</v>
      </c>
      <c r="L9023">
        <v>3</v>
      </c>
      <c r="M9023" t="s">
        <v>31592</v>
      </c>
      <c r="N9023" t="s">
        <v>64</v>
      </c>
      <c r="O9023" t="s">
        <v>46</v>
      </c>
      <c r="P9023" t="s">
        <v>46</v>
      </c>
      <c r="Y9023" t="s">
        <v>31593</v>
      </c>
    </row>
    <row r="9024" spans="1:25">
      <c r="A9024" t="s">
        <v>31594</v>
      </c>
      <c r="B9024" t="s">
        <v>31595</v>
      </c>
      <c r="D9024" t="s">
        <v>40</v>
      </c>
      <c r="E9024" t="s">
        <v>41</v>
      </c>
      <c r="J9024" t="s">
        <v>248</v>
      </c>
      <c r="K9024" t="s">
        <v>249</v>
      </c>
      <c r="L9024">
        <v>2</v>
      </c>
      <c r="M9024" t="s">
        <v>31596</v>
      </c>
      <c r="N9024" t="s">
        <v>350</v>
      </c>
      <c r="O9024" t="s">
        <v>46</v>
      </c>
      <c r="P9024" t="s">
        <v>46</v>
      </c>
      <c r="Y9024" t="s">
        <v>31597</v>
      </c>
    </row>
    <row r="9025" spans="1:25">
      <c r="A9025" t="s">
        <v>31598</v>
      </c>
      <c r="B9025" t="s">
        <v>31599</v>
      </c>
      <c r="D9025" t="s">
        <v>40</v>
      </c>
      <c r="E9025" t="s">
        <v>41</v>
      </c>
      <c r="J9025" t="s">
        <v>11802</v>
      </c>
      <c r="K9025" t="s">
        <v>11803</v>
      </c>
      <c r="L9025">
        <v>2</v>
      </c>
      <c r="M9025" t="s">
        <v>31596</v>
      </c>
      <c r="N9025" t="s">
        <v>24227</v>
      </c>
      <c r="O9025" t="s">
        <v>46</v>
      </c>
      <c r="P9025" t="s">
        <v>46</v>
      </c>
      <c r="Y9025" t="s">
        <v>31600</v>
      </c>
    </row>
    <row r="9026" spans="1:25">
      <c r="A9026" t="s">
        <v>31601</v>
      </c>
      <c r="B9026" t="s">
        <v>31602</v>
      </c>
      <c r="D9026" t="s">
        <v>40</v>
      </c>
      <c r="E9026" t="s">
        <v>41</v>
      </c>
      <c r="J9026" t="s">
        <v>248</v>
      </c>
      <c r="K9026" t="s">
        <v>249</v>
      </c>
      <c r="L9026">
        <v>2</v>
      </c>
      <c r="M9026" t="s">
        <v>31603</v>
      </c>
      <c r="N9026" t="s">
        <v>1814</v>
      </c>
      <c r="O9026" t="s">
        <v>46</v>
      </c>
      <c r="P9026" t="s">
        <v>46</v>
      </c>
      <c r="Y9026" t="s">
        <v>31604</v>
      </c>
    </row>
    <row r="9027" spans="1:25">
      <c r="A9027" t="s">
        <v>31605</v>
      </c>
      <c r="B9027" t="s">
        <v>31606</v>
      </c>
      <c r="D9027" t="s">
        <v>40</v>
      </c>
      <c r="E9027" t="s">
        <v>41</v>
      </c>
      <c r="J9027" t="s">
        <v>248</v>
      </c>
      <c r="K9027" t="s">
        <v>249</v>
      </c>
      <c r="L9027">
        <v>2</v>
      </c>
      <c r="M9027" t="s">
        <v>31607</v>
      </c>
      <c r="N9027" t="s">
        <v>58</v>
      </c>
      <c r="O9027" t="s">
        <v>46</v>
      </c>
      <c r="P9027" t="s">
        <v>46</v>
      </c>
      <c r="Y9027" t="s">
        <v>31608</v>
      </c>
    </row>
    <row r="9028" spans="1:25">
      <c r="A9028" t="s">
        <v>31609</v>
      </c>
      <c r="B9028" t="s">
        <v>31610</v>
      </c>
      <c r="D9028" t="s">
        <v>40</v>
      </c>
      <c r="E9028" t="s">
        <v>41</v>
      </c>
      <c r="J9028" t="s">
        <v>1142</v>
      </c>
      <c r="K9028" t="s">
        <v>1143</v>
      </c>
      <c r="L9028">
        <v>2</v>
      </c>
      <c r="M9028" t="s">
        <v>31611</v>
      </c>
      <c r="N9028" t="s">
        <v>142</v>
      </c>
      <c r="O9028" t="s">
        <v>46</v>
      </c>
      <c r="P9028" t="s">
        <v>46</v>
      </c>
      <c r="Y9028" t="s">
        <v>31612</v>
      </c>
    </row>
    <row r="9029" spans="1:25">
      <c r="A9029" t="s">
        <v>31613</v>
      </c>
      <c r="B9029" t="s">
        <v>31614</v>
      </c>
      <c r="D9029" t="s">
        <v>40</v>
      </c>
      <c r="E9029" t="s">
        <v>41</v>
      </c>
      <c r="J9029" t="s">
        <v>248</v>
      </c>
      <c r="K9029" t="s">
        <v>249</v>
      </c>
      <c r="L9029">
        <v>2</v>
      </c>
      <c r="M9029" t="s">
        <v>31611</v>
      </c>
      <c r="N9029" t="s">
        <v>440</v>
      </c>
      <c r="O9029" t="s">
        <v>46</v>
      </c>
      <c r="P9029" t="s">
        <v>46</v>
      </c>
      <c r="Y9029" t="s">
        <v>31615</v>
      </c>
    </row>
    <row r="9030" spans="1:25">
      <c r="A9030" t="s">
        <v>31616</v>
      </c>
      <c r="B9030" t="s">
        <v>31617</v>
      </c>
      <c r="D9030" t="s">
        <v>40</v>
      </c>
      <c r="E9030" t="s">
        <v>41</v>
      </c>
      <c r="J9030" t="s">
        <v>139</v>
      </c>
      <c r="K9030" t="s">
        <v>140</v>
      </c>
      <c r="L9030">
        <v>2</v>
      </c>
      <c r="M9030" t="s">
        <v>31618</v>
      </c>
      <c r="N9030" t="s">
        <v>257</v>
      </c>
      <c r="O9030" t="s">
        <v>46</v>
      </c>
      <c r="P9030" t="s">
        <v>46</v>
      </c>
      <c r="Y9030" t="s">
        <v>31619</v>
      </c>
    </row>
    <row r="9031" spans="1:25">
      <c r="A9031" t="s">
        <v>31620</v>
      </c>
      <c r="B9031" t="s">
        <v>31621</v>
      </c>
      <c r="D9031" t="s">
        <v>40</v>
      </c>
      <c r="E9031" t="s">
        <v>41</v>
      </c>
      <c r="J9031" t="s">
        <v>1142</v>
      </c>
      <c r="K9031" t="s">
        <v>1143</v>
      </c>
      <c r="L9031">
        <v>2</v>
      </c>
      <c r="M9031" t="s">
        <v>31622</v>
      </c>
      <c r="N9031" t="s">
        <v>53</v>
      </c>
      <c r="O9031" t="s">
        <v>46</v>
      </c>
      <c r="P9031" t="s">
        <v>46</v>
      </c>
      <c r="Y9031" t="s">
        <v>31623</v>
      </c>
    </row>
    <row r="9032" spans="1:25">
      <c r="A9032" t="s">
        <v>31624</v>
      </c>
      <c r="B9032" t="s">
        <v>31625</v>
      </c>
      <c r="D9032" t="s">
        <v>40</v>
      </c>
      <c r="E9032" t="s">
        <v>41</v>
      </c>
      <c r="J9032" t="s">
        <v>599</v>
      </c>
      <c r="K9032" t="s">
        <v>600</v>
      </c>
      <c r="L9032">
        <v>3</v>
      </c>
      <c r="M9032" t="s">
        <v>31626</v>
      </c>
      <c r="N9032" t="s">
        <v>436</v>
      </c>
      <c r="O9032" t="s">
        <v>46</v>
      </c>
      <c r="P9032" t="s">
        <v>46</v>
      </c>
      <c r="Y9032" t="s">
        <v>31627</v>
      </c>
    </row>
    <row r="9033" spans="1:25">
      <c r="A9033" t="s">
        <v>31628</v>
      </c>
      <c r="B9033" t="s">
        <v>31629</v>
      </c>
      <c r="D9033" t="s">
        <v>40</v>
      </c>
      <c r="E9033" t="s">
        <v>41</v>
      </c>
      <c r="J9033" t="s">
        <v>248</v>
      </c>
      <c r="K9033" t="s">
        <v>249</v>
      </c>
      <c r="L9033">
        <v>2</v>
      </c>
      <c r="M9033" t="s">
        <v>31630</v>
      </c>
      <c r="N9033" t="s">
        <v>142</v>
      </c>
      <c r="O9033" t="s">
        <v>46</v>
      </c>
      <c r="P9033" t="s">
        <v>46</v>
      </c>
      <c r="Y9033" t="s">
        <v>31631</v>
      </c>
    </row>
    <row r="9034" spans="1:25">
      <c r="A9034" t="s">
        <v>31632</v>
      </c>
      <c r="B9034" t="s">
        <v>31633</v>
      </c>
      <c r="D9034" t="s">
        <v>40</v>
      </c>
      <c r="E9034" t="s">
        <v>41</v>
      </c>
      <c r="J9034" t="s">
        <v>1142</v>
      </c>
      <c r="K9034" t="s">
        <v>1143</v>
      </c>
      <c r="L9034">
        <v>2</v>
      </c>
      <c r="M9034" t="s">
        <v>31634</v>
      </c>
      <c r="N9034" t="s">
        <v>315</v>
      </c>
      <c r="O9034" t="s">
        <v>46</v>
      </c>
      <c r="P9034" t="s">
        <v>46</v>
      </c>
      <c r="Y9034" t="s">
        <v>31635</v>
      </c>
    </row>
    <row r="9035" spans="1:25">
      <c r="A9035" t="s">
        <v>31636</v>
      </c>
      <c r="B9035" t="s">
        <v>31637</v>
      </c>
      <c r="D9035" t="s">
        <v>40</v>
      </c>
      <c r="E9035" t="s">
        <v>41</v>
      </c>
      <c r="J9035" t="s">
        <v>139</v>
      </c>
      <c r="K9035" t="s">
        <v>140</v>
      </c>
      <c r="L9035">
        <v>3</v>
      </c>
      <c r="M9035" t="s">
        <v>31638</v>
      </c>
      <c r="N9035" t="s">
        <v>950</v>
      </c>
      <c r="O9035" t="s">
        <v>46</v>
      </c>
      <c r="P9035" t="s">
        <v>46</v>
      </c>
      <c r="Y9035" t="s">
        <v>31639</v>
      </c>
    </row>
    <row r="9036" spans="1:25">
      <c r="A9036" t="s">
        <v>31640</v>
      </c>
      <c r="B9036" t="s">
        <v>31641</v>
      </c>
      <c r="D9036" t="s">
        <v>40</v>
      </c>
      <c r="E9036" t="s">
        <v>41</v>
      </c>
      <c r="J9036" t="s">
        <v>139</v>
      </c>
      <c r="K9036" t="s">
        <v>140</v>
      </c>
      <c r="L9036">
        <v>2</v>
      </c>
      <c r="M9036" t="s">
        <v>31642</v>
      </c>
      <c r="N9036" t="s">
        <v>509</v>
      </c>
      <c r="O9036" t="s">
        <v>46</v>
      </c>
      <c r="P9036" t="s">
        <v>46</v>
      </c>
      <c r="Y9036" t="s">
        <v>31643</v>
      </c>
    </row>
    <row r="9037" spans="1:25">
      <c r="A9037" t="s">
        <v>31644</v>
      </c>
      <c r="B9037" t="s">
        <v>31645</v>
      </c>
      <c r="D9037" t="s">
        <v>40</v>
      </c>
      <c r="E9037" t="s">
        <v>41</v>
      </c>
      <c r="J9037" t="s">
        <v>6179</v>
      </c>
      <c r="K9037" t="s">
        <v>6180</v>
      </c>
      <c r="L9037">
        <v>2</v>
      </c>
      <c r="M9037" t="s">
        <v>31642</v>
      </c>
      <c r="N9037" t="s">
        <v>1276</v>
      </c>
      <c r="O9037" t="s">
        <v>46</v>
      </c>
      <c r="P9037" t="s">
        <v>46</v>
      </c>
      <c r="Y9037" t="s">
        <v>31646</v>
      </c>
    </row>
    <row r="9038" spans="1:25">
      <c r="A9038" t="s">
        <v>31647</v>
      </c>
      <c r="B9038" t="s">
        <v>31648</v>
      </c>
      <c r="D9038" t="s">
        <v>40</v>
      </c>
      <c r="E9038" t="s">
        <v>41</v>
      </c>
      <c r="J9038" t="s">
        <v>248</v>
      </c>
      <c r="K9038" t="s">
        <v>249</v>
      </c>
      <c r="L9038">
        <v>2</v>
      </c>
      <c r="M9038" t="s">
        <v>31649</v>
      </c>
      <c r="N9038" t="s">
        <v>1369</v>
      </c>
      <c r="O9038" t="s">
        <v>46</v>
      </c>
      <c r="P9038" t="s">
        <v>46</v>
      </c>
      <c r="Y9038" t="s">
        <v>31650</v>
      </c>
    </row>
    <row r="9039" spans="1:25">
      <c r="A9039" t="s">
        <v>31651</v>
      </c>
      <c r="B9039" t="s">
        <v>31652</v>
      </c>
      <c r="D9039" t="s">
        <v>40</v>
      </c>
      <c r="E9039" t="s">
        <v>41</v>
      </c>
      <c r="J9039" t="s">
        <v>139</v>
      </c>
      <c r="K9039" t="s">
        <v>140</v>
      </c>
      <c r="L9039">
        <v>4</v>
      </c>
      <c r="M9039" t="s">
        <v>31653</v>
      </c>
      <c r="N9039" t="s">
        <v>924</v>
      </c>
      <c r="O9039" t="s">
        <v>46</v>
      </c>
      <c r="P9039" t="s">
        <v>46</v>
      </c>
      <c r="Y9039" t="s">
        <v>31654</v>
      </c>
    </row>
    <row r="9040" spans="1:25">
      <c r="A9040" t="s">
        <v>31655</v>
      </c>
      <c r="B9040" t="s">
        <v>31656</v>
      </c>
      <c r="D9040" t="s">
        <v>40</v>
      </c>
      <c r="E9040" t="s">
        <v>41</v>
      </c>
      <c r="J9040" t="s">
        <v>12440</v>
      </c>
      <c r="K9040" t="s">
        <v>12441</v>
      </c>
      <c r="L9040">
        <v>3</v>
      </c>
      <c r="M9040" t="s">
        <v>31657</v>
      </c>
      <c r="N9040" t="s">
        <v>64</v>
      </c>
      <c r="O9040" t="s">
        <v>46</v>
      </c>
      <c r="P9040" t="s">
        <v>46</v>
      </c>
      <c r="Y9040" t="s">
        <v>31658</v>
      </c>
    </row>
    <row r="9041" spans="1:25">
      <c r="A9041" t="s">
        <v>31659</v>
      </c>
      <c r="B9041" t="s">
        <v>31660</v>
      </c>
      <c r="D9041" t="s">
        <v>40</v>
      </c>
      <c r="E9041" t="s">
        <v>41</v>
      </c>
      <c r="J9041" t="s">
        <v>248</v>
      </c>
      <c r="K9041" t="s">
        <v>249</v>
      </c>
      <c r="L9041">
        <v>2</v>
      </c>
      <c r="M9041" t="s">
        <v>31661</v>
      </c>
      <c r="N9041" t="s">
        <v>1550</v>
      </c>
      <c r="O9041" t="s">
        <v>46</v>
      </c>
      <c r="P9041" t="s">
        <v>46</v>
      </c>
      <c r="Y9041" t="s">
        <v>31662</v>
      </c>
    </row>
    <row r="9042" spans="1:25">
      <c r="A9042" t="s">
        <v>31663</v>
      </c>
      <c r="B9042" t="s">
        <v>31664</v>
      </c>
      <c r="D9042" t="s">
        <v>40</v>
      </c>
      <c r="E9042" t="s">
        <v>41</v>
      </c>
      <c r="J9042" t="s">
        <v>248</v>
      </c>
      <c r="K9042" t="s">
        <v>249</v>
      </c>
      <c r="L9042">
        <v>2</v>
      </c>
      <c r="M9042" t="s">
        <v>31665</v>
      </c>
      <c r="N9042" t="s">
        <v>1229</v>
      </c>
      <c r="O9042" t="s">
        <v>46</v>
      </c>
      <c r="P9042" t="s">
        <v>46</v>
      </c>
      <c r="Y9042" t="s">
        <v>31666</v>
      </c>
    </row>
    <row r="9043" spans="1:25">
      <c r="A9043" t="s">
        <v>31667</v>
      </c>
      <c r="B9043" t="s">
        <v>31668</v>
      </c>
      <c r="D9043" t="s">
        <v>40</v>
      </c>
      <c r="E9043" t="s">
        <v>41</v>
      </c>
      <c r="J9043" t="s">
        <v>248</v>
      </c>
      <c r="K9043" t="s">
        <v>249</v>
      </c>
      <c r="L9043">
        <v>2</v>
      </c>
      <c r="M9043" t="s">
        <v>31665</v>
      </c>
      <c r="N9043" t="s">
        <v>1024</v>
      </c>
      <c r="O9043" t="s">
        <v>46</v>
      </c>
      <c r="P9043" t="s">
        <v>46</v>
      </c>
      <c r="Y9043" t="s">
        <v>31669</v>
      </c>
    </row>
    <row r="9044" spans="1:25">
      <c r="A9044" t="s">
        <v>31670</v>
      </c>
      <c r="B9044" t="s">
        <v>31671</v>
      </c>
      <c r="D9044" t="s">
        <v>40</v>
      </c>
      <c r="E9044" t="s">
        <v>41</v>
      </c>
      <c r="J9044" t="s">
        <v>248</v>
      </c>
      <c r="K9044" t="s">
        <v>249</v>
      </c>
      <c r="L9044">
        <v>2</v>
      </c>
      <c r="M9044" t="s">
        <v>31672</v>
      </c>
      <c r="N9044" t="s">
        <v>45</v>
      </c>
      <c r="O9044" t="s">
        <v>46</v>
      </c>
      <c r="P9044" t="s">
        <v>46</v>
      </c>
      <c r="Y9044" t="s">
        <v>31673</v>
      </c>
    </row>
    <row r="9045" spans="1:25">
      <c r="A9045" t="s">
        <v>31674</v>
      </c>
      <c r="B9045" t="s">
        <v>31675</v>
      </c>
      <c r="D9045" t="s">
        <v>40</v>
      </c>
      <c r="E9045" t="s">
        <v>41</v>
      </c>
      <c r="J9045" t="s">
        <v>1554</v>
      </c>
      <c r="K9045" t="s">
        <v>1555</v>
      </c>
      <c r="L9045">
        <v>2</v>
      </c>
      <c r="M9045" t="s">
        <v>31676</v>
      </c>
      <c r="N9045" t="s">
        <v>1397</v>
      </c>
      <c r="O9045" t="s">
        <v>46</v>
      </c>
      <c r="P9045" t="s">
        <v>46</v>
      </c>
      <c r="Y9045" t="s">
        <v>31677</v>
      </c>
    </row>
    <row r="9046" spans="1:25">
      <c r="A9046" t="s">
        <v>31678</v>
      </c>
      <c r="B9046" t="s">
        <v>31679</v>
      </c>
      <c r="D9046" t="s">
        <v>40</v>
      </c>
      <c r="E9046" t="s">
        <v>41</v>
      </c>
      <c r="J9046" t="s">
        <v>248</v>
      </c>
      <c r="K9046" t="s">
        <v>249</v>
      </c>
      <c r="L9046">
        <v>2</v>
      </c>
      <c r="M9046" t="s">
        <v>31680</v>
      </c>
      <c r="N9046" t="s">
        <v>3013</v>
      </c>
      <c r="O9046" t="s">
        <v>46</v>
      </c>
      <c r="P9046" t="s">
        <v>46</v>
      </c>
      <c r="Y9046" t="s">
        <v>31681</v>
      </c>
    </row>
    <row r="9047" spans="1:25">
      <c r="A9047" t="s">
        <v>31682</v>
      </c>
      <c r="B9047" t="s">
        <v>31683</v>
      </c>
      <c r="D9047" t="s">
        <v>40</v>
      </c>
      <c r="E9047" t="s">
        <v>41</v>
      </c>
      <c r="J9047" t="s">
        <v>248</v>
      </c>
      <c r="K9047" t="s">
        <v>249</v>
      </c>
      <c r="L9047">
        <v>2</v>
      </c>
      <c r="M9047" t="s">
        <v>31680</v>
      </c>
      <c r="N9047" t="s">
        <v>53</v>
      </c>
      <c r="O9047" t="s">
        <v>46</v>
      </c>
      <c r="P9047" t="s">
        <v>46</v>
      </c>
      <c r="Y9047" t="s">
        <v>31684</v>
      </c>
    </row>
    <row r="9048" spans="1:25">
      <c r="A9048" t="s">
        <v>31685</v>
      </c>
      <c r="B9048" t="s">
        <v>31686</v>
      </c>
      <c r="D9048" t="s">
        <v>40</v>
      </c>
      <c r="E9048" t="s">
        <v>41</v>
      </c>
      <c r="J9048" t="s">
        <v>1554</v>
      </c>
      <c r="K9048" t="s">
        <v>1555</v>
      </c>
      <c r="L9048">
        <v>2</v>
      </c>
      <c r="M9048" t="s">
        <v>31687</v>
      </c>
      <c r="N9048" t="s">
        <v>24240</v>
      </c>
      <c r="O9048" t="s">
        <v>46</v>
      </c>
      <c r="P9048" t="s">
        <v>46</v>
      </c>
      <c r="Y9048" t="s">
        <v>31688</v>
      </c>
    </row>
    <row r="9049" spans="1:25">
      <c r="A9049" t="s">
        <v>31689</v>
      </c>
      <c r="B9049" t="s">
        <v>31690</v>
      </c>
      <c r="D9049" t="s">
        <v>40</v>
      </c>
      <c r="E9049" t="s">
        <v>41</v>
      </c>
      <c r="J9049" t="s">
        <v>139</v>
      </c>
      <c r="K9049" t="s">
        <v>140</v>
      </c>
      <c r="L9049">
        <v>2</v>
      </c>
      <c r="M9049" t="s">
        <v>31691</v>
      </c>
      <c r="N9049" t="s">
        <v>31581</v>
      </c>
      <c r="O9049" t="s">
        <v>46</v>
      </c>
      <c r="P9049" t="s">
        <v>46</v>
      </c>
      <c r="Y9049" t="s">
        <v>31692</v>
      </c>
    </row>
    <row r="9050" spans="1:25">
      <c r="A9050" t="s">
        <v>31693</v>
      </c>
      <c r="B9050" t="s">
        <v>31694</v>
      </c>
      <c r="D9050" t="s">
        <v>40</v>
      </c>
      <c r="E9050" t="s">
        <v>41</v>
      </c>
      <c r="J9050" t="s">
        <v>12440</v>
      </c>
      <c r="K9050" t="s">
        <v>12441</v>
      </c>
      <c r="L9050">
        <v>3</v>
      </c>
      <c r="M9050" t="s">
        <v>31695</v>
      </c>
      <c r="N9050" t="s">
        <v>64</v>
      </c>
      <c r="O9050" t="s">
        <v>46</v>
      </c>
      <c r="P9050" t="s">
        <v>46</v>
      </c>
      <c r="Y9050" t="s">
        <v>31696</v>
      </c>
    </row>
    <row r="9051" spans="1:25">
      <c r="A9051" t="s">
        <v>31697</v>
      </c>
      <c r="B9051" t="s">
        <v>31698</v>
      </c>
      <c r="D9051" t="s">
        <v>40</v>
      </c>
      <c r="E9051" t="s">
        <v>41</v>
      </c>
      <c r="J9051" t="s">
        <v>1142</v>
      </c>
      <c r="K9051" t="s">
        <v>1143</v>
      </c>
      <c r="L9051">
        <v>2</v>
      </c>
      <c r="M9051" t="s">
        <v>31699</v>
      </c>
      <c r="N9051" t="s">
        <v>142</v>
      </c>
      <c r="O9051" t="s">
        <v>46</v>
      </c>
      <c r="P9051" t="s">
        <v>46</v>
      </c>
      <c r="Y9051" t="s">
        <v>31700</v>
      </c>
    </row>
    <row r="9052" spans="1:25">
      <c r="A9052" t="s">
        <v>31701</v>
      </c>
      <c r="B9052" t="s">
        <v>31702</v>
      </c>
      <c r="D9052" t="s">
        <v>40</v>
      </c>
      <c r="E9052" t="s">
        <v>41</v>
      </c>
      <c r="J9052" t="s">
        <v>12440</v>
      </c>
      <c r="K9052" t="s">
        <v>12441</v>
      </c>
      <c r="L9052">
        <v>3</v>
      </c>
      <c r="M9052" t="s">
        <v>31703</v>
      </c>
      <c r="N9052" t="s">
        <v>64</v>
      </c>
      <c r="O9052" t="s">
        <v>46</v>
      </c>
      <c r="P9052" t="s">
        <v>46</v>
      </c>
      <c r="Y9052" t="s">
        <v>31704</v>
      </c>
    </row>
    <row r="9053" spans="1:25">
      <c r="A9053" t="s">
        <v>31705</v>
      </c>
      <c r="B9053" t="s">
        <v>31706</v>
      </c>
      <c r="D9053" t="s">
        <v>40</v>
      </c>
      <c r="E9053" t="s">
        <v>41</v>
      </c>
      <c r="J9053" t="s">
        <v>248</v>
      </c>
      <c r="K9053" t="s">
        <v>249</v>
      </c>
      <c r="L9053">
        <v>2</v>
      </c>
      <c r="M9053" t="s">
        <v>31707</v>
      </c>
      <c r="N9053" t="s">
        <v>1550</v>
      </c>
      <c r="O9053" t="s">
        <v>46</v>
      </c>
      <c r="P9053" t="s">
        <v>46</v>
      </c>
      <c r="Y9053" t="s">
        <v>31708</v>
      </c>
    </row>
    <row r="9054" spans="1:25">
      <c r="A9054" t="s">
        <v>31709</v>
      </c>
      <c r="B9054" t="s">
        <v>31710</v>
      </c>
      <c r="D9054" t="s">
        <v>40</v>
      </c>
      <c r="E9054" t="s">
        <v>41</v>
      </c>
      <c r="J9054" t="s">
        <v>139</v>
      </c>
      <c r="K9054" t="s">
        <v>140</v>
      </c>
      <c r="L9054">
        <v>2</v>
      </c>
      <c r="M9054" t="s">
        <v>31707</v>
      </c>
      <c r="N9054" t="s">
        <v>950</v>
      </c>
      <c r="O9054" t="s">
        <v>46</v>
      </c>
      <c r="P9054" t="s">
        <v>46</v>
      </c>
      <c r="Y9054" t="s">
        <v>31711</v>
      </c>
    </row>
    <row r="9055" spans="1:25">
      <c r="A9055" t="s">
        <v>31712</v>
      </c>
      <c r="B9055" t="s">
        <v>31713</v>
      </c>
      <c r="D9055" t="s">
        <v>40</v>
      </c>
      <c r="E9055" t="s">
        <v>41</v>
      </c>
      <c r="J9055" t="s">
        <v>248</v>
      </c>
      <c r="K9055" t="s">
        <v>249</v>
      </c>
      <c r="L9055">
        <v>2</v>
      </c>
      <c r="M9055" t="s">
        <v>31714</v>
      </c>
      <c r="N9055" t="s">
        <v>45</v>
      </c>
      <c r="O9055" t="s">
        <v>46</v>
      </c>
      <c r="P9055" t="s">
        <v>46</v>
      </c>
      <c r="Y9055" t="s">
        <v>31715</v>
      </c>
    </row>
    <row r="9056" spans="1:25">
      <c r="A9056" t="s">
        <v>31716</v>
      </c>
      <c r="B9056" t="s">
        <v>31717</v>
      </c>
      <c r="D9056" t="s">
        <v>40</v>
      </c>
      <c r="E9056" t="s">
        <v>41</v>
      </c>
      <c r="J9056" t="s">
        <v>139</v>
      </c>
      <c r="K9056" t="s">
        <v>140</v>
      </c>
      <c r="L9056">
        <v>2</v>
      </c>
      <c r="M9056" t="s">
        <v>31718</v>
      </c>
      <c r="N9056" t="s">
        <v>178</v>
      </c>
      <c r="O9056" t="s">
        <v>46</v>
      </c>
      <c r="P9056" t="s">
        <v>46</v>
      </c>
      <c r="Y9056" t="s">
        <v>31719</v>
      </c>
    </row>
    <row r="9057" spans="1:25">
      <c r="A9057" t="s">
        <v>31720</v>
      </c>
      <c r="B9057" t="s">
        <v>31721</v>
      </c>
      <c r="D9057" t="s">
        <v>40</v>
      </c>
      <c r="E9057" t="s">
        <v>41</v>
      </c>
      <c r="J9057" t="s">
        <v>1142</v>
      </c>
      <c r="K9057" t="s">
        <v>1143</v>
      </c>
      <c r="L9057">
        <v>2</v>
      </c>
      <c r="M9057" t="s">
        <v>31722</v>
      </c>
      <c r="N9057" t="s">
        <v>53</v>
      </c>
      <c r="O9057" t="s">
        <v>46</v>
      </c>
      <c r="P9057" t="s">
        <v>46</v>
      </c>
      <c r="Y9057" t="s">
        <v>31723</v>
      </c>
    </row>
    <row r="9058" spans="1:25">
      <c r="A9058" t="s">
        <v>31724</v>
      </c>
      <c r="B9058" t="s">
        <v>31725</v>
      </c>
      <c r="D9058" t="s">
        <v>40</v>
      </c>
      <c r="E9058" t="s">
        <v>41</v>
      </c>
      <c r="J9058" t="s">
        <v>248</v>
      </c>
      <c r="K9058" t="s">
        <v>249</v>
      </c>
      <c r="L9058">
        <v>2</v>
      </c>
      <c r="M9058" t="s">
        <v>31726</v>
      </c>
      <c r="N9058" t="s">
        <v>24227</v>
      </c>
      <c r="O9058" t="s">
        <v>46</v>
      </c>
      <c r="P9058" t="s">
        <v>46</v>
      </c>
      <c r="Y9058" t="s">
        <v>31727</v>
      </c>
    </row>
    <row r="9059" spans="1:25">
      <c r="A9059" t="s">
        <v>31728</v>
      </c>
      <c r="B9059" t="s">
        <v>31729</v>
      </c>
      <c r="D9059" t="s">
        <v>40</v>
      </c>
      <c r="E9059" t="s">
        <v>41</v>
      </c>
      <c r="J9059" t="s">
        <v>248</v>
      </c>
      <c r="K9059" t="s">
        <v>249</v>
      </c>
      <c r="L9059">
        <v>2</v>
      </c>
      <c r="M9059" t="s">
        <v>31730</v>
      </c>
      <c r="N9059" t="s">
        <v>1369</v>
      </c>
      <c r="O9059" t="s">
        <v>46</v>
      </c>
      <c r="P9059" t="s">
        <v>46</v>
      </c>
      <c r="Y9059" t="s">
        <v>31731</v>
      </c>
    </row>
    <row r="9060" spans="1:25">
      <c r="A9060" t="s">
        <v>31732</v>
      </c>
      <c r="B9060" t="s">
        <v>31733</v>
      </c>
      <c r="D9060" t="s">
        <v>40</v>
      </c>
      <c r="E9060" t="s">
        <v>41</v>
      </c>
      <c r="J9060" t="s">
        <v>139</v>
      </c>
      <c r="K9060" t="s">
        <v>140</v>
      </c>
      <c r="L9060">
        <v>2</v>
      </c>
      <c r="M9060" t="s">
        <v>31734</v>
      </c>
      <c r="N9060" t="s">
        <v>436</v>
      </c>
      <c r="O9060" t="s">
        <v>46</v>
      </c>
      <c r="P9060" t="s">
        <v>46</v>
      </c>
      <c r="Y9060" t="s">
        <v>31735</v>
      </c>
    </row>
    <row r="9061" spans="1:25">
      <c r="A9061" t="s">
        <v>31736</v>
      </c>
      <c r="B9061" t="s">
        <v>31737</v>
      </c>
      <c r="D9061" t="s">
        <v>40</v>
      </c>
      <c r="E9061" t="s">
        <v>41</v>
      </c>
      <c r="J9061" t="s">
        <v>139</v>
      </c>
      <c r="K9061" t="s">
        <v>140</v>
      </c>
      <c r="L9061">
        <v>2</v>
      </c>
      <c r="M9061" t="s">
        <v>31738</v>
      </c>
      <c r="N9061" t="s">
        <v>31581</v>
      </c>
      <c r="O9061" t="s">
        <v>46</v>
      </c>
      <c r="P9061" t="s">
        <v>46</v>
      </c>
      <c r="Y9061" t="s">
        <v>31739</v>
      </c>
    </row>
    <row r="9062" spans="1:25">
      <c r="A9062" t="s">
        <v>31740</v>
      </c>
      <c r="B9062" t="s">
        <v>31741</v>
      </c>
      <c r="D9062" t="s">
        <v>40</v>
      </c>
      <c r="E9062" t="s">
        <v>41</v>
      </c>
      <c r="J9062" t="s">
        <v>139</v>
      </c>
      <c r="K9062" t="s">
        <v>140</v>
      </c>
      <c r="L9062">
        <v>2</v>
      </c>
      <c r="M9062" t="s">
        <v>31742</v>
      </c>
      <c r="N9062" t="s">
        <v>24245</v>
      </c>
      <c r="O9062" t="s">
        <v>46</v>
      </c>
      <c r="P9062" t="s">
        <v>46</v>
      </c>
      <c r="Y9062" t="s">
        <v>31743</v>
      </c>
    </row>
    <row r="9063" spans="1:25">
      <c r="A9063" t="s">
        <v>31744</v>
      </c>
      <c r="B9063" t="s">
        <v>31745</v>
      </c>
      <c r="D9063" t="s">
        <v>40</v>
      </c>
      <c r="E9063" t="s">
        <v>41</v>
      </c>
      <c r="J9063" t="s">
        <v>248</v>
      </c>
      <c r="K9063" t="s">
        <v>249</v>
      </c>
      <c r="L9063">
        <v>2</v>
      </c>
      <c r="M9063" t="s">
        <v>31746</v>
      </c>
      <c r="N9063" t="s">
        <v>178</v>
      </c>
      <c r="O9063" t="s">
        <v>46</v>
      </c>
      <c r="P9063" t="s">
        <v>46</v>
      </c>
      <c r="Y9063" t="s">
        <v>31747</v>
      </c>
    </row>
    <row r="9064" spans="1:25">
      <c r="A9064" t="s">
        <v>31748</v>
      </c>
      <c r="B9064" t="s">
        <v>31749</v>
      </c>
      <c r="D9064" t="s">
        <v>40</v>
      </c>
      <c r="E9064" t="s">
        <v>41</v>
      </c>
      <c r="J9064" t="s">
        <v>248</v>
      </c>
      <c r="K9064" t="s">
        <v>249</v>
      </c>
      <c r="L9064">
        <v>2</v>
      </c>
      <c r="M9064" t="s">
        <v>31750</v>
      </c>
      <c r="N9064" t="s">
        <v>1478</v>
      </c>
      <c r="O9064" t="s">
        <v>46</v>
      </c>
      <c r="P9064" t="s">
        <v>46</v>
      </c>
      <c r="Y9064" t="s">
        <v>31751</v>
      </c>
    </row>
    <row r="9065" spans="1:25">
      <c r="A9065" t="s">
        <v>31752</v>
      </c>
      <c r="B9065" t="s">
        <v>31753</v>
      </c>
      <c r="D9065" t="s">
        <v>40</v>
      </c>
      <c r="E9065" t="s">
        <v>41</v>
      </c>
      <c r="J9065" t="s">
        <v>248</v>
      </c>
      <c r="K9065" t="s">
        <v>249</v>
      </c>
      <c r="L9065">
        <v>2</v>
      </c>
      <c r="M9065" t="s">
        <v>31754</v>
      </c>
      <c r="N9065" t="s">
        <v>1024</v>
      </c>
      <c r="O9065" t="s">
        <v>46</v>
      </c>
      <c r="P9065" t="s">
        <v>46</v>
      </c>
      <c r="Y9065" t="s">
        <v>31755</v>
      </c>
    </row>
    <row r="9066" spans="1:25">
      <c r="A9066" t="s">
        <v>31756</v>
      </c>
      <c r="B9066" t="s">
        <v>31757</v>
      </c>
      <c r="D9066" t="s">
        <v>40</v>
      </c>
      <c r="E9066" t="s">
        <v>41</v>
      </c>
      <c r="J9066" t="s">
        <v>248</v>
      </c>
      <c r="K9066" t="s">
        <v>249</v>
      </c>
      <c r="L9066">
        <v>2</v>
      </c>
      <c r="M9066" t="s">
        <v>31758</v>
      </c>
      <c r="N9066" t="s">
        <v>27228</v>
      </c>
      <c r="O9066" t="s">
        <v>46</v>
      </c>
      <c r="P9066" t="s">
        <v>46</v>
      </c>
      <c r="Y9066" t="s">
        <v>31759</v>
      </c>
    </row>
    <row r="9067" spans="1:25">
      <c r="A9067" t="s">
        <v>31760</v>
      </c>
      <c r="B9067" t="s">
        <v>31761</v>
      </c>
      <c r="D9067" t="s">
        <v>40</v>
      </c>
      <c r="E9067" t="s">
        <v>41</v>
      </c>
      <c r="J9067" t="s">
        <v>248</v>
      </c>
      <c r="K9067" t="s">
        <v>249</v>
      </c>
      <c r="L9067">
        <v>2</v>
      </c>
      <c r="M9067" t="s">
        <v>31762</v>
      </c>
      <c r="N9067" t="s">
        <v>1446</v>
      </c>
      <c r="O9067" t="s">
        <v>46</v>
      </c>
      <c r="P9067" t="s">
        <v>46</v>
      </c>
      <c r="Y9067" t="s">
        <v>31763</v>
      </c>
    </row>
    <row r="9068" spans="1:25">
      <c r="A9068" t="s">
        <v>31764</v>
      </c>
      <c r="B9068" t="s">
        <v>31765</v>
      </c>
      <c r="D9068" t="s">
        <v>40</v>
      </c>
      <c r="E9068" t="s">
        <v>41</v>
      </c>
      <c r="J9068" t="s">
        <v>248</v>
      </c>
      <c r="K9068" t="s">
        <v>249</v>
      </c>
      <c r="L9068">
        <v>2</v>
      </c>
      <c r="M9068" t="s">
        <v>31762</v>
      </c>
      <c r="N9068" t="s">
        <v>5995</v>
      </c>
      <c r="O9068" t="s">
        <v>46</v>
      </c>
      <c r="P9068" t="s">
        <v>46</v>
      </c>
      <c r="Y9068" t="s">
        <v>31766</v>
      </c>
    </row>
    <row r="9069" spans="1:25">
      <c r="A9069" t="s">
        <v>31767</v>
      </c>
      <c r="B9069" t="s">
        <v>31768</v>
      </c>
      <c r="D9069" t="s">
        <v>40</v>
      </c>
      <c r="E9069" t="s">
        <v>41</v>
      </c>
      <c r="J9069" t="s">
        <v>248</v>
      </c>
      <c r="K9069" t="s">
        <v>249</v>
      </c>
      <c r="L9069">
        <v>2</v>
      </c>
      <c r="M9069" t="s">
        <v>31769</v>
      </c>
      <c r="N9069" t="s">
        <v>53</v>
      </c>
      <c r="O9069" t="s">
        <v>46</v>
      </c>
      <c r="P9069" t="s">
        <v>46</v>
      </c>
      <c r="Y9069" t="s">
        <v>31770</v>
      </c>
    </row>
    <row r="9070" spans="1:25">
      <c r="A9070" t="s">
        <v>31771</v>
      </c>
      <c r="B9070" t="s">
        <v>31772</v>
      </c>
      <c r="D9070" t="s">
        <v>40</v>
      </c>
      <c r="E9070" t="s">
        <v>41</v>
      </c>
      <c r="J9070" t="s">
        <v>1554</v>
      </c>
      <c r="K9070" t="s">
        <v>1555</v>
      </c>
      <c r="L9070">
        <v>2</v>
      </c>
      <c r="M9070" t="s">
        <v>31773</v>
      </c>
      <c r="N9070" t="s">
        <v>1024</v>
      </c>
      <c r="O9070" t="s">
        <v>46</v>
      </c>
      <c r="P9070" t="s">
        <v>46</v>
      </c>
      <c r="Y9070" t="s">
        <v>31774</v>
      </c>
    </row>
    <row r="9071" spans="1:25">
      <c r="A9071" t="s">
        <v>31775</v>
      </c>
      <c r="B9071" t="s">
        <v>31776</v>
      </c>
      <c r="D9071" t="s">
        <v>40</v>
      </c>
      <c r="E9071" t="s">
        <v>41</v>
      </c>
      <c r="J9071" t="s">
        <v>248</v>
      </c>
      <c r="K9071" t="s">
        <v>249</v>
      </c>
      <c r="L9071">
        <v>2</v>
      </c>
      <c r="M9071" t="s">
        <v>31777</v>
      </c>
      <c r="N9071" t="s">
        <v>142</v>
      </c>
      <c r="O9071" t="s">
        <v>46</v>
      </c>
      <c r="P9071" t="s">
        <v>46</v>
      </c>
      <c r="Y9071" t="s">
        <v>31778</v>
      </c>
    </row>
    <row r="9072" spans="1:25">
      <c r="A9072" t="s">
        <v>31779</v>
      </c>
      <c r="B9072" t="s">
        <v>31780</v>
      </c>
      <c r="D9072" t="s">
        <v>40</v>
      </c>
      <c r="E9072" t="s">
        <v>41</v>
      </c>
      <c r="J9072" t="s">
        <v>248</v>
      </c>
      <c r="K9072" t="s">
        <v>249</v>
      </c>
      <c r="L9072">
        <v>2</v>
      </c>
      <c r="M9072" t="s">
        <v>31781</v>
      </c>
      <c r="N9072" t="s">
        <v>1446</v>
      </c>
      <c r="O9072" t="s">
        <v>46</v>
      </c>
      <c r="P9072" t="s">
        <v>46</v>
      </c>
      <c r="Y9072" t="s">
        <v>31782</v>
      </c>
    </row>
    <row r="9073" spans="1:25">
      <c r="A9073" t="s">
        <v>31783</v>
      </c>
      <c r="B9073" t="s">
        <v>31784</v>
      </c>
      <c r="D9073" t="s">
        <v>40</v>
      </c>
      <c r="E9073" t="s">
        <v>41</v>
      </c>
      <c r="J9073" t="s">
        <v>12440</v>
      </c>
      <c r="K9073" t="s">
        <v>12441</v>
      </c>
      <c r="L9073">
        <v>3</v>
      </c>
      <c r="M9073" t="s">
        <v>31785</v>
      </c>
      <c r="N9073" t="s">
        <v>5995</v>
      </c>
      <c r="O9073" t="s">
        <v>46</v>
      </c>
      <c r="P9073" t="s">
        <v>46</v>
      </c>
      <c r="Y9073" t="s">
        <v>31786</v>
      </c>
    </row>
    <row r="9074" spans="1:25">
      <c r="A9074" t="s">
        <v>31787</v>
      </c>
      <c r="B9074" t="s">
        <v>31788</v>
      </c>
      <c r="D9074" t="s">
        <v>40</v>
      </c>
      <c r="E9074" t="s">
        <v>41</v>
      </c>
      <c r="J9074" t="s">
        <v>248</v>
      </c>
      <c r="K9074" t="s">
        <v>249</v>
      </c>
      <c r="L9074">
        <v>2</v>
      </c>
      <c r="M9074" t="s">
        <v>31789</v>
      </c>
      <c r="N9074" t="s">
        <v>24387</v>
      </c>
      <c r="O9074" t="s">
        <v>46</v>
      </c>
      <c r="P9074" t="s">
        <v>46</v>
      </c>
      <c r="Y9074" t="s">
        <v>31790</v>
      </c>
    </row>
    <row r="9075" spans="1:25">
      <c r="A9075" t="s">
        <v>31791</v>
      </c>
      <c r="B9075" t="s">
        <v>31792</v>
      </c>
      <c r="D9075" t="s">
        <v>40</v>
      </c>
      <c r="E9075" t="s">
        <v>41</v>
      </c>
      <c r="J9075" t="s">
        <v>1142</v>
      </c>
      <c r="K9075" t="s">
        <v>1143</v>
      </c>
      <c r="L9075">
        <v>2</v>
      </c>
      <c r="M9075" t="s">
        <v>31793</v>
      </c>
      <c r="N9075" t="s">
        <v>296</v>
      </c>
      <c r="O9075" t="s">
        <v>46</v>
      </c>
      <c r="P9075" t="s">
        <v>46</v>
      </c>
      <c r="Y9075" t="s">
        <v>31794</v>
      </c>
    </row>
    <row r="9076" spans="1:25">
      <c r="A9076" t="s">
        <v>31795</v>
      </c>
      <c r="B9076" t="s">
        <v>31796</v>
      </c>
      <c r="D9076" t="s">
        <v>40</v>
      </c>
      <c r="E9076" t="s">
        <v>41</v>
      </c>
      <c r="J9076" t="s">
        <v>248</v>
      </c>
      <c r="K9076" t="s">
        <v>249</v>
      </c>
      <c r="L9076">
        <v>2</v>
      </c>
      <c r="M9076" t="s">
        <v>31797</v>
      </c>
      <c r="N9076" t="s">
        <v>1397</v>
      </c>
      <c r="O9076" t="s">
        <v>46</v>
      </c>
      <c r="P9076" t="s">
        <v>46</v>
      </c>
      <c r="Y9076" t="s">
        <v>31798</v>
      </c>
    </row>
    <row r="9077" spans="1:25">
      <c r="A9077" t="s">
        <v>31799</v>
      </c>
      <c r="B9077" t="s">
        <v>31800</v>
      </c>
      <c r="D9077" t="s">
        <v>40</v>
      </c>
      <c r="E9077" t="s">
        <v>41</v>
      </c>
      <c r="J9077" t="s">
        <v>248</v>
      </c>
      <c r="K9077" t="s">
        <v>249</v>
      </c>
      <c r="L9077">
        <v>2</v>
      </c>
      <c r="M9077" t="s">
        <v>31801</v>
      </c>
      <c r="N9077" t="s">
        <v>3013</v>
      </c>
      <c r="O9077" t="s">
        <v>46</v>
      </c>
      <c r="P9077" t="s">
        <v>46</v>
      </c>
      <c r="Y9077" t="s">
        <v>31802</v>
      </c>
    </row>
    <row r="9078" spans="1:25">
      <c r="A9078" t="s">
        <v>31803</v>
      </c>
      <c r="B9078" t="s">
        <v>31804</v>
      </c>
      <c r="D9078" t="s">
        <v>40</v>
      </c>
      <c r="E9078" t="s">
        <v>41</v>
      </c>
      <c r="J9078" t="s">
        <v>1142</v>
      </c>
      <c r="K9078" t="s">
        <v>1143</v>
      </c>
      <c r="L9078">
        <v>2</v>
      </c>
      <c r="M9078" t="s">
        <v>31805</v>
      </c>
      <c r="N9078" t="s">
        <v>1369</v>
      </c>
      <c r="O9078" t="s">
        <v>46</v>
      </c>
      <c r="P9078" t="s">
        <v>46</v>
      </c>
      <c r="Y9078" t="s">
        <v>31806</v>
      </c>
    </row>
    <row r="9079" spans="1:25">
      <c r="A9079" t="s">
        <v>31807</v>
      </c>
      <c r="B9079" t="s">
        <v>31808</v>
      </c>
      <c r="D9079" t="s">
        <v>40</v>
      </c>
      <c r="E9079" t="s">
        <v>41</v>
      </c>
      <c r="J9079" t="s">
        <v>248</v>
      </c>
      <c r="K9079" t="s">
        <v>249</v>
      </c>
      <c r="L9079">
        <v>2</v>
      </c>
      <c r="M9079" t="s">
        <v>31809</v>
      </c>
      <c r="N9079" t="s">
        <v>1024</v>
      </c>
      <c r="O9079" t="s">
        <v>46</v>
      </c>
      <c r="P9079" t="s">
        <v>46</v>
      </c>
      <c r="Y9079" t="s">
        <v>31810</v>
      </c>
    </row>
    <row r="9080" spans="1:25">
      <c r="A9080" t="s">
        <v>31811</v>
      </c>
      <c r="B9080" t="s">
        <v>31812</v>
      </c>
      <c r="D9080" t="s">
        <v>40</v>
      </c>
      <c r="E9080" t="s">
        <v>41</v>
      </c>
      <c r="J9080" t="s">
        <v>248</v>
      </c>
      <c r="K9080" t="s">
        <v>249</v>
      </c>
      <c r="L9080">
        <v>2</v>
      </c>
      <c r="M9080" t="s">
        <v>31813</v>
      </c>
      <c r="N9080" t="s">
        <v>45</v>
      </c>
      <c r="O9080" t="s">
        <v>46</v>
      </c>
      <c r="P9080" t="s">
        <v>46</v>
      </c>
      <c r="Y9080" t="s">
        <v>31814</v>
      </c>
    </row>
    <row r="9081" spans="1:25">
      <c r="A9081" t="s">
        <v>31815</v>
      </c>
      <c r="B9081" t="s">
        <v>31816</v>
      </c>
      <c r="D9081" t="s">
        <v>40</v>
      </c>
      <c r="E9081" t="s">
        <v>41</v>
      </c>
      <c r="J9081" t="s">
        <v>1142</v>
      </c>
      <c r="K9081" t="s">
        <v>1143</v>
      </c>
      <c r="L9081">
        <v>2</v>
      </c>
      <c r="M9081" t="s">
        <v>31817</v>
      </c>
      <c r="N9081" t="s">
        <v>350</v>
      </c>
      <c r="O9081" t="s">
        <v>46</v>
      </c>
      <c r="P9081" t="s">
        <v>46</v>
      </c>
      <c r="Y9081" t="s">
        <v>31818</v>
      </c>
    </row>
    <row r="9082" spans="1:25">
      <c r="A9082" t="s">
        <v>31819</v>
      </c>
      <c r="B9082" t="s">
        <v>31820</v>
      </c>
      <c r="D9082" t="s">
        <v>40</v>
      </c>
      <c r="E9082" t="s">
        <v>41</v>
      </c>
      <c r="J9082" t="s">
        <v>1554</v>
      </c>
      <c r="K9082" t="s">
        <v>1555</v>
      </c>
      <c r="L9082">
        <v>2</v>
      </c>
      <c r="M9082" t="s">
        <v>31821</v>
      </c>
      <c r="N9082" t="s">
        <v>24227</v>
      </c>
      <c r="O9082" t="s">
        <v>46</v>
      </c>
      <c r="P9082" t="s">
        <v>46</v>
      </c>
      <c r="Y9082" t="s">
        <v>31822</v>
      </c>
    </row>
    <row r="9083" spans="1:25">
      <c r="A9083" t="s">
        <v>31823</v>
      </c>
      <c r="B9083" t="s">
        <v>31824</v>
      </c>
      <c r="D9083" t="s">
        <v>40</v>
      </c>
      <c r="E9083" t="s">
        <v>41</v>
      </c>
      <c r="J9083" t="s">
        <v>248</v>
      </c>
      <c r="K9083" t="s">
        <v>249</v>
      </c>
      <c r="L9083">
        <v>2</v>
      </c>
      <c r="M9083" t="s">
        <v>31825</v>
      </c>
      <c r="N9083" t="s">
        <v>5995</v>
      </c>
      <c r="O9083" t="s">
        <v>46</v>
      </c>
      <c r="P9083" t="s">
        <v>46</v>
      </c>
      <c r="Y9083" t="s">
        <v>31826</v>
      </c>
    </row>
    <row r="9084" spans="1:25">
      <c r="A9084" t="s">
        <v>31827</v>
      </c>
      <c r="B9084" t="s">
        <v>31828</v>
      </c>
      <c r="D9084" t="s">
        <v>40</v>
      </c>
      <c r="E9084" t="s">
        <v>41</v>
      </c>
      <c r="J9084" t="s">
        <v>248</v>
      </c>
      <c r="K9084" t="s">
        <v>249</v>
      </c>
      <c r="L9084">
        <v>2</v>
      </c>
      <c r="M9084" t="s">
        <v>31829</v>
      </c>
      <c r="N9084" t="s">
        <v>24240</v>
      </c>
      <c r="O9084" t="s">
        <v>46</v>
      </c>
      <c r="P9084" t="s">
        <v>46</v>
      </c>
      <c r="Y9084" t="s">
        <v>31830</v>
      </c>
    </row>
    <row r="9085" spans="1:25">
      <c r="A9085" t="s">
        <v>31831</v>
      </c>
      <c r="B9085" t="s">
        <v>31832</v>
      </c>
      <c r="D9085" t="s">
        <v>40</v>
      </c>
      <c r="E9085" t="s">
        <v>41</v>
      </c>
      <c r="J9085" t="s">
        <v>1142</v>
      </c>
      <c r="K9085" t="s">
        <v>1143</v>
      </c>
      <c r="L9085">
        <v>3</v>
      </c>
      <c r="M9085" t="s">
        <v>31829</v>
      </c>
      <c r="N9085" t="s">
        <v>315</v>
      </c>
      <c r="O9085" t="s">
        <v>46</v>
      </c>
      <c r="P9085" t="s">
        <v>46</v>
      </c>
      <c r="Y9085" t="s">
        <v>31833</v>
      </c>
    </row>
    <row r="9086" spans="1:25">
      <c r="A9086" t="s">
        <v>31834</v>
      </c>
      <c r="B9086" t="s">
        <v>31835</v>
      </c>
      <c r="D9086" t="s">
        <v>40</v>
      </c>
      <c r="E9086" t="s">
        <v>41</v>
      </c>
      <c r="J9086" t="s">
        <v>1142</v>
      </c>
      <c r="K9086" t="s">
        <v>1143</v>
      </c>
      <c r="L9086">
        <v>2</v>
      </c>
      <c r="M9086" t="s">
        <v>31836</v>
      </c>
      <c r="N9086" t="s">
        <v>2621</v>
      </c>
      <c r="O9086" t="s">
        <v>46</v>
      </c>
      <c r="P9086" t="s">
        <v>46</v>
      </c>
      <c r="Y9086" t="s">
        <v>31837</v>
      </c>
    </row>
    <row r="9087" spans="1:25">
      <c r="A9087" t="s">
        <v>31838</v>
      </c>
      <c r="B9087" t="s">
        <v>31839</v>
      </c>
      <c r="D9087" t="s">
        <v>40</v>
      </c>
      <c r="E9087" t="s">
        <v>41</v>
      </c>
      <c r="J9087" t="s">
        <v>248</v>
      </c>
      <c r="K9087" t="s">
        <v>249</v>
      </c>
      <c r="L9087">
        <v>2</v>
      </c>
      <c r="M9087" t="s">
        <v>31840</v>
      </c>
      <c r="N9087" t="s">
        <v>142</v>
      </c>
      <c r="O9087" t="s">
        <v>46</v>
      </c>
      <c r="P9087" t="s">
        <v>46</v>
      </c>
      <c r="Y9087" t="s">
        <v>31841</v>
      </c>
    </row>
    <row r="9088" spans="1:25">
      <c r="A9088" t="s">
        <v>31842</v>
      </c>
      <c r="B9088" t="s">
        <v>31843</v>
      </c>
      <c r="D9088" t="s">
        <v>40</v>
      </c>
      <c r="E9088" t="s">
        <v>41</v>
      </c>
      <c r="J9088" t="s">
        <v>139</v>
      </c>
      <c r="K9088" t="s">
        <v>140</v>
      </c>
      <c r="L9088">
        <v>2</v>
      </c>
      <c r="M9088" t="s">
        <v>31844</v>
      </c>
      <c r="N9088" t="s">
        <v>1550</v>
      </c>
      <c r="O9088" t="s">
        <v>46</v>
      </c>
      <c r="P9088" t="s">
        <v>46</v>
      </c>
      <c r="Y9088" t="s">
        <v>31845</v>
      </c>
    </row>
    <row r="9089" spans="1:25">
      <c r="A9089" t="s">
        <v>31846</v>
      </c>
      <c r="B9089" t="s">
        <v>31847</v>
      </c>
      <c r="D9089" t="s">
        <v>40</v>
      </c>
      <c r="E9089" t="s">
        <v>41</v>
      </c>
      <c r="J9089" t="s">
        <v>139</v>
      </c>
      <c r="K9089" t="s">
        <v>140</v>
      </c>
      <c r="L9089">
        <v>2</v>
      </c>
      <c r="M9089" t="s">
        <v>31848</v>
      </c>
      <c r="N9089" t="s">
        <v>436</v>
      </c>
      <c r="O9089" t="s">
        <v>46</v>
      </c>
      <c r="P9089" t="s">
        <v>46</v>
      </c>
      <c r="Y9089" t="s">
        <v>31849</v>
      </c>
    </row>
    <row r="9090" spans="1:25">
      <c r="A9090" t="s">
        <v>31850</v>
      </c>
      <c r="B9090" t="s">
        <v>31851</v>
      </c>
      <c r="D9090" t="s">
        <v>40</v>
      </c>
      <c r="E9090" t="s">
        <v>41</v>
      </c>
      <c r="J9090" t="s">
        <v>248</v>
      </c>
      <c r="K9090" t="s">
        <v>249</v>
      </c>
      <c r="L9090">
        <v>2</v>
      </c>
      <c r="M9090" t="s">
        <v>31852</v>
      </c>
      <c r="N9090" t="s">
        <v>1229</v>
      </c>
      <c r="O9090" t="s">
        <v>46</v>
      </c>
      <c r="P9090" t="s">
        <v>46</v>
      </c>
      <c r="Y9090" t="s">
        <v>31853</v>
      </c>
    </row>
    <row r="9091" spans="1:25">
      <c r="A9091" t="s">
        <v>31854</v>
      </c>
      <c r="B9091" t="s">
        <v>31855</v>
      </c>
      <c r="D9091" t="s">
        <v>40</v>
      </c>
      <c r="E9091" t="s">
        <v>41</v>
      </c>
      <c r="J9091" t="s">
        <v>1142</v>
      </c>
      <c r="K9091" t="s">
        <v>1143</v>
      </c>
      <c r="L9091">
        <v>2</v>
      </c>
      <c r="M9091" t="s">
        <v>31856</v>
      </c>
      <c r="N9091" t="s">
        <v>142</v>
      </c>
      <c r="O9091" t="s">
        <v>46</v>
      </c>
      <c r="P9091" t="s">
        <v>46</v>
      </c>
      <c r="Y9091" t="s">
        <v>31857</v>
      </c>
    </row>
    <row r="9092" spans="1:25">
      <c r="A9092" t="s">
        <v>31858</v>
      </c>
      <c r="B9092" t="s">
        <v>31859</v>
      </c>
      <c r="D9092" t="s">
        <v>40</v>
      </c>
      <c r="E9092" t="s">
        <v>41</v>
      </c>
      <c r="J9092" t="s">
        <v>248</v>
      </c>
      <c r="K9092" t="s">
        <v>249</v>
      </c>
      <c r="L9092">
        <v>2</v>
      </c>
      <c r="M9092" t="s">
        <v>31860</v>
      </c>
      <c r="N9092" t="s">
        <v>1369</v>
      </c>
      <c r="O9092" t="s">
        <v>46</v>
      </c>
      <c r="P9092" t="s">
        <v>46</v>
      </c>
      <c r="Y9092" t="s">
        <v>31861</v>
      </c>
    </row>
    <row r="9093" spans="1:25">
      <c r="A9093" t="s">
        <v>31862</v>
      </c>
      <c r="B9093" t="s">
        <v>31863</v>
      </c>
      <c r="D9093" t="s">
        <v>40</v>
      </c>
      <c r="E9093" t="s">
        <v>41</v>
      </c>
      <c r="J9093" t="s">
        <v>1554</v>
      </c>
      <c r="K9093" t="s">
        <v>1555</v>
      </c>
      <c r="L9093">
        <v>2</v>
      </c>
      <c r="M9093" t="s">
        <v>31864</v>
      </c>
      <c r="N9093" t="s">
        <v>509</v>
      </c>
      <c r="O9093" t="s">
        <v>46</v>
      </c>
      <c r="P9093" t="s">
        <v>46</v>
      </c>
      <c r="Y9093" t="s">
        <v>31865</v>
      </c>
    </row>
    <row r="9094" spans="1:25">
      <c r="A9094" t="s">
        <v>31866</v>
      </c>
      <c r="B9094" t="s">
        <v>31867</v>
      </c>
      <c r="D9094" t="s">
        <v>40</v>
      </c>
      <c r="E9094" t="s">
        <v>41</v>
      </c>
      <c r="J9094" t="s">
        <v>248</v>
      </c>
      <c r="K9094" t="s">
        <v>249</v>
      </c>
      <c r="L9094">
        <v>2</v>
      </c>
      <c r="M9094" t="s">
        <v>31868</v>
      </c>
      <c r="N9094" t="s">
        <v>24227</v>
      </c>
      <c r="O9094" t="s">
        <v>46</v>
      </c>
      <c r="P9094" t="s">
        <v>46</v>
      </c>
      <c r="Y9094" t="s">
        <v>31869</v>
      </c>
    </row>
    <row r="9095" spans="1:25">
      <c r="A9095" t="s">
        <v>31870</v>
      </c>
      <c r="B9095" t="s">
        <v>31871</v>
      </c>
      <c r="D9095" t="s">
        <v>40</v>
      </c>
      <c r="E9095" t="s">
        <v>41</v>
      </c>
      <c r="J9095" t="s">
        <v>6255</v>
      </c>
      <c r="K9095" t="s">
        <v>6256</v>
      </c>
      <c r="L9095">
        <v>2</v>
      </c>
      <c r="M9095" t="s">
        <v>31872</v>
      </c>
      <c r="N9095" t="s">
        <v>1229</v>
      </c>
      <c r="O9095" t="s">
        <v>46</v>
      </c>
      <c r="P9095" t="s">
        <v>46</v>
      </c>
      <c r="Y9095" t="s">
        <v>31873</v>
      </c>
    </row>
    <row r="9096" spans="1:25">
      <c r="A9096" t="s">
        <v>31874</v>
      </c>
      <c r="B9096" t="s">
        <v>31875</v>
      </c>
      <c r="D9096" t="s">
        <v>40</v>
      </c>
      <c r="E9096" t="s">
        <v>41</v>
      </c>
      <c r="J9096" t="s">
        <v>1142</v>
      </c>
      <c r="K9096" t="s">
        <v>1143</v>
      </c>
      <c r="L9096">
        <v>2</v>
      </c>
      <c r="M9096" t="s">
        <v>31876</v>
      </c>
      <c r="N9096" t="s">
        <v>53</v>
      </c>
      <c r="O9096" t="s">
        <v>46</v>
      </c>
      <c r="P9096" t="s">
        <v>46</v>
      </c>
      <c r="Y9096" t="s">
        <v>31877</v>
      </c>
    </row>
    <row r="9097" spans="1:25">
      <c r="A9097" t="s">
        <v>31878</v>
      </c>
      <c r="B9097" t="s">
        <v>31879</v>
      </c>
      <c r="D9097" t="s">
        <v>40</v>
      </c>
      <c r="E9097" t="s">
        <v>41</v>
      </c>
      <c r="J9097" t="s">
        <v>12440</v>
      </c>
      <c r="K9097" t="s">
        <v>12441</v>
      </c>
      <c r="L9097">
        <v>3</v>
      </c>
      <c r="M9097" t="s">
        <v>31880</v>
      </c>
      <c r="N9097" t="s">
        <v>64</v>
      </c>
      <c r="O9097" t="s">
        <v>46</v>
      </c>
      <c r="P9097" t="s">
        <v>46</v>
      </c>
      <c r="Y9097" t="s">
        <v>31881</v>
      </c>
    </row>
    <row r="9098" spans="1:25">
      <c r="A9098" t="s">
        <v>31882</v>
      </c>
      <c r="B9098" t="s">
        <v>31883</v>
      </c>
      <c r="D9098" t="s">
        <v>40</v>
      </c>
      <c r="E9098" t="s">
        <v>41</v>
      </c>
      <c r="J9098" t="s">
        <v>139</v>
      </c>
      <c r="K9098" t="s">
        <v>140</v>
      </c>
      <c r="L9098">
        <v>2</v>
      </c>
      <c r="M9098" t="s">
        <v>31880</v>
      </c>
      <c r="N9098" t="s">
        <v>3013</v>
      </c>
      <c r="O9098" t="s">
        <v>46</v>
      </c>
      <c r="P9098" t="s">
        <v>46</v>
      </c>
      <c r="Y9098" t="s">
        <v>31884</v>
      </c>
    </row>
    <row r="9099" spans="1:25">
      <c r="A9099" t="s">
        <v>31885</v>
      </c>
      <c r="B9099" t="s">
        <v>31886</v>
      </c>
      <c r="D9099" t="s">
        <v>40</v>
      </c>
      <c r="E9099" t="s">
        <v>41</v>
      </c>
      <c r="J9099" t="s">
        <v>1554</v>
      </c>
      <c r="K9099" t="s">
        <v>1555</v>
      </c>
      <c r="L9099">
        <v>2</v>
      </c>
      <c r="M9099" t="s">
        <v>31887</v>
      </c>
      <c r="N9099" t="s">
        <v>24387</v>
      </c>
      <c r="O9099" t="s">
        <v>46</v>
      </c>
      <c r="P9099" t="s">
        <v>46</v>
      </c>
      <c r="Y9099" t="s">
        <v>31888</v>
      </c>
    </row>
    <row r="9100" spans="1:25">
      <c r="A9100" t="s">
        <v>31889</v>
      </c>
      <c r="B9100" t="s">
        <v>31890</v>
      </c>
      <c r="D9100" t="s">
        <v>40</v>
      </c>
      <c r="E9100" t="s">
        <v>41</v>
      </c>
      <c r="J9100" t="s">
        <v>248</v>
      </c>
      <c r="K9100" t="s">
        <v>249</v>
      </c>
      <c r="L9100">
        <v>2</v>
      </c>
      <c r="M9100" t="s">
        <v>31891</v>
      </c>
      <c r="N9100" t="s">
        <v>350</v>
      </c>
      <c r="O9100" t="s">
        <v>46</v>
      </c>
      <c r="P9100" t="s">
        <v>46</v>
      </c>
      <c r="Y9100" t="s">
        <v>31892</v>
      </c>
    </row>
    <row r="9101" spans="1:25">
      <c r="A9101" t="s">
        <v>31893</v>
      </c>
      <c r="B9101" t="s">
        <v>31894</v>
      </c>
      <c r="D9101" t="s">
        <v>40</v>
      </c>
      <c r="E9101" t="s">
        <v>41</v>
      </c>
      <c r="J9101" t="s">
        <v>139</v>
      </c>
      <c r="K9101" t="s">
        <v>140</v>
      </c>
      <c r="L9101">
        <v>2</v>
      </c>
      <c r="M9101" t="s">
        <v>31895</v>
      </c>
      <c r="N9101" t="s">
        <v>1276</v>
      </c>
      <c r="O9101" t="s">
        <v>46</v>
      </c>
      <c r="P9101" t="s">
        <v>46</v>
      </c>
      <c r="Y9101" t="s">
        <v>31896</v>
      </c>
    </row>
    <row r="9102" spans="1:25">
      <c r="A9102" t="s">
        <v>31897</v>
      </c>
      <c r="B9102" t="s">
        <v>31898</v>
      </c>
      <c r="D9102" t="s">
        <v>40</v>
      </c>
      <c r="E9102" t="s">
        <v>41</v>
      </c>
      <c r="J9102" t="s">
        <v>248</v>
      </c>
      <c r="K9102" t="s">
        <v>249</v>
      </c>
      <c r="L9102">
        <v>2</v>
      </c>
      <c r="M9102" t="s">
        <v>31895</v>
      </c>
      <c r="N9102" t="s">
        <v>142</v>
      </c>
      <c r="O9102" t="s">
        <v>46</v>
      </c>
      <c r="P9102" t="s">
        <v>46</v>
      </c>
      <c r="Y9102" t="s">
        <v>31899</v>
      </c>
    </row>
    <row r="9103" spans="1:25">
      <c r="A9103" t="s">
        <v>31900</v>
      </c>
      <c r="B9103" t="s">
        <v>31901</v>
      </c>
      <c r="D9103" t="s">
        <v>40</v>
      </c>
      <c r="E9103" t="s">
        <v>41</v>
      </c>
      <c r="J9103" t="s">
        <v>1554</v>
      </c>
      <c r="K9103" t="s">
        <v>1555</v>
      </c>
      <c r="L9103">
        <v>2</v>
      </c>
      <c r="M9103" t="s">
        <v>31902</v>
      </c>
      <c r="N9103" t="s">
        <v>1024</v>
      </c>
      <c r="O9103" t="s">
        <v>46</v>
      </c>
      <c r="P9103" t="s">
        <v>46</v>
      </c>
      <c r="Y9103" t="s">
        <v>31903</v>
      </c>
    </row>
    <row r="9104" spans="1:25">
      <c r="A9104" t="s">
        <v>31904</v>
      </c>
      <c r="B9104" t="s">
        <v>31905</v>
      </c>
      <c r="D9104" t="s">
        <v>40</v>
      </c>
      <c r="E9104" t="s">
        <v>41</v>
      </c>
      <c r="J9104" t="s">
        <v>139</v>
      </c>
      <c r="K9104" t="s">
        <v>140</v>
      </c>
      <c r="L9104">
        <v>3</v>
      </c>
      <c r="M9104" t="s">
        <v>31906</v>
      </c>
      <c r="N9104" t="s">
        <v>509</v>
      </c>
      <c r="O9104" t="s">
        <v>46</v>
      </c>
      <c r="P9104" t="s">
        <v>46</v>
      </c>
      <c r="Y9104" t="s">
        <v>31907</v>
      </c>
    </row>
    <row r="9105" spans="1:25">
      <c r="A9105" t="s">
        <v>31908</v>
      </c>
      <c r="B9105" t="s">
        <v>31909</v>
      </c>
      <c r="D9105" t="s">
        <v>40</v>
      </c>
      <c r="E9105" t="s">
        <v>41</v>
      </c>
      <c r="J9105" t="s">
        <v>6179</v>
      </c>
      <c r="K9105" t="s">
        <v>6180</v>
      </c>
      <c r="L9105">
        <v>2</v>
      </c>
      <c r="M9105" t="s">
        <v>31910</v>
      </c>
      <c r="N9105" t="s">
        <v>1397</v>
      </c>
      <c r="O9105" t="s">
        <v>46</v>
      </c>
      <c r="P9105" t="s">
        <v>46</v>
      </c>
      <c r="Y9105" t="s">
        <v>31911</v>
      </c>
    </row>
    <row r="9106" spans="1:25">
      <c r="A9106" t="s">
        <v>31912</v>
      </c>
      <c r="B9106" t="s">
        <v>31913</v>
      </c>
      <c r="D9106" t="s">
        <v>40</v>
      </c>
      <c r="E9106" t="s">
        <v>41</v>
      </c>
      <c r="J9106" t="s">
        <v>248</v>
      </c>
      <c r="K9106" t="s">
        <v>249</v>
      </c>
      <c r="L9106">
        <v>2</v>
      </c>
      <c r="M9106" t="s">
        <v>31914</v>
      </c>
      <c r="N9106" t="s">
        <v>142</v>
      </c>
      <c r="O9106" t="s">
        <v>46</v>
      </c>
      <c r="P9106" t="s">
        <v>46</v>
      </c>
      <c r="Y9106" t="s">
        <v>31915</v>
      </c>
    </row>
    <row r="9107" spans="1:25">
      <c r="A9107" t="s">
        <v>31916</v>
      </c>
      <c r="B9107" t="s">
        <v>31917</v>
      </c>
      <c r="D9107" t="s">
        <v>40</v>
      </c>
      <c r="E9107" t="s">
        <v>41</v>
      </c>
      <c r="J9107" t="s">
        <v>248</v>
      </c>
      <c r="K9107" t="s">
        <v>249</v>
      </c>
      <c r="L9107">
        <v>2</v>
      </c>
      <c r="M9107" t="s">
        <v>31918</v>
      </c>
      <c r="N9107" t="s">
        <v>58</v>
      </c>
      <c r="O9107" t="s">
        <v>46</v>
      </c>
      <c r="P9107" t="s">
        <v>46</v>
      </c>
      <c r="Y9107" t="s">
        <v>31919</v>
      </c>
    </row>
    <row r="9108" spans="1:25">
      <c r="A9108" t="s">
        <v>31920</v>
      </c>
      <c r="B9108" t="s">
        <v>31921</v>
      </c>
      <c r="D9108" t="s">
        <v>40</v>
      </c>
      <c r="E9108" t="s">
        <v>41</v>
      </c>
      <c r="J9108" t="s">
        <v>911</v>
      </c>
      <c r="K9108" t="s">
        <v>912</v>
      </c>
      <c r="L9108">
        <v>2</v>
      </c>
      <c r="M9108" t="s">
        <v>31922</v>
      </c>
      <c r="N9108" t="s">
        <v>1380</v>
      </c>
      <c r="O9108" t="s">
        <v>46</v>
      </c>
      <c r="P9108" t="s">
        <v>46</v>
      </c>
      <c r="Y9108" t="s">
        <v>31923</v>
      </c>
    </row>
    <row r="9109" spans="1:25">
      <c r="A9109" t="s">
        <v>31924</v>
      </c>
      <c r="B9109" t="s">
        <v>31925</v>
      </c>
      <c r="D9109" t="s">
        <v>40</v>
      </c>
      <c r="E9109" t="s">
        <v>41</v>
      </c>
      <c r="J9109" t="s">
        <v>248</v>
      </c>
      <c r="K9109" t="s">
        <v>249</v>
      </c>
      <c r="L9109">
        <v>2</v>
      </c>
      <c r="M9109" t="s">
        <v>31926</v>
      </c>
      <c r="N9109" t="s">
        <v>1478</v>
      </c>
      <c r="O9109" t="s">
        <v>46</v>
      </c>
      <c r="P9109" t="s">
        <v>46</v>
      </c>
      <c r="Y9109" t="s">
        <v>31927</v>
      </c>
    </row>
    <row r="9110" spans="1:25">
      <c r="A9110" t="s">
        <v>31928</v>
      </c>
      <c r="B9110" t="s">
        <v>31929</v>
      </c>
      <c r="D9110" t="s">
        <v>40</v>
      </c>
      <c r="E9110" t="s">
        <v>41</v>
      </c>
      <c r="J9110" t="s">
        <v>1142</v>
      </c>
      <c r="K9110" t="s">
        <v>1143</v>
      </c>
      <c r="L9110">
        <v>2</v>
      </c>
      <c r="M9110" t="s">
        <v>31930</v>
      </c>
      <c r="N9110" t="s">
        <v>296</v>
      </c>
      <c r="O9110" t="s">
        <v>46</v>
      </c>
      <c r="P9110" t="s">
        <v>46</v>
      </c>
      <c r="Y9110" t="s">
        <v>31931</v>
      </c>
    </row>
    <row r="9111" spans="1:25">
      <c r="A9111" t="s">
        <v>31932</v>
      </c>
      <c r="B9111" t="s">
        <v>31933</v>
      </c>
      <c r="D9111" t="s">
        <v>40</v>
      </c>
      <c r="E9111" t="s">
        <v>41</v>
      </c>
      <c r="J9111" t="s">
        <v>11802</v>
      </c>
      <c r="K9111" t="s">
        <v>11803</v>
      </c>
      <c r="L9111">
        <v>2</v>
      </c>
      <c r="M9111" t="s">
        <v>31934</v>
      </c>
      <c r="N9111" t="s">
        <v>24387</v>
      </c>
      <c r="O9111" t="s">
        <v>46</v>
      </c>
      <c r="P9111" t="s">
        <v>46</v>
      </c>
      <c r="Y9111" t="s">
        <v>31935</v>
      </c>
    </row>
    <row r="9112" spans="1:25">
      <c r="A9112" t="s">
        <v>31936</v>
      </c>
      <c r="B9112" t="s">
        <v>31937</v>
      </c>
      <c r="D9112" t="s">
        <v>40</v>
      </c>
      <c r="E9112" t="s">
        <v>41</v>
      </c>
      <c r="J9112" t="s">
        <v>1142</v>
      </c>
      <c r="K9112" t="s">
        <v>1143</v>
      </c>
      <c r="L9112">
        <v>2</v>
      </c>
      <c r="M9112" t="s">
        <v>31938</v>
      </c>
      <c r="N9112" t="s">
        <v>53</v>
      </c>
      <c r="O9112" t="s">
        <v>46</v>
      </c>
      <c r="P9112" t="s">
        <v>46</v>
      </c>
      <c r="Y9112" t="s">
        <v>31939</v>
      </c>
    </row>
    <row r="9113" spans="1:25">
      <c r="A9113" t="s">
        <v>31940</v>
      </c>
      <c r="B9113" t="s">
        <v>31941</v>
      </c>
      <c r="D9113" t="s">
        <v>40</v>
      </c>
      <c r="E9113" t="s">
        <v>41</v>
      </c>
      <c r="J9113" t="s">
        <v>12440</v>
      </c>
      <c r="K9113" t="s">
        <v>12441</v>
      </c>
      <c r="L9113">
        <v>3</v>
      </c>
      <c r="M9113" t="s">
        <v>31942</v>
      </c>
      <c r="N9113" t="s">
        <v>64</v>
      </c>
      <c r="O9113" t="s">
        <v>46</v>
      </c>
      <c r="P9113" t="s">
        <v>46</v>
      </c>
      <c r="Y9113" t="s">
        <v>31943</v>
      </c>
    </row>
    <row r="9114" spans="1:25">
      <c r="A9114" t="s">
        <v>31944</v>
      </c>
      <c r="B9114" t="s">
        <v>31945</v>
      </c>
      <c r="D9114" t="s">
        <v>40</v>
      </c>
      <c r="E9114" t="s">
        <v>41</v>
      </c>
      <c r="J9114" t="s">
        <v>248</v>
      </c>
      <c r="K9114" t="s">
        <v>249</v>
      </c>
      <c r="L9114">
        <v>2</v>
      </c>
      <c r="M9114" t="s">
        <v>31946</v>
      </c>
      <c r="N9114" t="s">
        <v>752</v>
      </c>
      <c r="O9114" t="s">
        <v>46</v>
      </c>
      <c r="P9114" t="s">
        <v>46</v>
      </c>
      <c r="Y9114" t="s">
        <v>31947</v>
      </c>
    </row>
    <row r="9115" spans="1:25">
      <c r="A9115" t="s">
        <v>31948</v>
      </c>
      <c r="B9115" t="s">
        <v>31949</v>
      </c>
      <c r="D9115" t="s">
        <v>40</v>
      </c>
      <c r="E9115" t="s">
        <v>41</v>
      </c>
      <c r="J9115" t="s">
        <v>14558</v>
      </c>
      <c r="K9115" t="s">
        <v>14559</v>
      </c>
      <c r="L9115">
        <v>2</v>
      </c>
      <c r="M9115" t="s">
        <v>31950</v>
      </c>
      <c r="N9115" t="s">
        <v>1397</v>
      </c>
      <c r="O9115" t="s">
        <v>46</v>
      </c>
      <c r="P9115" t="s">
        <v>46</v>
      </c>
      <c r="Y9115" t="s">
        <v>31951</v>
      </c>
    </row>
    <row r="9116" spans="1:25">
      <c r="A9116" t="s">
        <v>31952</v>
      </c>
      <c r="B9116" t="s">
        <v>31953</v>
      </c>
      <c r="D9116" t="s">
        <v>40</v>
      </c>
      <c r="E9116" t="s">
        <v>41</v>
      </c>
      <c r="J9116" t="s">
        <v>248</v>
      </c>
      <c r="K9116" t="s">
        <v>249</v>
      </c>
      <c r="L9116">
        <v>2</v>
      </c>
      <c r="M9116" t="s">
        <v>31954</v>
      </c>
      <c r="N9116" t="s">
        <v>3013</v>
      </c>
      <c r="O9116" t="s">
        <v>46</v>
      </c>
      <c r="P9116" t="s">
        <v>46</v>
      </c>
      <c r="Y9116" t="s">
        <v>31955</v>
      </c>
    </row>
    <row r="9117" spans="1:25">
      <c r="A9117" t="s">
        <v>31956</v>
      </c>
      <c r="B9117" t="s">
        <v>31957</v>
      </c>
      <c r="D9117" t="s">
        <v>40</v>
      </c>
      <c r="E9117" t="s">
        <v>41</v>
      </c>
      <c r="J9117" t="s">
        <v>248</v>
      </c>
      <c r="K9117" t="s">
        <v>249</v>
      </c>
      <c r="L9117">
        <v>2</v>
      </c>
      <c r="M9117" t="s">
        <v>31958</v>
      </c>
      <c r="N9117" t="s">
        <v>1229</v>
      </c>
      <c r="O9117" t="s">
        <v>46</v>
      </c>
      <c r="P9117" t="s">
        <v>46</v>
      </c>
      <c r="Y9117" t="s">
        <v>31959</v>
      </c>
    </row>
    <row r="9118" spans="1:25">
      <c r="A9118" t="s">
        <v>31960</v>
      </c>
      <c r="B9118" t="s">
        <v>31961</v>
      </c>
      <c r="D9118" t="s">
        <v>40</v>
      </c>
      <c r="E9118" t="s">
        <v>41</v>
      </c>
      <c r="J9118" t="s">
        <v>12440</v>
      </c>
      <c r="K9118" t="s">
        <v>12441</v>
      </c>
      <c r="L9118">
        <v>3</v>
      </c>
      <c r="M9118" t="s">
        <v>31962</v>
      </c>
      <c r="N9118" t="s">
        <v>64</v>
      </c>
      <c r="O9118" t="s">
        <v>46</v>
      </c>
      <c r="P9118" t="s">
        <v>46</v>
      </c>
      <c r="Y9118" t="s">
        <v>31963</v>
      </c>
    </row>
    <row r="9119" spans="1:25">
      <c r="A9119" t="s">
        <v>31964</v>
      </c>
      <c r="B9119" t="s">
        <v>31965</v>
      </c>
      <c r="D9119" t="s">
        <v>40</v>
      </c>
      <c r="E9119" t="s">
        <v>41</v>
      </c>
      <c r="J9119" t="s">
        <v>1554</v>
      </c>
      <c r="K9119" t="s">
        <v>1555</v>
      </c>
      <c r="L9119">
        <v>2</v>
      </c>
      <c r="M9119" t="s">
        <v>31966</v>
      </c>
      <c r="N9119" t="s">
        <v>509</v>
      </c>
      <c r="O9119" t="s">
        <v>46</v>
      </c>
      <c r="P9119" t="s">
        <v>46</v>
      </c>
      <c r="Y9119" t="s">
        <v>31967</v>
      </c>
    </row>
    <row r="9120" spans="1:25">
      <c r="A9120" t="s">
        <v>31968</v>
      </c>
      <c r="B9120" t="s">
        <v>31969</v>
      </c>
      <c r="D9120" t="s">
        <v>40</v>
      </c>
      <c r="E9120" t="s">
        <v>41</v>
      </c>
      <c r="J9120" t="s">
        <v>1554</v>
      </c>
      <c r="K9120" t="s">
        <v>1555</v>
      </c>
      <c r="L9120">
        <v>2</v>
      </c>
      <c r="M9120" t="s">
        <v>31970</v>
      </c>
      <c r="N9120" t="s">
        <v>1478</v>
      </c>
      <c r="O9120" t="s">
        <v>46</v>
      </c>
      <c r="P9120" t="s">
        <v>46</v>
      </c>
      <c r="Y9120" t="s">
        <v>31971</v>
      </c>
    </row>
    <row r="9121" spans="1:25">
      <c r="A9121" t="s">
        <v>31972</v>
      </c>
      <c r="B9121" t="s">
        <v>31973</v>
      </c>
      <c r="D9121" t="s">
        <v>40</v>
      </c>
      <c r="E9121" t="s">
        <v>41</v>
      </c>
      <c r="J9121" t="s">
        <v>139</v>
      </c>
      <c r="K9121" t="s">
        <v>140</v>
      </c>
      <c r="L9121">
        <v>2</v>
      </c>
      <c r="M9121" t="s">
        <v>31974</v>
      </c>
      <c r="N9121" t="s">
        <v>509</v>
      </c>
      <c r="O9121" t="s">
        <v>46</v>
      </c>
      <c r="P9121" t="s">
        <v>46</v>
      </c>
      <c r="Y9121" t="s">
        <v>31975</v>
      </c>
    </row>
    <row r="9122" spans="1:25">
      <c r="A9122" t="s">
        <v>31976</v>
      </c>
      <c r="B9122" t="s">
        <v>31977</v>
      </c>
      <c r="D9122" t="s">
        <v>40</v>
      </c>
      <c r="E9122" t="s">
        <v>41</v>
      </c>
      <c r="J9122" t="s">
        <v>248</v>
      </c>
      <c r="K9122" t="s">
        <v>249</v>
      </c>
      <c r="L9122">
        <v>2</v>
      </c>
      <c r="M9122" t="s">
        <v>31974</v>
      </c>
      <c r="N9122" t="s">
        <v>1024</v>
      </c>
      <c r="O9122" t="s">
        <v>46</v>
      </c>
      <c r="P9122" t="s">
        <v>46</v>
      </c>
      <c r="Y9122" t="s">
        <v>31978</v>
      </c>
    </row>
    <row r="9123" spans="1:25">
      <c r="A9123" t="s">
        <v>31979</v>
      </c>
      <c r="B9123" t="s">
        <v>31980</v>
      </c>
      <c r="D9123" t="s">
        <v>40</v>
      </c>
      <c r="E9123" t="s">
        <v>41</v>
      </c>
      <c r="J9123" t="s">
        <v>248</v>
      </c>
      <c r="K9123" t="s">
        <v>249</v>
      </c>
      <c r="L9123">
        <v>2</v>
      </c>
      <c r="M9123" t="s">
        <v>31981</v>
      </c>
      <c r="N9123" t="s">
        <v>23374</v>
      </c>
      <c r="O9123" t="s">
        <v>46</v>
      </c>
      <c r="P9123" t="s">
        <v>46</v>
      </c>
      <c r="Y9123" t="s">
        <v>31982</v>
      </c>
    </row>
    <row r="9124" spans="1:25">
      <c r="A9124" t="s">
        <v>31983</v>
      </c>
      <c r="B9124" t="s">
        <v>31984</v>
      </c>
      <c r="D9124" t="s">
        <v>40</v>
      </c>
      <c r="E9124" t="s">
        <v>41</v>
      </c>
      <c r="J9124" t="s">
        <v>248</v>
      </c>
      <c r="K9124" t="s">
        <v>249</v>
      </c>
      <c r="L9124">
        <v>2</v>
      </c>
      <c r="M9124" t="s">
        <v>31985</v>
      </c>
      <c r="N9124" t="s">
        <v>1397</v>
      </c>
      <c r="O9124" t="s">
        <v>46</v>
      </c>
      <c r="P9124" t="s">
        <v>46</v>
      </c>
      <c r="Y9124" t="s">
        <v>31986</v>
      </c>
    </row>
    <row r="9125" spans="1:25">
      <c r="A9125" t="s">
        <v>31987</v>
      </c>
      <c r="B9125" t="s">
        <v>31988</v>
      </c>
      <c r="D9125" t="s">
        <v>40</v>
      </c>
      <c r="E9125" t="s">
        <v>41</v>
      </c>
      <c r="J9125" t="s">
        <v>1554</v>
      </c>
      <c r="K9125" t="s">
        <v>1555</v>
      </c>
      <c r="L9125">
        <v>2</v>
      </c>
      <c r="M9125" t="s">
        <v>31989</v>
      </c>
      <c r="N9125" t="s">
        <v>1814</v>
      </c>
      <c r="O9125" t="s">
        <v>46</v>
      </c>
      <c r="P9125" t="s">
        <v>46</v>
      </c>
      <c r="Y9125" t="s">
        <v>31990</v>
      </c>
    </row>
    <row r="9126" spans="1:25">
      <c r="A9126" t="s">
        <v>31991</v>
      </c>
      <c r="B9126" t="s">
        <v>31992</v>
      </c>
      <c r="D9126" t="s">
        <v>40</v>
      </c>
      <c r="E9126" t="s">
        <v>41</v>
      </c>
      <c r="J9126" t="s">
        <v>1554</v>
      </c>
      <c r="K9126" t="s">
        <v>1555</v>
      </c>
      <c r="L9126">
        <v>2</v>
      </c>
      <c r="M9126" t="s">
        <v>31989</v>
      </c>
      <c r="N9126" t="s">
        <v>24240</v>
      </c>
      <c r="O9126" t="s">
        <v>46</v>
      </c>
      <c r="P9126" t="s">
        <v>46</v>
      </c>
      <c r="Y9126" t="s">
        <v>31993</v>
      </c>
    </row>
    <row r="9127" spans="1:25">
      <c r="A9127" t="s">
        <v>31994</v>
      </c>
      <c r="B9127" t="s">
        <v>31995</v>
      </c>
      <c r="D9127" t="s">
        <v>40</v>
      </c>
      <c r="E9127" t="s">
        <v>41</v>
      </c>
      <c r="J9127" t="s">
        <v>248</v>
      </c>
      <c r="K9127" t="s">
        <v>249</v>
      </c>
      <c r="L9127">
        <v>2</v>
      </c>
      <c r="M9127" t="s">
        <v>31996</v>
      </c>
      <c r="N9127" t="s">
        <v>3013</v>
      </c>
      <c r="O9127" t="s">
        <v>46</v>
      </c>
      <c r="P9127" t="s">
        <v>46</v>
      </c>
      <c r="Y9127" t="s">
        <v>31997</v>
      </c>
    </row>
    <row r="9128" spans="1:25">
      <c r="A9128" t="s">
        <v>31998</v>
      </c>
      <c r="B9128" t="s">
        <v>31999</v>
      </c>
      <c r="D9128" t="s">
        <v>40</v>
      </c>
      <c r="E9128" t="s">
        <v>41</v>
      </c>
      <c r="J9128" t="s">
        <v>248</v>
      </c>
      <c r="K9128" t="s">
        <v>249</v>
      </c>
      <c r="L9128">
        <v>2</v>
      </c>
      <c r="M9128" t="s">
        <v>32000</v>
      </c>
      <c r="N9128" t="s">
        <v>27228</v>
      </c>
      <c r="O9128" t="s">
        <v>46</v>
      </c>
      <c r="P9128" t="s">
        <v>46</v>
      </c>
      <c r="Y9128" t="s">
        <v>32001</v>
      </c>
    </row>
    <row r="9129" spans="1:25">
      <c r="A9129" t="s">
        <v>32002</v>
      </c>
      <c r="B9129" t="s">
        <v>32003</v>
      </c>
      <c r="D9129" t="s">
        <v>40</v>
      </c>
      <c r="E9129" t="s">
        <v>41</v>
      </c>
      <c r="J9129" t="s">
        <v>1142</v>
      </c>
      <c r="K9129" t="s">
        <v>1143</v>
      </c>
      <c r="L9129">
        <v>2</v>
      </c>
      <c r="M9129" t="s">
        <v>32004</v>
      </c>
      <c r="N9129" t="s">
        <v>950</v>
      </c>
      <c r="O9129" t="s">
        <v>46</v>
      </c>
      <c r="P9129" t="s">
        <v>46</v>
      </c>
      <c r="Y9129" t="s">
        <v>32005</v>
      </c>
    </row>
    <row r="9130" spans="1:25">
      <c r="A9130" t="s">
        <v>32006</v>
      </c>
      <c r="B9130" t="s">
        <v>32007</v>
      </c>
      <c r="D9130" t="s">
        <v>40</v>
      </c>
      <c r="E9130" t="s">
        <v>41</v>
      </c>
      <c r="J9130" t="s">
        <v>1554</v>
      </c>
      <c r="K9130" t="s">
        <v>1555</v>
      </c>
      <c r="L9130">
        <v>2</v>
      </c>
      <c r="M9130" t="s">
        <v>32008</v>
      </c>
      <c r="N9130" t="s">
        <v>266</v>
      </c>
      <c r="O9130" t="s">
        <v>46</v>
      </c>
      <c r="P9130" t="s">
        <v>46</v>
      </c>
      <c r="Y9130" t="s">
        <v>32009</v>
      </c>
    </row>
    <row r="9131" spans="1:25">
      <c r="A9131" t="s">
        <v>32010</v>
      </c>
      <c r="B9131" t="s">
        <v>32011</v>
      </c>
      <c r="D9131" t="s">
        <v>40</v>
      </c>
      <c r="E9131" t="s">
        <v>41</v>
      </c>
      <c r="J9131" t="s">
        <v>248</v>
      </c>
      <c r="K9131" t="s">
        <v>249</v>
      </c>
      <c r="L9131">
        <v>2</v>
      </c>
      <c r="M9131" t="s">
        <v>32008</v>
      </c>
      <c r="N9131" t="s">
        <v>1276</v>
      </c>
      <c r="O9131" t="s">
        <v>46</v>
      </c>
      <c r="P9131" t="s">
        <v>46</v>
      </c>
      <c r="Y9131" t="s">
        <v>32012</v>
      </c>
    </row>
    <row r="9132" spans="1:25">
      <c r="A9132" t="s">
        <v>32013</v>
      </c>
      <c r="B9132" t="s">
        <v>32014</v>
      </c>
      <c r="D9132" t="s">
        <v>40</v>
      </c>
      <c r="E9132" t="s">
        <v>41</v>
      </c>
      <c r="J9132" t="s">
        <v>248</v>
      </c>
      <c r="K9132" t="s">
        <v>249</v>
      </c>
      <c r="L9132">
        <v>2</v>
      </c>
      <c r="M9132" t="s">
        <v>32015</v>
      </c>
      <c r="N9132" t="s">
        <v>142</v>
      </c>
      <c r="O9132" t="s">
        <v>46</v>
      </c>
      <c r="P9132" t="s">
        <v>46</v>
      </c>
      <c r="Y9132" t="s">
        <v>32016</v>
      </c>
    </row>
    <row r="9133" spans="1:25">
      <c r="A9133" t="s">
        <v>32017</v>
      </c>
      <c r="B9133" t="s">
        <v>32018</v>
      </c>
      <c r="D9133" t="s">
        <v>40</v>
      </c>
      <c r="E9133" t="s">
        <v>41</v>
      </c>
      <c r="J9133" t="s">
        <v>139</v>
      </c>
      <c r="K9133" t="s">
        <v>140</v>
      </c>
      <c r="L9133">
        <v>2</v>
      </c>
      <c r="M9133" t="s">
        <v>32015</v>
      </c>
      <c r="N9133" t="s">
        <v>24245</v>
      </c>
      <c r="O9133" t="s">
        <v>46</v>
      </c>
      <c r="P9133" t="s">
        <v>46</v>
      </c>
      <c r="Y9133" t="s">
        <v>32019</v>
      </c>
    </row>
    <row r="9134" spans="1:25">
      <c r="A9134" t="s">
        <v>32020</v>
      </c>
      <c r="B9134" t="s">
        <v>32021</v>
      </c>
      <c r="D9134" t="s">
        <v>40</v>
      </c>
      <c r="E9134" t="s">
        <v>41</v>
      </c>
      <c r="J9134" t="s">
        <v>248</v>
      </c>
      <c r="K9134" t="s">
        <v>249</v>
      </c>
      <c r="L9134">
        <v>2</v>
      </c>
      <c r="M9134" t="s">
        <v>32015</v>
      </c>
      <c r="N9134" t="s">
        <v>31581</v>
      </c>
      <c r="O9134" t="s">
        <v>46</v>
      </c>
      <c r="P9134" t="s">
        <v>46</v>
      </c>
      <c r="Y9134" t="s">
        <v>32022</v>
      </c>
    </row>
    <row r="9135" spans="1:25">
      <c r="A9135" t="s">
        <v>32023</v>
      </c>
      <c r="B9135" t="s">
        <v>32024</v>
      </c>
      <c r="D9135" t="s">
        <v>40</v>
      </c>
      <c r="E9135" t="s">
        <v>41</v>
      </c>
      <c r="J9135" t="s">
        <v>248</v>
      </c>
      <c r="K9135" t="s">
        <v>249</v>
      </c>
      <c r="L9135">
        <v>2</v>
      </c>
      <c r="M9135" t="s">
        <v>32025</v>
      </c>
      <c r="N9135" t="s">
        <v>315</v>
      </c>
      <c r="O9135" t="s">
        <v>46</v>
      </c>
      <c r="P9135" t="s">
        <v>46</v>
      </c>
      <c r="Y9135" t="s">
        <v>32026</v>
      </c>
    </row>
    <row r="9136" spans="1:25">
      <c r="A9136" t="s">
        <v>32027</v>
      </c>
      <c r="B9136" t="s">
        <v>32028</v>
      </c>
      <c r="D9136" t="s">
        <v>40</v>
      </c>
      <c r="E9136" t="s">
        <v>41</v>
      </c>
      <c r="J9136" t="s">
        <v>248</v>
      </c>
      <c r="K9136" t="s">
        <v>249</v>
      </c>
      <c r="L9136">
        <v>3</v>
      </c>
      <c r="M9136" t="s">
        <v>32029</v>
      </c>
      <c r="N9136" t="s">
        <v>509</v>
      </c>
      <c r="O9136" t="s">
        <v>46</v>
      </c>
      <c r="P9136" t="s">
        <v>46</v>
      </c>
      <c r="Y9136" t="s">
        <v>32030</v>
      </c>
    </row>
    <row r="9137" spans="1:25">
      <c r="A9137" t="s">
        <v>32031</v>
      </c>
      <c r="B9137" t="s">
        <v>32032</v>
      </c>
      <c r="D9137" t="s">
        <v>40</v>
      </c>
      <c r="E9137" t="s">
        <v>41</v>
      </c>
      <c r="J9137" t="s">
        <v>1142</v>
      </c>
      <c r="K9137" t="s">
        <v>1143</v>
      </c>
      <c r="L9137">
        <v>2</v>
      </c>
      <c r="M9137" t="s">
        <v>32033</v>
      </c>
      <c r="N9137" t="s">
        <v>53</v>
      </c>
      <c r="O9137" t="s">
        <v>46</v>
      </c>
      <c r="P9137" t="s">
        <v>46</v>
      </c>
      <c r="Y9137" t="s">
        <v>32034</v>
      </c>
    </row>
    <row r="9138" spans="1:25">
      <c r="A9138" t="s">
        <v>32035</v>
      </c>
      <c r="B9138" t="s">
        <v>32036</v>
      </c>
      <c r="D9138" t="s">
        <v>40</v>
      </c>
      <c r="E9138" t="s">
        <v>41</v>
      </c>
      <c r="J9138" t="s">
        <v>248</v>
      </c>
      <c r="K9138" t="s">
        <v>249</v>
      </c>
      <c r="L9138">
        <v>2</v>
      </c>
      <c r="M9138" t="s">
        <v>32037</v>
      </c>
      <c r="N9138" t="s">
        <v>24245</v>
      </c>
      <c r="O9138" t="s">
        <v>46</v>
      </c>
      <c r="P9138" t="s">
        <v>46</v>
      </c>
      <c r="Y9138" t="s">
        <v>32038</v>
      </c>
    </row>
    <row r="9139" spans="1:25">
      <c r="A9139" t="s">
        <v>32039</v>
      </c>
      <c r="B9139" t="s">
        <v>32040</v>
      </c>
      <c r="D9139" t="s">
        <v>40</v>
      </c>
      <c r="E9139" t="s">
        <v>41</v>
      </c>
      <c r="J9139" t="s">
        <v>1554</v>
      </c>
      <c r="K9139" t="s">
        <v>1555</v>
      </c>
      <c r="L9139">
        <v>2</v>
      </c>
      <c r="M9139" t="s">
        <v>32037</v>
      </c>
      <c r="N9139" t="s">
        <v>436</v>
      </c>
      <c r="O9139" t="s">
        <v>46</v>
      </c>
      <c r="P9139" t="s">
        <v>46</v>
      </c>
      <c r="Y9139" t="s">
        <v>32041</v>
      </c>
    </row>
    <row r="9140" spans="1:25">
      <c r="A9140" t="s">
        <v>32042</v>
      </c>
      <c r="B9140" t="s">
        <v>32043</v>
      </c>
      <c r="D9140" t="s">
        <v>40</v>
      </c>
      <c r="E9140" t="s">
        <v>41</v>
      </c>
      <c r="J9140" t="s">
        <v>1554</v>
      </c>
      <c r="K9140" t="s">
        <v>1555</v>
      </c>
      <c r="L9140">
        <v>2</v>
      </c>
      <c r="M9140" t="s">
        <v>32044</v>
      </c>
      <c r="N9140" t="s">
        <v>45</v>
      </c>
      <c r="O9140" t="s">
        <v>46</v>
      </c>
      <c r="P9140" t="s">
        <v>46</v>
      </c>
      <c r="Y9140" t="s">
        <v>32045</v>
      </c>
    </row>
    <row r="9141" spans="1:25">
      <c r="A9141" t="s">
        <v>32046</v>
      </c>
      <c r="B9141" t="s">
        <v>32047</v>
      </c>
      <c r="D9141" t="s">
        <v>40</v>
      </c>
      <c r="E9141" t="s">
        <v>41</v>
      </c>
      <c r="J9141" t="s">
        <v>248</v>
      </c>
      <c r="K9141" t="s">
        <v>249</v>
      </c>
      <c r="L9141">
        <v>3</v>
      </c>
      <c r="M9141" t="s">
        <v>32048</v>
      </c>
      <c r="N9141" t="s">
        <v>1446</v>
      </c>
      <c r="O9141" t="s">
        <v>46</v>
      </c>
      <c r="P9141" t="s">
        <v>46</v>
      </c>
      <c r="Y9141" t="s">
        <v>32049</v>
      </c>
    </row>
    <row r="9142" spans="1:25">
      <c r="A9142" t="s">
        <v>32050</v>
      </c>
      <c r="B9142" t="s">
        <v>32051</v>
      </c>
      <c r="D9142" t="s">
        <v>40</v>
      </c>
      <c r="E9142" t="s">
        <v>41</v>
      </c>
      <c r="J9142" t="s">
        <v>139</v>
      </c>
      <c r="K9142" t="s">
        <v>140</v>
      </c>
      <c r="L9142">
        <v>4</v>
      </c>
      <c r="M9142" t="s">
        <v>32052</v>
      </c>
      <c r="N9142" t="s">
        <v>1550</v>
      </c>
      <c r="O9142" t="s">
        <v>46</v>
      </c>
      <c r="P9142" t="s">
        <v>46</v>
      </c>
      <c r="Y9142" t="s">
        <v>32053</v>
      </c>
    </row>
    <row r="9143" spans="1:25">
      <c r="A9143" t="s">
        <v>32054</v>
      </c>
      <c r="B9143" t="s">
        <v>32055</v>
      </c>
      <c r="D9143" t="s">
        <v>40</v>
      </c>
      <c r="E9143" t="s">
        <v>41</v>
      </c>
      <c r="J9143" t="s">
        <v>139</v>
      </c>
      <c r="K9143" t="s">
        <v>140</v>
      </c>
      <c r="L9143">
        <v>2</v>
      </c>
      <c r="M9143" t="s">
        <v>32056</v>
      </c>
      <c r="N9143" t="s">
        <v>3013</v>
      </c>
      <c r="O9143" t="s">
        <v>46</v>
      </c>
      <c r="P9143" t="s">
        <v>46</v>
      </c>
      <c r="Y9143" t="s">
        <v>32057</v>
      </c>
    </row>
    <row r="9144" spans="1:25">
      <c r="A9144" t="s">
        <v>32058</v>
      </c>
      <c r="B9144" t="s">
        <v>32059</v>
      </c>
      <c r="D9144" t="s">
        <v>40</v>
      </c>
      <c r="E9144" t="s">
        <v>41</v>
      </c>
      <c r="J9144" t="s">
        <v>12440</v>
      </c>
      <c r="K9144" t="s">
        <v>12441</v>
      </c>
      <c r="L9144">
        <v>3</v>
      </c>
      <c r="M9144" t="s">
        <v>32060</v>
      </c>
      <c r="N9144" t="s">
        <v>58</v>
      </c>
      <c r="O9144" t="s">
        <v>46</v>
      </c>
      <c r="P9144" t="s">
        <v>46</v>
      </c>
      <c r="Y9144" t="s">
        <v>32061</v>
      </c>
    </row>
    <row r="9145" spans="1:25">
      <c r="A9145" t="s">
        <v>32062</v>
      </c>
      <c r="B9145" t="s">
        <v>32063</v>
      </c>
      <c r="D9145" t="s">
        <v>40</v>
      </c>
      <c r="E9145" t="s">
        <v>41</v>
      </c>
      <c r="J9145" t="s">
        <v>12440</v>
      </c>
      <c r="K9145" t="s">
        <v>12441</v>
      </c>
      <c r="L9145">
        <v>3</v>
      </c>
      <c r="M9145" t="s">
        <v>32060</v>
      </c>
      <c r="N9145" t="s">
        <v>64</v>
      </c>
      <c r="O9145" t="s">
        <v>46</v>
      </c>
      <c r="P9145" t="s">
        <v>46</v>
      </c>
      <c r="Y9145" t="s">
        <v>32064</v>
      </c>
    </row>
    <row r="9146" spans="1:25">
      <c r="A9146" t="s">
        <v>32065</v>
      </c>
      <c r="B9146" t="s">
        <v>32066</v>
      </c>
      <c r="D9146" t="s">
        <v>40</v>
      </c>
      <c r="E9146" t="s">
        <v>41</v>
      </c>
      <c r="J9146" t="s">
        <v>248</v>
      </c>
      <c r="K9146" t="s">
        <v>249</v>
      </c>
      <c r="L9146">
        <v>2</v>
      </c>
      <c r="M9146" t="s">
        <v>32067</v>
      </c>
      <c r="N9146" t="s">
        <v>924</v>
      </c>
      <c r="O9146" t="s">
        <v>46</v>
      </c>
      <c r="P9146" t="s">
        <v>46</v>
      </c>
      <c r="Y9146" t="s">
        <v>32068</v>
      </c>
    </row>
    <row r="9147" spans="1:25">
      <c r="A9147" t="s">
        <v>32069</v>
      </c>
      <c r="B9147" t="s">
        <v>32070</v>
      </c>
      <c r="D9147" t="s">
        <v>40</v>
      </c>
      <c r="E9147" t="s">
        <v>41</v>
      </c>
      <c r="J9147" t="s">
        <v>6179</v>
      </c>
      <c r="K9147" t="s">
        <v>6180</v>
      </c>
      <c r="L9147">
        <v>2</v>
      </c>
      <c r="M9147" t="s">
        <v>32071</v>
      </c>
      <c r="N9147" t="s">
        <v>2346</v>
      </c>
      <c r="O9147" t="s">
        <v>46</v>
      </c>
      <c r="P9147" t="s">
        <v>46</v>
      </c>
      <c r="Y9147" t="s">
        <v>32072</v>
      </c>
    </row>
    <row r="9148" spans="1:25">
      <c r="A9148" t="s">
        <v>32073</v>
      </c>
      <c r="B9148" t="s">
        <v>32074</v>
      </c>
      <c r="D9148" t="s">
        <v>40</v>
      </c>
      <c r="E9148" t="s">
        <v>41</v>
      </c>
      <c r="J9148" t="s">
        <v>248</v>
      </c>
      <c r="K9148" t="s">
        <v>249</v>
      </c>
      <c r="L9148">
        <v>2</v>
      </c>
      <c r="M9148" t="s">
        <v>32075</v>
      </c>
      <c r="N9148" t="s">
        <v>53</v>
      </c>
      <c r="O9148" t="s">
        <v>46</v>
      </c>
      <c r="P9148" t="s">
        <v>46</v>
      </c>
      <c r="Y9148" t="s">
        <v>32076</v>
      </c>
    </row>
    <row r="9149" spans="1:25">
      <c r="A9149" t="s">
        <v>32077</v>
      </c>
      <c r="B9149" t="s">
        <v>32078</v>
      </c>
      <c r="D9149" t="s">
        <v>40</v>
      </c>
      <c r="E9149" t="s">
        <v>41</v>
      </c>
      <c r="J9149" t="s">
        <v>12440</v>
      </c>
      <c r="K9149" t="s">
        <v>12441</v>
      </c>
      <c r="L9149">
        <v>3</v>
      </c>
      <c r="M9149" t="s">
        <v>32075</v>
      </c>
      <c r="N9149" t="s">
        <v>64</v>
      </c>
      <c r="O9149" t="s">
        <v>46</v>
      </c>
      <c r="P9149" t="s">
        <v>46</v>
      </c>
      <c r="Y9149" t="s">
        <v>32079</v>
      </c>
    </row>
    <row r="9150" spans="1:25">
      <c r="A9150" t="s">
        <v>32080</v>
      </c>
      <c r="B9150" t="s">
        <v>32081</v>
      </c>
      <c r="D9150" t="s">
        <v>40</v>
      </c>
      <c r="E9150" t="s">
        <v>41</v>
      </c>
      <c r="J9150" t="s">
        <v>1554</v>
      </c>
      <c r="K9150" t="s">
        <v>1555</v>
      </c>
      <c r="L9150">
        <v>2</v>
      </c>
      <c r="M9150" t="s">
        <v>32075</v>
      </c>
      <c r="N9150" t="s">
        <v>1369</v>
      </c>
      <c r="O9150" t="s">
        <v>46</v>
      </c>
      <c r="P9150" t="s">
        <v>46</v>
      </c>
      <c r="Y9150" t="s">
        <v>32082</v>
      </c>
    </row>
    <row r="9151" spans="1:25">
      <c r="A9151" t="s">
        <v>32083</v>
      </c>
      <c r="B9151" t="s">
        <v>32084</v>
      </c>
      <c r="D9151" t="s">
        <v>40</v>
      </c>
      <c r="E9151" t="s">
        <v>41</v>
      </c>
      <c r="J9151" t="s">
        <v>1142</v>
      </c>
      <c r="K9151" t="s">
        <v>1143</v>
      </c>
      <c r="L9151">
        <v>2</v>
      </c>
      <c r="M9151" t="s">
        <v>32085</v>
      </c>
      <c r="N9151" t="s">
        <v>1024</v>
      </c>
      <c r="O9151" t="s">
        <v>46</v>
      </c>
      <c r="P9151" t="s">
        <v>46</v>
      </c>
      <c r="Y9151" t="s">
        <v>32086</v>
      </c>
    </row>
    <row r="9152" spans="1:25">
      <c r="A9152" t="s">
        <v>32087</v>
      </c>
      <c r="B9152" t="s">
        <v>32088</v>
      </c>
      <c r="D9152" t="s">
        <v>40</v>
      </c>
      <c r="E9152" t="s">
        <v>41</v>
      </c>
      <c r="J9152" t="s">
        <v>248</v>
      </c>
      <c r="K9152" t="s">
        <v>249</v>
      </c>
      <c r="L9152">
        <v>2</v>
      </c>
      <c r="M9152" t="s">
        <v>32085</v>
      </c>
      <c r="N9152" t="s">
        <v>45</v>
      </c>
      <c r="O9152" t="s">
        <v>46</v>
      </c>
      <c r="P9152" t="s">
        <v>46</v>
      </c>
      <c r="Y9152" t="s">
        <v>32089</v>
      </c>
    </row>
    <row r="9153" spans="1:25">
      <c r="A9153" t="s">
        <v>32090</v>
      </c>
      <c r="B9153" t="s">
        <v>32091</v>
      </c>
      <c r="D9153" t="s">
        <v>40</v>
      </c>
      <c r="E9153" t="s">
        <v>41</v>
      </c>
      <c r="J9153" t="s">
        <v>248</v>
      </c>
      <c r="K9153" t="s">
        <v>249</v>
      </c>
      <c r="L9153">
        <v>2</v>
      </c>
      <c r="M9153" t="s">
        <v>32085</v>
      </c>
      <c r="N9153" t="s">
        <v>31581</v>
      </c>
      <c r="O9153" t="s">
        <v>46</v>
      </c>
      <c r="P9153" t="s">
        <v>46</v>
      </c>
      <c r="Y9153" t="s">
        <v>32092</v>
      </c>
    </row>
    <row r="9154" spans="1:25">
      <c r="A9154" t="s">
        <v>32093</v>
      </c>
      <c r="B9154" t="s">
        <v>32094</v>
      </c>
      <c r="D9154" t="s">
        <v>40</v>
      </c>
      <c r="E9154" t="s">
        <v>41</v>
      </c>
      <c r="J9154" t="s">
        <v>248</v>
      </c>
      <c r="K9154" t="s">
        <v>249</v>
      </c>
      <c r="L9154">
        <v>2</v>
      </c>
      <c r="M9154" t="s">
        <v>32095</v>
      </c>
      <c r="N9154" t="s">
        <v>440</v>
      </c>
      <c r="O9154" t="s">
        <v>46</v>
      </c>
      <c r="P9154" t="s">
        <v>46</v>
      </c>
      <c r="Y9154" t="s">
        <v>32096</v>
      </c>
    </row>
    <row r="9155" spans="1:25">
      <c r="A9155" t="s">
        <v>32097</v>
      </c>
      <c r="B9155" t="s">
        <v>32098</v>
      </c>
      <c r="D9155" t="s">
        <v>40</v>
      </c>
      <c r="E9155" t="s">
        <v>41</v>
      </c>
      <c r="J9155" t="s">
        <v>248</v>
      </c>
      <c r="K9155" t="s">
        <v>249</v>
      </c>
      <c r="L9155">
        <v>2</v>
      </c>
      <c r="M9155" t="s">
        <v>32099</v>
      </c>
      <c r="N9155" t="s">
        <v>752</v>
      </c>
      <c r="O9155" t="s">
        <v>46</v>
      </c>
      <c r="P9155" t="s">
        <v>46</v>
      </c>
      <c r="Y9155" t="s">
        <v>32100</v>
      </c>
    </row>
    <row r="9156" spans="1:25">
      <c r="A9156" t="s">
        <v>32101</v>
      </c>
      <c r="B9156" t="s">
        <v>32102</v>
      </c>
      <c r="D9156" t="s">
        <v>40</v>
      </c>
      <c r="E9156" t="s">
        <v>41</v>
      </c>
      <c r="J9156" t="s">
        <v>6255</v>
      </c>
      <c r="K9156" t="s">
        <v>6256</v>
      </c>
      <c r="L9156">
        <v>2</v>
      </c>
      <c r="M9156" t="s">
        <v>32103</v>
      </c>
      <c r="N9156" t="s">
        <v>266</v>
      </c>
      <c r="O9156" t="s">
        <v>46</v>
      </c>
      <c r="P9156" t="s">
        <v>46</v>
      </c>
      <c r="Y9156" t="s">
        <v>32104</v>
      </c>
    </row>
    <row r="9157" spans="1:25">
      <c r="A9157" t="s">
        <v>32105</v>
      </c>
      <c r="B9157" t="s">
        <v>32106</v>
      </c>
      <c r="D9157" t="s">
        <v>40</v>
      </c>
      <c r="E9157" t="s">
        <v>41</v>
      </c>
      <c r="J9157" t="s">
        <v>248</v>
      </c>
      <c r="K9157" t="s">
        <v>249</v>
      </c>
      <c r="L9157">
        <v>2</v>
      </c>
      <c r="M9157" t="s">
        <v>32107</v>
      </c>
      <c r="N9157" t="s">
        <v>142</v>
      </c>
      <c r="O9157" t="s">
        <v>46</v>
      </c>
      <c r="P9157" t="s">
        <v>46</v>
      </c>
      <c r="Y9157" t="s">
        <v>32108</v>
      </c>
    </row>
    <row r="9158" spans="1:25">
      <c r="A9158" t="s">
        <v>32109</v>
      </c>
      <c r="B9158" t="s">
        <v>32110</v>
      </c>
      <c r="D9158" t="s">
        <v>40</v>
      </c>
      <c r="E9158" t="s">
        <v>41</v>
      </c>
      <c r="J9158" t="s">
        <v>1142</v>
      </c>
      <c r="K9158" t="s">
        <v>1143</v>
      </c>
      <c r="L9158">
        <v>2</v>
      </c>
      <c r="M9158" t="s">
        <v>32107</v>
      </c>
      <c r="N9158" t="s">
        <v>617</v>
      </c>
      <c r="O9158" t="s">
        <v>46</v>
      </c>
      <c r="P9158" t="s">
        <v>46</v>
      </c>
      <c r="Y9158" t="s">
        <v>32111</v>
      </c>
    </row>
    <row r="9159" spans="1:25">
      <c r="A9159" t="s">
        <v>32112</v>
      </c>
      <c r="B9159" t="s">
        <v>32113</v>
      </c>
      <c r="D9159" t="s">
        <v>40</v>
      </c>
      <c r="E9159" t="s">
        <v>41</v>
      </c>
      <c r="J9159" t="s">
        <v>1142</v>
      </c>
      <c r="K9159" t="s">
        <v>1143</v>
      </c>
      <c r="L9159">
        <v>2</v>
      </c>
      <c r="M9159" t="s">
        <v>32114</v>
      </c>
      <c r="N9159" t="s">
        <v>58</v>
      </c>
      <c r="O9159" t="s">
        <v>46</v>
      </c>
      <c r="P9159" t="s">
        <v>46</v>
      </c>
      <c r="Y9159" t="s">
        <v>32115</v>
      </c>
    </row>
    <row r="9160" spans="1:25">
      <c r="A9160" t="s">
        <v>32116</v>
      </c>
      <c r="B9160" t="s">
        <v>32117</v>
      </c>
      <c r="D9160" t="s">
        <v>40</v>
      </c>
      <c r="E9160" t="s">
        <v>41</v>
      </c>
      <c r="J9160" t="s">
        <v>2619</v>
      </c>
      <c r="K9160" t="s">
        <v>140</v>
      </c>
      <c r="L9160">
        <v>2</v>
      </c>
      <c r="M9160" t="s">
        <v>32114</v>
      </c>
      <c r="N9160" t="s">
        <v>2621</v>
      </c>
      <c r="O9160" t="s">
        <v>46</v>
      </c>
      <c r="P9160" t="s">
        <v>46</v>
      </c>
      <c r="Y9160" t="s">
        <v>32118</v>
      </c>
    </row>
    <row r="9161" spans="1:25">
      <c r="A9161" t="s">
        <v>32119</v>
      </c>
      <c r="B9161" t="s">
        <v>32120</v>
      </c>
      <c r="D9161" t="s">
        <v>40</v>
      </c>
      <c r="E9161" t="s">
        <v>41</v>
      </c>
      <c r="J9161" t="s">
        <v>248</v>
      </c>
      <c r="K9161" t="s">
        <v>249</v>
      </c>
      <c r="L9161">
        <v>2</v>
      </c>
      <c r="M9161" t="s">
        <v>32121</v>
      </c>
      <c r="N9161" t="s">
        <v>53</v>
      </c>
      <c r="O9161" t="s">
        <v>46</v>
      </c>
      <c r="P9161" t="s">
        <v>46</v>
      </c>
      <c r="Y9161" t="s">
        <v>32122</v>
      </c>
    </row>
    <row r="9162" spans="1:25">
      <c r="A9162" t="s">
        <v>32123</v>
      </c>
      <c r="B9162" t="s">
        <v>32124</v>
      </c>
      <c r="D9162" t="s">
        <v>40</v>
      </c>
      <c r="E9162" t="s">
        <v>41</v>
      </c>
      <c r="J9162" t="s">
        <v>16458</v>
      </c>
      <c r="K9162" t="s">
        <v>16459</v>
      </c>
      <c r="L9162">
        <v>2</v>
      </c>
      <c r="M9162" t="s">
        <v>32125</v>
      </c>
      <c r="N9162" t="s">
        <v>1276</v>
      </c>
      <c r="O9162" t="s">
        <v>46</v>
      </c>
      <c r="P9162" t="s">
        <v>46</v>
      </c>
      <c r="Y9162" t="s">
        <v>32126</v>
      </c>
    </row>
    <row r="9163" spans="1:25">
      <c r="A9163" t="s">
        <v>32127</v>
      </c>
      <c r="B9163" t="s">
        <v>32128</v>
      </c>
      <c r="D9163" t="s">
        <v>40</v>
      </c>
      <c r="E9163" t="s">
        <v>41</v>
      </c>
      <c r="J9163" t="s">
        <v>248</v>
      </c>
      <c r="K9163" t="s">
        <v>249</v>
      </c>
      <c r="L9163">
        <v>2</v>
      </c>
      <c r="M9163" t="s">
        <v>32129</v>
      </c>
      <c r="N9163" t="s">
        <v>1024</v>
      </c>
      <c r="O9163" t="s">
        <v>46</v>
      </c>
      <c r="P9163" t="s">
        <v>46</v>
      </c>
      <c r="Y9163" t="s">
        <v>32130</v>
      </c>
    </row>
    <row r="9164" spans="1:25">
      <c r="A9164" t="s">
        <v>32131</v>
      </c>
      <c r="B9164" t="s">
        <v>32132</v>
      </c>
      <c r="D9164" t="s">
        <v>40</v>
      </c>
      <c r="E9164" t="s">
        <v>41</v>
      </c>
      <c r="J9164" t="s">
        <v>139</v>
      </c>
      <c r="K9164" t="s">
        <v>140</v>
      </c>
      <c r="L9164">
        <v>2</v>
      </c>
      <c r="M9164" t="s">
        <v>32133</v>
      </c>
      <c r="N9164" t="s">
        <v>756</v>
      </c>
      <c r="O9164" t="s">
        <v>46</v>
      </c>
      <c r="P9164" t="s">
        <v>46</v>
      </c>
      <c r="Y9164" t="s">
        <v>32134</v>
      </c>
    </row>
    <row r="9165" spans="1:25">
      <c r="A9165" t="s">
        <v>32135</v>
      </c>
      <c r="B9165" t="s">
        <v>32136</v>
      </c>
      <c r="D9165" t="s">
        <v>40</v>
      </c>
      <c r="E9165" t="s">
        <v>41</v>
      </c>
      <c r="J9165" t="s">
        <v>248</v>
      </c>
      <c r="K9165" t="s">
        <v>249</v>
      </c>
      <c r="L9165">
        <v>2</v>
      </c>
      <c r="M9165" t="s">
        <v>32137</v>
      </c>
      <c r="N9165" t="s">
        <v>3013</v>
      </c>
      <c r="O9165" t="s">
        <v>46</v>
      </c>
      <c r="P9165" t="s">
        <v>46</v>
      </c>
      <c r="Y9165" t="s">
        <v>32138</v>
      </c>
    </row>
    <row r="9166" spans="1:25">
      <c r="A9166" t="s">
        <v>32139</v>
      </c>
      <c r="B9166" t="s">
        <v>32140</v>
      </c>
      <c r="D9166" t="s">
        <v>40</v>
      </c>
      <c r="E9166" t="s">
        <v>41</v>
      </c>
      <c r="J9166" t="s">
        <v>248</v>
      </c>
      <c r="K9166" t="s">
        <v>249</v>
      </c>
      <c r="L9166">
        <v>2</v>
      </c>
      <c r="M9166" t="s">
        <v>32141</v>
      </c>
      <c r="N9166" t="s">
        <v>350</v>
      </c>
      <c r="O9166" t="s">
        <v>46</v>
      </c>
      <c r="P9166" t="s">
        <v>46</v>
      </c>
      <c r="Y9166" t="s">
        <v>32142</v>
      </c>
    </row>
    <row r="9167" spans="1:25">
      <c r="A9167" t="s">
        <v>32143</v>
      </c>
      <c r="B9167" t="s">
        <v>32144</v>
      </c>
      <c r="D9167" t="s">
        <v>40</v>
      </c>
      <c r="E9167" t="s">
        <v>41</v>
      </c>
      <c r="J9167" t="s">
        <v>248</v>
      </c>
      <c r="K9167" t="s">
        <v>249</v>
      </c>
      <c r="L9167">
        <v>2</v>
      </c>
      <c r="M9167" t="s">
        <v>32145</v>
      </c>
      <c r="N9167" t="s">
        <v>142</v>
      </c>
      <c r="O9167" t="s">
        <v>46</v>
      </c>
      <c r="P9167" t="s">
        <v>46</v>
      </c>
      <c r="Y9167" t="s">
        <v>32146</v>
      </c>
    </row>
    <row r="9168" spans="1:25">
      <c r="A9168" t="s">
        <v>32147</v>
      </c>
      <c r="B9168" t="s">
        <v>32148</v>
      </c>
      <c r="D9168" t="s">
        <v>40</v>
      </c>
      <c r="E9168" t="s">
        <v>41</v>
      </c>
      <c r="J9168" t="s">
        <v>248</v>
      </c>
      <c r="K9168" t="s">
        <v>249</v>
      </c>
      <c r="L9168">
        <v>2</v>
      </c>
      <c r="M9168" t="s">
        <v>32149</v>
      </c>
      <c r="N9168" t="s">
        <v>350</v>
      </c>
      <c r="O9168" t="s">
        <v>46</v>
      </c>
      <c r="P9168" t="s">
        <v>46</v>
      </c>
      <c r="Y9168" t="s">
        <v>32150</v>
      </c>
    </row>
    <row r="9169" spans="1:25">
      <c r="A9169" t="s">
        <v>32151</v>
      </c>
      <c r="B9169" t="s">
        <v>32152</v>
      </c>
      <c r="D9169" t="s">
        <v>40</v>
      </c>
      <c r="E9169" t="s">
        <v>41</v>
      </c>
      <c r="J9169" t="s">
        <v>11802</v>
      </c>
      <c r="K9169" t="s">
        <v>11803</v>
      </c>
      <c r="L9169">
        <v>2</v>
      </c>
      <c r="M9169" t="s">
        <v>32153</v>
      </c>
      <c r="N9169" t="s">
        <v>4037</v>
      </c>
      <c r="O9169" t="s">
        <v>46</v>
      </c>
      <c r="P9169" t="s">
        <v>46</v>
      </c>
      <c r="Y9169" t="s">
        <v>32154</v>
      </c>
    </row>
    <row r="9170" spans="1:25">
      <c r="A9170" t="s">
        <v>32155</v>
      </c>
      <c r="B9170" t="s">
        <v>32156</v>
      </c>
      <c r="D9170" t="s">
        <v>40</v>
      </c>
      <c r="E9170" t="s">
        <v>41</v>
      </c>
      <c r="J9170" t="s">
        <v>248</v>
      </c>
      <c r="K9170" t="s">
        <v>249</v>
      </c>
      <c r="L9170">
        <v>2</v>
      </c>
      <c r="M9170" t="s">
        <v>32157</v>
      </c>
      <c r="N9170" t="s">
        <v>142</v>
      </c>
      <c r="O9170" t="s">
        <v>46</v>
      </c>
      <c r="P9170" t="s">
        <v>46</v>
      </c>
      <c r="Y9170" t="s">
        <v>32158</v>
      </c>
    </row>
    <row r="9171" spans="1:25">
      <c r="A9171" t="s">
        <v>32159</v>
      </c>
      <c r="B9171" t="s">
        <v>32160</v>
      </c>
      <c r="D9171" t="s">
        <v>40</v>
      </c>
      <c r="E9171" t="s">
        <v>41</v>
      </c>
      <c r="J9171" t="s">
        <v>1554</v>
      </c>
      <c r="K9171" t="s">
        <v>1555</v>
      </c>
      <c r="L9171">
        <v>2</v>
      </c>
      <c r="M9171" t="s">
        <v>32161</v>
      </c>
      <c r="N9171" t="s">
        <v>24245</v>
      </c>
      <c r="O9171" t="s">
        <v>46</v>
      </c>
      <c r="P9171" t="s">
        <v>46</v>
      </c>
      <c r="Y9171" t="s">
        <v>32162</v>
      </c>
    </row>
    <row r="9172" spans="1:25">
      <c r="A9172" t="s">
        <v>32163</v>
      </c>
      <c r="B9172" t="s">
        <v>32164</v>
      </c>
      <c r="D9172" t="s">
        <v>40</v>
      </c>
      <c r="E9172" t="s">
        <v>41</v>
      </c>
      <c r="J9172" t="s">
        <v>139</v>
      </c>
      <c r="K9172" t="s">
        <v>140</v>
      </c>
      <c r="L9172">
        <v>2</v>
      </c>
      <c r="M9172" t="s">
        <v>32165</v>
      </c>
      <c r="N9172" t="s">
        <v>924</v>
      </c>
      <c r="O9172" t="s">
        <v>46</v>
      </c>
      <c r="P9172" t="s">
        <v>46</v>
      </c>
      <c r="Y9172" t="s">
        <v>32166</v>
      </c>
    </row>
    <row r="9173" spans="1:25">
      <c r="A9173" t="s">
        <v>32167</v>
      </c>
      <c r="B9173" t="s">
        <v>32168</v>
      </c>
      <c r="D9173" t="s">
        <v>40</v>
      </c>
      <c r="E9173" t="s">
        <v>41</v>
      </c>
      <c r="J9173" t="s">
        <v>248</v>
      </c>
      <c r="K9173" t="s">
        <v>249</v>
      </c>
      <c r="L9173">
        <v>2</v>
      </c>
      <c r="M9173" t="s">
        <v>32169</v>
      </c>
      <c r="N9173" t="s">
        <v>1397</v>
      </c>
      <c r="O9173" t="s">
        <v>46</v>
      </c>
      <c r="P9173" t="s">
        <v>46</v>
      </c>
      <c r="Y9173" t="s">
        <v>32170</v>
      </c>
    </row>
    <row r="9174" spans="1:25">
      <c r="A9174" t="s">
        <v>32171</v>
      </c>
      <c r="B9174" t="s">
        <v>32172</v>
      </c>
      <c r="D9174" t="s">
        <v>40</v>
      </c>
      <c r="E9174" t="s">
        <v>41</v>
      </c>
      <c r="J9174" t="s">
        <v>1554</v>
      </c>
      <c r="K9174" t="s">
        <v>1555</v>
      </c>
      <c r="L9174">
        <v>2</v>
      </c>
      <c r="M9174" t="s">
        <v>32173</v>
      </c>
      <c r="N9174" t="s">
        <v>1024</v>
      </c>
      <c r="O9174" t="s">
        <v>46</v>
      </c>
      <c r="P9174" t="s">
        <v>46</v>
      </c>
      <c r="Y9174" t="s">
        <v>32174</v>
      </c>
    </row>
    <row r="9175" spans="1:25">
      <c r="A9175" t="s">
        <v>32175</v>
      </c>
      <c r="B9175" t="s">
        <v>32176</v>
      </c>
      <c r="D9175" t="s">
        <v>40</v>
      </c>
      <c r="E9175" t="s">
        <v>41</v>
      </c>
      <c r="J9175" t="s">
        <v>248</v>
      </c>
      <c r="K9175" t="s">
        <v>249</v>
      </c>
      <c r="L9175">
        <v>2</v>
      </c>
      <c r="M9175" t="s">
        <v>32177</v>
      </c>
      <c r="N9175" t="s">
        <v>53</v>
      </c>
      <c r="O9175" t="s">
        <v>46</v>
      </c>
      <c r="P9175" t="s">
        <v>46</v>
      </c>
      <c r="Y9175" t="s">
        <v>32178</v>
      </c>
    </row>
    <row r="9176" spans="1:25">
      <c r="A9176" t="s">
        <v>32179</v>
      </c>
      <c r="B9176" t="s">
        <v>32180</v>
      </c>
      <c r="D9176" t="s">
        <v>40</v>
      </c>
      <c r="E9176" t="s">
        <v>41</v>
      </c>
      <c r="J9176" t="s">
        <v>248</v>
      </c>
      <c r="K9176" t="s">
        <v>249</v>
      </c>
      <c r="L9176">
        <v>2</v>
      </c>
      <c r="M9176" t="s">
        <v>32181</v>
      </c>
      <c r="N9176" t="s">
        <v>1369</v>
      </c>
      <c r="O9176" t="s">
        <v>46</v>
      </c>
      <c r="P9176" t="s">
        <v>46</v>
      </c>
      <c r="Y9176" t="s">
        <v>32182</v>
      </c>
    </row>
    <row r="9177" spans="1:25">
      <c r="A9177" t="s">
        <v>32183</v>
      </c>
      <c r="B9177" t="s">
        <v>32184</v>
      </c>
      <c r="D9177" t="s">
        <v>40</v>
      </c>
      <c r="E9177" t="s">
        <v>41</v>
      </c>
      <c r="J9177" t="s">
        <v>2619</v>
      </c>
      <c r="K9177" t="s">
        <v>140</v>
      </c>
      <c r="L9177">
        <v>2</v>
      </c>
      <c r="M9177" t="s">
        <v>32181</v>
      </c>
      <c r="N9177" t="s">
        <v>24245</v>
      </c>
      <c r="O9177" t="s">
        <v>46</v>
      </c>
      <c r="P9177" t="s">
        <v>46</v>
      </c>
      <c r="Y9177" t="s">
        <v>32185</v>
      </c>
    </row>
    <row r="9178" spans="1:25">
      <c r="A9178" t="s">
        <v>32186</v>
      </c>
      <c r="B9178" t="s">
        <v>32187</v>
      </c>
      <c r="D9178" t="s">
        <v>40</v>
      </c>
      <c r="E9178" t="s">
        <v>41</v>
      </c>
      <c r="J9178" t="s">
        <v>12440</v>
      </c>
      <c r="K9178" t="s">
        <v>12441</v>
      </c>
      <c r="L9178">
        <v>3</v>
      </c>
      <c r="M9178" t="s">
        <v>32188</v>
      </c>
      <c r="N9178" t="s">
        <v>64</v>
      </c>
      <c r="O9178" t="s">
        <v>46</v>
      </c>
      <c r="P9178" t="s">
        <v>46</v>
      </c>
      <c r="Y9178" t="s">
        <v>32189</v>
      </c>
    </row>
    <row r="9179" spans="1:25">
      <c r="A9179" t="s">
        <v>32190</v>
      </c>
      <c r="B9179" t="s">
        <v>32191</v>
      </c>
      <c r="D9179" t="s">
        <v>40</v>
      </c>
      <c r="E9179" t="s">
        <v>41</v>
      </c>
      <c r="J9179" t="s">
        <v>248</v>
      </c>
      <c r="K9179" t="s">
        <v>249</v>
      </c>
      <c r="L9179">
        <v>2</v>
      </c>
      <c r="M9179" t="s">
        <v>32192</v>
      </c>
      <c r="N9179" t="s">
        <v>142</v>
      </c>
      <c r="O9179" t="s">
        <v>46</v>
      </c>
      <c r="P9179" t="s">
        <v>46</v>
      </c>
      <c r="Y9179" t="s">
        <v>32193</v>
      </c>
    </row>
    <row r="9180" spans="1:25">
      <c r="A9180" t="s">
        <v>32194</v>
      </c>
      <c r="B9180" t="s">
        <v>32195</v>
      </c>
      <c r="D9180" t="s">
        <v>40</v>
      </c>
      <c r="E9180" t="s">
        <v>41</v>
      </c>
      <c r="J9180" t="s">
        <v>139</v>
      </c>
      <c r="K9180" t="s">
        <v>140</v>
      </c>
      <c r="L9180">
        <v>2</v>
      </c>
      <c r="M9180" t="s">
        <v>32196</v>
      </c>
      <c r="N9180" t="s">
        <v>924</v>
      </c>
      <c r="O9180" t="s">
        <v>46</v>
      </c>
      <c r="P9180" t="s">
        <v>46</v>
      </c>
      <c r="Y9180" t="s">
        <v>32197</v>
      </c>
    </row>
    <row r="9181" spans="1:25">
      <c r="A9181" t="s">
        <v>32198</v>
      </c>
      <c r="B9181" t="s">
        <v>32199</v>
      </c>
      <c r="D9181" t="s">
        <v>40</v>
      </c>
      <c r="E9181" t="s">
        <v>41</v>
      </c>
      <c r="J9181" t="s">
        <v>1554</v>
      </c>
      <c r="K9181" t="s">
        <v>1555</v>
      </c>
      <c r="L9181">
        <v>2</v>
      </c>
      <c r="M9181" t="s">
        <v>32200</v>
      </c>
      <c r="N9181" t="s">
        <v>436</v>
      </c>
      <c r="O9181" t="s">
        <v>46</v>
      </c>
      <c r="P9181" t="s">
        <v>46</v>
      </c>
      <c r="Y9181" t="s">
        <v>32201</v>
      </c>
    </row>
    <row r="9182" spans="1:25">
      <c r="A9182" t="s">
        <v>32202</v>
      </c>
      <c r="B9182" t="s">
        <v>32203</v>
      </c>
      <c r="D9182" t="s">
        <v>40</v>
      </c>
      <c r="E9182" t="s">
        <v>41</v>
      </c>
      <c r="J9182" t="s">
        <v>248</v>
      </c>
      <c r="K9182" t="s">
        <v>249</v>
      </c>
      <c r="L9182">
        <v>3</v>
      </c>
      <c r="M9182" t="s">
        <v>32204</v>
      </c>
      <c r="N9182" t="s">
        <v>53</v>
      </c>
      <c r="O9182" t="s">
        <v>46</v>
      </c>
      <c r="P9182" t="s">
        <v>46</v>
      </c>
      <c r="Y9182" t="s">
        <v>32205</v>
      </c>
    </row>
    <row r="9183" spans="1:25">
      <c r="A9183" t="s">
        <v>32206</v>
      </c>
      <c r="B9183" t="s">
        <v>32207</v>
      </c>
      <c r="D9183" t="s">
        <v>40</v>
      </c>
      <c r="E9183" t="s">
        <v>41</v>
      </c>
      <c r="J9183" t="s">
        <v>248</v>
      </c>
      <c r="K9183" t="s">
        <v>249</v>
      </c>
      <c r="L9183">
        <v>2</v>
      </c>
      <c r="M9183" t="s">
        <v>32208</v>
      </c>
      <c r="N9183" t="s">
        <v>1478</v>
      </c>
      <c r="O9183" t="s">
        <v>46</v>
      </c>
      <c r="P9183" t="s">
        <v>46</v>
      </c>
      <c r="Y9183" t="s">
        <v>32209</v>
      </c>
    </row>
    <row r="9184" spans="1:25">
      <c r="A9184" t="s">
        <v>32210</v>
      </c>
      <c r="B9184" t="s">
        <v>32211</v>
      </c>
      <c r="D9184" t="s">
        <v>40</v>
      </c>
      <c r="E9184" t="s">
        <v>41</v>
      </c>
      <c r="J9184" t="s">
        <v>248</v>
      </c>
      <c r="K9184" t="s">
        <v>249</v>
      </c>
      <c r="L9184">
        <v>2</v>
      </c>
      <c r="M9184" t="s">
        <v>32212</v>
      </c>
      <c r="N9184" t="s">
        <v>1397</v>
      </c>
      <c r="O9184" t="s">
        <v>46</v>
      </c>
      <c r="P9184" t="s">
        <v>46</v>
      </c>
      <c r="Y9184" t="s">
        <v>32213</v>
      </c>
    </row>
    <row r="9185" spans="1:25">
      <c r="A9185" t="s">
        <v>32214</v>
      </c>
      <c r="B9185" t="s">
        <v>32215</v>
      </c>
      <c r="D9185" t="s">
        <v>40</v>
      </c>
      <c r="E9185" t="s">
        <v>41</v>
      </c>
      <c r="J9185" t="s">
        <v>248</v>
      </c>
      <c r="K9185" t="s">
        <v>249</v>
      </c>
      <c r="L9185">
        <v>2</v>
      </c>
      <c r="M9185" t="s">
        <v>32216</v>
      </c>
      <c r="N9185" t="s">
        <v>617</v>
      </c>
      <c r="O9185" t="s">
        <v>46</v>
      </c>
      <c r="P9185" t="s">
        <v>46</v>
      </c>
      <c r="Y9185" t="s">
        <v>32217</v>
      </c>
    </row>
    <row r="9186" spans="1:25">
      <c r="A9186" t="s">
        <v>32218</v>
      </c>
      <c r="B9186" t="s">
        <v>32219</v>
      </c>
      <c r="D9186" t="s">
        <v>40</v>
      </c>
      <c r="E9186" t="s">
        <v>41</v>
      </c>
      <c r="J9186" t="s">
        <v>248</v>
      </c>
      <c r="K9186" t="s">
        <v>249</v>
      </c>
      <c r="L9186">
        <v>2</v>
      </c>
      <c r="M9186" t="s">
        <v>32216</v>
      </c>
      <c r="N9186" t="s">
        <v>950</v>
      </c>
      <c r="O9186" t="s">
        <v>46</v>
      </c>
      <c r="P9186" t="s">
        <v>46</v>
      </c>
      <c r="Y9186" t="s">
        <v>32220</v>
      </c>
    </row>
    <row r="9187" spans="1:25">
      <c r="A9187" t="s">
        <v>32221</v>
      </c>
      <c r="B9187" t="s">
        <v>32222</v>
      </c>
      <c r="D9187" t="s">
        <v>40</v>
      </c>
      <c r="E9187" t="s">
        <v>41</v>
      </c>
      <c r="J9187" t="s">
        <v>248</v>
      </c>
      <c r="K9187" t="s">
        <v>249</v>
      </c>
      <c r="L9187">
        <v>2</v>
      </c>
      <c r="M9187" t="s">
        <v>32223</v>
      </c>
      <c r="N9187" t="s">
        <v>752</v>
      </c>
      <c r="O9187" t="s">
        <v>46</v>
      </c>
      <c r="P9187" t="s">
        <v>46</v>
      </c>
      <c r="Y9187" t="s">
        <v>32224</v>
      </c>
    </row>
    <row r="9188" spans="1:25">
      <c r="A9188" t="s">
        <v>32225</v>
      </c>
      <c r="B9188" t="s">
        <v>32226</v>
      </c>
      <c r="D9188" t="s">
        <v>40</v>
      </c>
      <c r="E9188" t="s">
        <v>41</v>
      </c>
      <c r="J9188" t="s">
        <v>1142</v>
      </c>
      <c r="K9188" t="s">
        <v>1143</v>
      </c>
      <c r="L9188">
        <v>2</v>
      </c>
      <c r="M9188" t="s">
        <v>32227</v>
      </c>
      <c r="N9188" t="s">
        <v>142</v>
      </c>
      <c r="O9188" t="s">
        <v>46</v>
      </c>
      <c r="P9188" t="s">
        <v>46</v>
      </c>
      <c r="Y9188" t="s">
        <v>32228</v>
      </c>
    </row>
    <row r="9189" spans="1:25">
      <c r="A9189" t="s">
        <v>32229</v>
      </c>
      <c r="B9189" t="s">
        <v>32230</v>
      </c>
      <c r="D9189" t="s">
        <v>40</v>
      </c>
      <c r="E9189" t="s">
        <v>41</v>
      </c>
      <c r="J9189" t="s">
        <v>921</v>
      </c>
      <c r="K9189" t="s">
        <v>922</v>
      </c>
      <c r="L9189">
        <v>2</v>
      </c>
      <c r="M9189" t="s">
        <v>32231</v>
      </c>
      <c r="N9189" t="s">
        <v>257</v>
      </c>
      <c r="O9189" t="s">
        <v>46</v>
      </c>
      <c r="P9189" t="s">
        <v>46</v>
      </c>
      <c r="Y9189" t="s">
        <v>32232</v>
      </c>
    </row>
    <row r="9190" spans="1:25">
      <c r="A9190" t="s">
        <v>32233</v>
      </c>
      <c r="B9190" t="s">
        <v>32234</v>
      </c>
      <c r="D9190" t="s">
        <v>40</v>
      </c>
      <c r="E9190" t="s">
        <v>41</v>
      </c>
      <c r="J9190" t="s">
        <v>1142</v>
      </c>
      <c r="K9190" t="s">
        <v>1143</v>
      </c>
      <c r="L9190">
        <v>2</v>
      </c>
      <c r="M9190" t="s">
        <v>32231</v>
      </c>
      <c r="N9190" t="s">
        <v>24245</v>
      </c>
      <c r="O9190" t="s">
        <v>46</v>
      </c>
      <c r="P9190" t="s">
        <v>46</v>
      </c>
      <c r="Y9190" t="s">
        <v>32235</v>
      </c>
    </row>
    <row r="9191" spans="1:25">
      <c r="A9191" t="s">
        <v>32236</v>
      </c>
      <c r="B9191" t="s">
        <v>32237</v>
      </c>
      <c r="D9191" t="s">
        <v>40</v>
      </c>
      <c r="E9191" t="s">
        <v>41</v>
      </c>
      <c r="J9191" t="s">
        <v>1142</v>
      </c>
      <c r="K9191" t="s">
        <v>1143</v>
      </c>
      <c r="L9191">
        <v>2</v>
      </c>
      <c r="M9191" t="s">
        <v>32231</v>
      </c>
      <c r="N9191" t="s">
        <v>350</v>
      </c>
      <c r="O9191" t="s">
        <v>46</v>
      </c>
      <c r="P9191" t="s">
        <v>46</v>
      </c>
      <c r="Y9191" t="s">
        <v>32238</v>
      </c>
    </row>
    <row r="9192" spans="1:25">
      <c r="A9192" t="s">
        <v>32239</v>
      </c>
      <c r="B9192" t="s">
        <v>32240</v>
      </c>
      <c r="D9192" t="s">
        <v>40</v>
      </c>
      <c r="E9192" t="s">
        <v>41</v>
      </c>
      <c r="J9192" t="s">
        <v>139</v>
      </c>
      <c r="K9192" t="s">
        <v>140</v>
      </c>
      <c r="L9192">
        <v>2</v>
      </c>
      <c r="M9192" t="s">
        <v>32231</v>
      </c>
      <c r="N9192" t="s">
        <v>24387</v>
      </c>
      <c r="O9192" t="s">
        <v>46</v>
      </c>
      <c r="P9192" t="s">
        <v>46</v>
      </c>
      <c r="Y9192" t="s">
        <v>32241</v>
      </c>
    </row>
    <row r="9193" spans="1:25">
      <c r="A9193" t="s">
        <v>32242</v>
      </c>
      <c r="B9193" t="s">
        <v>32243</v>
      </c>
      <c r="D9193" t="s">
        <v>40</v>
      </c>
      <c r="E9193" t="s">
        <v>41</v>
      </c>
      <c r="J9193" t="s">
        <v>248</v>
      </c>
      <c r="K9193" t="s">
        <v>249</v>
      </c>
      <c r="L9193">
        <v>2</v>
      </c>
      <c r="M9193" t="s">
        <v>32244</v>
      </c>
      <c r="N9193" t="s">
        <v>1369</v>
      </c>
      <c r="O9193" t="s">
        <v>46</v>
      </c>
      <c r="P9193" t="s">
        <v>46</v>
      </c>
      <c r="Y9193" t="s">
        <v>32245</v>
      </c>
    </row>
    <row r="9194" spans="1:25">
      <c r="A9194" t="s">
        <v>32246</v>
      </c>
      <c r="B9194" t="s">
        <v>32247</v>
      </c>
      <c r="D9194" t="s">
        <v>40</v>
      </c>
      <c r="E9194" t="s">
        <v>41</v>
      </c>
      <c r="J9194" t="s">
        <v>9159</v>
      </c>
      <c r="K9194" t="s">
        <v>9160</v>
      </c>
      <c r="L9194">
        <v>2</v>
      </c>
      <c r="M9194" t="s">
        <v>32248</v>
      </c>
      <c r="N9194" t="s">
        <v>1369</v>
      </c>
      <c r="O9194" t="s">
        <v>46</v>
      </c>
      <c r="P9194" t="s">
        <v>46</v>
      </c>
      <c r="Y9194" t="s">
        <v>32249</v>
      </c>
    </row>
    <row r="9195" spans="1:25">
      <c r="A9195" t="s">
        <v>32250</v>
      </c>
      <c r="B9195" t="s">
        <v>32251</v>
      </c>
      <c r="D9195" t="s">
        <v>40</v>
      </c>
      <c r="E9195" t="s">
        <v>41</v>
      </c>
      <c r="J9195" t="s">
        <v>139</v>
      </c>
      <c r="K9195" t="s">
        <v>140</v>
      </c>
      <c r="L9195">
        <v>2</v>
      </c>
      <c r="M9195" t="s">
        <v>32252</v>
      </c>
      <c r="N9195" t="s">
        <v>2346</v>
      </c>
      <c r="O9195" t="s">
        <v>46</v>
      </c>
      <c r="P9195" t="s">
        <v>46</v>
      </c>
      <c r="Y9195" t="s">
        <v>32253</v>
      </c>
    </row>
    <row r="9196" spans="1:25">
      <c r="A9196" t="s">
        <v>32254</v>
      </c>
      <c r="B9196" t="s">
        <v>32255</v>
      </c>
      <c r="D9196" t="s">
        <v>40</v>
      </c>
      <c r="E9196" t="s">
        <v>41</v>
      </c>
      <c r="J9196" t="s">
        <v>248</v>
      </c>
      <c r="K9196" t="s">
        <v>249</v>
      </c>
      <c r="L9196">
        <v>2</v>
      </c>
      <c r="M9196" t="s">
        <v>32252</v>
      </c>
      <c r="N9196" t="s">
        <v>1024</v>
      </c>
      <c r="O9196" t="s">
        <v>46</v>
      </c>
      <c r="P9196" t="s">
        <v>46</v>
      </c>
      <c r="Y9196" t="s">
        <v>32256</v>
      </c>
    </row>
    <row r="9197" spans="1:25">
      <c r="A9197" t="s">
        <v>32257</v>
      </c>
      <c r="B9197" t="s">
        <v>32258</v>
      </c>
      <c r="D9197" t="s">
        <v>40</v>
      </c>
      <c r="E9197" t="s">
        <v>41</v>
      </c>
      <c r="J9197" t="s">
        <v>11802</v>
      </c>
      <c r="K9197" t="s">
        <v>11803</v>
      </c>
      <c r="L9197">
        <v>2</v>
      </c>
      <c r="M9197" t="s">
        <v>32259</v>
      </c>
      <c r="N9197" t="s">
        <v>924</v>
      </c>
      <c r="O9197" t="s">
        <v>46</v>
      </c>
      <c r="P9197" t="s">
        <v>46</v>
      </c>
      <c r="Y9197" t="s">
        <v>32260</v>
      </c>
    </row>
    <row r="9198" spans="1:25">
      <c r="A9198" t="s">
        <v>32261</v>
      </c>
      <c r="B9198" t="s">
        <v>32262</v>
      </c>
      <c r="D9198" t="s">
        <v>40</v>
      </c>
      <c r="E9198" t="s">
        <v>41</v>
      </c>
      <c r="J9198" t="s">
        <v>1142</v>
      </c>
      <c r="K9198" t="s">
        <v>1143</v>
      </c>
      <c r="L9198">
        <v>2</v>
      </c>
      <c r="M9198" t="s">
        <v>32263</v>
      </c>
      <c r="N9198" t="s">
        <v>1814</v>
      </c>
      <c r="O9198" t="s">
        <v>46</v>
      </c>
      <c r="P9198" t="s">
        <v>46</v>
      </c>
      <c r="Y9198" t="s">
        <v>32264</v>
      </c>
    </row>
    <row r="9199" spans="1:25">
      <c r="A9199" t="s">
        <v>32265</v>
      </c>
      <c r="B9199" t="s">
        <v>32266</v>
      </c>
      <c r="D9199" t="s">
        <v>40</v>
      </c>
      <c r="E9199" t="s">
        <v>41</v>
      </c>
      <c r="J9199" t="s">
        <v>139</v>
      </c>
      <c r="K9199" t="s">
        <v>140</v>
      </c>
      <c r="L9199">
        <v>2</v>
      </c>
      <c r="M9199" t="s">
        <v>32267</v>
      </c>
      <c r="N9199" t="s">
        <v>3013</v>
      </c>
      <c r="O9199" t="s">
        <v>46</v>
      </c>
      <c r="P9199" t="s">
        <v>46</v>
      </c>
      <c r="Y9199" t="s">
        <v>32268</v>
      </c>
    </row>
    <row r="9200" spans="1:25">
      <c r="A9200" t="s">
        <v>32269</v>
      </c>
      <c r="B9200" t="s">
        <v>32270</v>
      </c>
      <c r="D9200" t="s">
        <v>40</v>
      </c>
      <c r="E9200" t="s">
        <v>41</v>
      </c>
      <c r="J9200" t="s">
        <v>248</v>
      </c>
      <c r="K9200" t="s">
        <v>249</v>
      </c>
      <c r="L9200">
        <v>2</v>
      </c>
      <c r="M9200" t="s">
        <v>32271</v>
      </c>
      <c r="N9200" t="s">
        <v>24245</v>
      </c>
      <c r="O9200" t="s">
        <v>46</v>
      </c>
      <c r="P9200" t="s">
        <v>46</v>
      </c>
      <c r="Y9200" t="s">
        <v>32272</v>
      </c>
    </row>
    <row r="9201" spans="1:25">
      <c r="A9201" t="s">
        <v>32273</v>
      </c>
      <c r="B9201" t="s">
        <v>32274</v>
      </c>
      <c r="D9201" t="s">
        <v>40</v>
      </c>
      <c r="E9201" t="s">
        <v>41</v>
      </c>
      <c r="J9201" t="s">
        <v>1554</v>
      </c>
      <c r="K9201" t="s">
        <v>1555</v>
      </c>
      <c r="L9201">
        <v>2</v>
      </c>
      <c r="M9201" t="s">
        <v>32275</v>
      </c>
      <c r="N9201" t="s">
        <v>1814</v>
      </c>
      <c r="O9201" t="s">
        <v>46</v>
      </c>
      <c r="P9201" t="s">
        <v>46</v>
      </c>
      <c r="Y9201" t="s">
        <v>32276</v>
      </c>
    </row>
    <row r="9202" spans="1:25">
      <c r="A9202" t="s">
        <v>32277</v>
      </c>
      <c r="B9202" t="s">
        <v>32278</v>
      </c>
      <c r="D9202" t="s">
        <v>40</v>
      </c>
      <c r="E9202" t="s">
        <v>41</v>
      </c>
      <c r="J9202" t="s">
        <v>248</v>
      </c>
      <c r="K9202" t="s">
        <v>249</v>
      </c>
      <c r="L9202">
        <v>2</v>
      </c>
      <c r="M9202" t="s">
        <v>32279</v>
      </c>
      <c r="N9202" t="s">
        <v>24245</v>
      </c>
      <c r="O9202" t="s">
        <v>46</v>
      </c>
      <c r="P9202" t="s">
        <v>46</v>
      </c>
      <c r="Y9202" t="s">
        <v>32280</v>
      </c>
    </row>
    <row r="9203" spans="1:25">
      <c r="A9203" t="s">
        <v>32281</v>
      </c>
      <c r="B9203" t="s">
        <v>32282</v>
      </c>
      <c r="D9203" t="s">
        <v>40</v>
      </c>
      <c r="E9203" t="s">
        <v>41</v>
      </c>
      <c r="J9203" t="s">
        <v>248</v>
      </c>
      <c r="K9203" t="s">
        <v>249</v>
      </c>
      <c r="L9203">
        <v>2</v>
      </c>
      <c r="M9203" t="s">
        <v>32283</v>
      </c>
      <c r="N9203" t="s">
        <v>58</v>
      </c>
      <c r="O9203" t="s">
        <v>46</v>
      </c>
      <c r="P9203" t="s">
        <v>46</v>
      </c>
      <c r="Y9203" t="s">
        <v>32284</v>
      </c>
    </row>
    <row r="9204" spans="1:25">
      <c r="A9204" t="s">
        <v>32285</v>
      </c>
      <c r="B9204" t="s">
        <v>32286</v>
      </c>
      <c r="D9204" t="s">
        <v>40</v>
      </c>
      <c r="E9204" t="s">
        <v>41</v>
      </c>
      <c r="J9204" t="s">
        <v>248</v>
      </c>
      <c r="K9204" t="s">
        <v>249</v>
      </c>
      <c r="L9204">
        <v>2</v>
      </c>
      <c r="M9204" t="s">
        <v>32287</v>
      </c>
      <c r="N9204" t="s">
        <v>142</v>
      </c>
      <c r="O9204" t="s">
        <v>46</v>
      </c>
      <c r="P9204" t="s">
        <v>46</v>
      </c>
      <c r="Y9204" t="s">
        <v>32288</v>
      </c>
    </row>
    <row r="9205" spans="1:25">
      <c r="A9205" t="s">
        <v>32289</v>
      </c>
      <c r="B9205" t="s">
        <v>32290</v>
      </c>
      <c r="D9205" t="s">
        <v>40</v>
      </c>
      <c r="E9205" t="s">
        <v>41</v>
      </c>
      <c r="J9205" t="s">
        <v>139</v>
      </c>
      <c r="K9205" t="s">
        <v>140</v>
      </c>
      <c r="L9205">
        <v>2</v>
      </c>
      <c r="M9205" t="s">
        <v>32291</v>
      </c>
      <c r="N9205" t="s">
        <v>509</v>
      </c>
      <c r="O9205" t="s">
        <v>46</v>
      </c>
      <c r="P9205" t="s">
        <v>46</v>
      </c>
      <c r="Y9205" t="s">
        <v>32292</v>
      </c>
    </row>
    <row r="9206" spans="1:25">
      <c r="A9206" t="s">
        <v>32293</v>
      </c>
      <c r="B9206" t="s">
        <v>32294</v>
      </c>
      <c r="D9206" t="s">
        <v>40</v>
      </c>
      <c r="E9206" t="s">
        <v>41</v>
      </c>
      <c r="J9206" t="s">
        <v>139</v>
      </c>
      <c r="K9206" t="s">
        <v>140</v>
      </c>
      <c r="L9206">
        <v>2</v>
      </c>
      <c r="M9206" t="s">
        <v>32295</v>
      </c>
      <c r="N9206" t="s">
        <v>1397</v>
      </c>
      <c r="O9206" t="s">
        <v>46</v>
      </c>
      <c r="P9206" t="s">
        <v>46</v>
      </c>
      <c r="Y9206" t="s">
        <v>32296</v>
      </c>
    </row>
    <row r="9207" spans="1:25">
      <c r="A9207" t="s">
        <v>32297</v>
      </c>
      <c r="B9207" t="s">
        <v>32298</v>
      </c>
      <c r="D9207" t="s">
        <v>40</v>
      </c>
      <c r="E9207" t="s">
        <v>41</v>
      </c>
      <c r="J9207" t="s">
        <v>1142</v>
      </c>
      <c r="K9207" t="s">
        <v>1143</v>
      </c>
      <c r="L9207">
        <v>3</v>
      </c>
      <c r="M9207" t="s">
        <v>32299</v>
      </c>
      <c r="N9207" t="s">
        <v>350</v>
      </c>
      <c r="O9207" t="s">
        <v>46</v>
      </c>
      <c r="P9207" t="s">
        <v>46</v>
      </c>
      <c r="Y9207" t="s">
        <v>32300</v>
      </c>
    </row>
    <row r="9208" spans="1:25">
      <c r="A9208" t="s">
        <v>32301</v>
      </c>
      <c r="B9208" t="s">
        <v>32302</v>
      </c>
      <c r="D9208" t="s">
        <v>40</v>
      </c>
      <c r="E9208" t="s">
        <v>41</v>
      </c>
      <c r="J9208" t="s">
        <v>248</v>
      </c>
      <c r="K9208" t="s">
        <v>249</v>
      </c>
      <c r="L9208">
        <v>2</v>
      </c>
      <c r="M9208" t="s">
        <v>32303</v>
      </c>
      <c r="N9208" t="s">
        <v>1814</v>
      </c>
      <c r="O9208" t="s">
        <v>46</v>
      </c>
      <c r="P9208" t="s">
        <v>46</v>
      </c>
      <c r="Y9208" t="s">
        <v>32304</v>
      </c>
    </row>
    <row r="9209" spans="1:25">
      <c r="A9209" t="s">
        <v>32305</v>
      </c>
      <c r="B9209" t="s">
        <v>32306</v>
      </c>
      <c r="D9209" t="s">
        <v>40</v>
      </c>
      <c r="E9209" t="s">
        <v>41</v>
      </c>
      <c r="J9209" t="s">
        <v>248</v>
      </c>
      <c r="K9209" t="s">
        <v>249</v>
      </c>
      <c r="L9209">
        <v>2</v>
      </c>
      <c r="M9209" t="s">
        <v>32307</v>
      </c>
      <c r="N9209" t="s">
        <v>756</v>
      </c>
      <c r="O9209" t="s">
        <v>46</v>
      </c>
      <c r="P9209" t="s">
        <v>46</v>
      </c>
      <c r="Y9209" t="s">
        <v>32308</v>
      </c>
    </row>
    <row r="9210" spans="1:25">
      <c r="A9210" t="s">
        <v>32309</v>
      </c>
      <c r="B9210" t="s">
        <v>32310</v>
      </c>
      <c r="D9210" t="s">
        <v>40</v>
      </c>
      <c r="E9210" t="s">
        <v>41</v>
      </c>
      <c r="J9210" t="s">
        <v>248</v>
      </c>
      <c r="K9210" t="s">
        <v>249</v>
      </c>
      <c r="L9210">
        <v>2</v>
      </c>
      <c r="M9210" t="s">
        <v>32311</v>
      </c>
      <c r="N9210" t="s">
        <v>178</v>
      </c>
      <c r="O9210" t="s">
        <v>46</v>
      </c>
      <c r="P9210" t="s">
        <v>46</v>
      </c>
      <c r="Y9210" t="s">
        <v>32312</v>
      </c>
    </row>
    <row r="9211" spans="1:25">
      <c r="A9211" t="s">
        <v>32313</v>
      </c>
      <c r="B9211" t="s">
        <v>32314</v>
      </c>
      <c r="D9211" t="s">
        <v>40</v>
      </c>
      <c r="E9211" t="s">
        <v>41</v>
      </c>
      <c r="J9211" t="s">
        <v>1554</v>
      </c>
      <c r="K9211" t="s">
        <v>1555</v>
      </c>
      <c r="L9211">
        <v>2</v>
      </c>
      <c r="M9211" t="s">
        <v>32315</v>
      </c>
      <c r="N9211" t="s">
        <v>924</v>
      </c>
      <c r="O9211" t="s">
        <v>46</v>
      </c>
      <c r="P9211" t="s">
        <v>46</v>
      </c>
      <c r="Y9211" t="s">
        <v>32316</v>
      </c>
    </row>
    <row r="9212" spans="1:25">
      <c r="A9212" t="s">
        <v>32317</v>
      </c>
      <c r="B9212" t="s">
        <v>32318</v>
      </c>
      <c r="D9212" t="s">
        <v>40</v>
      </c>
      <c r="E9212" t="s">
        <v>41</v>
      </c>
      <c r="J9212" t="s">
        <v>139</v>
      </c>
      <c r="K9212" t="s">
        <v>140</v>
      </c>
      <c r="L9212">
        <v>2</v>
      </c>
      <c r="M9212" t="s">
        <v>32319</v>
      </c>
      <c r="N9212" t="s">
        <v>24245</v>
      </c>
      <c r="O9212" t="s">
        <v>46</v>
      </c>
      <c r="P9212" t="s">
        <v>46</v>
      </c>
      <c r="Y9212" t="s">
        <v>32320</v>
      </c>
    </row>
    <row r="9213" spans="1:25">
      <c r="A9213" t="s">
        <v>32321</v>
      </c>
      <c r="B9213" t="s">
        <v>32322</v>
      </c>
      <c r="D9213" t="s">
        <v>40</v>
      </c>
      <c r="E9213" t="s">
        <v>41</v>
      </c>
      <c r="J9213" t="s">
        <v>1142</v>
      </c>
      <c r="K9213" t="s">
        <v>1143</v>
      </c>
      <c r="L9213">
        <v>2</v>
      </c>
      <c r="M9213" t="s">
        <v>32323</v>
      </c>
      <c r="N9213" t="s">
        <v>1369</v>
      </c>
      <c r="O9213" t="s">
        <v>46</v>
      </c>
      <c r="P9213" t="s">
        <v>46</v>
      </c>
      <c r="Y9213" t="s">
        <v>32324</v>
      </c>
    </row>
    <row r="9214" spans="1:25">
      <c r="A9214" t="s">
        <v>32325</v>
      </c>
      <c r="B9214" t="s">
        <v>32326</v>
      </c>
      <c r="D9214" t="s">
        <v>40</v>
      </c>
      <c r="E9214" t="s">
        <v>41</v>
      </c>
      <c r="J9214" t="s">
        <v>139</v>
      </c>
      <c r="K9214" t="s">
        <v>140</v>
      </c>
      <c r="L9214">
        <v>2</v>
      </c>
      <c r="M9214" t="s">
        <v>32327</v>
      </c>
      <c r="N9214" t="s">
        <v>142</v>
      </c>
      <c r="O9214" t="s">
        <v>46</v>
      </c>
      <c r="P9214" t="s">
        <v>46</v>
      </c>
      <c r="Y9214" t="s">
        <v>32328</v>
      </c>
    </row>
    <row r="9215" spans="1:25">
      <c r="A9215" t="s">
        <v>32329</v>
      </c>
      <c r="B9215" t="s">
        <v>32330</v>
      </c>
      <c r="D9215" t="s">
        <v>40</v>
      </c>
      <c r="E9215" t="s">
        <v>41</v>
      </c>
      <c r="J9215" t="s">
        <v>248</v>
      </c>
      <c r="K9215" t="s">
        <v>249</v>
      </c>
      <c r="L9215">
        <v>2</v>
      </c>
      <c r="M9215" t="s">
        <v>32331</v>
      </c>
      <c r="N9215" t="s">
        <v>1397</v>
      </c>
      <c r="O9215" t="s">
        <v>46</v>
      </c>
      <c r="P9215" t="s">
        <v>46</v>
      </c>
      <c r="Y9215" t="s">
        <v>32332</v>
      </c>
    </row>
    <row r="9216" spans="1:25">
      <c r="A9216" t="s">
        <v>32333</v>
      </c>
      <c r="B9216" t="s">
        <v>32334</v>
      </c>
      <c r="D9216" t="s">
        <v>40</v>
      </c>
      <c r="E9216" t="s">
        <v>41</v>
      </c>
      <c r="J9216" t="s">
        <v>248</v>
      </c>
      <c r="K9216" t="s">
        <v>249</v>
      </c>
      <c r="L9216">
        <v>2</v>
      </c>
      <c r="M9216" t="s">
        <v>32335</v>
      </c>
      <c r="N9216" t="s">
        <v>24227</v>
      </c>
      <c r="O9216" t="s">
        <v>46</v>
      </c>
      <c r="P9216" t="s">
        <v>46</v>
      </c>
      <c r="Y9216" t="s">
        <v>32336</v>
      </c>
    </row>
    <row r="9217" spans="1:25">
      <c r="A9217" t="s">
        <v>32337</v>
      </c>
      <c r="B9217" t="s">
        <v>32338</v>
      </c>
      <c r="D9217" t="s">
        <v>40</v>
      </c>
      <c r="E9217" t="s">
        <v>41</v>
      </c>
      <c r="J9217" t="s">
        <v>248</v>
      </c>
      <c r="K9217" t="s">
        <v>249</v>
      </c>
      <c r="L9217">
        <v>2</v>
      </c>
      <c r="M9217" t="s">
        <v>32339</v>
      </c>
      <c r="N9217" t="s">
        <v>58</v>
      </c>
      <c r="O9217" t="s">
        <v>46</v>
      </c>
      <c r="P9217" t="s">
        <v>46</v>
      </c>
      <c r="Y9217" t="s">
        <v>32340</v>
      </c>
    </row>
    <row r="9218" spans="1:25">
      <c r="A9218" t="s">
        <v>32341</v>
      </c>
      <c r="B9218" t="s">
        <v>32342</v>
      </c>
      <c r="D9218" t="s">
        <v>40</v>
      </c>
      <c r="E9218" t="s">
        <v>41</v>
      </c>
      <c r="J9218" t="s">
        <v>139</v>
      </c>
      <c r="K9218" t="s">
        <v>140</v>
      </c>
      <c r="L9218">
        <v>2</v>
      </c>
      <c r="M9218" t="s">
        <v>32343</v>
      </c>
      <c r="N9218" t="s">
        <v>178</v>
      </c>
      <c r="O9218" t="s">
        <v>46</v>
      </c>
      <c r="P9218" t="s">
        <v>46</v>
      </c>
      <c r="Y9218" t="s">
        <v>32344</v>
      </c>
    </row>
    <row r="9219" spans="1:25">
      <c r="A9219" t="s">
        <v>32345</v>
      </c>
      <c r="B9219" t="s">
        <v>32346</v>
      </c>
      <c r="D9219" t="s">
        <v>40</v>
      </c>
      <c r="E9219" t="s">
        <v>41</v>
      </c>
      <c r="J9219" t="s">
        <v>248</v>
      </c>
      <c r="K9219" t="s">
        <v>249</v>
      </c>
      <c r="L9219">
        <v>2</v>
      </c>
      <c r="M9219" t="s">
        <v>32347</v>
      </c>
      <c r="N9219" t="s">
        <v>1369</v>
      </c>
      <c r="O9219" t="s">
        <v>46</v>
      </c>
      <c r="P9219" t="s">
        <v>46</v>
      </c>
      <c r="Y9219" t="s">
        <v>32348</v>
      </c>
    </row>
    <row r="9220" spans="1:25">
      <c r="A9220" t="s">
        <v>32349</v>
      </c>
      <c r="B9220" t="s">
        <v>32350</v>
      </c>
      <c r="D9220" t="s">
        <v>40</v>
      </c>
      <c r="E9220" t="s">
        <v>41</v>
      </c>
      <c r="J9220" t="s">
        <v>139</v>
      </c>
      <c r="K9220" t="s">
        <v>140</v>
      </c>
      <c r="L9220">
        <v>2</v>
      </c>
      <c r="M9220" t="s">
        <v>32351</v>
      </c>
      <c r="N9220" t="s">
        <v>24387</v>
      </c>
      <c r="O9220" t="s">
        <v>46</v>
      </c>
      <c r="P9220" t="s">
        <v>46</v>
      </c>
      <c r="Y9220" t="s">
        <v>32352</v>
      </c>
    </row>
    <row r="9221" spans="1:25">
      <c r="A9221" t="s">
        <v>32353</v>
      </c>
      <c r="B9221" t="s">
        <v>32354</v>
      </c>
      <c r="D9221" t="s">
        <v>40</v>
      </c>
      <c r="E9221" t="s">
        <v>41</v>
      </c>
      <c r="J9221" t="s">
        <v>248</v>
      </c>
      <c r="K9221" t="s">
        <v>249</v>
      </c>
      <c r="L9221">
        <v>2</v>
      </c>
      <c r="M9221" t="s">
        <v>32355</v>
      </c>
      <c r="N9221" t="s">
        <v>142</v>
      </c>
      <c r="O9221" t="s">
        <v>46</v>
      </c>
      <c r="P9221" t="s">
        <v>46</v>
      </c>
      <c r="Y9221" t="s">
        <v>32356</v>
      </c>
    </row>
    <row r="9222" spans="1:25">
      <c r="A9222" t="s">
        <v>32357</v>
      </c>
      <c r="B9222" t="s">
        <v>32358</v>
      </c>
      <c r="D9222" t="s">
        <v>40</v>
      </c>
      <c r="E9222" t="s">
        <v>41</v>
      </c>
      <c r="J9222" t="s">
        <v>139</v>
      </c>
      <c r="K9222" t="s">
        <v>140</v>
      </c>
      <c r="L9222">
        <v>2</v>
      </c>
      <c r="M9222" t="s">
        <v>32355</v>
      </c>
      <c r="N9222" t="s">
        <v>24245</v>
      </c>
      <c r="O9222" t="s">
        <v>46</v>
      </c>
      <c r="P9222" t="s">
        <v>46</v>
      </c>
      <c r="Y9222" t="s">
        <v>32359</v>
      </c>
    </row>
    <row r="9223" spans="1:25">
      <c r="A9223" t="s">
        <v>32360</v>
      </c>
      <c r="B9223" t="s">
        <v>32361</v>
      </c>
      <c r="D9223" t="s">
        <v>40</v>
      </c>
      <c r="E9223" t="s">
        <v>41</v>
      </c>
      <c r="J9223" t="s">
        <v>1554</v>
      </c>
      <c r="K9223" t="s">
        <v>1555</v>
      </c>
      <c r="L9223">
        <v>2</v>
      </c>
      <c r="M9223" t="s">
        <v>32362</v>
      </c>
      <c r="N9223" t="s">
        <v>924</v>
      </c>
      <c r="O9223" t="s">
        <v>46</v>
      </c>
      <c r="P9223" t="s">
        <v>46</v>
      </c>
      <c r="Y9223" t="s">
        <v>32363</v>
      </c>
    </row>
    <row r="9224" spans="1:25">
      <c r="A9224" t="s">
        <v>32364</v>
      </c>
      <c r="B9224" t="s">
        <v>32365</v>
      </c>
      <c r="D9224" t="s">
        <v>40</v>
      </c>
      <c r="E9224" t="s">
        <v>41</v>
      </c>
      <c r="J9224" t="s">
        <v>248</v>
      </c>
      <c r="K9224" t="s">
        <v>249</v>
      </c>
      <c r="L9224">
        <v>2</v>
      </c>
      <c r="M9224" t="s">
        <v>32366</v>
      </c>
      <c r="N9224" t="s">
        <v>142</v>
      </c>
      <c r="O9224" t="s">
        <v>46</v>
      </c>
      <c r="P9224" t="s">
        <v>46</v>
      </c>
      <c r="Y9224" t="s">
        <v>32367</v>
      </c>
    </row>
    <row r="9225" spans="1:25">
      <c r="A9225" t="s">
        <v>32368</v>
      </c>
      <c r="B9225" t="s">
        <v>32369</v>
      </c>
      <c r="D9225" t="s">
        <v>40</v>
      </c>
      <c r="E9225" t="s">
        <v>41</v>
      </c>
      <c r="J9225" t="s">
        <v>248</v>
      </c>
      <c r="K9225" t="s">
        <v>249</v>
      </c>
      <c r="L9225">
        <v>2</v>
      </c>
      <c r="M9225" t="s">
        <v>32366</v>
      </c>
      <c r="N9225" t="s">
        <v>24227</v>
      </c>
      <c r="O9225" t="s">
        <v>46</v>
      </c>
      <c r="P9225" t="s">
        <v>46</v>
      </c>
      <c r="Y9225" t="s">
        <v>32370</v>
      </c>
    </row>
    <row r="9226" spans="1:25">
      <c r="A9226" t="s">
        <v>32371</v>
      </c>
      <c r="B9226" t="s">
        <v>32372</v>
      </c>
      <c r="D9226" t="s">
        <v>40</v>
      </c>
      <c r="E9226" t="s">
        <v>41</v>
      </c>
      <c r="J9226" t="s">
        <v>139</v>
      </c>
      <c r="K9226" t="s">
        <v>140</v>
      </c>
      <c r="L9226">
        <v>2</v>
      </c>
      <c r="M9226" t="s">
        <v>32373</v>
      </c>
      <c r="N9226" t="s">
        <v>31581</v>
      </c>
      <c r="O9226" t="s">
        <v>46</v>
      </c>
      <c r="P9226" t="s">
        <v>46</v>
      </c>
      <c r="Y9226" t="s">
        <v>32374</v>
      </c>
    </row>
    <row r="9227" spans="1:25">
      <c r="A9227" t="s">
        <v>32375</v>
      </c>
      <c r="B9227" t="s">
        <v>32376</v>
      </c>
      <c r="D9227" t="s">
        <v>40</v>
      </c>
      <c r="E9227" t="s">
        <v>41</v>
      </c>
      <c r="J9227" t="s">
        <v>248</v>
      </c>
      <c r="K9227" t="s">
        <v>249</v>
      </c>
      <c r="L9227">
        <v>2</v>
      </c>
      <c r="M9227" t="s">
        <v>32377</v>
      </c>
      <c r="N9227" t="s">
        <v>266</v>
      </c>
      <c r="O9227" t="s">
        <v>46</v>
      </c>
      <c r="P9227" t="s">
        <v>46</v>
      </c>
      <c r="Y9227" t="s">
        <v>32378</v>
      </c>
    </row>
    <row r="9228" spans="1:25">
      <c r="A9228" t="s">
        <v>32379</v>
      </c>
      <c r="B9228" t="s">
        <v>32380</v>
      </c>
      <c r="D9228" t="s">
        <v>40</v>
      </c>
      <c r="E9228" t="s">
        <v>41</v>
      </c>
      <c r="J9228" t="s">
        <v>14558</v>
      </c>
      <c r="K9228" t="s">
        <v>14559</v>
      </c>
      <c r="L9228">
        <v>2</v>
      </c>
      <c r="M9228" t="s">
        <v>32381</v>
      </c>
      <c r="N9228" t="s">
        <v>5995</v>
      </c>
      <c r="O9228" t="s">
        <v>46</v>
      </c>
      <c r="P9228" t="s">
        <v>46</v>
      </c>
      <c r="Y9228" t="s">
        <v>32382</v>
      </c>
    </row>
    <row r="9229" spans="1:25">
      <c r="A9229" t="s">
        <v>32383</v>
      </c>
      <c r="B9229" t="s">
        <v>32384</v>
      </c>
      <c r="D9229" t="s">
        <v>40</v>
      </c>
      <c r="E9229" t="s">
        <v>41</v>
      </c>
      <c r="J9229" t="s">
        <v>6255</v>
      </c>
      <c r="K9229" t="s">
        <v>6256</v>
      </c>
      <c r="L9229">
        <v>2</v>
      </c>
      <c r="M9229" t="s">
        <v>32385</v>
      </c>
      <c r="N9229" t="s">
        <v>266</v>
      </c>
      <c r="O9229" t="s">
        <v>46</v>
      </c>
      <c r="P9229" t="s">
        <v>46</v>
      </c>
      <c r="Y9229" t="s">
        <v>32386</v>
      </c>
    </row>
    <row r="9230" spans="1:25">
      <c r="A9230" t="s">
        <v>32387</v>
      </c>
      <c r="B9230" t="s">
        <v>32388</v>
      </c>
      <c r="D9230" t="s">
        <v>40</v>
      </c>
      <c r="E9230" t="s">
        <v>41</v>
      </c>
      <c r="J9230" t="s">
        <v>1554</v>
      </c>
      <c r="K9230" t="s">
        <v>1555</v>
      </c>
      <c r="L9230">
        <v>2</v>
      </c>
      <c r="M9230" t="s">
        <v>32389</v>
      </c>
      <c r="N9230" t="s">
        <v>296</v>
      </c>
      <c r="O9230" t="s">
        <v>46</v>
      </c>
      <c r="P9230" t="s">
        <v>46</v>
      </c>
      <c r="Y9230" t="s">
        <v>32390</v>
      </c>
    </row>
    <row r="9231" spans="1:25">
      <c r="A9231" t="s">
        <v>32391</v>
      </c>
      <c r="B9231" t="s">
        <v>32392</v>
      </c>
      <c r="D9231" t="s">
        <v>40</v>
      </c>
      <c r="E9231" t="s">
        <v>41</v>
      </c>
      <c r="J9231" t="s">
        <v>12440</v>
      </c>
      <c r="K9231" t="s">
        <v>12441</v>
      </c>
      <c r="L9231">
        <v>3</v>
      </c>
      <c r="M9231" t="s">
        <v>32393</v>
      </c>
      <c r="N9231" t="s">
        <v>64</v>
      </c>
      <c r="O9231" t="s">
        <v>46</v>
      </c>
      <c r="P9231" t="s">
        <v>46</v>
      </c>
      <c r="Y9231" t="s">
        <v>32394</v>
      </c>
    </row>
    <row r="9232" spans="1:25">
      <c r="A9232" t="s">
        <v>32395</v>
      </c>
      <c r="B9232" t="s">
        <v>32396</v>
      </c>
      <c r="D9232" t="s">
        <v>40</v>
      </c>
      <c r="E9232" t="s">
        <v>41</v>
      </c>
      <c r="J9232" t="s">
        <v>14558</v>
      </c>
      <c r="K9232" t="s">
        <v>14559</v>
      </c>
      <c r="L9232">
        <v>2</v>
      </c>
      <c r="M9232" t="s">
        <v>32397</v>
      </c>
      <c r="N9232" t="s">
        <v>296</v>
      </c>
      <c r="O9232" t="s">
        <v>46</v>
      </c>
      <c r="P9232" t="s">
        <v>46</v>
      </c>
      <c r="Y9232" t="s">
        <v>32398</v>
      </c>
    </row>
    <row r="9233" spans="1:25">
      <c r="A9233" t="s">
        <v>32399</v>
      </c>
      <c r="B9233" t="s">
        <v>32400</v>
      </c>
      <c r="D9233" t="s">
        <v>40</v>
      </c>
      <c r="E9233" t="s">
        <v>41</v>
      </c>
      <c r="J9233" t="s">
        <v>248</v>
      </c>
      <c r="K9233" t="s">
        <v>249</v>
      </c>
      <c r="L9233">
        <v>2</v>
      </c>
      <c r="M9233" t="s">
        <v>32401</v>
      </c>
      <c r="N9233" t="s">
        <v>1380</v>
      </c>
      <c r="O9233" t="s">
        <v>46</v>
      </c>
      <c r="P9233" t="s">
        <v>46</v>
      </c>
      <c r="Y9233" t="s">
        <v>32402</v>
      </c>
    </row>
    <row r="9234" spans="1:25">
      <c r="A9234" t="s">
        <v>32403</v>
      </c>
      <c r="B9234" t="s">
        <v>32404</v>
      </c>
      <c r="D9234" t="s">
        <v>40</v>
      </c>
      <c r="E9234" t="s">
        <v>41</v>
      </c>
      <c r="J9234" t="s">
        <v>11802</v>
      </c>
      <c r="K9234" t="s">
        <v>11803</v>
      </c>
      <c r="L9234">
        <v>2</v>
      </c>
      <c r="M9234" t="s">
        <v>32405</v>
      </c>
      <c r="N9234" t="s">
        <v>23374</v>
      </c>
      <c r="O9234" t="s">
        <v>46</v>
      </c>
      <c r="P9234" t="s">
        <v>46</v>
      </c>
      <c r="Y9234" t="s">
        <v>32406</v>
      </c>
    </row>
    <row r="9235" spans="1:25">
      <c r="A9235" t="s">
        <v>32407</v>
      </c>
      <c r="B9235" t="s">
        <v>32408</v>
      </c>
      <c r="D9235" t="s">
        <v>40</v>
      </c>
      <c r="E9235" t="s">
        <v>41</v>
      </c>
      <c r="J9235" t="s">
        <v>139</v>
      </c>
      <c r="K9235" t="s">
        <v>140</v>
      </c>
      <c r="L9235">
        <v>2</v>
      </c>
      <c r="M9235" t="s">
        <v>32409</v>
      </c>
      <c r="N9235" t="s">
        <v>1276</v>
      </c>
      <c r="O9235" t="s">
        <v>46</v>
      </c>
      <c r="P9235" t="s">
        <v>46</v>
      </c>
      <c r="Y9235" t="s">
        <v>32410</v>
      </c>
    </row>
    <row r="9236" spans="1:25">
      <c r="A9236" t="s">
        <v>32411</v>
      </c>
      <c r="B9236" t="s">
        <v>32412</v>
      </c>
      <c r="D9236" t="s">
        <v>40</v>
      </c>
      <c r="E9236" t="s">
        <v>41</v>
      </c>
      <c r="J9236" t="s">
        <v>248</v>
      </c>
      <c r="K9236" t="s">
        <v>249</v>
      </c>
      <c r="L9236">
        <v>2</v>
      </c>
      <c r="M9236" t="s">
        <v>32409</v>
      </c>
      <c r="N9236" t="s">
        <v>617</v>
      </c>
      <c r="O9236" t="s">
        <v>46</v>
      </c>
      <c r="P9236" t="s">
        <v>46</v>
      </c>
      <c r="Y9236" t="s">
        <v>32413</v>
      </c>
    </row>
    <row r="9237" spans="1:25">
      <c r="A9237" t="s">
        <v>32414</v>
      </c>
      <c r="B9237" t="s">
        <v>32415</v>
      </c>
      <c r="D9237" t="s">
        <v>40</v>
      </c>
      <c r="E9237" t="s">
        <v>41</v>
      </c>
      <c r="J9237" t="s">
        <v>6179</v>
      </c>
      <c r="K9237" t="s">
        <v>6180</v>
      </c>
      <c r="L9237">
        <v>2</v>
      </c>
      <c r="M9237" t="s">
        <v>32416</v>
      </c>
      <c r="N9237" t="s">
        <v>24245</v>
      </c>
      <c r="O9237" t="s">
        <v>46</v>
      </c>
      <c r="P9237" t="s">
        <v>46</v>
      </c>
      <c r="Y9237" t="s">
        <v>32417</v>
      </c>
    </row>
    <row r="9238" spans="1:25">
      <c r="A9238" t="s">
        <v>32418</v>
      </c>
      <c r="B9238" t="s">
        <v>32419</v>
      </c>
      <c r="D9238" t="s">
        <v>40</v>
      </c>
      <c r="E9238" t="s">
        <v>41</v>
      </c>
      <c r="J9238" t="s">
        <v>6179</v>
      </c>
      <c r="K9238" t="s">
        <v>6180</v>
      </c>
      <c r="L9238">
        <v>2</v>
      </c>
      <c r="M9238" t="s">
        <v>32420</v>
      </c>
      <c r="N9238" t="s">
        <v>315</v>
      </c>
      <c r="O9238" t="s">
        <v>46</v>
      </c>
      <c r="P9238" t="s">
        <v>46</v>
      </c>
      <c r="Y9238" t="s">
        <v>32421</v>
      </c>
    </row>
    <row r="9239" spans="1:25">
      <c r="A9239" t="s">
        <v>32422</v>
      </c>
      <c r="B9239" t="s">
        <v>32423</v>
      </c>
      <c r="D9239" t="s">
        <v>40</v>
      </c>
      <c r="E9239" t="s">
        <v>41</v>
      </c>
      <c r="J9239" t="s">
        <v>248</v>
      </c>
      <c r="K9239" t="s">
        <v>249</v>
      </c>
      <c r="L9239">
        <v>2</v>
      </c>
      <c r="M9239" t="s">
        <v>32424</v>
      </c>
      <c r="N9239" t="s">
        <v>1478</v>
      </c>
      <c r="O9239" t="s">
        <v>46</v>
      </c>
      <c r="P9239" t="s">
        <v>46</v>
      </c>
      <c r="Y9239" t="s">
        <v>32425</v>
      </c>
    </row>
    <row r="9240" spans="1:25">
      <c r="A9240" t="s">
        <v>32426</v>
      </c>
      <c r="B9240" t="s">
        <v>32427</v>
      </c>
      <c r="D9240" t="s">
        <v>40</v>
      </c>
      <c r="E9240" t="s">
        <v>41</v>
      </c>
      <c r="J9240" t="s">
        <v>1554</v>
      </c>
      <c r="K9240" t="s">
        <v>1555</v>
      </c>
      <c r="L9240">
        <v>2</v>
      </c>
      <c r="M9240" t="s">
        <v>32424</v>
      </c>
      <c r="N9240" t="s">
        <v>296</v>
      </c>
      <c r="O9240" t="s">
        <v>46</v>
      </c>
      <c r="P9240" t="s">
        <v>46</v>
      </c>
      <c r="Y9240" t="s">
        <v>32428</v>
      </c>
    </row>
    <row r="9241" spans="1:25">
      <c r="A9241" t="s">
        <v>32429</v>
      </c>
      <c r="B9241" t="s">
        <v>32430</v>
      </c>
      <c r="D9241" t="s">
        <v>40</v>
      </c>
      <c r="E9241" t="s">
        <v>41</v>
      </c>
      <c r="J9241" t="s">
        <v>1142</v>
      </c>
      <c r="K9241" t="s">
        <v>1143</v>
      </c>
      <c r="L9241">
        <v>2</v>
      </c>
      <c r="M9241" t="s">
        <v>32431</v>
      </c>
      <c r="N9241" t="s">
        <v>58</v>
      </c>
      <c r="O9241" t="s">
        <v>46</v>
      </c>
      <c r="P9241" t="s">
        <v>46</v>
      </c>
      <c r="Y9241" t="s">
        <v>32432</v>
      </c>
    </row>
    <row r="9242" spans="1:25">
      <c r="A9242" t="s">
        <v>32433</v>
      </c>
      <c r="B9242" t="s">
        <v>32434</v>
      </c>
      <c r="D9242" t="s">
        <v>40</v>
      </c>
      <c r="E9242" t="s">
        <v>41</v>
      </c>
      <c r="J9242" t="s">
        <v>248</v>
      </c>
      <c r="K9242" t="s">
        <v>249</v>
      </c>
      <c r="L9242">
        <v>2</v>
      </c>
      <c r="M9242" t="s">
        <v>32431</v>
      </c>
      <c r="N9242" t="s">
        <v>1369</v>
      </c>
      <c r="O9242" t="s">
        <v>46</v>
      </c>
      <c r="P9242" t="s">
        <v>46</v>
      </c>
      <c r="Y9242" t="s">
        <v>32435</v>
      </c>
    </row>
    <row r="9243" spans="1:25">
      <c r="A9243" t="s">
        <v>32436</v>
      </c>
      <c r="B9243" t="s">
        <v>32437</v>
      </c>
      <c r="D9243" t="s">
        <v>40</v>
      </c>
      <c r="E9243" t="s">
        <v>41</v>
      </c>
      <c r="J9243" t="s">
        <v>248</v>
      </c>
      <c r="K9243" t="s">
        <v>249</v>
      </c>
      <c r="L9243">
        <v>2</v>
      </c>
      <c r="M9243" t="s">
        <v>32438</v>
      </c>
      <c r="N9243" t="s">
        <v>3013</v>
      </c>
      <c r="O9243" t="s">
        <v>46</v>
      </c>
      <c r="P9243" t="s">
        <v>46</v>
      </c>
      <c r="Y9243" t="s">
        <v>32439</v>
      </c>
    </row>
    <row r="9244" spans="1:25">
      <c r="A9244" t="s">
        <v>32440</v>
      </c>
      <c r="B9244" t="s">
        <v>32441</v>
      </c>
      <c r="D9244" t="s">
        <v>40</v>
      </c>
      <c r="E9244" t="s">
        <v>41</v>
      </c>
      <c r="J9244" t="s">
        <v>139</v>
      </c>
      <c r="K9244" t="s">
        <v>140</v>
      </c>
      <c r="L9244">
        <v>2</v>
      </c>
      <c r="M9244" t="s">
        <v>32442</v>
      </c>
      <c r="N9244" t="s">
        <v>178</v>
      </c>
      <c r="O9244" t="s">
        <v>46</v>
      </c>
      <c r="P9244" t="s">
        <v>46</v>
      </c>
      <c r="Y9244" t="s">
        <v>32443</v>
      </c>
    </row>
    <row r="9245" spans="1:25">
      <c r="A9245" t="s">
        <v>32444</v>
      </c>
      <c r="B9245" t="s">
        <v>32445</v>
      </c>
      <c r="D9245" t="s">
        <v>40</v>
      </c>
      <c r="E9245" t="s">
        <v>41</v>
      </c>
      <c r="J9245" t="s">
        <v>139</v>
      </c>
      <c r="K9245" t="s">
        <v>140</v>
      </c>
      <c r="L9245">
        <v>2</v>
      </c>
      <c r="M9245" t="s">
        <v>32442</v>
      </c>
      <c r="N9245" t="s">
        <v>350</v>
      </c>
      <c r="O9245" t="s">
        <v>46</v>
      </c>
      <c r="P9245" t="s">
        <v>46</v>
      </c>
      <c r="Y9245" t="s">
        <v>32446</v>
      </c>
    </row>
    <row r="9246" spans="1:25">
      <c r="A9246" t="s">
        <v>32447</v>
      </c>
      <c r="B9246" t="s">
        <v>32448</v>
      </c>
      <c r="D9246" t="s">
        <v>40</v>
      </c>
      <c r="E9246" t="s">
        <v>41</v>
      </c>
      <c r="J9246" t="s">
        <v>248</v>
      </c>
      <c r="K9246" t="s">
        <v>249</v>
      </c>
      <c r="L9246">
        <v>2</v>
      </c>
      <c r="M9246" t="s">
        <v>32449</v>
      </c>
      <c r="N9246" t="s">
        <v>617</v>
      </c>
      <c r="O9246" t="s">
        <v>46</v>
      </c>
      <c r="P9246" t="s">
        <v>46</v>
      </c>
      <c r="Y9246" t="s">
        <v>32450</v>
      </c>
    </row>
    <row r="9247" spans="1:25">
      <c r="A9247" t="s">
        <v>32451</v>
      </c>
      <c r="B9247" t="s">
        <v>32452</v>
      </c>
      <c r="D9247" t="s">
        <v>40</v>
      </c>
      <c r="E9247" t="s">
        <v>41</v>
      </c>
      <c r="J9247" t="s">
        <v>248</v>
      </c>
      <c r="K9247" t="s">
        <v>249</v>
      </c>
      <c r="L9247">
        <v>2</v>
      </c>
      <c r="M9247" t="s">
        <v>32453</v>
      </c>
      <c r="N9247" t="s">
        <v>24245</v>
      </c>
      <c r="O9247" t="s">
        <v>46</v>
      </c>
      <c r="P9247" t="s">
        <v>46</v>
      </c>
      <c r="Y9247" t="s">
        <v>32454</v>
      </c>
    </row>
    <row r="9248" spans="1:25">
      <c r="A9248" t="s">
        <v>32455</v>
      </c>
      <c r="B9248" t="s">
        <v>32456</v>
      </c>
      <c r="D9248" t="s">
        <v>40</v>
      </c>
      <c r="E9248" t="s">
        <v>41</v>
      </c>
      <c r="J9248" t="s">
        <v>248</v>
      </c>
      <c r="K9248" t="s">
        <v>249</v>
      </c>
      <c r="L9248">
        <v>2</v>
      </c>
      <c r="M9248" t="s">
        <v>32457</v>
      </c>
      <c r="N9248" t="s">
        <v>142</v>
      </c>
      <c r="O9248" t="s">
        <v>46</v>
      </c>
      <c r="P9248" t="s">
        <v>46</v>
      </c>
      <c r="Y9248" t="s">
        <v>32458</v>
      </c>
    </row>
    <row r="9249" spans="1:25">
      <c r="A9249" t="s">
        <v>32459</v>
      </c>
      <c r="B9249" t="s">
        <v>32460</v>
      </c>
      <c r="D9249" t="s">
        <v>40</v>
      </c>
      <c r="E9249" t="s">
        <v>41</v>
      </c>
      <c r="J9249" t="s">
        <v>248</v>
      </c>
      <c r="K9249" t="s">
        <v>249</v>
      </c>
      <c r="L9249">
        <v>2</v>
      </c>
      <c r="M9249" t="s">
        <v>32461</v>
      </c>
      <c r="N9249" t="s">
        <v>1478</v>
      </c>
      <c r="O9249" t="s">
        <v>46</v>
      </c>
      <c r="P9249" t="s">
        <v>46</v>
      </c>
      <c r="Y9249" t="s">
        <v>32462</v>
      </c>
    </row>
    <row r="9250" spans="1:25">
      <c r="A9250" t="s">
        <v>32463</v>
      </c>
      <c r="B9250" t="s">
        <v>32464</v>
      </c>
      <c r="D9250" t="s">
        <v>40</v>
      </c>
      <c r="E9250" t="s">
        <v>41</v>
      </c>
      <c r="J9250" t="s">
        <v>6255</v>
      </c>
      <c r="K9250" t="s">
        <v>6256</v>
      </c>
      <c r="L9250">
        <v>2</v>
      </c>
      <c r="M9250" t="s">
        <v>32465</v>
      </c>
      <c r="N9250" t="s">
        <v>1397</v>
      </c>
      <c r="O9250" t="s">
        <v>46</v>
      </c>
      <c r="P9250" t="s">
        <v>46</v>
      </c>
      <c r="Y9250" t="s">
        <v>32466</v>
      </c>
    </row>
    <row r="9251" spans="1:25">
      <c r="A9251" t="s">
        <v>32467</v>
      </c>
      <c r="B9251" t="s">
        <v>32468</v>
      </c>
      <c r="D9251" t="s">
        <v>40</v>
      </c>
      <c r="E9251" t="s">
        <v>41</v>
      </c>
      <c r="J9251" t="s">
        <v>139</v>
      </c>
      <c r="K9251" t="s">
        <v>140</v>
      </c>
      <c r="L9251">
        <v>2</v>
      </c>
      <c r="M9251" t="s">
        <v>32469</v>
      </c>
      <c r="N9251" t="s">
        <v>1814</v>
      </c>
      <c r="O9251" t="s">
        <v>46</v>
      </c>
      <c r="P9251" t="s">
        <v>46</v>
      </c>
      <c r="Y9251" t="s">
        <v>32470</v>
      </c>
    </row>
    <row r="9252" spans="1:25">
      <c r="A9252" t="s">
        <v>32471</v>
      </c>
      <c r="B9252" t="s">
        <v>32472</v>
      </c>
      <c r="D9252" t="s">
        <v>40</v>
      </c>
      <c r="E9252" t="s">
        <v>41</v>
      </c>
      <c r="J9252" t="s">
        <v>248</v>
      </c>
      <c r="K9252" t="s">
        <v>249</v>
      </c>
      <c r="L9252">
        <v>2</v>
      </c>
      <c r="M9252" t="s">
        <v>32473</v>
      </c>
      <c r="N9252" t="s">
        <v>1550</v>
      </c>
      <c r="O9252" t="s">
        <v>46</v>
      </c>
      <c r="P9252" t="s">
        <v>46</v>
      </c>
      <c r="Y9252" t="s">
        <v>32474</v>
      </c>
    </row>
    <row r="9253" spans="1:25">
      <c r="A9253" t="s">
        <v>32475</v>
      </c>
      <c r="B9253" t="s">
        <v>32476</v>
      </c>
      <c r="D9253" t="s">
        <v>40</v>
      </c>
      <c r="E9253" t="s">
        <v>41</v>
      </c>
      <c r="J9253" t="s">
        <v>248</v>
      </c>
      <c r="K9253" t="s">
        <v>249</v>
      </c>
      <c r="L9253">
        <v>2</v>
      </c>
      <c r="M9253" t="s">
        <v>32477</v>
      </c>
      <c r="N9253" t="s">
        <v>257</v>
      </c>
      <c r="O9253" t="s">
        <v>46</v>
      </c>
      <c r="P9253" t="s">
        <v>46</v>
      </c>
      <c r="Y9253" t="s">
        <v>32478</v>
      </c>
    </row>
    <row r="9254" spans="1:25">
      <c r="A9254" t="s">
        <v>32479</v>
      </c>
      <c r="B9254" t="s">
        <v>32480</v>
      </c>
      <c r="D9254" t="s">
        <v>40</v>
      </c>
      <c r="E9254" t="s">
        <v>41</v>
      </c>
      <c r="J9254" t="s">
        <v>139</v>
      </c>
      <c r="K9254" t="s">
        <v>140</v>
      </c>
      <c r="L9254">
        <v>2</v>
      </c>
      <c r="M9254" t="s">
        <v>32481</v>
      </c>
      <c r="N9254" t="s">
        <v>950</v>
      </c>
      <c r="O9254" t="s">
        <v>46</v>
      </c>
      <c r="P9254" t="s">
        <v>46</v>
      </c>
      <c r="Y9254" t="s">
        <v>32482</v>
      </c>
    </row>
    <row r="9255" spans="1:25">
      <c r="A9255" t="s">
        <v>32483</v>
      </c>
      <c r="B9255" t="s">
        <v>32484</v>
      </c>
      <c r="D9255" t="s">
        <v>40</v>
      </c>
      <c r="E9255" t="s">
        <v>41</v>
      </c>
      <c r="J9255" t="s">
        <v>248</v>
      </c>
      <c r="K9255" t="s">
        <v>249</v>
      </c>
      <c r="L9255">
        <v>2</v>
      </c>
      <c r="M9255" t="s">
        <v>32485</v>
      </c>
      <c r="N9255" t="s">
        <v>27228</v>
      </c>
      <c r="O9255" t="s">
        <v>46</v>
      </c>
      <c r="P9255" t="s">
        <v>46</v>
      </c>
      <c r="Y9255" t="s">
        <v>32486</v>
      </c>
    </row>
    <row r="9256" spans="1:25">
      <c r="A9256" t="s">
        <v>32487</v>
      </c>
      <c r="B9256" t="s">
        <v>32488</v>
      </c>
      <c r="D9256" t="s">
        <v>40</v>
      </c>
      <c r="E9256" t="s">
        <v>41</v>
      </c>
      <c r="J9256" t="s">
        <v>248</v>
      </c>
      <c r="K9256" t="s">
        <v>249</v>
      </c>
      <c r="L9256">
        <v>2</v>
      </c>
      <c r="M9256" t="s">
        <v>32489</v>
      </c>
      <c r="N9256" t="s">
        <v>142</v>
      </c>
      <c r="O9256" t="s">
        <v>46</v>
      </c>
      <c r="P9256" t="s">
        <v>46</v>
      </c>
      <c r="Y9256" t="s">
        <v>32490</v>
      </c>
    </row>
    <row r="9257" spans="1:25">
      <c r="A9257" t="s">
        <v>32491</v>
      </c>
      <c r="B9257" t="s">
        <v>32492</v>
      </c>
      <c r="D9257" t="s">
        <v>40</v>
      </c>
      <c r="E9257" t="s">
        <v>41</v>
      </c>
      <c r="J9257" t="s">
        <v>6179</v>
      </c>
      <c r="K9257" t="s">
        <v>6180</v>
      </c>
      <c r="L9257">
        <v>2</v>
      </c>
      <c r="M9257" t="s">
        <v>32493</v>
      </c>
      <c r="N9257" t="s">
        <v>436</v>
      </c>
      <c r="O9257" t="s">
        <v>46</v>
      </c>
      <c r="P9257" t="s">
        <v>46</v>
      </c>
      <c r="Y9257" t="s">
        <v>32494</v>
      </c>
    </row>
    <row r="9258" spans="1:25">
      <c r="A9258" t="s">
        <v>32495</v>
      </c>
      <c r="B9258" t="s">
        <v>32496</v>
      </c>
      <c r="D9258" t="s">
        <v>40</v>
      </c>
      <c r="E9258" t="s">
        <v>41</v>
      </c>
      <c r="J9258" t="s">
        <v>139</v>
      </c>
      <c r="K9258" t="s">
        <v>140</v>
      </c>
      <c r="L9258">
        <v>2</v>
      </c>
      <c r="M9258" t="s">
        <v>32497</v>
      </c>
      <c r="N9258" t="s">
        <v>1550</v>
      </c>
      <c r="O9258" t="s">
        <v>46</v>
      </c>
      <c r="P9258" t="s">
        <v>46</v>
      </c>
      <c r="Y9258" t="s">
        <v>32498</v>
      </c>
    </row>
    <row r="9259" spans="1:25">
      <c r="A9259" t="s">
        <v>32499</v>
      </c>
      <c r="B9259" t="s">
        <v>32500</v>
      </c>
      <c r="D9259" t="s">
        <v>40</v>
      </c>
      <c r="E9259" t="s">
        <v>41</v>
      </c>
      <c r="J9259" t="s">
        <v>139</v>
      </c>
      <c r="K9259" t="s">
        <v>140</v>
      </c>
      <c r="L9259">
        <v>2</v>
      </c>
      <c r="M9259" t="s">
        <v>32501</v>
      </c>
      <c r="N9259" t="s">
        <v>3013</v>
      </c>
      <c r="O9259" t="s">
        <v>46</v>
      </c>
      <c r="P9259" t="s">
        <v>46</v>
      </c>
      <c r="Y9259" t="s">
        <v>32502</v>
      </c>
    </row>
    <row r="9260" spans="1:25">
      <c r="A9260" t="s">
        <v>32503</v>
      </c>
      <c r="B9260" t="s">
        <v>32504</v>
      </c>
      <c r="D9260" t="s">
        <v>40</v>
      </c>
      <c r="E9260" t="s">
        <v>41</v>
      </c>
      <c r="J9260" t="s">
        <v>1142</v>
      </c>
      <c r="K9260" t="s">
        <v>1143</v>
      </c>
      <c r="L9260">
        <v>2</v>
      </c>
      <c r="M9260" t="s">
        <v>32505</v>
      </c>
      <c r="N9260" t="s">
        <v>178</v>
      </c>
      <c r="O9260" t="s">
        <v>46</v>
      </c>
      <c r="P9260" t="s">
        <v>46</v>
      </c>
      <c r="Y9260" t="s">
        <v>32506</v>
      </c>
    </row>
    <row r="9261" spans="1:25">
      <c r="A9261" t="s">
        <v>32507</v>
      </c>
      <c r="B9261" t="s">
        <v>32508</v>
      </c>
      <c r="D9261" t="s">
        <v>40</v>
      </c>
      <c r="E9261" t="s">
        <v>41</v>
      </c>
      <c r="J9261" t="s">
        <v>248</v>
      </c>
      <c r="K9261" t="s">
        <v>249</v>
      </c>
      <c r="L9261">
        <v>3</v>
      </c>
      <c r="M9261" t="s">
        <v>32509</v>
      </c>
      <c r="N9261" t="s">
        <v>1550</v>
      </c>
      <c r="O9261" t="s">
        <v>46</v>
      </c>
      <c r="P9261" t="s">
        <v>46</v>
      </c>
      <c r="Y9261" t="s">
        <v>32510</v>
      </c>
    </row>
    <row r="9262" spans="1:25">
      <c r="A9262" t="s">
        <v>32511</v>
      </c>
      <c r="B9262" t="s">
        <v>32512</v>
      </c>
      <c r="D9262" t="s">
        <v>40</v>
      </c>
      <c r="E9262" t="s">
        <v>41</v>
      </c>
      <c r="J9262" t="s">
        <v>248</v>
      </c>
      <c r="K9262" t="s">
        <v>249</v>
      </c>
      <c r="L9262">
        <v>2</v>
      </c>
      <c r="M9262" t="s">
        <v>32513</v>
      </c>
      <c r="N9262" t="s">
        <v>53</v>
      </c>
      <c r="O9262" t="s">
        <v>46</v>
      </c>
      <c r="P9262" t="s">
        <v>46</v>
      </c>
      <c r="Y9262" t="s">
        <v>32514</v>
      </c>
    </row>
    <row r="9263" spans="1:25">
      <c r="A9263" t="s">
        <v>32515</v>
      </c>
      <c r="B9263" t="s">
        <v>32516</v>
      </c>
      <c r="D9263" t="s">
        <v>40</v>
      </c>
      <c r="E9263" t="s">
        <v>41</v>
      </c>
      <c r="J9263" t="s">
        <v>248</v>
      </c>
      <c r="K9263" t="s">
        <v>249</v>
      </c>
      <c r="L9263">
        <v>2</v>
      </c>
      <c r="M9263" t="s">
        <v>32517</v>
      </c>
      <c r="N9263" t="s">
        <v>142</v>
      </c>
      <c r="O9263" t="s">
        <v>46</v>
      </c>
      <c r="P9263" t="s">
        <v>46</v>
      </c>
      <c r="Y9263" t="s">
        <v>32518</v>
      </c>
    </row>
    <row r="9264" spans="1:25">
      <c r="A9264" t="s">
        <v>32519</v>
      </c>
      <c r="B9264" t="s">
        <v>32520</v>
      </c>
      <c r="D9264" t="s">
        <v>40</v>
      </c>
      <c r="E9264" t="s">
        <v>41</v>
      </c>
      <c r="J9264" t="s">
        <v>1142</v>
      </c>
      <c r="K9264" t="s">
        <v>1143</v>
      </c>
      <c r="L9264">
        <v>2</v>
      </c>
      <c r="M9264" t="s">
        <v>32521</v>
      </c>
      <c r="N9264" t="s">
        <v>950</v>
      </c>
      <c r="O9264" t="s">
        <v>46</v>
      </c>
      <c r="P9264" t="s">
        <v>46</v>
      </c>
      <c r="Y9264" t="s">
        <v>32522</v>
      </c>
    </row>
    <row r="9265" spans="1:25">
      <c r="A9265" t="s">
        <v>32523</v>
      </c>
      <c r="B9265" t="s">
        <v>32524</v>
      </c>
      <c r="D9265" t="s">
        <v>40</v>
      </c>
      <c r="E9265" t="s">
        <v>41</v>
      </c>
      <c r="J9265" t="s">
        <v>11802</v>
      </c>
      <c r="K9265" t="s">
        <v>11803</v>
      </c>
      <c r="L9265">
        <v>2</v>
      </c>
      <c r="M9265" t="s">
        <v>32521</v>
      </c>
      <c r="N9265" t="s">
        <v>24227</v>
      </c>
      <c r="O9265" t="s">
        <v>46</v>
      </c>
      <c r="P9265" t="s">
        <v>46</v>
      </c>
      <c r="Y9265" t="s">
        <v>32525</v>
      </c>
    </row>
    <row r="9266" spans="1:25">
      <c r="A9266" t="s">
        <v>32526</v>
      </c>
      <c r="B9266" t="s">
        <v>32527</v>
      </c>
      <c r="D9266" t="s">
        <v>40</v>
      </c>
      <c r="E9266" t="s">
        <v>41</v>
      </c>
      <c r="J9266" t="s">
        <v>14558</v>
      </c>
      <c r="K9266" t="s">
        <v>14559</v>
      </c>
      <c r="L9266">
        <v>2</v>
      </c>
      <c r="M9266" t="s">
        <v>32528</v>
      </c>
      <c r="N9266" t="s">
        <v>752</v>
      </c>
      <c r="O9266" t="s">
        <v>46</v>
      </c>
      <c r="P9266" t="s">
        <v>46</v>
      </c>
      <c r="Y9266" t="s">
        <v>32529</v>
      </c>
    </row>
    <row r="9267" spans="1:25">
      <c r="A9267" t="s">
        <v>32530</v>
      </c>
      <c r="B9267" t="s">
        <v>32531</v>
      </c>
      <c r="D9267" t="s">
        <v>40</v>
      </c>
      <c r="E9267" t="s">
        <v>41</v>
      </c>
      <c r="J9267" t="s">
        <v>139</v>
      </c>
      <c r="K9267" t="s">
        <v>140</v>
      </c>
      <c r="L9267">
        <v>2</v>
      </c>
      <c r="M9267" t="s">
        <v>32532</v>
      </c>
      <c r="N9267" t="s">
        <v>436</v>
      </c>
      <c r="O9267" t="s">
        <v>46</v>
      </c>
      <c r="P9267" t="s">
        <v>46</v>
      </c>
      <c r="Y9267" t="s">
        <v>32533</v>
      </c>
    </row>
    <row r="9268" spans="1:25">
      <c r="A9268" t="s">
        <v>32534</v>
      </c>
      <c r="B9268" t="s">
        <v>32535</v>
      </c>
      <c r="D9268" t="s">
        <v>40</v>
      </c>
      <c r="E9268" t="s">
        <v>41</v>
      </c>
      <c r="J9268" t="s">
        <v>1554</v>
      </c>
      <c r="K9268" t="s">
        <v>1555</v>
      </c>
      <c r="L9268">
        <v>2</v>
      </c>
      <c r="M9268" t="s">
        <v>32536</v>
      </c>
      <c r="N9268" t="s">
        <v>24245</v>
      </c>
      <c r="O9268" t="s">
        <v>46</v>
      </c>
      <c r="P9268" t="s">
        <v>46</v>
      </c>
      <c r="Y9268" t="s">
        <v>32537</v>
      </c>
    </row>
    <row r="9269" spans="1:25">
      <c r="A9269" t="s">
        <v>32538</v>
      </c>
      <c r="B9269" t="s">
        <v>32539</v>
      </c>
      <c r="D9269" t="s">
        <v>40</v>
      </c>
      <c r="E9269" t="s">
        <v>41</v>
      </c>
      <c r="J9269" t="s">
        <v>1554</v>
      </c>
      <c r="K9269" t="s">
        <v>1555</v>
      </c>
      <c r="L9269">
        <v>2</v>
      </c>
      <c r="M9269" t="s">
        <v>32540</v>
      </c>
      <c r="N9269" t="s">
        <v>924</v>
      </c>
      <c r="O9269" t="s">
        <v>46</v>
      </c>
      <c r="P9269" t="s">
        <v>46</v>
      </c>
      <c r="Y9269" t="s">
        <v>32541</v>
      </c>
    </row>
    <row r="9270" spans="1:25">
      <c r="A9270" t="s">
        <v>32542</v>
      </c>
      <c r="B9270" t="s">
        <v>32543</v>
      </c>
      <c r="D9270" t="s">
        <v>40</v>
      </c>
      <c r="E9270" t="s">
        <v>41</v>
      </c>
      <c r="J9270" t="s">
        <v>248</v>
      </c>
      <c r="K9270" t="s">
        <v>249</v>
      </c>
      <c r="L9270">
        <v>2</v>
      </c>
      <c r="M9270" t="s">
        <v>32544</v>
      </c>
      <c r="N9270" t="s">
        <v>1550</v>
      </c>
      <c r="O9270" t="s">
        <v>46</v>
      </c>
      <c r="P9270" t="s">
        <v>46</v>
      </c>
      <c r="Y9270" t="s">
        <v>32545</v>
      </c>
    </row>
    <row r="9271" spans="1:25">
      <c r="A9271" t="s">
        <v>32546</v>
      </c>
      <c r="B9271" t="s">
        <v>32547</v>
      </c>
      <c r="D9271" t="s">
        <v>40</v>
      </c>
      <c r="E9271" t="s">
        <v>41</v>
      </c>
      <c r="J9271" t="s">
        <v>139</v>
      </c>
      <c r="K9271" t="s">
        <v>140</v>
      </c>
      <c r="L9271">
        <v>2</v>
      </c>
      <c r="M9271" t="s">
        <v>32548</v>
      </c>
      <c r="N9271" t="s">
        <v>440</v>
      </c>
      <c r="O9271" t="s">
        <v>46</v>
      </c>
      <c r="P9271" t="s">
        <v>46</v>
      </c>
      <c r="Y9271" t="s">
        <v>32549</v>
      </c>
    </row>
    <row r="9272" spans="1:25">
      <c r="A9272" t="s">
        <v>32550</v>
      </c>
      <c r="B9272" t="s">
        <v>32551</v>
      </c>
      <c r="D9272" t="s">
        <v>40</v>
      </c>
      <c r="E9272" t="s">
        <v>41</v>
      </c>
      <c r="J9272" t="s">
        <v>599</v>
      </c>
      <c r="K9272" t="s">
        <v>600</v>
      </c>
      <c r="L9272">
        <v>2</v>
      </c>
      <c r="M9272" t="s">
        <v>32552</v>
      </c>
      <c r="N9272" t="s">
        <v>24387</v>
      </c>
      <c r="O9272" t="s">
        <v>46</v>
      </c>
      <c r="P9272" t="s">
        <v>46</v>
      </c>
      <c r="Y9272" t="s">
        <v>32553</v>
      </c>
    </row>
    <row r="9273" spans="1:25">
      <c r="A9273" t="s">
        <v>32554</v>
      </c>
      <c r="B9273" t="s">
        <v>32555</v>
      </c>
      <c r="D9273" t="s">
        <v>40</v>
      </c>
      <c r="E9273" t="s">
        <v>41</v>
      </c>
      <c r="J9273" t="s">
        <v>248</v>
      </c>
      <c r="K9273" t="s">
        <v>249</v>
      </c>
      <c r="L9273">
        <v>2</v>
      </c>
      <c r="M9273" t="s">
        <v>32556</v>
      </c>
      <c r="N9273" t="s">
        <v>142</v>
      </c>
      <c r="O9273" t="s">
        <v>46</v>
      </c>
      <c r="P9273" t="s">
        <v>46</v>
      </c>
      <c r="Y9273" t="s">
        <v>32557</v>
      </c>
    </row>
    <row r="9274" spans="1:25">
      <c r="A9274" t="s">
        <v>32558</v>
      </c>
      <c r="B9274" t="s">
        <v>32559</v>
      </c>
      <c r="D9274" t="s">
        <v>40</v>
      </c>
      <c r="E9274" t="s">
        <v>41</v>
      </c>
      <c r="J9274" t="s">
        <v>248</v>
      </c>
      <c r="K9274" t="s">
        <v>249</v>
      </c>
      <c r="L9274">
        <v>2</v>
      </c>
      <c r="M9274" t="s">
        <v>32556</v>
      </c>
      <c r="N9274" t="s">
        <v>257</v>
      </c>
      <c r="O9274" t="s">
        <v>46</v>
      </c>
      <c r="P9274" t="s">
        <v>46</v>
      </c>
      <c r="Y9274" t="s">
        <v>32560</v>
      </c>
    </row>
    <row r="9275" spans="1:25">
      <c r="A9275" t="s">
        <v>32561</v>
      </c>
      <c r="B9275" t="s">
        <v>32562</v>
      </c>
      <c r="D9275" t="s">
        <v>40</v>
      </c>
      <c r="E9275" t="s">
        <v>41</v>
      </c>
      <c r="J9275" t="s">
        <v>14558</v>
      </c>
      <c r="K9275" t="s">
        <v>14559</v>
      </c>
      <c r="L9275">
        <v>2</v>
      </c>
      <c r="M9275" t="s">
        <v>32563</v>
      </c>
      <c r="N9275" t="s">
        <v>1397</v>
      </c>
      <c r="O9275" t="s">
        <v>46</v>
      </c>
      <c r="P9275" t="s">
        <v>46</v>
      </c>
      <c r="Y9275" t="s">
        <v>32564</v>
      </c>
    </row>
    <row r="9276" spans="1:25">
      <c r="A9276" t="s">
        <v>32565</v>
      </c>
      <c r="B9276" t="s">
        <v>32566</v>
      </c>
      <c r="D9276" t="s">
        <v>40</v>
      </c>
      <c r="E9276" t="s">
        <v>41</v>
      </c>
      <c r="J9276" t="s">
        <v>248</v>
      </c>
      <c r="K9276" t="s">
        <v>249</v>
      </c>
      <c r="L9276">
        <v>2</v>
      </c>
      <c r="M9276" t="s">
        <v>32567</v>
      </c>
      <c r="N9276" t="s">
        <v>752</v>
      </c>
      <c r="O9276" t="s">
        <v>46</v>
      </c>
      <c r="P9276" t="s">
        <v>46</v>
      </c>
      <c r="Y9276" t="s">
        <v>32568</v>
      </c>
    </row>
    <row r="9277" spans="1:25">
      <c r="A9277" t="s">
        <v>32569</v>
      </c>
      <c r="B9277" t="s">
        <v>32570</v>
      </c>
      <c r="D9277" t="s">
        <v>40</v>
      </c>
      <c r="E9277" t="s">
        <v>41</v>
      </c>
      <c r="J9277" t="s">
        <v>139</v>
      </c>
      <c r="K9277" t="s">
        <v>140</v>
      </c>
      <c r="L9277">
        <v>2</v>
      </c>
      <c r="M9277" t="s">
        <v>32571</v>
      </c>
      <c r="N9277" t="s">
        <v>1550</v>
      </c>
      <c r="O9277" t="s">
        <v>46</v>
      </c>
      <c r="P9277" t="s">
        <v>46</v>
      </c>
      <c r="Y9277" t="s">
        <v>32572</v>
      </c>
    </row>
    <row r="9278" spans="1:25">
      <c r="A9278" t="s">
        <v>32573</v>
      </c>
      <c r="B9278" t="s">
        <v>32574</v>
      </c>
      <c r="D9278" t="s">
        <v>40</v>
      </c>
      <c r="E9278" t="s">
        <v>41</v>
      </c>
      <c r="J9278" t="s">
        <v>1554</v>
      </c>
      <c r="K9278" t="s">
        <v>1555</v>
      </c>
      <c r="L9278">
        <v>2</v>
      </c>
      <c r="M9278" t="s">
        <v>32575</v>
      </c>
      <c r="N9278" t="s">
        <v>1276</v>
      </c>
      <c r="O9278" t="s">
        <v>46</v>
      </c>
      <c r="P9278" t="s">
        <v>46</v>
      </c>
      <c r="Y9278" t="s">
        <v>32576</v>
      </c>
    </row>
    <row r="9279" spans="1:25">
      <c r="A9279" t="s">
        <v>32577</v>
      </c>
      <c r="B9279" t="s">
        <v>32578</v>
      </c>
      <c r="D9279" t="s">
        <v>40</v>
      </c>
      <c r="E9279" t="s">
        <v>41</v>
      </c>
      <c r="J9279" t="s">
        <v>248</v>
      </c>
      <c r="K9279" t="s">
        <v>249</v>
      </c>
      <c r="L9279">
        <v>2</v>
      </c>
      <c r="M9279" t="s">
        <v>32579</v>
      </c>
      <c r="N9279" t="s">
        <v>24245</v>
      </c>
      <c r="O9279" t="s">
        <v>46</v>
      </c>
      <c r="P9279" t="s">
        <v>46</v>
      </c>
      <c r="Y9279" t="s">
        <v>32580</v>
      </c>
    </row>
    <row r="9280" spans="1:25">
      <c r="A9280" t="s">
        <v>32581</v>
      </c>
      <c r="B9280" t="s">
        <v>32582</v>
      </c>
      <c r="D9280" t="s">
        <v>40</v>
      </c>
      <c r="E9280" t="s">
        <v>41</v>
      </c>
      <c r="J9280" t="s">
        <v>248</v>
      </c>
      <c r="K9280" t="s">
        <v>249</v>
      </c>
      <c r="L9280">
        <v>2</v>
      </c>
      <c r="M9280" t="s">
        <v>32579</v>
      </c>
      <c r="N9280" t="s">
        <v>2621</v>
      </c>
      <c r="O9280" t="s">
        <v>46</v>
      </c>
      <c r="P9280" t="s">
        <v>46</v>
      </c>
      <c r="Y9280" t="s">
        <v>32583</v>
      </c>
    </row>
    <row r="9281" spans="1:25">
      <c r="A9281" t="s">
        <v>32584</v>
      </c>
      <c r="B9281" t="s">
        <v>32585</v>
      </c>
      <c r="D9281" t="s">
        <v>40</v>
      </c>
      <c r="E9281" t="s">
        <v>41</v>
      </c>
      <c r="J9281" t="s">
        <v>12440</v>
      </c>
      <c r="K9281" t="s">
        <v>12441</v>
      </c>
      <c r="L9281">
        <v>3</v>
      </c>
      <c r="M9281" t="s">
        <v>32579</v>
      </c>
      <c r="N9281" t="s">
        <v>64</v>
      </c>
      <c r="O9281" t="s">
        <v>46</v>
      </c>
      <c r="P9281" t="s">
        <v>46</v>
      </c>
      <c r="Y9281" t="s">
        <v>32586</v>
      </c>
    </row>
    <row r="9282" spans="1:25">
      <c r="A9282" t="s">
        <v>32587</v>
      </c>
      <c r="B9282" t="s">
        <v>32588</v>
      </c>
      <c r="D9282" t="s">
        <v>40</v>
      </c>
      <c r="E9282" t="s">
        <v>41</v>
      </c>
      <c r="J9282" t="s">
        <v>599</v>
      </c>
      <c r="K9282" t="s">
        <v>600</v>
      </c>
      <c r="L9282">
        <v>2</v>
      </c>
      <c r="M9282" t="s">
        <v>32589</v>
      </c>
      <c r="N9282" t="s">
        <v>756</v>
      </c>
      <c r="O9282" t="s">
        <v>46</v>
      </c>
      <c r="P9282" t="s">
        <v>46</v>
      </c>
      <c r="Y9282" t="s">
        <v>32590</v>
      </c>
    </row>
    <row r="9283" spans="1:25">
      <c r="A9283" t="s">
        <v>32591</v>
      </c>
      <c r="B9283" t="s">
        <v>32592</v>
      </c>
      <c r="D9283" t="s">
        <v>40</v>
      </c>
      <c r="E9283" t="s">
        <v>41</v>
      </c>
      <c r="J9283" t="s">
        <v>1142</v>
      </c>
      <c r="K9283" t="s">
        <v>1143</v>
      </c>
      <c r="L9283">
        <v>2</v>
      </c>
      <c r="M9283" t="s">
        <v>32593</v>
      </c>
      <c r="N9283" t="s">
        <v>24245</v>
      </c>
      <c r="O9283" t="s">
        <v>46</v>
      </c>
      <c r="P9283" t="s">
        <v>46</v>
      </c>
      <c r="Y9283" t="s">
        <v>32594</v>
      </c>
    </row>
    <row r="9284" spans="1:25">
      <c r="A9284" t="s">
        <v>32595</v>
      </c>
      <c r="B9284" t="s">
        <v>32596</v>
      </c>
      <c r="D9284" t="s">
        <v>40</v>
      </c>
      <c r="E9284" t="s">
        <v>41</v>
      </c>
      <c r="J9284" t="s">
        <v>1554</v>
      </c>
      <c r="K9284" t="s">
        <v>1555</v>
      </c>
      <c r="L9284">
        <v>2</v>
      </c>
      <c r="M9284" t="s">
        <v>32597</v>
      </c>
      <c r="N9284" t="s">
        <v>617</v>
      </c>
      <c r="O9284" t="s">
        <v>46</v>
      </c>
      <c r="P9284" t="s">
        <v>46</v>
      </c>
      <c r="Y9284" t="s">
        <v>32598</v>
      </c>
    </row>
    <row r="9285" spans="1:25">
      <c r="A9285" t="s">
        <v>32599</v>
      </c>
      <c r="B9285" t="s">
        <v>32600</v>
      </c>
      <c r="D9285" t="s">
        <v>40</v>
      </c>
      <c r="E9285" t="s">
        <v>41</v>
      </c>
      <c r="J9285" t="s">
        <v>1142</v>
      </c>
      <c r="K9285" t="s">
        <v>1143</v>
      </c>
      <c r="L9285">
        <v>2</v>
      </c>
      <c r="M9285" t="s">
        <v>32601</v>
      </c>
      <c r="N9285" t="s">
        <v>1369</v>
      </c>
      <c r="O9285" t="s">
        <v>46</v>
      </c>
      <c r="P9285" t="s">
        <v>46</v>
      </c>
      <c r="Y9285" t="s">
        <v>32602</v>
      </c>
    </row>
    <row r="9286" spans="1:25">
      <c r="A9286" t="s">
        <v>32603</v>
      </c>
      <c r="B9286" t="s">
        <v>32604</v>
      </c>
      <c r="D9286" t="s">
        <v>40</v>
      </c>
      <c r="E9286" t="s">
        <v>41</v>
      </c>
      <c r="J9286" t="s">
        <v>1142</v>
      </c>
      <c r="K9286" t="s">
        <v>1143</v>
      </c>
      <c r="L9286">
        <v>2</v>
      </c>
      <c r="M9286" t="s">
        <v>32605</v>
      </c>
      <c r="N9286" t="s">
        <v>1814</v>
      </c>
      <c r="O9286" t="s">
        <v>46</v>
      </c>
      <c r="P9286" t="s">
        <v>46</v>
      </c>
      <c r="Y9286" t="s">
        <v>32606</v>
      </c>
    </row>
    <row r="9287" spans="1:25">
      <c r="A9287" t="s">
        <v>32607</v>
      </c>
      <c r="B9287" t="s">
        <v>32608</v>
      </c>
      <c r="D9287" t="s">
        <v>40</v>
      </c>
      <c r="E9287" t="s">
        <v>41</v>
      </c>
      <c r="J9287" t="s">
        <v>248</v>
      </c>
      <c r="K9287" t="s">
        <v>249</v>
      </c>
      <c r="L9287">
        <v>2</v>
      </c>
      <c r="M9287" t="s">
        <v>32609</v>
      </c>
      <c r="N9287" t="s">
        <v>440</v>
      </c>
      <c r="O9287" t="s">
        <v>46</v>
      </c>
      <c r="P9287" t="s">
        <v>46</v>
      </c>
      <c r="Y9287" t="s">
        <v>32610</v>
      </c>
    </row>
    <row r="9288" spans="1:25">
      <c r="A9288" t="s">
        <v>32611</v>
      </c>
      <c r="B9288" t="s">
        <v>32612</v>
      </c>
      <c r="D9288" t="s">
        <v>40</v>
      </c>
      <c r="E9288" t="s">
        <v>41</v>
      </c>
      <c r="J9288" t="s">
        <v>248</v>
      </c>
      <c r="K9288" t="s">
        <v>249</v>
      </c>
      <c r="L9288">
        <v>2</v>
      </c>
      <c r="M9288" t="s">
        <v>32613</v>
      </c>
      <c r="N9288" t="s">
        <v>1024</v>
      </c>
      <c r="O9288" t="s">
        <v>46</v>
      </c>
      <c r="P9288" t="s">
        <v>46</v>
      </c>
      <c r="Y9288" t="s">
        <v>32614</v>
      </c>
    </row>
    <row r="9289" spans="1:25">
      <c r="A9289" t="s">
        <v>32615</v>
      </c>
      <c r="B9289" t="s">
        <v>32616</v>
      </c>
      <c r="D9289" t="s">
        <v>40</v>
      </c>
      <c r="E9289" t="s">
        <v>41</v>
      </c>
      <c r="J9289" t="s">
        <v>1142</v>
      </c>
      <c r="K9289" t="s">
        <v>1143</v>
      </c>
      <c r="L9289">
        <v>2</v>
      </c>
      <c r="M9289" t="s">
        <v>32617</v>
      </c>
      <c r="N9289" t="s">
        <v>1392</v>
      </c>
      <c r="O9289" t="s">
        <v>46</v>
      </c>
      <c r="P9289" t="s">
        <v>46</v>
      </c>
      <c r="Y9289" t="s">
        <v>32618</v>
      </c>
    </row>
    <row r="9290" spans="1:25">
      <c r="A9290" t="s">
        <v>32619</v>
      </c>
      <c r="B9290" t="s">
        <v>32620</v>
      </c>
      <c r="D9290" t="s">
        <v>40</v>
      </c>
      <c r="E9290" t="s">
        <v>41</v>
      </c>
      <c r="J9290" t="s">
        <v>248</v>
      </c>
      <c r="K9290" t="s">
        <v>249</v>
      </c>
      <c r="L9290">
        <v>2</v>
      </c>
      <c r="M9290" t="s">
        <v>32621</v>
      </c>
      <c r="N9290" t="s">
        <v>1380</v>
      </c>
      <c r="O9290" t="s">
        <v>46</v>
      </c>
      <c r="P9290" t="s">
        <v>46</v>
      </c>
      <c r="Y9290" t="s">
        <v>32622</v>
      </c>
    </row>
    <row r="9291" spans="1:25">
      <c r="A9291" t="s">
        <v>32623</v>
      </c>
      <c r="B9291" t="s">
        <v>32624</v>
      </c>
      <c r="D9291" t="s">
        <v>40</v>
      </c>
      <c r="E9291" t="s">
        <v>41</v>
      </c>
      <c r="J9291" t="s">
        <v>1142</v>
      </c>
      <c r="K9291" t="s">
        <v>1143</v>
      </c>
      <c r="L9291">
        <v>2</v>
      </c>
      <c r="M9291" t="s">
        <v>32625</v>
      </c>
      <c r="N9291" t="s">
        <v>436</v>
      </c>
      <c r="O9291" t="s">
        <v>46</v>
      </c>
      <c r="P9291" t="s">
        <v>46</v>
      </c>
      <c r="Y9291" t="s">
        <v>32626</v>
      </c>
    </row>
    <row r="9292" spans="1:25">
      <c r="A9292" t="s">
        <v>32627</v>
      </c>
      <c r="B9292" t="s">
        <v>32628</v>
      </c>
      <c r="D9292" t="s">
        <v>40</v>
      </c>
      <c r="E9292" t="s">
        <v>41</v>
      </c>
      <c r="J9292" t="s">
        <v>12440</v>
      </c>
      <c r="K9292" t="s">
        <v>12441</v>
      </c>
      <c r="L9292">
        <v>3</v>
      </c>
      <c r="M9292" t="s">
        <v>32629</v>
      </c>
      <c r="N9292" t="s">
        <v>64</v>
      </c>
      <c r="O9292" t="s">
        <v>46</v>
      </c>
      <c r="P9292" t="s">
        <v>46</v>
      </c>
      <c r="Y9292" t="s">
        <v>32630</v>
      </c>
    </row>
    <row r="9293" spans="1:25">
      <c r="A9293" t="s">
        <v>32631</v>
      </c>
      <c r="B9293" t="s">
        <v>32632</v>
      </c>
      <c r="D9293" t="s">
        <v>40</v>
      </c>
      <c r="E9293" t="s">
        <v>41</v>
      </c>
      <c r="J9293" t="s">
        <v>22447</v>
      </c>
      <c r="K9293" t="s">
        <v>22448</v>
      </c>
      <c r="L9293">
        <v>2</v>
      </c>
      <c r="M9293" t="s">
        <v>32633</v>
      </c>
      <c r="N9293" t="s">
        <v>752</v>
      </c>
      <c r="O9293" t="s">
        <v>46</v>
      </c>
      <c r="P9293" t="s">
        <v>46</v>
      </c>
      <c r="Y9293" t="s">
        <v>32634</v>
      </c>
    </row>
    <row r="9294" spans="1:25">
      <c r="A9294" t="s">
        <v>32635</v>
      </c>
      <c r="B9294" t="s">
        <v>32636</v>
      </c>
      <c r="D9294" t="s">
        <v>40</v>
      </c>
      <c r="E9294" t="s">
        <v>41</v>
      </c>
      <c r="J9294" t="s">
        <v>248</v>
      </c>
      <c r="K9294" t="s">
        <v>249</v>
      </c>
      <c r="L9294">
        <v>2</v>
      </c>
      <c r="M9294" t="s">
        <v>32637</v>
      </c>
      <c r="N9294" t="s">
        <v>1229</v>
      </c>
      <c r="O9294" t="s">
        <v>46</v>
      </c>
      <c r="P9294" t="s">
        <v>46</v>
      </c>
      <c r="Y9294" t="s">
        <v>32638</v>
      </c>
    </row>
    <row r="9295" spans="1:25">
      <c r="A9295" t="s">
        <v>32639</v>
      </c>
      <c r="B9295" t="s">
        <v>32640</v>
      </c>
      <c r="D9295" t="s">
        <v>40</v>
      </c>
      <c r="E9295" t="s">
        <v>41</v>
      </c>
      <c r="J9295" t="s">
        <v>139</v>
      </c>
      <c r="K9295" t="s">
        <v>140</v>
      </c>
      <c r="L9295">
        <v>2</v>
      </c>
      <c r="M9295" t="s">
        <v>32641</v>
      </c>
      <c r="N9295" t="s">
        <v>24245</v>
      </c>
      <c r="O9295" t="s">
        <v>46</v>
      </c>
      <c r="P9295" t="s">
        <v>46</v>
      </c>
      <c r="Y9295" t="s">
        <v>32642</v>
      </c>
    </row>
    <row r="9296" spans="1:25">
      <c r="A9296" t="s">
        <v>32643</v>
      </c>
      <c r="B9296" t="s">
        <v>32644</v>
      </c>
      <c r="D9296" t="s">
        <v>40</v>
      </c>
      <c r="E9296" t="s">
        <v>41</v>
      </c>
      <c r="J9296" t="s">
        <v>139</v>
      </c>
      <c r="K9296" t="s">
        <v>140</v>
      </c>
      <c r="L9296">
        <v>2</v>
      </c>
      <c r="M9296" t="s">
        <v>32645</v>
      </c>
      <c r="N9296" t="s">
        <v>142</v>
      </c>
      <c r="O9296" t="s">
        <v>46</v>
      </c>
      <c r="P9296" t="s">
        <v>46</v>
      </c>
      <c r="Y9296" t="s">
        <v>32646</v>
      </c>
    </row>
    <row r="9297" spans="1:25">
      <c r="A9297" t="s">
        <v>32647</v>
      </c>
      <c r="B9297" t="s">
        <v>32648</v>
      </c>
      <c r="D9297" t="s">
        <v>40</v>
      </c>
      <c r="E9297" t="s">
        <v>41</v>
      </c>
      <c r="J9297" t="s">
        <v>12440</v>
      </c>
      <c r="K9297" t="s">
        <v>12441</v>
      </c>
      <c r="L9297">
        <v>3</v>
      </c>
      <c r="M9297" t="s">
        <v>32649</v>
      </c>
      <c r="N9297" t="s">
        <v>64</v>
      </c>
      <c r="O9297" t="s">
        <v>46</v>
      </c>
      <c r="P9297" t="s">
        <v>46</v>
      </c>
      <c r="Y9297" t="s">
        <v>32650</v>
      </c>
    </row>
    <row r="9298" spans="1:25">
      <c r="A9298" t="s">
        <v>32651</v>
      </c>
      <c r="B9298" t="s">
        <v>32652</v>
      </c>
      <c r="D9298" t="s">
        <v>40</v>
      </c>
      <c r="E9298" t="s">
        <v>41</v>
      </c>
      <c r="J9298" t="s">
        <v>139</v>
      </c>
      <c r="K9298" t="s">
        <v>140</v>
      </c>
      <c r="L9298">
        <v>2</v>
      </c>
      <c r="M9298" t="s">
        <v>32653</v>
      </c>
      <c r="N9298" t="s">
        <v>24387</v>
      </c>
      <c r="O9298" t="s">
        <v>46</v>
      </c>
      <c r="P9298" t="s">
        <v>46</v>
      </c>
      <c r="Y9298" t="s">
        <v>32654</v>
      </c>
    </row>
    <row r="9299" spans="1:25">
      <c r="A9299" t="s">
        <v>32655</v>
      </c>
      <c r="B9299" t="s">
        <v>32656</v>
      </c>
      <c r="D9299" t="s">
        <v>40</v>
      </c>
      <c r="E9299" t="s">
        <v>41</v>
      </c>
      <c r="J9299" t="s">
        <v>248</v>
      </c>
      <c r="K9299" t="s">
        <v>249</v>
      </c>
      <c r="L9299">
        <v>2</v>
      </c>
      <c r="M9299" t="s">
        <v>32657</v>
      </c>
      <c r="N9299" t="s">
        <v>509</v>
      </c>
      <c r="O9299" t="s">
        <v>46</v>
      </c>
      <c r="P9299" t="s">
        <v>46</v>
      </c>
      <c r="Y9299" t="s">
        <v>32658</v>
      </c>
    </row>
    <row r="9300" spans="1:25">
      <c r="A9300" t="s">
        <v>32659</v>
      </c>
      <c r="B9300" t="s">
        <v>32660</v>
      </c>
      <c r="D9300" t="s">
        <v>40</v>
      </c>
      <c r="E9300" t="s">
        <v>41</v>
      </c>
      <c r="J9300" t="s">
        <v>2619</v>
      </c>
      <c r="K9300" t="s">
        <v>140</v>
      </c>
      <c r="L9300">
        <v>2</v>
      </c>
      <c r="M9300" t="s">
        <v>32661</v>
      </c>
      <c r="N9300" t="s">
        <v>2621</v>
      </c>
      <c r="O9300" t="s">
        <v>46</v>
      </c>
      <c r="P9300" t="s">
        <v>46</v>
      </c>
      <c r="Y9300" t="s">
        <v>32662</v>
      </c>
    </row>
    <row r="9301" spans="1:25">
      <c r="A9301" t="s">
        <v>32663</v>
      </c>
      <c r="B9301" t="s">
        <v>32664</v>
      </c>
      <c r="D9301" t="s">
        <v>40</v>
      </c>
      <c r="E9301" t="s">
        <v>41</v>
      </c>
      <c r="J9301" t="s">
        <v>1142</v>
      </c>
      <c r="K9301" t="s">
        <v>1143</v>
      </c>
      <c r="L9301">
        <v>2</v>
      </c>
      <c r="M9301" t="s">
        <v>32665</v>
      </c>
      <c r="N9301" t="s">
        <v>1446</v>
      </c>
      <c r="O9301" t="s">
        <v>46</v>
      </c>
      <c r="P9301" t="s">
        <v>46</v>
      </c>
      <c r="Y9301" t="s">
        <v>32666</v>
      </c>
    </row>
    <row r="9302" spans="1:25">
      <c r="A9302" t="s">
        <v>32667</v>
      </c>
      <c r="B9302" t="s">
        <v>32668</v>
      </c>
      <c r="D9302" t="s">
        <v>40</v>
      </c>
      <c r="E9302" t="s">
        <v>41</v>
      </c>
      <c r="J9302" t="s">
        <v>139</v>
      </c>
      <c r="K9302" t="s">
        <v>140</v>
      </c>
      <c r="L9302">
        <v>2</v>
      </c>
      <c r="M9302" t="s">
        <v>32669</v>
      </c>
      <c r="N9302" t="s">
        <v>1397</v>
      </c>
      <c r="O9302" t="s">
        <v>46</v>
      </c>
      <c r="P9302" t="s">
        <v>46</v>
      </c>
      <c r="Y9302" t="s">
        <v>32670</v>
      </c>
    </row>
    <row r="9303" spans="1:25">
      <c r="A9303" t="s">
        <v>32671</v>
      </c>
      <c r="B9303" t="s">
        <v>32672</v>
      </c>
      <c r="D9303" t="s">
        <v>40</v>
      </c>
      <c r="E9303" t="s">
        <v>41</v>
      </c>
      <c r="J9303" t="s">
        <v>248</v>
      </c>
      <c r="K9303" t="s">
        <v>249</v>
      </c>
      <c r="L9303">
        <v>3</v>
      </c>
      <c r="M9303" t="s">
        <v>32673</v>
      </c>
      <c r="N9303" t="s">
        <v>1446</v>
      </c>
      <c r="O9303" t="s">
        <v>46</v>
      </c>
      <c r="P9303" t="s">
        <v>46</v>
      </c>
      <c r="Y9303" t="s">
        <v>32674</v>
      </c>
    </row>
    <row r="9304" spans="1:25">
      <c r="A9304" t="s">
        <v>32675</v>
      </c>
      <c r="B9304" t="s">
        <v>32676</v>
      </c>
      <c r="D9304" t="s">
        <v>40</v>
      </c>
      <c r="E9304" t="s">
        <v>41</v>
      </c>
      <c r="J9304" t="s">
        <v>16458</v>
      </c>
      <c r="K9304" t="s">
        <v>16459</v>
      </c>
      <c r="L9304">
        <v>2</v>
      </c>
      <c r="M9304" t="s">
        <v>32677</v>
      </c>
      <c r="N9304" t="s">
        <v>31581</v>
      </c>
      <c r="O9304" t="s">
        <v>46</v>
      </c>
      <c r="P9304" t="s">
        <v>46</v>
      </c>
      <c r="Y9304" t="s">
        <v>32678</v>
      </c>
    </row>
    <row r="9305" spans="1:25">
      <c r="A9305" t="s">
        <v>32679</v>
      </c>
      <c r="B9305" t="s">
        <v>32680</v>
      </c>
      <c r="D9305" t="s">
        <v>40</v>
      </c>
      <c r="E9305" t="s">
        <v>41</v>
      </c>
      <c r="J9305" t="s">
        <v>248</v>
      </c>
      <c r="K9305" t="s">
        <v>249</v>
      </c>
      <c r="L9305">
        <v>2</v>
      </c>
      <c r="M9305" t="s">
        <v>32681</v>
      </c>
      <c r="N9305" t="s">
        <v>142</v>
      </c>
      <c r="O9305" t="s">
        <v>46</v>
      </c>
      <c r="P9305" t="s">
        <v>46</v>
      </c>
      <c r="Y9305" t="s">
        <v>32682</v>
      </c>
    </row>
    <row r="9306" spans="1:25">
      <c r="A9306" t="s">
        <v>32683</v>
      </c>
      <c r="B9306" t="s">
        <v>32684</v>
      </c>
      <c r="D9306" t="s">
        <v>40</v>
      </c>
      <c r="E9306" t="s">
        <v>41</v>
      </c>
      <c r="J9306" t="s">
        <v>139</v>
      </c>
      <c r="K9306" t="s">
        <v>140</v>
      </c>
      <c r="L9306">
        <v>2</v>
      </c>
      <c r="M9306" t="s">
        <v>32685</v>
      </c>
      <c r="N9306" t="s">
        <v>440</v>
      </c>
      <c r="O9306" t="s">
        <v>46</v>
      </c>
      <c r="P9306" t="s">
        <v>46</v>
      </c>
      <c r="Y9306" t="s">
        <v>32686</v>
      </c>
    </row>
    <row r="9307" spans="1:25">
      <c r="A9307" t="s">
        <v>32687</v>
      </c>
      <c r="B9307" t="s">
        <v>32688</v>
      </c>
      <c r="D9307" t="s">
        <v>40</v>
      </c>
      <c r="E9307" t="s">
        <v>41</v>
      </c>
      <c r="J9307" t="s">
        <v>1554</v>
      </c>
      <c r="K9307" t="s">
        <v>1555</v>
      </c>
      <c r="L9307">
        <v>2</v>
      </c>
      <c r="M9307" t="s">
        <v>32689</v>
      </c>
      <c r="N9307" t="s">
        <v>1392</v>
      </c>
      <c r="O9307" t="s">
        <v>46</v>
      </c>
      <c r="P9307" t="s">
        <v>46</v>
      </c>
      <c r="Y9307" t="s">
        <v>32690</v>
      </c>
    </row>
    <row r="9308" spans="1:25">
      <c r="A9308" t="s">
        <v>32691</v>
      </c>
      <c r="B9308" t="s">
        <v>32692</v>
      </c>
      <c r="D9308" t="s">
        <v>40</v>
      </c>
      <c r="E9308" t="s">
        <v>41</v>
      </c>
      <c r="J9308" t="s">
        <v>12440</v>
      </c>
      <c r="K9308" t="s">
        <v>12441</v>
      </c>
      <c r="L9308">
        <v>3</v>
      </c>
      <c r="M9308" t="s">
        <v>32693</v>
      </c>
      <c r="N9308" t="s">
        <v>53</v>
      </c>
      <c r="O9308" t="s">
        <v>46</v>
      </c>
      <c r="P9308" t="s">
        <v>46</v>
      </c>
      <c r="Y9308" t="s">
        <v>32694</v>
      </c>
    </row>
    <row r="9309" spans="1:25">
      <c r="A9309" t="s">
        <v>32695</v>
      </c>
      <c r="B9309" t="s">
        <v>32696</v>
      </c>
      <c r="D9309" t="s">
        <v>40</v>
      </c>
      <c r="E9309" t="s">
        <v>41</v>
      </c>
      <c r="J9309" t="s">
        <v>248</v>
      </c>
      <c r="K9309" t="s">
        <v>249</v>
      </c>
      <c r="L9309">
        <v>2</v>
      </c>
      <c r="M9309" t="s">
        <v>32693</v>
      </c>
      <c r="N9309" t="s">
        <v>24227</v>
      </c>
      <c r="O9309" t="s">
        <v>46</v>
      </c>
      <c r="P9309" t="s">
        <v>46</v>
      </c>
      <c r="Y9309" t="s">
        <v>32697</v>
      </c>
    </row>
    <row r="9310" spans="1:25">
      <c r="A9310" t="s">
        <v>32698</v>
      </c>
      <c r="B9310" t="s">
        <v>32699</v>
      </c>
      <c r="D9310" t="s">
        <v>40</v>
      </c>
      <c r="E9310" t="s">
        <v>41</v>
      </c>
      <c r="J9310" t="s">
        <v>22447</v>
      </c>
      <c r="K9310" t="s">
        <v>22448</v>
      </c>
      <c r="L9310">
        <v>2</v>
      </c>
      <c r="M9310" t="s">
        <v>32700</v>
      </c>
      <c r="N9310" t="s">
        <v>24387</v>
      </c>
      <c r="O9310" t="s">
        <v>46</v>
      </c>
      <c r="P9310" t="s">
        <v>46</v>
      </c>
      <c r="Y9310" t="s">
        <v>32701</v>
      </c>
    </row>
    <row r="9311" spans="1:25">
      <c r="A9311" t="s">
        <v>32702</v>
      </c>
      <c r="B9311" t="s">
        <v>32703</v>
      </c>
      <c r="D9311" t="s">
        <v>40</v>
      </c>
      <c r="E9311" t="s">
        <v>41</v>
      </c>
      <c r="J9311" t="s">
        <v>16458</v>
      </c>
      <c r="K9311" t="s">
        <v>16459</v>
      </c>
      <c r="L9311">
        <v>2</v>
      </c>
      <c r="M9311" t="s">
        <v>32704</v>
      </c>
      <c r="N9311" t="s">
        <v>1550</v>
      </c>
      <c r="O9311" t="s">
        <v>46</v>
      </c>
      <c r="P9311" t="s">
        <v>46</v>
      </c>
      <c r="Y9311" t="s">
        <v>32705</v>
      </c>
    </row>
    <row r="9312" spans="1:25">
      <c r="A9312" t="s">
        <v>32706</v>
      </c>
      <c r="B9312" t="s">
        <v>32707</v>
      </c>
      <c r="D9312" t="s">
        <v>40</v>
      </c>
      <c r="E9312" t="s">
        <v>41</v>
      </c>
      <c r="J9312" t="s">
        <v>248</v>
      </c>
      <c r="K9312" t="s">
        <v>249</v>
      </c>
      <c r="L9312">
        <v>2</v>
      </c>
      <c r="M9312" t="s">
        <v>32708</v>
      </c>
      <c r="N9312" t="s">
        <v>142</v>
      </c>
      <c r="O9312" t="s">
        <v>46</v>
      </c>
      <c r="P9312" t="s">
        <v>46</v>
      </c>
      <c r="Y9312" t="s">
        <v>32709</v>
      </c>
    </row>
    <row r="9313" spans="1:25">
      <c r="A9313" t="s">
        <v>32710</v>
      </c>
      <c r="B9313" t="s">
        <v>32711</v>
      </c>
      <c r="D9313" t="s">
        <v>40</v>
      </c>
      <c r="E9313" t="s">
        <v>41</v>
      </c>
      <c r="J9313" t="s">
        <v>248</v>
      </c>
      <c r="K9313" t="s">
        <v>249</v>
      </c>
      <c r="L9313">
        <v>2</v>
      </c>
      <c r="M9313" t="s">
        <v>32712</v>
      </c>
      <c r="N9313" t="s">
        <v>53</v>
      </c>
      <c r="O9313" t="s">
        <v>46</v>
      </c>
      <c r="P9313" t="s">
        <v>46</v>
      </c>
      <c r="Y9313" t="s">
        <v>32713</v>
      </c>
    </row>
    <row r="9314" spans="1:25">
      <c r="A9314" t="s">
        <v>32714</v>
      </c>
      <c r="B9314" t="s">
        <v>32715</v>
      </c>
      <c r="D9314" t="s">
        <v>40</v>
      </c>
      <c r="E9314" t="s">
        <v>41</v>
      </c>
      <c r="J9314" t="s">
        <v>139</v>
      </c>
      <c r="K9314" t="s">
        <v>140</v>
      </c>
      <c r="L9314">
        <v>2</v>
      </c>
      <c r="M9314" t="s">
        <v>32716</v>
      </c>
      <c r="N9314" t="s">
        <v>24245</v>
      </c>
      <c r="O9314" t="s">
        <v>46</v>
      </c>
      <c r="P9314" t="s">
        <v>46</v>
      </c>
      <c r="Y9314" t="s">
        <v>32717</v>
      </c>
    </row>
    <row r="9315" spans="1:25">
      <c r="A9315" t="s">
        <v>32718</v>
      </c>
      <c r="B9315" t="s">
        <v>32719</v>
      </c>
      <c r="D9315" t="s">
        <v>40</v>
      </c>
      <c r="E9315" t="s">
        <v>41</v>
      </c>
      <c r="J9315" t="s">
        <v>1554</v>
      </c>
      <c r="K9315" t="s">
        <v>1555</v>
      </c>
      <c r="L9315">
        <v>2</v>
      </c>
      <c r="M9315" t="s">
        <v>32720</v>
      </c>
      <c r="N9315" t="s">
        <v>24227</v>
      </c>
      <c r="O9315" t="s">
        <v>46</v>
      </c>
      <c r="P9315" t="s">
        <v>46</v>
      </c>
      <c r="Y9315" t="s">
        <v>32721</v>
      </c>
    </row>
    <row r="9316" spans="1:25">
      <c r="A9316" t="s">
        <v>32722</v>
      </c>
      <c r="B9316" t="s">
        <v>32723</v>
      </c>
      <c r="D9316" t="s">
        <v>40</v>
      </c>
      <c r="E9316" t="s">
        <v>41</v>
      </c>
      <c r="J9316" t="s">
        <v>248</v>
      </c>
      <c r="K9316" t="s">
        <v>249</v>
      </c>
      <c r="L9316">
        <v>2</v>
      </c>
      <c r="M9316" t="s">
        <v>32724</v>
      </c>
      <c r="N9316" t="s">
        <v>257</v>
      </c>
      <c r="O9316" t="s">
        <v>46</v>
      </c>
      <c r="P9316" t="s">
        <v>46</v>
      </c>
      <c r="Y9316" t="s">
        <v>32725</v>
      </c>
    </row>
    <row r="9317" spans="1:25">
      <c r="A9317" t="s">
        <v>32726</v>
      </c>
      <c r="B9317" t="s">
        <v>32727</v>
      </c>
      <c r="D9317" t="s">
        <v>40</v>
      </c>
      <c r="E9317" t="s">
        <v>41</v>
      </c>
      <c r="J9317" t="s">
        <v>248</v>
      </c>
      <c r="K9317" t="s">
        <v>249</v>
      </c>
      <c r="L9317">
        <v>2</v>
      </c>
      <c r="M9317" t="s">
        <v>32724</v>
      </c>
      <c r="N9317" t="s">
        <v>53</v>
      </c>
      <c r="O9317" t="s">
        <v>46</v>
      </c>
      <c r="P9317" t="s">
        <v>46</v>
      </c>
      <c r="Y9317" t="s">
        <v>32728</v>
      </c>
    </row>
    <row r="9318" spans="1:25">
      <c r="A9318" t="s">
        <v>32729</v>
      </c>
      <c r="B9318" t="s">
        <v>32730</v>
      </c>
      <c r="D9318" t="s">
        <v>40</v>
      </c>
      <c r="E9318" t="s">
        <v>41</v>
      </c>
      <c r="J9318" t="s">
        <v>1142</v>
      </c>
      <c r="K9318" t="s">
        <v>1143</v>
      </c>
      <c r="L9318">
        <v>2</v>
      </c>
      <c r="M9318" t="s">
        <v>32731</v>
      </c>
      <c r="N9318" t="s">
        <v>24240</v>
      </c>
      <c r="O9318" t="s">
        <v>46</v>
      </c>
      <c r="P9318" t="s">
        <v>46</v>
      </c>
      <c r="Y9318" t="s">
        <v>32732</v>
      </c>
    </row>
    <row r="9319" spans="1:25">
      <c r="A9319" t="s">
        <v>32733</v>
      </c>
      <c r="B9319" t="s">
        <v>32734</v>
      </c>
      <c r="D9319" t="s">
        <v>40</v>
      </c>
      <c r="E9319" t="s">
        <v>41</v>
      </c>
      <c r="J9319" t="s">
        <v>14558</v>
      </c>
      <c r="K9319" t="s">
        <v>14559</v>
      </c>
      <c r="L9319">
        <v>2</v>
      </c>
      <c r="M9319" t="s">
        <v>32735</v>
      </c>
      <c r="N9319" t="s">
        <v>315</v>
      </c>
      <c r="O9319" t="s">
        <v>46</v>
      </c>
      <c r="P9319" t="s">
        <v>46</v>
      </c>
      <c r="Y9319" t="s">
        <v>32736</v>
      </c>
    </row>
    <row r="9320" spans="1:25">
      <c r="A9320" t="s">
        <v>32737</v>
      </c>
      <c r="B9320" t="s">
        <v>32738</v>
      </c>
      <c r="D9320" t="s">
        <v>40</v>
      </c>
      <c r="E9320" t="s">
        <v>41</v>
      </c>
      <c r="J9320" t="s">
        <v>139</v>
      </c>
      <c r="K9320" t="s">
        <v>140</v>
      </c>
      <c r="L9320">
        <v>2</v>
      </c>
      <c r="M9320" t="s">
        <v>32739</v>
      </c>
      <c r="N9320" t="s">
        <v>3013</v>
      </c>
      <c r="O9320" t="s">
        <v>46</v>
      </c>
      <c r="P9320" t="s">
        <v>46</v>
      </c>
      <c r="Y9320" t="s">
        <v>32740</v>
      </c>
    </row>
    <row r="9321" spans="1:25">
      <c r="A9321" t="s">
        <v>32741</v>
      </c>
      <c r="B9321" t="s">
        <v>32742</v>
      </c>
      <c r="D9321" t="s">
        <v>40</v>
      </c>
      <c r="E9321" t="s">
        <v>41</v>
      </c>
      <c r="J9321" t="s">
        <v>1554</v>
      </c>
      <c r="K9321" t="s">
        <v>1555</v>
      </c>
      <c r="L9321">
        <v>2</v>
      </c>
      <c r="M9321" t="s">
        <v>32743</v>
      </c>
      <c r="N9321" t="s">
        <v>617</v>
      </c>
      <c r="O9321" t="s">
        <v>46</v>
      </c>
      <c r="P9321" t="s">
        <v>46</v>
      </c>
      <c r="Y9321" t="s">
        <v>32744</v>
      </c>
    </row>
    <row r="9322" spans="1:25">
      <c r="A9322" t="s">
        <v>32745</v>
      </c>
      <c r="B9322" t="s">
        <v>32746</v>
      </c>
      <c r="D9322" t="s">
        <v>40</v>
      </c>
      <c r="E9322" t="s">
        <v>41</v>
      </c>
      <c r="J9322" t="s">
        <v>139</v>
      </c>
      <c r="K9322" t="s">
        <v>140</v>
      </c>
      <c r="L9322">
        <v>2</v>
      </c>
      <c r="M9322" t="s">
        <v>32747</v>
      </c>
      <c r="N9322" t="s">
        <v>257</v>
      </c>
      <c r="O9322" t="s">
        <v>46</v>
      </c>
      <c r="P9322" t="s">
        <v>46</v>
      </c>
      <c r="Y9322" t="s">
        <v>32748</v>
      </c>
    </row>
    <row r="9323" spans="1:25">
      <c r="A9323" t="s">
        <v>32749</v>
      </c>
      <c r="B9323" t="s">
        <v>32750</v>
      </c>
      <c r="D9323" t="s">
        <v>40</v>
      </c>
      <c r="E9323" t="s">
        <v>41</v>
      </c>
      <c r="J9323" t="s">
        <v>248</v>
      </c>
      <c r="K9323" t="s">
        <v>249</v>
      </c>
      <c r="L9323">
        <v>2</v>
      </c>
      <c r="M9323" t="s">
        <v>32751</v>
      </c>
      <c r="N9323" t="s">
        <v>2346</v>
      </c>
      <c r="O9323" t="s">
        <v>46</v>
      </c>
      <c r="P9323" t="s">
        <v>46</v>
      </c>
      <c r="Y9323" t="s">
        <v>32752</v>
      </c>
    </row>
    <row r="9324" spans="1:25">
      <c r="A9324" t="s">
        <v>32753</v>
      </c>
      <c r="B9324" t="s">
        <v>32754</v>
      </c>
      <c r="D9324" t="s">
        <v>40</v>
      </c>
      <c r="E9324" t="s">
        <v>41</v>
      </c>
      <c r="J9324" t="s">
        <v>139</v>
      </c>
      <c r="K9324" t="s">
        <v>140</v>
      </c>
      <c r="L9324">
        <v>2</v>
      </c>
      <c r="M9324" t="s">
        <v>32755</v>
      </c>
      <c r="N9324" t="s">
        <v>142</v>
      </c>
      <c r="O9324" t="s">
        <v>46</v>
      </c>
      <c r="P9324" t="s">
        <v>46</v>
      </c>
      <c r="Y9324" t="s">
        <v>32756</v>
      </c>
    </row>
    <row r="9325" spans="1:25">
      <c r="A9325" t="s">
        <v>32757</v>
      </c>
      <c r="B9325" t="s">
        <v>32758</v>
      </c>
      <c r="D9325" t="s">
        <v>40</v>
      </c>
      <c r="E9325" t="s">
        <v>41</v>
      </c>
      <c r="J9325" t="s">
        <v>248</v>
      </c>
      <c r="K9325" t="s">
        <v>249</v>
      </c>
      <c r="L9325">
        <v>2</v>
      </c>
      <c r="M9325" t="s">
        <v>32759</v>
      </c>
      <c r="N9325" t="s">
        <v>1446</v>
      </c>
      <c r="O9325" t="s">
        <v>46</v>
      </c>
      <c r="P9325" t="s">
        <v>46</v>
      </c>
      <c r="Y9325" t="s">
        <v>32760</v>
      </c>
    </row>
    <row r="9326" spans="1:25">
      <c r="A9326" t="s">
        <v>32761</v>
      </c>
      <c r="B9326" t="s">
        <v>32762</v>
      </c>
      <c r="D9326" t="s">
        <v>40</v>
      </c>
      <c r="E9326" t="s">
        <v>41</v>
      </c>
      <c r="J9326" t="s">
        <v>14558</v>
      </c>
      <c r="K9326" t="s">
        <v>14559</v>
      </c>
      <c r="L9326">
        <v>2</v>
      </c>
      <c r="M9326" t="s">
        <v>32763</v>
      </c>
      <c r="N9326" t="s">
        <v>24227</v>
      </c>
      <c r="O9326" t="s">
        <v>46</v>
      </c>
      <c r="P9326" t="s">
        <v>46</v>
      </c>
      <c r="Y9326" t="s">
        <v>32764</v>
      </c>
    </row>
    <row r="9327" spans="1:25">
      <c r="A9327" t="s">
        <v>32765</v>
      </c>
      <c r="B9327" t="s">
        <v>32766</v>
      </c>
      <c r="D9327" t="s">
        <v>40</v>
      </c>
      <c r="E9327" t="s">
        <v>41</v>
      </c>
      <c r="J9327" t="s">
        <v>248</v>
      </c>
      <c r="K9327" t="s">
        <v>249</v>
      </c>
      <c r="L9327">
        <v>2</v>
      </c>
      <c r="M9327" t="s">
        <v>32767</v>
      </c>
      <c r="N9327" t="s">
        <v>45</v>
      </c>
      <c r="O9327" t="s">
        <v>46</v>
      </c>
      <c r="P9327" t="s">
        <v>46</v>
      </c>
      <c r="Y9327" t="s">
        <v>32768</v>
      </c>
    </row>
    <row r="9328" spans="1:25">
      <c r="A9328" t="s">
        <v>32769</v>
      </c>
      <c r="B9328" t="s">
        <v>32770</v>
      </c>
      <c r="D9328" t="s">
        <v>40</v>
      </c>
      <c r="E9328" t="s">
        <v>41</v>
      </c>
      <c r="J9328" t="s">
        <v>1142</v>
      </c>
      <c r="K9328" t="s">
        <v>1143</v>
      </c>
      <c r="L9328">
        <v>2</v>
      </c>
      <c r="M9328" t="s">
        <v>32771</v>
      </c>
      <c r="N9328" t="s">
        <v>509</v>
      </c>
      <c r="O9328" t="s">
        <v>46</v>
      </c>
      <c r="P9328" t="s">
        <v>46</v>
      </c>
      <c r="Y9328" t="s">
        <v>32772</v>
      </c>
    </row>
    <row r="9329" spans="1:25">
      <c r="A9329" t="s">
        <v>32773</v>
      </c>
      <c r="B9329" t="s">
        <v>32774</v>
      </c>
      <c r="D9329" t="s">
        <v>40</v>
      </c>
      <c r="E9329" t="s">
        <v>41</v>
      </c>
      <c r="J9329" t="s">
        <v>12440</v>
      </c>
      <c r="K9329" t="s">
        <v>12441</v>
      </c>
      <c r="L9329">
        <v>3</v>
      </c>
      <c r="M9329" t="s">
        <v>32775</v>
      </c>
      <c r="N9329" t="s">
        <v>756</v>
      </c>
      <c r="O9329" t="s">
        <v>46</v>
      </c>
      <c r="P9329" t="s">
        <v>46</v>
      </c>
      <c r="Y9329" t="s">
        <v>32776</v>
      </c>
    </row>
    <row r="9330" spans="1:25">
      <c r="A9330" t="s">
        <v>32777</v>
      </c>
      <c r="B9330" t="s">
        <v>32778</v>
      </c>
      <c r="D9330" t="s">
        <v>40</v>
      </c>
      <c r="E9330" t="s">
        <v>41</v>
      </c>
      <c r="J9330" t="s">
        <v>12440</v>
      </c>
      <c r="K9330" t="s">
        <v>12441</v>
      </c>
      <c r="L9330">
        <v>3</v>
      </c>
      <c r="M9330" t="s">
        <v>32779</v>
      </c>
      <c r="N9330" t="s">
        <v>64</v>
      </c>
      <c r="O9330" t="s">
        <v>46</v>
      </c>
      <c r="P9330" t="s">
        <v>46</v>
      </c>
      <c r="Y9330" t="s">
        <v>32780</v>
      </c>
    </row>
    <row r="9331" spans="1:25">
      <c r="A9331" t="s">
        <v>32781</v>
      </c>
      <c r="B9331" t="s">
        <v>32782</v>
      </c>
      <c r="D9331" t="s">
        <v>40</v>
      </c>
      <c r="E9331" t="s">
        <v>41</v>
      </c>
      <c r="J9331" t="s">
        <v>248</v>
      </c>
      <c r="K9331" t="s">
        <v>249</v>
      </c>
      <c r="L9331">
        <v>2</v>
      </c>
      <c r="M9331" t="s">
        <v>32783</v>
      </c>
      <c r="N9331" t="s">
        <v>257</v>
      </c>
      <c r="O9331" t="s">
        <v>46</v>
      </c>
      <c r="P9331" t="s">
        <v>46</v>
      </c>
      <c r="Y9331" t="s">
        <v>32784</v>
      </c>
    </row>
    <row r="9332" spans="1:25">
      <c r="A9332" t="s">
        <v>32785</v>
      </c>
      <c r="B9332" t="s">
        <v>32786</v>
      </c>
      <c r="D9332" t="s">
        <v>40</v>
      </c>
      <c r="E9332" t="s">
        <v>41</v>
      </c>
      <c r="J9332" t="s">
        <v>248</v>
      </c>
      <c r="K9332" t="s">
        <v>249</v>
      </c>
      <c r="L9332">
        <v>2</v>
      </c>
      <c r="M9332" t="s">
        <v>32787</v>
      </c>
      <c r="N9332" t="s">
        <v>257</v>
      </c>
      <c r="O9332" t="s">
        <v>46</v>
      </c>
      <c r="P9332" t="s">
        <v>46</v>
      </c>
      <c r="Y9332" t="s">
        <v>32788</v>
      </c>
    </row>
    <row r="9333" spans="1:25">
      <c r="A9333" t="s">
        <v>32789</v>
      </c>
      <c r="B9333" t="s">
        <v>32790</v>
      </c>
      <c r="D9333" t="s">
        <v>40</v>
      </c>
      <c r="E9333" t="s">
        <v>41</v>
      </c>
      <c r="J9333" t="s">
        <v>22447</v>
      </c>
      <c r="K9333" t="s">
        <v>22448</v>
      </c>
      <c r="L9333">
        <v>2</v>
      </c>
      <c r="M9333" t="s">
        <v>32791</v>
      </c>
      <c r="N9333" t="s">
        <v>58</v>
      </c>
      <c r="O9333" t="s">
        <v>46</v>
      </c>
      <c r="P9333" t="s">
        <v>46</v>
      </c>
      <c r="Y9333" t="s">
        <v>32792</v>
      </c>
    </row>
    <row r="9334" spans="1:25">
      <c r="A9334" t="s">
        <v>32793</v>
      </c>
      <c r="B9334" t="s">
        <v>32794</v>
      </c>
      <c r="D9334" t="s">
        <v>40</v>
      </c>
      <c r="E9334" t="s">
        <v>41</v>
      </c>
      <c r="J9334" t="s">
        <v>139</v>
      </c>
      <c r="K9334" t="s">
        <v>140</v>
      </c>
      <c r="L9334">
        <v>2</v>
      </c>
      <c r="M9334" t="s">
        <v>32795</v>
      </c>
      <c r="N9334" t="s">
        <v>3013</v>
      </c>
      <c r="O9334" t="s">
        <v>46</v>
      </c>
      <c r="P9334" t="s">
        <v>46</v>
      </c>
      <c r="Y9334" t="s">
        <v>32796</v>
      </c>
    </row>
    <row r="9335" spans="1:25">
      <c r="A9335" t="s">
        <v>32797</v>
      </c>
      <c r="B9335" t="s">
        <v>32798</v>
      </c>
      <c r="D9335" t="s">
        <v>40</v>
      </c>
      <c r="E9335" t="s">
        <v>41</v>
      </c>
      <c r="J9335" t="s">
        <v>248</v>
      </c>
      <c r="K9335" t="s">
        <v>249</v>
      </c>
      <c r="L9335">
        <v>2</v>
      </c>
      <c r="M9335" t="s">
        <v>32799</v>
      </c>
      <c r="N9335" t="s">
        <v>142</v>
      </c>
      <c r="O9335" t="s">
        <v>46</v>
      </c>
      <c r="P9335" t="s">
        <v>46</v>
      </c>
      <c r="Y9335" t="s">
        <v>32800</v>
      </c>
    </row>
    <row r="9336" spans="1:25">
      <c r="A9336" t="s">
        <v>32801</v>
      </c>
      <c r="B9336" t="s">
        <v>32802</v>
      </c>
      <c r="D9336" t="s">
        <v>40</v>
      </c>
      <c r="E9336" t="s">
        <v>41</v>
      </c>
      <c r="J9336" t="s">
        <v>248</v>
      </c>
      <c r="K9336" t="s">
        <v>249</v>
      </c>
      <c r="L9336">
        <v>2</v>
      </c>
      <c r="M9336" t="s">
        <v>32803</v>
      </c>
      <c r="N9336" t="s">
        <v>142</v>
      </c>
      <c r="O9336" t="s">
        <v>46</v>
      </c>
      <c r="P9336" t="s">
        <v>46</v>
      </c>
      <c r="Y9336" t="s">
        <v>32804</v>
      </c>
    </row>
    <row r="9337" spans="1:25">
      <c r="A9337" t="s">
        <v>32805</v>
      </c>
      <c r="B9337" t="s">
        <v>32806</v>
      </c>
      <c r="D9337" t="s">
        <v>40</v>
      </c>
      <c r="E9337" t="s">
        <v>41</v>
      </c>
      <c r="J9337" t="s">
        <v>248</v>
      </c>
      <c r="K9337" t="s">
        <v>249</v>
      </c>
      <c r="L9337">
        <v>2</v>
      </c>
      <c r="M9337" t="s">
        <v>32807</v>
      </c>
      <c r="N9337" t="s">
        <v>1478</v>
      </c>
      <c r="O9337" t="s">
        <v>46</v>
      </c>
      <c r="P9337" t="s">
        <v>46</v>
      </c>
      <c r="Y9337" t="s">
        <v>32808</v>
      </c>
    </row>
    <row r="9338" spans="1:25">
      <c r="A9338" t="s">
        <v>32809</v>
      </c>
      <c r="B9338" t="s">
        <v>32810</v>
      </c>
      <c r="D9338" t="s">
        <v>40</v>
      </c>
      <c r="E9338" t="s">
        <v>41</v>
      </c>
      <c r="J9338" t="s">
        <v>11802</v>
      </c>
      <c r="K9338" t="s">
        <v>11803</v>
      </c>
      <c r="L9338">
        <v>2</v>
      </c>
      <c r="M9338" t="s">
        <v>32811</v>
      </c>
      <c r="N9338" t="s">
        <v>31581</v>
      </c>
      <c r="O9338" t="s">
        <v>46</v>
      </c>
      <c r="P9338" t="s">
        <v>46</v>
      </c>
      <c r="Y9338" t="s">
        <v>32812</v>
      </c>
    </row>
    <row r="9339" spans="1:25">
      <c r="A9339" t="s">
        <v>32813</v>
      </c>
      <c r="B9339" t="s">
        <v>32814</v>
      </c>
      <c r="D9339" t="s">
        <v>40</v>
      </c>
      <c r="E9339" t="s">
        <v>41</v>
      </c>
      <c r="J9339" t="s">
        <v>9159</v>
      </c>
      <c r="K9339" t="s">
        <v>9160</v>
      </c>
      <c r="L9339">
        <v>2</v>
      </c>
      <c r="M9339" t="s">
        <v>32815</v>
      </c>
      <c r="N9339" t="s">
        <v>53</v>
      </c>
      <c r="O9339" t="s">
        <v>46</v>
      </c>
      <c r="P9339" t="s">
        <v>46</v>
      </c>
      <c r="Y9339" t="s">
        <v>32816</v>
      </c>
    </row>
    <row r="9340" spans="1:25">
      <c r="A9340" t="s">
        <v>32817</v>
      </c>
      <c r="B9340" t="s">
        <v>32818</v>
      </c>
      <c r="D9340" t="s">
        <v>40</v>
      </c>
      <c r="E9340" t="s">
        <v>41</v>
      </c>
      <c r="J9340" t="s">
        <v>248</v>
      </c>
      <c r="K9340" t="s">
        <v>249</v>
      </c>
      <c r="L9340">
        <v>2</v>
      </c>
      <c r="M9340" t="s">
        <v>32819</v>
      </c>
      <c r="N9340" t="s">
        <v>1397</v>
      </c>
      <c r="O9340" t="s">
        <v>46</v>
      </c>
      <c r="P9340" t="s">
        <v>46</v>
      </c>
      <c r="Y9340" t="s">
        <v>32820</v>
      </c>
    </row>
    <row r="9341" spans="1:25">
      <c r="A9341" t="s">
        <v>32821</v>
      </c>
      <c r="B9341" t="s">
        <v>32822</v>
      </c>
      <c r="D9341" t="s">
        <v>40</v>
      </c>
      <c r="E9341" t="s">
        <v>41</v>
      </c>
      <c r="J9341" t="s">
        <v>1142</v>
      </c>
      <c r="K9341" t="s">
        <v>1143</v>
      </c>
      <c r="L9341">
        <v>2</v>
      </c>
      <c r="M9341" t="s">
        <v>32823</v>
      </c>
      <c r="N9341" t="s">
        <v>24245</v>
      </c>
      <c r="O9341" t="s">
        <v>46</v>
      </c>
      <c r="P9341" t="s">
        <v>46</v>
      </c>
      <c r="Y9341" t="s">
        <v>32824</v>
      </c>
    </row>
    <row r="9342" spans="1:25">
      <c r="A9342" t="s">
        <v>32825</v>
      </c>
      <c r="B9342" t="s">
        <v>32826</v>
      </c>
      <c r="D9342" t="s">
        <v>40</v>
      </c>
      <c r="E9342" t="s">
        <v>41</v>
      </c>
      <c r="J9342" t="s">
        <v>6255</v>
      </c>
      <c r="K9342" t="s">
        <v>6256</v>
      </c>
      <c r="L9342">
        <v>2</v>
      </c>
      <c r="M9342" t="s">
        <v>32827</v>
      </c>
      <c r="N9342" t="s">
        <v>315</v>
      </c>
      <c r="O9342" t="s">
        <v>46</v>
      </c>
      <c r="P9342" t="s">
        <v>46</v>
      </c>
      <c r="Y9342" t="s">
        <v>32828</v>
      </c>
    </row>
    <row r="9343" spans="1:25">
      <c r="A9343" t="s">
        <v>32829</v>
      </c>
      <c r="B9343" t="s">
        <v>32830</v>
      </c>
      <c r="D9343" t="s">
        <v>40</v>
      </c>
      <c r="E9343" t="s">
        <v>41</v>
      </c>
      <c r="J9343" t="s">
        <v>139</v>
      </c>
      <c r="K9343" t="s">
        <v>140</v>
      </c>
      <c r="L9343">
        <v>2</v>
      </c>
      <c r="M9343" t="s">
        <v>32827</v>
      </c>
      <c r="N9343" t="s">
        <v>3013</v>
      </c>
      <c r="O9343" t="s">
        <v>46</v>
      </c>
      <c r="P9343" t="s">
        <v>46</v>
      </c>
      <c r="Y9343" t="s">
        <v>32831</v>
      </c>
    </row>
    <row r="9344" spans="1:25">
      <c r="A9344" t="s">
        <v>32832</v>
      </c>
      <c r="B9344" t="s">
        <v>32833</v>
      </c>
      <c r="D9344" t="s">
        <v>40</v>
      </c>
      <c r="E9344" t="s">
        <v>41</v>
      </c>
      <c r="J9344" t="s">
        <v>16458</v>
      </c>
      <c r="K9344" t="s">
        <v>16459</v>
      </c>
      <c r="L9344">
        <v>2</v>
      </c>
      <c r="M9344" t="s">
        <v>32834</v>
      </c>
      <c r="N9344" t="s">
        <v>1397</v>
      </c>
      <c r="O9344" t="s">
        <v>46</v>
      </c>
      <c r="P9344" t="s">
        <v>46</v>
      </c>
      <c r="Y9344" t="s">
        <v>32835</v>
      </c>
    </row>
    <row r="9345" spans="1:25">
      <c r="A9345" t="s">
        <v>32836</v>
      </c>
      <c r="B9345" t="s">
        <v>32837</v>
      </c>
      <c r="D9345" t="s">
        <v>40</v>
      </c>
      <c r="E9345" t="s">
        <v>41</v>
      </c>
      <c r="J9345" t="s">
        <v>11802</v>
      </c>
      <c r="K9345" t="s">
        <v>11803</v>
      </c>
      <c r="L9345">
        <v>2</v>
      </c>
      <c r="M9345" t="s">
        <v>32838</v>
      </c>
      <c r="N9345" t="s">
        <v>24387</v>
      </c>
      <c r="O9345" t="s">
        <v>46</v>
      </c>
      <c r="P9345" t="s">
        <v>46</v>
      </c>
      <c r="Y9345" t="s">
        <v>32839</v>
      </c>
    </row>
    <row r="9346" spans="1:25">
      <c r="A9346" t="s">
        <v>32840</v>
      </c>
      <c r="B9346" t="s">
        <v>32841</v>
      </c>
      <c r="D9346" t="s">
        <v>40</v>
      </c>
      <c r="E9346" t="s">
        <v>41</v>
      </c>
      <c r="J9346" t="s">
        <v>248</v>
      </c>
      <c r="K9346" t="s">
        <v>249</v>
      </c>
      <c r="L9346">
        <v>2</v>
      </c>
      <c r="M9346" t="s">
        <v>32842</v>
      </c>
      <c r="N9346" t="s">
        <v>178</v>
      </c>
      <c r="O9346" t="s">
        <v>46</v>
      </c>
      <c r="P9346" t="s">
        <v>46</v>
      </c>
      <c r="Y9346" t="s">
        <v>32843</v>
      </c>
    </row>
    <row r="9347" spans="1:25">
      <c r="A9347" t="s">
        <v>32844</v>
      </c>
      <c r="B9347" t="s">
        <v>32845</v>
      </c>
      <c r="D9347" t="s">
        <v>40</v>
      </c>
      <c r="E9347" t="s">
        <v>41</v>
      </c>
      <c r="J9347" t="s">
        <v>1554</v>
      </c>
      <c r="K9347" t="s">
        <v>1555</v>
      </c>
      <c r="L9347">
        <v>2</v>
      </c>
      <c r="M9347" t="s">
        <v>32846</v>
      </c>
      <c r="N9347" t="s">
        <v>45</v>
      </c>
      <c r="O9347" t="s">
        <v>46</v>
      </c>
      <c r="P9347" t="s">
        <v>46</v>
      </c>
      <c r="Y9347" t="s">
        <v>32847</v>
      </c>
    </row>
    <row r="9348" spans="1:25">
      <c r="A9348" t="s">
        <v>32848</v>
      </c>
      <c r="B9348" t="s">
        <v>32849</v>
      </c>
      <c r="D9348" t="s">
        <v>40</v>
      </c>
      <c r="E9348" t="s">
        <v>41</v>
      </c>
      <c r="J9348" t="s">
        <v>139</v>
      </c>
      <c r="K9348" t="s">
        <v>140</v>
      </c>
      <c r="L9348">
        <v>2</v>
      </c>
      <c r="M9348" t="s">
        <v>32850</v>
      </c>
      <c r="N9348" t="s">
        <v>1276</v>
      </c>
      <c r="O9348" t="s">
        <v>46</v>
      </c>
      <c r="P9348" t="s">
        <v>46</v>
      </c>
      <c r="Y9348" t="s">
        <v>32851</v>
      </c>
    </row>
    <row r="9349" spans="1:25">
      <c r="A9349" t="s">
        <v>32852</v>
      </c>
      <c r="B9349" t="s">
        <v>32853</v>
      </c>
      <c r="D9349" t="s">
        <v>40</v>
      </c>
      <c r="E9349" t="s">
        <v>41</v>
      </c>
      <c r="J9349" t="s">
        <v>248</v>
      </c>
      <c r="K9349" t="s">
        <v>249</v>
      </c>
      <c r="L9349">
        <v>2</v>
      </c>
      <c r="M9349" t="s">
        <v>32854</v>
      </c>
      <c r="N9349" t="s">
        <v>3013</v>
      </c>
      <c r="O9349" t="s">
        <v>46</v>
      </c>
      <c r="P9349" t="s">
        <v>46</v>
      </c>
      <c r="Y9349" t="s">
        <v>32855</v>
      </c>
    </row>
    <row r="9350" spans="1:25">
      <c r="A9350" t="s">
        <v>32856</v>
      </c>
      <c r="B9350" t="s">
        <v>32857</v>
      </c>
      <c r="D9350" t="s">
        <v>40</v>
      </c>
      <c r="E9350" t="s">
        <v>41</v>
      </c>
      <c r="J9350" t="s">
        <v>248</v>
      </c>
      <c r="K9350" t="s">
        <v>249</v>
      </c>
      <c r="L9350">
        <v>2</v>
      </c>
      <c r="M9350" t="s">
        <v>32854</v>
      </c>
      <c r="N9350" t="s">
        <v>142</v>
      </c>
      <c r="O9350" t="s">
        <v>46</v>
      </c>
      <c r="P9350" t="s">
        <v>46</v>
      </c>
      <c r="Y9350" t="s">
        <v>32858</v>
      </c>
    </row>
    <row r="9351" spans="1:25">
      <c r="A9351" t="s">
        <v>32859</v>
      </c>
      <c r="B9351" t="s">
        <v>32860</v>
      </c>
      <c r="D9351" t="s">
        <v>40</v>
      </c>
      <c r="E9351" t="s">
        <v>41</v>
      </c>
      <c r="J9351" t="s">
        <v>248</v>
      </c>
      <c r="K9351" t="s">
        <v>249</v>
      </c>
      <c r="L9351">
        <v>2</v>
      </c>
      <c r="M9351" t="s">
        <v>32861</v>
      </c>
      <c r="N9351" t="s">
        <v>1369</v>
      </c>
      <c r="O9351" t="s">
        <v>46</v>
      </c>
      <c r="P9351" t="s">
        <v>46</v>
      </c>
      <c r="Y9351" t="s">
        <v>32862</v>
      </c>
    </row>
    <row r="9352" spans="1:25">
      <c r="A9352" t="s">
        <v>32863</v>
      </c>
      <c r="B9352" t="s">
        <v>32864</v>
      </c>
      <c r="D9352" t="s">
        <v>40</v>
      </c>
      <c r="E9352" t="s">
        <v>41</v>
      </c>
      <c r="J9352" t="s">
        <v>1554</v>
      </c>
      <c r="K9352" t="s">
        <v>1555</v>
      </c>
      <c r="L9352">
        <v>2</v>
      </c>
      <c r="M9352" t="s">
        <v>32865</v>
      </c>
      <c r="N9352" t="s">
        <v>350</v>
      </c>
      <c r="O9352" t="s">
        <v>46</v>
      </c>
      <c r="P9352" t="s">
        <v>46</v>
      </c>
      <c r="Y9352" t="s">
        <v>32866</v>
      </c>
    </row>
    <row r="9353" spans="1:25">
      <c r="A9353" t="s">
        <v>32867</v>
      </c>
      <c r="B9353" t="s">
        <v>32868</v>
      </c>
      <c r="D9353" t="s">
        <v>40</v>
      </c>
      <c r="E9353" t="s">
        <v>41</v>
      </c>
      <c r="J9353" t="s">
        <v>2619</v>
      </c>
      <c r="K9353" t="s">
        <v>140</v>
      </c>
      <c r="L9353">
        <v>1</v>
      </c>
      <c r="M9353" t="s">
        <v>32869</v>
      </c>
      <c r="N9353" t="s">
        <v>24245</v>
      </c>
      <c r="O9353" t="s">
        <v>46</v>
      </c>
      <c r="P9353" t="s">
        <v>46</v>
      </c>
      <c r="Y9353" t="s">
        <v>32870</v>
      </c>
    </row>
    <row r="9354" spans="1:25">
      <c r="A9354" t="s">
        <v>32871</v>
      </c>
      <c r="B9354" t="s">
        <v>32872</v>
      </c>
      <c r="D9354" t="s">
        <v>40</v>
      </c>
      <c r="E9354" t="s">
        <v>41</v>
      </c>
      <c r="J9354" t="s">
        <v>1142</v>
      </c>
      <c r="K9354" t="s">
        <v>1143</v>
      </c>
      <c r="L9354">
        <v>2</v>
      </c>
      <c r="M9354" t="s">
        <v>32873</v>
      </c>
      <c r="N9354" t="s">
        <v>31581</v>
      </c>
      <c r="O9354" t="s">
        <v>46</v>
      </c>
      <c r="P9354" t="s">
        <v>46</v>
      </c>
      <c r="Y9354" t="s">
        <v>32874</v>
      </c>
    </row>
    <row r="9355" spans="1:25">
      <c r="A9355" t="s">
        <v>32875</v>
      </c>
      <c r="B9355" t="s">
        <v>32876</v>
      </c>
      <c r="D9355" t="s">
        <v>40</v>
      </c>
      <c r="E9355" t="s">
        <v>41</v>
      </c>
      <c r="J9355" t="s">
        <v>248</v>
      </c>
      <c r="K9355" t="s">
        <v>249</v>
      </c>
      <c r="L9355">
        <v>2</v>
      </c>
      <c r="M9355" t="s">
        <v>32877</v>
      </c>
      <c r="N9355" t="s">
        <v>509</v>
      </c>
      <c r="O9355" t="s">
        <v>46</v>
      </c>
      <c r="P9355" t="s">
        <v>46</v>
      </c>
      <c r="Y9355" t="s">
        <v>32878</v>
      </c>
    </row>
    <row r="9356" spans="1:25">
      <c r="A9356" t="s">
        <v>32879</v>
      </c>
      <c r="B9356" t="s">
        <v>32880</v>
      </c>
      <c r="D9356" t="s">
        <v>40</v>
      </c>
      <c r="E9356" t="s">
        <v>41</v>
      </c>
      <c r="J9356" t="s">
        <v>6255</v>
      </c>
      <c r="K9356" t="s">
        <v>6256</v>
      </c>
      <c r="L9356">
        <v>2</v>
      </c>
      <c r="M9356" t="s">
        <v>32881</v>
      </c>
      <c r="N9356" t="s">
        <v>24227</v>
      </c>
      <c r="O9356" t="s">
        <v>46</v>
      </c>
      <c r="P9356" t="s">
        <v>46</v>
      </c>
      <c r="Y9356" t="s">
        <v>32882</v>
      </c>
    </row>
    <row r="9357" spans="1:25">
      <c r="A9357" t="s">
        <v>32883</v>
      </c>
      <c r="B9357" t="s">
        <v>32884</v>
      </c>
      <c r="D9357" t="s">
        <v>40</v>
      </c>
      <c r="E9357" t="s">
        <v>41</v>
      </c>
      <c r="J9357" t="s">
        <v>139</v>
      </c>
      <c r="K9357" t="s">
        <v>140</v>
      </c>
      <c r="L9357">
        <v>2</v>
      </c>
      <c r="M9357" t="s">
        <v>32885</v>
      </c>
      <c r="N9357" t="s">
        <v>178</v>
      </c>
      <c r="O9357" t="s">
        <v>46</v>
      </c>
      <c r="P9357" t="s">
        <v>46</v>
      </c>
      <c r="Y9357" t="s">
        <v>32886</v>
      </c>
    </row>
    <row r="9358" spans="1:25">
      <c r="A9358" t="s">
        <v>32887</v>
      </c>
      <c r="B9358" t="s">
        <v>32888</v>
      </c>
      <c r="D9358" t="s">
        <v>40</v>
      </c>
      <c r="E9358" t="s">
        <v>41</v>
      </c>
      <c r="J9358" t="s">
        <v>139</v>
      </c>
      <c r="K9358" t="s">
        <v>140</v>
      </c>
      <c r="L9358">
        <v>2</v>
      </c>
      <c r="M9358" t="s">
        <v>32889</v>
      </c>
      <c r="N9358" t="s">
        <v>31581</v>
      </c>
      <c r="O9358" t="s">
        <v>46</v>
      </c>
      <c r="P9358" t="s">
        <v>46</v>
      </c>
      <c r="Y9358" t="s">
        <v>32890</v>
      </c>
    </row>
    <row r="9359" spans="1:25">
      <c r="A9359" t="s">
        <v>32891</v>
      </c>
      <c r="B9359" t="s">
        <v>32892</v>
      </c>
      <c r="D9359" t="s">
        <v>40</v>
      </c>
      <c r="E9359" t="s">
        <v>41</v>
      </c>
      <c r="J9359" t="s">
        <v>248</v>
      </c>
      <c r="K9359" t="s">
        <v>249</v>
      </c>
      <c r="L9359">
        <v>2</v>
      </c>
      <c r="M9359" t="s">
        <v>32893</v>
      </c>
      <c r="N9359" t="s">
        <v>1397</v>
      </c>
      <c r="O9359" t="s">
        <v>46</v>
      </c>
      <c r="P9359" t="s">
        <v>46</v>
      </c>
      <c r="Y9359" t="s">
        <v>32894</v>
      </c>
    </row>
    <row r="9360" spans="1:25">
      <c r="A9360" t="s">
        <v>32895</v>
      </c>
      <c r="B9360" t="s">
        <v>32896</v>
      </c>
      <c r="D9360" t="s">
        <v>40</v>
      </c>
      <c r="E9360" t="s">
        <v>41</v>
      </c>
      <c r="J9360" t="s">
        <v>12440</v>
      </c>
      <c r="K9360" t="s">
        <v>12441</v>
      </c>
      <c r="L9360">
        <v>3</v>
      </c>
      <c r="M9360" t="s">
        <v>32897</v>
      </c>
      <c r="N9360" t="s">
        <v>64</v>
      </c>
      <c r="O9360" t="s">
        <v>46</v>
      </c>
      <c r="P9360" t="s">
        <v>46</v>
      </c>
      <c r="Y9360" t="s">
        <v>32898</v>
      </c>
    </row>
    <row r="9361" spans="1:25">
      <c r="A9361" t="s">
        <v>32899</v>
      </c>
      <c r="B9361" t="s">
        <v>32900</v>
      </c>
      <c r="D9361" t="s">
        <v>40</v>
      </c>
      <c r="E9361" t="s">
        <v>41</v>
      </c>
      <c r="J9361" t="s">
        <v>6179</v>
      </c>
      <c r="K9361" t="s">
        <v>6180</v>
      </c>
      <c r="L9361">
        <v>2</v>
      </c>
      <c r="M9361" t="s">
        <v>32901</v>
      </c>
      <c r="N9361" t="s">
        <v>257</v>
      </c>
      <c r="O9361" t="s">
        <v>46</v>
      </c>
      <c r="P9361" t="s">
        <v>46</v>
      </c>
      <c r="Y9361" t="s">
        <v>32902</v>
      </c>
    </row>
    <row r="9362" spans="1:25">
      <c r="A9362" t="s">
        <v>32903</v>
      </c>
      <c r="B9362" t="s">
        <v>32904</v>
      </c>
      <c r="D9362" t="s">
        <v>40</v>
      </c>
      <c r="E9362" t="s">
        <v>41</v>
      </c>
      <c r="J9362" t="s">
        <v>248</v>
      </c>
      <c r="K9362" t="s">
        <v>249</v>
      </c>
      <c r="L9362">
        <v>2</v>
      </c>
      <c r="M9362" t="s">
        <v>32905</v>
      </c>
      <c r="N9362" t="s">
        <v>23374</v>
      </c>
      <c r="O9362" t="s">
        <v>46</v>
      </c>
      <c r="P9362" t="s">
        <v>46</v>
      </c>
      <c r="Y9362" t="s">
        <v>32906</v>
      </c>
    </row>
    <row r="9363" spans="1:25">
      <c r="A9363" t="s">
        <v>32907</v>
      </c>
      <c r="B9363" t="s">
        <v>32908</v>
      </c>
      <c r="D9363" t="s">
        <v>40</v>
      </c>
      <c r="E9363" t="s">
        <v>41</v>
      </c>
      <c r="J9363" t="s">
        <v>248</v>
      </c>
      <c r="K9363" t="s">
        <v>249</v>
      </c>
      <c r="L9363">
        <v>2</v>
      </c>
      <c r="M9363" t="s">
        <v>32909</v>
      </c>
      <c r="N9363" t="s">
        <v>617</v>
      </c>
      <c r="O9363" t="s">
        <v>46</v>
      </c>
      <c r="P9363" t="s">
        <v>46</v>
      </c>
      <c r="Y9363" t="s">
        <v>32910</v>
      </c>
    </row>
    <row r="9364" spans="1:25">
      <c r="A9364" t="s">
        <v>32911</v>
      </c>
      <c r="B9364" t="s">
        <v>32912</v>
      </c>
      <c r="D9364" t="s">
        <v>40</v>
      </c>
      <c r="E9364" t="s">
        <v>41</v>
      </c>
      <c r="J9364" t="s">
        <v>1554</v>
      </c>
      <c r="K9364" t="s">
        <v>1555</v>
      </c>
      <c r="L9364">
        <v>2</v>
      </c>
      <c r="M9364" t="s">
        <v>32913</v>
      </c>
      <c r="N9364" t="s">
        <v>53</v>
      </c>
      <c r="O9364" t="s">
        <v>46</v>
      </c>
      <c r="P9364" t="s">
        <v>46</v>
      </c>
      <c r="Y9364" t="s">
        <v>32914</v>
      </c>
    </row>
    <row r="9365" spans="1:25">
      <c r="A9365" t="s">
        <v>32915</v>
      </c>
      <c r="B9365" t="s">
        <v>32916</v>
      </c>
      <c r="D9365" t="s">
        <v>40</v>
      </c>
      <c r="E9365" t="s">
        <v>41</v>
      </c>
      <c r="J9365" t="s">
        <v>248</v>
      </c>
      <c r="K9365" t="s">
        <v>249</v>
      </c>
      <c r="L9365">
        <v>2</v>
      </c>
      <c r="M9365" t="s">
        <v>32917</v>
      </c>
      <c r="N9365" t="s">
        <v>1397</v>
      </c>
      <c r="O9365" t="s">
        <v>46</v>
      </c>
      <c r="P9365" t="s">
        <v>46</v>
      </c>
      <c r="Y9365" t="s">
        <v>32918</v>
      </c>
    </row>
    <row r="9366" spans="1:25">
      <c r="A9366" t="s">
        <v>32919</v>
      </c>
      <c r="B9366" t="s">
        <v>32920</v>
      </c>
      <c r="D9366" t="s">
        <v>40</v>
      </c>
      <c r="E9366" t="s">
        <v>41</v>
      </c>
      <c r="J9366" t="s">
        <v>14558</v>
      </c>
      <c r="K9366" t="s">
        <v>14559</v>
      </c>
      <c r="L9366">
        <v>2</v>
      </c>
      <c r="M9366" t="s">
        <v>32921</v>
      </c>
      <c r="N9366" t="s">
        <v>142</v>
      </c>
      <c r="O9366" t="s">
        <v>46</v>
      </c>
      <c r="P9366" t="s">
        <v>46</v>
      </c>
      <c r="Y9366" t="s">
        <v>32922</v>
      </c>
    </row>
    <row r="9367" spans="1:25">
      <c r="A9367" t="s">
        <v>32923</v>
      </c>
      <c r="B9367" t="s">
        <v>32924</v>
      </c>
      <c r="D9367" t="s">
        <v>40</v>
      </c>
      <c r="E9367" t="s">
        <v>41</v>
      </c>
      <c r="J9367" t="s">
        <v>248</v>
      </c>
      <c r="K9367" t="s">
        <v>249</v>
      </c>
      <c r="L9367">
        <v>2</v>
      </c>
      <c r="M9367" t="s">
        <v>32925</v>
      </c>
      <c r="N9367" t="s">
        <v>1446</v>
      </c>
      <c r="O9367" t="s">
        <v>46</v>
      </c>
      <c r="P9367" t="s">
        <v>46</v>
      </c>
      <c r="Y9367" t="s">
        <v>32926</v>
      </c>
    </row>
    <row r="9368" spans="1:25">
      <c r="A9368" t="s">
        <v>32927</v>
      </c>
      <c r="B9368" t="s">
        <v>32928</v>
      </c>
      <c r="D9368" t="s">
        <v>40</v>
      </c>
      <c r="E9368" t="s">
        <v>41</v>
      </c>
      <c r="J9368" t="s">
        <v>139</v>
      </c>
      <c r="K9368" t="s">
        <v>140</v>
      </c>
      <c r="L9368">
        <v>2</v>
      </c>
      <c r="M9368" t="s">
        <v>32925</v>
      </c>
      <c r="N9368" t="s">
        <v>436</v>
      </c>
      <c r="O9368" t="s">
        <v>46</v>
      </c>
      <c r="P9368" t="s">
        <v>46</v>
      </c>
      <c r="Y9368" t="s">
        <v>32929</v>
      </c>
    </row>
    <row r="9369" spans="1:25">
      <c r="A9369" t="s">
        <v>32930</v>
      </c>
      <c r="B9369" t="s">
        <v>32931</v>
      </c>
      <c r="D9369" t="s">
        <v>40</v>
      </c>
      <c r="E9369" t="s">
        <v>41</v>
      </c>
      <c r="J9369" t="s">
        <v>248</v>
      </c>
      <c r="K9369" t="s">
        <v>249</v>
      </c>
      <c r="L9369">
        <v>2</v>
      </c>
      <c r="M9369" t="s">
        <v>32932</v>
      </c>
      <c r="N9369" t="s">
        <v>1478</v>
      </c>
      <c r="O9369" t="s">
        <v>46</v>
      </c>
      <c r="P9369" t="s">
        <v>46</v>
      </c>
      <c r="Y9369" t="s">
        <v>32933</v>
      </c>
    </row>
    <row r="9370" spans="1:25">
      <c r="A9370" t="s">
        <v>32934</v>
      </c>
      <c r="B9370" t="s">
        <v>32935</v>
      </c>
      <c r="D9370" t="s">
        <v>40</v>
      </c>
      <c r="E9370" t="s">
        <v>41</v>
      </c>
      <c r="J9370" t="s">
        <v>1142</v>
      </c>
      <c r="K9370" t="s">
        <v>1143</v>
      </c>
      <c r="L9370">
        <v>2</v>
      </c>
      <c r="M9370" t="s">
        <v>32936</v>
      </c>
      <c r="N9370" t="s">
        <v>1814</v>
      </c>
      <c r="O9370" t="s">
        <v>46</v>
      </c>
      <c r="P9370" t="s">
        <v>46</v>
      </c>
      <c r="Y9370" t="s">
        <v>32937</v>
      </c>
    </row>
    <row r="9371" spans="1:25">
      <c r="A9371" t="s">
        <v>32938</v>
      </c>
      <c r="B9371" t="s">
        <v>32939</v>
      </c>
      <c r="D9371" t="s">
        <v>40</v>
      </c>
      <c r="E9371" t="s">
        <v>41</v>
      </c>
      <c r="J9371" t="s">
        <v>248</v>
      </c>
      <c r="K9371" t="s">
        <v>249</v>
      </c>
      <c r="L9371">
        <v>2</v>
      </c>
      <c r="M9371" t="s">
        <v>32940</v>
      </c>
      <c r="N9371" t="s">
        <v>24245</v>
      </c>
      <c r="O9371" t="s">
        <v>46</v>
      </c>
      <c r="P9371" t="s">
        <v>46</v>
      </c>
      <c r="Y9371" t="s">
        <v>32941</v>
      </c>
    </row>
    <row r="9372" spans="1:25">
      <c r="A9372" t="s">
        <v>32942</v>
      </c>
      <c r="B9372" t="s">
        <v>32943</v>
      </c>
      <c r="D9372" t="s">
        <v>40</v>
      </c>
      <c r="E9372" t="s">
        <v>41</v>
      </c>
      <c r="J9372" t="s">
        <v>248</v>
      </c>
      <c r="K9372" t="s">
        <v>249</v>
      </c>
      <c r="L9372">
        <v>1</v>
      </c>
      <c r="M9372" t="s">
        <v>32944</v>
      </c>
      <c r="N9372" t="s">
        <v>31581</v>
      </c>
      <c r="O9372" t="s">
        <v>46</v>
      </c>
      <c r="P9372" t="s">
        <v>46</v>
      </c>
      <c r="Y9372" t="s">
        <v>32945</v>
      </c>
    </row>
    <row r="9373" spans="1:25">
      <c r="A9373" t="s">
        <v>32946</v>
      </c>
      <c r="B9373" t="s">
        <v>32947</v>
      </c>
      <c r="D9373" t="s">
        <v>40</v>
      </c>
      <c r="E9373" t="s">
        <v>41</v>
      </c>
      <c r="J9373" t="s">
        <v>248</v>
      </c>
      <c r="K9373" t="s">
        <v>249</v>
      </c>
      <c r="L9373">
        <v>1</v>
      </c>
      <c r="M9373" t="s">
        <v>32948</v>
      </c>
      <c r="N9373" t="s">
        <v>24387</v>
      </c>
      <c r="O9373" t="s">
        <v>46</v>
      </c>
      <c r="P9373" t="s">
        <v>46</v>
      </c>
      <c r="Y9373" t="s">
        <v>32949</v>
      </c>
    </row>
    <row r="9374" spans="1:25">
      <c r="A9374" t="s">
        <v>32950</v>
      </c>
      <c r="B9374" t="s">
        <v>32951</v>
      </c>
      <c r="D9374" t="s">
        <v>40</v>
      </c>
      <c r="E9374" t="s">
        <v>41</v>
      </c>
      <c r="J9374" t="s">
        <v>6179</v>
      </c>
      <c r="K9374" t="s">
        <v>6180</v>
      </c>
      <c r="L9374">
        <v>1</v>
      </c>
      <c r="M9374" t="s">
        <v>32952</v>
      </c>
      <c r="N9374" t="s">
        <v>1276</v>
      </c>
      <c r="O9374" t="s">
        <v>46</v>
      </c>
      <c r="P9374" t="s">
        <v>46</v>
      </c>
      <c r="Y9374" t="s">
        <v>32953</v>
      </c>
    </row>
    <row r="9375" spans="1:25">
      <c r="A9375" t="s">
        <v>32954</v>
      </c>
      <c r="B9375" t="s">
        <v>32955</v>
      </c>
      <c r="D9375" t="s">
        <v>40</v>
      </c>
      <c r="E9375" t="s">
        <v>41</v>
      </c>
      <c r="J9375" t="s">
        <v>248</v>
      </c>
      <c r="K9375" t="s">
        <v>249</v>
      </c>
      <c r="L9375">
        <v>1</v>
      </c>
      <c r="M9375" t="s">
        <v>32956</v>
      </c>
      <c r="N9375" t="s">
        <v>2346</v>
      </c>
      <c r="O9375" t="s">
        <v>46</v>
      </c>
      <c r="P9375" t="s">
        <v>46</v>
      </c>
      <c r="Y9375" t="s">
        <v>32957</v>
      </c>
    </row>
    <row r="9376" spans="1:25">
      <c r="A9376" t="s">
        <v>32958</v>
      </c>
      <c r="B9376" t="s">
        <v>32959</v>
      </c>
      <c r="D9376" t="s">
        <v>40</v>
      </c>
      <c r="E9376" t="s">
        <v>41</v>
      </c>
      <c r="J9376" t="s">
        <v>248</v>
      </c>
      <c r="K9376" t="s">
        <v>249</v>
      </c>
      <c r="L9376">
        <v>1</v>
      </c>
      <c r="M9376" t="s">
        <v>32960</v>
      </c>
      <c r="N9376" t="s">
        <v>1446</v>
      </c>
      <c r="O9376" t="s">
        <v>46</v>
      </c>
      <c r="P9376" t="s">
        <v>46</v>
      </c>
      <c r="Y9376" t="s">
        <v>32961</v>
      </c>
    </row>
    <row r="9377" spans="1:25">
      <c r="A9377" t="s">
        <v>32962</v>
      </c>
      <c r="B9377" t="s">
        <v>32963</v>
      </c>
      <c r="D9377" t="s">
        <v>40</v>
      </c>
      <c r="E9377" t="s">
        <v>41</v>
      </c>
      <c r="J9377" t="s">
        <v>248</v>
      </c>
      <c r="K9377" t="s">
        <v>249</v>
      </c>
      <c r="L9377">
        <v>1</v>
      </c>
      <c r="M9377" t="s">
        <v>32964</v>
      </c>
      <c r="N9377" t="s">
        <v>1397</v>
      </c>
      <c r="O9377" t="s">
        <v>46</v>
      </c>
      <c r="P9377" t="s">
        <v>46</v>
      </c>
      <c r="Y9377" t="s">
        <v>32965</v>
      </c>
    </row>
    <row r="9378" spans="1:25">
      <c r="A9378" t="s">
        <v>32966</v>
      </c>
      <c r="B9378" t="s">
        <v>32967</v>
      </c>
      <c r="D9378" t="s">
        <v>40</v>
      </c>
      <c r="E9378" t="s">
        <v>41</v>
      </c>
      <c r="J9378" t="s">
        <v>248</v>
      </c>
      <c r="K9378" t="s">
        <v>249</v>
      </c>
      <c r="L9378">
        <v>1</v>
      </c>
      <c r="M9378" t="s">
        <v>32968</v>
      </c>
      <c r="N9378" t="s">
        <v>31581</v>
      </c>
      <c r="O9378" t="s">
        <v>46</v>
      </c>
      <c r="P9378" t="s">
        <v>46</v>
      </c>
      <c r="Y9378" t="s">
        <v>32969</v>
      </c>
    </row>
    <row r="9379" spans="1:25">
      <c r="A9379" t="s">
        <v>32970</v>
      </c>
      <c r="B9379" t="s">
        <v>32971</v>
      </c>
      <c r="D9379" t="s">
        <v>40</v>
      </c>
      <c r="E9379" t="s">
        <v>41</v>
      </c>
      <c r="J9379" t="s">
        <v>6255</v>
      </c>
      <c r="K9379" t="s">
        <v>6256</v>
      </c>
      <c r="L9379">
        <v>1</v>
      </c>
      <c r="M9379" t="s">
        <v>32972</v>
      </c>
      <c r="N9379" t="s">
        <v>1229</v>
      </c>
      <c r="O9379" t="s">
        <v>46</v>
      </c>
      <c r="P9379" t="s">
        <v>46</v>
      </c>
      <c r="Y9379" t="s">
        <v>32973</v>
      </c>
    </row>
    <row r="9380" spans="1:25">
      <c r="A9380" t="s">
        <v>32974</v>
      </c>
      <c r="B9380" t="s">
        <v>32975</v>
      </c>
      <c r="D9380" t="s">
        <v>40</v>
      </c>
      <c r="E9380" t="s">
        <v>41</v>
      </c>
      <c r="J9380" t="s">
        <v>9159</v>
      </c>
      <c r="K9380" t="s">
        <v>9160</v>
      </c>
      <c r="L9380">
        <v>1</v>
      </c>
      <c r="M9380" t="s">
        <v>32976</v>
      </c>
      <c r="N9380" t="s">
        <v>257</v>
      </c>
      <c r="O9380" t="s">
        <v>46</v>
      </c>
      <c r="P9380" t="s">
        <v>46</v>
      </c>
      <c r="Y9380" t="s">
        <v>32977</v>
      </c>
    </row>
    <row r="9381" spans="1:25">
      <c r="A9381" t="s">
        <v>32978</v>
      </c>
      <c r="B9381" t="s">
        <v>32979</v>
      </c>
      <c r="D9381" t="s">
        <v>40</v>
      </c>
      <c r="E9381" t="s">
        <v>41</v>
      </c>
      <c r="J9381" t="s">
        <v>1142</v>
      </c>
      <c r="K9381" t="s">
        <v>1143</v>
      </c>
      <c r="L9381">
        <v>1</v>
      </c>
      <c r="M9381" t="s">
        <v>32976</v>
      </c>
      <c r="N9381" t="s">
        <v>1814</v>
      </c>
      <c r="O9381" t="s">
        <v>46</v>
      </c>
      <c r="P9381" t="s">
        <v>46</v>
      </c>
      <c r="Y9381" t="s">
        <v>32980</v>
      </c>
    </row>
    <row r="9382" spans="1:25">
      <c r="A9382" t="s">
        <v>32981</v>
      </c>
      <c r="B9382" t="s">
        <v>32982</v>
      </c>
      <c r="D9382" t="s">
        <v>40</v>
      </c>
      <c r="E9382" t="s">
        <v>41</v>
      </c>
      <c r="J9382" t="s">
        <v>1142</v>
      </c>
      <c r="K9382" t="s">
        <v>1143</v>
      </c>
      <c r="L9382">
        <v>1</v>
      </c>
      <c r="M9382" t="s">
        <v>32983</v>
      </c>
      <c r="N9382" t="s">
        <v>1369</v>
      </c>
      <c r="O9382" t="s">
        <v>46</v>
      </c>
      <c r="P9382" t="s">
        <v>46</v>
      </c>
      <c r="Y9382" t="s">
        <v>32984</v>
      </c>
    </row>
    <row r="9383" spans="1:25">
      <c r="A9383" t="s">
        <v>32985</v>
      </c>
      <c r="B9383" t="s">
        <v>32986</v>
      </c>
      <c r="D9383" t="s">
        <v>40</v>
      </c>
      <c r="E9383" t="s">
        <v>41</v>
      </c>
      <c r="J9383" t="s">
        <v>139</v>
      </c>
      <c r="K9383" t="s">
        <v>140</v>
      </c>
      <c r="L9383">
        <v>1</v>
      </c>
      <c r="M9383" t="s">
        <v>32983</v>
      </c>
      <c r="N9383" t="s">
        <v>436</v>
      </c>
      <c r="O9383" t="s">
        <v>46</v>
      </c>
      <c r="P9383" t="s">
        <v>46</v>
      </c>
      <c r="Y9383" t="s">
        <v>32987</v>
      </c>
    </row>
    <row r="9384" spans="1:25">
      <c r="A9384" t="s">
        <v>32988</v>
      </c>
      <c r="B9384" t="s">
        <v>32989</v>
      </c>
      <c r="D9384" t="s">
        <v>40</v>
      </c>
      <c r="E9384" t="s">
        <v>41</v>
      </c>
      <c r="J9384" t="s">
        <v>248</v>
      </c>
      <c r="K9384" t="s">
        <v>249</v>
      </c>
      <c r="L9384">
        <v>2</v>
      </c>
      <c r="M9384" t="s">
        <v>32990</v>
      </c>
      <c r="N9384" t="s">
        <v>24227</v>
      </c>
      <c r="O9384" t="s">
        <v>46</v>
      </c>
      <c r="P9384" t="s">
        <v>46</v>
      </c>
      <c r="Y9384" t="s">
        <v>32991</v>
      </c>
    </row>
    <row r="9385" spans="1:25">
      <c r="A9385" t="s">
        <v>32992</v>
      </c>
      <c r="B9385" t="s">
        <v>32993</v>
      </c>
      <c r="D9385" t="s">
        <v>40</v>
      </c>
      <c r="E9385" t="s">
        <v>41</v>
      </c>
      <c r="J9385" t="s">
        <v>14558</v>
      </c>
      <c r="K9385" t="s">
        <v>14559</v>
      </c>
      <c r="L9385">
        <v>1</v>
      </c>
      <c r="M9385" t="s">
        <v>32994</v>
      </c>
      <c r="N9385" t="s">
        <v>257</v>
      </c>
      <c r="O9385" t="s">
        <v>46</v>
      </c>
      <c r="P9385" t="s">
        <v>46</v>
      </c>
      <c r="Y9385" t="s">
        <v>32995</v>
      </c>
    </row>
    <row r="9386" spans="1:25">
      <c r="A9386" t="s">
        <v>32996</v>
      </c>
      <c r="B9386" t="s">
        <v>32997</v>
      </c>
      <c r="D9386" t="s">
        <v>40</v>
      </c>
      <c r="E9386" t="s">
        <v>41</v>
      </c>
      <c r="J9386" t="s">
        <v>248</v>
      </c>
      <c r="K9386" t="s">
        <v>249</v>
      </c>
      <c r="L9386">
        <v>1</v>
      </c>
      <c r="M9386" t="s">
        <v>32998</v>
      </c>
      <c r="N9386" t="s">
        <v>1814</v>
      </c>
      <c r="O9386" t="s">
        <v>46</v>
      </c>
      <c r="P9386" t="s">
        <v>46</v>
      </c>
      <c r="Y9386" t="s">
        <v>32999</v>
      </c>
    </row>
    <row r="9387" spans="1:25">
      <c r="A9387" t="s">
        <v>33000</v>
      </c>
      <c r="B9387" t="s">
        <v>33001</v>
      </c>
      <c r="D9387" t="s">
        <v>40</v>
      </c>
      <c r="E9387" t="s">
        <v>41</v>
      </c>
      <c r="J9387" t="s">
        <v>6179</v>
      </c>
      <c r="K9387" t="s">
        <v>6180</v>
      </c>
      <c r="L9387">
        <v>1</v>
      </c>
      <c r="M9387" t="s">
        <v>33002</v>
      </c>
      <c r="N9387" t="s">
        <v>4037</v>
      </c>
      <c r="O9387" t="s">
        <v>46</v>
      </c>
      <c r="P9387" t="s">
        <v>46</v>
      </c>
      <c r="Y9387" t="s">
        <v>33003</v>
      </c>
    </row>
    <row r="9388" spans="1:25">
      <c r="A9388" t="s">
        <v>33004</v>
      </c>
      <c r="B9388" t="s">
        <v>33005</v>
      </c>
      <c r="D9388" t="s">
        <v>40</v>
      </c>
      <c r="E9388" t="s">
        <v>41</v>
      </c>
      <c r="J9388" t="s">
        <v>1142</v>
      </c>
      <c r="K9388" t="s">
        <v>1143</v>
      </c>
      <c r="L9388">
        <v>1</v>
      </c>
      <c r="M9388" t="s">
        <v>33006</v>
      </c>
      <c r="N9388" t="s">
        <v>53</v>
      </c>
      <c r="O9388" t="s">
        <v>46</v>
      </c>
      <c r="P9388" t="s">
        <v>46</v>
      </c>
      <c r="Y9388" t="s">
        <v>33007</v>
      </c>
    </row>
    <row r="9389" spans="1:25">
      <c r="A9389" t="s">
        <v>33008</v>
      </c>
      <c r="B9389" t="s">
        <v>33009</v>
      </c>
      <c r="D9389" t="s">
        <v>40</v>
      </c>
      <c r="E9389" t="s">
        <v>41</v>
      </c>
      <c r="J9389" t="s">
        <v>248</v>
      </c>
      <c r="K9389" t="s">
        <v>249</v>
      </c>
      <c r="L9389">
        <v>2</v>
      </c>
      <c r="M9389" t="s">
        <v>33010</v>
      </c>
      <c r="N9389" t="s">
        <v>142</v>
      </c>
      <c r="O9389" t="s">
        <v>46</v>
      </c>
      <c r="P9389" t="s">
        <v>46</v>
      </c>
      <c r="Y9389" t="s">
        <v>33011</v>
      </c>
    </row>
    <row r="9390" spans="1:25">
      <c r="A9390" t="s">
        <v>33012</v>
      </c>
      <c r="B9390" t="s">
        <v>33013</v>
      </c>
      <c r="D9390" t="s">
        <v>40</v>
      </c>
      <c r="E9390" t="s">
        <v>41</v>
      </c>
      <c r="J9390" t="s">
        <v>248</v>
      </c>
      <c r="K9390" t="s">
        <v>249</v>
      </c>
      <c r="L9390">
        <v>1</v>
      </c>
      <c r="M9390" t="s">
        <v>33014</v>
      </c>
      <c r="N9390" t="s">
        <v>509</v>
      </c>
      <c r="O9390" t="s">
        <v>46</v>
      </c>
      <c r="P9390" t="s">
        <v>46</v>
      </c>
      <c r="Y9390" t="s">
        <v>33015</v>
      </c>
    </row>
    <row r="9391" spans="1:25">
      <c r="A9391" t="s">
        <v>33016</v>
      </c>
      <c r="B9391" t="s">
        <v>33017</v>
      </c>
      <c r="D9391" t="s">
        <v>40</v>
      </c>
      <c r="E9391" t="s">
        <v>41</v>
      </c>
      <c r="J9391" t="s">
        <v>1554</v>
      </c>
      <c r="K9391" t="s">
        <v>1555</v>
      </c>
      <c r="L9391">
        <v>1</v>
      </c>
      <c r="M9391" t="s">
        <v>33018</v>
      </c>
      <c r="N9391" t="s">
        <v>257</v>
      </c>
      <c r="O9391" t="s">
        <v>46</v>
      </c>
      <c r="P9391" t="s">
        <v>46</v>
      </c>
      <c r="Y9391" t="s">
        <v>33019</v>
      </c>
    </row>
    <row r="9392" spans="1:25">
      <c r="A9392" t="s">
        <v>33020</v>
      </c>
      <c r="B9392" t="s">
        <v>33021</v>
      </c>
      <c r="D9392" t="s">
        <v>40</v>
      </c>
      <c r="E9392" t="s">
        <v>41</v>
      </c>
      <c r="J9392" t="s">
        <v>139</v>
      </c>
      <c r="K9392" t="s">
        <v>140</v>
      </c>
      <c r="L9392">
        <v>1</v>
      </c>
      <c r="M9392" t="s">
        <v>33022</v>
      </c>
      <c r="N9392" t="s">
        <v>950</v>
      </c>
      <c r="O9392" t="s">
        <v>46</v>
      </c>
      <c r="P9392" t="s">
        <v>46</v>
      </c>
      <c r="Y9392" t="s">
        <v>33023</v>
      </c>
    </row>
    <row r="9393" spans="1:25">
      <c r="A9393" t="s">
        <v>33024</v>
      </c>
      <c r="B9393" t="s">
        <v>33025</v>
      </c>
      <c r="D9393" t="s">
        <v>40</v>
      </c>
      <c r="E9393" t="s">
        <v>41</v>
      </c>
      <c r="J9393" t="s">
        <v>248</v>
      </c>
      <c r="K9393" t="s">
        <v>249</v>
      </c>
      <c r="L9393">
        <v>1</v>
      </c>
      <c r="M9393" t="s">
        <v>33026</v>
      </c>
      <c r="N9393" t="s">
        <v>24245</v>
      </c>
      <c r="O9393" t="s">
        <v>46</v>
      </c>
      <c r="P9393" t="s">
        <v>46</v>
      </c>
      <c r="Y9393" t="s">
        <v>33027</v>
      </c>
    </row>
    <row r="9394" spans="1:25">
      <c r="A9394" t="s">
        <v>33028</v>
      </c>
      <c r="B9394" t="s">
        <v>33029</v>
      </c>
      <c r="D9394" t="s">
        <v>40</v>
      </c>
      <c r="E9394" t="s">
        <v>41</v>
      </c>
      <c r="J9394" t="s">
        <v>248</v>
      </c>
      <c r="K9394" t="s">
        <v>249</v>
      </c>
      <c r="L9394">
        <v>2</v>
      </c>
      <c r="M9394" t="s">
        <v>33030</v>
      </c>
      <c r="N9394" t="s">
        <v>142</v>
      </c>
      <c r="O9394" t="s">
        <v>46</v>
      </c>
      <c r="P9394" t="s">
        <v>46</v>
      </c>
      <c r="Y9394" t="s">
        <v>33031</v>
      </c>
    </row>
    <row r="9395" spans="1:25">
      <c r="A9395" t="s">
        <v>33032</v>
      </c>
      <c r="B9395" t="s">
        <v>33033</v>
      </c>
      <c r="D9395" t="s">
        <v>40</v>
      </c>
      <c r="E9395" t="s">
        <v>41</v>
      </c>
      <c r="J9395" t="s">
        <v>921</v>
      </c>
      <c r="K9395" t="s">
        <v>922</v>
      </c>
      <c r="L9395">
        <v>1</v>
      </c>
      <c r="M9395" t="s">
        <v>33034</v>
      </c>
      <c r="N9395" t="s">
        <v>2621</v>
      </c>
      <c r="O9395" t="s">
        <v>46</v>
      </c>
      <c r="P9395" t="s">
        <v>46</v>
      </c>
      <c r="Y9395" t="s">
        <v>33035</v>
      </c>
    </row>
    <row r="9396" spans="1:25">
      <c r="A9396" t="s">
        <v>33036</v>
      </c>
      <c r="B9396" t="s">
        <v>33037</v>
      </c>
      <c r="D9396" t="s">
        <v>40</v>
      </c>
      <c r="E9396" t="s">
        <v>41</v>
      </c>
      <c r="J9396" t="s">
        <v>1142</v>
      </c>
      <c r="K9396" t="s">
        <v>1143</v>
      </c>
      <c r="L9396">
        <v>1</v>
      </c>
      <c r="M9396" t="s">
        <v>33038</v>
      </c>
      <c r="N9396" t="s">
        <v>45</v>
      </c>
      <c r="O9396" t="s">
        <v>46</v>
      </c>
      <c r="P9396" t="s">
        <v>46</v>
      </c>
      <c r="Y9396" t="s">
        <v>33039</v>
      </c>
    </row>
    <row r="9397" spans="1:25">
      <c r="A9397" t="s">
        <v>33040</v>
      </c>
      <c r="B9397" t="s">
        <v>33041</v>
      </c>
      <c r="D9397" t="s">
        <v>40</v>
      </c>
      <c r="E9397" t="s">
        <v>41</v>
      </c>
      <c r="J9397" t="s">
        <v>248</v>
      </c>
      <c r="K9397" t="s">
        <v>249</v>
      </c>
      <c r="L9397">
        <v>1</v>
      </c>
      <c r="M9397" t="s">
        <v>33042</v>
      </c>
      <c r="N9397" t="s">
        <v>1814</v>
      </c>
      <c r="O9397" t="s">
        <v>46</v>
      </c>
      <c r="P9397" t="s">
        <v>46</v>
      </c>
      <c r="Y9397" t="s">
        <v>33043</v>
      </c>
    </row>
    <row r="9398" spans="1:25">
      <c r="A9398" t="s">
        <v>33044</v>
      </c>
      <c r="B9398" t="s">
        <v>33045</v>
      </c>
      <c r="D9398" t="s">
        <v>40</v>
      </c>
      <c r="E9398" t="s">
        <v>41</v>
      </c>
      <c r="J9398" t="s">
        <v>1554</v>
      </c>
      <c r="K9398" t="s">
        <v>1555</v>
      </c>
      <c r="L9398">
        <v>1</v>
      </c>
      <c r="M9398" t="s">
        <v>33046</v>
      </c>
      <c r="N9398" t="s">
        <v>1369</v>
      </c>
      <c r="O9398" t="s">
        <v>46</v>
      </c>
      <c r="P9398" t="s">
        <v>46</v>
      </c>
      <c r="Y9398" t="s">
        <v>33047</v>
      </c>
    </row>
    <row r="9399" spans="1:25">
      <c r="A9399" t="s">
        <v>33048</v>
      </c>
      <c r="B9399" t="s">
        <v>33049</v>
      </c>
      <c r="D9399" t="s">
        <v>40</v>
      </c>
      <c r="E9399" t="s">
        <v>41</v>
      </c>
      <c r="J9399" t="s">
        <v>248</v>
      </c>
      <c r="K9399" t="s">
        <v>249</v>
      </c>
      <c r="L9399">
        <v>1</v>
      </c>
      <c r="M9399" t="s">
        <v>33050</v>
      </c>
      <c r="N9399" t="s">
        <v>23374</v>
      </c>
      <c r="O9399" t="s">
        <v>46</v>
      </c>
      <c r="P9399" t="s">
        <v>46</v>
      </c>
      <c r="Y9399" t="s">
        <v>33051</v>
      </c>
    </row>
    <row r="9400" spans="1:25">
      <c r="A9400" t="s">
        <v>33052</v>
      </c>
      <c r="B9400" t="s">
        <v>33053</v>
      </c>
      <c r="D9400" t="s">
        <v>40</v>
      </c>
      <c r="E9400" t="s">
        <v>41</v>
      </c>
      <c r="J9400" t="s">
        <v>1142</v>
      </c>
      <c r="K9400" t="s">
        <v>1143</v>
      </c>
      <c r="L9400">
        <v>1</v>
      </c>
      <c r="M9400" t="s">
        <v>33054</v>
      </c>
      <c r="N9400" t="s">
        <v>350</v>
      </c>
      <c r="O9400" t="s">
        <v>46</v>
      </c>
      <c r="P9400" t="s">
        <v>46</v>
      </c>
      <c r="Y9400" t="s">
        <v>33055</v>
      </c>
    </row>
    <row r="9401" spans="1:25">
      <c r="A9401" t="s">
        <v>33056</v>
      </c>
      <c r="B9401" t="s">
        <v>33057</v>
      </c>
      <c r="D9401" t="s">
        <v>40</v>
      </c>
      <c r="E9401" t="s">
        <v>41</v>
      </c>
      <c r="J9401" t="s">
        <v>1142</v>
      </c>
      <c r="K9401" t="s">
        <v>1143</v>
      </c>
      <c r="L9401">
        <v>1</v>
      </c>
      <c r="M9401" t="s">
        <v>33058</v>
      </c>
      <c r="N9401" t="s">
        <v>142</v>
      </c>
      <c r="O9401" t="s">
        <v>46</v>
      </c>
      <c r="P9401" t="s">
        <v>46</v>
      </c>
      <c r="Y9401" t="s">
        <v>33059</v>
      </c>
    </row>
    <row r="9402" spans="1:25">
      <c r="A9402" t="s">
        <v>33060</v>
      </c>
      <c r="B9402" t="s">
        <v>33061</v>
      </c>
      <c r="D9402" t="s">
        <v>40</v>
      </c>
      <c r="E9402" t="s">
        <v>41</v>
      </c>
      <c r="J9402" t="s">
        <v>248</v>
      </c>
      <c r="K9402" t="s">
        <v>249</v>
      </c>
      <c r="L9402">
        <v>1</v>
      </c>
      <c r="M9402" t="s">
        <v>33062</v>
      </c>
      <c r="N9402" t="s">
        <v>31581</v>
      </c>
      <c r="O9402" t="s">
        <v>46</v>
      </c>
      <c r="P9402" t="s">
        <v>46</v>
      </c>
      <c r="Y9402" t="s">
        <v>33063</v>
      </c>
    </row>
    <row r="9403" spans="1:25">
      <c r="A9403" t="s">
        <v>33064</v>
      </c>
      <c r="B9403" t="s">
        <v>33065</v>
      </c>
      <c r="D9403" t="s">
        <v>40</v>
      </c>
      <c r="E9403" t="s">
        <v>41</v>
      </c>
      <c r="J9403" t="s">
        <v>139</v>
      </c>
      <c r="K9403" t="s">
        <v>140</v>
      </c>
      <c r="L9403">
        <v>1</v>
      </c>
      <c r="M9403" t="s">
        <v>33066</v>
      </c>
      <c r="N9403" t="s">
        <v>24245</v>
      </c>
      <c r="O9403" t="s">
        <v>46</v>
      </c>
      <c r="P9403" t="s">
        <v>46</v>
      </c>
      <c r="Y9403" t="s">
        <v>33067</v>
      </c>
    </row>
    <row r="9404" spans="1:25">
      <c r="A9404" t="s">
        <v>33068</v>
      </c>
      <c r="B9404" t="s">
        <v>33069</v>
      </c>
      <c r="D9404" t="s">
        <v>40</v>
      </c>
      <c r="E9404" t="s">
        <v>41</v>
      </c>
      <c r="J9404" t="s">
        <v>248</v>
      </c>
      <c r="K9404" t="s">
        <v>249</v>
      </c>
      <c r="L9404">
        <v>1</v>
      </c>
      <c r="M9404" t="s">
        <v>33070</v>
      </c>
      <c r="N9404" t="s">
        <v>24227</v>
      </c>
      <c r="O9404" t="s">
        <v>46</v>
      </c>
      <c r="P9404" t="s">
        <v>46</v>
      </c>
      <c r="Y9404" t="s">
        <v>33071</v>
      </c>
    </row>
    <row r="9405" spans="1:25">
      <c r="A9405" t="s">
        <v>33072</v>
      </c>
      <c r="B9405" t="s">
        <v>33073</v>
      </c>
      <c r="D9405" t="s">
        <v>40</v>
      </c>
      <c r="E9405" t="s">
        <v>41</v>
      </c>
      <c r="J9405" t="s">
        <v>12440</v>
      </c>
      <c r="K9405" t="s">
        <v>12441</v>
      </c>
      <c r="L9405">
        <v>2</v>
      </c>
      <c r="M9405" t="s">
        <v>33074</v>
      </c>
      <c r="N9405" t="s">
        <v>436</v>
      </c>
      <c r="O9405" t="s">
        <v>46</v>
      </c>
      <c r="P9405" t="s">
        <v>46</v>
      </c>
      <c r="Y9405" t="s">
        <v>33075</v>
      </c>
    </row>
    <row r="9406" spans="1:25">
      <c r="A9406" t="s">
        <v>33076</v>
      </c>
      <c r="B9406" t="s">
        <v>33077</v>
      </c>
      <c r="D9406" t="s">
        <v>40</v>
      </c>
      <c r="E9406" t="s">
        <v>41</v>
      </c>
      <c r="J9406" t="s">
        <v>1142</v>
      </c>
      <c r="K9406" t="s">
        <v>1143</v>
      </c>
      <c r="L9406">
        <v>1</v>
      </c>
      <c r="M9406" t="s">
        <v>33078</v>
      </c>
      <c r="N9406" t="s">
        <v>756</v>
      </c>
      <c r="O9406" t="s">
        <v>46</v>
      </c>
      <c r="P9406" t="s">
        <v>46</v>
      </c>
      <c r="Y9406" t="s">
        <v>33079</v>
      </c>
    </row>
    <row r="9407" spans="1:25">
      <c r="A9407" t="s">
        <v>33080</v>
      </c>
      <c r="B9407" t="s">
        <v>33081</v>
      </c>
      <c r="D9407" t="s">
        <v>40</v>
      </c>
      <c r="E9407" t="s">
        <v>41</v>
      </c>
      <c r="J9407" t="s">
        <v>139</v>
      </c>
      <c r="K9407" t="s">
        <v>140</v>
      </c>
      <c r="L9407">
        <v>1</v>
      </c>
      <c r="M9407" t="s">
        <v>33082</v>
      </c>
      <c r="N9407" t="s">
        <v>924</v>
      </c>
      <c r="O9407" t="s">
        <v>46</v>
      </c>
      <c r="P9407" t="s">
        <v>46</v>
      </c>
      <c r="Y9407" t="s">
        <v>33083</v>
      </c>
    </row>
    <row r="9408" spans="1:25">
      <c r="A9408" t="s">
        <v>33084</v>
      </c>
      <c r="B9408" t="s">
        <v>33085</v>
      </c>
      <c r="D9408" t="s">
        <v>40</v>
      </c>
      <c r="E9408" t="s">
        <v>41</v>
      </c>
      <c r="J9408" t="s">
        <v>1142</v>
      </c>
      <c r="K9408" t="s">
        <v>1143</v>
      </c>
      <c r="L9408">
        <v>1</v>
      </c>
      <c r="M9408" t="s">
        <v>33086</v>
      </c>
      <c r="N9408" t="s">
        <v>24245</v>
      </c>
      <c r="O9408" t="s">
        <v>46</v>
      </c>
      <c r="P9408" t="s">
        <v>46</v>
      </c>
      <c r="Y9408" t="s">
        <v>33087</v>
      </c>
    </row>
    <row r="9409" spans="1:25">
      <c r="A9409" t="s">
        <v>33088</v>
      </c>
      <c r="B9409" t="s">
        <v>33089</v>
      </c>
      <c r="D9409" t="s">
        <v>40</v>
      </c>
      <c r="E9409" t="s">
        <v>41</v>
      </c>
      <c r="J9409" t="s">
        <v>22447</v>
      </c>
      <c r="K9409" t="s">
        <v>22448</v>
      </c>
      <c r="L9409">
        <v>1</v>
      </c>
      <c r="M9409" t="s">
        <v>33090</v>
      </c>
      <c r="N9409" t="s">
        <v>2621</v>
      </c>
      <c r="O9409" t="s">
        <v>46</v>
      </c>
      <c r="P9409" t="s">
        <v>46</v>
      </c>
      <c r="Y9409" t="s">
        <v>33091</v>
      </c>
    </row>
    <row r="9410" spans="1:25">
      <c r="A9410" t="s">
        <v>33092</v>
      </c>
      <c r="B9410" t="s">
        <v>33093</v>
      </c>
      <c r="D9410" t="s">
        <v>40</v>
      </c>
      <c r="E9410" t="s">
        <v>41</v>
      </c>
      <c r="J9410" t="s">
        <v>1142</v>
      </c>
      <c r="K9410" t="s">
        <v>1143</v>
      </c>
      <c r="L9410">
        <v>1</v>
      </c>
      <c r="M9410" t="s">
        <v>33094</v>
      </c>
      <c r="N9410" t="s">
        <v>142</v>
      </c>
      <c r="O9410" t="s">
        <v>46</v>
      </c>
      <c r="P9410" t="s">
        <v>46</v>
      </c>
      <c r="Y9410" t="s">
        <v>33095</v>
      </c>
    </row>
    <row r="9411" spans="1:25">
      <c r="A9411" t="s">
        <v>33096</v>
      </c>
      <c r="B9411" t="s">
        <v>33097</v>
      </c>
      <c r="D9411" t="s">
        <v>40</v>
      </c>
      <c r="E9411" t="s">
        <v>41</v>
      </c>
      <c r="J9411" t="s">
        <v>248</v>
      </c>
      <c r="K9411" t="s">
        <v>249</v>
      </c>
      <c r="L9411">
        <v>1</v>
      </c>
      <c r="M9411" t="s">
        <v>33098</v>
      </c>
      <c r="N9411" t="s">
        <v>1369</v>
      </c>
      <c r="O9411" t="s">
        <v>46</v>
      </c>
      <c r="P9411" t="s">
        <v>46</v>
      </c>
      <c r="Y9411" t="s">
        <v>33099</v>
      </c>
    </row>
    <row r="9412" spans="1:25">
      <c r="A9412" t="s">
        <v>33100</v>
      </c>
      <c r="B9412" t="s">
        <v>33101</v>
      </c>
      <c r="D9412" t="s">
        <v>40</v>
      </c>
      <c r="E9412" t="s">
        <v>41</v>
      </c>
      <c r="J9412" t="s">
        <v>139</v>
      </c>
      <c r="K9412" t="s">
        <v>140</v>
      </c>
      <c r="L9412">
        <v>1</v>
      </c>
      <c r="M9412" t="s">
        <v>33098</v>
      </c>
      <c r="N9412" t="s">
        <v>1276</v>
      </c>
      <c r="O9412" t="s">
        <v>46</v>
      </c>
      <c r="P9412" t="s">
        <v>46</v>
      </c>
      <c r="Y9412" t="s">
        <v>33102</v>
      </c>
    </row>
    <row r="9413" spans="1:25">
      <c r="A9413" t="s">
        <v>33103</v>
      </c>
      <c r="B9413" t="s">
        <v>33104</v>
      </c>
      <c r="D9413" t="s">
        <v>40</v>
      </c>
      <c r="E9413" t="s">
        <v>41</v>
      </c>
      <c r="J9413" t="s">
        <v>248</v>
      </c>
      <c r="K9413" t="s">
        <v>249</v>
      </c>
      <c r="L9413">
        <v>1</v>
      </c>
      <c r="M9413" t="s">
        <v>33105</v>
      </c>
      <c r="N9413" t="s">
        <v>2621</v>
      </c>
      <c r="O9413" t="s">
        <v>46</v>
      </c>
      <c r="P9413" t="s">
        <v>46</v>
      </c>
      <c r="Y9413" t="s">
        <v>33106</v>
      </c>
    </row>
    <row r="9414" spans="1:25">
      <c r="A9414" t="s">
        <v>33107</v>
      </c>
      <c r="B9414" t="s">
        <v>33108</v>
      </c>
      <c r="D9414" t="s">
        <v>40</v>
      </c>
      <c r="E9414" t="s">
        <v>41</v>
      </c>
      <c r="J9414" t="s">
        <v>12440</v>
      </c>
      <c r="K9414" t="s">
        <v>12441</v>
      </c>
      <c r="L9414">
        <v>2</v>
      </c>
      <c r="M9414" t="s">
        <v>33109</v>
      </c>
      <c r="N9414" t="s">
        <v>64</v>
      </c>
      <c r="O9414" t="s">
        <v>46</v>
      </c>
      <c r="P9414" t="s">
        <v>46</v>
      </c>
      <c r="Y9414" t="s">
        <v>33110</v>
      </c>
    </row>
    <row r="9415" spans="1:25">
      <c r="A9415" t="s">
        <v>33111</v>
      </c>
      <c r="B9415" t="s">
        <v>33112</v>
      </c>
      <c r="D9415" t="s">
        <v>40</v>
      </c>
      <c r="E9415" t="s">
        <v>41</v>
      </c>
      <c r="J9415" t="s">
        <v>139</v>
      </c>
      <c r="K9415" t="s">
        <v>140</v>
      </c>
      <c r="L9415">
        <v>1</v>
      </c>
      <c r="M9415" t="s">
        <v>33113</v>
      </c>
      <c r="N9415" t="s">
        <v>24245</v>
      </c>
      <c r="O9415" t="s">
        <v>46</v>
      </c>
      <c r="P9415" t="s">
        <v>46</v>
      </c>
      <c r="Y9415" t="s">
        <v>33114</v>
      </c>
    </row>
    <row r="9416" spans="1:25">
      <c r="A9416" t="s">
        <v>33115</v>
      </c>
      <c r="B9416" t="s">
        <v>33116</v>
      </c>
      <c r="D9416" t="s">
        <v>40</v>
      </c>
      <c r="E9416" t="s">
        <v>41</v>
      </c>
      <c r="J9416" t="s">
        <v>248</v>
      </c>
      <c r="K9416" t="s">
        <v>249</v>
      </c>
      <c r="L9416">
        <v>1</v>
      </c>
      <c r="M9416" t="s">
        <v>33117</v>
      </c>
      <c r="N9416" t="s">
        <v>1814</v>
      </c>
      <c r="O9416" t="s">
        <v>46</v>
      </c>
      <c r="P9416" t="s">
        <v>46</v>
      </c>
      <c r="Y9416" t="s">
        <v>33118</v>
      </c>
    </row>
    <row r="9417" spans="1:25">
      <c r="A9417" t="s">
        <v>33119</v>
      </c>
      <c r="B9417" t="s">
        <v>33120</v>
      </c>
      <c r="D9417" t="s">
        <v>40</v>
      </c>
      <c r="E9417" t="s">
        <v>41</v>
      </c>
      <c r="J9417" t="s">
        <v>23071</v>
      </c>
      <c r="K9417" t="s">
        <v>23072</v>
      </c>
      <c r="L9417">
        <v>1</v>
      </c>
      <c r="M9417" t="s">
        <v>33121</v>
      </c>
      <c r="N9417" t="s">
        <v>24245</v>
      </c>
      <c r="O9417" t="s">
        <v>46</v>
      </c>
      <c r="P9417" t="s">
        <v>46</v>
      </c>
      <c r="Y9417" t="s">
        <v>33122</v>
      </c>
    </row>
    <row r="9418" spans="1:25">
      <c r="A9418" t="s">
        <v>33123</v>
      </c>
      <c r="B9418" t="s">
        <v>33124</v>
      </c>
      <c r="D9418" t="s">
        <v>40</v>
      </c>
      <c r="E9418" t="s">
        <v>41</v>
      </c>
      <c r="J9418" t="s">
        <v>248</v>
      </c>
      <c r="K9418" t="s">
        <v>249</v>
      </c>
      <c r="L9418">
        <v>1</v>
      </c>
      <c r="M9418" t="s">
        <v>33125</v>
      </c>
      <c r="N9418" t="s">
        <v>53</v>
      </c>
      <c r="O9418" t="s">
        <v>46</v>
      </c>
      <c r="P9418" t="s">
        <v>46</v>
      </c>
      <c r="Y9418" t="s">
        <v>33126</v>
      </c>
    </row>
    <row r="9419" spans="1:25">
      <c r="A9419" t="s">
        <v>33127</v>
      </c>
      <c r="B9419" t="s">
        <v>33128</v>
      </c>
      <c r="D9419" t="s">
        <v>40</v>
      </c>
      <c r="E9419" t="s">
        <v>41</v>
      </c>
      <c r="J9419" t="s">
        <v>248</v>
      </c>
      <c r="K9419" t="s">
        <v>249</v>
      </c>
      <c r="L9419">
        <v>1</v>
      </c>
      <c r="M9419" t="s">
        <v>33129</v>
      </c>
      <c r="N9419" t="s">
        <v>315</v>
      </c>
      <c r="O9419" t="s">
        <v>46</v>
      </c>
      <c r="P9419" t="s">
        <v>46</v>
      </c>
      <c r="Y9419" t="s">
        <v>33130</v>
      </c>
    </row>
    <row r="9420" spans="1:25">
      <c r="A9420" t="s">
        <v>33131</v>
      </c>
      <c r="B9420" t="s">
        <v>33132</v>
      </c>
      <c r="D9420" t="s">
        <v>40</v>
      </c>
      <c r="E9420" t="s">
        <v>41</v>
      </c>
      <c r="J9420" t="s">
        <v>16458</v>
      </c>
      <c r="K9420" t="s">
        <v>16459</v>
      </c>
      <c r="L9420">
        <v>2</v>
      </c>
      <c r="M9420" t="s">
        <v>33133</v>
      </c>
      <c r="N9420" t="s">
        <v>31581</v>
      </c>
      <c r="O9420" t="s">
        <v>46</v>
      </c>
      <c r="P9420" t="s">
        <v>46</v>
      </c>
      <c r="Y9420" t="s">
        <v>33134</v>
      </c>
    </row>
    <row r="9421" spans="1:25">
      <c r="A9421" t="s">
        <v>33135</v>
      </c>
      <c r="B9421" t="s">
        <v>33136</v>
      </c>
      <c r="D9421" t="s">
        <v>40</v>
      </c>
      <c r="E9421" t="s">
        <v>41</v>
      </c>
      <c r="J9421" t="s">
        <v>1554</v>
      </c>
      <c r="K9421" t="s">
        <v>1555</v>
      </c>
      <c r="L9421">
        <v>2</v>
      </c>
      <c r="M9421" t="s">
        <v>33137</v>
      </c>
      <c r="N9421" t="s">
        <v>45</v>
      </c>
      <c r="O9421" t="s">
        <v>46</v>
      </c>
      <c r="P9421" t="s">
        <v>46</v>
      </c>
      <c r="Y9421" t="s">
        <v>33138</v>
      </c>
    </row>
    <row r="9422" spans="1:25">
      <c r="A9422" t="s">
        <v>33139</v>
      </c>
      <c r="B9422" t="s">
        <v>33140</v>
      </c>
      <c r="D9422" t="s">
        <v>40</v>
      </c>
      <c r="E9422" t="s">
        <v>41</v>
      </c>
      <c r="J9422" t="s">
        <v>921</v>
      </c>
      <c r="K9422" t="s">
        <v>922</v>
      </c>
      <c r="L9422">
        <v>1</v>
      </c>
      <c r="M9422" t="s">
        <v>33141</v>
      </c>
      <c r="N9422" t="s">
        <v>291</v>
      </c>
      <c r="O9422" t="s">
        <v>46</v>
      </c>
      <c r="P9422" t="s">
        <v>46</v>
      </c>
      <c r="Y9422" t="s">
        <v>33142</v>
      </c>
    </row>
    <row r="9423" spans="1:25">
      <c r="A9423" t="s">
        <v>33143</v>
      </c>
      <c r="B9423" t="s">
        <v>33144</v>
      </c>
      <c r="D9423" t="s">
        <v>40</v>
      </c>
      <c r="E9423" t="s">
        <v>41</v>
      </c>
      <c r="J9423" t="s">
        <v>248</v>
      </c>
      <c r="K9423" t="s">
        <v>249</v>
      </c>
      <c r="L9423">
        <v>2</v>
      </c>
      <c r="M9423" t="s">
        <v>33145</v>
      </c>
      <c r="N9423" t="s">
        <v>142</v>
      </c>
      <c r="O9423" t="s">
        <v>46</v>
      </c>
      <c r="P9423" t="s">
        <v>46</v>
      </c>
      <c r="Y9423" t="s">
        <v>33146</v>
      </c>
    </row>
    <row r="9424" spans="1:25">
      <c r="A9424" t="s">
        <v>33147</v>
      </c>
      <c r="B9424" t="s">
        <v>33148</v>
      </c>
      <c r="D9424" t="s">
        <v>40</v>
      </c>
      <c r="E9424" t="s">
        <v>41</v>
      </c>
      <c r="J9424" t="s">
        <v>248</v>
      </c>
      <c r="K9424" t="s">
        <v>249</v>
      </c>
      <c r="L9424">
        <v>2</v>
      </c>
      <c r="M9424" t="s">
        <v>33149</v>
      </c>
      <c r="N9424" t="s">
        <v>31581</v>
      </c>
      <c r="O9424" t="s">
        <v>46</v>
      </c>
      <c r="P9424" t="s">
        <v>46</v>
      </c>
      <c r="Y9424" t="s">
        <v>33150</v>
      </c>
    </row>
    <row r="9425" spans="1:25">
      <c r="A9425" t="s">
        <v>33151</v>
      </c>
      <c r="B9425" t="s">
        <v>33152</v>
      </c>
      <c r="D9425" t="s">
        <v>40</v>
      </c>
      <c r="E9425" t="s">
        <v>41</v>
      </c>
      <c r="J9425" t="s">
        <v>248</v>
      </c>
      <c r="K9425" t="s">
        <v>249</v>
      </c>
      <c r="L9425">
        <v>1</v>
      </c>
      <c r="M9425" t="s">
        <v>33153</v>
      </c>
      <c r="N9425" t="s">
        <v>24245</v>
      </c>
      <c r="O9425" t="s">
        <v>46</v>
      </c>
      <c r="P9425" t="s">
        <v>46</v>
      </c>
      <c r="Y9425" t="s">
        <v>33154</v>
      </c>
    </row>
    <row r="9426" spans="1:25">
      <c r="A9426" t="s">
        <v>33155</v>
      </c>
      <c r="B9426" t="s">
        <v>33156</v>
      </c>
      <c r="D9426" t="s">
        <v>40</v>
      </c>
      <c r="E9426" t="s">
        <v>41</v>
      </c>
      <c r="J9426" t="s">
        <v>248</v>
      </c>
      <c r="K9426" t="s">
        <v>249</v>
      </c>
      <c r="L9426">
        <v>1</v>
      </c>
      <c r="M9426" t="s">
        <v>33157</v>
      </c>
      <c r="N9426" t="s">
        <v>142</v>
      </c>
      <c r="O9426" t="s">
        <v>46</v>
      </c>
      <c r="P9426" t="s">
        <v>46</v>
      </c>
      <c r="Y9426" t="s">
        <v>33158</v>
      </c>
    </row>
    <row r="9427" spans="1:25">
      <c r="A9427" t="s">
        <v>33159</v>
      </c>
      <c r="B9427" t="s">
        <v>33160</v>
      </c>
      <c r="D9427" t="s">
        <v>40</v>
      </c>
      <c r="E9427" t="s">
        <v>41</v>
      </c>
      <c r="J9427" t="s">
        <v>1142</v>
      </c>
      <c r="K9427" t="s">
        <v>1143</v>
      </c>
      <c r="L9427">
        <v>1</v>
      </c>
      <c r="M9427" t="s">
        <v>33161</v>
      </c>
      <c r="N9427" t="s">
        <v>24245</v>
      </c>
      <c r="O9427" t="s">
        <v>46</v>
      </c>
      <c r="P9427" t="s">
        <v>46</v>
      </c>
      <c r="Y9427" t="s">
        <v>33162</v>
      </c>
    </row>
    <row r="9428" spans="1:25">
      <c r="A9428" t="s">
        <v>33163</v>
      </c>
      <c r="B9428" t="s">
        <v>33164</v>
      </c>
      <c r="D9428" t="s">
        <v>40</v>
      </c>
      <c r="E9428" t="s">
        <v>41</v>
      </c>
      <c r="J9428" t="s">
        <v>1554</v>
      </c>
      <c r="K9428" t="s">
        <v>1555</v>
      </c>
      <c r="L9428">
        <v>2</v>
      </c>
      <c r="M9428" t="s">
        <v>33165</v>
      </c>
      <c r="N9428" t="s">
        <v>350</v>
      </c>
      <c r="O9428" t="s">
        <v>46</v>
      </c>
      <c r="P9428" t="s">
        <v>46</v>
      </c>
      <c r="Y9428" t="s">
        <v>33166</v>
      </c>
    </row>
    <row r="9429" spans="1:25">
      <c r="A9429" t="s">
        <v>33167</v>
      </c>
      <c r="B9429" t="s">
        <v>33168</v>
      </c>
      <c r="D9429" t="s">
        <v>40</v>
      </c>
      <c r="E9429" t="s">
        <v>41</v>
      </c>
      <c r="J9429" t="s">
        <v>248</v>
      </c>
      <c r="K9429" t="s">
        <v>249</v>
      </c>
      <c r="L9429">
        <v>1</v>
      </c>
      <c r="M9429" t="s">
        <v>33169</v>
      </c>
      <c r="N9429" t="s">
        <v>45</v>
      </c>
      <c r="O9429" t="s">
        <v>46</v>
      </c>
      <c r="P9429" t="s">
        <v>46</v>
      </c>
      <c r="Y9429" t="s">
        <v>33170</v>
      </c>
    </row>
    <row r="9430" spans="1:25">
      <c r="A9430" t="s">
        <v>33171</v>
      </c>
      <c r="B9430" t="s">
        <v>33172</v>
      </c>
      <c r="D9430" t="s">
        <v>40</v>
      </c>
      <c r="E9430" t="s">
        <v>41</v>
      </c>
      <c r="J9430" t="s">
        <v>139</v>
      </c>
      <c r="K9430" t="s">
        <v>140</v>
      </c>
      <c r="L9430">
        <v>1</v>
      </c>
      <c r="M9430" t="s">
        <v>33173</v>
      </c>
      <c r="N9430" t="s">
        <v>24245</v>
      </c>
      <c r="O9430" t="s">
        <v>46</v>
      </c>
      <c r="P9430" t="s">
        <v>46</v>
      </c>
      <c r="Y9430" t="s">
        <v>33174</v>
      </c>
    </row>
    <row r="9431" spans="1:25">
      <c r="A9431" t="s">
        <v>33175</v>
      </c>
      <c r="B9431" t="s">
        <v>33176</v>
      </c>
      <c r="D9431" t="s">
        <v>40</v>
      </c>
      <c r="E9431" t="s">
        <v>41</v>
      </c>
      <c r="J9431" t="s">
        <v>248</v>
      </c>
      <c r="K9431" t="s">
        <v>249</v>
      </c>
      <c r="L9431">
        <v>1</v>
      </c>
      <c r="M9431" t="s">
        <v>33177</v>
      </c>
      <c r="N9431" t="s">
        <v>142</v>
      </c>
      <c r="O9431" t="s">
        <v>46</v>
      </c>
      <c r="P9431" t="s">
        <v>46</v>
      </c>
      <c r="Y9431" t="s">
        <v>33178</v>
      </c>
    </row>
    <row r="9432" spans="1:25">
      <c r="A9432" t="s">
        <v>33179</v>
      </c>
      <c r="B9432" t="s">
        <v>33180</v>
      </c>
      <c r="D9432" t="s">
        <v>40</v>
      </c>
      <c r="E9432" t="s">
        <v>41</v>
      </c>
      <c r="J9432" t="s">
        <v>248</v>
      </c>
      <c r="K9432" t="s">
        <v>249</v>
      </c>
      <c r="L9432">
        <v>1</v>
      </c>
      <c r="M9432" t="s">
        <v>33181</v>
      </c>
      <c r="N9432" t="s">
        <v>315</v>
      </c>
      <c r="O9432" t="s">
        <v>46</v>
      </c>
      <c r="P9432" t="s">
        <v>46</v>
      </c>
      <c r="Y9432" t="s">
        <v>33182</v>
      </c>
    </row>
    <row r="9433" spans="1:25">
      <c r="A9433" t="s">
        <v>33183</v>
      </c>
      <c r="B9433" t="s">
        <v>33184</v>
      </c>
      <c r="D9433" t="s">
        <v>40</v>
      </c>
      <c r="E9433" t="s">
        <v>41</v>
      </c>
      <c r="J9433" t="s">
        <v>248</v>
      </c>
      <c r="K9433" t="s">
        <v>249</v>
      </c>
      <c r="L9433">
        <v>1</v>
      </c>
      <c r="M9433" t="s">
        <v>33181</v>
      </c>
      <c r="N9433" t="s">
        <v>1550</v>
      </c>
      <c r="O9433" t="s">
        <v>46</v>
      </c>
      <c r="P9433" t="s">
        <v>46</v>
      </c>
      <c r="Y9433" t="s">
        <v>33185</v>
      </c>
    </row>
    <row r="9434" spans="1:25">
      <c r="A9434" t="s">
        <v>33186</v>
      </c>
      <c r="B9434" t="s">
        <v>33187</v>
      </c>
      <c r="D9434" t="s">
        <v>40</v>
      </c>
      <c r="E9434" t="s">
        <v>41</v>
      </c>
      <c r="J9434" t="s">
        <v>2619</v>
      </c>
      <c r="K9434" t="s">
        <v>140</v>
      </c>
      <c r="L9434">
        <v>1</v>
      </c>
      <c r="M9434" t="s">
        <v>33188</v>
      </c>
      <c r="N9434" t="s">
        <v>2621</v>
      </c>
      <c r="O9434" t="s">
        <v>46</v>
      </c>
      <c r="P9434" t="s">
        <v>46</v>
      </c>
      <c r="Y9434" t="s">
        <v>33189</v>
      </c>
    </row>
    <row r="9435" spans="1:25">
      <c r="A9435" t="s">
        <v>33190</v>
      </c>
      <c r="B9435" t="s">
        <v>33191</v>
      </c>
      <c r="D9435" t="s">
        <v>40</v>
      </c>
      <c r="E9435" t="s">
        <v>41</v>
      </c>
      <c r="J9435" t="s">
        <v>248</v>
      </c>
      <c r="K9435" t="s">
        <v>249</v>
      </c>
      <c r="L9435">
        <v>1</v>
      </c>
      <c r="M9435" t="s">
        <v>33192</v>
      </c>
      <c r="N9435" t="s">
        <v>142</v>
      </c>
      <c r="O9435" t="s">
        <v>46</v>
      </c>
      <c r="P9435" t="s">
        <v>46</v>
      </c>
      <c r="Y9435" t="s">
        <v>33193</v>
      </c>
    </row>
    <row r="9436" spans="1:25">
      <c r="A9436" t="s">
        <v>33194</v>
      </c>
      <c r="B9436" t="s">
        <v>33195</v>
      </c>
      <c r="D9436" t="s">
        <v>40</v>
      </c>
      <c r="E9436" t="s">
        <v>41</v>
      </c>
      <c r="J9436" t="s">
        <v>248</v>
      </c>
      <c r="K9436" t="s">
        <v>249</v>
      </c>
      <c r="L9436">
        <v>1</v>
      </c>
      <c r="M9436" t="s">
        <v>33196</v>
      </c>
      <c r="N9436" t="s">
        <v>31581</v>
      </c>
      <c r="O9436" t="s">
        <v>46</v>
      </c>
      <c r="P9436" t="s">
        <v>46</v>
      </c>
      <c r="Y9436" t="s">
        <v>33197</v>
      </c>
    </row>
    <row r="9437" spans="1:25">
      <c r="A9437" t="s">
        <v>33198</v>
      </c>
      <c r="B9437" t="s">
        <v>33199</v>
      </c>
      <c r="D9437" t="s">
        <v>40</v>
      </c>
      <c r="E9437" t="s">
        <v>41</v>
      </c>
      <c r="J9437" t="s">
        <v>2619</v>
      </c>
      <c r="K9437" t="s">
        <v>140</v>
      </c>
      <c r="L9437">
        <v>1</v>
      </c>
      <c r="M9437" t="s">
        <v>33200</v>
      </c>
      <c r="N9437" t="s">
        <v>24245</v>
      </c>
      <c r="O9437" t="s">
        <v>46</v>
      </c>
      <c r="P9437" t="s">
        <v>46</v>
      </c>
      <c r="Y9437" t="s">
        <v>33201</v>
      </c>
    </row>
    <row r="9438" spans="1:25">
      <c r="A9438" t="s">
        <v>33202</v>
      </c>
      <c r="B9438" t="s">
        <v>33203</v>
      </c>
      <c r="D9438" t="s">
        <v>40</v>
      </c>
      <c r="E9438" t="s">
        <v>41</v>
      </c>
      <c r="J9438" t="s">
        <v>248</v>
      </c>
      <c r="K9438" t="s">
        <v>249</v>
      </c>
      <c r="L9438">
        <v>1</v>
      </c>
      <c r="M9438" t="s">
        <v>33204</v>
      </c>
      <c r="N9438" t="s">
        <v>45</v>
      </c>
      <c r="O9438" t="s">
        <v>46</v>
      </c>
      <c r="P9438" t="s">
        <v>46</v>
      </c>
      <c r="Y9438" t="s">
        <v>33205</v>
      </c>
    </row>
    <row r="9439" spans="1:25">
      <c r="A9439" t="s">
        <v>33206</v>
      </c>
      <c r="B9439" t="s">
        <v>33207</v>
      </c>
      <c r="D9439" t="s">
        <v>40</v>
      </c>
      <c r="E9439" t="s">
        <v>41</v>
      </c>
      <c r="J9439" t="s">
        <v>14558</v>
      </c>
      <c r="K9439" t="s">
        <v>14559</v>
      </c>
      <c r="L9439">
        <v>1</v>
      </c>
      <c r="M9439" t="s">
        <v>33208</v>
      </c>
      <c r="N9439" t="s">
        <v>45</v>
      </c>
      <c r="O9439" t="s">
        <v>46</v>
      </c>
      <c r="P9439" t="s">
        <v>46</v>
      </c>
      <c r="Y9439" t="s">
        <v>33209</v>
      </c>
    </row>
    <row r="9440" spans="1:25">
      <c r="A9440" t="s">
        <v>33210</v>
      </c>
      <c r="B9440" t="s">
        <v>33211</v>
      </c>
      <c r="D9440" t="s">
        <v>40</v>
      </c>
      <c r="E9440" t="s">
        <v>41</v>
      </c>
      <c r="J9440" t="s">
        <v>1142</v>
      </c>
      <c r="K9440" t="s">
        <v>1143</v>
      </c>
      <c r="L9440">
        <v>1</v>
      </c>
      <c r="M9440" t="s">
        <v>33212</v>
      </c>
      <c r="N9440" t="s">
        <v>31581</v>
      </c>
      <c r="O9440" t="s">
        <v>46</v>
      </c>
      <c r="P9440" t="s">
        <v>46</v>
      </c>
      <c r="Y9440" t="s">
        <v>33213</v>
      </c>
    </row>
    <row r="9441" spans="1:25">
      <c r="A9441" t="s">
        <v>33214</v>
      </c>
      <c r="B9441" t="s">
        <v>33215</v>
      </c>
      <c r="D9441" t="s">
        <v>40</v>
      </c>
      <c r="E9441" t="s">
        <v>41</v>
      </c>
      <c r="J9441" t="s">
        <v>248</v>
      </c>
      <c r="K9441" t="s">
        <v>249</v>
      </c>
      <c r="L9441">
        <v>1</v>
      </c>
      <c r="M9441" t="s">
        <v>33216</v>
      </c>
      <c r="N9441" t="s">
        <v>315</v>
      </c>
      <c r="O9441" t="s">
        <v>46</v>
      </c>
      <c r="P9441" t="s">
        <v>46</v>
      </c>
      <c r="Y9441" t="s">
        <v>33217</v>
      </c>
    </row>
    <row r="9442" spans="1:25">
      <c r="A9442" t="s">
        <v>33218</v>
      </c>
      <c r="B9442" t="s">
        <v>33219</v>
      </c>
      <c r="D9442" t="s">
        <v>40</v>
      </c>
      <c r="E9442" t="s">
        <v>41</v>
      </c>
      <c r="J9442" t="s">
        <v>248</v>
      </c>
      <c r="K9442" t="s">
        <v>249</v>
      </c>
      <c r="L9442">
        <v>1</v>
      </c>
      <c r="M9442" t="s">
        <v>33220</v>
      </c>
      <c r="N9442" t="s">
        <v>315</v>
      </c>
      <c r="O9442" t="s">
        <v>46</v>
      </c>
      <c r="P9442" t="s">
        <v>46</v>
      </c>
      <c r="Y9442" t="s">
        <v>33221</v>
      </c>
    </row>
    <row r="9443" spans="1:25">
      <c r="A9443" t="s">
        <v>33222</v>
      </c>
      <c r="B9443" t="s">
        <v>33223</v>
      </c>
      <c r="D9443" t="s">
        <v>40</v>
      </c>
      <c r="E9443" t="s">
        <v>41</v>
      </c>
      <c r="J9443" t="s">
        <v>248</v>
      </c>
      <c r="K9443" t="s">
        <v>249</v>
      </c>
      <c r="L9443">
        <v>1</v>
      </c>
      <c r="M9443" t="s">
        <v>33224</v>
      </c>
      <c r="N9443" t="s">
        <v>291</v>
      </c>
      <c r="O9443" t="s">
        <v>46</v>
      </c>
      <c r="P9443" t="s">
        <v>46</v>
      </c>
      <c r="Y9443" t="s">
        <v>33225</v>
      </c>
    </row>
    <row r="9444" spans="1:25">
      <c r="A9444" t="s">
        <v>33226</v>
      </c>
      <c r="B9444" t="s">
        <v>33227</v>
      </c>
      <c r="D9444" t="s">
        <v>40</v>
      </c>
      <c r="E9444" t="s">
        <v>41</v>
      </c>
      <c r="J9444" t="s">
        <v>248</v>
      </c>
      <c r="K9444" t="s">
        <v>249</v>
      </c>
      <c r="L9444">
        <v>1</v>
      </c>
      <c r="M9444" t="s">
        <v>33228</v>
      </c>
      <c r="N9444" t="s">
        <v>257</v>
      </c>
      <c r="O9444" t="s">
        <v>46</v>
      </c>
      <c r="P9444" t="s">
        <v>46</v>
      </c>
      <c r="Y9444" t="s">
        <v>33229</v>
      </c>
    </row>
    <row r="9445" spans="1:25">
      <c r="A9445" t="s">
        <v>33230</v>
      </c>
      <c r="B9445" t="s">
        <v>33231</v>
      </c>
      <c r="D9445" t="s">
        <v>40</v>
      </c>
      <c r="E9445" t="s">
        <v>41</v>
      </c>
      <c r="J9445" t="s">
        <v>11802</v>
      </c>
      <c r="K9445" t="s">
        <v>11803</v>
      </c>
      <c r="L9445">
        <v>1</v>
      </c>
      <c r="M9445" t="s">
        <v>33232</v>
      </c>
      <c r="N9445" t="s">
        <v>257</v>
      </c>
      <c r="O9445" t="s">
        <v>46</v>
      </c>
      <c r="P9445" t="s">
        <v>46</v>
      </c>
      <c r="Y9445" t="s">
        <v>33233</v>
      </c>
    </row>
    <row r="9446" spans="1:25">
      <c r="A9446" t="s">
        <v>33234</v>
      </c>
      <c r="B9446" t="s">
        <v>33235</v>
      </c>
      <c r="D9446" t="s">
        <v>40</v>
      </c>
      <c r="E9446" t="s">
        <v>41</v>
      </c>
      <c r="J9446" t="s">
        <v>139</v>
      </c>
      <c r="K9446" t="s">
        <v>140</v>
      </c>
      <c r="L9446">
        <v>1</v>
      </c>
      <c r="M9446" t="s">
        <v>33236</v>
      </c>
      <c r="N9446" t="s">
        <v>178</v>
      </c>
      <c r="O9446" t="s">
        <v>46</v>
      </c>
      <c r="P9446" t="s">
        <v>46</v>
      </c>
      <c r="Y9446" t="s">
        <v>33237</v>
      </c>
    </row>
    <row r="9447" spans="1:25">
      <c r="A9447" t="s">
        <v>33238</v>
      </c>
      <c r="B9447" t="s">
        <v>33239</v>
      </c>
      <c r="D9447" t="s">
        <v>40</v>
      </c>
      <c r="E9447" t="s">
        <v>41</v>
      </c>
      <c r="J9447" t="s">
        <v>921</v>
      </c>
      <c r="K9447" t="s">
        <v>922</v>
      </c>
      <c r="L9447">
        <v>4</v>
      </c>
      <c r="M9447" t="s">
        <v>33240</v>
      </c>
      <c r="N9447" t="s">
        <v>296</v>
      </c>
      <c r="O9447" t="s">
        <v>46</v>
      </c>
      <c r="P9447" t="s">
        <v>46</v>
      </c>
      <c r="Y9447" t="s">
        <v>33241</v>
      </c>
    </row>
    <row r="9448" spans="1:25">
      <c r="A9448" t="s">
        <v>33242</v>
      </c>
      <c r="B9448" t="s">
        <v>33243</v>
      </c>
      <c r="D9448" t="s">
        <v>40</v>
      </c>
      <c r="E9448" t="s">
        <v>41</v>
      </c>
      <c r="J9448" t="s">
        <v>139</v>
      </c>
      <c r="K9448" t="s">
        <v>140</v>
      </c>
      <c r="L9448">
        <v>1</v>
      </c>
      <c r="M9448" t="s">
        <v>33244</v>
      </c>
      <c r="N9448" t="s">
        <v>509</v>
      </c>
      <c r="O9448" t="s">
        <v>46</v>
      </c>
      <c r="P9448" t="s">
        <v>46</v>
      </c>
      <c r="Y9448" t="s">
        <v>33245</v>
      </c>
    </row>
    <row r="9449" spans="1:25">
      <c r="A9449" t="s">
        <v>33246</v>
      </c>
      <c r="B9449" t="s">
        <v>33247</v>
      </c>
      <c r="D9449" t="s">
        <v>40</v>
      </c>
      <c r="E9449" t="s">
        <v>41</v>
      </c>
      <c r="J9449" t="s">
        <v>139</v>
      </c>
      <c r="K9449" t="s">
        <v>140</v>
      </c>
      <c r="L9449">
        <v>1</v>
      </c>
      <c r="M9449" t="s">
        <v>33248</v>
      </c>
      <c r="N9449" t="s">
        <v>3013</v>
      </c>
      <c r="O9449" t="s">
        <v>46</v>
      </c>
      <c r="P9449" t="s">
        <v>46</v>
      </c>
      <c r="Y9449" t="s">
        <v>33249</v>
      </c>
    </row>
    <row r="9450" spans="1:25">
      <c r="A9450" t="s">
        <v>33250</v>
      </c>
      <c r="B9450" t="s">
        <v>33251</v>
      </c>
      <c r="D9450" t="s">
        <v>40</v>
      </c>
      <c r="E9450" t="s">
        <v>41</v>
      </c>
      <c r="J9450" t="s">
        <v>12440</v>
      </c>
      <c r="K9450" t="s">
        <v>12441</v>
      </c>
      <c r="L9450">
        <v>2</v>
      </c>
      <c r="M9450" t="s">
        <v>33252</v>
      </c>
      <c r="N9450" t="s">
        <v>64</v>
      </c>
      <c r="O9450" t="s">
        <v>46</v>
      </c>
      <c r="P9450" t="s">
        <v>46</v>
      </c>
      <c r="Y9450" t="s">
        <v>33253</v>
      </c>
    </row>
    <row r="9451" spans="1:25">
      <c r="A9451" t="s">
        <v>33254</v>
      </c>
      <c r="B9451" t="s">
        <v>33255</v>
      </c>
      <c r="D9451" t="s">
        <v>40</v>
      </c>
      <c r="E9451" t="s">
        <v>41</v>
      </c>
      <c r="J9451" t="s">
        <v>139</v>
      </c>
      <c r="K9451" t="s">
        <v>140</v>
      </c>
      <c r="L9451">
        <v>1</v>
      </c>
      <c r="M9451" t="s">
        <v>33256</v>
      </c>
      <c r="N9451" t="s">
        <v>436</v>
      </c>
      <c r="O9451" t="s">
        <v>46</v>
      </c>
      <c r="P9451" t="s">
        <v>46</v>
      </c>
      <c r="Y9451" t="s">
        <v>33257</v>
      </c>
    </row>
    <row r="9452" spans="1:25">
      <c r="A9452" t="s">
        <v>33258</v>
      </c>
      <c r="B9452" t="s">
        <v>33259</v>
      </c>
      <c r="D9452" t="s">
        <v>40</v>
      </c>
      <c r="E9452" t="s">
        <v>41</v>
      </c>
      <c r="J9452" t="s">
        <v>248</v>
      </c>
      <c r="K9452" t="s">
        <v>249</v>
      </c>
      <c r="L9452">
        <v>1</v>
      </c>
      <c r="M9452" t="s">
        <v>33260</v>
      </c>
      <c r="N9452" t="s">
        <v>1229</v>
      </c>
      <c r="O9452" t="s">
        <v>46</v>
      </c>
      <c r="P9452" t="s">
        <v>46</v>
      </c>
      <c r="Y9452" t="s">
        <v>33261</v>
      </c>
    </row>
    <row r="9453" spans="1:25">
      <c r="A9453" t="s">
        <v>33262</v>
      </c>
      <c r="B9453" t="s">
        <v>33263</v>
      </c>
      <c r="D9453" t="s">
        <v>40</v>
      </c>
      <c r="E9453" t="s">
        <v>41</v>
      </c>
      <c r="J9453" t="s">
        <v>11802</v>
      </c>
      <c r="K9453" t="s">
        <v>11803</v>
      </c>
      <c r="L9453">
        <v>1</v>
      </c>
      <c r="M9453" t="s">
        <v>33264</v>
      </c>
      <c r="N9453" t="s">
        <v>950</v>
      </c>
      <c r="O9453" t="s">
        <v>46</v>
      </c>
      <c r="P9453" t="s">
        <v>46</v>
      </c>
      <c r="Y9453" t="s">
        <v>33265</v>
      </c>
    </row>
    <row r="9454" spans="1:25">
      <c r="A9454" t="s">
        <v>33266</v>
      </c>
      <c r="B9454" t="s">
        <v>33267</v>
      </c>
      <c r="D9454" t="s">
        <v>40</v>
      </c>
      <c r="E9454" t="s">
        <v>41</v>
      </c>
      <c r="J9454" t="s">
        <v>1554</v>
      </c>
      <c r="K9454" t="s">
        <v>1555</v>
      </c>
      <c r="L9454">
        <v>1</v>
      </c>
      <c r="M9454" t="s">
        <v>33268</v>
      </c>
      <c r="N9454" t="s">
        <v>257</v>
      </c>
      <c r="O9454" t="s">
        <v>46</v>
      </c>
      <c r="P9454" t="s">
        <v>46</v>
      </c>
      <c r="Y9454" t="s">
        <v>33269</v>
      </c>
    </row>
    <row r="9455" spans="1:25">
      <c r="A9455" t="s">
        <v>33270</v>
      </c>
      <c r="B9455" t="s">
        <v>33271</v>
      </c>
      <c r="D9455" t="s">
        <v>40</v>
      </c>
      <c r="E9455" t="s">
        <v>41</v>
      </c>
      <c r="J9455" t="s">
        <v>248</v>
      </c>
      <c r="K9455" t="s">
        <v>249</v>
      </c>
      <c r="L9455">
        <v>1</v>
      </c>
      <c r="M9455" t="s">
        <v>33272</v>
      </c>
      <c r="N9455" t="s">
        <v>1369</v>
      </c>
      <c r="O9455" t="s">
        <v>46</v>
      </c>
      <c r="P9455" t="s">
        <v>46</v>
      </c>
      <c r="Y9455" t="s">
        <v>33273</v>
      </c>
    </row>
    <row r="9456" spans="1:25">
      <c r="A9456" t="s">
        <v>33274</v>
      </c>
      <c r="B9456" t="s">
        <v>33275</v>
      </c>
      <c r="D9456" t="s">
        <v>40</v>
      </c>
      <c r="E9456" t="s">
        <v>41</v>
      </c>
      <c r="J9456" t="s">
        <v>1554</v>
      </c>
      <c r="K9456" t="s">
        <v>1555</v>
      </c>
      <c r="L9456">
        <v>1</v>
      </c>
      <c r="M9456" t="s">
        <v>33276</v>
      </c>
      <c r="N9456" t="s">
        <v>1397</v>
      </c>
      <c r="O9456" t="s">
        <v>46</v>
      </c>
      <c r="P9456" t="s">
        <v>46</v>
      </c>
      <c r="Y9456" t="s">
        <v>33277</v>
      </c>
    </row>
    <row r="9457" spans="1:25">
      <c r="A9457" t="s">
        <v>33278</v>
      </c>
      <c r="B9457" t="s">
        <v>33279</v>
      </c>
      <c r="D9457" t="s">
        <v>40</v>
      </c>
      <c r="E9457" t="s">
        <v>41</v>
      </c>
      <c r="J9457" t="s">
        <v>1142</v>
      </c>
      <c r="K9457" t="s">
        <v>1143</v>
      </c>
      <c r="L9457">
        <v>1</v>
      </c>
      <c r="M9457" t="s">
        <v>33276</v>
      </c>
      <c r="N9457" t="s">
        <v>1392</v>
      </c>
      <c r="O9457" t="s">
        <v>46</v>
      </c>
      <c r="P9457" t="s">
        <v>46</v>
      </c>
      <c r="Y9457" t="s">
        <v>33280</v>
      </c>
    </row>
    <row r="9458" spans="1:25">
      <c r="A9458" t="s">
        <v>33281</v>
      </c>
      <c r="B9458" t="s">
        <v>33282</v>
      </c>
      <c r="D9458" t="s">
        <v>40</v>
      </c>
      <c r="E9458" t="s">
        <v>41</v>
      </c>
      <c r="J9458" t="s">
        <v>1142</v>
      </c>
      <c r="K9458" t="s">
        <v>1143</v>
      </c>
      <c r="L9458">
        <v>1</v>
      </c>
      <c r="M9458" t="s">
        <v>33283</v>
      </c>
      <c r="N9458" t="s">
        <v>178</v>
      </c>
      <c r="O9458" t="s">
        <v>46</v>
      </c>
      <c r="P9458" t="s">
        <v>46</v>
      </c>
      <c r="Y9458" t="s">
        <v>33284</v>
      </c>
    </row>
    <row r="9459" spans="1:25">
      <c r="A9459" t="s">
        <v>33285</v>
      </c>
      <c r="B9459" t="s">
        <v>33286</v>
      </c>
      <c r="D9459" t="s">
        <v>40</v>
      </c>
      <c r="E9459" t="s">
        <v>41</v>
      </c>
      <c r="J9459" t="s">
        <v>248</v>
      </c>
      <c r="K9459" t="s">
        <v>249</v>
      </c>
      <c r="L9459">
        <v>1</v>
      </c>
      <c r="M9459" t="s">
        <v>33287</v>
      </c>
      <c r="N9459" t="s">
        <v>24227</v>
      </c>
      <c r="O9459" t="s">
        <v>46</v>
      </c>
      <c r="P9459" t="s">
        <v>46</v>
      </c>
      <c r="Y9459" t="s">
        <v>33288</v>
      </c>
    </row>
    <row r="9460" spans="1:25">
      <c r="A9460" t="s">
        <v>33289</v>
      </c>
      <c r="B9460" t="s">
        <v>33290</v>
      </c>
      <c r="D9460" t="s">
        <v>40</v>
      </c>
      <c r="E9460" t="s">
        <v>41</v>
      </c>
      <c r="J9460" t="s">
        <v>248</v>
      </c>
      <c r="K9460" t="s">
        <v>249</v>
      </c>
      <c r="L9460">
        <v>1</v>
      </c>
      <c r="M9460" t="s">
        <v>33291</v>
      </c>
      <c r="N9460" t="s">
        <v>24387</v>
      </c>
      <c r="O9460" t="s">
        <v>46</v>
      </c>
      <c r="P9460" t="s">
        <v>46</v>
      </c>
      <c r="Y9460" t="s">
        <v>33292</v>
      </c>
    </row>
    <row r="9461" spans="1:25">
      <c r="A9461" t="s">
        <v>33293</v>
      </c>
      <c r="B9461" t="s">
        <v>33294</v>
      </c>
      <c r="D9461" t="s">
        <v>40</v>
      </c>
      <c r="E9461" t="s">
        <v>41</v>
      </c>
      <c r="J9461" t="s">
        <v>11802</v>
      </c>
      <c r="K9461" t="s">
        <v>11803</v>
      </c>
      <c r="L9461">
        <v>1</v>
      </c>
      <c r="M9461" t="s">
        <v>33295</v>
      </c>
      <c r="N9461" t="s">
        <v>178</v>
      </c>
      <c r="O9461" t="s">
        <v>46</v>
      </c>
      <c r="P9461" t="s">
        <v>46</v>
      </c>
      <c r="Y9461" t="s">
        <v>33296</v>
      </c>
    </row>
    <row r="9462" spans="1:25">
      <c r="A9462" t="s">
        <v>33297</v>
      </c>
      <c r="B9462" t="s">
        <v>33298</v>
      </c>
      <c r="D9462" t="s">
        <v>40</v>
      </c>
      <c r="E9462" t="s">
        <v>41</v>
      </c>
      <c r="J9462" t="s">
        <v>248</v>
      </c>
      <c r="K9462" t="s">
        <v>249</v>
      </c>
      <c r="L9462">
        <v>1</v>
      </c>
      <c r="M9462" t="s">
        <v>33299</v>
      </c>
      <c r="N9462" t="s">
        <v>257</v>
      </c>
      <c r="O9462" t="s">
        <v>46</v>
      </c>
      <c r="P9462" t="s">
        <v>46</v>
      </c>
      <c r="Y9462" t="s">
        <v>33300</v>
      </c>
    </row>
    <row r="9463" spans="1:25">
      <c r="A9463" t="s">
        <v>33301</v>
      </c>
      <c r="B9463" t="s">
        <v>33302</v>
      </c>
      <c r="D9463" t="s">
        <v>40</v>
      </c>
      <c r="E9463" t="s">
        <v>41</v>
      </c>
      <c r="J9463" t="s">
        <v>248</v>
      </c>
      <c r="K9463" t="s">
        <v>249</v>
      </c>
      <c r="L9463">
        <v>1</v>
      </c>
      <c r="M9463" t="s">
        <v>33303</v>
      </c>
      <c r="N9463" t="s">
        <v>1369</v>
      </c>
      <c r="O9463" t="s">
        <v>46</v>
      </c>
      <c r="P9463" t="s">
        <v>46</v>
      </c>
      <c r="Y9463" t="s">
        <v>33304</v>
      </c>
    </row>
    <row r="9464" spans="1:25">
      <c r="A9464" t="s">
        <v>33305</v>
      </c>
      <c r="B9464" t="s">
        <v>33306</v>
      </c>
      <c r="D9464" t="s">
        <v>40</v>
      </c>
      <c r="E9464" t="s">
        <v>41</v>
      </c>
      <c r="J9464" t="s">
        <v>9159</v>
      </c>
      <c r="K9464" t="s">
        <v>9160</v>
      </c>
      <c r="L9464">
        <v>1</v>
      </c>
      <c r="M9464" t="s">
        <v>33307</v>
      </c>
      <c r="N9464" t="s">
        <v>1369</v>
      </c>
      <c r="O9464" t="s">
        <v>46</v>
      </c>
      <c r="P9464" t="s">
        <v>46</v>
      </c>
      <c r="Y9464" t="s">
        <v>33308</v>
      </c>
    </row>
    <row r="9465" spans="1:25">
      <c r="A9465" t="s">
        <v>33309</v>
      </c>
      <c r="B9465" t="s">
        <v>33310</v>
      </c>
      <c r="D9465" t="s">
        <v>40</v>
      </c>
      <c r="E9465" t="s">
        <v>41</v>
      </c>
      <c r="J9465" t="s">
        <v>248</v>
      </c>
      <c r="K9465" t="s">
        <v>249</v>
      </c>
      <c r="L9465">
        <v>1</v>
      </c>
      <c r="M9465" t="s">
        <v>33311</v>
      </c>
      <c r="N9465" t="s">
        <v>1446</v>
      </c>
      <c r="O9465" t="s">
        <v>46</v>
      </c>
      <c r="P9465" t="s">
        <v>46</v>
      </c>
      <c r="Y9465" t="s">
        <v>33312</v>
      </c>
    </row>
    <row r="9466" spans="1:25">
      <c r="A9466" t="s">
        <v>33313</v>
      </c>
      <c r="B9466" t="s">
        <v>33314</v>
      </c>
      <c r="D9466" t="s">
        <v>40</v>
      </c>
      <c r="E9466" t="s">
        <v>41</v>
      </c>
      <c r="J9466" t="s">
        <v>248</v>
      </c>
      <c r="K9466" t="s">
        <v>249</v>
      </c>
      <c r="L9466">
        <v>1</v>
      </c>
      <c r="M9466" t="s">
        <v>33315</v>
      </c>
      <c r="N9466" t="s">
        <v>178</v>
      </c>
      <c r="O9466" t="s">
        <v>46</v>
      </c>
      <c r="P9466" t="s">
        <v>46</v>
      </c>
      <c r="Y9466" t="s">
        <v>33316</v>
      </c>
    </row>
    <row r="9467" spans="1:25">
      <c r="A9467" t="s">
        <v>33317</v>
      </c>
      <c r="B9467" t="s">
        <v>33318</v>
      </c>
      <c r="D9467" t="s">
        <v>40</v>
      </c>
      <c r="E9467" t="s">
        <v>41</v>
      </c>
      <c r="J9467" t="s">
        <v>139</v>
      </c>
      <c r="K9467" t="s">
        <v>140</v>
      </c>
      <c r="L9467">
        <v>1</v>
      </c>
      <c r="M9467" t="s">
        <v>33319</v>
      </c>
      <c r="N9467" t="s">
        <v>924</v>
      </c>
      <c r="O9467" t="s">
        <v>46</v>
      </c>
      <c r="P9467" t="s">
        <v>46</v>
      </c>
      <c r="Y9467" t="s">
        <v>33320</v>
      </c>
    </row>
    <row r="9468" spans="1:25">
      <c r="A9468" t="s">
        <v>33321</v>
      </c>
      <c r="B9468" t="s">
        <v>33322</v>
      </c>
      <c r="D9468" t="s">
        <v>40</v>
      </c>
      <c r="E9468" t="s">
        <v>41</v>
      </c>
      <c r="J9468" t="s">
        <v>1142</v>
      </c>
      <c r="K9468" t="s">
        <v>1143</v>
      </c>
      <c r="L9468">
        <v>1</v>
      </c>
      <c r="M9468" t="s">
        <v>33323</v>
      </c>
      <c r="N9468" t="s">
        <v>1397</v>
      </c>
      <c r="O9468" t="s">
        <v>46</v>
      </c>
      <c r="P9468" t="s">
        <v>46</v>
      </c>
      <c r="Y9468" t="s">
        <v>33324</v>
      </c>
    </row>
    <row r="9469" spans="1:25">
      <c r="A9469" t="s">
        <v>33325</v>
      </c>
      <c r="B9469" t="s">
        <v>33326</v>
      </c>
      <c r="D9469" t="s">
        <v>40</v>
      </c>
      <c r="E9469" t="s">
        <v>41</v>
      </c>
      <c r="J9469" t="s">
        <v>248</v>
      </c>
      <c r="K9469" t="s">
        <v>249</v>
      </c>
      <c r="L9469">
        <v>1</v>
      </c>
      <c r="M9469" t="s">
        <v>33327</v>
      </c>
      <c r="N9469" t="s">
        <v>756</v>
      </c>
      <c r="O9469" t="s">
        <v>46</v>
      </c>
      <c r="P9469" t="s">
        <v>46</v>
      </c>
      <c r="Y9469" t="s">
        <v>33328</v>
      </c>
    </row>
    <row r="9470" spans="1:25">
      <c r="A9470" t="s">
        <v>33329</v>
      </c>
      <c r="B9470" t="s">
        <v>33330</v>
      </c>
      <c r="D9470" t="s">
        <v>40</v>
      </c>
      <c r="E9470" t="s">
        <v>41</v>
      </c>
      <c r="J9470" t="s">
        <v>9159</v>
      </c>
      <c r="K9470" t="s">
        <v>9160</v>
      </c>
      <c r="L9470">
        <v>1</v>
      </c>
      <c r="M9470" t="s">
        <v>33331</v>
      </c>
      <c r="N9470" t="s">
        <v>1369</v>
      </c>
      <c r="O9470" t="s">
        <v>46</v>
      </c>
      <c r="P9470" t="s">
        <v>46</v>
      </c>
      <c r="Y9470" t="s">
        <v>33332</v>
      </c>
    </row>
    <row r="9471" spans="1:25">
      <c r="A9471" t="s">
        <v>33333</v>
      </c>
      <c r="B9471" t="s">
        <v>33334</v>
      </c>
      <c r="D9471" t="s">
        <v>40</v>
      </c>
      <c r="E9471" t="s">
        <v>41</v>
      </c>
      <c r="J9471" t="s">
        <v>139</v>
      </c>
      <c r="K9471" t="s">
        <v>140</v>
      </c>
      <c r="L9471">
        <v>1</v>
      </c>
      <c r="M9471" t="s">
        <v>33335</v>
      </c>
      <c r="N9471" t="s">
        <v>436</v>
      </c>
      <c r="O9471" t="s">
        <v>46</v>
      </c>
      <c r="P9471" t="s">
        <v>46</v>
      </c>
      <c r="Y9471" t="s">
        <v>33336</v>
      </c>
    </row>
    <row r="9472" spans="1:25">
      <c r="A9472" t="s">
        <v>33337</v>
      </c>
      <c r="B9472" t="s">
        <v>33338</v>
      </c>
      <c r="D9472" t="s">
        <v>40</v>
      </c>
      <c r="E9472" t="s">
        <v>41</v>
      </c>
      <c r="J9472" t="s">
        <v>599</v>
      </c>
      <c r="K9472" t="s">
        <v>600</v>
      </c>
      <c r="L9472">
        <v>1</v>
      </c>
      <c r="M9472" t="s">
        <v>33339</v>
      </c>
      <c r="N9472" t="s">
        <v>24227</v>
      </c>
      <c r="O9472" t="s">
        <v>46</v>
      </c>
      <c r="P9472" t="s">
        <v>46</v>
      </c>
      <c r="Y9472" t="s">
        <v>33340</v>
      </c>
    </row>
    <row r="9473" spans="1:25">
      <c r="A9473" t="s">
        <v>33341</v>
      </c>
      <c r="B9473" t="s">
        <v>33342</v>
      </c>
      <c r="D9473" t="s">
        <v>40</v>
      </c>
      <c r="E9473" t="s">
        <v>41</v>
      </c>
      <c r="J9473" t="s">
        <v>12440</v>
      </c>
      <c r="K9473" t="s">
        <v>12441</v>
      </c>
      <c r="L9473">
        <v>2</v>
      </c>
      <c r="M9473" t="s">
        <v>33339</v>
      </c>
      <c r="N9473" t="s">
        <v>924</v>
      </c>
      <c r="O9473" t="s">
        <v>46</v>
      </c>
      <c r="P9473" t="s">
        <v>46</v>
      </c>
      <c r="Y9473" t="s">
        <v>33343</v>
      </c>
    </row>
    <row r="9474" spans="1:25">
      <c r="A9474" t="s">
        <v>33344</v>
      </c>
      <c r="B9474" t="s">
        <v>33345</v>
      </c>
      <c r="D9474" t="s">
        <v>40</v>
      </c>
      <c r="E9474" t="s">
        <v>41</v>
      </c>
      <c r="J9474" t="s">
        <v>12440</v>
      </c>
      <c r="K9474" t="s">
        <v>12441</v>
      </c>
      <c r="L9474">
        <v>2</v>
      </c>
      <c r="M9474" t="s">
        <v>33346</v>
      </c>
      <c r="N9474" t="s">
        <v>64</v>
      </c>
      <c r="O9474" t="s">
        <v>46</v>
      </c>
      <c r="P9474" t="s">
        <v>46</v>
      </c>
      <c r="Y9474" t="s">
        <v>33347</v>
      </c>
    </row>
    <row r="9475" spans="1:25">
      <c r="A9475" t="s">
        <v>33348</v>
      </c>
      <c r="B9475" t="s">
        <v>33349</v>
      </c>
      <c r="D9475" t="s">
        <v>40</v>
      </c>
      <c r="E9475" t="s">
        <v>41</v>
      </c>
      <c r="J9475" t="s">
        <v>248</v>
      </c>
      <c r="K9475" t="s">
        <v>249</v>
      </c>
      <c r="L9475">
        <v>1</v>
      </c>
      <c r="M9475" t="s">
        <v>33350</v>
      </c>
      <c r="N9475" t="s">
        <v>178</v>
      </c>
      <c r="O9475" t="s">
        <v>46</v>
      </c>
      <c r="P9475" t="s">
        <v>46</v>
      </c>
      <c r="Y9475" t="s">
        <v>33351</v>
      </c>
    </row>
    <row r="9476" spans="1:25">
      <c r="A9476" t="s">
        <v>33352</v>
      </c>
      <c r="B9476" t="s">
        <v>33353</v>
      </c>
      <c r="D9476" t="s">
        <v>40</v>
      </c>
      <c r="E9476" t="s">
        <v>41</v>
      </c>
      <c r="J9476" t="s">
        <v>248</v>
      </c>
      <c r="K9476" t="s">
        <v>249</v>
      </c>
      <c r="L9476">
        <v>1</v>
      </c>
      <c r="M9476" t="s">
        <v>33354</v>
      </c>
      <c r="N9476" t="s">
        <v>1369</v>
      </c>
      <c r="O9476" t="s">
        <v>46</v>
      </c>
      <c r="P9476" t="s">
        <v>46</v>
      </c>
      <c r="Y9476" t="s">
        <v>33355</v>
      </c>
    </row>
    <row r="9477" spans="1:25">
      <c r="A9477" t="s">
        <v>33356</v>
      </c>
      <c r="B9477" t="s">
        <v>33357</v>
      </c>
      <c r="D9477" t="s">
        <v>40</v>
      </c>
      <c r="E9477" t="s">
        <v>41</v>
      </c>
      <c r="J9477" t="s">
        <v>11802</v>
      </c>
      <c r="K9477" t="s">
        <v>11803</v>
      </c>
      <c r="L9477">
        <v>1</v>
      </c>
      <c r="M9477" t="s">
        <v>33358</v>
      </c>
      <c r="N9477" t="s">
        <v>3013</v>
      </c>
      <c r="O9477" t="s">
        <v>46</v>
      </c>
      <c r="P9477" t="s">
        <v>46</v>
      </c>
      <c r="Y9477" t="s">
        <v>33359</v>
      </c>
    </row>
    <row r="9478" spans="1:25">
      <c r="A9478" t="s">
        <v>33360</v>
      </c>
      <c r="B9478" t="s">
        <v>33361</v>
      </c>
      <c r="D9478" t="s">
        <v>40</v>
      </c>
      <c r="E9478" t="s">
        <v>41</v>
      </c>
      <c r="J9478" t="s">
        <v>248</v>
      </c>
      <c r="K9478" t="s">
        <v>249</v>
      </c>
      <c r="L9478">
        <v>1</v>
      </c>
      <c r="M9478" t="s">
        <v>33362</v>
      </c>
      <c r="N9478" t="s">
        <v>1369</v>
      </c>
      <c r="O9478" t="s">
        <v>46</v>
      </c>
      <c r="P9478" t="s">
        <v>46</v>
      </c>
      <c r="Y9478" t="s">
        <v>33363</v>
      </c>
    </row>
    <row r="9479" spans="1:25">
      <c r="A9479" t="s">
        <v>33364</v>
      </c>
      <c r="B9479" t="s">
        <v>33365</v>
      </c>
      <c r="D9479" t="s">
        <v>40</v>
      </c>
      <c r="E9479" t="s">
        <v>41</v>
      </c>
      <c r="J9479" t="s">
        <v>1142</v>
      </c>
      <c r="K9479" t="s">
        <v>1143</v>
      </c>
      <c r="L9479">
        <v>1</v>
      </c>
      <c r="M9479" t="s">
        <v>33362</v>
      </c>
      <c r="N9479" t="s">
        <v>924</v>
      </c>
      <c r="O9479" t="s">
        <v>46</v>
      </c>
      <c r="P9479" t="s">
        <v>46</v>
      </c>
      <c r="Y9479" t="s">
        <v>33366</v>
      </c>
    </row>
    <row r="9480" spans="1:25">
      <c r="A9480" t="s">
        <v>33367</v>
      </c>
      <c r="B9480" t="s">
        <v>33368</v>
      </c>
      <c r="D9480" t="s">
        <v>40</v>
      </c>
      <c r="E9480" t="s">
        <v>41</v>
      </c>
      <c r="J9480" t="s">
        <v>248</v>
      </c>
      <c r="K9480" t="s">
        <v>249</v>
      </c>
      <c r="L9480">
        <v>1</v>
      </c>
      <c r="M9480" t="s">
        <v>33369</v>
      </c>
      <c r="N9480" t="s">
        <v>1397</v>
      </c>
      <c r="O9480" t="s">
        <v>46</v>
      </c>
      <c r="P9480" t="s">
        <v>46</v>
      </c>
      <c r="Y9480" t="s">
        <v>33370</v>
      </c>
    </row>
    <row r="9481" spans="1:25">
      <c r="A9481" t="s">
        <v>33371</v>
      </c>
      <c r="B9481" t="s">
        <v>33372</v>
      </c>
      <c r="D9481" t="s">
        <v>40</v>
      </c>
      <c r="E9481" t="s">
        <v>41</v>
      </c>
      <c r="J9481" t="s">
        <v>248</v>
      </c>
      <c r="K9481" t="s">
        <v>249</v>
      </c>
      <c r="L9481">
        <v>1</v>
      </c>
      <c r="M9481" t="s">
        <v>33373</v>
      </c>
      <c r="N9481" t="s">
        <v>24227</v>
      </c>
      <c r="O9481" t="s">
        <v>46</v>
      </c>
      <c r="P9481" t="s">
        <v>46</v>
      </c>
      <c r="Y9481" t="s">
        <v>33374</v>
      </c>
    </row>
    <row r="9482" spans="1:25">
      <c r="A9482" t="s">
        <v>33375</v>
      </c>
      <c r="B9482" t="s">
        <v>33376</v>
      </c>
      <c r="D9482" t="s">
        <v>40</v>
      </c>
      <c r="E9482" t="s">
        <v>41</v>
      </c>
      <c r="J9482" t="s">
        <v>248</v>
      </c>
      <c r="K9482" t="s">
        <v>249</v>
      </c>
      <c r="L9482">
        <v>1</v>
      </c>
      <c r="M9482" t="s">
        <v>33373</v>
      </c>
      <c r="N9482" t="s">
        <v>509</v>
      </c>
      <c r="O9482" t="s">
        <v>46</v>
      </c>
      <c r="P9482" t="s">
        <v>46</v>
      </c>
      <c r="Y9482" t="s">
        <v>33377</v>
      </c>
    </row>
    <row r="9483" spans="1:25">
      <c r="A9483" t="s">
        <v>33378</v>
      </c>
      <c r="B9483" t="s">
        <v>33379</v>
      </c>
      <c r="D9483" t="s">
        <v>40</v>
      </c>
      <c r="E9483" t="s">
        <v>41</v>
      </c>
      <c r="J9483" t="s">
        <v>1142</v>
      </c>
      <c r="K9483" t="s">
        <v>1143</v>
      </c>
      <c r="L9483">
        <v>1</v>
      </c>
      <c r="M9483" t="s">
        <v>33380</v>
      </c>
      <c r="N9483" t="s">
        <v>3013</v>
      </c>
      <c r="O9483" t="s">
        <v>46</v>
      </c>
      <c r="P9483" t="s">
        <v>46</v>
      </c>
      <c r="Y9483" t="s">
        <v>33381</v>
      </c>
    </row>
    <row r="9484" spans="1:25">
      <c r="A9484" t="s">
        <v>33382</v>
      </c>
      <c r="B9484" t="s">
        <v>33383</v>
      </c>
      <c r="D9484" t="s">
        <v>40</v>
      </c>
      <c r="E9484" t="s">
        <v>41</v>
      </c>
      <c r="J9484" t="s">
        <v>911</v>
      </c>
      <c r="K9484" t="s">
        <v>912</v>
      </c>
      <c r="L9484">
        <v>1</v>
      </c>
      <c r="M9484" t="s">
        <v>33384</v>
      </c>
      <c r="N9484" t="s">
        <v>2346</v>
      </c>
      <c r="O9484" t="s">
        <v>46</v>
      </c>
      <c r="P9484" t="s">
        <v>46</v>
      </c>
      <c r="Y9484" t="s">
        <v>33385</v>
      </c>
    </row>
    <row r="9485" spans="1:25">
      <c r="A9485" t="s">
        <v>33386</v>
      </c>
      <c r="B9485" t="s">
        <v>33387</v>
      </c>
      <c r="D9485" t="s">
        <v>40</v>
      </c>
      <c r="E9485" t="s">
        <v>41</v>
      </c>
      <c r="J9485" t="s">
        <v>1142</v>
      </c>
      <c r="K9485" t="s">
        <v>1143</v>
      </c>
      <c r="L9485">
        <v>1</v>
      </c>
      <c r="M9485" t="s">
        <v>33388</v>
      </c>
      <c r="N9485" t="s">
        <v>58</v>
      </c>
      <c r="O9485" t="s">
        <v>46</v>
      </c>
      <c r="P9485" t="s">
        <v>46</v>
      </c>
      <c r="Y9485" t="s">
        <v>33389</v>
      </c>
    </row>
    <row r="9486" spans="1:25">
      <c r="A9486" t="s">
        <v>33390</v>
      </c>
      <c r="B9486" t="s">
        <v>33391</v>
      </c>
      <c r="D9486" t="s">
        <v>40</v>
      </c>
      <c r="E9486" t="s">
        <v>41</v>
      </c>
      <c r="J9486" t="s">
        <v>248</v>
      </c>
      <c r="K9486" t="s">
        <v>249</v>
      </c>
      <c r="L9486">
        <v>1</v>
      </c>
      <c r="M9486" t="s">
        <v>33392</v>
      </c>
      <c r="N9486" t="s">
        <v>142</v>
      </c>
      <c r="O9486" t="s">
        <v>46</v>
      </c>
      <c r="P9486" t="s">
        <v>46</v>
      </c>
      <c r="Y9486" t="s">
        <v>33393</v>
      </c>
    </row>
    <row r="9487" spans="1:25">
      <c r="A9487" t="s">
        <v>33394</v>
      </c>
      <c r="B9487" t="s">
        <v>33395</v>
      </c>
      <c r="D9487" t="s">
        <v>40</v>
      </c>
      <c r="E9487" t="s">
        <v>41</v>
      </c>
      <c r="J9487" t="s">
        <v>6255</v>
      </c>
      <c r="K9487" t="s">
        <v>6256</v>
      </c>
      <c r="L9487">
        <v>1</v>
      </c>
      <c r="M9487" t="s">
        <v>33396</v>
      </c>
      <c r="N9487" t="s">
        <v>266</v>
      </c>
      <c r="O9487" t="s">
        <v>46</v>
      </c>
      <c r="P9487" t="s">
        <v>46</v>
      </c>
      <c r="Y9487" t="s">
        <v>33397</v>
      </c>
    </row>
    <row r="9488" spans="1:25">
      <c r="A9488" t="s">
        <v>33398</v>
      </c>
      <c r="B9488" t="s">
        <v>33399</v>
      </c>
      <c r="D9488" t="s">
        <v>40</v>
      </c>
      <c r="E9488" t="s">
        <v>41</v>
      </c>
      <c r="J9488" t="s">
        <v>248</v>
      </c>
      <c r="K9488" t="s">
        <v>249</v>
      </c>
      <c r="L9488">
        <v>1</v>
      </c>
      <c r="M9488" t="s">
        <v>33400</v>
      </c>
      <c r="N9488" t="s">
        <v>1446</v>
      </c>
      <c r="O9488" t="s">
        <v>46</v>
      </c>
      <c r="P9488" t="s">
        <v>46</v>
      </c>
      <c r="Y9488" t="s">
        <v>33401</v>
      </c>
    </row>
    <row r="9489" spans="1:25">
      <c r="A9489" t="s">
        <v>33402</v>
      </c>
      <c r="B9489" t="s">
        <v>33403</v>
      </c>
      <c r="D9489" t="s">
        <v>40</v>
      </c>
      <c r="E9489" t="s">
        <v>41</v>
      </c>
      <c r="J9489" t="s">
        <v>248</v>
      </c>
      <c r="K9489" t="s">
        <v>249</v>
      </c>
      <c r="L9489">
        <v>1</v>
      </c>
      <c r="M9489" t="s">
        <v>33404</v>
      </c>
      <c r="N9489" t="s">
        <v>1229</v>
      </c>
      <c r="O9489" t="s">
        <v>46</v>
      </c>
      <c r="P9489" t="s">
        <v>46</v>
      </c>
      <c r="Y9489" t="s">
        <v>33405</v>
      </c>
    </row>
    <row r="9490" spans="1:25">
      <c r="A9490" t="s">
        <v>33406</v>
      </c>
      <c r="B9490" t="s">
        <v>33407</v>
      </c>
      <c r="D9490" t="s">
        <v>40</v>
      </c>
      <c r="E9490" t="s">
        <v>41</v>
      </c>
      <c r="J9490" t="s">
        <v>248</v>
      </c>
      <c r="K9490" t="s">
        <v>249</v>
      </c>
      <c r="L9490">
        <v>1</v>
      </c>
      <c r="M9490" t="s">
        <v>33408</v>
      </c>
      <c r="N9490" t="s">
        <v>24227</v>
      </c>
      <c r="O9490" t="s">
        <v>46</v>
      </c>
      <c r="P9490" t="s">
        <v>46</v>
      </c>
      <c r="Y9490" t="s">
        <v>33409</v>
      </c>
    </row>
    <row r="9491" spans="1:25">
      <c r="A9491" t="s">
        <v>33410</v>
      </c>
      <c r="B9491" t="s">
        <v>33411</v>
      </c>
      <c r="D9491" t="s">
        <v>40</v>
      </c>
      <c r="E9491" t="s">
        <v>41</v>
      </c>
      <c r="J9491" t="s">
        <v>2619</v>
      </c>
      <c r="K9491" t="s">
        <v>140</v>
      </c>
      <c r="L9491">
        <v>1</v>
      </c>
      <c r="M9491" t="s">
        <v>33412</v>
      </c>
      <c r="N9491" t="s">
        <v>2621</v>
      </c>
      <c r="O9491" t="s">
        <v>46</v>
      </c>
      <c r="P9491" t="s">
        <v>46</v>
      </c>
      <c r="Y9491" t="s">
        <v>33413</v>
      </c>
    </row>
    <row r="9492" spans="1:25">
      <c r="A9492" t="s">
        <v>33414</v>
      </c>
      <c r="B9492" t="s">
        <v>33415</v>
      </c>
      <c r="D9492" t="s">
        <v>40</v>
      </c>
      <c r="E9492" t="s">
        <v>41</v>
      </c>
      <c r="J9492" t="s">
        <v>1554</v>
      </c>
      <c r="K9492" t="s">
        <v>1555</v>
      </c>
      <c r="L9492">
        <v>1</v>
      </c>
      <c r="M9492" t="s">
        <v>33416</v>
      </c>
      <c r="N9492" t="s">
        <v>266</v>
      </c>
      <c r="O9492" t="s">
        <v>46</v>
      </c>
      <c r="P9492" t="s">
        <v>46</v>
      </c>
      <c r="Y9492" t="s">
        <v>33417</v>
      </c>
    </row>
    <row r="9493" spans="1:25">
      <c r="A9493" t="s">
        <v>33418</v>
      </c>
      <c r="B9493" t="s">
        <v>33419</v>
      </c>
      <c r="D9493" t="s">
        <v>40</v>
      </c>
      <c r="E9493" t="s">
        <v>41</v>
      </c>
      <c r="J9493" t="s">
        <v>1554</v>
      </c>
      <c r="K9493" t="s">
        <v>1555</v>
      </c>
      <c r="L9493">
        <v>1</v>
      </c>
      <c r="M9493" t="s">
        <v>33420</v>
      </c>
      <c r="N9493" t="s">
        <v>350</v>
      </c>
      <c r="O9493" t="s">
        <v>46</v>
      </c>
      <c r="P9493" t="s">
        <v>46</v>
      </c>
      <c r="Y9493" t="s">
        <v>33421</v>
      </c>
    </row>
    <row r="9494" spans="1:25">
      <c r="A9494" t="s">
        <v>33422</v>
      </c>
      <c r="B9494" t="s">
        <v>33423</v>
      </c>
      <c r="D9494" t="s">
        <v>40</v>
      </c>
      <c r="E9494" t="s">
        <v>41</v>
      </c>
      <c r="J9494" t="s">
        <v>9159</v>
      </c>
      <c r="K9494" t="s">
        <v>9160</v>
      </c>
      <c r="L9494">
        <v>1</v>
      </c>
      <c r="M9494" t="s">
        <v>33420</v>
      </c>
      <c r="N9494" t="s">
        <v>2346</v>
      </c>
      <c r="O9494" t="s">
        <v>46</v>
      </c>
      <c r="P9494" t="s">
        <v>46</v>
      </c>
      <c r="Y9494" t="s">
        <v>33424</v>
      </c>
    </row>
    <row r="9495" spans="1:25">
      <c r="A9495" t="s">
        <v>33425</v>
      </c>
      <c r="B9495" t="s">
        <v>33426</v>
      </c>
      <c r="D9495" t="s">
        <v>40</v>
      </c>
      <c r="E9495" t="s">
        <v>41</v>
      </c>
      <c r="J9495" t="s">
        <v>12440</v>
      </c>
      <c r="K9495" t="s">
        <v>12441</v>
      </c>
      <c r="L9495">
        <v>2</v>
      </c>
      <c r="M9495" t="s">
        <v>33427</v>
      </c>
      <c r="N9495" t="s">
        <v>64</v>
      </c>
      <c r="O9495" t="s">
        <v>46</v>
      </c>
      <c r="P9495" t="s">
        <v>46</v>
      </c>
      <c r="Y9495" t="s">
        <v>33428</v>
      </c>
    </row>
    <row r="9496" spans="1:25">
      <c r="A9496" t="s">
        <v>33429</v>
      </c>
      <c r="B9496" t="s">
        <v>33430</v>
      </c>
      <c r="D9496" t="s">
        <v>40</v>
      </c>
      <c r="E9496" t="s">
        <v>41</v>
      </c>
      <c r="J9496" t="s">
        <v>248</v>
      </c>
      <c r="K9496" t="s">
        <v>249</v>
      </c>
      <c r="L9496">
        <v>1</v>
      </c>
      <c r="M9496" t="s">
        <v>33431</v>
      </c>
      <c r="N9496" t="s">
        <v>617</v>
      </c>
      <c r="O9496" t="s">
        <v>46</v>
      </c>
      <c r="P9496" t="s">
        <v>46</v>
      </c>
      <c r="Y9496" t="s">
        <v>33432</v>
      </c>
    </row>
    <row r="9497" spans="1:25">
      <c r="A9497" t="s">
        <v>33433</v>
      </c>
      <c r="B9497" t="s">
        <v>33434</v>
      </c>
      <c r="D9497" t="s">
        <v>40</v>
      </c>
      <c r="E9497" t="s">
        <v>41</v>
      </c>
      <c r="J9497" t="s">
        <v>248</v>
      </c>
      <c r="K9497" t="s">
        <v>249</v>
      </c>
      <c r="L9497">
        <v>1</v>
      </c>
      <c r="M9497" t="s">
        <v>33435</v>
      </c>
      <c r="N9497" t="s">
        <v>24245</v>
      </c>
      <c r="O9497" t="s">
        <v>46</v>
      </c>
      <c r="P9497" t="s">
        <v>46</v>
      </c>
      <c r="Y9497" t="s">
        <v>33436</v>
      </c>
    </row>
    <row r="9498" spans="1:25">
      <c r="A9498" t="s">
        <v>33437</v>
      </c>
      <c r="B9498" t="s">
        <v>33438</v>
      </c>
      <c r="D9498" t="s">
        <v>40</v>
      </c>
      <c r="E9498" t="s">
        <v>41</v>
      </c>
      <c r="J9498" t="s">
        <v>248</v>
      </c>
      <c r="K9498" t="s">
        <v>249</v>
      </c>
      <c r="L9498">
        <v>1</v>
      </c>
      <c r="M9498" t="s">
        <v>33439</v>
      </c>
      <c r="N9498" t="s">
        <v>58</v>
      </c>
      <c r="O9498" t="s">
        <v>46</v>
      </c>
      <c r="P9498" t="s">
        <v>46</v>
      </c>
      <c r="Y9498" t="s">
        <v>33440</v>
      </c>
    </row>
    <row r="9499" spans="1:25">
      <c r="A9499" t="s">
        <v>33441</v>
      </c>
      <c r="B9499" t="s">
        <v>33442</v>
      </c>
      <c r="D9499" t="s">
        <v>40</v>
      </c>
      <c r="E9499" t="s">
        <v>41</v>
      </c>
      <c r="J9499" t="s">
        <v>139</v>
      </c>
      <c r="K9499" t="s">
        <v>140</v>
      </c>
      <c r="L9499">
        <v>1</v>
      </c>
      <c r="M9499" t="s">
        <v>33443</v>
      </c>
      <c r="N9499" t="s">
        <v>2346</v>
      </c>
      <c r="O9499" t="s">
        <v>46</v>
      </c>
      <c r="P9499" t="s">
        <v>46</v>
      </c>
      <c r="Y9499" t="s">
        <v>33444</v>
      </c>
    </row>
    <row r="9500" spans="1:25">
      <c r="A9500" t="s">
        <v>33445</v>
      </c>
      <c r="B9500" t="s">
        <v>33446</v>
      </c>
      <c r="D9500" t="s">
        <v>40</v>
      </c>
      <c r="E9500" t="s">
        <v>41</v>
      </c>
      <c r="J9500" t="s">
        <v>12440</v>
      </c>
      <c r="K9500" t="s">
        <v>12441</v>
      </c>
      <c r="L9500">
        <v>2</v>
      </c>
      <c r="M9500" t="s">
        <v>33447</v>
      </c>
      <c r="N9500" t="s">
        <v>64</v>
      </c>
      <c r="O9500" t="s">
        <v>46</v>
      </c>
      <c r="P9500" t="s">
        <v>46</v>
      </c>
      <c r="Y9500" t="s">
        <v>33448</v>
      </c>
    </row>
    <row r="9501" spans="1:25">
      <c r="A9501" t="s">
        <v>33449</v>
      </c>
      <c r="B9501" t="s">
        <v>33450</v>
      </c>
      <c r="D9501" t="s">
        <v>40</v>
      </c>
      <c r="E9501" t="s">
        <v>41</v>
      </c>
      <c r="J9501" t="s">
        <v>248</v>
      </c>
      <c r="K9501" t="s">
        <v>249</v>
      </c>
      <c r="L9501">
        <v>1</v>
      </c>
      <c r="M9501" t="s">
        <v>33451</v>
      </c>
      <c r="N9501" t="s">
        <v>24227</v>
      </c>
      <c r="O9501" t="s">
        <v>46</v>
      </c>
      <c r="P9501" t="s">
        <v>46</v>
      </c>
      <c r="Y9501" t="s">
        <v>33452</v>
      </c>
    </row>
    <row r="9502" spans="1:25">
      <c r="A9502" t="s">
        <v>33453</v>
      </c>
      <c r="B9502" t="s">
        <v>33454</v>
      </c>
      <c r="D9502" t="s">
        <v>40</v>
      </c>
      <c r="E9502" t="s">
        <v>41</v>
      </c>
      <c r="J9502" t="s">
        <v>6255</v>
      </c>
      <c r="K9502" t="s">
        <v>6256</v>
      </c>
      <c r="L9502">
        <v>1</v>
      </c>
      <c r="M9502" t="s">
        <v>33455</v>
      </c>
      <c r="N9502" t="s">
        <v>266</v>
      </c>
      <c r="O9502" t="s">
        <v>46</v>
      </c>
      <c r="P9502" t="s">
        <v>46</v>
      </c>
      <c r="Y9502" t="s">
        <v>33456</v>
      </c>
    </row>
    <row r="9503" spans="1:25">
      <c r="A9503" t="s">
        <v>33457</v>
      </c>
      <c r="B9503" t="s">
        <v>33458</v>
      </c>
      <c r="D9503" t="s">
        <v>40</v>
      </c>
      <c r="E9503" t="s">
        <v>41</v>
      </c>
      <c r="J9503" t="s">
        <v>139</v>
      </c>
      <c r="K9503" t="s">
        <v>140</v>
      </c>
      <c r="L9503">
        <v>1</v>
      </c>
      <c r="M9503" t="s">
        <v>33459</v>
      </c>
      <c r="N9503" t="s">
        <v>3013</v>
      </c>
      <c r="O9503" t="s">
        <v>46</v>
      </c>
      <c r="P9503" t="s">
        <v>46</v>
      </c>
      <c r="Y9503" t="s">
        <v>33460</v>
      </c>
    </row>
    <row r="9504" spans="1:25">
      <c r="A9504" t="s">
        <v>33461</v>
      </c>
      <c r="B9504" t="s">
        <v>33462</v>
      </c>
      <c r="D9504" t="s">
        <v>40</v>
      </c>
      <c r="E9504" t="s">
        <v>41</v>
      </c>
      <c r="J9504" t="s">
        <v>139</v>
      </c>
      <c r="K9504" t="s">
        <v>140</v>
      </c>
      <c r="L9504">
        <v>1</v>
      </c>
      <c r="M9504" t="s">
        <v>33463</v>
      </c>
      <c r="N9504" t="s">
        <v>24245</v>
      </c>
      <c r="O9504" t="s">
        <v>46</v>
      </c>
      <c r="P9504" t="s">
        <v>46</v>
      </c>
      <c r="Y9504" t="s">
        <v>33464</v>
      </c>
    </row>
    <row r="9505" spans="1:25">
      <c r="A9505" t="s">
        <v>33465</v>
      </c>
      <c r="B9505" t="s">
        <v>33466</v>
      </c>
      <c r="D9505" t="s">
        <v>40</v>
      </c>
      <c r="E9505" t="s">
        <v>41</v>
      </c>
      <c r="J9505" t="s">
        <v>1554</v>
      </c>
      <c r="K9505" t="s">
        <v>1555</v>
      </c>
      <c r="L9505">
        <v>1</v>
      </c>
      <c r="M9505" t="s">
        <v>33467</v>
      </c>
      <c r="N9505" t="s">
        <v>1814</v>
      </c>
      <c r="O9505" t="s">
        <v>46</v>
      </c>
      <c r="P9505" t="s">
        <v>46</v>
      </c>
      <c r="Y9505" t="s">
        <v>33468</v>
      </c>
    </row>
    <row r="9506" spans="1:25">
      <c r="A9506" t="s">
        <v>33469</v>
      </c>
      <c r="B9506" t="s">
        <v>33470</v>
      </c>
      <c r="D9506" t="s">
        <v>40</v>
      </c>
      <c r="E9506" t="s">
        <v>41</v>
      </c>
      <c r="J9506" t="s">
        <v>248</v>
      </c>
      <c r="K9506" t="s">
        <v>249</v>
      </c>
      <c r="L9506">
        <v>1</v>
      </c>
      <c r="M9506" t="s">
        <v>33471</v>
      </c>
      <c r="N9506" t="s">
        <v>58</v>
      </c>
      <c r="O9506" t="s">
        <v>46</v>
      </c>
      <c r="P9506" t="s">
        <v>46</v>
      </c>
      <c r="Y9506" t="s">
        <v>33472</v>
      </c>
    </row>
    <row r="9507" spans="1:25">
      <c r="A9507" t="s">
        <v>33473</v>
      </c>
      <c r="B9507" t="s">
        <v>33474</v>
      </c>
      <c r="D9507" t="s">
        <v>40</v>
      </c>
      <c r="E9507" t="s">
        <v>41</v>
      </c>
      <c r="J9507" t="s">
        <v>248</v>
      </c>
      <c r="K9507" t="s">
        <v>249</v>
      </c>
      <c r="L9507">
        <v>1</v>
      </c>
      <c r="M9507" t="s">
        <v>33475</v>
      </c>
      <c r="N9507" t="s">
        <v>1024</v>
      </c>
      <c r="O9507" t="s">
        <v>46</v>
      </c>
      <c r="P9507" t="s">
        <v>46</v>
      </c>
      <c r="Y9507" t="s">
        <v>33476</v>
      </c>
    </row>
    <row r="9508" spans="1:25">
      <c r="A9508" t="s">
        <v>33477</v>
      </c>
      <c r="B9508" t="s">
        <v>33478</v>
      </c>
      <c r="D9508" t="s">
        <v>40</v>
      </c>
      <c r="E9508" t="s">
        <v>41</v>
      </c>
      <c r="J9508" t="s">
        <v>1142</v>
      </c>
      <c r="K9508" t="s">
        <v>1143</v>
      </c>
      <c r="L9508">
        <v>1</v>
      </c>
      <c r="M9508" t="s">
        <v>33479</v>
      </c>
      <c r="N9508" t="s">
        <v>1550</v>
      </c>
      <c r="O9508" t="s">
        <v>46</v>
      </c>
      <c r="P9508" t="s">
        <v>46</v>
      </c>
      <c r="Y9508" t="s">
        <v>33480</v>
      </c>
    </row>
    <row r="9509" spans="1:25">
      <c r="A9509" t="s">
        <v>33481</v>
      </c>
      <c r="B9509" t="s">
        <v>33482</v>
      </c>
      <c r="D9509" t="s">
        <v>40</v>
      </c>
      <c r="E9509" t="s">
        <v>41</v>
      </c>
      <c r="J9509" t="s">
        <v>6255</v>
      </c>
      <c r="K9509" t="s">
        <v>6256</v>
      </c>
      <c r="L9509">
        <v>1</v>
      </c>
      <c r="M9509" t="s">
        <v>33483</v>
      </c>
      <c r="N9509" t="s">
        <v>1229</v>
      </c>
      <c r="O9509" t="s">
        <v>46</v>
      </c>
      <c r="P9509" t="s">
        <v>46</v>
      </c>
      <c r="Y9509" t="s">
        <v>33484</v>
      </c>
    </row>
    <row r="9510" spans="1:25">
      <c r="A9510" t="s">
        <v>33485</v>
      </c>
      <c r="B9510" t="s">
        <v>33486</v>
      </c>
      <c r="D9510" t="s">
        <v>40</v>
      </c>
      <c r="E9510" t="s">
        <v>41</v>
      </c>
      <c r="J9510" t="s">
        <v>1554</v>
      </c>
      <c r="K9510" t="s">
        <v>1555</v>
      </c>
      <c r="L9510">
        <v>1</v>
      </c>
      <c r="M9510" t="s">
        <v>33487</v>
      </c>
      <c r="N9510" t="s">
        <v>950</v>
      </c>
      <c r="O9510" t="s">
        <v>46</v>
      </c>
      <c r="P9510" t="s">
        <v>46</v>
      </c>
      <c r="Y9510" t="s">
        <v>33488</v>
      </c>
    </row>
    <row r="9511" spans="1:25">
      <c r="A9511" t="s">
        <v>33489</v>
      </c>
      <c r="B9511" t="s">
        <v>33490</v>
      </c>
      <c r="D9511" t="s">
        <v>40</v>
      </c>
      <c r="E9511" t="s">
        <v>41</v>
      </c>
      <c r="J9511" t="s">
        <v>6179</v>
      </c>
      <c r="K9511" t="s">
        <v>6180</v>
      </c>
      <c r="L9511">
        <v>1</v>
      </c>
      <c r="M9511" t="s">
        <v>33491</v>
      </c>
      <c r="N9511" t="s">
        <v>3013</v>
      </c>
      <c r="O9511" t="s">
        <v>46</v>
      </c>
      <c r="P9511" t="s">
        <v>46</v>
      </c>
      <c r="Y9511" t="s">
        <v>33492</v>
      </c>
    </row>
    <row r="9512" spans="1:25">
      <c r="A9512" t="s">
        <v>33493</v>
      </c>
      <c r="B9512" t="s">
        <v>33494</v>
      </c>
      <c r="D9512" t="s">
        <v>40</v>
      </c>
      <c r="E9512" t="s">
        <v>41</v>
      </c>
      <c r="J9512" t="s">
        <v>248</v>
      </c>
      <c r="K9512" t="s">
        <v>249</v>
      </c>
      <c r="L9512">
        <v>1</v>
      </c>
      <c r="M9512" t="s">
        <v>33491</v>
      </c>
      <c r="N9512" t="s">
        <v>58</v>
      </c>
      <c r="O9512" t="s">
        <v>46</v>
      </c>
      <c r="P9512" t="s">
        <v>46</v>
      </c>
      <c r="Y9512" t="s">
        <v>33495</v>
      </c>
    </row>
    <row r="9513" spans="1:25">
      <c r="A9513" t="s">
        <v>33496</v>
      </c>
      <c r="B9513" t="s">
        <v>33497</v>
      </c>
      <c r="D9513" t="s">
        <v>40</v>
      </c>
      <c r="E9513" t="s">
        <v>41</v>
      </c>
      <c r="J9513" t="s">
        <v>139</v>
      </c>
      <c r="K9513" t="s">
        <v>140</v>
      </c>
      <c r="L9513">
        <v>1</v>
      </c>
      <c r="M9513" t="s">
        <v>33498</v>
      </c>
      <c r="N9513" t="s">
        <v>24245</v>
      </c>
      <c r="O9513" t="s">
        <v>46</v>
      </c>
      <c r="P9513" t="s">
        <v>46</v>
      </c>
      <c r="Y9513" t="s">
        <v>33499</v>
      </c>
    </row>
    <row r="9514" spans="1:25">
      <c r="A9514" t="s">
        <v>33500</v>
      </c>
      <c r="B9514" t="s">
        <v>33501</v>
      </c>
      <c r="D9514" t="s">
        <v>40</v>
      </c>
      <c r="E9514" t="s">
        <v>41</v>
      </c>
      <c r="J9514" t="s">
        <v>6179</v>
      </c>
      <c r="K9514" t="s">
        <v>6180</v>
      </c>
      <c r="L9514">
        <v>1</v>
      </c>
      <c r="M9514" t="s">
        <v>33502</v>
      </c>
      <c r="N9514" t="s">
        <v>1397</v>
      </c>
      <c r="O9514" t="s">
        <v>46</v>
      </c>
      <c r="P9514" t="s">
        <v>46</v>
      </c>
      <c r="Y9514" t="s">
        <v>33503</v>
      </c>
    </row>
    <row r="9515" spans="1:25">
      <c r="A9515" t="s">
        <v>33504</v>
      </c>
      <c r="B9515" t="s">
        <v>33505</v>
      </c>
      <c r="D9515" t="s">
        <v>40</v>
      </c>
      <c r="E9515" t="s">
        <v>41</v>
      </c>
      <c r="J9515" t="s">
        <v>1554</v>
      </c>
      <c r="K9515" t="s">
        <v>1555</v>
      </c>
      <c r="L9515">
        <v>1</v>
      </c>
      <c r="M9515" t="s">
        <v>33506</v>
      </c>
      <c r="N9515" t="s">
        <v>2621</v>
      </c>
      <c r="O9515" t="s">
        <v>46</v>
      </c>
      <c r="P9515" t="s">
        <v>46</v>
      </c>
      <c r="Y9515" t="s">
        <v>33507</v>
      </c>
    </row>
    <row r="9516" spans="1:25">
      <c r="A9516" t="s">
        <v>33508</v>
      </c>
      <c r="B9516" t="s">
        <v>33509</v>
      </c>
      <c r="D9516" t="s">
        <v>40</v>
      </c>
      <c r="E9516" t="s">
        <v>41</v>
      </c>
      <c r="J9516" t="s">
        <v>139</v>
      </c>
      <c r="K9516" t="s">
        <v>140</v>
      </c>
      <c r="L9516">
        <v>1</v>
      </c>
      <c r="M9516" t="s">
        <v>33510</v>
      </c>
      <c r="N9516" t="s">
        <v>266</v>
      </c>
      <c r="O9516" t="s">
        <v>46</v>
      </c>
      <c r="P9516" t="s">
        <v>46</v>
      </c>
      <c r="Y9516" t="s">
        <v>33511</v>
      </c>
    </row>
    <row r="9517" spans="1:25">
      <c r="A9517" t="s">
        <v>33512</v>
      </c>
      <c r="B9517" t="s">
        <v>33513</v>
      </c>
      <c r="D9517" t="s">
        <v>40</v>
      </c>
      <c r="E9517" t="s">
        <v>41</v>
      </c>
      <c r="J9517" t="s">
        <v>248</v>
      </c>
      <c r="K9517" t="s">
        <v>249</v>
      </c>
      <c r="L9517">
        <v>1</v>
      </c>
      <c r="M9517" t="s">
        <v>33514</v>
      </c>
      <c r="N9517" t="s">
        <v>1814</v>
      </c>
      <c r="O9517" t="s">
        <v>46</v>
      </c>
      <c r="P9517" t="s">
        <v>46</v>
      </c>
      <c r="Y9517" t="s">
        <v>33515</v>
      </c>
    </row>
    <row r="9518" spans="1:25">
      <c r="A9518" t="s">
        <v>33516</v>
      </c>
      <c r="B9518" t="s">
        <v>33517</v>
      </c>
      <c r="D9518" t="s">
        <v>40</v>
      </c>
      <c r="E9518" t="s">
        <v>41</v>
      </c>
      <c r="J9518" t="s">
        <v>248</v>
      </c>
      <c r="K9518" t="s">
        <v>249</v>
      </c>
      <c r="L9518">
        <v>1</v>
      </c>
      <c r="M9518" t="s">
        <v>33518</v>
      </c>
      <c r="N9518" t="s">
        <v>1024</v>
      </c>
      <c r="O9518" t="s">
        <v>46</v>
      </c>
      <c r="P9518" t="s">
        <v>46</v>
      </c>
      <c r="Y9518" t="s">
        <v>33519</v>
      </c>
    </row>
    <row r="9519" spans="1:25">
      <c r="A9519" t="s">
        <v>33520</v>
      </c>
      <c r="B9519" t="s">
        <v>33521</v>
      </c>
      <c r="D9519" t="s">
        <v>40</v>
      </c>
      <c r="E9519" t="s">
        <v>41</v>
      </c>
      <c r="J9519" t="s">
        <v>1142</v>
      </c>
      <c r="K9519" t="s">
        <v>1143</v>
      </c>
      <c r="L9519">
        <v>2</v>
      </c>
      <c r="M9519" t="s">
        <v>33522</v>
      </c>
      <c r="N9519" t="s">
        <v>53</v>
      </c>
      <c r="O9519" t="s">
        <v>46</v>
      </c>
      <c r="P9519" t="s">
        <v>46</v>
      </c>
      <c r="Y9519" t="s">
        <v>33523</v>
      </c>
    </row>
    <row r="9520" spans="1:25">
      <c r="A9520" t="s">
        <v>33524</v>
      </c>
      <c r="B9520" t="s">
        <v>33525</v>
      </c>
      <c r="D9520" t="s">
        <v>40</v>
      </c>
      <c r="E9520" t="s">
        <v>41</v>
      </c>
      <c r="J9520" t="s">
        <v>139</v>
      </c>
      <c r="K9520" t="s">
        <v>140</v>
      </c>
      <c r="L9520">
        <v>1</v>
      </c>
      <c r="M9520" t="s">
        <v>33526</v>
      </c>
      <c r="N9520" t="s">
        <v>24245</v>
      </c>
      <c r="O9520" t="s">
        <v>46</v>
      </c>
      <c r="P9520" t="s">
        <v>46</v>
      </c>
      <c r="Y9520" t="s">
        <v>33527</v>
      </c>
    </row>
    <row r="9521" spans="1:25">
      <c r="A9521" t="s">
        <v>33528</v>
      </c>
      <c r="B9521" t="s">
        <v>33529</v>
      </c>
      <c r="D9521" t="s">
        <v>40</v>
      </c>
      <c r="E9521" t="s">
        <v>41</v>
      </c>
      <c r="J9521" t="s">
        <v>1554</v>
      </c>
      <c r="K9521" t="s">
        <v>1555</v>
      </c>
      <c r="L9521">
        <v>1</v>
      </c>
      <c r="M9521" t="s">
        <v>33530</v>
      </c>
      <c r="N9521" t="s">
        <v>24227</v>
      </c>
      <c r="O9521" t="s">
        <v>46</v>
      </c>
      <c r="P9521" t="s">
        <v>46</v>
      </c>
      <c r="Y9521" t="s">
        <v>33531</v>
      </c>
    </row>
    <row r="9522" spans="1:25">
      <c r="A9522" t="s">
        <v>33532</v>
      </c>
      <c r="B9522" t="s">
        <v>33533</v>
      </c>
      <c r="D9522" t="s">
        <v>40</v>
      </c>
      <c r="E9522" t="s">
        <v>41</v>
      </c>
      <c r="J9522" t="s">
        <v>248</v>
      </c>
      <c r="K9522" t="s">
        <v>249</v>
      </c>
      <c r="L9522">
        <v>1</v>
      </c>
      <c r="M9522" t="s">
        <v>33534</v>
      </c>
      <c r="N9522" t="s">
        <v>1397</v>
      </c>
      <c r="O9522" t="s">
        <v>46</v>
      </c>
      <c r="P9522" t="s">
        <v>46</v>
      </c>
      <c r="Y9522" t="s">
        <v>33535</v>
      </c>
    </row>
    <row r="9523" spans="1:25">
      <c r="A9523" t="s">
        <v>33536</v>
      </c>
      <c r="B9523" t="s">
        <v>33537</v>
      </c>
      <c r="D9523" t="s">
        <v>40</v>
      </c>
      <c r="E9523" t="s">
        <v>41</v>
      </c>
      <c r="J9523" t="s">
        <v>1554</v>
      </c>
      <c r="K9523" t="s">
        <v>1555</v>
      </c>
      <c r="L9523">
        <v>1</v>
      </c>
      <c r="M9523" t="s">
        <v>33538</v>
      </c>
      <c r="N9523" t="s">
        <v>350</v>
      </c>
      <c r="O9523" t="s">
        <v>46</v>
      </c>
      <c r="P9523" t="s">
        <v>46</v>
      </c>
      <c r="Y9523" t="s">
        <v>33539</v>
      </c>
    </row>
    <row r="9524" spans="1:25">
      <c r="A9524" t="s">
        <v>33540</v>
      </c>
      <c r="B9524" t="s">
        <v>33541</v>
      </c>
      <c r="D9524" t="s">
        <v>40</v>
      </c>
      <c r="E9524" t="s">
        <v>41</v>
      </c>
      <c r="J9524" t="s">
        <v>1142</v>
      </c>
      <c r="K9524" t="s">
        <v>1143</v>
      </c>
      <c r="L9524">
        <v>1</v>
      </c>
      <c r="M9524" t="s">
        <v>33542</v>
      </c>
      <c r="N9524" t="s">
        <v>2621</v>
      </c>
      <c r="O9524" t="s">
        <v>46</v>
      </c>
      <c r="P9524" t="s">
        <v>46</v>
      </c>
      <c r="Y9524" t="s">
        <v>33543</v>
      </c>
    </row>
    <row r="9525" spans="1:25">
      <c r="A9525" t="s">
        <v>33544</v>
      </c>
      <c r="B9525" t="s">
        <v>33545</v>
      </c>
      <c r="D9525" t="s">
        <v>40</v>
      </c>
      <c r="E9525" t="s">
        <v>41</v>
      </c>
      <c r="J9525" t="s">
        <v>1142</v>
      </c>
      <c r="K9525" t="s">
        <v>1143</v>
      </c>
      <c r="L9525">
        <v>1</v>
      </c>
      <c r="M9525" t="s">
        <v>33546</v>
      </c>
      <c r="N9525" t="s">
        <v>3013</v>
      </c>
      <c r="O9525" t="s">
        <v>46</v>
      </c>
      <c r="P9525" t="s">
        <v>46</v>
      </c>
      <c r="Y9525" t="s">
        <v>33547</v>
      </c>
    </row>
    <row r="9526" spans="1:25">
      <c r="A9526" t="s">
        <v>33548</v>
      </c>
      <c r="B9526" t="s">
        <v>33549</v>
      </c>
      <c r="D9526" t="s">
        <v>40</v>
      </c>
      <c r="E9526" t="s">
        <v>41</v>
      </c>
      <c r="J9526" t="s">
        <v>248</v>
      </c>
      <c r="K9526" t="s">
        <v>249</v>
      </c>
      <c r="L9526">
        <v>2</v>
      </c>
      <c r="M9526" t="s">
        <v>33550</v>
      </c>
      <c r="N9526" t="s">
        <v>58</v>
      </c>
      <c r="O9526" t="s">
        <v>46</v>
      </c>
      <c r="P9526" t="s">
        <v>46</v>
      </c>
      <c r="Y9526" t="s">
        <v>33551</v>
      </c>
    </row>
    <row r="9527" spans="1:25">
      <c r="A9527" t="s">
        <v>33552</v>
      </c>
      <c r="B9527" t="s">
        <v>33553</v>
      </c>
      <c r="D9527" t="s">
        <v>40</v>
      </c>
      <c r="E9527" t="s">
        <v>41</v>
      </c>
      <c r="J9527" t="s">
        <v>248</v>
      </c>
      <c r="K9527" t="s">
        <v>249</v>
      </c>
      <c r="L9527">
        <v>1</v>
      </c>
      <c r="M9527" t="s">
        <v>33554</v>
      </c>
      <c r="N9527" t="s">
        <v>1446</v>
      </c>
      <c r="O9527" t="s">
        <v>46</v>
      </c>
      <c r="P9527" t="s">
        <v>46</v>
      </c>
      <c r="Y9527" t="s">
        <v>33555</v>
      </c>
    </row>
    <row r="9528" spans="1:25">
      <c r="A9528" t="s">
        <v>33556</v>
      </c>
      <c r="B9528" t="s">
        <v>33557</v>
      </c>
      <c r="D9528" t="s">
        <v>40</v>
      </c>
      <c r="E9528" t="s">
        <v>41</v>
      </c>
      <c r="J9528" t="s">
        <v>139</v>
      </c>
      <c r="K9528" t="s">
        <v>140</v>
      </c>
      <c r="L9528">
        <v>2</v>
      </c>
      <c r="M9528" t="s">
        <v>33558</v>
      </c>
      <c r="N9528" t="s">
        <v>142</v>
      </c>
      <c r="O9528" t="s">
        <v>46</v>
      </c>
      <c r="P9528" t="s">
        <v>46</v>
      </c>
      <c r="Y9528" t="s">
        <v>33559</v>
      </c>
    </row>
    <row r="9529" spans="1:25">
      <c r="A9529" t="s">
        <v>33560</v>
      </c>
      <c r="B9529" t="s">
        <v>33561</v>
      </c>
      <c r="D9529" t="s">
        <v>40</v>
      </c>
      <c r="E9529" t="s">
        <v>41</v>
      </c>
      <c r="J9529" t="s">
        <v>248</v>
      </c>
      <c r="K9529" t="s">
        <v>249</v>
      </c>
      <c r="L9529">
        <v>1</v>
      </c>
      <c r="M9529" t="s">
        <v>33562</v>
      </c>
      <c r="N9529" t="s">
        <v>3013</v>
      </c>
      <c r="O9529" t="s">
        <v>46</v>
      </c>
      <c r="P9529" t="s">
        <v>46</v>
      </c>
      <c r="Y9529" t="s">
        <v>33563</v>
      </c>
    </row>
    <row r="9530" spans="1:25">
      <c r="A9530" t="s">
        <v>33564</v>
      </c>
      <c r="B9530" t="s">
        <v>33565</v>
      </c>
      <c r="D9530" t="s">
        <v>40</v>
      </c>
      <c r="E9530" t="s">
        <v>41</v>
      </c>
      <c r="J9530" t="s">
        <v>139</v>
      </c>
      <c r="K9530" t="s">
        <v>140</v>
      </c>
      <c r="L9530">
        <v>1</v>
      </c>
      <c r="M9530" t="s">
        <v>33562</v>
      </c>
      <c r="N9530" t="s">
        <v>24245</v>
      </c>
      <c r="O9530" t="s">
        <v>46</v>
      </c>
      <c r="P9530" t="s">
        <v>46</v>
      </c>
      <c r="Y9530" t="s">
        <v>33566</v>
      </c>
    </row>
    <row r="9531" spans="1:25">
      <c r="A9531" t="s">
        <v>33567</v>
      </c>
      <c r="B9531" t="s">
        <v>33568</v>
      </c>
      <c r="D9531" t="s">
        <v>40</v>
      </c>
      <c r="E9531" t="s">
        <v>41</v>
      </c>
      <c r="J9531" t="s">
        <v>1142</v>
      </c>
      <c r="K9531" t="s">
        <v>1143</v>
      </c>
      <c r="L9531">
        <v>1</v>
      </c>
      <c r="M9531" t="s">
        <v>33569</v>
      </c>
      <c r="N9531" t="s">
        <v>950</v>
      </c>
      <c r="O9531" t="s">
        <v>46</v>
      </c>
      <c r="P9531" t="s">
        <v>46</v>
      </c>
      <c r="Y9531" t="s">
        <v>33570</v>
      </c>
    </row>
    <row r="9532" spans="1:25">
      <c r="A9532" t="s">
        <v>33571</v>
      </c>
      <c r="B9532" t="s">
        <v>33572</v>
      </c>
      <c r="D9532" t="s">
        <v>40</v>
      </c>
      <c r="E9532" t="s">
        <v>41</v>
      </c>
      <c r="J9532" t="s">
        <v>139</v>
      </c>
      <c r="K9532" t="s">
        <v>140</v>
      </c>
      <c r="L9532">
        <v>4</v>
      </c>
      <c r="M9532" t="s">
        <v>33573</v>
      </c>
      <c r="N9532" t="s">
        <v>509</v>
      </c>
      <c r="O9532" t="s">
        <v>46</v>
      </c>
      <c r="P9532" t="s">
        <v>46</v>
      </c>
      <c r="Y9532" t="s">
        <v>33574</v>
      </c>
    </row>
    <row r="9533" spans="1:25">
      <c r="A9533" t="s">
        <v>33575</v>
      </c>
      <c r="B9533" t="s">
        <v>33576</v>
      </c>
      <c r="D9533" t="s">
        <v>40</v>
      </c>
      <c r="E9533" t="s">
        <v>41</v>
      </c>
      <c r="J9533" t="s">
        <v>2619</v>
      </c>
      <c r="K9533" t="s">
        <v>140</v>
      </c>
      <c r="L9533">
        <v>1</v>
      </c>
      <c r="M9533" t="s">
        <v>33577</v>
      </c>
      <c r="N9533" t="s">
        <v>2621</v>
      </c>
      <c r="O9533" t="s">
        <v>46</v>
      </c>
      <c r="P9533" t="s">
        <v>46</v>
      </c>
      <c r="Y9533" t="s">
        <v>33578</v>
      </c>
    </row>
    <row r="9534" spans="1:25">
      <c r="A9534" t="s">
        <v>33579</v>
      </c>
      <c r="B9534" t="s">
        <v>33580</v>
      </c>
      <c r="D9534" t="s">
        <v>40</v>
      </c>
      <c r="E9534" t="s">
        <v>41</v>
      </c>
      <c r="J9534" t="s">
        <v>248</v>
      </c>
      <c r="K9534" t="s">
        <v>249</v>
      </c>
      <c r="L9534">
        <v>2</v>
      </c>
      <c r="M9534" t="s">
        <v>33581</v>
      </c>
      <c r="N9534" t="s">
        <v>24227</v>
      </c>
      <c r="O9534" t="s">
        <v>46</v>
      </c>
      <c r="P9534" t="s">
        <v>46</v>
      </c>
      <c r="Y9534" t="s">
        <v>33582</v>
      </c>
    </row>
    <row r="9535" spans="1:25">
      <c r="A9535" t="s">
        <v>33583</v>
      </c>
      <c r="B9535" t="s">
        <v>33584</v>
      </c>
      <c r="D9535" t="s">
        <v>40</v>
      </c>
      <c r="E9535" t="s">
        <v>41</v>
      </c>
      <c r="J9535" t="s">
        <v>139</v>
      </c>
      <c r="K9535" t="s">
        <v>140</v>
      </c>
      <c r="L9535">
        <v>1</v>
      </c>
      <c r="M9535" t="s">
        <v>33585</v>
      </c>
      <c r="N9535" t="s">
        <v>3013</v>
      </c>
      <c r="O9535" t="s">
        <v>46</v>
      </c>
      <c r="P9535" t="s">
        <v>46</v>
      </c>
      <c r="Y9535" t="s">
        <v>33586</v>
      </c>
    </row>
    <row r="9536" spans="1:25">
      <c r="A9536" t="s">
        <v>33587</v>
      </c>
      <c r="B9536" t="s">
        <v>33588</v>
      </c>
      <c r="D9536" t="s">
        <v>40</v>
      </c>
      <c r="E9536" t="s">
        <v>41</v>
      </c>
      <c r="J9536" t="s">
        <v>1554</v>
      </c>
      <c r="K9536" t="s">
        <v>1555</v>
      </c>
      <c r="L9536">
        <v>1</v>
      </c>
      <c r="M9536" t="s">
        <v>33589</v>
      </c>
      <c r="N9536" t="s">
        <v>24240</v>
      </c>
      <c r="O9536" t="s">
        <v>46</v>
      </c>
      <c r="P9536" t="s">
        <v>46</v>
      </c>
      <c r="Y9536" t="s">
        <v>33590</v>
      </c>
    </row>
    <row r="9537" spans="1:25">
      <c r="A9537" t="s">
        <v>33591</v>
      </c>
      <c r="B9537" t="s">
        <v>33592</v>
      </c>
      <c r="D9537" t="s">
        <v>40</v>
      </c>
      <c r="E9537" t="s">
        <v>41</v>
      </c>
      <c r="J9537" t="s">
        <v>921</v>
      </c>
      <c r="K9537" t="s">
        <v>922</v>
      </c>
      <c r="L9537">
        <v>3</v>
      </c>
      <c r="M9537" t="s">
        <v>33593</v>
      </c>
      <c r="N9537" t="s">
        <v>1229</v>
      </c>
      <c r="O9537" t="s">
        <v>46</v>
      </c>
      <c r="P9537" t="s">
        <v>46</v>
      </c>
      <c r="Y9537" t="s">
        <v>33594</v>
      </c>
    </row>
    <row r="9538" spans="1:25">
      <c r="A9538" t="s">
        <v>33595</v>
      </c>
      <c r="B9538" t="s">
        <v>33596</v>
      </c>
      <c r="D9538" t="s">
        <v>40</v>
      </c>
      <c r="E9538" t="s">
        <v>41</v>
      </c>
      <c r="J9538" t="s">
        <v>1142</v>
      </c>
      <c r="K9538" t="s">
        <v>1143</v>
      </c>
      <c r="L9538">
        <v>1</v>
      </c>
      <c r="M9538" t="s">
        <v>33597</v>
      </c>
      <c r="N9538" t="s">
        <v>142</v>
      </c>
      <c r="O9538" t="s">
        <v>46</v>
      </c>
      <c r="P9538" t="s">
        <v>46</v>
      </c>
      <c r="Y9538" t="s">
        <v>33598</v>
      </c>
    </row>
    <row r="9539" spans="1:25">
      <c r="A9539" t="s">
        <v>33599</v>
      </c>
      <c r="B9539" t="s">
        <v>33600</v>
      </c>
      <c r="D9539" t="s">
        <v>40</v>
      </c>
      <c r="E9539" t="s">
        <v>41</v>
      </c>
      <c r="J9539" t="s">
        <v>248</v>
      </c>
      <c r="K9539" t="s">
        <v>249</v>
      </c>
      <c r="L9539">
        <v>1</v>
      </c>
      <c r="M9539" t="s">
        <v>33601</v>
      </c>
      <c r="N9539" t="s">
        <v>257</v>
      </c>
      <c r="O9539" t="s">
        <v>46</v>
      </c>
      <c r="P9539" t="s">
        <v>46</v>
      </c>
      <c r="Y9539" t="s">
        <v>33602</v>
      </c>
    </row>
    <row r="9540" spans="1:25">
      <c r="A9540" t="s">
        <v>33603</v>
      </c>
      <c r="B9540" t="s">
        <v>33604</v>
      </c>
      <c r="D9540" t="s">
        <v>40</v>
      </c>
      <c r="E9540" t="s">
        <v>41</v>
      </c>
      <c r="J9540" t="s">
        <v>139</v>
      </c>
      <c r="K9540" t="s">
        <v>140</v>
      </c>
      <c r="L9540">
        <v>1</v>
      </c>
      <c r="M9540" t="s">
        <v>33605</v>
      </c>
      <c r="N9540" t="s">
        <v>950</v>
      </c>
      <c r="O9540" t="s">
        <v>46</v>
      </c>
      <c r="P9540" t="s">
        <v>46</v>
      </c>
      <c r="Y9540" t="s">
        <v>33606</v>
      </c>
    </row>
    <row r="9541" spans="1:25">
      <c r="A9541" t="s">
        <v>33607</v>
      </c>
      <c r="B9541" t="s">
        <v>33608</v>
      </c>
      <c r="D9541" t="s">
        <v>40</v>
      </c>
      <c r="E9541" t="s">
        <v>41</v>
      </c>
      <c r="J9541" t="s">
        <v>248</v>
      </c>
      <c r="K9541" t="s">
        <v>249</v>
      </c>
      <c r="L9541">
        <v>2</v>
      </c>
      <c r="M9541" t="s">
        <v>33609</v>
      </c>
      <c r="N9541" t="s">
        <v>1446</v>
      </c>
      <c r="O9541" t="s">
        <v>46</v>
      </c>
      <c r="P9541" t="s">
        <v>46</v>
      </c>
      <c r="Y9541" t="s">
        <v>33610</v>
      </c>
    </row>
    <row r="9542" spans="1:25">
      <c r="A9542" t="s">
        <v>33611</v>
      </c>
      <c r="B9542" t="s">
        <v>33612</v>
      </c>
      <c r="D9542" t="s">
        <v>40</v>
      </c>
      <c r="E9542" t="s">
        <v>41</v>
      </c>
      <c r="J9542" t="s">
        <v>248</v>
      </c>
      <c r="K9542" t="s">
        <v>249</v>
      </c>
      <c r="L9542">
        <v>1</v>
      </c>
      <c r="M9542" t="s">
        <v>33613</v>
      </c>
      <c r="N9542" t="s">
        <v>1369</v>
      </c>
      <c r="O9542" t="s">
        <v>46</v>
      </c>
      <c r="P9542" t="s">
        <v>46</v>
      </c>
      <c r="Y9542" t="s">
        <v>33614</v>
      </c>
    </row>
    <row r="9543" spans="1:25">
      <c r="A9543" t="s">
        <v>33615</v>
      </c>
      <c r="B9543" t="s">
        <v>33616</v>
      </c>
      <c r="D9543" t="s">
        <v>40</v>
      </c>
      <c r="E9543" t="s">
        <v>41</v>
      </c>
      <c r="J9543" t="s">
        <v>248</v>
      </c>
      <c r="K9543" t="s">
        <v>249</v>
      </c>
      <c r="L9543">
        <v>1</v>
      </c>
      <c r="M9543" t="s">
        <v>33617</v>
      </c>
      <c r="N9543" t="s">
        <v>1024</v>
      </c>
      <c r="O9543" t="s">
        <v>46</v>
      </c>
      <c r="P9543" t="s">
        <v>46</v>
      </c>
      <c r="Y9543" t="s">
        <v>33618</v>
      </c>
    </row>
    <row r="9544" spans="1:25">
      <c r="A9544" t="s">
        <v>33619</v>
      </c>
      <c r="B9544" t="s">
        <v>33620</v>
      </c>
      <c r="D9544" t="s">
        <v>40</v>
      </c>
      <c r="E9544" t="s">
        <v>41</v>
      </c>
      <c r="J9544" t="s">
        <v>1142</v>
      </c>
      <c r="K9544" t="s">
        <v>1143</v>
      </c>
      <c r="L9544">
        <v>1</v>
      </c>
      <c r="M9544" t="s">
        <v>33621</v>
      </c>
      <c r="N9544" t="s">
        <v>350</v>
      </c>
      <c r="O9544" t="s">
        <v>46</v>
      </c>
      <c r="P9544" t="s">
        <v>46</v>
      </c>
      <c r="Y9544" t="s">
        <v>33622</v>
      </c>
    </row>
    <row r="9545" spans="1:25">
      <c r="A9545" t="s">
        <v>33623</v>
      </c>
      <c r="B9545" t="s">
        <v>33624</v>
      </c>
      <c r="D9545" t="s">
        <v>40</v>
      </c>
      <c r="E9545" t="s">
        <v>41</v>
      </c>
      <c r="J9545" t="s">
        <v>248</v>
      </c>
      <c r="K9545" t="s">
        <v>249</v>
      </c>
      <c r="L9545">
        <v>1</v>
      </c>
      <c r="M9545" t="s">
        <v>33625</v>
      </c>
      <c r="N9545" t="s">
        <v>2346</v>
      </c>
      <c r="O9545" t="s">
        <v>46</v>
      </c>
      <c r="P9545" t="s">
        <v>46</v>
      </c>
      <c r="Y9545" t="s">
        <v>33626</v>
      </c>
    </row>
    <row r="9546" spans="1:25">
      <c r="A9546" t="s">
        <v>33627</v>
      </c>
      <c r="B9546" t="s">
        <v>33628</v>
      </c>
      <c r="D9546" t="s">
        <v>40</v>
      </c>
      <c r="E9546" t="s">
        <v>41</v>
      </c>
      <c r="J9546" t="s">
        <v>1554</v>
      </c>
      <c r="K9546" t="s">
        <v>1555</v>
      </c>
      <c r="L9546">
        <v>1</v>
      </c>
      <c r="M9546" t="s">
        <v>33629</v>
      </c>
      <c r="N9546" t="s">
        <v>1814</v>
      </c>
      <c r="O9546" t="s">
        <v>46</v>
      </c>
      <c r="P9546" t="s">
        <v>46</v>
      </c>
      <c r="Y9546" t="s">
        <v>33630</v>
      </c>
    </row>
    <row r="9547" spans="1:25">
      <c r="A9547" t="s">
        <v>33631</v>
      </c>
      <c r="B9547" t="s">
        <v>33632</v>
      </c>
      <c r="D9547" t="s">
        <v>40</v>
      </c>
      <c r="E9547" t="s">
        <v>41</v>
      </c>
      <c r="J9547" t="s">
        <v>1554</v>
      </c>
      <c r="K9547" t="s">
        <v>1555</v>
      </c>
      <c r="L9547">
        <v>1</v>
      </c>
      <c r="M9547" t="s">
        <v>33633</v>
      </c>
      <c r="N9547" t="s">
        <v>4037</v>
      </c>
      <c r="O9547" t="s">
        <v>46</v>
      </c>
      <c r="P9547" t="s">
        <v>46</v>
      </c>
      <c r="Y9547" t="s">
        <v>33634</v>
      </c>
    </row>
    <row r="9548" spans="1:25">
      <c r="A9548" t="s">
        <v>33635</v>
      </c>
      <c r="B9548" t="s">
        <v>33636</v>
      </c>
      <c r="D9548" t="s">
        <v>40</v>
      </c>
      <c r="E9548" t="s">
        <v>41</v>
      </c>
      <c r="J9548" t="s">
        <v>248</v>
      </c>
      <c r="K9548" t="s">
        <v>249</v>
      </c>
      <c r="L9548">
        <v>1</v>
      </c>
      <c r="M9548" t="s">
        <v>33637</v>
      </c>
      <c r="N9548" t="s">
        <v>24240</v>
      </c>
      <c r="O9548" t="s">
        <v>46</v>
      </c>
      <c r="P9548" t="s">
        <v>46</v>
      </c>
      <c r="Y9548" t="s">
        <v>33638</v>
      </c>
    </row>
    <row r="9549" spans="1:25">
      <c r="A9549" t="s">
        <v>33639</v>
      </c>
      <c r="B9549" t="s">
        <v>33640</v>
      </c>
      <c r="D9549" t="s">
        <v>40</v>
      </c>
      <c r="E9549" t="s">
        <v>41</v>
      </c>
      <c r="J9549" t="s">
        <v>1142</v>
      </c>
      <c r="K9549" t="s">
        <v>1143</v>
      </c>
      <c r="L9549">
        <v>2</v>
      </c>
      <c r="M9549" t="s">
        <v>33641</v>
      </c>
      <c r="N9549" t="s">
        <v>142</v>
      </c>
      <c r="O9549" t="s">
        <v>46</v>
      </c>
      <c r="P9549" t="s">
        <v>46</v>
      </c>
      <c r="Y9549" t="s">
        <v>33642</v>
      </c>
    </row>
    <row r="9550" spans="1:25">
      <c r="A9550" t="s">
        <v>33643</v>
      </c>
      <c r="B9550" t="s">
        <v>33644</v>
      </c>
      <c r="D9550" t="s">
        <v>40</v>
      </c>
      <c r="E9550" t="s">
        <v>41</v>
      </c>
      <c r="J9550" t="s">
        <v>248</v>
      </c>
      <c r="K9550" t="s">
        <v>249</v>
      </c>
      <c r="L9550">
        <v>1</v>
      </c>
      <c r="M9550" t="s">
        <v>33645</v>
      </c>
      <c r="N9550" t="s">
        <v>1024</v>
      </c>
      <c r="O9550" t="s">
        <v>46</v>
      </c>
      <c r="P9550" t="s">
        <v>46</v>
      </c>
      <c r="Y9550" t="s">
        <v>33646</v>
      </c>
    </row>
    <row r="9551" spans="1:25">
      <c r="A9551" t="s">
        <v>33647</v>
      </c>
      <c r="B9551" t="s">
        <v>33648</v>
      </c>
      <c r="D9551" t="s">
        <v>40</v>
      </c>
      <c r="E9551" t="s">
        <v>41</v>
      </c>
      <c r="J9551" t="s">
        <v>248</v>
      </c>
      <c r="K9551" t="s">
        <v>249</v>
      </c>
      <c r="L9551">
        <v>2</v>
      </c>
      <c r="M9551" t="s">
        <v>33645</v>
      </c>
      <c r="N9551" t="s">
        <v>257</v>
      </c>
      <c r="O9551" t="s">
        <v>46</v>
      </c>
      <c r="P9551" t="s">
        <v>46</v>
      </c>
      <c r="Y9551" t="s">
        <v>33649</v>
      </c>
    </row>
    <row r="9552" spans="1:25">
      <c r="A9552" t="s">
        <v>33650</v>
      </c>
      <c r="B9552" t="s">
        <v>33651</v>
      </c>
      <c r="D9552" t="s">
        <v>40</v>
      </c>
      <c r="E9552" t="s">
        <v>41</v>
      </c>
      <c r="J9552" t="s">
        <v>14558</v>
      </c>
      <c r="K9552" t="s">
        <v>14559</v>
      </c>
      <c r="L9552">
        <v>1</v>
      </c>
      <c r="M9552" t="s">
        <v>33652</v>
      </c>
      <c r="N9552" t="s">
        <v>24227</v>
      </c>
      <c r="O9552" t="s">
        <v>46</v>
      </c>
      <c r="P9552" t="s">
        <v>46</v>
      </c>
      <c r="Y9552" t="s">
        <v>33653</v>
      </c>
    </row>
    <row r="9553" spans="1:25">
      <c r="A9553" t="s">
        <v>33654</v>
      </c>
      <c r="B9553" t="s">
        <v>33655</v>
      </c>
      <c r="D9553" t="s">
        <v>40</v>
      </c>
      <c r="E9553" t="s">
        <v>41</v>
      </c>
      <c r="J9553" t="s">
        <v>248</v>
      </c>
      <c r="K9553" t="s">
        <v>249</v>
      </c>
      <c r="L9553">
        <v>1</v>
      </c>
      <c r="M9553" t="s">
        <v>33656</v>
      </c>
      <c r="N9553" t="s">
        <v>950</v>
      </c>
      <c r="O9553" t="s">
        <v>46</v>
      </c>
      <c r="P9553" t="s">
        <v>46</v>
      </c>
      <c r="Y9553" t="s">
        <v>33657</v>
      </c>
    </row>
    <row r="9554" spans="1:25">
      <c r="A9554" t="s">
        <v>33658</v>
      </c>
      <c r="B9554" t="s">
        <v>33659</v>
      </c>
      <c r="D9554" t="s">
        <v>40</v>
      </c>
      <c r="E9554" t="s">
        <v>41</v>
      </c>
      <c r="J9554" t="s">
        <v>248</v>
      </c>
      <c r="K9554" t="s">
        <v>249</v>
      </c>
      <c r="L9554">
        <v>1</v>
      </c>
      <c r="M9554" t="s">
        <v>33660</v>
      </c>
      <c r="N9554" t="s">
        <v>24245</v>
      </c>
      <c r="O9554" t="s">
        <v>46</v>
      </c>
      <c r="P9554" t="s">
        <v>46</v>
      </c>
      <c r="Y9554" t="s">
        <v>33661</v>
      </c>
    </row>
    <row r="9555" spans="1:25">
      <c r="A9555" t="s">
        <v>33662</v>
      </c>
      <c r="B9555" t="s">
        <v>33663</v>
      </c>
      <c r="D9555" t="s">
        <v>40</v>
      </c>
      <c r="E9555" t="s">
        <v>41</v>
      </c>
      <c r="J9555" t="s">
        <v>1554</v>
      </c>
      <c r="K9555" t="s">
        <v>1555</v>
      </c>
      <c r="L9555">
        <v>1</v>
      </c>
      <c r="M9555" t="s">
        <v>33660</v>
      </c>
      <c r="N9555" t="s">
        <v>266</v>
      </c>
      <c r="O9555" t="s">
        <v>46</v>
      </c>
      <c r="P9555" t="s">
        <v>46</v>
      </c>
      <c r="Y9555" t="s">
        <v>33664</v>
      </c>
    </row>
    <row r="9556" spans="1:25">
      <c r="A9556" t="s">
        <v>33665</v>
      </c>
      <c r="B9556" t="s">
        <v>33666</v>
      </c>
      <c r="D9556" t="s">
        <v>40</v>
      </c>
      <c r="E9556" t="s">
        <v>41</v>
      </c>
      <c r="J9556" t="s">
        <v>248</v>
      </c>
      <c r="K9556" t="s">
        <v>249</v>
      </c>
      <c r="L9556">
        <v>1</v>
      </c>
      <c r="M9556" t="s">
        <v>33667</v>
      </c>
      <c r="N9556" t="s">
        <v>24240</v>
      </c>
      <c r="O9556" t="s">
        <v>46</v>
      </c>
      <c r="P9556" t="s">
        <v>46</v>
      </c>
      <c r="Y9556" t="s">
        <v>33668</v>
      </c>
    </row>
    <row r="9557" spans="1:25">
      <c r="A9557" t="s">
        <v>33669</v>
      </c>
      <c r="B9557" t="s">
        <v>33670</v>
      </c>
      <c r="D9557" t="s">
        <v>40</v>
      </c>
      <c r="E9557" t="s">
        <v>41</v>
      </c>
      <c r="J9557" t="s">
        <v>139</v>
      </c>
      <c r="K9557" t="s">
        <v>140</v>
      </c>
      <c r="L9557">
        <v>1</v>
      </c>
      <c r="M9557" t="s">
        <v>33671</v>
      </c>
      <c r="N9557" t="s">
        <v>950</v>
      </c>
      <c r="O9557" t="s">
        <v>46</v>
      </c>
      <c r="P9557" t="s">
        <v>46</v>
      </c>
      <c r="Y9557" t="s">
        <v>33672</v>
      </c>
    </row>
    <row r="9558" spans="1:25">
      <c r="A9558" t="s">
        <v>33673</v>
      </c>
      <c r="B9558" t="s">
        <v>33674</v>
      </c>
      <c r="D9558" t="s">
        <v>40</v>
      </c>
      <c r="E9558" t="s">
        <v>41</v>
      </c>
      <c r="J9558" t="s">
        <v>248</v>
      </c>
      <c r="K9558" t="s">
        <v>249</v>
      </c>
      <c r="L9558">
        <v>1</v>
      </c>
      <c r="M9558" t="s">
        <v>33675</v>
      </c>
      <c r="N9558" t="s">
        <v>24227</v>
      </c>
      <c r="O9558" t="s">
        <v>46</v>
      </c>
      <c r="P9558" t="s">
        <v>46</v>
      </c>
      <c r="Y9558" t="s">
        <v>33676</v>
      </c>
    </row>
    <row r="9559" spans="1:25">
      <c r="A9559" t="s">
        <v>33677</v>
      </c>
      <c r="B9559" t="s">
        <v>33678</v>
      </c>
      <c r="D9559" t="s">
        <v>40</v>
      </c>
      <c r="E9559" t="s">
        <v>41</v>
      </c>
      <c r="J9559" t="s">
        <v>6179</v>
      </c>
      <c r="K9559" t="s">
        <v>6180</v>
      </c>
      <c r="L9559">
        <v>1</v>
      </c>
      <c r="M9559" t="s">
        <v>33679</v>
      </c>
      <c r="N9559" t="s">
        <v>2346</v>
      </c>
      <c r="O9559" t="s">
        <v>46</v>
      </c>
      <c r="P9559" t="s">
        <v>46</v>
      </c>
      <c r="Y9559" t="s">
        <v>33680</v>
      </c>
    </row>
    <row r="9560" spans="1:25">
      <c r="A9560" t="s">
        <v>33681</v>
      </c>
      <c r="B9560" t="s">
        <v>33682</v>
      </c>
      <c r="D9560" t="s">
        <v>40</v>
      </c>
      <c r="E9560" t="s">
        <v>41</v>
      </c>
      <c r="J9560" t="s">
        <v>11802</v>
      </c>
      <c r="K9560" t="s">
        <v>11803</v>
      </c>
      <c r="L9560">
        <v>2</v>
      </c>
      <c r="M9560" t="s">
        <v>33683</v>
      </c>
      <c r="N9560" t="s">
        <v>58</v>
      </c>
      <c r="O9560" t="s">
        <v>46</v>
      </c>
      <c r="P9560" t="s">
        <v>46</v>
      </c>
      <c r="Y9560" t="s">
        <v>33684</v>
      </c>
    </row>
    <row r="9561" spans="1:25">
      <c r="A9561" t="s">
        <v>33685</v>
      </c>
      <c r="B9561" t="s">
        <v>33686</v>
      </c>
      <c r="D9561" t="s">
        <v>40</v>
      </c>
      <c r="E9561" t="s">
        <v>41</v>
      </c>
      <c r="J9561" t="s">
        <v>921</v>
      </c>
      <c r="K9561" t="s">
        <v>922</v>
      </c>
      <c r="L9561">
        <v>1</v>
      </c>
      <c r="M9561" t="s">
        <v>33687</v>
      </c>
      <c r="N9561" t="s">
        <v>436</v>
      </c>
      <c r="O9561" t="s">
        <v>46</v>
      </c>
      <c r="P9561" t="s">
        <v>46</v>
      </c>
      <c r="Y9561" t="s">
        <v>33688</v>
      </c>
    </row>
    <row r="9562" spans="1:25">
      <c r="A9562" t="s">
        <v>33689</v>
      </c>
      <c r="B9562" t="s">
        <v>33690</v>
      </c>
      <c r="D9562" t="s">
        <v>40</v>
      </c>
      <c r="E9562" t="s">
        <v>41</v>
      </c>
      <c r="J9562" t="s">
        <v>139</v>
      </c>
      <c r="K9562" t="s">
        <v>140</v>
      </c>
      <c r="L9562">
        <v>1</v>
      </c>
      <c r="M9562" t="s">
        <v>33691</v>
      </c>
      <c r="N9562" t="s">
        <v>24245</v>
      </c>
      <c r="O9562" t="s">
        <v>46</v>
      </c>
      <c r="P9562" t="s">
        <v>46</v>
      </c>
      <c r="Y9562" t="s">
        <v>33692</v>
      </c>
    </row>
    <row r="9563" spans="1:25">
      <c r="A9563" t="s">
        <v>33693</v>
      </c>
      <c r="B9563" t="s">
        <v>33694</v>
      </c>
      <c r="D9563" t="s">
        <v>40</v>
      </c>
      <c r="E9563" t="s">
        <v>41</v>
      </c>
      <c r="J9563" t="s">
        <v>1142</v>
      </c>
      <c r="K9563" t="s">
        <v>1143</v>
      </c>
      <c r="L9563">
        <v>1</v>
      </c>
      <c r="M9563" t="s">
        <v>33691</v>
      </c>
      <c r="N9563" t="s">
        <v>1814</v>
      </c>
      <c r="O9563" t="s">
        <v>46</v>
      </c>
      <c r="P9563" t="s">
        <v>46</v>
      </c>
      <c r="Y9563" t="s">
        <v>33695</v>
      </c>
    </row>
    <row r="9564" spans="1:25">
      <c r="A9564" t="s">
        <v>33696</v>
      </c>
      <c r="B9564" t="s">
        <v>33697</v>
      </c>
      <c r="D9564" t="s">
        <v>40</v>
      </c>
      <c r="E9564" t="s">
        <v>41</v>
      </c>
      <c r="J9564" t="s">
        <v>248</v>
      </c>
      <c r="K9564" t="s">
        <v>249</v>
      </c>
      <c r="L9564">
        <v>1</v>
      </c>
      <c r="M9564" t="s">
        <v>33698</v>
      </c>
      <c r="N9564" t="s">
        <v>1024</v>
      </c>
      <c r="O9564" t="s">
        <v>46</v>
      </c>
      <c r="P9564" t="s">
        <v>46</v>
      </c>
      <c r="Y9564" t="s">
        <v>33699</v>
      </c>
    </row>
    <row r="9565" spans="1:25">
      <c r="A9565" t="s">
        <v>33700</v>
      </c>
      <c r="B9565" t="s">
        <v>33701</v>
      </c>
      <c r="D9565" t="s">
        <v>40</v>
      </c>
      <c r="E9565" t="s">
        <v>41</v>
      </c>
      <c r="J9565" t="s">
        <v>139</v>
      </c>
      <c r="K9565" t="s">
        <v>140</v>
      </c>
      <c r="L9565">
        <v>1</v>
      </c>
      <c r="M9565" t="s">
        <v>33702</v>
      </c>
      <c r="N9565" t="s">
        <v>24245</v>
      </c>
      <c r="O9565" t="s">
        <v>46</v>
      </c>
      <c r="P9565" t="s">
        <v>46</v>
      </c>
      <c r="Y9565" t="s">
        <v>33703</v>
      </c>
    </row>
    <row r="9566" spans="1:25">
      <c r="A9566" t="s">
        <v>33704</v>
      </c>
      <c r="B9566" t="s">
        <v>33705</v>
      </c>
      <c r="D9566" t="s">
        <v>40</v>
      </c>
      <c r="E9566" t="s">
        <v>41</v>
      </c>
      <c r="J9566" t="s">
        <v>139</v>
      </c>
      <c r="K9566" t="s">
        <v>140</v>
      </c>
      <c r="L9566">
        <v>1</v>
      </c>
      <c r="M9566" t="s">
        <v>33706</v>
      </c>
      <c r="N9566" t="s">
        <v>924</v>
      </c>
      <c r="O9566" t="s">
        <v>46</v>
      </c>
      <c r="P9566" t="s">
        <v>46</v>
      </c>
      <c r="Y9566" t="s">
        <v>33707</v>
      </c>
    </row>
    <row r="9567" spans="1:25">
      <c r="A9567" t="s">
        <v>33708</v>
      </c>
      <c r="B9567" t="s">
        <v>33709</v>
      </c>
      <c r="D9567" t="s">
        <v>40</v>
      </c>
      <c r="E9567" t="s">
        <v>41</v>
      </c>
      <c r="J9567" t="s">
        <v>248</v>
      </c>
      <c r="K9567" t="s">
        <v>249</v>
      </c>
      <c r="L9567">
        <v>1</v>
      </c>
      <c r="M9567" t="s">
        <v>33710</v>
      </c>
      <c r="N9567" t="s">
        <v>950</v>
      </c>
      <c r="O9567" t="s">
        <v>46</v>
      </c>
      <c r="P9567" t="s">
        <v>46</v>
      </c>
      <c r="Y9567" t="s">
        <v>33711</v>
      </c>
    </row>
    <row r="9568" spans="1:25">
      <c r="A9568" t="s">
        <v>33712</v>
      </c>
      <c r="B9568" t="s">
        <v>33713</v>
      </c>
      <c r="D9568" t="s">
        <v>40</v>
      </c>
      <c r="E9568" t="s">
        <v>41</v>
      </c>
      <c r="J9568" t="s">
        <v>139</v>
      </c>
      <c r="K9568" t="s">
        <v>140</v>
      </c>
      <c r="L9568">
        <v>1</v>
      </c>
      <c r="M9568" t="s">
        <v>33714</v>
      </c>
      <c r="N9568" t="s">
        <v>25508</v>
      </c>
      <c r="O9568" t="s">
        <v>46</v>
      </c>
      <c r="P9568" t="s">
        <v>46</v>
      </c>
      <c r="Y9568" t="s">
        <v>33715</v>
      </c>
    </row>
    <row r="9569" spans="1:25">
      <c r="A9569" t="s">
        <v>33716</v>
      </c>
      <c r="B9569" t="s">
        <v>33717</v>
      </c>
      <c r="D9569" t="s">
        <v>40</v>
      </c>
      <c r="E9569" t="s">
        <v>41</v>
      </c>
      <c r="J9569" t="s">
        <v>1554</v>
      </c>
      <c r="K9569" t="s">
        <v>1555</v>
      </c>
      <c r="L9569">
        <v>1</v>
      </c>
      <c r="M9569" t="s">
        <v>33718</v>
      </c>
      <c r="N9569" t="s">
        <v>178</v>
      </c>
      <c r="O9569" t="s">
        <v>46</v>
      </c>
      <c r="P9569" t="s">
        <v>46</v>
      </c>
      <c r="Y9569" t="s">
        <v>33719</v>
      </c>
    </row>
    <row r="9570" spans="1:25">
      <c r="A9570" t="s">
        <v>33720</v>
      </c>
      <c r="B9570" t="s">
        <v>33721</v>
      </c>
      <c r="D9570" t="s">
        <v>40</v>
      </c>
      <c r="E9570" t="s">
        <v>41</v>
      </c>
      <c r="J9570" t="s">
        <v>139</v>
      </c>
      <c r="K9570" t="s">
        <v>140</v>
      </c>
      <c r="L9570">
        <v>1</v>
      </c>
      <c r="M9570" t="s">
        <v>33722</v>
      </c>
      <c r="N9570" t="s">
        <v>24245</v>
      </c>
      <c r="O9570" t="s">
        <v>46</v>
      </c>
      <c r="P9570" t="s">
        <v>46</v>
      </c>
      <c r="Y9570" t="s">
        <v>33723</v>
      </c>
    </row>
    <row r="9571" spans="1:25">
      <c r="A9571" t="s">
        <v>33724</v>
      </c>
      <c r="B9571" t="s">
        <v>33725</v>
      </c>
      <c r="D9571" t="s">
        <v>40</v>
      </c>
      <c r="E9571" t="s">
        <v>41</v>
      </c>
      <c r="J9571" t="s">
        <v>248</v>
      </c>
      <c r="K9571" t="s">
        <v>249</v>
      </c>
      <c r="L9571">
        <v>1</v>
      </c>
      <c r="M9571" t="s">
        <v>33726</v>
      </c>
      <c r="N9571" t="s">
        <v>1024</v>
      </c>
      <c r="O9571" t="s">
        <v>46</v>
      </c>
      <c r="P9571" t="s">
        <v>46</v>
      </c>
      <c r="Y9571" t="s">
        <v>33727</v>
      </c>
    </row>
    <row r="9572" spans="1:25">
      <c r="A9572" t="s">
        <v>33728</v>
      </c>
      <c r="B9572" t="s">
        <v>33729</v>
      </c>
      <c r="D9572" t="s">
        <v>40</v>
      </c>
      <c r="E9572" t="s">
        <v>41</v>
      </c>
      <c r="J9572" t="s">
        <v>139</v>
      </c>
      <c r="K9572" t="s">
        <v>140</v>
      </c>
      <c r="L9572">
        <v>1</v>
      </c>
      <c r="M9572" t="s">
        <v>33730</v>
      </c>
      <c r="N9572" t="s">
        <v>31581</v>
      </c>
      <c r="O9572" t="s">
        <v>46</v>
      </c>
      <c r="P9572" t="s">
        <v>46</v>
      </c>
      <c r="Y9572" t="s">
        <v>33731</v>
      </c>
    </row>
    <row r="9573" spans="1:25">
      <c r="A9573" t="s">
        <v>33732</v>
      </c>
      <c r="B9573" t="s">
        <v>33733</v>
      </c>
      <c r="D9573" t="s">
        <v>40</v>
      </c>
      <c r="E9573" t="s">
        <v>41</v>
      </c>
      <c r="J9573" t="s">
        <v>1142</v>
      </c>
      <c r="K9573" t="s">
        <v>1143</v>
      </c>
      <c r="L9573">
        <v>1</v>
      </c>
      <c r="M9573" t="s">
        <v>33730</v>
      </c>
      <c r="N9573" t="s">
        <v>53</v>
      </c>
      <c r="O9573" t="s">
        <v>46</v>
      </c>
      <c r="P9573" t="s">
        <v>46</v>
      </c>
      <c r="Y9573" t="s">
        <v>33734</v>
      </c>
    </row>
    <row r="9574" spans="1:25">
      <c r="A9574" t="s">
        <v>33735</v>
      </c>
      <c r="B9574" t="s">
        <v>33736</v>
      </c>
      <c r="D9574" t="s">
        <v>40</v>
      </c>
      <c r="E9574" t="s">
        <v>41</v>
      </c>
      <c r="J9574" t="s">
        <v>139</v>
      </c>
      <c r="K9574" t="s">
        <v>140</v>
      </c>
      <c r="L9574">
        <v>1</v>
      </c>
      <c r="M9574" t="s">
        <v>33737</v>
      </c>
      <c r="N9574" t="s">
        <v>24387</v>
      </c>
      <c r="O9574" t="s">
        <v>46</v>
      </c>
      <c r="P9574" t="s">
        <v>46</v>
      </c>
      <c r="Y9574" t="s">
        <v>33738</v>
      </c>
    </row>
    <row r="9575" spans="1:25">
      <c r="A9575" t="s">
        <v>33739</v>
      </c>
      <c r="B9575" t="s">
        <v>33740</v>
      </c>
      <c r="D9575" t="s">
        <v>40</v>
      </c>
      <c r="E9575" t="s">
        <v>41</v>
      </c>
      <c r="J9575" t="s">
        <v>1554</v>
      </c>
      <c r="K9575" t="s">
        <v>1555</v>
      </c>
      <c r="L9575">
        <v>1</v>
      </c>
      <c r="M9575" t="s">
        <v>33741</v>
      </c>
      <c r="N9575" t="s">
        <v>24227</v>
      </c>
      <c r="O9575" t="s">
        <v>46</v>
      </c>
      <c r="P9575" t="s">
        <v>46</v>
      </c>
      <c r="Y9575" t="s">
        <v>33742</v>
      </c>
    </row>
    <row r="9576" spans="1:25">
      <c r="A9576" t="s">
        <v>33743</v>
      </c>
      <c r="B9576" t="s">
        <v>33744</v>
      </c>
      <c r="D9576" t="s">
        <v>40</v>
      </c>
      <c r="E9576" t="s">
        <v>41</v>
      </c>
      <c r="J9576" t="s">
        <v>1554</v>
      </c>
      <c r="K9576" t="s">
        <v>1555</v>
      </c>
      <c r="L9576">
        <v>2</v>
      </c>
      <c r="M9576" t="s">
        <v>33741</v>
      </c>
      <c r="N9576" t="s">
        <v>1397</v>
      </c>
      <c r="O9576" t="s">
        <v>46</v>
      </c>
      <c r="P9576" t="s">
        <v>46</v>
      </c>
      <c r="Y9576" t="s">
        <v>33745</v>
      </c>
    </row>
    <row r="9577" spans="1:25">
      <c r="A9577" t="s">
        <v>33746</v>
      </c>
      <c r="B9577" t="s">
        <v>33747</v>
      </c>
      <c r="D9577" t="s">
        <v>40</v>
      </c>
      <c r="E9577" t="s">
        <v>41</v>
      </c>
      <c r="J9577" t="s">
        <v>248</v>
      </c>
      <c r="K9577" t="s">
        <v>249</v>
      </c>
      <c r="L9577">
        <v>1</v>
      </c>
      <c r="M9577" t="s">
        <v>33748</v>
      </c>
      <c r="N9577" t="s">
        <v>509</v>
      </c>
      <c r="O9577" t="s">
        <v>46</v>
      </c>
      <c r="P9577" t="s">
        <v>46</v>
      </c>
      <c r="Y9577" t="s">
        <v>33749</v>
      </c>
    </row>
    <row r="9578" spans="1:25">
      <c r="A9578" t="s">
        <v>33750</v>
      </c>
      <c r="B9578" t="s">
        <v>33751</v>
      </c>
      <c r="D9578" t="s">
        <v>40</v>
      </c>
      <c r="E9578" t="s">
        <v>41</v>
      </c>
      <c r="J9578" t="s">
        <v>139</v>
      </c>
      <c r="K9578" t="s">
        <v>140</v>
      </c>
      <c r="L9578">
        <v>1</v>
      </c>
      <c r="M9578" t="s">
        <v>33752</v>
      </c>
      <c r="N9578" t="s">
        <v>58</v>
      </c>
      <c r="O9578" t="s">
        <v>46</v>
      </c>
      <c r="P9578" t="s">
        <v>46</v>
      </c>
      <c r="Y9578" t="s">
        <v>33753</v>
      </c>
    </row>
    <row r="9579" spans="1:25">
      <c r="A9579" t="s">
        <v>33754</v>
      </c>
      <c r="B9579" t="s">
        <v>33755</v>
      </c>
      <c r="D9579" t="s">
        <v>40</v>
      </c>
      <c r="E9579" t="s">
        <v>41</v>
      </c>
      <c r="J9579" t="s">
        <v>248</v>
      </c>
      <c r="K9579" t="s">
        <v>249</v>
      </c>
      <c r="L9579">
        <v>1</v>
      </c>
      <c r="M9579" t="s">
        <v>33756</v>
      </c>
      <c r="N9579" t="s">
        <v>3013</v>
      </c>
      <c r="O9579" t="s">
        <v>46</v>
      </c>
      <c r="P9579" t="s">
        <v>46</v>
      </c>
      <c r="Y9579" t="s">
        <v>33757</v>
      </c>
    </row>
    <row r="9580" spans="1:25">
      <c r="A9580" t="s">
        <v>33758</v>
      </c>
      <c r="B9580" t="s">
        <v>33759</v>
      </c>
      <c r="D9580" t="s">
        <v>40</v>
      </c>
      <c r="E9580" t="s">
        <v>41</v>
      </c>
      <c r="J9580" t="s">
        <v>921</v>
      </c>
      <c r="K9580" t="s">
        <v>922</v>
      </c>
      <c r="L9580">
        <v>3</v>
      </c>
      <c r="M9580" t="s">
        <v>33760</v>
      </c>
      <c r="N9580" t="s">
        <v>756</v>
      </c>
      <c r="O9580" t="s">
        <v>46</v>
      </c>
      <c r="P9580" t="s">
        <v>46</v>
      </c>
      <c r="Y9580" t="s">
        <v>33761</v>
      </c>
    </row>
    <row r="9581" spans="1:25">
      <c r="A9581" t="s">
        <v>33762</v>
      </c>
      <c r="B9581" t="s">
        <v>33763</v>
      </c>
      <c r="D9581" t="s">
        <v>40</v>
      </c>
      <c r="E9581" t="s">
        <v>41</v>
      </c>
      <c r="J9581" t="s">
        <v>139</v>
      </c>
      <c r="K9581" t="s">
        <v>140</v>
      </c>
      <c r="L9581">
        <v>1</v>
      </c>
      <c r="M9581" t="s">
        <v>33764</v>
      </c>
      <c r="N9581" t="s">
        <v>509</v>
      </c>
      <c r="O9581" t="s">
        <v>46</v>
      </c>
      <c r="P9581" t="s">
        <v>46</v>
      </c>
      <c r="Y9581" t="s">
        <v>33765</v>
      </c>
    </row>
    <row r="9582" spans="1:25">
      <c r="A9582" t="s">
        <v>33766</v>
      </c>
      <c r="B9582" t="s">
        <v>33767</v>
      </c>
      <c r="D9582" t="s">
        <v>40</v>
      </c>
      <c r="E9582" t="s">
        <v>41</v>
      </c>
      <c r="J9582" t="s">
        <v>248</v>
      </c>
      <c r="K9582" t="s">
        <v>249</v>
      </c>
      <c r="L9582">
        <v>1</v>
      </c>
      <c r="M9582" t="s">
        <v>33768</v>
      </c>
      <c r="N9582" t="s">
        <v>58</v>
      </c>
      <c r="O9582" t="s">
        <v>46</v>
      </c>
      <c r="P9582" t="s">
        <v>46</v>
      </c>
      <c r="Y9582" t="s">
        <v>33769</v>
      </c>
    </row>
    <row r="9583" spans="1:25">
      <c r="A9583" t="s">
        <v>33770</v>
      </c>
      <c r="B9583" t="s">
        <v>33771</v>
      </c>
      <c r="D9583" t="s">
        <v>40</v>
      </c>
      <c r="E9583" t="s">
        <v>41</v>
      </c>
      <c r="J9583" t="s">
        <v>139</v>
      </c>
      <c r="K9583" t="s">
        <v>140</v>
      </c>
      <c r="L9583">
        <v>1</v>
      </c>
      <c r="M9583" t="s">
        <v>33772</v>
      </c>
      <c r="N9583" t="s">
        <v>178</v>
      </c>
      <c r="O9583" t="s">
        <v>46</v>
      </c>
      <c r="P9583" t="s">
        <v>46</v>
      </c>
      <c r="Y9583" t="s">
        <v>33773</v>
      </c>
    </row>
    <row r="9584" spans="1:25">
      <c r="A9584" t="s">
        <v>33774</v>
      </c>
      <c r="B9584" t="s">
        <v>33775</v>
      </c>
      <c r="D9584" t="s">
        <v>40</v>
      </c>
      <c r="E9584" t="s">
        <v>41</v>
      </c>
      <c r="J9584" t="s">
        <v>921</v>
      </c>
      <c r="K9584" t="s">
        <v>922</v>
      </c>
      <c r="L9584">
        <v>3</v>
      </c>
      <c r="M9584" t="s">
        <v>33772</v>
      </c>
      <c r="N9584" t="s">
        <v>1369</v>
      </c>
      <c r="O9584" t="s">
        <v>46</v>
      </c>
      <c r="P9584" t="s">
        <v>46</v>
      </c>
      <c r="Y9584" t="s">
        <v>33776</v>
      </c>
    </row>
    <row r="9585" spans="1:25">
      <c r="A9585" t="s">
        <v>33777</v>
      </c>
      <c r="B9585" t="s">
        <v>33778</v>
      </c>
      <c r="D9585" t="s">
        <v>40</v>
      </c>
      <c r="E9585" t="s">
        <v>41</v>
      </c>
      <c r="J9585" t="s">
        <v>2619</v>
      </c>
      <c r="K9585" t="s">
        <v>140</v>
      </c>
      <c r="L9585">
        <v>1</v>
      </c>
      <c r="M9585" t="s">
        <v>33779</v>
      </c>
      <c r="N9585" t="s">
        <v>2621</v>
      </c>
      <c r="O9585" t="s">
        <v>46</v>
      </c>
      <c r="P9585" t="s">
        <v>46</v>
      </c>
      <c r="Y9585" t="s">
        <v>33780</v>
      </c>
    </row>
    <row r="9586" spans="1:25">
      <c r="A9586" t="s">
        <v>33781</v>
      </c>
      <c r="B9586" t="s">
        <v>33782</v>
      </c>
      <c r="D9586" t="s">
        <v>40</v>
      </c>
      <c r="E9586" t="s">
        <v>41</v>
      </c>
      <c r="J9586" t="s">
        <v>248</v>
      </c>
      <c r="K9586" t="s">
        <v>249</v>
      </c>
      <c r="L9586">
        <v>1</v>
      </c>
      <c r="M9586" t="s">
        <v>33783</v>
      </c>
      <c r="N9586" t="s">
        <v>1814</v>
      </c>
      <c r="O9586" t="s">
        <v>46</v>
      </c>
      <c r="P9586" t="s">
        <v>46</v>
      </c>
      <c r="Y9586" t="s">
        <v>33784</v>
      </c>
    </row>
    <row r="9587" spans="1:25">
      <c r="A9587" t="s">
        <v>33785</v>
      </c>
      <c r="B9587" t="s">
        <v>33786</v>
      </c>
      <c r="D9587" t="s">
        <v>40</v>
      </c>
      <c r="E9587" t="s">
        <v>41</v>
      </c>
      <c r="J9587" t="s">
        <v>139</v>
      </c>
      <c r="K9587" t="s">
        <v>140</v>
      </c>
      <c r="L9587">
        <v>1</v>
      </c>
      <c r="M9587" t="s">
        <v>33787</v>
      </c>
      <c r="N9587" t="s">
        <v>25508</v>
      </c>
      <c r="O9587" t="s">
        <v>46</v>
      </c>
      <c r="P9587" t="s">
        <v>46</v>
      </c>
      <c r="Y9587" t="s">
        <v>33788</v>
      </c>
    </row>
    <row r="9588" spans="1:25">
      <c r="A9588" t="s">
        <v>33789</v>
      </c>
      <c r="B9588" t="s">
        <v>33790</v>
      </c>
      <c r="D9588" t="s">
        <v>40</v>
      </c>
      <c r="E9588" t="s">
        <v>41</v>
      </c>
      <c r="J9588" t="s">
        <v>248</v>
      </c>
      <c r="K9588" t="s">
        <v>249</v>
      </c>
      <c r="L9588">
        <v>1</v>
      </c>
      <c r="M9588" t="s">
        <v>33791</v>
      </c>
      <c r="N9588" t="s">
        <v>2621</v>
      </c>
      <c r="O9588" t="s">
        <v>46</v>
      </c>
      <c r="P9588" t="s">
        <v>46</v>
      </c>
      <c r="Y9588" t="s">
        <v>33792</v>
      </c>
    </row>
    <row r="9589" spans="1:25">
      <c r="A9589" t="s">
        <v>33793</v>
      </c>
      <c r="B9589" t="s">
        <v>33794</v>
      </c>
      <c r="D9589" t="s">
        <v>40</v>
      </c>
      <c r="E9589" t="s">
        <v>41</v>
      </c>
      <c r="J9589" t="s">
        <v>11802</v>
      </c>
      <c r="K9589" t="s">
        <v>11803</v>
      </c>
      <c r="L9589">
        <v>1</v>
      </c>
      <c r="M9589" t="s">
        <v>33791</v>
      </c>
      <c r="N9589" t="s">
        <v>24245</v>
      </c>
      <c r="O9589" t="s">
        <v>46</v>
      </c>
      <c r="P9589" t="s">
        <v>46</v>
      </c>
      <c r="Y9589" t="s">
        <v>33795</v>
      </c>
    </row>
    <row r="9590" spans="1:25">
      <c r="A9590" t="s">
        <v>33796</v>
      </c>
      <c r="B9590" t="s">
        <v>33797</v>
      </c>
      <c r="D9590" t="s">
        <v>40</v>
      </c>
      <c r="E9590" t="s">
        <v>41</v>
      </c>
      <c r="J9590" t="s">
        <v>248</v>
      </c>
      <c r="K9590" t="s">
        <v>249</v>
      </c>
      <c r="L9590">
        <v>1</v>
      </c>
      <c r="M9590" t="s">
        <v>33798</v>
      </c>
      <c r="N9590" t="s">
        <v>509</v>
      </c>
      <c r="O9590" t="s">
        <v>46</v>
      </c>
      <c r="P9590" t="s">
        <v>46</v>
      </c>
      <c r="Y9590" t="s">
        <v>33799</v>
      </c>
    </row>
    <row r="9591" spans="1:25">
      <c r="A9591" t="s">
        <v>33800</v>
      </c>
      <c r="B9591" t="s">
        <v>33801</v>
      </c>
      <c r="D9591" t="s">
        <v>40</v>
      </c>
      <c r="E9591" t="s">
        <v>41</v>
      </c>
      <c r="J9591" t="s">
        <v>1554</v>
      </c>
      <c r="K9591" t="s">
        <v>1555</v>
      </c>
      <c r="L9591">
        <v>1</v>
      </c>
      <c r="M9591" t="s">
        <v>33802</v>
      </c>
      <c r="N9591" t="s">
        <v>1397</v>
      </c>
      <c r="O9591" t="s">
        <v>46</v>
      </c>
      <c r="P9591" t="s">
        <v>46</v>
      </c>
      <c r="Y9591" t="s">
        <v>33803</v>
      </c>
    </row>
    <row r="9592" spans="1:25">
      <c r="A9592" t="s">
        <v>33804</v>
      </c>
      <c r="B9592" t="s">
        <v>33805</v>
      </c>
      <c r="D9592" t="s">
        <v>40</v>
      </c>
      <c r="E9592" t="s">
        <v>41</v>
      </c>
      <c r="J9592" t="s">
        <v>892</v>
      </c>
      <c r="K9592" t="s">
        <v>893</v>
      </c>
      <c r="L9592">
        <v>2</v>
      </c>
      <c r="M9592" t="s">
        <v>33806</v>
      </c>
      <c r="N9592" t="s">
        <v>440</v>
      </c>
      <c r="O9592" t="s">
        <v>46</v>
      </c>
      <c r="P9592" t="s">
        <v>46</v>
      </c>
      <c r="Y9592" t="s">
        <v>33807</v>
      </c>
    </row>
    <row r="9593" spans="1:25">
      <c r="A9593" t="s">
        <v>33808</v>
      </c>
      <c r="B9593" t="s">
        <v>33809</v>
      </c>
      <c r="D9593" t="s">
        <v>40</v>
      </c>
      <c r="E9593" t="s">
        <v>41</v>
      </c>
      <c r="J9593" t="s">
        <v>1142</v>
      </c>
      <c r="K9593" t="s">
        <v>1143</v>
      </c>
      <c r="L9593">
        <v>1</v>
      </c>
      <c r="M9593" t="s">
        <v>33810</v>
      </c>
      <c r="N9593" t="s">
        <v>53</v>
      </c>
      <c r="O9593" t="s">
        <v>46</v>
      </c>
      <c r="P9593" t="s">
        <v>46</v>
      </c>
      <c r="Y9593" t="s">
        <v>33811</v>
      </c>
    </row>
    <row r="9594" spans="1:25">
      <c r="A9594" t="s">
        <v>33812</v>
      </c>
      <c r="B9594" t="s">
        <v>33813</v>
      </c>
      <c r="D9594" t="s">
        <v>40</v>
      </c>
      <c r="E9594" t="s">
        <v>41</v>
      </c>
      <c r="J9594" t="s">
        <v>248</v>
      </c>
      <c r="K9594" t="s">
        <v>249</v>
      </c>
      <c r="L9594">
        <v>1</v>
      </c>
      <c r="M9594" t="s">
        <v>33814</v>
      </c>
      <c r="N9594" t="s">
        <v>24227</v>
      </c>
      <c r="O9594" t="s">
        <v>46</v>
      </c>
      <c r="P9594" t="s">
        <v>46</v>
      </c>
      <c r="Y9594" t="s">
        <v>33815</v>
      </c>
    </row>
    <row r="9595" spans="1:25">
      <c r="A9595" t="s">
        <v>33816</v>
      </c>
      <c r="B9595" t="s">
        <v>33817</v>
      </c>
      <c r="D9595" t="s">
        <v>40</v>
      </c>
      <c r="E9595" t="s">
        <v>41</v>
      </c>
      <c r="J9595" t="s">
        <v>12440</v>
      </c>
      <c r="K9595" t="s">
        <v>12441</v>
      </c>
      <c r="L9595">
        <v>2</v>
      </c>
      <c r="M9595" t="s">
        <v>33818</v>
      </c>
      <c r="N9595" t="s">
        <v>64</v>
      </c>
      <c r="O9595" t="s">
        <v>46</v>
      </c>
      <c r="P9595" t="s">
        <v>46</v>
      </c>
      <c r="Y9595" t="s">
        <v>33819</v>
      </c>
    </row>
    <row r="9596" spans="1:25">
      <c r="A9596" t="s">
        <v>33820</v>
      </c>
      <c r="B9596" t="s">
        <v>33821</v>
      </c>
      <c r="D9596" t="s">
        <v>40</v>
      </c>
      <c r="E9596" t="s">
        <v>41</v>
      </c>
      <c r="J9596" t="s">
        <v>248</v>
      </c>
      <c r="K9596" t="s">
        <v>249</v>
      </c>
      <c r="L9596">
        <v>1</v>
      </c>
      <c r="M9596" t="s">
        <v>33822</v>
      </c>
      <c r="N9596" t="s">
        <v>53</v>
      </c>
      <c r="O9596" t="s">
        <v>46</v>
      </c>
      <c r="P9596" t="s">
        <v>46</v>
      </c>
      <c r="Y9596" t="s">
        <v>33823</v>
      </c>
    </row>
    <row r="9597" spans="1:25">
      <c r="A9597" t="s">
        <v>33824</v>
      </c>
      <c r="B9597" t="s">
        <v>33825</v>
      </c>
      <c r="D9597" t="s">
        <v>40</v>
      </c>
      <c r="E9597" t="s">
        <v>41</v>
      </c>
      <c r="J9597" t="s">
        <v>248</v>
      </c>
      <c r="K9597" t="s">
        <v>249</v>
      </c>
      <c r="L9597">
        <v>1</v>
      </c>
      <c r="M9597" t="s">
        <v>33826</v>
      </c>
      <c r="N9597" t="s">
        <v>257</v>
      </c>
      <c r="O9597" t="s">
        <v>46</v>
      </c>
      <c r="P9597" t="s">
        <v>46</v>
      </c>
      <c r="Y9597" t="s">
        <v>33827</v>
      </c>
    </row>
    <row r="9598" spans="1:25">
      <c r="A9598" t="s">
        <v>33828</v>
      </c>
      <c r="B9598" t="s">
        <v>33829</v>
      </c>
      <c r="D9598" t="s">
        <v>40</v>
      </c>
      <c r="E9598" t="s">
        <v>41</v>
      </c>
      <c r="J9598" t="s">
        <v>248</v>
      </c>
      <c r="K9598" t="s">
        <v>249</v>
      </c>
      <c r="L9598">
        <v>1</v>
      </c>
      <c r="M9598" t="s">
        <v>33830</v>
      </c>
      <c r="N9598" t="s">
        <v>178</v>
      </c>
      <c r="O9598" t="s">
        <v>46</v>
      </c>
      <c r="P9598" t="s">
        <v>46</v>
      </c>
      <c r="Y9598" t="s">
        <v>33831</v>
      </c>
    </row>
    <row r="9599" spans="1:25">
      <c r="A9599" t="s">
        <v>33832</v>
      </c>
      <c r="B9599" t="s">
        <v>33833</v>
      </c>
      <c r="D9599" t="s">
        <v>40</v>
      </c>
      <c r="E9599" t="s">
        <v>41</v>
      </c>
      <c r="J9599" t="s">
        <v>911</v>
      </c>
      <c r="K9599" t="s">
        <v>912</v>
      </c>
      <c r="L9599">
        <v>1</v>
      </c>
      <c r="M9599" t="s">
        <v>33834</v>
      </c>
      <c r="N9599" t="s">
        <v>1550</v>
      </c>
      <c r="O9599" t="s">
        <v>46</v>
      </c>
      <c r="P9599" t="s">
        <v>46</v>
      </c>
      <c r="Y9599" t="s">
        <v>33835</v>
      </c>
    </row>
    <row r="9600" spans="1:25">
      <c r="A9600" t="s">
        <v>33836</v>
      </c>
      <c r="B9600" t="s">
        <v>33837</v>
      </c>
      <c r="D9600" t="s">
        <v>40</v>
      </c>
      <c r="E9600" t="s">
        <v>41</v>
      </c>
      <c r="J9600" t="s">
        <v>248</v>
      </c>
      <c r="K9600" t="s">
        <v>249</v>
      </c>
      <c r="L9600">
        <v>1</v>
      </c>
      <c r="M9600" t="s">
        <v>33838</v>
      </c>
      <c r="N9600" t="s">
        <v>436</v>
      </c>
      <c r="O9600" t="s">
        <v>46</v>
      </c>
      <c r="P9600" t="s">
        <v>46</v>
      </c>
      <c r="Y9600" t="s">
        <v>33839</v>
      </c>
    </row>
    <row r="9601" spans="1:25">
      <c r="A9601" t="s">
        <v>33840</v>
      </c>
      <c r="B9601" t="s">
        <v>33841</v>
      </c>
      <c r="D9601" t="s">
        <v>40</v>
      </c>
      <c r="E9601" t="s">
        <v>41</v>
      </c>
      <c r="J9601" t="s">
        <v>1142</v>
      </c>
      <c r="K9601" t="s">
        <v>1143</v>
      </c>
      <c r="L9601">
        <v>1</v>
      </c>
      <c r="M9601" t="s">
        <v>33842</v>
      </c>
      <c r="N9601" t="s">
        <v>142</v>
      </c>
      <c r="O9601" t="s">
        <v>46</v>
      </c>
      <c r="P9601" t="s">
        <v>46</v>
      </c>
      <c r="Y9601" t="s">
        <v>33843</v>
      </c>
    </row>
    <row r="9602" spans="1:25">
      <c r="A9602" t="s">
        <v>33844</v>
      </c>
      <c r="B9602" t="s">
        <v>33845</v>
      </c>
      <c r="D9602" t="s">
        <v>40</v>
      </c>
      <c r="E9602" t="s">
        <v>41</v>
      </c>
      <c r="J9602" t="s">
        <v>248</v>
      </c>
      <c r="K9602" t="s">
        <v>249</v>
      </c>
      <c r="L9602">
        <v>1</v>
      </c>
      <c r="M9602" t="s">
        <v>33846</v>
      </c>
      <c r="N9602" t="s">
        <v>3013</v>
      </c>
      <c r="O9602" t="s">
        <v>46</v>
      </c>
      <c r="P9602" t="s">
        <v>46</v>
      </c>
      <c r="Y9602" t="s">
        <v>33847</v>
      </c>
    </row>
    <row r="9603" spans="1:25">
      <c r="A9603" t="s">
        <v>33848</v>
      </c>
      <c r="B9603" t="s">
        <v>33849</v>
      </c>
      <c r="D9603" t="s">
        <v>40</v>
      </c>
      <c r="E9603" t="s">
        <v>41</v>
      </c>
      <c r="J9603" t="s">
        <v>1142</v>
      </c>
      <c r="K9603" t="s">
        <v>1143</v>
      </c>
      <c r="L9603">
        <v>1</v>
      </c>
      <c r="M9603" t="s">
        <v>33850</v>
      </c>
      <c r="N9603" t="s">
        <v>315</v>
      </c>
      <c r="O9603" t="s">
        <v>46</v>
      </c>
      <c r="P9603" t="s">
        <v>46</v>
      </c>
      <c r="Y9603" t="s">
        <v>33851</v>
      </c>
    </row>
    <row r="9604" spans="1:25">
      <c r="A9604" t="s">
        <v>33852</v>
      </c>
      <c r="B9604" t="s">
        <v>33853</v>
      </c>
      <c r="D9604" t="s">
        <v>40</v>
      </c>
      <c r="E9604" t="s">
        <v>41</v>
      </c>
      <c r="J9604" t="s">
        <v>1142</v>
      </c>
      <c r="K9604" t="s">
        <v>1143</v>
      </c>
      <c r="L9604">
        <v>1</v>
      </c>
      <c r="M9604" t="s">
        <v>33854</v>
      </c>
      <c r="N9604" t="s">
        <v>4037</v>
      </c>
      <c r="O9604" t="s">
        <v>46</v>
      </c>
      <c r="P9604" t="s">
        <v>46</v>
      </c>
      <c r="Y9604" t="s">
        <v>33855</v>
      </c>
    </row>
    <row r="9605" spans="1:25">
      <c r="A9605" t="s">
        <v>33856</v>
      </c>
      <c r="B9605" t="s">
        <v>33857</v>
      </c>
      <c r="D9605" t="s">
        <v>40</v>
      </c>
      <c r="E9605" t="s">
        <v>41</v>
      </c>
      <c r="J9605" t="s">
        <v>248</v>
      </c>
      <c r="K9605" t="s">
        <v>249</v>
      </c>
      <c r="L9605">
        <v>2</v>
      </c>
      <c r="M9605" t="s">
        <v>33858</v>
      </c>
      <c r="N9605" t="s">
        <v>1024</v>
      </c>
      <c r="O9605" t="s">
        <v>46</v>
      </c>
      <c r="P9605" t="s">
        <v>46</v>
      </c>
      <c r="Y9605" t="s">
        <v>33859</v>
      </c>
    </row>
    <row r="9606" spans="1:25">
      <c r="A9606" t="s">
        <v>33860</v>
      </c>
      <c r="B9606" t="s">
        <v>33861</v>
      </c>
      <c r="D9606" t="s">
        <v>40</v>
      </c>
      <c r="E9606" t="s">
        <v>41</v>
      </c>
      <c r="J9606" t="s">
        <v>1554</v>
      </c>
      <c r="K9606" t="s">
        <v>1555</v>
      </c>
      <c r="L9606">
        <v>1</v>
      </c>
      <c r="M9606" t="s">
        <v>33862</v>
      </c>
      <c r="N9606" t="s">
        <v>1397</v>
      </c>
      <c r="O9606" t="s">
        <v>46</v>
      </c>
      <c r="P9606" t="s">
        <v>46</v>
      </c>
      <c r="Y9606" t="s">
        <v>33863</v>
      </c>
    </row>
    <row r="9607" spans="1:25">
      <c r="A9607" t="s">
        <v>33864</v>
      </c>
      <c r="B9607" t="s">
        <v>33865</v>
      </c>
      <c r="D9607" t="s">
        <v>40</v>
      </c>
      <c r="E9607" t="s">
        <v>41</v>
      </c>
      <c r="J9607" t="s">
        <v>1142</v>
      </c>
      <c r="K9607" t="s">
        <v>1143</v>
      </c>
      <c r="L9607">
        <v>1</v>
      </c>
      <c r="M9607" t="s">
        <v>33866</v>
      </c>
      <c r="N9607" t="s">
        <v>950</v>
      </c>
      <c r="O9607" t="s">
        <v>46</v>
      </c>
      <c r="P9607" t="s">
        <v>46</v>
      </c>
      <c r="Y9607" t="s">
        <v>33867</v>
      </c>
    </row>
    <row r="9608" spans="1:25">
      <c r="A9608" t="s">
        <v>33868</v>
      </c>
      <c r="B9608" t="s">
        <v>33869</v>
      </c>
      <c r="D9608" t="s">
        <v>40</v>
      </c>
      <c r="E9608" t="s">
        <v>41</v>
      </c>
      <c r="J9608" t="s">
        <v>139</v>
      </c>
      <c r="K9608" t="s">
        <v>140</v>
      </c>
      <c r="L9608">
        <v>1</v>
      </c>
      <c r="M9608" t="s">
        <v>33870</v>
      </c>
      <c r="N9608" t="s">
        <v>1550</v>
      </c>
      <c r="O9608" t="s">
        <v>46</v>
      </c>
      <c r="P9608" t="s">
        <v>46</v>
      </c>
      <c r="Y9608" t="s">
        <v>33871</v>
      </c>
    </row>
    <row r="9609" spans="1:25">
      <c r="A9609" t="s">
        <v>33872</v>
      </c>
      <c r="B9609" t="s">
        <v>33873</v>
      </c>
      <c r="D9609" t="s">
        <v>40</v>
      </c>
      <c r="E9609" t="s">
        <v>41</v>
      </c>
      <c r="J9609" t="s">
        <v>14558</v>
      </c>
      <c r="K9609" t="s">
        <v>14559</v>
      </c>
      <c r="L9609">
        <v>1</v>
      </c>
      <c r="M9609" t="s">
        <v>33870</v>
      </c>
      <c r="N9609" t="s">
        <v>257</v>
      </c>
      <c r="O9609" t="s">
        <v>46</v>
      </c>
      <c r="P9609" t="s">
        <v>46</v>
      </c>
      <c r="Y9609" t="s">
        <v>33874</v>
      </c>
    </row>
    <row r="9610" spans="1:25">
      <c r="A9610" t="s">
        <v>33875</v>
      </c>
      <c r="B9610" t="s">
        <v>33876</v>
      </c>
      <c r="D9610" t="s">
        <v>40</v>
      </c>
      <c r="E9610" t="s">
        <v>41</v>
      </c>
      <c r="J9610" t="s">
        <v>911</v>
      </c>
      <c r="K9610" t="s">
        <v>912</v>
      </c>
      <c r="L9610">
        <v>1</v>
      </c>
      <c r="M9610" t="s">
        <v>33877</v>
      </c>
      <c r="N9610" t="s">
        <v>142</v>
      </c>
      <c r="O9610" t="s">
        <v>46</v>
      </c>
      <c r="P9610" t="s">
        <v>46</v>
      </c>
      <c r="Y9610" t="s">
        <v>33878</v>
      </c>
    </row>
    <row r="9611" spans="1:25">
      <c r="A9611" t="s">
        <v>33879</v>
      </c>
      <c r="B9611" t="s">
        <v>33880</v>
      </c>
      <c r="D9611" t="s">
        <v>40</v>
      </c>
      <c r="E9611" t="s">
        <v>41</v>
      </c>
      <c r="J9611" t="s">
        <v>248</v>
      </c>
      <c r="K9611" t="s">
        <v>249</v>
      </c>
      <c r="L9611">
        <v>1</v>
      </c>
      <c r="M9611" t="s">
        <v>33881</v>
      </c>
      <c r="N9611" t="s">
        <v>24245</v>
      </c>
      <c r="O9611" t="s">
        <v>46</v>
      </c>
      <c r="P9611" t="s">
        <v>46</v>
      </c>
      <c r="Y9611" t="s">
        <v>33882</v>
      </c>
    </row>
    <row r="9612" spans="1:25">
      <c r="A9612" t="s">
        <v>33883</v>
      </c>
      <c r="B9612" t="s">
        <v>33884</v>
      </c>
      <c r="D9612" t="s">
        <v>40</v>
      </c>
      <c r="E9612" t="s">
        <v>41</v>
      </c>
      <c r="J9612" t="s">
        <v>921</v>
      </c>
      <c r="K9612" t="s">
        <v>922</v>
      </c>
      <c r="L9612">
        <v>2</v>
      </c>
      <c r="M9612" t="s">
        <v>33885</v>
      </c>
      <c r="N9612" t="s">
        <v>24240</v>
      </c>
      <c r="O9612" t="s">
        <v>46</v>
      </c>
      <c r="P9612" t="s">
        <v>46</v>
      </c>
      <c r="Y9612" t="s">
        <v>33886</v>
      </c>
    </row>
    <row r="9613" spans="1:25">
      <c r="A9613" t="s">
        <v>33887</v>
      </c>
      <c r="B9613" t="s">
        <v>33888</v>
      </c>
      <c r="D9613" t="s">
        <v>40</v>
      </c>
      <c r="E9613" t="s">
        <v>41</v>
      </c>
      <c r="J9613" t="s">
        <v>248</v>
      </c>
      <c r="K9613" t="s">
        <v>249</v>
      </c>
      <c r="L9613">
        <v>1</v>
      </c>
      <c r="M9613" t="s">
        <v>33889</v>
      </c>
      <c r="N9613" t="s">
        <v>436</v>
      </c>
      <c r="O9613" t="s">
        <v>46</v>
      </c>
      <c r="P9613" t="s">
        <v>46</v>
      </c>
      <c r="Y9613" t="s">
        <v>33890</v>
      </c>
    </row>
    <row r="9614" spans="1:25">
      <c r="A9614" t="s">
        <v>33891</v>
      </c>
      <c r="B9614" t="s">
        <v>33892</v>
      </c>
      <c r="D9614" t="s">
        <v>40</v>
      </c>
      <c r="E9614" t="s">
        <v>41</v>
      </c>
      <c r="J9614" t="s">
        <v>248</v>
      </c>
      <c r="K9614" t="s">
        <v>249</v>
      </c>
      <c r="L9614">
        <v>1</v>
      </c>
      <c r="M9614" t="s">
        <v>33893</v>
      </c>
      <c r="N9614" t="s">
        <v>53</v>
      </c>
      <c r="O9614" t="s">
        <v>46</v>
      </c>
      <c r="P9614" t="s">
        <v>46</v>
      </c>
      <c r="Y9614" t="s">
        <v>33894</v>
      </c>
    </row>
    <row r="9615" spans="1:25">
      <c r="A9615" t="s">
        <v>33895</v>
      </c>
      <c r="B9615" t="s">
        <v>33896</v>
      </c>
      <c r="D9615" t="s">
        <v>40</v>
      </c>
      <c r="E9615" t="s">
        <v>41</v>
      </c>
      <c r="J9615" t="s">
        <v>16458</v>
      </c>
      <c r="K9615" t="s">
        <v>16459</v>
      </c>
      <c r="L9615">
        <v>1</v>
      </c>
      <c r="M9615" t="s">
        <v>33897</v>
      </c>
      <c r="N9615" t="s">
        <v>4037</v>
      </c>
      <c r="O9615" t="s">
        <v>46</v>
      </c>
      <c r="P9615" t="s">
        <v>46</v>
      </c>
      <c r="Y9615" t="s">
        <v>33898</v>
      </c>
    </row>
    <row r="9616" spans="1:25">
      <c r="A9616" t="s">
        <v>33899</v>
      </c>
      <c r="B9616" t="s">
        <v>33900</v>
      </c>
      <c r="D9616" t="s">
        <v>40</v>
      </c>
      <c r="E9616" t="s">
        <v>41</v>
      </c>
      <c r="J9616" t="s">
        <v>248</v>
      </c>
      <c r="K9616" t="s">
        <v>249</v>
      </c>
      <c r="L9616">
        <v>1</v>
      </c>
      <c r="M9616" t="s">
        <v>33901</v>
      </c>
      <c r="N9616" t="s">
        <v>257</v>
      </c>
      <c r="O9616" t="s">
        <v>46</v>
      </c>
      <c r="P9616" t="s">
        <v>46</v>
      </c>
      <c r="Y9616" t="s">
        <v>33902</v>
      </c>
    </row>
    <row r="9617" spans="1:25">
      <c r="A9617" t="s">
        <v>33903</v>
      </c>
      <c r="B9617" t="s">
        <v>33904</v>
      </c>
      <c r="D9617" t="s">
        <v>40</v>
      </c>
      <c r="E9617" t="s">
        <v>41</v>
      </c>
      <c r="J9617" t="s">
        <v>248</v>
      </c>
      <c r="K9617" t="s">
        <v>249</v>
      </c>
      <c r="L9617">
        <v>1</v>
      </c>
      <c r="M9617" t="s">
        <v>33905</v>
      </c>
      <c r="N9617" t="s">
        <v>350</v>
      </c>
      <c r="O9617" t="s">
        <v>46</v>
      </c>
      <c r="P9617" t="s">
        <v>46</v>
      </c>
      <c r="Y9617" t="s">
        <v>33906</v>
      </c>
    </row>
    <row r="9618" spans="1:25">
      <c r="A9618" t="s">
        <v>33907</v>
      </c>
      <c r="B9618" t="s">
        <v>33908</v>
      </c>
      <c r="D9618" t="s">
        <v>40</v>
      </c>
      <c r="E9618" t="s">
        <v>41</v>
      </c>
      <c r="J9618" t="s">
        <v>248</v>
      </c>
      <c r="K9618" t="s">
        <v>249</v>
      </c>
      <c r="L9618">
        <v>1</v>
      </c>
      <c r="M9618" t="s">
        <v>33909</v>
      </c>
      <c r="N9618" t="s">
        <v>24227</v>
      </c>
      <c r="O9618" t="s">
        <v>46</v>
      </c>
      <c r="P9618" t="s">
        <v>46</v>
      </c>
      <c r="Y9618" t="s">
        <v>33910</v>
      </c>
    </row>
    <row r="9619" spans="1:25">
      <c r="A9619" t="s">
        <v>33911</v>
      </c>
      <c r="B9619" t="s">
        <v>33912</v>
      </c>
      <c r="D9619" t="s">
        <v>40</v>
      </c>
      <c r="E9619" t="s">
        <v>41</v>
      </c>
      <c r="J9619" t="s">
        <v>248</v>
      </c>
      <c r="K9619" t="s">
        <v>249</v>
      </c>
      <c r="L9619">
        <v>1</v>
      </c>
      <c r="M9619" t="s">
        <v>33913</v>
      </c>
      <c r="N9619" t="s">
        <v>142</v>
      </c>
      <c r="O9619" t="s">
        <v>46</v>
      </c>
      <c r="P9619" t="s">
        <v>46</v>
      </c>
      <c r="Y9619" t="s">
        <v>33914</v>
      </c>
    </row>
    <row r="9620" spans="1:25">
      <c r="A9620" t="s">
        <v>33915</v>
      </c>
      <c r="B9620" t="s">
        <v>33916</v>
      </c>
      <c r="D9620" t="s">
        <v>40</v>
      </c>
      <c r="E9620" t="s">
        <v>41</v>
      </c>
      <c r="J9620" t="s">
        <v>248</v>
      </c>
      <c r="K9620" t="s">
        <v>249</v>
      </c>
      <c r="L9620">
        <v>1</v>
      </c>
      <c r="M9620" t="s">
        <v>33917</v>
      </c>
      <c r="N9620" t="s">
        <v>58</v>
      </c>
      <c r="O9620" t="s">
        <v>46</v>
      </c>
      <c r="P9620" t="s">
        <v>46</v>
      </c>
      <c r="Y9620" t="s">
        <v>33918</v>
      </c>
    </row>
    <row r="9621" spans="1:25">
      <c r="A9621" t="s">
        <v>33919</v>
      </c>
      <c r="B9621" t="s">
        <v>33920</v>
      </c>
      <c r="D9621" t="s">
        <v>40</v>
      </c>
      <c r="E9621" t="s">
        <v>41</v>
      </c>
      <c r="J9621" t="s">
        <v>1142</v>
      </c>
      <c r="K9621" t="s">
        <v>1143</v>
      </c>
      <c r="L9621">
        <v>1</v>
      </c>
      <c r="M9621" t="s">
        <v>33921</v>
      </c>
      <c r="N9621" t="s">
        <v>2621</v>
      </c>
      <c r="O9621" t="s">
        <v>46</v>
      </c>
      <c r="P9621" t="s">
        <v>46</v>
      </c>
      <c r="Y9621" t="s">
        <v>33922</v>
      </c>
    </row>
    <row r="9622" spans="1:25">
      <c r="A9622" t="s">
        <v>33923</v>
      </c>
      <c r="B9622" t="s">
        <v>33924</v>
      </c>
      <c r="D9622" t="s">
        <v>40</v>
      </c>
      <c r="E9622" t="s">
        <v>41</v>
      </c>
      <c r="J9622" t="s">
        <v>248</v>
      </c>
      <c r="K9622" t="s">
        <v>249</v>
      </c>
      <c r="L9622">
        <v>1</v>
      </c>
      <c r="M9622" t="s">
        <v>33925</v>
      </c>
      <c r="N9622" t="s">
        <v>5995</v>
      </c>
      <c r="O9622" t="s">
        <v>46</v>
      </c>
      <c r="P9622" t="s">
        <v>46</v>
      </c>
      <c r="Y9622" t="s">
        <v>33926</v>
      </c>
    </row>
    <row r="9623" spans="1:25">
      <c r="A9623" t="s">
        <v>33927</v>
      </c>
      <c r="B9623" t="s">
        <v>33928</v>
      </c>
      <c r="D9623" t="s">
        <v>40</v>
      </c>
      <c r="E9623" t="s">
        <v>41</v>
      </c>
      <c r="J9623" t="s">
        <v>248</v>
      </c>
      <c r="K9623" t="s">
        <v>249</v>
      </c>
      <c r="L9623">
        <v>1</v>
      </c>
      <c r="M9623" t="s">
        <v>33929</v>
      </c>
      <c r="N9623" t="s">
        <v>45</v>
      </c>
      <c r="O9623" t="s">
        <v>46</v>
      </c>
      <c r="P9623" t="s">
        <v>46</v>
      </c>
      <c r="Y9623" t="s">
        <v>33930</v>
      </c>
    </row>
    <row r="9624" spans="1:25">
      <c r="A9624" t="s">
        <v>33931</v>
      </c>
      <c r="B9624" t="s">
        <v>33932</v>
      </c>
      <c r="D9624" t="s">
        <v>40</v>
      </c>
      <c r="E9624" t="s">
        <v>41</v>
      </c>
      <c r="J9624" t="s">
        <v>248</v>
      </c>
      <c r="K9624" t="s">
        <v>249</v>
      </c>
      <c r="L9624">
        <v>2</v>
      </c>
      <c r="M9624" t="s">
        <v>33933</v>
      </c>
      <c r="N9624" t="s">
        <v>142</v>
      </c>
      <c r="O9624" t="s">
        <v>46</v>
      </c>
      <c r="P9624" t="s">
        <v>46</v>
      </c>
      <c r="Y9624" t="s">
        <v>33934</v>
      </c>
    </row>
    <row r="9625" spans="1:25">
      <c r="A9625" t="s">
        <v>33935</v>
      </c>
      <c r="B9625" t="s">
        <v>33936</v>
      </c>
      <c r="D9625" t="s">
        <v>40</v>
      </c>
      <c r="E9625" t="s">
        <v>41</v>
      </c>
      <c r="J9625" t="s">
        <v>1142</v>
      </c>
      <c r="K9625" t="s">
        <v>1143</v>
      </c>
      <c r="L9625">
        <v>1</v>
      </c>
      <c r="M9625" t="s">
        <v>33937</v>
      </c>
      <c r="N9625" t="s">
        <v>950</v>
      </c>
      <c r="O9625" t="s">
        <v>46</v>
      </c>
      <c r="P9625" t="s">
        <v>46</v>
      </c>
      <c r="Y9625" t="s">
        <v>33938</v>
      </c>
    </row>
    <row r="9626" spans="1:25">
      <c r="A9626" t="s">
        <v>33939</v>
      </c>
      <c r="B9626" t="s">
        <v>33940</v>
      </c>
      <c r="D9626" t="s">
        <v>40</v>
      </c>
      <c r="E9626" t="s">
        <v>41</v>
      </c>
      <c r="J9626" t="s">
        <v>248</v>
      </c>
      <c r="K9626" t="s">
        <v>249</v>
      </c>
      <c r="L9626">
        <v>1</v>
      </c>
      <c r="M9626" t="s">
        <v>33937</v>
      </c>
      <c r="N9626" t="s">
        <v>1024</v>
      </c>
      <c r="O9626" t="s">
        <v>46</v>
      </c>
      <c r="P9626" t="s">
        <v>46</v>
      </c>
      <c r="Y9626" t="s">
        <v>33941</v>
      </c>
    </row>
    <row r="9627" spans="1:25">
      <c r="A9627" t="s">
        <v>33942</v>
      </c>
      <c r="B9627" t="s">
        <v>33943</v>
      </c>
      <c r="D9627" t="s">
        <v>40</v>
      </c>
      <c r="E9627" t="s">
        <v>41</v>
      </c>
      <c r="J9627" t="s">
        <v>1554</v>
      </c>
      <c r="K9627" t="s">
        <v>1555</v>
      </c>
      <c r="L9627">
        <v>1</v>
      </c>
      <c r="M9627" t="s">
        <v>33944</v>
      </c>
      <c r="N9627" t="s">
        <v>45</v>
      </c>
      <c r="O9627" t="s">
        <v>46</v>
      </c>
      <c r="P9627" t="s">
        <v>46</v>
      </c>
      <c r="Y9627" t="s">
        <v>33945</v>
      </c>
    </row>
    <row r="9628" spans="1:25">
      <c r="A9628" t="s">
        <v>33946</v>
      </c>
      <c r="B9628" t="s">
        <v>33947</v>
      </c>
      <c r="D9628" t="s">
        <v>40</v>
      </c>
      <c r="E9628" t="s">
        <v>41</v>
      </c>
      <c r="J9628" t="s">
        <v>139</v>
      </c>
      <c r="K9628" t="s">
        <v>140</v>
      </c>
      <c r="L9628">
        <v>1</v>
      </c>
      <c r="M9628" t="s">
        <v>33948</v>
      </c>
      <c r="N9628" t="s">
        <v>24387</v>
      </c>
      <c r="O9628" t="s">
        <v>46</v>
      </c>
      <c r="P9628" t="s">
        <v>46</v>
      </c>
      <c r="Y9628" t="s">
        <v>33949</v>
      </c>
    </row>
    <row r="9629" spans="1:25">
      <c r="A9629" t="s">
        <v>33950</v>
      </c>
      <c r="B9629" t="s">
        <v>33951</v>
      </c>
      <c r="D9629" t="s">
        <v>40</v>
      </c>
      <c r="E9629" t="s">
        <v>41</v>
      </c>
      <c r="J9629" t="s">
        <v>1142</v>
      </c>
      <c r="K9629" t="s">
        <v>1143</v>
      </c>
      <c r="L9629">
        <v>1</v>
      </c>
      <c r="M9629" t="s">
        <v>33952</v>
      </c>
      <c r="N9629" t="s">
        <v>3013</v>
      </c>
      <c r="O9629" t="s">
        <v>46</v>
      </c>
      <c r="P9629" t="s">
        <v>46</v>
      </c>
      <c r="Y9629" t="s">
        <v>33953</v>
      </c>
    </row>
    <row r="9630" spans="1:25">
      <c r="A9630" t="s">
        <v>33954</v>
      </c>
      <c r="B9630" t="s">
        <v>33955</v>
      </c>
      <c r="D9630" t="s">
        <v>40</v>
      </c>
      <c r="E9630" t="s">
        <v>41</v>
      </c>
      <c r="J9630" t="s">
        <v>248</v>
      </c>
      <c r="K9630" t="s">
        <v>249</v>
      </c>
      <c r="L9630">
        <v>1</v>
      </c>
      <c r="M9630" t="s">
        <v>33956</v>
      </c>
      <c r="N9630" t="s">
        <v>178</v>
      </c>
      <c r="O9630" t="s">
        <v>46</v>
      </c>
      <c r="P9630" t="s">
        <v>46</v>
      </c>
      <c r="Y9630" t="s">
        <v>33957</v>
      </c>
    </row>
    <row r="9631" spans="1:25">
      <c r="A9631" t="s">
        <v>33958</v>
      </c>
      <c r="B9631" t="s">
        <v>33959</v>
      </c>
      <c r="D9631" t="s">
        <v>40</v>
      </c>
      <c r="E9631" t="s">
        <v>41</v>
      </c>
      <c r="J9631" t="s">
        <v>248</v>
      </c>
      <c r="K9631" t="s">
        <v>249</v>
      </c>
      <c r="L9631">
        <v>1</v>
      </c>
      <c r="M9631" t="s">
        <v>33960</v>
      </c>
      <c r="N9631" t="s">
        <v>1478</v>
      </c>
      <c r="O9631" t="s">
        <v>46</v>
      </c>
      <c r="P9631" t="s">
        <v>46</v>
      </c>
      <c r="Y9631" t="s">
        <v>33961</v>
      </c>
    </row>
    <row r="9632" spans="1:25">
      <c r="A9632" t="s">
        <v>33962</v>
      </c>
      <c r="B9632" t="s">
        <v>33963</v>
      </c>
      <c r="D9632" t="s">
        <v>40</v>
      </c>
      <c r="E9632" t="s">
        <v>41</v>
      </c>
      <c r="J9632" t="s">
        <v>248</v>
      </c>
      <c r="K9632" t="s">
        <v>249</v>
      </c>
      <c r="L9632">
        <v>1</v>
      </c>
      <c r="M9632" t="s">
        <v>33964</v>
      </c>
      <c r="N9632" t="s">
        <v>257</v>
      </c>
      <c r="O9632" t="s">
        <v>46</v>
      </c>
      <c r="P9632" t="s">
        <v>46</v>
      </c>
      <c r="Y9632" t="s">
        <v>33965</v>
      </c>
    </row>
    <row r="9633" spans="1:25">
      <c r="A9633" t="s">
        <v>33966</v>
      </c>
      <c r="B9633" t="s">
        <v>33967</v>
      </c>
      <c r="D9633" t="s">
        <v>40</v>
      </c>
      <c r="E9633" t="s">
        <v>41</v>
      </c>
      <c r="J9633" t="s">
        <v>248</v>
      </c>
      <c r="K9633" t="s">
        <v>249</v>
      </c>
      <c r="L9633">
        <v>1</v>
      </c>
      <c r="M9633" t="s">
        <v>33968</v>
      </c>
      <c r="N9633" t="s">
        <v>53</v>
      </c>
      <c r="O9633" t="s">
        <v>46</v>
      </c>
      <c r="P9633" t="s">
        <v>46</v>
      </c>
      <c r="Y9633" t="s">
        <v>33969</v>
      </c>
    </row>
    <row r="9634" spans="1:25">
      <c r="A9634" t="s">
        <v>33970</v>
      </c>
      <c r="B9634" t="s">
        <v>33971</v>
      </c>
      <c r="D9634" t="s">
        <v>40</v>
      </c>
      <c r="E9634" t="s">
        <v>41</v>
      </c>
      <c r="J9634" t="s">
        <v>248</v>
      </c>
      <c r="K9634" t="s">
        <v>249</v>
      </c>
      <c r="L9634">
        <v>1</v>
      </c>
      <c r="M9634" t="s">
        <v>33972</v>
      </c>
      <c r="N9634" t="s">
        <v>24227</v>
      </c>
      <c r="O9634" t="s">
        <v>46</v>
      </c>
      <c r="P9634" t="s">
        <v>46</v>
      </c>
      <c r="Y9634" t="s">
        <v>33973</v>
      </c>
    </row>
    <row r="9635" spans="1:25">
      <c r="A9635" t="s">
        <v>33974</v>
      </c>
      <c r="B9635" t="s">
        <v>33975</v>
      </c>
      <c r="D9635" t="s">
        <v>40</v>
      </c>
      <c r="E9635" t="s">
        <v>41</v>
      </c>
      <c r="J9635" t="s">
        <v>1554</v>
      </c>
      <c r="K9635" t="s">
        <v>1555</v>
      </c>
      <c r="L9635">
        <v>1</v>
      </c>
      <c r="M9635" t="s">
        <v>33976</v>
      </c>
      <c r="N9635" t="s">
        <v>950</v>
      </c>
      <c r="O9635" t="s">
        <v>46</v>
      </c>
      <c r="P9635" t="s">
        <v>46</v>
      </c>
      <c r="Y9635" t="s">
        <v>33977</v>
      </c>
    </row>
    <row r="9636" spans="1:25">
      <c r="A9636" t="s">
        <v>33978</v>
      </c>
      <c r="B9636" t="s">
        <v>33979</v>
      </c>
      <c r="D9636" t="s">
        <v>40</v>
      </c>
      <c r="E9636" t="s">
        <v>41</v>
      </c>
      <c r="J9636" t="s">
        <v>248</v>
      </c>
      <c r="K9636" t="s">
        <v>249</v>
      </c>
      <c r="L9636">
        <v>1</v>
      </c>
      <c r="M9636" t="s">
        <v>33980</v>
      </c>
      <c r="N9636" t="s">
        <v>25508</v>
      </c>
      <c r="O9636" t="s">
        <v>46</v>
      </c>
      <c r="P9636" t="s">
        <v>46</v>
      </c>
      <c r="Y9636" t="s">
        <v>33981</v>
      </c>
    </row>
    <row r="9637" spans="1:25">
      <c r="A9637" t="s">
        <v>33982</v>
      </c>
      <c r="B9637" t="s">
        <v>33983</v>
      </c>
      <c r="D9637" t="s">
        <v>40</v>
      </c>
      <c r="E9637" t="s">
        <v>41</v>
      </c>
      <c r="J9637" t="s">
        <v>248</v>
      </c>
      <c r="K9637" t="s">
        <v>249</v>
      </c>
      <c r="L9637">
        <v>1</v>
      </c>
      <c r="M9637" t="s">
        <v>33984</v>
      </c>
      <c r="N9637" t="s">
        <v>24245</v>
      </c>
      <c r="O9637" t="s">
        <v>46</v>
      </c>
      <c r="P9637" t="s">
        <v>46</v>
      </c>
      <c r="Y9637" t="s">
        <v>33985</v>
      </c>
    </row>
    <row r="9638" spans="1:25">
      <c r="A9638" t="s">
        <v>33986</v>
      </c>
      <c r="B9638" t="s">
        <v>33987</v>
      </c>
      <c r="D9638" t="s">
        <v>40</v>
      </c>
      <c r="E9638" t="s">
        <v>41</v>
      </c>
      <c r="J9638" t="s">
        <v>1554</v>
      </c>
      <c r="K9638" t="s">
        <v>1555</v>
      </c>
      <c r="L9638">
        <v>1</v>
      </c>
      <c r="M9638" t="s">
        <v>33988</v>
      </c>
      <c r="N9638" t="s">
        <v>1024</v>
      </c>
      <c r="O9638" t="s">
        <v>46</v>
      </c>
      <c r="P9638" t="s">
        <v>46</v>
      </c>
      <c r="Y9638" t="s">
        <v>33989</v>
      </c>
    </row>
    <row r="9639" spans="1:25">
      <c r="A9639" t="s">
        <v>33990</v>
      </c>
      <c r="B9639" t="s">
        <v>33991</v>
      </c>
      <c r="D9639" t="s">
        <v>40</v>
      </c>
      <c r="E9639" t="s">
        <v>41</v>
      </c>
      <c r="J9639" t="s">
        <v>139</v>
      </c>
      <c r="K9639" t="s">
        <v>140</v>
      </c>
      <c r="L9639">
        <v>1</v>
      </c>
      <c r="M9639" t="s">
        <v>33992</v>
      </c>
      <c r="N9639" t="s">
        <v>24387</v>
      </c>
      <c r="O9639" t="s">
        <v>46</v>
      </c>
      <c r="P9639" t="s">
        <v>46</v>
      </c>
      <c r="Y9639" t="s">
        <v>33993</v>
      </c>
    </row>
    <row r="9640" spans="1:25">
      <c r="A9640" t="s">
        <v>33994</v>
      </c>
      <c r="B9640" t="s">
        <v>33995</v>
      </c>
      <c r="D9640" t="s">
        <v>40</v>
      </c>
      <c r="E9640" t="s">
        <v>41</v>
      </c>
      <c r="J9640" t="s">
        <v>1142</v>
      </c>
      <c r="K9640" t="s">
        <v>1143</v>
      </c>
      <c r="L9640">
        <v>1</v>
      </c>
      <c r="M9640" t="s">
        <v>33996</v>
      </c>
      <c r="N9640" t="s">
        <v>3013</v>
      </c>
      <c r="O9640" t="s">
        <v>46</v>
      </c>
      <c r="P9640" t="s">
        <v>46</v>
      </c>
      <c r="Y9640" t="s">
        <v>33997</v>
      </c>
    </row>
    <row r="9641" spans="1:25">
      <c r="A9641" t="s">
        <v>33998</v>
      </c>
      <c r="B9641" t="s">
        <v>33999</v>
      </c>
      <c r="D9641" t="s">
        <v>40</v>
      </c>
      <c r="E9641" t="s">
        <v>41</v>
      </c>
      <c r="J9641" t="s">
        <v>892</v>
      </c>
      <c r="K9641" t="s">
        <v>893</v>
      </c>
      <c r="L9641">
        <v>1</v>
      </c>
      <c r="M9641" t="s">
        <v>34000</v>
      </c>
      <c r="N9641" t="s">
        <v>45</v>
      </c>
      <c r="O9641" t="s">
        <v>46</v>
      </c>
      <c r="P9641" t="s">
        <v>46</v>
      </c>
      <c r="Y9641" t="s">
        <v>34001</v>
      </c>
    </row>
    <row r="9642" spans="1:25">
      <c r="A9642" t="s">
        <v>34002</v>
      </c>
      <c r="B9642" t="s">
        <v>34003</v>
      </c>
      <c r="D9642" t="s">
        <v>40</v>
      </c>
      <c r="E9642" t="s">
        <v>41</v>
      </c>
      <c r="J9642" t="s">
        <v>248</v>
      </c>
      <c r="K9642" t="s">
        <v>249</v>
      </c>
      <c r="L9642">
        <v>1</v>
      </c>
      <c r="M9642" t="s">
        <v>34004</v>
      </c>
      <c r="N9642" t="s">
        <v>24227</v>
      </c>
      <c r="O9642" t="s">
        <v>46</v>
      </c>
      <c r="P9642" t="s">
        <v>46</v>
      </c>
      <c r="Y9642" t="s">
        <v>34005</v>
      </c>
    </row>
    <row r="9643" spans="1:25">
      <c r="A9643" t="s">
        <v>34006</v>
      </c>
      <c r="B9643" t="s">
        <v>34007</v>
      </c>
      <c r="D9643" t="s">
        <v>40</v>
      </c>
      <c r="E9643" t="s">
        <v>41</v>
      </c>
      <c r="J9643" t="s">
        <v>14558</v>
      </c>
      <c r="K9643" t="s">
        <v>14559</v>
      </c>
      <c r="L9643">
        <v>1</v>
      </c>
      <c r="M9643" t="s">
        <v>34008</v>
      </c>
      <c r="N9643" t="s">
        <v>1024</v>
      </c>
      <c r="O9643" t="s">
        <v>46</v>
      </c>
      <c r="P9643" t="s">
        <v>46</v>
      </c>
      <c r="Y9643" t="s">
        <v>34009</v>
      </c>
    </row>
    <row r="9644" spans="1:25">
      <c r="A9644" t="s">
        <v>34010</v>
      </c>
      <c r="B9644" t="s">
        <v>34011</v>
      </c>
      <c r="D9644" t="s">
        <v>40</v>
      </c>
      <c r="E9644" t="s">
        <v>41</v>
      </c>
      <c r="J9644" t="s">
        <v>1142</v>
      </c>
      <c r="K9644" t="s">
        <v>1143</v>
      </c>
      <c r="L9644">
        <v>1</v>
      </c>
      <c r="M9644" t="s">
        <v>34012</v>
      </c>
      <c r="N9644" t="s">
        <v>924</v>
      </c>
      <c r="O9644" t="s">
        <v>46</v>
      </c>
      <c r="P9644" t="s">
        <v>46</v>
      </c>
      <c r="Y9644" t="s">
        <v>34013</v>
      </c>
    </row>
    <row r="9645" spans="1:25">
      <c r="A9645" t="s">
        <v>34014</v>
      </c>
      <c r="B9645" t="s">
        <v>34015</v>
      </c>
      <c r="D9645" t="s">
        <v>40</v>
      </c>
      <c r="E9645" t="s">
        <v>41</v>
      </c>
      <c r="J9645" t="s">
        <v>248</v>
      </c>
      <c r="K9645" t="s">
        <v>249</v>
      </c>
      <c r="L9645">
        <v>1</v>
      </c>
      <c r="M9645" t="s">
        <v>34016</v>
      </c>
      <c r="N9645" t="s">
        <v>53</v>
      </c>
      <c r="O9645" t="s">
        <v>46</v>
      </c>
      <c r="P9645" t="s">
        <v>46</v>
      </c>
      <c r="Y9645" t="s">
        <v>34017</v>
      </c>
    </row>
    <row r="9646" spans="1:25">
      <c r="A9646" t="s">
        <v>34018</v>
      </c>
      <c r="B9646" t="s">
        <v>34019</v>
      </c>
      <c r="D9646" t="s">
        <v>40</v>
      </c>
      <c r="E9646" t="s">
        <v>41</v>
      </c>
      <c r="J9646" t="s">
        <v>139</v>
      </c>
      <c r="K9646" t="s">
        <v>140</v>
      </c>
      <c r="L9646">
        <v>1</v>
      </c>
      <c r="M9646" t="s">
        <v>34020</v>
      </c>
      <c r="N9646" t="s">
        <v>1550</v>
      </c>
      <c r="O9646" t="s">
        <v>46</v>
      </c>
      <c r="P9646" t="s">
        <v>46</v>
      </c>
      <c r="Y9646" t="s">
        <v>34021</v>
      </c>
    </row>
    <row r="9647" spans="1:25">
      <c r="A9647" t="s">
        <v>34022</v>
      </c>
      <c r="B9647" t="s">
        <v>34023</v>
      </c>
      <c r="D9647" t="s">
        <v>40</v>
      </c>
      <c r="E9647" t="s">
        <v>41</v>
      </c>
      <c r="J9647" t="s">
        <v>248</v>
      </c>
      <c r="K9647" t="s">
        <v>249</v>
      </c>
      <c r="L9647">
        <v>1</v>
      </c>
      <c r="M9647" t="s">
        <v>34020</v>
      </c>
      <c r="N9647" t="s">
        <v>950</v>
      </c>
      <c r="O9647" t="s">
        <v>46</v>
      </c>
      <c r="P9647" t="s">
        <v>46</v>
      </c>
      <c r="Y9647" t="s">
        <v>34024</v>
      </c>
    </row>
    <row r="9648" spans="1:25">
      <c r="A9648" t="s">
        <v>34025</v>
      </c>
      <c r="B9648" t="s">
        <v>34026</v>
      </c>
      <c r="D9648" t="s">
        <v>40</v>
      </c>
      <c r="E9648" t="s">
        <v>41</v>
      </c>
      <c r="J9648" t="s">
        <v>248</v>
      </c>
      <c r="K9648" t="s">
        <v>249</v>
      </c>
      <c r="L9648">
        <v>1</v>
      </c>
      <c r="M9648" t="s">
        <v>34027</v>
      </c>
      <c r="N9648" t="s">
        <v>2621</v>
      </c>
      <c r="O9648" t="s">
        <v>46</v>
      </c>
      <c r="P9648" t="s">
        <v>46</v>
      </c>
      <c r="Y9648" t="s">
        <v>34028</v>
      </c>
    </row>
    <row r="9649" spans="1:25">
      <c r="A9649" t="s">
        <v>34029</v>
      </c>
      <c r="B9649" t="s">
        <v>34030</v>
      </c>
      <c r="D9649" t="s">
        <v>40</v>
      </c>
      <c r="E9649" t="s">
        <v>41</v>
      </c>
      <c r="J9649" t="s">
        <v>139</v>
      </c>
      <c r="K9649" t="s">
        <v>140</v>
      </c>
      <c r="L9649">
        <v>1</v>
      </c>
      <c r="M9649" t="s">
        <v>34031</v>
      </c>
      <c r="N9649" t="s">
        <v>25508</v>
      </c>
      <c r="O9649" t="s">
        <v>46</v>
      </c>
      <c r="P9649" t="s">
        <v>46</v>
      </c>
      <c r="Y9649" t="s">
        <v>34032</v>
      </c>
    </row>
    <row r="9650" spans="1:25">
      <c r="A9650" t="s">
        <v>34033</v>
      </c>
      <c r="B9650" t="s">
        <v>34034</v>
      </c>
      <c r="D9650" t="s">
        <v>40</v>
      </c>
      <c r="E9650" t="s">
        <v>41</v>
      </c>
      <c r="J9650" t="s">
        <v>248</v>
      </c>
      <c r="K9650" t="s">
        <v>249</v>
      </c>
      <c r="L9650">
        <v>1</v>
      </c>
      <c r="M9650" t="s">
        <v>34031</v>
      </c>
      <c r="N9650" t="s">
        <v>31581</v>
      </c>
      <c r="O9650" t="s">
        <v>46</v>
      </c>
      <c r="P9650" t="s">
        <v>46</v>
      </c>
      <c r="Y9650" t="s">
        <v>34035</v>
      </c>
    </row>
    <row r="9651" spans="1:25">
      <c r="A9651" t="s">
        <v>34036</v>
      </c>
      <c r="B9651" t="s">
        <v>34037</v>
      </c>
      <c r="D9651" t="s">
        <v>40</v>
      </c>
      <c r="E9651" t="s">
        <v>41</v>
      </c>
      <c r="J9651" t="s">
        <v>248</v>
      </c>
      <c r="K9651" t="s">
        <v>249</v>
      </c>
      <c r="L9651">
        <v>1</v>
      </c>
      <c r="M9651" t="s">
        <v>34038</v>
      </c>
      <c r="N9651" t="s">
        <v>142</v>
      </c>
      <c r="O9651" t="s">
        <v>46</v>
      </c>
      <c r="P9651" t="s">
        <v>46</v>
      </c>
      <c r="Y9651" t="s">
        <v>34039</v>
      </c>
    </row>
    <row r="9652" spans="1:25">
      <c r="A9652" t="s">
        <v>34040</v>
      </c>
      <c r="B9652" t="s">
        <v>34041</v>
      </c>
      <c r="D9652" t="s">
        <v>40</v>
      </c>
      <c r="E9652" t="s">
        <v>41</v>
      </c>
      <c r="J9652" t="s">
        <v>139</v>
      </c>
      <c r="K9652" t="s">
        <v>140</v>
      </c>
      <c r="L9652">
        <v>1</v>
      </c>
      <c r="M9652" t="s">
        <v>34042</v>
      </c>
      <c r="N9652" t="s">
        <v>950</v>
      </c>
      <c r="O9652" t="s">
        <v>46</v>
      </c>
      <c r="P9652" t="s">
        <v>46</v>
      </c>
      <c r="Y9652" t="s">
        <v>34043</v>
      </c>
    </row>
    <row r="9653" spans="1:25">
      <c r="A9653" t="s">
        <v>34044</v>
      </c>
      <c r="B9653" t="s">
        <v>34045</v>
      </c>
      <c r="D9653" t="s">
        <v>40</v>
      </c>
      <c r="E9653" t="s">
        <v>41</v>
      </c>
      <c r="J9653" t="s">
        <v>248</v>
      </c>
      <c r="K9653" t="s">
        <v>249</v>
      </c>
      <c r="L9653">
        <v>1</v>
      </c>
      <c r="M9653" t="s">
        <v>34046</v>
      </c>
      <c r="N9653" t="s">
        <v>58</v>
      </c>
      <c r="O9653" t="s">
        <v>46</v>
      </c>
      <c r="P9653" t="s">
        <v>46</v>
      </c>
      <c r="Y9653" t="s">
        <v>34047</v>
      </c>
    </row>
    <row r="9654" spans="1:25">
      <c r="A9654" t="s">
        <v>34048</v>
      </c>
      <c r="B9654" t="s">
        <v>34049</v>
      </c>
      <c r="D9654" t="s">
        <v>40</v>
      </c>
      <c r="E9654" t="s">
        <v>41</v>
      </c>
      <c r="J9654" t="s">
        <v>1142</v>
      </c>
      <c r="K9654" t="s">
        <v>1143</v>
      </c>
      <c r="L9654">
        <v>1</v>
      </c>
      <c r="M9654" t="s">
        <v>34050</v>
      </c>
      <c r="N9654" t="s">
        <v>24387</v>
      </c>
      <c r="O9654" t="s">
        <v>46</v>
      </c>
      <c r="P9654" t="s">
        <v>46</v>
      </c>
      <c r="Y9654" t="s">
        <v>34051</v>
      </c>
    </row>
    <row r="9655" spans="1:25">
      <c r="A9655" t="s">
        <v>34052</v>
      </c>
      <c r="B9655" t="s">
        <v>34053</v>
      </c>
      <c r="D9655" t="s">
        <v>40</v>
      </c>
      <c r="E9655" t="s">
        <v>41</v>
      </c>
      <c r="J9655" t="s">
        <v>248</v>
      </c>
      <c r="K9655" t="s">
        <v>249</v>
      </c>
      <c r="L9655">
        <v>1</v>
      </c>
      <c r="M9655" t="s">
        <v>34054</v>
      </c>
      <c r="N9655" t="s">
        <v>1397</v>
      </c>
      <c r="O9655" t="s">
        <v>46</v>
      </c>
      <c r="P9655" t="s">
        <v>46</v>
      </c>
      <c r="Y9655" t="s">
        <v>34055</v>
      </c>
    </row>
    <row r="9656" spans="1:25">
      <c r="A9656" t="s">
        <v>34056</v>
      </c>
      <c r="B9656" t="s">
        <v>34057</v>
      </c>
      <c r="D9656" t="s">
        <v>40</v>
      </c>
      <c r="E9656" t="s">
        <v>41</v>
      </c>
      <c r="J9656" t="s">
        <v>1142</v>
      </c>
      <c r="K9656" t="s">
        <v>1143</v>
      </c>
      <c r="L9656">
        <v>1</v>
      </c>
      <c r="M9656" t="s">
        <v>34058</v>
      </c>
      <c r="N9656" t="s">
        <v>31581</v>
      </c>
      <c r="O9656" t="s">
        <v>46</v>
      </c>
      <c r="P9656" t="s">
        <v>46</v>
      </c>
      <c r="Y9656" t="s">
        <v>34059</v>
      </c>
    </row>
    <row r="9657" spans="1:25">
      <c r="A9657" t="s">
        <v>34060</v>
      </c>
      <c r="B9657" t="s">
        <v>34061</v>
      </c>
      <c r="D9657" t="s">
        <v>40</v>
      </c>
      <c r="E9657" t="s">
        <v>41</v>
      </c>
      <c r="J9657" t="s">
        <v>248</v>
      </c>
      <c r="K9657" t="s">
        <v>249</v>
      </c>
      <c r="L9657">
        <v>1</v>
      </c>
      <c r="M9657" t="s">
        <v>34062</v>
      </c>
      <c r="N9657" t="s">
        <v>1550</v>
      </c>
      <c r="O9657" t="s">
        <v>46</v>
      </c>
      <c r="P9657" t="s">
        <v>46</v>
      </c>
      <c r="Y9657" t="s">
        <v>34063</v>
      </c>
    </row>
    <row r="9658" spans="1:25">
      <c r="A9658" t="s">
        <v>34064</v>
      </c>
      <c r="B9658" t="s">
        <v>34065</v>
      </c>
      <c r="D9658" t="s">
        <v>40</v>
      </c>
      <c r="E9658" t="s">
        <v>41</v>
      </c>
      <c r="J9658" t="s">
        <v>139</v>
      </c>
      <c r="K9658" t="s">
        <v>140</v>
      </c>
      <c r="L9658">
        <v>1</v>
      </c>
      <c r="M9658" t="s">
        <v>34066</v>
      </c>
      <c r="N9658" t="s">
        <v>24245</v>
      </c>
      <c r="O9658" t="s">
        <v>46</v>
      </c>
      <c r="P9658" t="s">
        <v>46</v>
      </c>
      <c r="Y9658" t="s">
        <v>34067</v>
      </c>
    </row>
    <row r="9659" spans="1:25">
      <c r="A9659" t="s">
        <v>34068</v>
      </c>
      <c r="B9659" t="s">
        <v>34069</v>
      </c>
      <c r="D9659" t="s">
        <v>40</v>
      </c>
      <c r="E9659" t="s">
        <v>41</v>
      </c>
      <c r="J9659" t="s">
        <v>139</v>
      </c>
      <c r="K9659" t="s">
        <v>140</v>
      </c>
      <c r="L9659">
        <v>1</v>
      </c>
      <c r="M9659" t="s">
        <v>34070</v>
      </c>
      <c r="N9659" t="s">
        <v>950</v>
      </c>
      <c r="O9659" t="s">
        <v>46</v>
      </c>
      <c r="P9659" t="s">
        <v>46</v>
      </c>
      <c r="Y9659" t="s">
        <v>34071</v>
      </c>
    </row>
    <row r="9660" spans="1:25">
      <c r="A9660" t="s">
        <v>34072</v>
      </c>
      <c r="B9660" t="s">
        <v>34073</v>
      </c>
      <c r="D9660" t="s">
        <v>40</v>
      </c>
      <c r="E9660" t="s">
        <v>41</v>
      </c>
      <c r="J9660" t="s">
        <v>1142</v>
      </c>
      <c r="K9660" t="s">
        <v>1143</v>
      </c>
      <c r="L9660">
        <v>1</v>
      </c>
      <c r="M9660" t="s">
        <v>34074</v>
      </c>
      <c r="N9660" t="s">
        <v>5995</v>
      </c>
      <c r="O9660" t="s">
        <v>46</v>
      </c>
      <c r="P9660" t="s">
        <v>46</v>
      </c>
      <c r="Y9660" t="s">
        <v>34075</v>
      </c>
    </row>
    <row r="9661" spans="1:25">
      <c r="A9661" t="s">
        <v>34076</v>
      </c>
      <c r="B9661" t="s">
        <v>34077</v>
      </c>
      <c r="D9661" t="s">
        <v>40</v>
      </c>
      <c r="E9661" t="s">
        <v>41</v>
      </c>
      <c r="J9661" t="s">
        <v>248</v>
      </c>
      <c r="K9661" t="s">
        <v>249</v>
      </c>
      <c r="L9661">
        <v>1</v>
      </c>
      <c r="M9661" t="s">
        <v>34078</v>
      </c>
      <c r="N9661" t="s">
        <v>53</v>
      </c>
      <c r="O9661" t="s">
        <v>46</v>
      </c>
      <c r="P9661" t="s">
        <v>46</v>
      </c>
      <c r="Y9661" t="s">
        <v>34079</v>
      </c>
    </row>
    <row r="9662" spans="1:25">
      <c r="A9662" t="s">
        <v>34080</v>
      </c>
      <c r="B9662" t="s">
        <v>34081</v>
      </c>
      <c r="D9662" t="s">
        <v>40</v>
      </c>
      <c r="E9662" t="s">
        <v>41</v>
      </c>
      <c r="J9662" t="s">
        <v>248</v>
      </c>
      <c r="K9662" t="s">
        <v>249</v>
      </c>
      <c r="L9662">
        <v>1</v>
      </c>
      <c r="M9662" t="s">
        <v>34078</v>
      </c>
      <c r="N9662" t="s">
        <v>257</v>
      </c>
      <c r="O9662" t="s">
        <v>46</v>
      </c>
      <c r="P9662" t="s">
        <v>46</v>
      </c>
      <c r="Y9662" t="s">
        <v>34082</v>
      </c>
    </row>
    <row r="9663" spans="1:25">
      <c r="A9663" t="s">
        <v>34083</v>
      </c>
      <c r="B9663" t="s">
        <v>34084</v>
      </c>
      <c r="D9663" t="s">
        <v>40</v>
      </c>
      <c r="E9663" t="s">
        <v>41</v>
      </c>
      <c r="J9663" t="s">
        <v>11802</v>
      </c>
      <c r="K9663" t="s">
        <v>11803</v>
      </c>
      <c r="L9663">
        <v>1</v>
      </c>
      <c r="M9663" t="s">
        <v>34085</v>
      </c>
      <c r="N9663" t="s">
        <v>24227</v>
      </c>
      <c r="O9663" t="s">
        <v>46</v>
      </c>
      <c r="P9663" t="s">
        <v>46</v>
      </c>
      <c r="Y9663" t="s">
        <v>34086</v>
      </c>
    </row>
    <row r="9664" spans="1:25">
      <c r="A9664" t="s">
        <v>34087</v>
      </c>
      <c r="B9664" t="s">
        <v>34088</v>
      </c>
      <c r="D9664" t="s">
        <v>40</v>
      </c>
      <c r="E9664" t="s">
        <v>41</v>
      </c>
      <c r="J9664" t="s">
        <v>1142</v>
      </c>
      <c r="K9664" t="s">
        <v>1143</v>
      </c>
      <c r="L9664">
        <v>1</v>
      </c>
      <c r="M9664" t="s">
        <v>34089</v>
      </c>
      <c r="N9664" t="s">
        <v>509</v>
      </c>
      <c r="O9664" t="s">
        <v>46</v>
      </c>
      <c r="P9664" t="s">
        <v>46</v>
      </c>
      <c r="Y9664" t="s">
        <v>34090</v>
      </c>
    </row>
    <row r="9665" spans="1:25">
      <c r="A9665" t="s">
        <v>34091</v>
      </c>
      <c r="B9665" t="s">
        <v>34092</v>
      </c>
      <c r="D9665" t="s">
        <v>40</v>
      </c>
      <c r="E9665" t="s">
        <v>41</v>
      </c>
      <c r="J9665" t="s">
        <v>1554</v>
      </c>
      <c r="K9665" t="s">
        <v>1555</v>
      </c>
      <c r="L9665">
        <v>1</v>
      </c>
      <c r="M9665" t="s">
        <v>34093</v>
      </c>
      <c r="N9665" t="s">
        <v>45</v>
      </c>
      <c r="O9665" t="s">
        <v>46</v>
      </c>
      <c r="P9665" t="s">
        <v>46</v>
      </c>
      <c r="Y9665" t="s">
        <v>34094</v>
      </c>
    </row>
    <row r="9666" spans="1:25">
      <c r="A9666" t="s">
        <v>34095</v>
      </c>
      <c r="B9666" t="s">
        <v>34096</v>
      </c>
      <c r="D9666" t="s">
        <v>40</v>
      </c>
      <c r="E9666" t="s">
        <v>41</v>
      </c>
      <c r="J9666" t="s">
        <v>1142</v>
      </c>
      <c r="K9666" t="s">
        <v>1143</v>
      </c>
      <c r="L9666">
        <v>1</v>
      </c>
      <c r="M9666" t="s">
        <v>34097</v>
      </c>
      <c r="N9666" t="s">
        <v>58</v>
      </c>
      <c r="O9666" t="s">
        <v>46</v>
      </c>
      <c r="P9666" t="s">
        <v>46</v>
      </c>
      <c r="Y9666" t="s">
        <v>34098</v>
      </c>
    </row>
    <row r="9667" spans="1:25">
      <c r="A9667" t="s">
        <v>34099</v>
      </c>
      <c r="B9667" t="s">
        <v>34100</v>
      </c>
      <c r="D9667" t="s">
        <v>40</v>
      </c>
      <c r="E9667" t="s">
        <v>41</v>
      </c>
      <c r="J9667" t="s">
        <v>23071</v>
      </c>
      <c r="K9667" t="s">
        <v>23072</v>
      </c>
      <c r="L9667">
        <v>1</v>
      </c>
      <c r="M9667" t="s">
        <v>34101</v>
      </c>
      <c r="N9667" t="s">
        <v>4037</v>
      </c>
      <c r="O9667" t="s">
        <v>46</v>
      </c>
      <c r="P9667" t="s">
        <v>46</v>
      </c>
      <c r="Y9667" t="s">
        <v>34102</v>
      </c>
    </row>
    <row r="9668" spans="1:25">
      <c r="A9668" t="s">
        <v>34103</v>
      </c>
      <c r="B9668" t="s">
        <v>34104</v>
      </c>
      <c r="D9668" t="s">
        <v>40</v>
      </c>
      <c r="E9668" t="s">
        <v>41</v>
      </c>
      <c r="J9668" t="s">
        <v>139</v>
      </c>
      <c r="K9668" t="s">
        <v>140</v>
      </c>
      <c r="L9668">
        <v>1</v>
      </c>
      <c r="M9668" t="s">
        <v>34105</v>
      </c>
      <c r="N9668" t="s">
        <v>24245</v>
      </c>
      <c r="O9668" t="s">
        <v>46</v>
      </c>
      <c r="P9668" t="s">
        <v>46</v>
      </c>
      <c r="Y9668" t="s">
        <v>34106</v>
      </c>
    </row>
    <row r="9669" spans="1:25">
      <c r="A9669" t="s">
        <v>34107</v>
      </c>
      <c r="B9669" t="s">
        <v>34108</v>
      </c>
      <c r="D9669" t="s">
        <v>40</v>
      </c>
      <c r="E9669" t="s">
        <v>41</v>
      </c>
      <c r="J9669" t="s">
        <v>1142</v>
      </c>
      <c r="K9669" t="s">
        <v>1143</v>
      </c>
      <c r="L9669">
        <v>1</v>
      </c>
      <c r="M9669" t="s">
        <v>34105</v>
      </c>
      <c r="N9669" t="s">
        <v>1024</v>
      </c>
      <c r="O9669" t="s">
        <v>46</v>
      </c>
      <c r="P9669" t="s">
        <v>46</v>
      </c>
      <c r="Y9669" t="s">
        <v>34109</v>
      </c>
    </row>
    <row r="9670" spans="1:25">
      <c r="A9670" t="s">
        <v>34110</v>
      </c>
      <c r="B9670" t="s">
        <v>34111</v>
      </c>
      <c r="D9670" t="s">
        <v>40</v>
      </c>
      <c r="E9670" t="s">
        <v>41</v>
      </c>
      <c r="J9670" t="s">
        <v>2619</v>
      </c>
      <c r="K9670" t="s">
        <v>140</v>
      </c>
      <c r="L9670">
        <v>1</v>
      </c>
      <c r="M9670" t="s">
        <v>34105</v>
      </c>
      <c r="N9670" t="s">
        <v>2621</v>
      </c>
      <c r="O9670" t="s">
        <v>46</v>
      </c>
      <c r="P9670" t="s">
        <v>46</v>
      </c>
      <c r="Y9670" t="s">
        <v>34112</v>
      </c>
    </row>
    <row r="9671" spans="1:25">
      <c r="A9671" t="s">
        <v>34113</v>
      </c>
      <c r="B9671" t="s">
        <v>34114</v>
      </c>
      <c r="D9671" t="s">
        <v>40</v>
      </c>
      <c r="E9671" t="s">
        <v>41</v>
      </c>
      <c r="J9671" t="s">
        <v>1554</v>
      </c>
      <c r="K9671" t="s">
        <v>1555</v>
      </c>
      <c r="L9671">
        <v>1</v>
      </c>
      <c r="M9671" t="s">
        <v>34115</v>
      </c>
      <c r="N9671" t="s">
        <v>25508</v>
      </c>
      <c r="O9671" t="s">
        <v>46</v>
      </c>
      <c r="P9671" t="s">
        <v>46</v>
      </c>
      <c r="Y9671" t="s">
        <v>34116</v>
      </c>
    </row>
    <row r="9672" spans="1:25">
      <c r="A9672" t="s">
        <v>34117</v>
      </c>
      <c r="B9672" t="s">
        <v>34118</v>
      </c>
      <c r="D9672" t="s">
        <v>40</v>
      </c>
      <c r="E9672" t="s">
        <v>41</v>
      </c>
      <c r="J9672" t="s">
        <v>1142</v>
      </c>
      <c r="K9672" t="s">
        <v>1143</v>
      </c>
      <c r="L9672">
        <v>1</v>
      </c>
      <c r="M9672" t="s">
        <v>34119</v>
      </c>
      <c r="N9672" t="s">
        <v>950</v>
      </c>
      <c r="O9672" t="s">
        <v>46</v>
      </c>
      <c r="P9672" t="s">
        <v>46</v>
      </c>
      <c r="Y9672" t="s">
        <v>34120</v>
      </c>
    </row>
    <row r="9673" spans="1:25">
      <c r="A9673" t="s">
        <v>34121</v>
      </c>
      <c r="B9673" t="s">
        <v>34122</v>
      </c>
      <c r="D9673" t="s">
        <v>40</v>
      </c>
      <c r="E9673" t="s">
        <v>41</v>
      </c>
      <c r="J9673" t="s">
        <v>248</v>
      </c>
      <c r="K9673" t="s">
        <v>249</v>
      </c>
      <c r="L9673">
        <v>1</v>
      </c>
      <c r="M9673" t="s">
        <v>34123</v>
      </c>
      <c r="N9673" t="s">
        <v>1229</v>
      </c>
      <c r="O9673" t="s">
        <v>46</v>
      </c>
      <c r="P9673" t="s">
        <v>46</v>
      </c>
      <c r="Y9673" t="s">
        <v>34124</v>
      </c>
    </row>
    <row r="9674" spans="1:25">
      <c r="A9674" t="s">
        <v>34125</v>
      </c>
      <c r="B9674" t="s">
        <v>34126</v>
      </c>
      <c r="D9674" t="s">
        <v>40</v>
      </c>
      <c r="E9674" t="s">
        <v>41</v>
      </c>
      <c r="J9674" t="s">
        <v>248</v>
      </c>
      <c r="K9674" t="s">
        <v>249</v>
      </c>
      <c r="L9674">
        <v>1</v>
      </c>
      <c r="M9674" t="s">
        <v>34123</v>
      </c>
      <c r="N9674" t="s">
        <v>1024</v>
      </c>
      <c r="O9674" t="s">
        <v>46</v>
      </c>
      <c r="P9674" t="s">
        <v>46</v>
      </c>
      <c r="Y9674" t="s">
        <v>34127</v>
      </c>
    </row>
    <row r="9675" spans="1:25">
      <c r="A9675" t="s">
        <v>34128</v>
      </c>
      <c r="B9675" t="s">
        <v>34129</v>
      </c>
      <c r="D9675" t="s">
        <v>40</v>
      </c>
      <c r="E9675" t="s">
        <v>41</v>
      </c>
      <c r="J9675" t="s">
        <v>248</v>
      </c>
      <c r="K9675" t="s">
        <v>249</v>
      </c>
      <c r="L9675">
        <v>1</v>
      </c>
      <c r="M9675" t="s">
        <v>34130</v>
      </c>
      <c r="N9675" t="s">
        <v>1446</v>
      </c>
      <c r="O9675" t="s">
        <v>46</v>
      </c>
      <c r="P9675" t="s">
        <v>46</v>
      </c>
      <c r="Y9675" t="s">
        <v>34131</v>
      </c>
    </row>
    <row r="9676" spans="1:25">
      <c r="A9676" t="s">
        <v>34132</v>
      </c>
      <c r="B9676" t="s">
        <v>34133</v>
      </c>
      <c r="D9676" t="s">
        <v>40</v>
      </c>
      <c r="E9676" t="s">
        <v>41</v>
      </c>
      <c r="J9676" t="s">
        <v>248</v>
      </c>
      <c r="K9676" t="s">
        <v>249</v>
      </c>
      <c r="L9676">
        <v>1</v>
      </c>
      <c r="M9676" t="s">
        <v>34130</v>
      </c>
      <c r="N9676" t="s">
        <v>23374</v>
      </c>
      <c r="O9676" t="s">
        <v>46</v>
      </c>
      <c r="P9676" t="s">
        <v>46</v>
      </c>
      <c r="Y9676" t="s">
        <v>34134</v>
      </c>
    </row>
    <row r="9677" spans="1:25">
      <c r="A9677" t="s">
        <v>34135</v>
      </c>
      <c r="B9677" t="s">
        <v>34136</v>
      </c>
      <c r="D9677" t="s">
        <v>40</v>
      </c>
      <c r="E9677" t="s">
        <v>41</v>
      </c>
      <c r="J9677" t="s">
        <v>248</v>
      </c>
      <c r="K9677" t="s">
        <v>249</v>
      </c>
      <c r="L9677">
        <v>1</v>
      </c>
      <c r="M9677" t="s">
        <v>34137</v>
      </c>
      <c r="N9677" t="s">
        <v>2621</v>
      </c>
      <c r="O9677" t="s">
        <v>46</v>
      </c>
      <c r="P9677" t="s">
        <v>46</v>
      </c>
      <c r="Y9677" t="s">
        <v>34138</v>
      </c>
    </row>
    <row r="9678" spans="1:25">
      <c r="A9678" t="s">
        <v>34139</v>
      </c>
      <c r="B9678" t="s">
        <v>34140</v>
      </c>
      <c r="D9678" t="s">
        <v>40</v>
      </c>
      <c r="E9678" t="s">
        <v>41</v>
      </c>
      <c r="J9678" t="s">
        <v>139</v>
      </c>
      <c r="K9678" t="s">
        <v>140</v>
      </c>
      <c r="L9678">
        <v>1</v>
      </c>
      <c r="M9678" t="s">
        <v>34141</v>
      </c>
      <c r="N9678" t="s">
        <v>24245</v>
      </c>
      <c r="O9678" t="s">
        <v>46</v>
      </c>
      <c r="P9678" t="s">
        <v>46</v>
      </c>
      <c r="Y9678" t="s">
        <v>34142</v>
      </c>
    </row>
    <row r="9679" spans="1:25">
      <c r="A9679" t="s">
        <v>34143</v>
      </c>
      <c r="B9679" t="s">
        <v>34144</v>
      </c>
      <c r="D9679" t="s">
        <v>40</v>
      </c>
      <c r="E9679" t="s">
        <v>41</v>
      </c>
      <c r="J9679" t="s">
        <v>248</v>
      </c>
      <c r="K9679" t="s">
        <v>249</v>
      </c>
      <c r="L9679">
        <v>2</v>
      </c>
      <c r="M9679" t="s">
        <v>34141</v>
      </c>
      <c r="N9679" t="s">
        <v>1380</v>
      </c>
      <c r="O9679" t="s">
        <v>46</v>
      </c>
      <c r="P9679" t="s">
        <v>46</v>
      </c>
      <c r="Y9679" t="s">
        <v>34145</v>
      </c>
    </row>
    <row r="9680" spans="1:25">
      <c r="A9680" t="s">
        <v>34146</v>
      </c>
      <c r="B9680" t="s">
        <v>34147</v>
      </c>
      <c r="D9680" t="s">
        <v>40</v>
      </c>
      <c r="E9680" t="s">
        <v>41</v>
      </c>
      <c r="J9680" t="s">
        <v>248</v>
      </c>
      <c r="K9680" t="s">
        <v>249</v>
      </c>
      <c r="L9680">
        <v>1</v>
      </c>
      <c r="M9680" t="s">
        <v>34148</v>
      </c>
      <c r="N9680" t="s">
        <v>24387</v>
      </c>
      <c r="O9680" t="s">
        <v>46</v>
      </c>
      <c r="P9680" t="s">
        <v>46</v>
      </c>
      <c r="Y9680" t="s">
        <v>34149</v>
      </c>
    </row>
    <row r="9681" spans="1:25">
      <c r="A9681" t="s">
        <v>34150</v>
      </c>
      <c r="B9681" t="s">
        <v>34151</v>
      </c>
      <c r="D9681" t="s">
        <v>40</v>
      </c>
      <c r="E9681" t="s">
        <v>41</v>
      </c>
      <c r="J9681" t="s">
        <v>248</v>
      </c>
      <c r="K9681" t="s">
        <v>249</v>
      </c>
      <c r="L9681">
        <v>1</v>
      </c>
      <c r="M9681" t="s">
        <v>34148</v>
      </c>
      <c r="N9681" t="s">
        <v>3013</v>
      </c>
      <c r="O9681" t="s">
        <v>46</v>
      </c>
      <c r="P9681" t="s">
        <v>46</v>
      </c>
      <c r="Y9681" t="s">
        <v>34152</v>
      </c>
    </row>
    <row r="9682" spans="1:25">
      <c r="A9682" t="s">
        <v>34153</v>
      </c>
      <c r="B9682" t="s">
        <v>34154</v>
      </c>
      <c r="D9682" t="s">
        <v>40</v>
      </c>
      <c r="E9682" t="s">
        <v>41</v>
      </c>
      <c r="J9682" t="s">
        <v>12440</v>
      </c>
      <c r="K9682" t="s">
        <v>12441</v>
      </c>
      <c r="L9682">
        <v>2</v>
      </c>
      <c r="M9682" t="s">
        <v>34155</v>
      </c>
      <c r="N9682" t="s">
        <v>178</v>
      </c>
      <c r="O9682" t="s">
        <v>46</v>
      </c>
      <c r="P9682" t="s">
        <v>46</v>
      </c>
      <c r="Y9682" t="s">
        <v>34156</v>
      </c>
    </row>
    <row r="9683" spans="1:25">
      <c r="A9683" t="s">
        <v>34157</v>
      </c>
      <c r="B9683" t="s">
        <v>34158</v>
      </c>
      <c r="D9683" t="s">
        <v>40</v>
      </c>
      <c r="E9683" t="s">
        <v>41</v>
      </c>
      <c r="J9683" t="s">
        <v>248</v>
      </c>
      <c r="K9683" t="s">
        <v>249</v>
      </c>
      <c r="L9683">
        <v>1</v>
      </c>
      <c r="M9683" t="s">
        <v>34159</v>
      </c>
      <c r="N9683" t="s">
        <v>257</v>
      </c>
      <c r="O9683" t="s">
        <v>46</v>
      </c>
      <c r="P9683" t="s">
        <v>46</v>
      </c>
      <c r="Y9683" t="s">
        <v>34160</v>
      </c>
    </row>
    <row r="9684" spans="1:25">
      <c r="A9684" t="s">
        <v>34161</v>
      </c>
      <c r="B9684" t="s">
        <v>34162</v>
      </c>
      <c r="D9684" t="s">
        <v>40</v>
      </c>
      <c r="E9684" t="s">
        <v>41</v>
      </c>
      <c r="J9684" t="s">
        <v>139</v>
      </c>
      <c r="K9684" t="s">
        <v>140</v>
      </c>
      <c r="L9684">
        <v>1</v>
      </c>
      <c r="M9684" t="s">
        <v>34163</v>
      </c>
      <c r="N9684" t="s">
        <v>25508</v>
      </c>
      <c r="O9684" t="s">
        <v>46</v>
      </c>
      <c r="P9684" t="s">
        <v>46</v>
      </c>
      <c r="Y9684" t="s">
        <v>34164</v>
      </c>
    </row>
    <row r="9685" spans="1:25">
      <c r="A9685" t="s">
        <v>34165</v>
      </c>
      <c r="B9685" t="s">
        <v>34166</v>
      </c>
      <c r="D9685" t="s">
        <v>40</v>
      </c>
      <c r="E9685" t="s">
        <v>41</v>
      </c>
      <c r="J9685" t="s">
        <v>23071</v>
      </c>
      <c r="K9685" t="s">
        <v>23072</v>
      </c>
      <c r="L9685">
        <v>1</v>
      </c>
      <c r="M9685" t="s">
        <v>34167</v>
      </c>
      <c r="N9685" t="s">
        <v>23374</v>
      </c>
      <c r="O9685" t="s">
        <v>46</v>
      </c>
      <c r="P9685" t="s">
        <v>46</v>
      </c>
      <c r="Y9685" t="s">
        <v>34168</v>
      </c>
    </row>
    <row r="9686" spans="1:25">
      <c r="A9686" t="s">
        <v>34169</v>
      </c>
      <c r="B9686" t="s">
        <v>34170</v>
      </c>
      <c r="D9686" t="s">
        <v>40</v>
      </c>
      <c r="E9686" t="s">
        <v>41</v>
      </c>
      <c r="J9686" t="s">
        <v>892</v>
      </c>
      <c r="K9686" t="s">
        <v>893</v>
      </c>
      <c r="L9686">
        <v>3</v>
      </c>
      <c r="M9686" t="s">
        <v>34171</v>
      </c>
      <c r="N9686" t="s">
        <v>24387</v>
      </c>
      <c r="O9686" t="s">
        <v>46</v>
      </c>
      <c r="P9686" t="s">
        <v>46</v>
      </c>
      <c r="Y9686" t="s">
        <v>34172</v>
      </c>
    </row>
    <row r="9687" spans="1:25">
      <c r="A9687" t="s">
        <v>34173</v>
      </c>
      <c r="B9687" t="s">
        <v>34174</v>
      </c>
      <c r="D9687" t="s">
        <v>40</v>
      </c>
      <c r="E9687" t="s">
        <v>41</v>
      </c>
      <c r="J9687" t="s">
        <v>248</v>
      </c>
      <c r="K9687" t="s">
        <v>249</v>
      </c>
      <c r="L9687">
        <v>1</v>
      </c>
      <c r="M9687" t="s">
        <v>34175</v>
      </c>
      <c r="N9687" t="s">
        <v>617</v>
      </c>
      <c r="O9687" t="s">
        <v>46</v>
      </c>
      <c r="P9687" t="s">
        <v>46</v>
      </c>
      <c r="Y9687" t="s">
        <v>34176</v>
      </c>
    </row>
    <row r="9688" spans="1:25">
      <c r="A9688" t="s">
        <v>34177</v>
      </c>
      <c r="B9688" t="s">
        <v>34178</v>
      </c>
      <c r="D9688" t="s">
        <v>40</v>
      </c>
      <c r="E9688" t="s">
        <v>41</v>
      </c>
      <c r="J9688" t="s">
        <v>248</v>
      </c>
      <c r="K9688" t="s">
        <v>249</v>
      </c>
      <c r="L9688">
        <v>1</v>
      </c>
      <c r="M9688" t="s">
        <v>34179</v>
      </c>
      <c r="N9688" t="s">
        <v>509</v>
      </c>
      <c r="O9688" t="s">
        <v>46</v>
      </c>
      <c r="P9688" t="s">
        <v>46</v>
      </c>
      <c r="Y9688" t="s">
        <v>34180</v>
      </c>
    </row>
    <row r="9689" spans="1:25">
      <c r="A9689" t="s">
        <v>34181</v>
      </c>
      <c r="B9689" t="s">
        <v>34182</v>
      </c>
      <c r="D9689" t="s">
        <v>40</v>
      </c>
      <c r="E9689" t="s">
        <v>41</v>
      </c>
      <c r="J9689" t="s">
        <v>1142</v>
      </c>
      <c r="K9689" t="s">
        <v>1143</v>
      </c>
      <c r="L9689">
        <v>1</v>
      </c>
      <c r="M9689" t="s">
        <v>34183</v>
      </c>
      <c r="N9689" t="s">
        <v>1550</v>
      </c>
      <c r="O9689" t="s">
        <v>46</v>
      </c>
      <c r="P9689" t="s">
        <v>46</v>
      </c>
      <c r="Y9689" t="s">
        <v>34184</v>
      </c>
    </row>
    <row r="9690" spans="1:25">
      <c r="A9690" t="s">
        <v>34185</v>
      </c>
      <c r="B9690" t="s">
        <v>34186</v>
      </c>
      <c r="D9690" t="s">
        <v>40</v>
      </c>
      <c r="E9690" t="s">
        <v>41</v>
      </c>
      <c r="J9690" t="s">
        <v>248</v>
      </c>
      <c r="K9690" t="s">
        <v>249</v>
      </c>
      <c r="L9690">
        <v>2</v>
      </c>
      <c r="M9690" t="s">
        <v>34187</v>
      </c>
      <c r="N9690" t="s">
        <v>31581</v>
      </c>
      <c r="O9690" t="s">
        <v>46</v>
      </c>
      <c r="P9690" t="s">
        <v>46</v>
      </c>
      <c r="Y9690" t="s">
        <v>34188</v>
      </c>
    </row>
    <row r="9691" spans="1:25">
      <c r="A9691" t="s">
        <v>34189</v>
      </c>
      <c r="B9691" t="s">
        <v>34190</v>
      </c>
      <c r="D9691" t="s">
        <v>40</v>
      </c>
      <c r="E9691" t="s">
        <v>41</v>
      </c>
      <c r="J9691" t="s">
        <v>248</v>
      </c>
      <c r="K9691" t="s">
        <v>249</v>
      </c>
      <c r="L9691">
        <v>1</v>
      </c>
      <c r="M9691" t="s">
        <v>34191</v>
      </c>
      <c r="N9691" t="s">
        <v>1478</v>
      </c>
      <c r="O9691" t="s">
        <v>46</v>
      </c>
      <c r="P9691" t="s">
        <v>46</v>
      </c>
      <c r="Y9691" t="s">
        <v>34192</v>
      </c>
    </row>
    <row r="9692" spans="1:25">
      <c r="A9692" t="s">
        <v>34193</v>
      </c>
      <c r="B9692" t="s">
        <v>34194</v>
      </c>
      <c r="D9692" t="s">
        <v>40</v>
      </c>
      <c r="E9692" t="s">
        <v>41</v>
      </c>
      <c r="J9692" t="s">
        <v>1554</v>
      </c>
      <c r="K9692" t="s">
        <v>1555</v>
      </c>
      <c r="L9692">
        <v>1</v>
      </c>
      <c r="M9692" t="s">
        <v>34195</v>
      </c>
      <c r="N9692" t="s">
        <v>178</v>
      </c>
      <c r="O9692" t="s">
        <v>46</v>
      </c>
      <c r="P9692" t="s">
        <v>46</v>
      </c>
      <c r="Y9692" t="s">
        <v>34196</v>
      </c>
    </row>
    <row r="9693" spans="1:25">
      <c r="A9693" t="s">
        <v>34197</v>
      </c>
      <c r="B9693" t="s">
        <v>34198</v>
      </c>
      <c r="D9693" t="s">
        <v>40</v>
      </c>
      <c r="E9693" t="s">
        <v>41</v>
      </c>
      <c r="J9693" t="s">
        <v>1554</v>
      </c>
      <c r="K9693" t="s">
        <v>1555</v>
      </c>
      <c r="L9693">
        <v>1</v>
      </c>
      <c r="M9693" t="s">
        <v>34199</v>
      </c>
      <c r="N9693" t="s">
        <v>1392</v>
      </c>
      <c r="O9693" t="s">
        <v>46</v>
      </c>
      <c r="P9693" t="s">
        <v>46</v>
      </c>
      <c r="Y9693" t="s">
        <v>34200</v>
      </c>
    </row>
    <row r="9694" spans="1:25">
      <c r="A9694" t="s">
        <v>34201</v>
      </c>
      <c r="B9694" t="s">
        <v>34202</v>
      </c>
      <c r="D9694" t="s">
        <v>40</v>
      </c>
      <c r="E9694" t="s">
        <v>41</v>
      </c>
      <c r="J9694" t="s">
        <v>24950</v>
      </c>
      <c r="K9694" t="s">
        <v>24951</v>
      </c>
      <c r="L9694">
        <v>1</v>
      </c>
      <c r="M9694" t="s">
        <v>34203</v>
      </c>
      <c r="N9694" t="s">
        <v>53</v>
      </c>
      <c r="O9694" t="s">
        <v>46</v>
      </c>
      <c r="P9694" t="s">
        <v>46</v>
      </c>
      <c r="Y9694" t="s">
        <v>34204</v>
      </c>
    </row>
    <row r="9695" spans="1:25">
      <c r="A9695" t="s">
        <v>34205</v>
      </c>
      <c r="B9695" t="s">
        <v>34206</v>
      </c>
      <c r="D9695" t="s">
        <v>40</v>
      </c>
      <c r="E9695" t="s">
        <v>41</v>
      </c>
      <c r="J9695" t="s">
        <v>248</v>
      </c>
      <c r="K9695" t="s">
        <v>249</v>
      </c>
      <c r="L9695">
        <v>1</v>
      </c>
      <c r="M9695" t="s">
        <v>34207</v>
      </c>
      <c r="N9695" t="s">
        <v>436</v>
      </c>
      <c r="O9695" t="s">
        <v>46</v>
      </c>
      <c r="P9695" t="s">
        <v>46</v>
      </c>
      <c r="Y9695" t="s">
        <v>34208</v>
      </c>
    </row>
    <row r="9696" spans="1:25">
      <c r="A9696" t="s">
        <v>34209</v>
      </c>
      <c r="B9696" t="s">
        <v>34210</v>
      </c>
      <c r="D9696" t="s">
        <v>40</v>
      </c>
      <c r="E9696" t="s">
        <v>41</v>
      </c>
      <c r="J9696" t="s">
        <v>1554</v>
      </c>
      <c r="K9696" t="s">
        <v>1555</v>
      </c>
      <c r="L9696">
        <v>1</v>
      </c>
      <c r="M9696" t="s">
        <v>34211</v>
      </c>
      <c r="N9696" t="s">
        <v>1024</v>
      </c>
      <c r="O9696" t="s">
        <v>46</v>
      </c>
      <c r="P9696" t="s">
        <v>46</v>
      </c>
      <c r="Y9696" t="s">
        <v>34212</v>
      </c>
    </row>
    <row r="9697" spans="1:25">
      <c r="A9697" t="s">
        <v>34213</v>
      </c>
      <c r="B9697" t="s">
        <v>34214</v>
      </c>
      <c r="D9697" t="s">
        <v>40</v>
      </c>
      <c r="E9697" t="s">
        <v>41</v>
      </c>
      <c r="J9697" t="s">
        <v>1554</v>
      </c>
      <c r="K9697" t="s">
        <v>1555</v>
      </c>
      <c r="L9697">
        <v>1</v>
      </c>
      <c r="M9697" t="s">
        <v>34215</v>
      </c>
      <c r="N9697" t="s">
        <v>266</v>
      </c>
      <c r="O9697" t="s">
        <v>46</v>
      </c>
      <c r="P9697" t="s">
        <v>46</v>
      </c>
      <c r="Y9697" t="s">
        <v>34216</v>
      </c>
    </row>
    <row r="9698" spans="1:25">
      <c r="A9698" t="s">
        <v>34217</v>
      </c>
      <c r="B9698" t="s">
        <v>34218</v>
      </c>
      <c r="D9698" t="s">
        <v>40</v>
      </c>
      <c r="E9698" t="s">
        <v>41</v>
      </c>
      <c r="J9698" t="s">
        <v>139</v>
      </c>
      <c r="K9698" t="s">
        <v>140</v>
      </c>
      <c r="L9698">
        <v>1</v>
      </c>
      <c r="M9698" t="s">
        <v>34219</v>
      </c>
      <c r="N9698" t="s">
        <v>1276</v>
      </c>
      <c r="O9698" t="s">
        <v>46</v>
      </c>
      <c r="P9698" t="s">
        <v>46</v>
      </c>
      <c r="Y9698" t="s">
        <v>34220</v>
      </c>
    </row>
    <row r="9699" spans="1:25">
      <c r="A9699" t="s">
        <v>34221</v>
      </c>
      <c r="B9699" t="s">
        <v>34222</v>
      </c>
      <c r="D9699" t="s">
        <v>40</v>
      </c>
      <c r="E9699" t="s">
        <v>41</v>
      </c>
      <c r="J9699" t="s">
        <v>1142</v>
      </c>
      <c r="K9699" t="s">
        <v>1143</v>
      </c>
      <c r="L9699">
        <v>1</v>
      </c>
      <c r="M9699" t="s">
        <v>34223</v>
      </c>
      <c r="N9699" t="s">
        <v>2621</v>
      </c>
      <c r="O9699" t="s">
        <v>46</v>
      </c>
      <c r="P9699" t="s">
        <v>46</v>
      </c>
      <c r="Y9699" t="s">
        <v>34224</v>
      </c>
    </row>
    <row r="9700" spans="1:25">
      <c r="A9700" t="s">
        <v>34225</v>
      </c>
      <c r="B9700" t="s">
        <v>34226</v>
      </c>
      <c r="D9700" t="s">
        <v>40</v>
      </c>
      <c r="E9700" t="s">
        <v>41</v>
      </c>
      <c r="J9700" t="s">
        <v>248</v>
      </c>
      <c r="K9700" t="s">
        <v>249</v>
      </c>
      <c r="L9700">
        <v>1</v>
      </c>
      <c r="M9700" t="s">
        <v>34223</v>
      </c>
      <c r="N9700" t="s">
        <v>1397</v>
      </c>
      <c r="O9700" t="s">
        <v>46</v>
      </c>
      <c r="P9700" t="s">
        <v>46</v>
      </c>
      <c r="Y9700" t="s">
        <v>34227</v>
      </c>
    </row>
    <row r="9701" spans="1:25">
      <c r="A9701" t="s">
        <v>34228</v>
      </c>
      <c r="B9701" t="s">
        <v>34229</v>
      </c>
      <c r="D9701" t="s">
        <v>40</v>
      </c>
      <c r="E9701" t="s">
        <v>41</v>
      </c>
      <c r="J9701" t="s">
        <v>248</v>
      </c>
      <c r="K9701" t="s">
        <v>249</v>
      </c>
      <c r="L9701">
        <v>1</v>
      </c>
      <c r="M9701" t="s">
        <v>34230</v>
      </c>
      <c r="N9701" t="s">
        <v>617</v>
      </c>
      <c r="O9701" t="s">
        <v>46</v>
      </c>
      <c r="P9701" t="s">
        <v>46</v>
      </c>
      <c r="Y9701" t="s">
        <v>34231</v>
      </c>
    </row>
    <row r="9702" spans="1:25">
      <c r="A9702" t="s">
        <v>34232</v>
      </c>
      <c r="B9702" t="s">
        <v>34233</v>
      </c>
      <c r="D9702" t="s">
        <v>40</v>
      </c>
      <c r="E9702" t="s">
        <v>41</v>
      </c>
      <c r="J9702" t="s">
        <v>6179</v>
      </c>
      <c r="K9702" t="s">
        <v>6180</v>
      </c>
      <c r="L9702">
        <v>1</v>
      </c>
      <c r="M9702" t="s">
        <v>34234</v>
      </c>
      <c r="N9702" t="s">
        <v>1392</v>
      </c>
      <c r="O9702" t="s">
        <v>46</v>
      </c>
      <c r="P9702" t="s">
        <v>46</v>
      </c>
      <c r="Y9702" t="s">
        <v>34235</v>
      </c>
    </row>
    <row r="9703" spans="1:25">
      <c r="A9703" t="s">
        <v>34236</v>
      </c>
      <c r="B9703" t="s">
        <v>34237</v>
      </c>
      <c r="D9703" t="s">
        <v>40</v>
      </c>
      <c r="E9703" t="s">
        <v>41</v>
      </c>
      <c r="J9703" t="s">
        <v>248</v>
      </c>
      <c r="K9703" t="s">
        <v>249</v>
      </c>
      <c r="L9703">
        <v>1</v>
      </c>
      <c r="M9703" t="s">
        <v>34238</v>
      </c>
      <c r="N9703" t="s">
        <v>178</v>
      </c>
      <c r="O9703" t="s">
        <v>46</v>
      </c>
      <c r="P9703" t="s">
        <v>46</v>
      </c>
      <c r="Y9703" t="s">
        <v>34239</v>
      </c>
    </row>
    <row r="9704" spans="1:25">
      <c r="A9704" t="s">
        <v>34240</v>
      </c>
      <c r="B9704" t="s">
        <v>34241</v>
      </c>
      <c r="D9704" t="s">
        <v>40</v>
      </c>
      <c r="E9704" t="s">
        <v>41</v>
      </c>
      <c r="J9704" t="s">
        <v>248</v>
      </c>
      <c r="K9704" t="s">
        <v>249</v>
      </c>
      <c r="L9704">
        <v>1</v>
      </c>
      <c r="M9704" t="s">
        <v>34242</v>
      </c>
      <c r="N9704" t="s">
        <v>53</v>
      </c>
      <c r="O9704" t="s">
        <v>46</v>
      </c>
      <c r="P9704" t="s">
        <v>46</v>
      </c>
      <c r="Y9704" t="s">
        <v>34243</v>
      </c>
    </row>
    <row r="9705" spans="1:25">
      <c r="A9705" t="s">
        <v>34244</v>
      </c>
      <c r="B9705" t="s">
        <v>34245</v>
      </c>
      <c r="D9705" t="s">
        <v>40</v>
      </c>
      <c r="E9705" t="s">
        <v>41</v>
      </c>
      <c r="J9705" t="s">
        <v>1554</v>
      </c>
      <c r="K9705" t="s">
        <v>1555</v>
      </c>
      <c r="L9705">
        <v>1</v>
      </c>
      <c r="M9705" t="s">
        <v>34246</v>
      </c>
      <c r="N9705" t="s">
        <v>1024</v>
      </c>
      <c r="O9705" t="s">
        <v>46</v>
      </c>
      <c r="P9705" t="s">
        <v>46</v>
      </c>
      <c r="Y9705" t="s">
        <v>34247</v>
      </c>
    </row>
    <row r="9706" spans="1:25">
      <c r="A9706" t="s">
        <v>34248</v>
      </c>
      <c r="B9706" t="s">
        <v>34249</v>
      </c>
      <c r="D9706" t="s">
        <v>40</v>
      </c>
      <c r="E9706" t="s">
        <v>41</v>
      </c>
      <c r="J9706" t="s">
        <v>248</v>
      </c>
      <c r="K9706" t="s">
        <v>249</v>
      </c>
      <c r="L9706">
        <v>1</v>
      </c>
      <c r="M9706" t="s">
        <v>34250</v>
      </c>
      <c r="N9706" t="s">
        <v>266</v>
      </c>
      <c r="O9706" t="s">
        <v>46</v>
      </c>
      <c r="P9706" t="s">
        <v>46</v>
      </c>
      <c r="Y9706" t="s">
        <v>34251</v>
      </c>
    </row>
    <row r="9707" spans="1:25">
      <c r="A9707" t="s">
        <v>34252</v>
      </c>
      <c r="B9707" t="s">
        <v>34253</v>
      </c>
      <c r="D9707" t="s">
        <v>40</v>
      </c>
      <c r="E9707" t="s">
        <v>41</v>
      </c>
      <c r="J9707" t="s">
        <v>248</v>
      </c>
      <c r="K9707" t="s">
        <v>249</v>
      </c>
      <c r="L9707">
        <v>1</v>
      </c>
      <c r="M9707" t="s">
        <v>34250</v>
      </c>
      <c r="N9707" t="s">
        <v>315</v>
      </c>
      <c r="O9707" t="s">
        <v>46</v>
      </c>
      <c r="P9707" t="s">
        <v>46</v>
      </c>
      <c r="Y9707" t="s">
        <v>34254</v>
      </c>
    </row>
    <row r="9708" spans="1:25">
      <c r="A9708" t="s">
        <v>34255</v>
      </c>
      <c r="B9708" t="s">
        <v>34256</v>
      </c>
      <c r="D9708" t="s">
        <v>40</v>
      </c>
      <c r="E9708" t="s">
        <v>41</v>
      </c>
      <c r="J9708" t="s">
        <v>1142</v>
      </c>
      <c r="K9708" t="s">
        <v>1143</v>
      </c>
      <c r="L9708">
        <v>1</v>
      </c>
      <c r="M9708" t="s">
        <v>34257</v>
      </c>
      <c r="N9708" t="s">
        <v>142</v>
      </c>
      <c r="O9708" t="s">
        <v>46</v>
      </c>
      <c r="P9708" t="s">
        <v>46</v>
      </c>
      <c r="Y9708" t="s">
        <v>34258</v>
      </c>
    </row>
    <row r="9709" spans="1:25">
      <c r="A9709" t="s">
        <v>34259</v>
      </c>
      <c r="B9709" t="s">
        <v>34260</v>
      </c>
      <c r="D9709" t="s">
        <v>40</v>
      </c>
      <c r="E9709" t="s">
        <v>41</v>
      </c>
      <c r="J9709" t="s">
        <v>248</v>
      </c>
      <c r="K9709" t="s">
        <v>249</v>
      </c>
      <c r="L9709">
        <v>1</v>
      </c>
      <c r="M9709" t="s">
        <v>34261</v>
      </c>
      <c r="N9709" t="s">
        <v>1478</v>
      </c>
      <c r="O9709" t="s">
        <v>46</v>
      </c>
      <c r="P9709" t="s">
        <v>46</v>
      </c>
      <c r="Y9709" t="s">
        <v>34262</v>
      </c>
    </row>
    <row r="9710" spans="1:25">
      <c r="A9710" t="s">
        <v>34263</v>
      </c>
      <c r="B9710" t="s">
        <v>34264</v>
      </c>
      <c r="D9710" t="s">
        <v>40</v>
      </c>
      <c r="E9710" t="s">
        <v>41</v>
      </c>
      <c r="J9710" t="s">
        <v>248</v>
      </c>
      <c r="K9710" t="s">
        <v>249</v>
      </c>
      <c r="L9710">
        <v>1</v>
      </c>
      <c r="M9710" t="s">
        <v>34265</v>
      </c>
      <c r="N9710" t="s">
        <v>31581</v>
      </c>
      <c r="O9710" t="s">
        <v>46</v>
      </c>
      <c r="P9710" t="s">
        <v>46</v>
      </c>
      <c r="Y9710" t="s">
        <v>34266</v>
      </c>
    </row>
    <row r="9711" spans="1:25">
      <c r="A9711" t="s">
        <v>34267</v>
      </c>
      <c r="B9711" t="s">
        <v>34268</v>
      </c>
      <c r="D9711" t="s">
        <v>40</v>
      </c>
      <c r="E9711" t="s">
        <v>41</v>
      </c>
      <c r="J9711" t="s">
        <v>248</v>
      </c>
      <c r="K9711" t="s">
        <v>249</v>
      </c>
      <c r="L9711">
        <v>1</v>
      </c>
      <c r="M9711" t="s">
        <v>34269</v>
      </c>
      <c r="N9711" t="s">
        <v>291</v>
      </c>
      <c r="O9711" t="s">
        <v>46</v>
      </c>
      <c r="P9711" t="s">
        <v>46</v>
      </c>
      <c r="Y9711" t="s">
        <v>34270</v>
      </c>
    </row>
    <row r="9712" spans="1:25">
      <c r="A9712" t="s">
        <v>34271</v>
      </c>
      <c r="B9712" t="s">
        <v>34272</v>
      </c>
      <c r="D9712" t="s">
        <v>40</v>
      </c>
      <c r="E9712" t="s">
        <v>41</v>
      </c>
      <c r="J9712" t="s">
        <v>11802</v>
      </c>
      <c r="K9712" t="s">
        <v>11803</v>
      </c>
      <c r="L9712">
        <v>1</v>
      </c>
      <c r="M9712" t="s">
        <v>34273</v>
      </c>
      <c r="N9712" t="s">
        <v>3013</v>
      </c>
      <c r="O9712" t="s">
        <v>46</v>
      </c>
      <c r="P9712" t="s">
        <v>46</v>
      </c>
      <c r="Y9712" t="s">
        <v>34274</v>
      </c>
    </row>
    <row r="9713" spans="1:25">
      <c r="A9713" t="s">
        <v>34275</v>
      </c>
      <c r="B9713" t="s">
        <v>34276</v>
      </c>
      <c r="D9713" t="s">
        <v>40</v>
      </c>
      <c r="E9713" t="s">
        <v>41</v>
      </c>
      <c r="J9713" t="s">
        <v>1554</v>
      </c>
      <c r="K9713" t="s">
        <v>1555</v>
      </c>
      <c r="L9713">
        <v>1</v>
      </c>
      <c r="M9713" t="s">
        <v>34277</v>
      </c>
      <c r="N9713" t="s">
        <v>756</v>
      </c>
      <c r="O9713" t="s">
        <v>46</v>
      </c>
      <c r="P9713" t="s">
        <v>46</v>
      </c>
      <c r="Y9713" t="s">
        <v>34278</v>
      </c>
    </row>
    <row r="9714" spans="1:25">
      <c r="A9714" t="s">
        <v>34279</v>
      </c>
      <c r="B9714" t="s">
        <v>34280</v>
      </c>
      <c r="D9714" t="s">
        <v>40</v>
      </c>
      <c r="E9714" t="s">
        <v>41</v>
      </c>
      <c r="J9714" t="s">
        <v>14558</v>
      </c>
      <c r="K9714" t="s">
        <v>14559</v>
      </c>
      <c r="L9714">
        <v>1</v>
      </c>
      <c r="M9714" t="s">
        <v>34281</v>
      </c>
      <c r="N9714" t="s">
        <v>1380</v>
      </c>
      <c r="O9714" t="s">
        <v>46</v>
      </c>
      <c r="P9714" t="s">
        <v>46</v>
      </c>
      <c r="Y9714" t="s">
        <v>34282</v>
      </c>
    </row>
    <row r="9715" spans="1:25">
      <c r="A9715" t="s">
        <v>34283</v>
      </c>
      <c r="B9715" t="s">
        <v>34284</v>
      </c>
      <c r="D9715" t="s">
        <v>40</v>
      </c>
      <c r="E9715" t="s">
        <v>41</v>
      </c>
      <c r="J9715" t="s">
        <v>1142</v>
      </c>
      <c r="K9715" t="s">
        <v>1143</v>
      </c>
      <c r="L9715">
        <v>1</v>
      </c>
      <c r="M9715" t="s">
        <v>34285</v>
      </c>
      <c r="N9715" t="s">
        <v>257</v>
      </c>
      <c r="O9715" t="s">
        <v>46</v>
      </c>
      <c r="P9715" t="s">
        <v>46</v>
      </c>
      <c r="Y9715" t="s">
        <v>34286</v>
      </c>
    </row>
    <row r="9716" spans="1:25">
      <c r="A9716" t="s">
        <v>34287</v>
      </c>
      <c r="B9716" t="s">
        <v>34288</v>
      </c>
      <c r="D9716" t="s">
        <v>40</v>
      </c>
      <c r="E9716" t="s">
        <v>41</v>
      </c>
      <c r="J9716" t="s">
        <v>14558</v>
      </c>
      <c r="K9716" t="s">
        <v>14559</v>
      </c>
      <c r="L9716">
        <v>1</v>
      </c>
      <c r="M9716" t="s">
        <v>34289</v>
      </c>
      <c r="N9716" t="s">
        <v>1550</v>
      </c>
      <c r="O9716" t="s">
        <v>46</v>
      </c>
      <c r="P9716" t="s">
        <v>46</v>
      </c>
      <c r="Y9716" t="s">
        <v>34290</v>
      </c>
    </row>
    <row r="9717" spans="1:25">
      <c r="A9717" t="s">
        <v>34291</v>
      </c>
      <c r="B9717" t="s">
        <v>34292</v>
      </c>
      <c r="D9717" t="s">
        <v>40</v>
      </c>
      <c r="E9717" t="s">
        <v>41</v>
      </c>
      <c r="J9717" t="s">
        <v>1554</v>
      </c>
      <c r="K9717" t="s">
        <v>1555</v>
      </c>
      <c r="L9717">
        <v>1</v>
      </c>
      <c r="M9717" t="s">
        <v>34293</v>
      </c>
      <c r="N9717" t="s">
        <v>1024</v>
      </c>
      <c r="O9717" t="s">
        <v>46</v>
      </c>
      <c r="P9717" t="s">
        <v>46</v>
      </c>
      <c r="Y9717" t="s">
        <v>34294</v>
      </c>
    </row>
    <row r="9718" spans="1:25">
      <c r="A9718" t="s">
        <v>34295</v>
      </c>
      <c r="B9718" t="s">
        <v>34296</v>
      </c>
      <c r="D9718" t="s">
        <v>40</v>
      </c>
      <c r="E9718" t="s">
        <v>41</v>
      </c>
      <c r="J9718" t="s">
        <v>248</v>
      </c>
      <c r="K9718" t="s">
        <v>249</v>
      </c>
      <c r="L9718">
        <v>1</v>
      </c>
      <c r="M9718" t="s">
        <v>34297</v>
      </c>
      <c r="N9718" t="s">
        <v>1397</v>
      </c>
      <c r="O9718" t="s">
        <v>46</v>
      </c>
      <c r="P9718" t="s">
        <v>46</v>
      </c>
      <c r="Y9718" t="s">
        <v>34298</v>
      </c>
    </row>
    <row r="9719" spans="1:25">
      <c r="A9719" t="s">
        <v>34299</v>
      </c>
      <c r="B9719" t="s">
        <v>34300</v>
      </c>
      <c r="D9719" t="s">
        <v>40</v>
      </c>
      <c r="E9719" t="s">
        <v>41</v>
      </c>
      <c r="J9719" t="s">
        <v>6255</v>
      </c>
      <c r="K9719" t="s">
        <v>6256</v>
      </c>
      <c r="L9719">
        <v>2</v>
      </c>
      <c r="M9719" t="s">
        <v>34301</v>
      </c>
      <c r="N9719" t="s">
        <v>23374</v>
      </c>
      <c r="O9719" t="s">
        <v>46</v>
      </c>
      <c r="P9719" t="s">
        <v>46</v>
      </c>
      <c r="Y9719" t="s">
        <v>34302</v>
      </c>
    </row>
    <row r="9720" spans="1:25">
      <c r="A9720" t="s">
        <v>34303</v>
      </c>
      <c r="B9720" t="s">
        <v>34304</v>
      </c>
      <c r="D9720" t="s">
        <v>40</v>
      </c>
      <c r="E9720" t="s">
        <v>41</v>
      </c>
      <c r="J9720" t="s">
        <v>599</v>
      </c>
      <c r="K9720" t="s">
        <v>600</v>
      </c>
      <c r="L9720">
        <v>1</v>
      </c>
      <c r="M9720" t="s">
        <v>34305</v>
      </c>
      <c r="N9720" t="s">
        <v>53</v>
      </c>
      <c r="O9720" t="s">
        <v>46</v>
      </c>
      <c r="P9720" t="s">
        <v>46</v>
      </c>
      <c r="Y9720" t="s">
        <v>34306</v>
      </c>
    </row>
    <row r="9721" spans="1:25">
      <c r="A9721" t="s">
        <v>34307</v>
      </c>
      <c r="B9721" t="s">
        <v>34308</v>
      </c>
      <c r="D9721" t="s">
        <v>40</v>
      </c>
      <c r="E9721" t="s">
        <v>41</v>
      </c>
      <c r="J9721" t="s">
        <v>139</v>
      </c>
      <c r="K9721" t="s">
        <v>140</v>
      </c>
      <c r="L9721">
        <v>1</v>
      </c>
      <c r="M9721" t="s">
        <v>34305</v>
      </c>
      <c r="N9721" t="s">
        <v>509</v>
      </c>
      <c r="O9721" t="s">
        <v>46</v>
      </c>
      <c r="P9721" t="s">
        <v>46</v>
      </c>
      <c r="Y9721" t="s">
        <v>34309</v>
      </c>
    </row>
    <row r="9722" spans="1:25">
      <c r="A9722" t="s">
        <v>34310</v>
      </c>
      <c r="B9722" t="s">
        <v>34311</v>
      </c>
      <c r="D9722" t="s">
        <v>40</v>
      </c>
      <c r="E9722" t="s">
        <v>41</v>
      </c>
      <c r="J9722" t="s">
        <v>248</v>
      </c>
      <c r="K9722" t="s">
        <v>249</v>
      </c>
      <c r="L9722">
        <v>2</v>
      </c>
      <c r="M9722" t="s">
        <v>34312</v>
      </c>
      <c r="N9722" t="s">
        <v>1392</v>
      </c>
      <c r="O9722" t="s">
        <v>46</v>
      </c>
      <c r="P9722" t="s">
        <v>46</v>
      </c>
      <c r="Y9722" t="s">
        <v>34313</v>
      </c>
    </row>
    <row r="9723" spans="1:25">
      <c r="A9723" t="s">
        <v>34314</v>
      </c>
      <c r="B9723" t="s">
        <v>34315</v>
      </c>
      <c r="D9723" t="s">
        <v>40</v>
      </c>
      <c r="E9723" t="s">
        <v>41</v>
      </c>
      <c r="J9723" t="s">
        <v>139</v>
      </c>
      <c r="K9723" t="s">
        <v>140</v>
      </c>
      <c r="L9723">
        <v>1</v>
      </c>
      <c r="M9723" t="s">
        <v>34316</v>
      </c>
      <c r="N9723" t="s">
        <v>24245</v>
      </c>
      <c r="O9723" t="s">
        <v>46</v>
      </c>
      <c r="P9723" t="s">
        <v>46</v>
      </c>
      <c r="Y9723" t="s">
        <v>34317</v>
      </c>
    </row>
    <row r="9724" spans="1:25">
      <c r="A9724" t="s">
        <v>34318</v>
      </c>
      <c r="B9724" t="s">
        <v>34319</v>
      </c>
      <c r="D9724" t="s">
        <v>40</v>
      </c>
      <c r="E9724" t="s">
        <v>41</v>
      </c>
      <c r="J9724" t="s">
        <v>911</v>
      </c>
      <c r="K9724" t="s">
        <v>912</v>
      </c>
      <c r="L9724">
        <v>1</v>
      </c>
      <c r="M9724" t="s">
        <v>34316</v>
      </c>
      <c r="N9724" t="s">
        <v>2621</v>
      </c>
      <c r="O9724" t="s">
        <v>46</v>
      </c>
      <c r="P9724" t="s">
        <v>46</v>
      </c>
      <c r="Y9724" t="s">
        <v>34320</v>
      </c>
    </row>
    <row r="9725" spans="1:25">
      <c r="A9725" t="s">
        <v>34321</v>
      </c>
      <c r="B9725" t="s">
        <v>34322</v>
      </c>
      <c r="D9725" t="s">
        <v>40</v>
      </c>
      <c r="E9725" t="s">
        <v>41</v>
      </c>
      <c r="J9725" t="s">
        <v>248</v>
      </c>
      <c r="K9725" t="s">
        <v>249</v>
      </c>
      <c r="L9725">
        <v>1</v>
      </c>
      <c r="M9725" t="s">
        <v>34323</v>
      </c>
      <c r="N9725" t="s">
        <v>31581</v>
      </c>
      <c r="O9725" t="s">
        <v>46</v>
      </c>
      <c r="P9725" t="s">
        <v>46</v>
      </c>
      <c r="Y9725" t="s">
        <v>34324</v>
      </c>
    </row>
    <row r="9726" spans="1:25">
      <c r="A9726" t="s">
        <v>34325</v>
      </c>
      <c r="B9726" t="s">
        <v>34326</v>
      </c>
      <c r="D9726" t="s">
        <v>40</v>
      </c>
      <c r="E9726" t="s">
        <v>41</v>
      </c>
      <c r="J9726" t="s">
        <v>248</v>
      </c>
      <c r="K9726" t="s">
        <v>249</v>
      </c>
      <c r="L9726">
        <v>1</v>
      </c>
      <c r="M9726" t="s">
        <v>34327</v>
      </c>
      <c r="N9726" t="s">
        <v>1550</v>
      </c>
      <c r="O9726" t="s">
        <v>46</v>
      </c>
      <c r="P9726" t="s">
        <v>46</v>
      </c>
      <c r="Y9726" t="s">
        <v>34328</v>
      </c>
    </row>
    <row r="9727" spans="1:25">
      <c r="A9727" t="s">
        <v>34329</v>
      </c>
      <c r="B9727" t="s">
        <v>34330</v>
      </c>
      <c r="D9727" t="s">
        <v>40</v>
      </c>
      <c r="E9727" t="s">
        <v>41</v>
      </c>
      <c r="J9727" t="s">
        <v>139</v>
      </c>
      <c r="K9727" t="s">
        <v>140</v>
      </c>
      <c r="L9727">
        <v>1</v>
      </c>
      <c r="M9727" t="s">
        <v>34331</v>
      </c>
      <c r="N9727" t="s">
        <v>3013</v>
      </c>
      <c r="O9727" t="s">
        <v>46</v>
      </c>
      <c r="P9727" t="s">
        <v>46</v>
      </c>
      <c r="Y9727" t="s">
        <v>34332</v>
      </c>
    </row>
    <row r="9728" spans="1:25">
      <c r="A9728" t="s">
        <v>34333</v>
      </c>
      <c r="B9728" t="s">
        <v>34334</v>
      </c>
      <c r="D9728" t="s">
        <v>40</v>
      </c>
      <c r="E9728" t="s">
        <v>41</v>
      </c>
      <c r="J9728" t="s">
        <v>248</v>
      </c>
      <c r="K9728" t="s">
        <v>249</v>
      </c>
      <c r="L9728">
        <v>1</v>
      </c>
      <c r="M9728" t="s">
        <v>34331</v>
      </c>
      <c r="N9728" t="s">
        <v>45</v>
      </c>
      <c r="O9728" t="s">
        <v>46</v>
      </c>
      <c r="P9728" t="s">
        <v>46</v>
      </c>
      <c r="Y9728" t="s">
        <v>34335</v>
      </c>
    </row>
    <row r="9729" spans="1:25">
      <c r="A9729" t="s">
        <v>34336</v>
      </c>
      <c r="B9729" t="s">
        <v>34337</v>
      </c>
      <c r="D9729" t="s">
        <v>40</v>
      </c>
      <c r="E9729" t="s">
        <v>41</v>
      </c>
      <c r="J9729" t="s">
        <v>2619</v>
      </c>
      <c r="K9729" t="s">
        <v>140</v>
      </c>
      <c r="L9729">
        <v>1</v>
      </c>
      <c r="M9729" t="s">
        <v>34338</v>
      </c>
      <c r="N9729" t="s">
        <v>2621</v>
      </c>
      <c r="O9729" t="s">
        <v>46</v>
      </c>
      <c r="P9729" t="s">
        <v>46</v>
      </c>
      <c r="Y9729" t="s">
        <v>34339</v>
      </c>
    </row>
    <row r="9730" spans="1:25">
      <c r="A9730" t="s">
        <v>34340</v>
      </c>
      <c r="B9730" t="s">
        <v>34341</v>
      </c>
      <c r="D9730" t="s">
        <v>40</v>
      </c>
      <c r="E9730" t="s">
        <v>41</v>
      </c>
      <c r="J9730" t="s">
        <v>248</v>
      </c>
      <c r="K9730" t="s">
        <v>249</v>
      </c>
      <c r="L9730">
        <v>1</v>
      </c>
      <c r="M9730" t="s">
        <v>34338</v>
      </c>
      <c r="N9730" t="s">
        <v>53</v>
      </c>
      <c r="O9730" t="s">
        <v>46</v>
      </c>
      <c r="P9730" t="s">
        <v>46</v>
      </c>
      <c r="Y9730" t="s">
        <v>34342</v>
      </c>
    </row>
    <row r="9731" spans="1:25">
      <c r="A9731" t="s">
        <v>34343</v>
      </c>
      <c r="B9731" t="s">
        <v>34344</v>
      </c>
      <c r="D9731" t="s">
        <v>40</v>
      </c>
      <c r="E9731" t="s">
        <v>41</v>
      </c>
      <c r="J9731" t="s">
        <v>139</v>
      </c>
      <c r="K9731" t="s">
        <v>140</v>
      </c>
      <c r="L9731">
        <v>1</v>
      </c>
      <c r="M9731" t="s">
        <v>34345</v>
      </c>
      <c r="N9731" t="s">
        <v>1550</v>
      </c>
      <c r="O9731" t="s">
        <v>46</v>
      </c>
      <c r="P9731" t="s">
        <v>46</v>
      </c>
      <c r="Y9731" t="s">
        <v>34346</v>
      </c>
    </row>
    <row r="9732" spans="1:25">
      <c r="A9732" t="s">
        <v>34347</v>
      </c>
      <c r="B9732" t="s">
        <v>34348</v>
      </c>
      <c r="D9732" t="s">
        <v>40</v>
      </c>
      <c r="E9732" t="s">
        <v>41</v>
      </c>
      <c r="J9732" t="s">
        <v>139</v>
      </c>
      <c r="K9732" t="s">
        <v>140</v>
      </c>
      <c r="L9732">
        <v>1</v>
      </c>
      <c r="M9732" t="s">
        <v>34349</v>
      </c>
      <c r="N9732" t="s">
        <v>142</v>
      </c>
      <c r="O9732" t="s">
        <v>46</v>
      </c>
      <c r="P9732" t="s">
        <v>46</v>
      </c>
      <c r="Y9732" t="s">
        <v>34350</v>
      </c>
    </row>
    <row r="9733" spans="1:25">
      <c r="A9733" t="s">
        <v>34351</v>
      </c>
      <c r="B9733" t="s">
        <v>34352</v>
      </c>
      <c r="D9733" t="s">
        <v>40</v>
      </c>
      <c r="E9733" t="s">
        <v>41</v>
      </c>
      <c r="J9733" t="s">
        <v>139</v>
      </c>
      <c r="K9733" t="s">
        <v>140</v>
      </c>
      <c r="L9733">
        <v>1</v>
      </c>
      <c r="M9733" t="s">
        <v>34353</v>
      </c>
      <c r="N9733" t="s">
        <v>1814</v>
      </c>
      <c r="O9733" t="s">
        <v>46</v>
      </c>
      <c r="P9733" t="s">
        <v>46</v>
      </c>
      <c r="Y9733" t="s">
        <v>34354</v>
      </c>
    </row>
    <row r="9734" spans="1:25">
      <c r="A9734" t="s">
        <v>34355</v>
      </c>
      <c r="B9734" t="s">
        <v>34356</v>
      </c>
      <c r="D9734" t="s">
        <v>40</v>
      </c>
      <c r="E9734" t="s">
        <v>41</v>
      </c>
      <c r="J9734" t="s">
        <v>23071</v>
      </c>
      <c r="K9734" t="s">
        <v>23072</v>
      </c>
      <c r="L9734">
        <v>1</v>
      </c>
      <c r="M9734" t="s">
        <v>34357</v>
      </c>
      <c r="N9734" t="s">
        <v>350</v>
      </c>
      <c r="O9734" t="s">
        <v>46</v>
      </c>
      <c r="P9734" t="s">
        <v>46</v>
      </c>
      <c r="Y9734" t="s">
        <v>34358</v>
      </c>
    </row>
    <row r="9735" spans="1:25">
      <c r="A9735" t="s">
        <v>34359</v>
      </c>
      <c r="B9735" t="s">
        <v>34360</v>
      </c>
      <c r="D9735" t="s">
        <v>40</v>
      </c>
      <c r="E9735" t="s">
        <v>41</v>
      </c>
      <c r="J9735" t="s">
        <v>11802</v>
      </c>
      <c r="K9735" t="s">
        <v>11803</v>
      </c>
      <c r="L9735">
        <v>1</v>
      </c>
      <c r="M9735" t="s">
        <v>34357</v>
      </c>
      <c r="N9735" t="s">
        <v>1397</v>
      </c>
      <c r="O9735" t="s">
        <v>46</v>
      </c>
      <c r="P9735" t="s">
        <v>46</v>
      </c>
      <c r="Y9735" t="s">
        <v>34361</v>
      </c>
    </row>
    <row r="9736" spans="1:25">
      <c r="A9736" t="s">
        <v>34362</v>
      </c>
      <c r="B9736" t="s">
        <v>34363</v>
      </c>
      <c r="D9736" t="s">
        <v>40</v>
      </c>
      <c r="E9736" t="s">
        <v>41</v>
      </c>
      <c r="J9736" t="s">
        <v>139</v>
      </c>
      <c r="K9736" t="s">
        <v>140</v>
      </c>
      <c r="L9736">
        <v>1</v>
      </c>
      <c r="M9736" t="s">
        <v>34364</v>
      </c>
      <c r="N9736" t="s">
        <v>24245</v>
      </c>
      <c r="O9736" t="s">
        <v>46</v>
      </c>
      <c r="P9736" t="s">
        <v>46</v>
      </c>
      <c r="Y9736" t="s">
        <v>34365</v>
      </c>
    </row>
    <row r="9737" spans="1:25">
      <c r="A9737" t="s">
        <v>34366</v>
      </c>
      <c r="B9737" t="s">
        <v>34367</v>
      </c>
      <c r="D9737" t="s">
        <v>40</v>
      </c>
      <c r="E9737" t="s">
        <v>41</v>
      </c>
      <c r="J9737" t="s">
        <v>6255</v>
      </c>
      <c r="K9737" t="s">
        <v>6256</v>
      </c>
      <c r="L9737">
        <v>1</v>
      </c>
      <c r="M9737" t="s">
        <v>34368</v>
      </c>
      <c r="N9737" t="s">
        <v>315</v>
      </c>
      <c r="O9737" t="s">
        <v>46</v>
      </c>
      <c r="P9737" t="s">
        <v>46</v>
      </c>
      <c r="Y9737" t="s">
        <v>34369</v>
      </c>
    </row>
    <row r="9738" spans="1:25">
      <c r="A9738" t="s">
        <v>34370</v>
      </c>
      <c r="B9738" t="s">
        <v>34371</v>
      </c>
      <c r="D9738" t="s">
        <v>40</v>
      </c>
      <c r="E9738" t="s">
        <v>41</v>
      </c>
      <c r="J9738" t="s">
        <v>248</v>
      </c>
      <c r="K9738" t="s">
        <v>249</v>
      </c>
      <c r="L9738">
        <v>1</v>
      </c>
      <c r="M9738" t="s">
        <v>34372</v>
      </c>
      <c r="N9738" t="s">
        <v>2621</v>
      </c>
      <c r="O9738" t="s">
        <v>46</v>
      </c>
      <c r="P9738" t="s">
        <v>46</v>
      </c>
      <c r="Y9738" t="s">
        <v>34373</v>
      </c>
    </row>
    <row r="9739" spans="1:25">
      <c r="A9739" t="s">
        <v>34374</v>
      </c>
      <c r="B9739" t="s">
        <v>34375</v>
      </c>
      <c r="D9739" t="s">
        <v>40</v>
      </c>
      <c r="E9739" t="s">
        <v>41</v>
      </c>
      <c r="J9739" t="s">
        <v>248</v>
      </c>
      <c r="K9739" t="s">
        <v>249</v>
      </c>
      <c r="L9739">
        <v>1</v>
      </c>
      <c r="M9739" t="s">
        <v>34376</v>
      </c>
      <c r="N9739" t="s">
        <v>4037</v>
      </c>
      <c r="O9739" t="s">
        <v>46</v>
      </c>
      <c r="P9739" t="s">
        <v>46</v>
      </c>
      <c r="Y9739" t="s">
        <v>34377</v>
      </c>
    </row>
    <row r="9740" spans="1:25">
      <c r="A9740" t="s">
        <v>34378</v>
      </c>
      <c r="B9740" t="s">
        <v>34379</v>
      </c>
      <c r="D9740" t="s">
        <v>40</v>
      </c>
      <c r="E9740" t="s">
        <v>41</v>
      </c>
      <c r="J9740" t="s">
        <v>139</v>
      </c>
      <c r="K9740" t="s">
        <v>140</v>
      </c>
      <c r="L9740">
        <v>1</v>
      </c>
      <c r="M9740" t="s">
        <v>34376</v>
      </c>
      <c r="N9740" t="s">
        <v>950</v>
      </c>
      <c r="O9740" t="s">
        <v>46</v>
      </c>
      <c r="P9740" t="s">
        <v>46</v>
      </c>
      <c r="Y9740" t="s">
        <v>34380</v>
      </c>
    </row>
    <row r="9741" spans="1:25">
      <c r="A9741" t="s">
        <v>34381</v>
      </c>
      <c r="B9741" t="s">
        <v>34382</v>
      </c>
      <c r="D9741" t="s">
        <v>40</v>
      </c>
      <c r="E9741" t="s">
        <v>41</v>
      </c>
      <c r="J9741" t="s">
        <v>248</v>
      </c>
      <c r="K9741" t="s">
        <v>249</v>
      </c>
      <c r="L9741">
        <v>1</v>
      </c>
      <c r="M9741" t="s">
        <v>34383</v>
      </c>
      <c r="N9741" t="s">
        <v>1024</v>
      </c>
      <c r="O9741" t="s">
        <v>46</v>
      </c>
      <c r="P9741" t="s">
        <v>46</v>
      </c>
      <c r="Y9741" t="s">
        <v>34384</v>
      </c>
    </row>
    <row r="9742" spans="1:25">
      <c r="A9742" t="s">
        <v>34385</v>
      </c>
      <c r="B9742" t="s">
        <v>34386</v>
      </c>
      <c r="D9742" t="s">
        <v>40</v>
      </c>
      <c r="E9742" t="s">
        <v>41</v>
      </c>
      <c r="J9742" t="s">
        <v>1554</v>
      </c>
      <c r="K9742" t="s">
        <v>1555</v>
      </c>
      <c r="L9742">
        <v>1</v>
      </c>
      <c r="M9742" t="s">
        <v>34387</v>
      </c>
      <c r="N9742" t="s">
        <v>25508</v>
      </c>
      <c r="O9742" t="s">
        <v>46</v>
      </c>
      <c r="P9742" t="s">
        <v>46</v>
      </c>
      <c r="Y9742" t="s">
        <v>34388</v>
      </c>
    </row>
    <row r="9743" spans="1:25">
      <c r="A9743" t="s">
        <v>34389</v>
      </c>
      <c r="B9743" t="s">
        <v>34390</v>
      </c>
      <c r="D9743" t="s">
        <v>40</v>
      </c>
      <c r="E9743" t="s">
        <v>41</v>
      </c>
      <c r="J9743" t="s">
        <v>921</v>
      </c>
      <c r="K9743" t="s">
        <v>922</v>
      </c>
      <c r="L9743">
        <v>1</v>
      </c>
      <c r="M9743" t="s">
        <v>34391</v>
      </c>
      <c r="N9743" t="s">
        <v>2346</v>
      </c>
      <c r="O9743" t="s">
        <v>46</v>
      </c>
      <c r="P9743" t="s">
        <v>46</v>
      </c>
      <c r="Y9743" t="s">
        <v>34392</v>
      </c>
    </row>
    <row r="9744" spans="1:25">
      <c r="A9744" t="s">
        <v>34393</v>
      </c>
      <c r="B9744" t="s">
        <v>34394</v>
      </c>
      <c r="D9744" t="s">
        <v>40</v>
      </c>
      <c r="E9744" t="s">
        <v>41</v>
      </c>
      <c r="J9744" t="s">
        <v>6255</v>
      </c>
      <c r="K9744" t="s">
        <v>6256</v>
      </c>
      <c r="L9744">
        <v>1</v>
      </c>
      <c r="M9744" t="s">
        <v>34395</v>
      </c>
      <c r="N9744" t="s">
        <v>25508</v>
      </c>
      <c r="O9744" t="s">
        <v>46</v>
      </c>
      <c r="P9744" t="s">
        <v>46</v>
      </c>
      <c r="Y9744" t="s">
        <v>34396</v>
      </c>
    </row>
    <row r="9745" spans="1:25">
      <c r="A9745" t="s">
        <v>34397</v>
      </c>
      <c r="B9745" t="s">
        <v>34398</v>
      </c>
      <c r="D9745" t="s">
        <v>40</v>
      </c>
      <c r="E9745" t="s">
        <v>41</v>
      </c>
      <c r="J9745" t="s">
        <v>248</v>
      </c>
      <c r="K9745" t="s">
        <v>249</v>
      </c>
      <c r="L9745">
        <v>1</v>
      </c>
      <c r="M9745" t="s">
        <v>34399</v>
      </c>
      <c r="N9745" t="s">
        <v>1369</v>
      </c>
      <c r="O9745" t="s">
        <v>46</v>
      </c>
      <c r="P9745" t="s">
        <v>46</v>
      </c>
      <c r="Y9745" t="s">
        <v>34400</v>
      </c>
    </row>
    <row r="9746" spans="1:25">
      <c r="A9746" t="s">
        <v>34401</v>
      </c>
      <c r="B9746" t="s">
        <v>34402</v>
      </c>
      <c r="D9746" t="s">
        <v>40</v>
      </c>
      <c r="E9746" t="s">
        <v>41</v>
      </c>
      <c r="J9746" t="s">
        <v>1554</v>
      </c>
      <c r="K9746" t="s">
        <v>1555</v>
      </c>
      <c r="L9746">
        <v>1</v>
      </c>
      <c r="M9746" t="s">
        <v>34403</v>
      </c>
      <c r="N9746" t="s">
        <v>178</v>
      </c>
      <c r="O9746" t="s">
        <v>46</v>
      </c>
      <c r="P9746" t="s">
        <v>46</v>
      </c>
      <c r="Y9746" t="s">
        <v>34404</v>
      </c>
    </row>
    <row r="9747" spans="1:25">
      <c r="A9747" t="s">
        <v>34405</v>
      </c>
      <c r="B9747" t="s">
        <v>34406</v>
      </c>
      <c r="D9747" t="s">
        <v>40</v>
      </c>
      <c r="E9747" t="s">
        <v>41</v>
      </c>
      <c r="J9747" t="s">
        <v>248</v>
      </c>
      <c r="K9747" t="s">
        <v>249</v>
      </c>
      <c r="L9747">
        <v>1</v>
      </c>
      <c r="M9747" t="s">
        <v>34403</v>
      </c>
      <c r="N9747" t="s">
        <v>142</v>
      </c>
      <c r="O9747" t="s">
        <v>46</v>
      </c>
      <c r="P9747" t="s">
        <v>46</v>
      </c>
      <c r="Y9747" t="s">
        <v>34407</v>
      </c>
    </row>
    <row r="9748" spans="1:25">
      <c r="A9748" t="s">
        <v>34408</v>
      </c>
      <c r="B9748" t="s">
        <v>34409</v>
      </c>
      <c r="D9748" t="s">
        <v>40</v>
      </c>
      <c r="E9748" t="s">
        <v>41</v>
      </c>
      <c r="J9748" t="s">
        <v>248</v>
      </c>
      <c r="K9748" t="s">
        <v>249</v>
      </c>
      <c r="L9748">
        <v>1</v>
      </c>
      <c r="M9748" t="s">
        <v>34410</v>
      </c>
      <c r="N9748" t="s">
        <v>1380</v>
      </c>
      <c r="O9748" t="s">
        <v>46</v>
      </c>
      <c r="P9748" t="s">
        <v>46</v>
      </c>
      <c r="Y9748" t="s">
        <v>34411</v>
      </c>
    </row>
    <row r="9749" spans="1:25">
      <c r="A9749" t="s">
        <v>34412</v>
      </c>
      <c r="B9749" t="s">
        <v>34413</v>
      </c>
      <c r="D9749" t="s">
        <v>40</v>
      </c>
      <c r="E9749" t="s">
        <v>41</v>
      </c>
      <c r="J9749" t="s">
        <v>248</v>
      </c>
      <c r="K9749" t="s">
        <v>249</v>
      </c>
      <c r="L9749">
        <v>1</v>
      </c>
      <c r="M9749" t="s">
        <v>34414</v>
      </c>
      <c r="N9749" t="s">
        <v>1814</v>
      </c>
      <c r="O9749" t="s">
        <v>46</v>
      </c>
      <c r="P9749" t="s">
        <v>46</v>
      </c>
      <c r="Y9749" t="s">
        <v>34415</v>
      </c>
    </row>
    <row r="9750" spans="1:25">
      <c r="A9750" t="s">
        <v>34416</v>
      </c>
      <c r="B9750" t="s">
        <v>34417</v>
      </c>
      <c r="D9750" t="s">
        <v>40</v>
      </c>
      <c r="E9750" t="s">
        <v>41</v>
      </c>
      <c r="J9750" t="s">
        <v>248</v>
      </c>
      <c r="K9750" t="s">
        <v>249</v>
      </c>
      <c r="L9750">
        <v>1</v>
      </c>
      <c r="M9750" t="s">
        <v>34418</v>
      </c>
      <c r="N9750" t="s">
        <v>58</v>
      </c>
      <c r="O9750" t="s">
        <v>46</v>
      </c>
      <c r="P9750" t="s">
        <v>46</v>
      </c>
      <c r="Y9750" t="s">
        <v>34419</v>
      </c>
    </row>
    <row r="9751" spans="1:25">
      <c r="A9751" t="s">
        <v>34420</v>
      </c>
      <c r="B9751" t="s">
        <v>34421</v>
      </c>
      <c r="D9751" t="s">
        <v>40</v>
      </c>
      <c r="E9751" t="s">
        <v>41</v>
      </c>
      <c r="J9751" t="s">
        <v>248</v>
      </c>
      <c r="K9751" t="s">
        <v>249</v>
      </c>
      <c r="L9751">
        <v>1</v>
      </c>
      <c r="M9751" t="s">
        <v>34422</v>
      </c>
      <c r="N9751" t="s">
        <v>266</v>
      </c>
      <c r="O9751" t="s">
        <v>46</v>
      </c>
      <c r="P9751" t="s">
        <v>46</v>
      </c>
      <c r="Y9751" t="s">
        <v>34423</v>
      </c>
    </row>
    <row r="9752" spans="1:25">
      <c r="A9752" t="s">
        <v>34424</v>
      </c>
      <c r="B9752" t="s">
        <v>34425</v>
      </c>
      <c r="D9752" t="s">
        <v>40</v>
      </c>
      <c r="E9752" t="s">
        <v>41</v>
      </c>
      <c r="J9752" t="s">
        <v>14558</v>
      </c>
      <c r="K9752" t="s">
        <v>14559</v>
      </c>
      <c r="L9752">
        <v>1</v>
      </c>
      <c r="M9752" t="s">
        <v>34426</v>
      </c>
      <c r="N9752" t="s">
        <v>24240</v>
      </c>
      <c r="O9752" t="s">
        <v>46</v>
      </c>
      <c r="P9752" t="s">
        <v>46</v>
      </c>
      <c r="Y9752" t="s">
        <v>34427</v>
      </c>
    </row>
    <row r="9753" spans="1:25">
      <c r="A9753" t="s">
        <v>34428</v>
      </c>
      <c r="B9753" t="s">
        <v>34429</v>
      </c>
      <c r="D9753" t="s">
        <v>40</v>
      </c>
      <c r="E9753" t="s">
        <v>41</v>
      </c>
      <c r="J9753" t="s">
        <v>12440</v>
      </c>
      <c r="K9753" t="s">
        <v>12441</v>
      </c>
      <c r="L9753">
        <v>2</v>
      </c>
      <c r="M9753" t="s">
        <v>34426</v>
      </c>
      <c r="N9753" t="s">
        <v>64</v>
      </c>
      <c r="O9753" t="s">
        <v>46</v>
      </c>
      <c r="P9753" t="s">
        <v>46</v>
      </c>
      <c r="Y9753" t="s">
        <v>34430</v>
      </c>
    </row>
    <row r="9754" spans="1:25">
      <c r="A9754" t="s">
        <v>34431</v>
      </c>
      <c r="B9754" t="s">
        <v>34432</v>
      </c>
      <c r="D9754" t="s">
        <v>40</v>
      </c>
      <c r="E9754" t="s">
        <v>41</v>
      </c>
      <c r="J9754" t="s">
        <v>11802</v>
      </c>
      <c r="K9754" t="s">
        <v>11803</v>
      </c>
      <c r="L9754">
        <v>1</v>
      </c>
      <c r="M9754" t="s">
        <v>34433</v>
      </c>
      <c r="N9754" t="s">
        <v>3013</v>
      </c>
      <c r="O9754" t="s">
        <v>46</v>
      </c>
      <c r="P9754" t="s">
        <v>46</v>
      </c>
      <c r="Y9754" t="s">
        <v>34434</v>
      </c>
    </row>
    <row r="9755" spans="1:25">
      <c r="A9755" t="s">
        <v>34435</v>
      </c>
      <c r="B9755" t="s">
        <v>34436</v>
      </c>
      <c r="D9755" t="s">
        <v>40</v>
      </c>
      <c r="E9755" t="s">
        <v>41</v>
      </c>
      <c r="J9755" t="s">
        <v>14558</v>
      </c>
      <c r="K9755" t="s">
        <v>14559</v>
      </c>
      <c r="L9755">
        <v>1</v>
      </c>
      <c r="M9755" t="s">
        <v>34437</v>
      </c>
      <c r="N9755" t="s">
        <v>45</v>
      </c>
      <c r="O9755" t="s">
        <v>46</v>
      </c>
      <c r="P9755" t="s">
        <v>46</v>
      </c>
      <c r="Y9755" t="s">
        <v>34438</v>
      </c>
    </row>
    <row r="9756" spans="1:25">
      <c r="A9756" t="s">
        <v>34439</v>
      </c>
      <c r="B9756" t="s">
        <v>34440</v>
      </c>
      <c r="D9756" t="s">
        <v>40</v>
      </c>
      <c r="E9756" t="s">
        <v>41</v>
      </c>
      <c r="J9756" t="s">
        <v>248</v>
      </c>
      <c r="K9756" t="s">
        <v>249</v>
      </c>
      <c r="L9756">
        <v>1</v>
      </c>
      <c r="M9756" t="s">
        <v>34437</v>
      </c>
      <c r="N9756" t="s">
        <v>142</v>
      </c>
      <c r="O9756" t="s">
        <v>46</v>
      </c>
      <c r="P9756" t="s">
        <v>46</v>
      </c>
      <c r="Y9756" t="s">
        <v>34441</v>
      </c>
    </row>
    <row r="9757" spans="1:25">
      <c r="A9757" t="s">
        <v>34442</v>
      </c>
      <c r="B9757" t="s">
        <v>34443</v>
      </c>
      <c r="D9757" t="s">
        <v>40</v>
      </c>
      <c r="E9757" t="s">
        <v>41</v>
      </c>
      <c r="J9757" t="s">
        <v>139</v>
      </c>
      <c r="K9757" t="s">
        <v>140</v>
      </c>
      <c r="L9757">
        <v>1</v>
      </c>
      <c r="M9757" t="s">
        <v>34444</v>
      </c>
      <c r="N9757" t="s">
        <v>1276</v>
      </c>
      <c r="O9757" t="s">
        <v>46</v>
      </c>
      <c r="P9757" t="s">
        <v>46</v>
      </c>
      <c r="Y9757" t="s">
        <v>34445</v>
      </c>
    </row>
    <row r="9758" spans="1:25">
      <c r="A9758" t="s">
        <v>34446</v>
      </c>
      <c r="B9758" t="s">
        <v>34447</v>
      </c>
      <c r="D9758" t="s">
        <v>40</v>
      </c>
      <c r="E9758" t="s">
        <v>41</v>
      </c>
      <c r="J9758" t="s">
        <v>1554</v>
      </c>
      <c r="K9758" t="s">
        <v>1555</v>
      </c>
      <c r="L9758">
        <v>1</v>
      </c>
      <c r="M9758" t="s">
        <v>34448</v>
      </c>
      <c r="N9758" t="s">
        <v>752</v>
      </c>
      <c r="O9758" t="s">
        <v>46</v>
      </c>
      <c r="P9758" t="s">
        <v>46</v>
      </c>
      <c r="Y9758" t="s">
        <v>34449</v>
      </c>
    </row>
    <row r="9759" spans="1:25">
      <c r="A9759" t="s">
        <v>34450</v>
      </c>
      <c r="B9759" t="s">
        <v>34451</v>
      </c>
      <c r="D9759" t="s">
        <v>40</v>
      </c>
      <c r="E9759" t="s">
        <v>41</v>
      </c>
      <c r="J9759" t="s">
        <v>11802</v>
      </c>
      <c r="K9759" t="s">
        <v>11803</v>
      </c>
      <c r="L9759">
        <v>1</v>
      </c>
      <c r="M9759" t="s">
        <v>34452</v>
      </c>
      <c r="N9759" t="s">
        <v>178</v>
      </c>
      <c r="O9759" t="s">
        <v>46</v>
      </c>
      <c r="P9759" t="s">
        <v>46</v>
      </c>
      <c r="Y9759" t="s">
        <v>34453</v>
      </c>
    </row>
    <row r="9760" spans="1:25">
      <c r="A9760" t="s">
        <v>34454</v>
      </c>
      <c r="B9760" t="s">
        <v>34455</v>
      </c>
      <c r="D9760" t="s">
        <v>40</v>
      </c>
      <c r="E9760" t="s">
        <v>41</v>
      </c>
      <c r="J9760" t="s">
        <v>248</v>
      </c>
      <c r="K9760" t="s">
        <v>249</v>
      </c>
      <c r="L9760">
        <v>1</v>
      </c>
      <c r="M9760" t="s">
        <v>34456</v>
      </c>
      <c r="N9760" t="s">
        <v>1380</v>
      </c>
      <c r="O9760" t="s">
        <v>46</v>
      </c>
      <c r="P9760" t="s">
        <v>46</v>
      </c>
      <c r="Y9760" t="s">
        <v>34457</v>
      </c>
    </row>
    <row r="9761" spans="1:25">
      <c r="A9761" t="s">
        <v>34458</v>
      </c>
      <c r="B9761" t="s">
        <v>34459</v>
      </c>
      <c r="D9761" t="s">
        <v>40</v>
      </c>
      <c r="E9761" t="s">
        <v>41</v>
      </c>
      <c r="J9761" t="s">
        <v>248</v>
      </c>
      <c r="K9761" t="s">
        <v>249</v>
      </c>
      <c r="L9761">
        <v>2</v>
      </c>
      <c r="M9761" t="s">
        <v>34460</v>
      </c>
      <c r="N9761" t="s">
        <v>617</v>
      </c>
      <c r="O9761" t="s">
        <v>46</v>
      </c>
      <c r="P9761" t="s">
        <v>46</v>
      </c>
      <c r="Y9761" t="s">
        <v>34461</v>
      </c>
    </row>
    <row r="9762" spans="1:25">
      <c r="A9762" t="s">
        <v>34462</v>
      </c>
      <c r="B9762" t="s">
        <v>34463</v>
      </c>
      <c r="D9762" t="s">
        <v>40</v>
      </c>
      <c r="E9762" t="s">
        <v>41</v>
      </c>
      <c r="J9762" t="s">
        <v>139</v>
      </c>
      <c r="K9762" t="s">
        <v>140</v>
      </c>
      <c r="L9762">
        <v>1</v>
      </c>
      <c r="M9762" t="s">
        <v>34464</v>
      </c>
      <c r="N9762" t="s">
        <v>436</v>
      </c>
      <c r="O9762" t="s">
        <v>46</v>
      </c>
      <c r="P9762" t="s">
        <v>46</v>
      </c>
      <c r="Y9762" t="s">
        <v>34465</v>
      </c>
    </row>
    <row r="9763" spans="1:25">
      <c r="A9763" t="s">
        <v>34466</v>
      </c>
      <c r="B9763" t="s">
        <v>34467</v>
      </c>
      <c r="D9763" t="s">
        <v>40</v>
      </c>
      <c r="E9763" t="s">
        <v>41</v>
      </c>
      <c r="J9763" t="s">
        <v>2619</v>
      </c>
      <c r="K9763" t="s">
        <v>140</v>
      </c>
      <c r="L9763">
        <v>1</v>
      </c>
      <c r="M9763" t="s">
        <v>34468</v>
      </c>
      <c r="N9763" t="s">
        <v>2621</v>
      </c>
      <c r="O9763" t="s">
        <v>46</v>
      </c>
      <c r="P9763" t="s">
        <v>46</v>
      </c>
      <c r="Y9763" t="s">
        <v>34469</v>
      </c>
    </row>
    <row r="9764" spans="1:25">
      <c r="A9764" t="s">
        <v>34470</v>
      </c>
      <c r="B9764" t="s">
        <v>34471</v>
      </c>
      <c r="D9764" t="s">
        <v>40</v>
      </c>
      <c r="E9764" t="s">
        <v>41</v>
      </c>
      <c r="J9764" t="s">
        <v>16458</v>
      </c>
      <c r="K9764" t="s">
        <v>16459</v>
      </c>
      <c r="L9764">
        <v>1</v>
      </c>
      <c r="M9764" t="s">
        <v>34472</v>
      </c>
      <c r="N9764" t="s">
        <v>1380</v>
      </c>
      <c r="O9764" t="s">
        <v>46</v>
      </c>
      <c r="P9764" t="s">
        <v>46</v>
      </c>
      <c r="Y9764" t="s">
        <v>34473</v>
      </c>
    </row>
    <row r="9765" spans="1:25">
      <c r="A9765" t="s">
        <v>34474</v>
      </c>
      <c r="B9765" t="s">
        <v>34475</v>
      </c>
      <c r="D9765" t="s">
        <v>40</v>
      </c>
      <c r="E9765" t="s">
        <v>41</v>
      </c>
      <c r="J9765" t="s">
        <v>12440</v>
      </c>
      <c r="K9765" t="s">
        <v>12441</v>
      </c>
      <c r="L9765">
        <v>2</v>
      </c>
      <c r="M9765" t="s">
        <v>34476</v>
      </c>
      <c r="N9765" t="s">
        <v>64</v>
      </c>
      <c r="O9765" t="s">
        <v>46</v>
      </c>
      <c r="P9765" t="s">
        <v>46</v>
      </c>
      <c r="Y9765" t="s">
        <v>34477</v>
      </c>
    </row>
    <row r="9766" spans="1:25">
      <c r="A9766" t="s">
        <v>34478</v>
      </c>
      <c r="B9766" t="s">
        <v>34479</v>
      </c>
      <c r="D9766" t="s">
        <v>40</v>
      </c>
      <c r="E9766" t="s">
        <v>41</v>
      </c>
      <c r="J9766" t="s">
        <v>1554</v>
      </c>
      <c r="K9766" t="s">
        <v>1555</v>
      </c>
      <c r="L9766">
        <v>1</v>
      </c>
      <c r="M9766" t="s">
        <v>34480</v>
      </c>
      <c r="N9766" t="s">
        <v>24245</v>
      </c>
      <c r="O9766" t="s">
        <v>46</v>
      </c>
      <c r="P9766" t="s">
        <v>46</v>
      </c>
      <c r="Y9766" t="s">
        <v>34481</v>
      </c>
    </row>
    <row r="9767" spans="1:25">
      <c r="A9767" t="s">
        <v>34482</v>
      </c>
      <c r="B9767" t="s">
        <v>34483</v>
      </c>
      <c r="D9767" t="s">
        <v>40</v>
      </c>
      <c r="E9767" t="s">
        <v>41</v>
      </c>
      <c r="J9767" t="s">
        <v>248</v>
      </c>
      <c r="K9767" t="s">
        <v>249</v>
      </c>
      <c r="L9767">
        <v>1</v>
      </c>
      <c r="M9767" t="s">
        <v>34484</v>
      </c>
      <c r="N9767" t="s">
        <v>1369</v>
      </c>
      <c r="O9767" t="s">
        <v>46</v>
      </c>
      <c r="P9767" t="s">
        <v>46</v>
      </c>
      <c r="Y9767" t="s">
        <v>34485</v>
      </c>
    </row>
    <row r="9768" spans="1:25">
      <c r="A9768" t="s">
        <v>34486</v>
      </c>
      <c r="B9768" t="s">
        <v>34487</v>
      </c>
      <c r="D9768" t="s">
        <v>40</v>
      </c>
      <c r="E9768" t="s">
        <v>41</v>
      </c>
      <c r="J9768" t="s">
        <v>248</v>
      </c>
      <c r="K9768" t="s">
        <v>249</v>
      </c>
      <c r="L9768">
        <v>1</v>
      </c>
      <c r="M9768" t="s">
        <v>34488</v>
      </c>
      <c r="N9768" t="s">
        <v>53</v>
      </c>
      <c r="O9768" t="s">
        <v>46</v>
      </c>
      <c r="P9768" t="s">
        <v>46</v>
      </c>
      <c r="Y9768" t="s">
        <v>34489</v>
      </c>
    </row>
    <row r="9769" spans="1:25">
      <c r="A9769" t="s">
        <v>34490</v>
      </c>
      <c r="B9769" t="s">
        <v>34491</v>
      </c>
      <c r="D9769" t="s">
        <v>40</v>
      </c>
      <c r="E9769" t="s">
        <v>41</v>
      </c>
      <c r="J9769" t="s">
        <v>139</v>
      </c>
      <c r="K9769" t="s">
        <v>140</v>
      </c>
      <c r="L9769">
        <v>1</v>
      </c>
      <c r="M9769" t="s">
        <v>34492</v>
      </c>
      <c r="N9769" t="s">
        <v>950</v>
      </c>
      <c r="O9769" t="s">
        <v>46</v>
      </c>
      <c r="P9769" t="s">
        <v>46</v>
      </c>
      <c r="Y9769" t="s">
        <v>34493</v>
      </c>
    </row>
    <row r="9770" spans="1:25">
      <c r="A9770" t="s">
        <v>34494</v>
      </c>
      <c r="B9770" t="s">
        <v>34495</v>
      </c>
      <c r="D9770" t="s">
        <v>40</v>
      </c>
      <c r="E9770" t="s">
        <v>41</v>
      </c>
      <c r="J9770" t="s">
        <v>1554</v>
      </c>
      <c r="K9770" t="s">
        <v>1555</v>
      </c>
      <c r="L9770">
        <v>1</v>
      </c>
      <c r="M9770" t="s">
        <v>34492</v>
      </c>
      <c r="N9770" t="s">
        <v>315</v>
      </c>
      <c r="O9770" t="s">
        <v>46</v>
      </c>
      <c r="P9770" t="s">
        <v>46</v>
      </c>
      <c r="Y9770" t="s">
        <v>34496</v>
      </c>
    </row>
    <row r="9771" spans="1:25">
      <c r="A9771" t="s">
        <v>34497</v>
      </c>
      <c r="B9771" t="s">
        <v>34498</v>
      </c>
      <c r="D9771" t="s">
        <v>40</v>
      </c>
      <c r="E9771" t="s">
        <v>41</v>
      </c>
      <c r="J9771" t="s">
        <v>248</v>
      </c>
      <c r="K9771" t="s">
        <v>249</v>
      </c>
      <c r="L9771">
        <v>1</v>
      </c>
      <c r="M9771" t="s">
        <v>34499</v>
      </c>
      <c r="N9771" t="s">
        <v>24240</v>
      </c>
      <c r="O9771" t="s">
        <v>46</v>
      </c>
      <c r="P9771" t="s">
        <v>46</v>
      </c>
      <c r="Y9771" t="s">
        <v>34500</v>
      </c>
    </row>
    <row r="9772" spans="1:25">
      <c r="A9772" t="s">
        <v>34501</v>
      </c>
      <c r="B9772" t="s">
        <v>34502</v>
      </c>
      <c r="D9772" t="s">
        <v>40</v>
      </c>
      <c r="E9772" t="s">
        <v>41</v>
      </c>
      <c r="J9772" t="s">
        <v>12440</v>
      </c>
      <c r="K9772" t="s">
        <v>12441</v>
      </c>
      <c r="L9772">
        <v>2</v>
      </c>
      <c r="M9772" t="s">
        <v>34503</v>
      </c>
      <c r="N9772" t="s">
        <v>58</v>
      </c>
      <c r="O9772" t="s">
        <v>46</v>
      </c>
      <c r="P9772" t="s">
        <v>46</v>
      </c>
      <c r="Y9772" t="s">
        <v>34504</v>
      </c>
    </row>
    <row r="9773" spans="1:25">
      <c r="A9773" t="s">
        <v>34505</v>
      </c>
      <c r="B9773" t="s">
        <v>34506</v>
      </c>
      <c r="D9773" t="s">
        <v>40</v>
      </c>
      <c r="E9773" t="s">
        <v>41</v>
      </c>
      <c r="J9773" t="s">
        <v>1142</v>
      </c>
      <c r="K9773" t="s">
        <v>1143</v>
      </c>
      <c r="L9773">
        <v>1</v>
      </c>
      <c r="M9773" t="s">
        <v>34507</v>
      </c>
      <c r="N9773" t="s">
        <v>24227</v>
      </c>
      <c r="O9773" t="s">
        <v>46</v>
      </c>
      <c r="P9773" t="s">
        <v>46</v>
      </c>
      <c r="Y9773" t="s">
        <v>34508</v>
      </c>
    </row>
    <row r="9774" spans="1:25">
      <c r="A9774" t="s">
        <v>34509</v>
      </c>
      <c r="B9774" t="s">
        <v>34510</v>
      </c>
      <c r="D9774" t="s">
        <v>40</v>
      </c>
      <c r="E9774" t="s">
        <v>41</v>
      </c>
      <c r="J9774" t="s">
        <v>248</v>
      </c>
      <c r="K9774" t="s">
        <v>249</v>
      </c>
      <c r="L9774">
        <v>1</v>
      </c>
      <c r="M9774" t="s">
        <v>34511</v>
      </c>
      <c r="N9774" t="s">
        <v>315</v>
      </c>
      <c r="O9774" t="s">
        <v>46</v>
      </c>
      <c r="P9774" t="s">
        <v>46</v>
      </c>
      <c r="Y9774" t="s">
        <v>34512</v>
      </c>
    </row>
    <row r="9775" spans="1:25">
      <c r="A9775" t="s">
        <v>34513</v>
      </c>
      <c r="B9775" t="s">
        <v>34514</v>
      </c>
      <c r="D9775" t="s">
        <v>40</v>
      </c>
      <c r="E9775" t="s">
        <v>41</v>
      </c>
      <c r="J9775" t="s">
        <v>1142</v>
      </c>
      <c r="K9775" t="s">
        <v>1143</v>
      </c>
      <c r="L9775">
        <v>1</v>
      </c>
      <c r="M9775" t="s">
        <v>34515</v>
      </c>
      <c r="N9775" t="s">
        <v>24245</v>
      </c>
      <c r="O9775" t="s">
        <v>46</v>
      </c>
      <c r="P9775" t="s">
        <v>46</v>
      </c>
      <c r="Y9775" t="s">
        <v>34516</v>
      </c>
    </row>
    <row r="9776" spans="1:25">
      <c r="A9776" t="s">
        <v>34517</v>
      </c>
      <c r="B9776" t="s">
        <v>34518</v>
      </c>
      <c r="D9776" t="s">
        <v>40</v>
      </c>
      <c r="E9776" t="s">
        <v>41</v>
      </c>
      <c r="J9776" t="s">
        <v>12440</v>
      </c>
      <c r="K9776" t="s">
        <v>12441</v>
      </c>
      <c r="L9776">
        <v>2</v>
      </c>
      <c r="M9776" t="s">
        <v>34519</v>
      </c>
      <c r="N9776" t="s">
        <v>64</v>
      </c>
      <c r="O9776" t="s">
        <v>46</v>
      </c>
      <c r="P9776" t="s">
        <v>46</v>
      </c>
      <c r="Y9776" t="s">
        <v>34520</v>
      </c>
    </row>
    <row r="9777" spans="1:25">
      <c r="A9777" t="s">
        <v>34521</v>
      </c>
      <c r="B9777" t="s">
        <v>34522</v>
      </c>
      <c r="D9777" t="s">
        <v>40</v>
      </c>
      <c r="E9777" t="s">
        <v>41</v>
      </c>
      <c r="J9777" t="s">
        <v>248</v>
      </c>
      <c r="K9777" t="s">
        <v>249</v>
      </c>
      <c r="L9777">
        <v>1</v>
      </c>
      <c r="M9777" t="s">
        <v>34523</v>
      </c>
      <c r="N9777" t="s">
        <v>31581</v>
      </c>
      <c r="O9777" t="s">
        <v>46</v>
      </c>
      <c r="P9777" t="s">
        <v>46</v>
      </c>
      <c r="Y9777" t="s">
        <v>34524</v>
      </c>
    </row>
    <row r="9778" spans="1:25">
      <c r="A9778" t="s">
        <v>34525</v>
      </c>
      <c r="B9778" t="s">
        <v>34526</v>
      </c>
      <c r="D9778" t="s">
        <v>40</v>
      </c>
      <c r="E9778" t="s">
        <v>41</v>
      </c>
      <c r="J9778" t="s">
        <v>139</v>
      </c>
      <c r="K9778" t="s">
        <v>140</v>
      </c>
      <c r="L9778">
        <v>1</v>
      </c>
      <c r="M9778" t="s">
        <v>34527</v>
      </c>
      <c r="N9778" t="s">
        <v>1276</v>
      </c>
      <c r="O9778" t="s">
        <v>46</v>
      </c>
      <c r="P9778" t="s">
        <v>46</v>
      </c>
      <c r="Y9778" t="s">
        <v>34528</v>
      </c>
    </row>
    <row r="9779" spans="1:25">
      <c r="A9779" t="s">
        <v>34529</v>
      </c>
      <c r="B9779" t="s">
        <v>34530</v>
      </c>
      <c r="D9779" t="s">
        <v>40</v>
      </c>
      <c r="E9779" t="s">
        <v>41</v>
      </c>
      <c r="J9779" t="s">
        <v>1554</v>
      </c>
      <c r="K9779" t="s">
        <v>1555</v>
      </c>
      <c r="L9779">
        <v>1</v>
      </c>
      <c r="M9779" t="s">
        <v>34531</v>
      </c>
      <c r="N9779" t="s">
        <v>4037</v>
      </c>
      <c r="O9779" t="s">
        <v>46</v>
      </c>
      <c r="P9779" t="s">
        <v>46</v>
      </c>
      <c r="Y9779" t="s">
        <v>34532</v>
      </c>
    </row>
    <row r="9780" spans="1:25">
      <c r="A9780" t="s">
        <v>34533</v>
      </c>
      <c r="B9780" t="s">
        <v>34534</v>
      </c>
      <c r="D9780" t="s">
        <v>40</v>
      </c>
      <c r="E9780" t="s">
        <v>41</v>
      </c>
      <c r="J9780" t="s">
        <v>1142</v>
      </c>
      <c r="K9780" t="s">
        <v>1143</v>
      </c>
      <c r="L9780">
        <v>1</v>
      </c>
      <c r="M9780" t="s">
        <v>34535</v>
      </c>
      <c r="N9780" t="s">
        <v>1446</v>
      </c>
      <c r="O9780" t="s">
        <v>46</v>
      </c>
      <c r="P9780" t="s">
        <v>46</v>
      </c>
      <c r="Y9780" t="s">
        <v>34536</v>
      </c>
    </row>
    <row r="9781" spans="1:25">
      <c r="A9781" t="s">
        <v>34537</v>
      </c>
      <c r="B9781" t="s">
        <v>34538</v>
      </c>
      <c r="D9781" t="s">
        <v>40</v>
      </c>
      <c r="E9781" t="s">
        <v>41</v>
      </c>
      <c r="J9781" t="s">
        <v>1142</v>
      </c>
      <c r="K9781" t="s">
        <v>1143</v>
      </c>
      <c r="L9781">
        <v>1</v>
      </c>
      <c r="M9781" t="s">
        <v>34539</v>
      </c>
      <c r="N9781" t="s">
        <v>178</v>
      </c>
      <c r="O9781" t="s">
        <v>46</v>
      </c>
      <c r="P9781" t="s">
        <v>46</v>
      </c>
      <c r="Y9781" t="s">
        <v>34540</v>
      </c>
    </row>
    <row r="9782" spans="1:25">
      <c r="A9782" t="s">
        <v>34541</v>
      </c>
      <c r="B9782" t="s">
        <v>34542</v>
      </c>
      <c r="D9782" t="s">
        <v>40</v>
      </c>
      <c r="E9782" t="s">
        <v>41</v>
      </c>
      <c r="J9782" t="s">
        <v>248</v>
      </c>
      <c r="K9782" t="s">
        <v>249</v>
      </c>
      <c r="L9782">
        <v>1</v>
      </c>
      <c r="M9782" t="s">
        <v>34543</v>
      </c>
      <c r="N9782" t="s">
        <v>1478</v>
      </c>
      <c r="O9782" t="s">
        <v>46</v>
      </c>
      <c r="P9782" t="s">
        <v>46</v>
      </c>
      <c r="Y9782" t="s">
        <v>34544</v>
      </c>
    </row>
    <row r="9783" spans="1:25">
      <c r="A9783" t="s">
        <v>34545</v>
      </c>
      <c r="B9783" t="s">
        <v>34546</v>
      </c>
      <c r="D9783" t="s">
        <v>40</v>
      </c>
      <c r="E9783" t="s">
        <v>41</v>
      </c>
      <c r="J9783" t="s">
        <v>248</v>
      </c>
      <c r="K9783" t="s">
        <v>249</v>
      </c>
      <c r="L9783">
        <v>1</v>
      </c>
      <c r="M9783" t="s">
        <v>34547</v>
      </c>
      <c r="N9783" t="s">
        <v>45</v>
      </c>
      <c r="O9783" t="s">
        <v>46</v>
      </c>
      <c r="P9783" t="s">
        <v>46</v>
      </c>
      <c r="Y9783" t="s">
        <v>34548</v>
      </c>
    </row>
    <row r="9784" spans="1:25">
      <c r="A9784" t="s">
        <v>34549</v>
      </c>
      <c r="B9784" t="s">
        <v>34550</v>
      </c>
      <c r="D9784" t="s">
        <v>40</v>
      </c>
      <c r="E9784" t="s">
        <v>41</v>
      </c>
      <c r="J9784" t="s">
        <v>1554</v>
      </c>
      <c r="K9784" t="s">
        <v>1555</v>
      </c>
      <c r="L9784">
        <v>1</v>
      </c>
      <c r="M9784" t="s">
        <v>34551</v>
      </c>
      <c r="N9784" t="s">
        <v>509</v>
      </c>
      <c r="O9784" t="s">
        <v>46</v>
      </c>
      <c r="P9784" t="s">
        <v>46</v>
      </c>
      <c r="Y9784" t="s">
        <v>34552</v>
      </c>
    </row>
    <row r="9785" spans="1:25">
      <c r="A9785" t="s">
        <v>34553</v>
      </c>
      <c r="B9785" t="s">
        <v>34554</v>
      </c>
      <c r="D9785" t="s">
        <v>40</v>
      </c>
      <c r="E9785" t="s">
        <v>41</v>
      </c>
      <c r="J9785" t="s">
        <v>248</v>
      </c>
      <c r="K9785" t="s">
        <v>249</v>
      </c>
      <c r="L9785">
        <v>1</v>
      </c>
      <c r="M9785" t="s">
        <v>34555</v>
      </c>
      <c r="N9785" t="s">
        <v>24245</v>
      </c>
      <c r="O9785" t="s">
        <v>46</v>
      </c>
      <c r="P9785" t="s">
        <v>46</v>
      </c>
      <c r="Y9785" t="s">
        <v>34556</v>
      </c>
    </row>
    <row r="9786" spans="1:25">
      <c r="A9786" t="s">
        <v>34557</v>
      </c>
      <c r="B9786" t="s">
        <v>34558</v>
      </c>
      <c r="D9786" t="s">
        <v>40</v>
      </c>
      <c r="E9786" t="s">
        <v>41</v>
      </c>
      <c r="J9786" t="s">
        <v>248</v>
      </c>
      <c r="K9786" t="s">
        <v>249</v>
      </c>
      <c r="L9786">
        <v>1</v>
      </c>
      <c r="M9786" t="s">
        <v>34559</v>
      </c>
      <c r="N9786" t="s">
        <v>350</v>
      </c>
      <c r="O9786" t="s">
        <v>46</v>
      </c>
      <c r="P9786" t="s">
        <v>46</v>
      </c>
      <c r="Y9786" t="s">
        <v>34560</v>
      </c>
    </row>
    <row r="9787" spans="1:25">
      <c r="A9787" t="s">
        <v>34561</v>
      </c>
      <c r="B9787" t="s">
        <v>34562</v>
      </c>
      <c r="D9787" t="s">
        <v>40</v>
      </c>
      <c r="E9787" t="s">
        <v>41</v>
      </c>
      <c r="J9787" t="s">
        <v>248</v>
      </c>
      <c r="K9787" t="s">
        <v>249</v>
      </c>
      <c r="L9787">
        <v>1</v>
      </c>
      <c r="M9787" t="s">
        <v>34559</v>
      </c>
      <c r="N9787" t="s">
        <v>24240</v>
      </c>
      <c r="O9787" t="s">
        <v>46</v>
      </c>
      <c r="P9787" t="s">
        <v>46</v>
      </c>
      <c r="Y9787" t="s">
        <v>34563</v>
      </c>
    </row>
    <row r="9788" spans="1:25">
      <c r="A9788" t="s">
        <v>34564</v>
      </c>
      <c r="B9788" t="s">
        <v>34565</v>
      </c>
      <c r="D9788" t="s">
        <v>40</v>
      </c>
      <c r="E9788" t="s">
        <v>41</v>
      </c>
      <c r="J9788" t="s">
        <v>1554</v>
      </c>
      <c r="K9788" t="s">
        <v>1555</v>
      </c>
      <c r="L9788">
        <v>1</v>
      </c>
      <c r="M9788" t="s">
        <v>34566</v>
      </c>
      <c r="N9788" t="s">
        <v>950</v>
      </c>
      <c r="O9788" t="s">
        <v>46</v>
      </c>
      <c r="P9788" t="s">
        <v>46</v>
      </c>
      <c r="Y9788" t="s">
        <v>34567</v>
      </c>
    </row>
    <row r="9789" spans="1:25">
      <c r="A9789" t="s">
        <v>34568</v>
      </c>
      <c r="B9789" t="s">
        <v>34569</v>
      </c>
      <c r="D9789" t="s">
        <v>40</v>
      </c>
      <c r="E9789" t="s">
        <v>41</v>
      </c>
      <c r="J9789" t="s">
        <v>248</v>
      </c>
      <c r="K9789" t="s">
        <v>249</v>
      </c>
      <c r="L9789">
        <v>1</v>
      </c>
      <c r="M9789" t="s">
        <v>34570</v>
      </c>
      <c r="N9789" t="s">
        <v>315</v>
      </c>
      <c r="O9789" t="s">
        <v>46</v>
      </c>
      <c r="P9789" t="s">
        <v>46</v>
      </c>
      <c r="Y9789" t="s">
        <v>34571</v>
      </c>
    </row>
    <row r="9790" spans="1:25">
      <c r="A9790" t="s">
        <v>34572</v>
      </c>
      <c r="B9790" t="s">
        <v>34573</v>
      </c>
      <c r="D9790" t="s">
        <v>40</v>
      </c>
      <c r="E9790" t="s">
        <v>41</v>
      </c>
      <c r="J9790" t="s">
        <v>248</v>
      </c>
      <c r="K9790" t="s">
        <v>249</v>
      </c>
      <c r="L9790">
        <v>1</v>
      </c>
      <c r="M9790" t="s">
        <v>34570</v>
      </c>
      <c r="N9790" t="s">
        <v>1369</v>
      </c>
      <c r="O9790" t="s">
        <v>46</v>
      </c>
      <c r="P9790" t="s">
        <v>46</v>
      </c>
      <c r="Y9790" t="s">
        <v>34574</v>
      </c>
    </row>
    <row r="9791" spans="1:25">
      <c r="A9791" t="s">
        <v>34575</v>
      </c>
      <c r="B9791" t="s">
        <v>34576</v>
      </c>
      <c r="D9791" t="s">
        <v>40</v>
      </c>
      <c r="E9791" t="s">
        <v>41</v>
      </c>
      <c r="J9791" t="s">
        <v>139</v>
      </c>
      <c r="K9791" t="s">
        <v>140</v>
      </c>
      <c r="L9791">
        <v>1</v>
      </c>
      <c r="M9791" t="s">
        <v>34570</v>
      </c>
      <c r="N9791" t="s">
        <v>178</v>
      </c>
      <c r="O9791" t="s">
        <v>46</v>
      </c>
      <c r="P9791" t="s">
        <v>46</v>
      </c>
      <c r="Y9791" t="s">
        <v>34577</v>
      </c>
    </row>
    <row r="9792" spans="1:25">
      <c r="A9792" t="s">
        <v>34578</v>
      </c>
      <c r="B9792" t="s">
        <v>34579</v>
      </c>
      <c r="D9792" t="s">
        <v>40</v>
      </c>
      <c r="E9792" t="s">
        <v>41</v>
      </c>
      <c r="J9792" t="s">
        <v>1142</v>
      </c>
      <c r="K9792" t="s">
        <v>1143</v>
      </c>
      <c r="L9792">
        <v>1</v>
      </c>
      <c r="M9792" t="s">
        <v>34580</v>
      </c>
      <c r="N9792" t="s">
        <v>617</v>
      </c>
      <c r="O9792" t="s">
        <v>46</v>
      </c>
      <c r="P9792" t="s">
        <v>46</v>
      </c>
      <c r="Y9792" t="s">
        <v>34581</v>
      </c>
    </row>
    <row r="9793" spans="1:25">
      <c r="A9793" t="s">
        <v>34582</v>
      </c>
      <c r="B9793" t="s">
        <v>34583</v>
      </c>
      <c r="D9793" t="s">
        <v>40</v>
      </c>
      <c r="E9793" t="s">
        <v>41</v>
      </c>
      <c r="J9793" t="s">
        <v>2619</v>
      </c>
      <c r="K9793" t="s">
        <v>140</v>
      </c>
      <c r="L9793">
        <v>1</v>
      </c>
      <c r="M9793" t="s">
        <v>34584</v>
      </c>
      <c r="N9793" t="s">
        <v>2621</v>
      </c>
      <c r="O9793" t="s">
        <v>46</v>
      </c>
      <c r="P9793" t="s">
        <v>46</v>
      </c>
      <c r="Y9793" t="s">
        <v>34585</v>
      </c>
    </row>
    <row r="9794" spans="1:25">
      <c r="A9794" t="s">
        <v>34586</v>
      </c>
      <c r="B9794" t="s">
        <v>34587</v>
      </c>
      <c r="D9794" t="s">
        <v>40</v>
      </c>
      <c r="E9794" t="s">
        <v>41</v>
      </c>
      <c r="J9794" t="s">
        <v>248</v>
      </c>
      <c r="K9794" t="s">
        <v>249</v>
      </c>
      <c r="L9794">
        <v>1</v>
      </c>
      <c r="M9794" t="s">
        <v>34588</v>
      </c>
      <c r="N9794" t="s">
        <v>950</v>
      </c>
      <c r="O9794" t="s">
        <v>46</v>
      </c>
      <c r="P9794" t="s">
        <v>46</v>
      </c>
      <c r="Y9794" t="s">
        <v>34589</v>
      </c>
    </row>
    <row r="9795" spans="1:25">
      <c r="A9795" t="s">
        <v>34590</v>
      </c>
      <c r="B9795" t="s">
        <v>34591</v>
      </c>
      <c r="D9795" t="s">
        <v>40</v>
      </c>
      <c r="E9795" t="s">
        <v>41</v>
      </c>
      <c r="J9795" t="s">
        <v>1142</v>
      </c>
      <c r="K9795" t="s">
        <v>1143</v>
      </c>
      <c r="L9795">
        <v>1</v>
      </c>
      <c r="M9795" t="s">
        <v>34592</v>
      </c>
      <c r="N9795" t="s">
        <v>3013</v>
      </c>
      <c r="O9795" t="s">
        <v>46</v>
      </c>
      <c r="P9795" t="s">
        <v>46</v>
      </c>
      <c r="Y9795" t="s">
        <v>34593</v>
      </c>
    </row>
    <row r="9796" spans="1:25">
      <c r="A9796" t="s">
        <v>34594</v>
      </c>
      <c r="B9796" t="s">
        <v>34595</v>
      </c>
      <c r="D9796" t="s">
        <v>40</v>
      </c>
      <c r="E9796" t="s">
        <v>41</v>
      </c>
      <c r="J9796" t="s">
        <v>139</v>
      </c>
      <c r="K9796" t="s">
        <v>140</v>
      </c>
      <c r="L9796">
        <v>1</v>
      </c>
      <c r="M9796" t="s">
        <v>34596</v>
      </c>
      <c r="N9796" t="s">
        <v>24245</v>
      </c>
      <c r="O9796" t="s">
        <v>46</v>
      </c>
      <c r="P9796" t="s">
        <v>46</v>
      </c>
      <c r="Y9796" t="s">
        <v>34597</v>
      </c>
    </row>
    <row r="9797" spans="1:25">
      <c r="A9797" t="s">
        <v>34598</v>
      </c>
      <c r="B9797" t="s">
        <v>34599</v>
      </c>
      <c r="D9797" t="s">
        <v>40</v>
      </c>
      <c r="E9797" t="s">
        <v>41</v>
      </c>
      <c r="J9797" t="s">
        <v>248</v>
      </c>
      <c r="K9797" t="s">
        <v>249</v>
      </c>
      <c r="L9797">
        <v>1</v>
      </c>
      <c r="M9797" t="s">
        <v>34600</v>
      </c>
      <c r="N9797" t="s">
        <v>178</v>
      </c>
      <c r="O9797" t="s">
        <v>46</v>
      </c>
      <c r="P9797" t="s">
        <v>46</v>
      </c>
      <c r="Y9797" t="s">
        <v>34601</v>
      </c>
    </row>
    <row r="9798" spans="1:25">
      <c r="A9798" t="s">
        <v>34602</v>
      </c>
      <c r="B9798" t="s">
        <v>34603</v>
      </c>
      <c r="D9798" t="s">
        <v>40</v>
      </c>
      <c r="E9798" t="s">
        <v>41</v>
      </c>
      <c r="J9798" t="s">
        <v>248</v>
      </c>
      <c r="K9798" t="s">
        <v>249</v>
      </c>
      <c r="L9798">
        <v>1</v>
      </c>
      <c r="M9798" t="s">
        <v>34604</v>
      </c>
      <c r="N9798" t="s">
        <v>509</v>
      </c>
      <c r="O9798" t="s">
        <v>46</v>
      </c>
      <c r="P9798" t="s">
        <v>46</v>
      </c>
      <c r="Y9798" t="s">
        <v>34605</v>
      </c>
    </row>
    <row r="9799" spans="1:25">
      <c r="A9799" t="s">
        <v>34606</v>
      </c>
      <c r="B9799" t="s">
        <v>34607</v>
      </c>
      <c r="D9799" t="s">
        <v>40</v>
      </c>
      <c r="E9799" t="s">
        <v>41</v>
      </c>
      <c r="J9799" t="s">
        <v>248</v>
      </c>
      <c r="K9799" t="s">
        <v>249</v>
      </c>
      <c r="L9799">
        <v>1</v>
      </c>
      <c r="M9799" t="s">
        <v>34608</v>
      </c>
      <c r="N9799" t="s">
        <v>257</v>
      </c>
      <c r="O9799" t="s">
        <v>46</v>
      </c>
      <c r="P9799" t="s">
        <v>46</v>
      </c>
      <c r="Y9799" t="s">
        <v>34609</v>
      </c>
    </row>
    <row r="9800" spans="1:25">
      <c r="A9800" t="s">
        <v>34610</v>
      </c>
      <c r="B9800" t="s">
        <v>34611</v>
      </c>
      <c r="D9800" t="s">
        <v>40</v>
      </c>
      <c r="E9800" t="s">
        <v>41</v>
      </c>
      <c r="J9800" t="s">
        <v>139</v>
      </c>
      <c r="K9800" t="s">
        <v>140</v>
      </c>
      <c r="L9800">
        <v>1</v>
      </c>
      <c r="M9800" t="s">
        <v>34612</v>
      </c>
      <c r="N9800" t="s">
        <v>436</v>
      </c>
      <c r="O9800" t="s">
        <v>46</v>
      </c>
      <c r="P9800" t="s">
        <v>46</v>
      </c>
      <c r="Y9800" t="s">
        <v>34613</v>
      </c>
    </row>
    <row r="9801" spans="1:25">
      <c r="A9801" t="s">
        <v>34614</v>
      </c>
      <c r="B9801" t="s">
        <v>34615</v>
      </c>
      <c r="D9801" t="s">
        <v>40</v>
      </c>
      <c r="E9801" t="s">
        <v>41</v>
      </c>
      <c r="J9801" t="s">
        <v>1554</v>
      </c>
      <c r="K9801" t="s">
        <v>1555</v>
      </c>
      <c r="L9801">
        <v>1</v>
      </c>
      <c r="M9801" t="s">
        <v>34612</v>
      </c>
      <c r="N9801" t="s">
        <v>1397</v>
      </c>
      <c r="O9801" t="s">
        <v>46</v>
      </c>
      <c r="P9801" t="s">
        <v>46</v>
      </c>
      <c r="Y9801" t="s">
        <v>34616</v>
      </c>
    </row>
    <row r="9802" spans="1:25">
      <c r="A9802" t="s">
        <v>34617</v>
      </c>
      <c r="B9802" t="s">
        <v>34618</v>
      </c>
      <c r="D9802" t="s">
        <v>40</v>
      </c>
      <c r="E9802" t="s">
        <v>41</v>
      </c>
      <c r="J9802" t="s">
        <v>1142</v>
      </c>
      <c r="K9802" t="s">
        <v>1143</v>
      </c>
      <c r="L9802">
        <v>1</v>
      </c>
      <c r="M9802" t="s">
        <v>34612</v>
      </c>
      <c r="N9802" t="s">
        <v>315</v>
      </c>
      <c r="O9802" t="s">
        <v>46</v>
      </c>
      <c r="P9802" t="s">
        <v>46</v>
      </c>
      <c r="Y9802" t="s">
        <v>34619</v>
      </c>
    </row>
    <row r="9803" spans="1:25">
      <c r="A9803" t="s">
        <v>34620</v>
      </c>
      <c r="B9803" t="s">
        <v>34621</v>
      </c>
      <c r="D9803" t="s">
        <v>40</v>
      </c>
      <c r="E9803" t="s">
        <v>41</v>
      </c>
      <c r="J9803" t="s">
        <v>1142</v>
      </c>
      <c r="K9803" t="s">
        <v>1143</v>
      </c>
      <c r="L9803">
        <v>1</v>
      </c>
      <c r="M9803" t="s">
        <v>34622</v>
      </c>
      <c r="N9803" t="s">
        <v>440</v>
      </c>
      <c r="O9803" t="s">
        <v>46</v>
      </c>
      <c r="P9803" t="s">
        <v>46</v>
      </c>
      <c r="Y9803" t="s">
        <v>34623</v>
      </c>
    </row>
    <row r="9804" spans="1:25">
      <c r="A9804" t="s">
        <v>34624</v>
      </c>
      <c r="B9804" t="s">
        <v>34625</v>
      </c>
      <c r="D9804" t="s">
        <v>40</v>
      </c>
      <c r="E9804" t="s">
        <v>41</v>
      </c>
      <c r="J9804" t="s">
        <v>1142</v>
      </c>
      <c r="K9804" t="s">
        <v>1143</v>
      </c>
      <c r="L9804">
        <v>1</v>
      </c>
      <c r="M9804" t="s">
        <v>34626</v>
      </c>
      <c r="N9804" t="s">
        <v>142</v>
      </c>
      <c r="O9804" t="s">
        <v>46</v>
      </c>
      <c r="P9804" t="s">
        <v>46</v>
      </c>
      <c r="Y9804" t="s">
        <v>34627</v>
      </c>
    </row>
    <row r="9805" spans="1:25">
      <c r="A9805" t="s">
        <v>34628</v>
      </c>
      <c r="B9805" t="s">
        <v>34629</v>
      </c>
      <c r="D9805" t="s">
        <v>40</v>
      </c>
      <c r="E9805" t="s">
        <v>41</v>
      </c>
      <c r="J9805" t="s">
        <v>248</v>
      </c>
      <c r="K9805" t="s">
        <v>249</v>
      </c>
      <c r="L9805">
        <v>1</v>
      </c>
      <c r="M9805" t="s">
        <v>34630</v>
      </c>
      <c r="N9805" t="s">
        <v>509</v>
      </c>
      <c r="O9805" t="s">
        <v>46</v>
      </c>
      <c r="P9805" t="s">
        <v>46</v>
      </c>
      <c r="Y9805" t="s">
        <v>34631</v>
      </c>
    </row>
    <row r="9806" spans="1:25">
      <c r="A9806" t="s">
        <v>34632</v>
      </c>
      <c r="B9806" t="s">
        <v>34633</v>
      </c>
      <c r="D9806" t="s">
        <v>40</v>
      </c>
      <c r="E9806" t="s">
        <v>41</v>
      </c>
      <c r="J9806" t="s">
        <v>248</v>
      </c>
      <c r="K9806" t="s">
        <v>249</v>
      </c>
      <c r="L9806">
        <v>1</v>
      </c>
      <c r="M9806" t="s">
        <v>34634</v>
      </c>
      <c r="N9806" t="s">
        <v>31581</v>
      </c>
      <c r="O9806" t="s">
        <v>46</v>
      </c>
      <c r="P9806" t="s">
        <v>46</v>
      </c>
      <c r="Y9806" t="s">
        <v>34635</v>
      </c>
    </row>
    <row r="9807" spans="1:25">
      <c r="A9807" t="s">
        <v>34636</v>
      </c>
      <c r="B9807" t="s">
        <v>34637</v>
      </c>
      <c r="D9807" t="s">
        <v>40</v>
      </c>
      <c r="E9807" t="s">
        <v>41</v>
      </c>
      <c r="J9807" t="s">
        <v>22447</v>
      </c>
      <c r="K9807" t="s">
        <v>22448</v>
      </c>
      <c r="L9807">
        <v>1</v>
      </c>
      <c r="M9807" t="s">
        <v>34638</v>
      </c>
      <c r="N9807" t="s">
        <v>178</v>
      </c>
      <c r="O9807" t="s">
        <v>46</v>
      </c>
      <c r="P9807" t="s">
        <v>46</v>
      </c>
      <c r="Y9807" t="s">
        <v>34639</v>
      </c>
    </row>
    <row r="9808" spans="1:25">
      <c r="A9808" t="s">
        <v>34640</v>
      </c>
      <c r="B9808" t="s">
        <v>34641</v>
      </c>
      <c r="D9808" t="s">
        <v>40</v>
      </c>
      <c r="E9808" t="s">
        <v>41</v>
      </c>
      <c r="J9808" t="s">
        <v>248</v>
      </c>
      <c r="K9808" t="s">
        <v>249</v>
      </c>
      <c r="L9808">
        <v>1</v>
      </c>
      <c r="M9808" t="s">
        <v>34642</v>
      </c>
      <c r="N9808" t="s">
        <v>315</v>
      </c>
      <c r="O9808" t="s">
        <v>46</v>
      </c>
      <c r="P9808" t="s">
        <v>46</v>
      </c>
      <c r="Y9808" t="s">
        <v>34643</v>
      </c>
    </row>
    <row r="9809" spans="1:25">
      <c r="A9809" t="s">
        <v>34644</v>
      </c>
      <c r="B9809" t="s">
        <v>34645</v>
      </c>
      <c r="D9809" t="s">
        <v>40</v>
      </c>
      <c r="E9809" t="s">
        <v>41</v>
      </c>
      <c r="J9809" t="s">
        <v>1142</v>
      </c>
      <c r="K9809" t="s">
        <v>1143</v>
      </c>
      <c r="L9809">
        <v>1</v>
      </c>
      <c r="M9809" t="s">
        <v>34646</v>
      </c>
      <c r="N9809" t="s">
        <v>257</v>
      </c>
      <c r="O9809" t="s">
        <v>46</v>
      </c>
      <c r="P9809" t="s">
        <v>46</v>
      </c>
      <c r="Y9809" t="s">
        <v>34647</v>
      </c>
    </row>
    <row r="9810" spans="1:25">
      <c r="A9810" t="s">
        <v>34648</v>
      </c>
      <c r="B9810" t="s">
        <v>34649</v>
      </c>
      <c r="D9810" t="s">
        <v>40</v>
      </c>
      <c r="E9810" t="s">
        <v>41</v>
      </c>
      <c r="J9810" t="s">
        <v>248</v>
      </c>
      <c r="K9810" t="s">
        <v>249</v>
      </c>
      <c r="L9810">
        <v>1</v>
      </c>
      <c r="M9810" t="s">
        <v>34650</v>
      </c>
      <c r="N9810" t="s">
        <v>950</v>
      </c>
      <c r="O9810" t="s">
        <v>46</v>
      </c>
      <c r="P9810" t="s">
        <v>46</v>
      </c>
      <c r="Y9810" t="s">
        <v>34651</v>
      </c>
    </row>
    <row r="9811" spans="1:25">
      <c r="A9811" t="s">
        <v>34652</v>
      </c>
      <c r="B9811" t="s">
        <v>34653</v>
      </c>
      <c r="D9811" t="s">
        <v>40</v>
      </c>
      <c r="E9811" t="s">
        <v>41</v>
      </c>
      <c r="J9811" t="s">
        <v>6179</v>
      </c>
      <c r="K9811" t="s">
        <v>6180</v>
      </c>
      <c r="L9811">
        <v>1</v>
      </c>
      <c r="M9811" t="s">
        <v>34654</v>
      </c>
      <c r="N9811" t="s">
        <v>1392</v>
      </c>
      <c r="O9811" t="s">
        <v>46</v>
      </c>
      <c r="P9811" t="s">
        <v>46</v>
      </c>
      <c r="Y9811" t="s">
        <v>34655</v>
      </c>
    </row>
    <row r="9812" spans="1:25">
      <c r="A9812" t="s">
        <v>34656</v>
      </c>
      <c r="B9812" t="s">
        <v>34657</v>
      </c>
      <c r="D9812" t="s">
        <v>40</v>
      </c>
      <c r="E9812" t="s">
        <v>41</v>
      </c>
      <c r="J9812" t="s">
        <v>248</v>
      </c>
      <c r="K9812" t="s">
        <v>249</v>
      </c>
      <c r="L9812">
        <v>1</v>
      </c>
      <c r="M9812" t="s">
        <v>34658</v>
      </c>
      <c r="N9812" t="s">
        <v>1380</v>
      </c>
      <c r="O9812" t="s">
        <v>46</v>
      </c>
      <c r="P9812" t="s">
        <v>46</v>
      </c>
      <c r="Y9812" t="s">
        <v>34659</v>
      </c>
    </row>
    <row r="9813" spans="1:25">
      <c r="A9813" t="s">
        <v>34660</v>
      </c>
      <c r="B9813" t="s">
        <v>34661</v>
      </c>
      <c r="D9813" t="s">
        <v>40</v>
      </c>
      <c r="E9813" t="s">
        <v>41</v>
      </c>
      <c r="J9813" t="s">
        <v>1554</v>
      </c>
      <c r="K9813" t="s">
        <v>1555</v>
      </c>
      <c r="L9813">
        <v>1</v>
      </c>
      <c r="M9813" t="s">
        <v>34658</v>
      </c>
      <c r="N9813" t="s">
        <v>266</v>
      </c>
      <c r="O9813" t="s">
        <v>46</v>
      </c>
      <c r="P9813" t="s">
        <v>46</v>
      </c>
      <c r="Y9813" t="s">
        <v>34662</v>
      </c>
    </row>
    <row r="9814" spans="1:25">
      <c r="A9814" t="s">
        <v>34663</v>
      </c>
      <c r="B9814" t="s">
        <v>34664</v>
      </c>
      <c r="D9814" t="s">
        <v>40</v>
      </c>
      <c r="E9814" t="s">
        <v>41</v>
      </c>
      <c r="J9814" t="s">
        <v>1554</v>
      </c>
      <c r="K9814" t="s">
        <v>1555</v>
      </c>
      <c r="L9814">
        <v>1</v>
      </c>
      <c r="M9814" t="s">
        <v>34665</v>
      </c>
      <c r="N9814" t="s">
        <v>53</v>
      </c>
      <c r="O9814" t="s">
        <v>46</v>
      </c>
      <c r="P9814" t="s">
        <v>46</v>
      </c>
      <c r="Y9814" t="s">
        <v>34666</v>
      </c>
    </row>
    <row r="9815" spans="1:25">
      <c r="A9815" t="s">
        <v>34667</v>
      </c>
      <c r="B9815" t="s">
        <v>34668</v>
      </c>
      <c r="D9815" t="s">
        <v>40</v>
      </c>
      <c r="E9815" t="s">
        <v>41</v>
      </c>
      <c r="J9815" t="s">
        <v>22447</v>
      </c>
      <c r="K9815" t="s">
        <v>22448</v>
      </c>
      <c r="L9815">
        <v>1</v>
      </c>
      <c r="M9815" t="s">
        <v>34669</v>
      </c>
      <c r="N9815" t="s">
        <v>45</v>
      </c>
      <c r="O9815" t="s">
        <v>46</v>
      </c>
      <c r="P9815" t="s">
        <v>46</v>
      </c>
      <c r="Y9815" t="s">
        <v>34670</v>
      </c>
    </row>
    <row r="9816" spans="1:25">
      <c r="A9816" t="s">
        <v>34671</v>
      </c>
      <c r="B9816" t="s">
        <v>34672</v>
      </c>
      <c r="D9816" t="s">
        <v>40</v>
      </c>
      <c r="E9816" t="s">
        <v>41</v>
      </c>
      <c r="J9816" t="s">
        <v>248</v>
      </c>
      <c r="K9816" t="s">
        <v>249</v>
      </c>
      <c r="L9816">
        <v>1</v>
      </c>
      <c r="M9816" t="s">
        <v>34673</v>
      </c>
      <c r="N9816" t="s">
        <v>752</v>
      </c>
      <c r="O9816" t="s">
        <v>46</v>
      </c>
      <c r="P9816" t="s">
        <v>46</v>
      </c>
      <c r="Y9816" t="s">
        <v>34674</v>
      </c>
    </row>
    <row r="9817" spans="1:25">
      <c r="A9817" t="s">
        <v>34675</v>
      </c>
      <c r="B9817" t="s">
        <v>34676</v>
      </c>
      <c r="D9817" t="s">
        <v>40</v>
      </c>
      <c r="E9817" t="s">
        <v>41</v>
      </c>
      <c r="J9817" t="s">
        <v>248</v>
      </c>
      <c r="K9817" t="s">
        <v>249</v>
      </c>
      <c r="L9817">
        <v>1</v>
      </c>
      <c r="M9817" t="s">
        <v>34673</v>
      </c>
      <c r="N9817" t="s">
        <v>257</v>
      </c>
      <c r="O9817" t="s">
        <v>46</v>
      </c>
      <c r="P9817" t="s">
        <v>46</v>
      </c>
      <c r="Y9817" t="s">
        <v>34677</v>
      </c>
    </row>
    <row r="9818" spans="1:25">
      <c r="A9818" t="s">
        <v>34678</v>
      </c>
      <c r="B9818" t="s">
        <v>34679</v>
      </c>
      <c r="D9818" t="s">
        <v>40</v>
      </c>
      <c r="E9818" t="s">
        <v>41</v>
      </c>
      <c r="J9818" t="s">
        <v>248</v>
      </c>
      <c r="K9818" t="s">
        <v>249</v>
      </c>
      <c r="L9818">
        <v>1</v>
      </c>
      <c r="M9818" t="s">
        <v>34680</v>
      </c>
      <c r="N9818" t="s">
        <v>924</v>
      </c>
      <c r="O9818" t="s">
        <v>46</v>
      </c>
      <c r="P9818" t="s">
        <v>46</v>
      </c>
      <c r="Y9818" t="s">
        <v>34681</v>
      </c>
    </row>
    <row r="9819" spans="1:25">
      <c r="A9819" t="s">
        <v>34682</v>
      </c>
      <c r="B9819" t="s">
        <v>34683</v>
      </c>
      <c r="D9819" t="s">
        <v>40</v>
      </c>
      <c r="E9819" t="s">
        <v>41</v>
      </c>
      <c r="J9819" t="s">
        <v>599</v>
      </c>
      <c r="K9819" t="s">
        <v>600</v>
      </c>
      <c r="L9819">
        <v>1</v>
      </c>
      <c r="M9819" t="s">
        <v>34684</v>
      </c>
      <c r="N9819" t="s">
        <v>1446</v>
      </c>
      <c r="O9819" t="s">
        <v>46</v>
      </c>
      <c r="P9819" t="s">
        <v>46</v>
      </c>
      <c r="Y9819" t="s">
        <v>34685</v>
      </c>
    </row>
    <row r="9820" spans="1:25">
      <c r="A9820" t="s">
        <v>34686</v>
      </c>
      <c r="B9820" t="s">
        <v>34687</v>
      </c>
      <c r="D9820" t="s">
        <v>40</v>
      </c>
      <c r="E9820" t="s">
        <v>41</v>
      </c>
      <c r="J9820" t="s">
        <v>2619</v>
      </c>
      <c r="K9820" t="s">
        <v>140</v>
      </c>
      <c r="L9820">
        <v>1</v>
      </c>
      <c r="M9820" t="s">
        <v>34688</v>
      </c>
      <c r="N9820" t="s">
        <v>24245</v>
      </c>
      <c r="O9820" t="s">
        <v>46</v>
      </c>
      <c r="P9820" t="s">
        <v>46</v>
      </c>
      <c r="Y9820" t="s">
        <v>34689</v>
      </c>
    </row>
    <row r="9821" spans="1:25">
      <c r="A9821" t="s">
        <v>34690</v>
      </c>
      <c r="B9821" t="s">
        <v>34691</v>
      </c>
      <c r="D9821" t="s">
        <v>40</v>
      </c>
      <c r="E9821" t="s">
        <v>41</v>
      </c>
      <c r="J9821" t="s">
        <v>911</v>
      </c>
      <c r="K9821" t="s">
        <v>912</v>
      </c>
      <c r="L9821">
        <v>1</v>
      </c>
      <c r="M9821" t="s">
        <v>34692</v>
      </c>
      <c r="N9821" t="s">
        <v>3013</v>
      </c>
      <c r="O9821" t="s">
        <v>46</v>
      </c>
      <c r="P9821" t="s">
        <v>46</v>
      </c>
      <c r="Y9821" t="s">
        <v>34693</v>
      </c>
    </row>
    <row r="9822" spans="1:25">
      <c r="A9822" t="s">
        <v>34694</v>
      </c>
      <c r="B9822" t="s">
        <v>34695</v>
      </c>
      <c r="D9822" t="s">
        <v>40</v>
      </c>
      <c r="E9822" t="s">
        <v>41</v>
      </c>
      <c r="J9822" t="s">
        <v>139</v>
      </c>
      <c r="K9822" t="s">
        <v>140</v>
      </c>
      <c r="L9822">
        <v>1</v>
      </c>
      <c r="M9822" t="s">
        <v>34696</v>
      </c>
      <c r="N9822" t="s">
        <v>24245</v>
      </c>
      <c r="O9822" t="s">
        <v>46</v>
      </c>
      <c r="P9822" t="s">
        <v>46</v>
      </c>
      <c r="Y9822" t="s">
        <v>34697</v>
      </c>
    </row>
    <row r="9823" spans="1:25">
      <c r="A9823" t="s">
        <v>34698</v>
      </c>
      <c r="B9823" t="s">
        <v>34699</v>
      </c>
      <c r="D9823" t="s">
        <v>40</v>
      </c>
      <c r="E9823" t="s">
        <v>41</v>
      </c>
      <c r="J9823" t="s">
        <v>1554</v>
      </c>
      <c r="K9823" t="s">
        <v>1555</v>
      </c>
      <c r="L9823">
        <v>1</v>
      </c>
      <c r="M9823" t="s">
        <v>34700</v>
      </c>
      <c r="N9823" t="s">
        <v>45</v>
      </c>
      <c r="O9823" t="s">
        <v>46</v>
      </c>
      <c r="P9823" t="s">
        <v>46</v>
      </c>
      <c r="Y9823" t="s">
        <v>34701</v>
      </c>
    </row>
    <row r="9824" spans="1:25">
      <c r="A9824" t="s">
        <v>34702</v>
      </c>
      <c r="B9824" t="s">
        <v>34703</v>
      </c>
      <c r="D9824" t="s">
        <v>40</v>
      </c>
      <c r="E9824" t="s">
        <v>41</v>
      </c>
      <c r="J9824" t="s">
        <v>6255</v>
      </c>
      <c r="K9824" t="s">
        <v>6256</v>
      </c>
      <c r="L9824">
        <v>1</v>
      </c>
      <c r="M9824" t="s">
        <v>34704</v>
      </c>
      <c r="N9824" t="s">
        <v>266</v>
      </c>
      <c r="O9824" t="s">
        <v>46</v>
      </c>
      <c r="P9824" t="s">
        <v>46</v>
      </c>
      <c r="Y9824" t="s">
        <v>34705</v>
      </c>
    </row>
    <row r="9825" spans="1:25">
      <c r="A9825" t="s">
        <v>34706</v>
      </c>
      <c r="B9825" t="s">
        <v>34707</v>
      </c>
      <c r="D9825" t="s">
        <v>40</v>
      </c>
      <c r="E9825" t="s">
        <v>41</v>
      </c>
      <c r="J9825" t="s">
        <v>1142</v>
      </c>
      <c r="K9825" t="s">
        <v>1143</v>
      </c>
      <c r="L9825">
        <v>1</v>
      </c>
      <c r="M9825" t="s">
        <v>34708</v>
      </c>
      <c r="N9825" t="s">
        <v>53</v>
      </c>
      <c r="O9825" t="s">
        <v>46</v>
      </c>
      <c r="P9825" t="s">
        <v>46</v>
      </c>
      <c r="Y9825" t="s">
        <v>34709</v>
      </c>
    </row>
    <row r="9826" spans="1:25">
      <c r="A9826" t="s">
        <v>34710</v>
      </c>
      <c r="B9826" t="s">
        <v>34711</v>
      </c>
      <c r="D9826" t="s">
        <v>40</v>
      </c>
      <c r="E9826" t="s">
        <v>41</v>
      </c>
      <c r="J9826" t="s">
        <v>11802</v>
      </c>
      <c r="K9826" t="s">
        <v>11803</v>
      </c>
      <c r="L9826">
        <v>2</v>
      </c>
      <c r="M9826" t="s">
        <v>34708</v>
      </c>
      <c r="N9826" t="s">
        <v>3013</v>
      </c>
      <c r="O9826" t="s">
        <v>46</v>
      </c>
      <c r="P9826" t="s">
        <v>46</v>
      </c>
      <c r="Y9826" t="s">
        <v>34712</v>
      </c>
    </row>
    <row r="9827" spans="1:25">
      <c r="A9827" t="s">
        <v>34713</v>
      </c>
      <c r="B9827" t="s">
        <v>34714</v>
      </c>
      <c r="D9827" t="s">
        <v>40</v>
      </c>
      <c r="E9827" t="s">
        <v>41</v>
      </c>
      <c r="J9827" t="s">
        <v>248</v>
      </c>
      <c r="K9827" t="s">
        <v>249</v>
      </c>
      <c r="L9827">
        <v>1</v>
      </c>
      <c r="M9827" t="s">
        <v>34715</v>
      </c>
      <c r="N9827" t="s">
        <v>1276</v>
      </c>
      <c r="O9827" t="s">
        <v>46</v>
      </c>
      <c r="P9827" t="s">
        <v>46</v>
      </c>
      <c r="Y9827" t="s">
        <v>34716</v>
      </c>
    </row>
    <row r="9828" spans="1:25">
      <c r="A9828" t="s">
        <v>34717</v>
      </c>
      <c r="B9828" t="s">
        <v>34718</v>
      </c>
      <c r="D9828" t="s">
        <v>40</v>
      </c>
      <c r="E9828" t="s">
        <v>41</v>
      </c>
      <c r="J9828" t="s">
        <v>139</v>
      </c>
      <c r="K9828" t="s">
        <v>140</v>
      </c>
      <c r="L9828">
        <v>1</v>
      </c>
      <c r="M9828" t="s">
        <v>34719</v>
      </c>
      <c r="N9828" t="s">
        <v>24245</v>
      </c>
      <c r="O9828" t="s">
        <v>46</v>
      </c>
      <c r="P9828" t="s">
        <v>46</v>
      </c>
      <c r="Y9828" t="s">
        <v>34720</v>
      </c>
    </row>
    <row r="9829" spans="1:25">
      <c r="A9829" t="s">
        <v>34721</v>
      </c>
      <c r="B9829" t="s">
        <v>34722</v>
      </c>
      <c r="D9829" t="s">
        <v>40</v>
      </c>
      <c r="E9829" t="s">
        <v>41</v>
      </c>
      <c r="J9829" t="s">
        <v>1142</v>
      </c>
      <c r="K9829" t="s">
        <v>1143</v>
      </c>
      <c r="L9829">
        <v>1</v>
      </c>
      <c r="M9829" t="s">
        <v>34723</v>
      </c>
      <c r="N9829" t="s">
        <v>440</v>
      </c>
      <c r="O9829" t="s">
        <v>46</v>
      </c>
      <c r="P9829" t="s">
        <v>46</v>
      </c>
      <c r="Y9829" t="s">
        <v>34724</v>
      </c>
    </row>
    <row r="9830" spans="1:25">
      <c r="A9830" t="s">
        <v>34725</v>
      </c>
      <c r="B9830" t="s">
        <v>34726</v>
      </c>
      <c r="D9830" t="s">
        <v>40</v>
      </c>
      <c r="E9830" t="s">
        <v>41</v>
      </c>
      <c r="J9830" t="s">
        <v>139</v>
      </c>
      <c r="K9830" t="s">
        <v>140</v>
      </c>
      <c r="L9830">
        <v>1</v>
      </c>
      <c r="M9830" t="s">
        <v>34727</v>
      </c>
      <c r="N9830" t="s">
        <v>924</v>
      </c>
      <c r="O9830" t="s">
        <v>46</v>
      </c>
      <c r="P9830" t="s">
        <v>46</v>
      </c>
      <c r="Y9830" t="s">
        <v>34728</v>
      </c>
    </row>
    <row r="9831" spans="1:25">
      <c r="A9831" t="s">
        <v>34729</v>
      </c>
      <c r="B9831" t="s">
        <v>34730</v>
      </c>
      <c r="D9831" t="s">
        <v>40</v>
      </c>
      <c r="E9831" t="s">
        <v>41</v>
      </c>
      <c r="J9831" t="s">
        <v>139</v>
      </c>
      <c r="K9831" t="s">
        <v>140</v>
      </c>
      <c r="L9831">
        <v>1</v>
      </c>
      <c r="M9831" t="s">
        <v>34727</v>
      </c>
      <c r="N9831" t="s">
        <v>950</v>
      </c>
      <c r="O9831" t="s">
        <v>46</v>
      </c>
      <c r="P9831" t="s">
        <v>46</v>
      </c>
      <c r="Y9831" t="s">
        <v>34731</v>
      </c>
    </row>
    <row r="9832" spans="1:25">
      <c r="A9832" t="s">
        <v>34732</v>
      </c>
      <c r="B9832" t="s">
        <v>34733</v>
      </c>
      <c r="D9832" t="s">
        <v>40</v>
      </c>
      <c r="E9832" t="s">
        <v>41</v>
      </c>
      <c r="J9832" t="s">
        <v>248</v>
      </c>
      <c r="K9832" t="s">
        <v>249</v>
      </c>
      <c r="L9832">
        <v>1</v>
      </c>
      <c r="M9832" t="s">
        <v>34734</v>
      </c>
      <c r="N9832" t="s">
        <v>350</v>
      </c>
      <c r="O9832" t="s">
        <v>46</v>
      </c>
      <c r="P9832" t="s">
        <v>46</v>
      </c>
      <c r="Y9832" t="s">
        <v>34735</v>
      </c>
    </row>
    <row r="9833" spans="1:25">
      <c r="A9833" t="s">
        <v>34736</v>
      </c>
      <c r="B9833" t="s">
        <v>34737</v>
      </c>
      <c r="D9833" t="s">
        <v>40</v>
      </c>
      <c r="E9833" t="s">
        <v>41</v>
      </c>
      <c r="J9833" t="s">
        <v>11802</v>
      </c>
      <c r="K9833" t="s">
        <v>11803</v>
      </c>
      <c r="L9833">
        <v>1</v>
      </c>
      <c r="M9833" t="s">
        <v>34738</v>
      </c>
      <c r="N9833" t="s">
        <v>2621</v>
      </c>
      <c r="O9833" t="s">
        <v>46</v>
      </c>
      <c r="P9833" t="s">
        <v>46</v>
      </c>
      <c r="Y9833" t="s">
        <v>34739</v>
      </c>
    </row>
    <row r="9834" spans="1:25">
      <c r="A9834" t="s">
        <v>34740</v>
      </c>
      <c r="B9834" t="s">
        <v>34741</v>
      </c>
      <c r="D9834" t="s">
        <v>40</v>
      </c>
      <c r="E9834" t="s">
        <v>41</v>
      </c>
      <c r="J9834" t="s">
        <v>248</v>
      </c>
      <c r="K9834" t="s">
        <v>249</v>
      </c>
      <c r="L9834">
        <v>1</v>
      </c>
      <c r="M9834" t="s">
        <v>34742</v>
      </c>
      <c r="N9834" t="s">
        <v>31581</v>
      </c>
      <c r="O9834" t="s">
        <v>46</v>
      </c>
      <c r="P9834" t="s">
        <v>46</v>
      </c>
      <c r="Y9834" t="s">
        <v>34743</v>
      </c>
    </row>
    <row r="9835" spans="1:25">
      <c r="A9835" t="s">
        <v>34744</v>
      </c>
      <c r="B9835" t="s">
        <v>34745</v>
      </c>
      <c r="D9835" t="s">
        <v>40</v>
      </c>
      <c r="E9835" t="s">
        <v>41</v>
      </c>
      <c r="J9835" t="s">
        <v>1142</v>
      </c>
      <c r="K9835" t="s">
        <v>1143</v>
      </c>
      <c r="L9835">
        <v>1</v>
      </c>
      <c r="M9835" t="s">
        <v>34746</v>
      </c>
      <c r="N9835" t="s">
        <v>257</v>
      </c>
      <c r="O9835" t="s">
        <v>46</v>
      </c>
      <c r="P9835" t="s">
        <v>46</v>
      </c>
      <c r="Y9835" t="s">
        <v>34747</v>
      </c>
    </row>
    <row r="9836" spans="1:25">
      <c r="A9836" t="s">
        <v>34748</v>
      </c>
      <c r="B9836" t="s">
        <v>34749</v>
      </c>
      <c r="D9836" t="s">
        <v>40</v>
      </c>
      <c r="E9836" t="s">
        <v>41</v>
      </c>
      <c r="J9836" t="s">
        <v>139</v>
      </c>
      <c r="K9836" t="s">
        <v>140</v>
      </c>
      <c r="L9836">
        <v>1</v>
      </c>
      <c r="M9836" t="s">
        <v>34746</v>
      </c>
      <c r="N9836" t="s">
        <v>25508</v>
      </c>
      <c r="O9836" t="s">
        <v>46</v>
      </c>
      <c r="P9836" t="s">
        <v>46</v>
      </c>
      <c r="Y9836" t="s">
        <v>34750</v>
      </c>
    </row>
    <row r="9837" spans="1:25">
      <c r="A9837" t="s">
        <v>34751</v>
      </c>
      <c r="B9837" t="s">
        <v>34752</v>
      </c>
      <c r="D9837" t="s">
        <v>40</v>
      </c>
      <c r="E9837" t="s">
        <v>41</v>
      </c>
      <c r="J9837" t="s">
        <v>139</v>
      </c>
      <c r="K9837" t="s">
        <v>140</v>
      </c>
      <c r="L9837">
        <v>1</v>
      </c>
      <c r="M9837" t="s">
        <v>34753</v>
      </c>
      <c r="N9837" t="s">
        <v>436</v>
      </c>
      <c r="O9837" t="s">
        <v>46</v>
      </c>
      <c r="P9837" t="s">
        <v>46</v>
      </c>
      <c r="Y9837" t="s">
        <v>34754</v>
      </c>
    </row>
    <row r="9838" spans="1:25">
      <c r="A9838" t="s">
        <v>34755</v>
      </c>
      <c r="B9838" t="s">
        <v>34756</v>
      </c>
      <c r="D9838" t="s">
        <v>40</v>
      </c>
      <c r="E9838" t="s">
        <v>41</v>
      </c>
      <c r="J9838" t="s">
        <v>139</v>
      </c>
      <c r="K9838" t="s">
        <v>140</v>
      </c>
      <c r="L9838">
        <v>1</v>
      </c>
      <c r="M9838" t="s">
        <v>34757</v>
      </c>
      <c r="N9838" t="s">
        <v>1276</v>
      </c>
      <c r="O9838" t="s">
        <v>46</v>
      </c>
      <c r="P9838" t="s">
        <v>46</v>
      </c>
      <c r="Y9838" t="s">
        <v>34758</v>
      </c>
    </row>
    <row r="9839" spans="1:25">
      <c r="A9839" t="s">
        <v>34759</v>
      </c>
      <c r="B9839" t="s">
        <v>34760</v>
      </c>
      <c r="D9839" t="s">
        <v>40</v>
      </c>
      <c r="E9839" t="s">
        <v>41</v>
      </c>
      <c r="J9839" t="s">
        <v>248</v>
      </c>
      <c r="K9839" t="s">
        <v>249</v>
      </c>
      <c r="L9839">
        <v>1</v>
      </c>
      <c r="M9839" t="s">
        <v>34761</v>
      </c>
      <c r="N9839" t="s">
        <v>1369</v>
      </c>
      <c r="O9839" t="s">
        <v>46</v>
      </c>
      <c r="P9839" t="s">
        <v>46</v>
      </c>
      <c r="Y9839" t="s">
        <v>34762</v>
      </c>
    </row>
    <row r="9840" spans="1:25">
      <c r="A9840" t="s">
        <v>34763</v>
      </c>
      <c r="B9840" t="s">
        <v>34764</v>
      </c>
      <c r="D9840" t="s">
        <v>40</v>
      </c>
      <c r="E9840" t="s">
        <v>41</v>
      </c>
      <c r="J9840" t="s">
        <v>248</v>
      </c>
      <c r="K9840" t="s">
        <v>249</v>
      </c>
      <c r="L9840">
        <v>1</v>
      </c>
      <c r="M9840" t="s">
        <v>34765</v>
      </c>
      <c r="N9840" t="s">
        <v>31581</v>
      </c>
      <c r="O9840" t="s">
        <v>46</v>
      </c>
      <c r="P9840" t="s">
        <v>46</v>
      </c>
      <c r="Y9840" t="s">
        <v>34766</v>
      </c>
    </row>
    <row r="9841" spans="1:25">
      <c r="A9841" t="s">
        <v>34767</v>
      </c>
      <c r="B9841" t="s">
        <v>34768</v>
      </c>
      <c r="D9841" t="s">
        <v>40</v>
      </c>
      <c r="E9841" t="s">
        <v>41</v>
      </c>
      <c r="J9841" t="s">
        <v>139</v>
      </c>
      <c r="K9841" t="s">
        <v>140</v>
      </c>
      <c r="L9841">
        <v>1</v>
      </c>
      <c r="M9841" t="s">
        <v>34769</v>
      </c>
      <c r="N9841" t="s">
        <v>24245</v>
      </c>
      <c r="O9841" t="s">
        <v>46</v>
      </c>
      <c r="P9841" t="s">
        <v>46</v>
      </c>
      <c r="Y9841" t="s">
        <v>34770</v>
      </c>
    </row>
    <row r="9842" spans="1:25">
      <c r="A9842" t="s">
        <v>34771</v>
      </c>
      <c r="B9842" t="s">
        <v>34772</v>
      </c>
      <c r="D9842" t="s">
        <v>40</v>
      </c>
      <c r="E9842" t="s">
        <v>41</v>
      </c>
      <c r="J9842" t="s">
        <v>248</v>
      </c>
      <c r="K9842" t="s">
        <v>249</v>
      </c>
      <c r="L9842">
        <v>1</v>
      </c>
      <c r="M9842" t="s">
        <v>34773</v>
      </c>
      <c r="N9842" t="s">
        <v>3013</v>
      </c>
      <c r="O9842" t="s">
        <v>46</v>
      </c>
      <c r="P9842" t="s">
        <v>46</v>
      </c>
      <c r="Y9842" t="s">
        <v>34774</v>
      </c>
    </row>
    <row r="9843" spans="1:25">
      <c r="A9843" t="s">
        <v>34775</v>
      </c>
      <c r="B9843" t="s">
        <v>34776</v>
      </c>
      <c r="D9843" t="s">
        <v>40</v>
      </c>
      <c r="E9843" t="s">
        <v>41</v>
      </c>
      <c r="J9843" t="s">
        <v>139</v>
      </c>
      <c r="K9843" t="s">
        <v>140</v>
      </c>
      <c r="L9843">
        <v>1</v>
      </c>
      <c r="M9843" t="s">
        <v>34777</v>
      </c>
      <c r="N9843" t="s">
        <v>24245</v>
      </c>
      <c r="O9843" t="s">
        <v>46</v>
      </c>
      <c r="P9843" t="s">
        <v>46</v>
      </c>
      <c r="Y9843" t="s">
        <v>34778</v>
      </c>
    </row>
    <row r="9844" spans="1:25">
      <c r="A9844" t="s">
        <v>34779</v>
      </c>
      <c r="B9844" t="s">
        <v>34780</v>
      </c>
      <c r="D9844" t="s">
        <v>40</v>
      </c>
      <c r="E9844" t="s">
        <v>41</v>
      </c>
      <c r="J9844" t="s">
        <v>248</v>
      </c>
      <c r="K9844" t="s">
        <v>249</v>
      </c>
      <c r="L9844">
        <v>1</v>
      </c>
      <c r="M9844" t="s">
        <v>34781</v>
      </c>
      <c r="N9844" t="s">
        <v>1369</v>
      </c>
      <c r="O9844" t="s">
        <v>46</v>
      </c>
      <c r="P9844" t="s">
        <v>46</v>
      </c>
      <c r="Y9844" t="s">
        <v>34782</v>
      </c>
    </row>
    <row r="9845" spans="1:25">
      <c r="A9845" t="s">
        <v>34783</v>
      </c>
      <c r="B9845" t="s">
        <v>34784</v>
      </c>
      <c r="D9845" t="s">
        <v>40</v>
      </c>
      <c r="E9845" t="s">
        <v>41</v>
      </c>
      <c r="J9845" t="s">
        <v>2619</v>
      </c>
      <c r="K9845" t="s">
        <v>140</v>
      </c>
      <c r="L9845">
        <v>1</v>
      </c>
      <c r="M9845" t="s">
        <v>34785</v>
      </c>
      <c r="N9845" t="s">
        <v>2621</v>
      </c>
      <c r="O9845" t="s">
        <v>46</v>
      </c>
      <c r="P9845" t="s">
        <v>46</v>
      </c>
      <c r="Y9845" t="s">
        <v>34786</v>
      </c>
    </row>
    <row r="9846" spans="1:25">
      <c r="A9846" t="s">
        <v>34787</v>
      </c>
      <c r="B9846" t="s">
        <v>34788</v>
      </c>
      <c r="D9846" t="s">
        <v>40</v>
      </c>
      <c r="E9846" t="s">
        <v>41</v>
      </c>
      <c r="J9846" t="s">
        <v>23071</v>
      </c>
      <c r="K9846" t="s">
        <v>23072</v>
      </c>
      <c r="L9846">
        <v>1</v>
      </c>
      <c r="M9846" t="s">
        <v>34789</v>
      </c>
      <c r="N9846" t="s">
        <v>58</v>
      </c>
      <c r="O9846" t="s">
        <v>46</v>
      </c>
      <c r="P9846" t="s">
        <v>46</v>
      </c>
      <c r="Y9846" t="s">
        <v>34790</v>
      </c>
    </row>
    <row r="9847" spans="1:25">
      <c r="A9847" t="s">
        <v>34791</v>
      </c>
      <c r="B9847" t="s">
        <v>34792</v>
      </c>
      <c r="D9847" t="s">
        <v>40</v>
      </c>
      <c r="E9847" t="s">
        <v>41</v>
      </c>
      <c r="J9847" t="s">
        <v>248</v>
      </c>
      <c r="K9847" t="s">
        <v>249</v>
      </c>
      <c r="L9847">
        <v>1</v>
      </c>
      <c r="M9847" t="s">
        <v>34793</v>
      </c>
      <c r="N9847" t="s">
        <v>617</v>
      </c>
      <c r="O9847" t="s">
        <v>46</v>
      </c>
      <c r="P9847" t="s">
        <v>46</v>
      </c>
      <c r="Y9847" t="s">
        <v>34794</v>
      </c>
    </row>
    <row r="9848" spans="1:25">
      <c r="A9848" t="s">
        <v>34795</v>
      </c>
      <c r="B9848" t="s">
        <v>34796</v>
      </c>
      <c r="D9848" t="s">
        <v>40</v>
      </c>
      <c r="E9848" t="s">
        <v>41</v>
      </c>
      <c r="J9848" t="s">
        <v>1554</v>
      </c>
      <c r="K9848" t="s">
        <v>1555</v>
      </c>
      <c r="L9848">
        <v>1</v>
      </c>
      <c r="M9848" t="s">
        <v>34797</v>
      </c>
      <c r="N9848" t="s">
        <v>266</v>
      </c>
      <c r="O9848" t="s">
        <v>46</v>
      </c>
      <c r="P9848" t="s">
        <v>46</v>
      </c>
      <c r="Y9848" t="s">
        <v>34798</v>
      </c>
    </row>
    <row r="9849" spans="1:25">
      <c r="A9849" t="s">
        <v>34799</v>
      </c>
      <c r="B9849" t="s">
        <v>34800</v>
      </c>
      <c r="D9849" t="s">
        <v>40</v>
      </c>
      <c r="E9849" t="s">
        <v>41</v>
      </c>
      <c r="J9849" t="s">
        <v>248</v>
      </c>
      <c r="K9849" t="s">
        <v>249</v>
      </c>
      <c r="L9849">
        <v>1</v>
      </c>
      <c r="M9849" t="s">
        <v>34801</v>
      </c>
      <c r="N9849" t="s">
        <v>440</v>
      </c>
      <c r="O9849" t="s">
        <v>46</v>
      </c>
      <c r="P9849" t="s">
        <v>46</v>
      </c>
      <c r="Y9849" t="s">
        <v>34802</v>
      </c>
    </row>
    <row r="9850" spans="1:25">
      <c r="A9850" t="s">
        <v>34803</v>
      </c>
      <c r="B9850" t="s">
        <v>34804</v>
      </c>
      <c r="D9850" t="s">
        <v>40</v>
      </c>
      <c r="E9850" t="s">
        <v>41</v>
      </c>
      <c r="J9850" t="s">
        <v>139</v>
      </c>
      <c r="K9850" t="s">
        <v>140</v>
      </c>
      <c r="L9850">
        <v>1</v>
      </c>
      <c r="M9850" t="s">
        <v>34805</v>
      </c>
      <c r="N9850" t="s">
        <v>4037</v>
      </c>
      <c r="O9850" t="s">
        <v>46</v>
      </c>
      <c r="P9850" t="s">
        <v>46</v>
      </c>
      <c r="Y9850" t="s">
        <v>34806</v>
      </c>
    </row>
    <row r="9851" spans="1:25">
      <c r="A9851" t="s">
        <v>34807</v>
      </c>
      <c r="B9851" t="s">
        <v>34808</v>
      </c>
      <c r="D9851" t="s">
        <v>40</v>
      </c>
      <c r="E9851" t="s">
        <v>41</v>
      </c>
      <c r="J9851" t="s">
        <v>1554</v>
      </c>
      <c r="K9851" t="s">
        <v>1555</v>
      </c>
      <c r="L9851">
        <v>1</v>
      </c>
      <c r="M9851" t="s">
        <v>34809</v>
      </c>
      <c r="N9851" t="s">
        <v>315</v>
      </c>
      <c r="O9851" t="s">
        <v>46</v>
      </c>
      <c r="P9851" t="s">
        <v>46</v>
      </c>
      <c r="Y9851" t="s">
        <v>34810</v>
      </c>
    </row>
    <row r="9852" spans="1:25">
      <c r="A9852" t="s">
        <v>34811</v>
      </c>
      <c r="B9852" t="s">
        <v>34812</v>
      </c>
      <c r="D9852" t="s">
        <v>40</v>
      </c>
      <c r="E9852" t="s">
        <v>41</v>
      </c>
      <c r="J9852" t="s">
        <v>1554</v>
      </c>
      <c r="K9852" t="s">
        <v>1555</v>
      </c>
      <c r="L9852">
        <v>1</v>
      </c>
      <c r="M9852" t="s">
        <v>34813</v>
      </c>
      <c r="N9852" t="s">
        <v>178</v>
      </c>
      <c r="O9852" t="s">
        <v>46</v>
      </c>
      <c r="P9852" t="s">
        <v>46</v>
      </c>
      <c r="Y9852" t="s">
        <v>34814</v>
      </c>
    </row>
    <row r="9853" spans="1:25">
      <c r="A9853" t="s">
        <v>34815</v>
      </c>
      <c r="B9853" t="s">
        <v>34816</v>
      </c>
      <c r="D9853" t="s">
        <v>40</v>
      </c>
      <c r="E9853" t="s">
        <v>41</v>
      </c>
      <c r="J9853" t="s">
        <v>248</v>
      </c>
      <c r="K9853" t="s">
        <v>249</v>
      </c>
      <c r="L9853">
        <v>2</v>
      </c>
      <c r="M9853" t="s">
        <v>34813</v>
      </c>
      <c r="N9853" t="s">
        <v>440</v>
      </c>
      <c r="O9853" t="s">
        <v>46</v>
      </c>
      <c r="P9853" t="s">
        <v>46</v>
      </c>
      <c r="Y9853" t="s">
        <v>34817</v>
      </c>
    </row>
    <row r="9854" spans="1:25">
      <c r="A9854" t="s">
        <v>34818</v>
      </c>
      <c r="B9854" t="s">
        <v>34819</v>
      </c>
      <c r="D9854" t="s">
        <v>40</v>
      </c>
      <c r="E9854" t="s">
        <v>41</v>
      </c>
      <c r="J9854" t="s">
        <v>248</v>
      </c>
      <c r="K9854" t="s">
        <v>249</v>
      </c>
      <c r="L9854">
        <v>1</v>
      </c>
      <c r="M9854" t="s">
        <v>34820</v>
      </c>
      <c r="N9854" t="s">
        <v>1024</v>
      </c>
      <c r="O9854" t="s">
        <v>46</v>
      </c>
      <c r="P9854" t="s">
        <v>46</v>
      </c>
      <c r="Y9854" t="s">
        <v>34821</v>
      </c>
    </row>
    <row r="9855" spans="1:25">
      <c r="A9855" t="s">
        <v>34822</v>
      </c>
      <c r="B9855" t="s">
        <v>34823</v>
      </c>
      <c r="D9855" t="s">
        <v>40</v>
      </c>
      <c r="E9855" t="s">
        <v>41</v>
      </c>
      <c r="J9855" t="s">
        <v>248</v>
      </c>
      <c r="K9855" t="s">
        <v>249</v>
      </c>
      <c r="L9855">
        <v>1</v>
      </c>
      <c r="M9855" t="s">
        <v>34824</v>
      </c>
      <c r="N9855" t="s">
        <v>1369</v>
      </c>
      <c r="O9855" t="s">
        <v>46</v>
      </c>
      <c r="P9855" t="s">
        <v>46</v>
      </c>
      <c r="Y9855" t="s">
        <v>34825</v>
      </c>
    </row>
    <row r="9856" spans="1:25">
      <c r="A9856" t="s">
        <v>34826</v>
      </c>
      <c r="B9856" t="s">
        <v>34827</v>
      </c>
      <c r="D9856" t="s">
        <v>40</v>
      </c>
      <c r="E9856" t="s">
        <v>41</v>
      </c>
      <c r="J9856" t="s">
        <v>1554</v>
      </c>
      <c r="K9856" t="s">
        <v>1555</v>
      </c>
      <c r="L9856">
        <v>1</v>
      </c>
      <c r="M9856" t="s">
        <v>34828</v>
      </c>
      <c r="N9856" t="s">
        <v>509</v>
      </c>
      <c r="O9856" t="s">
        <v>46</v>
      </c>
      <c r="P9856" t="s">
        <v>46</v>
      </c>
      <c r="Y9856" t="s">
        <v>34829</v>
      </c>
    </row>
    <row r="9857" spans="1:25">
      <c r="A9857" t="s">
        <v>34830</v>
      </c>
      <c r="B9857" t="s">
        <v>34831</v>
      </c>
      <c r="D9857" t="s">
        <v>40</v>
      </c>
      <c r="E9857" t="s">
        <v>41</v>
      </c>
      <c r="J9857" t="s">
        <v>6255</v>
      </c>
      <c r="K9857" t="s">
        <v>6256</v>
      </c>
      <c r="L9857">
        <v>1</v>
      </c>
      <c r="M9857" t="s">
        <v>34832</v>
      </c>
      <c r="N9857" t="s">
        <v>24240</v>
      </c>
      <c r="O9857" t="s">
        <v>46</v>
      </c>
      <c r="P9857" t="s">
        <v>46</v>
      </c>
      <c r="Y9857" t="s">
        <v>34833</v>
      </c>
    </row>
    <row r="9858" spans="1:25">
      <c r="A9858" t="s">
        <v>34834</v>
      </c>
      <c r="B9858" t="s">
        <v>34835</v>
      </c>
      <c r="D9858" t="s">
        <v>40</v>
      </c>
      <c r="E9858" t="s">
        <v>41</v>
      </c>
      <c r="J9858" t="s">
        <v>12440</v>
      </c>
      <c r="K9858" t="s">
        <v>12441</v>
      </c>
      <c r="L9858">
        <v>2</v>
      </c>
      <c r="M9858" t="s">
        <v>34836</v>
      </c>
      <c r="N9858" t="s">
        <v>64</v>
      </c>
      <c r="O9858" t="s">
        <v>46</v>
      </c>
      <c r="P9858" t="s">
        <v>46</v>
      </c>
      <c r="Y9858" t="s">
        <v>34837</v>
      </c>
    </row>
    <row r="9859" spans="1:25">
      <c r="A9859" t="s">
        <v>34838</v>
      </c>
      <c r="B9859" t="s">
        <v>34839</v>
      </c>
      <c r="D9859" t="s">
        <v>40</v>
      </c>
      <c r="E9859" t="s">
        <v>41</v>
      </c>
      <c r="J9859" t="s">
        <v>139</v>
      </c>
      <c r="K9859" t="s">
        <v>140</v>
      </c>
      <c r="L9859">
        <v>1</v>
      </c>
      <c r="M9859" t="s">
        <v>34840</v>
      </c>
      <c r="N9859" t="s">
        <v>509</v>
      </c>
      <c r="O9859" t="s">
        <v>46</v>
      </c>
      <c r="P9859" t="s">
        <v>46</v>
      </c>
      <c r="Y9859" t="s">
        <v>34841</v>
      </c>
    </row>
    <row r="9860" spans="1:25">
      <c r="A9860" t="s">
        <v>34842</v>
      </c>
      <c r="B9860" t="s">
        <v>34843</v>
      </c>
      <c r="D9860" t="s">
        <v>40</v>
      </c>
      <c r="E9860" t="s">
        <v>41</v>
      </c>
      <c r="J9860" t="s">
        <v>599</v>
      </c>
      <c r="K9860" t="s">
        <v>600</v>
      </c>
      <c r="L9860">
        <v>1</v>
      </c>
      <c r="M9860" t="s">
        <v>34844</v>
      </c>
      <c r="N9860" t="s">
        <v>266</v>
      </c>
      <c r="O9860" t="s">
        <v>46</v>
      </c>
      <c r="P9860" t="s">
        <v>46</v>
      </c>
      <c r="Y9860" t="s">
        <v>34845</v>
      </c>
    </row>
    <row r="9861" spans="1:25">
      <c r="A9861" t="s">
        <v>34846</v>
      </c>
      <c r="B9861" t="s">
        <v>34847</v>
      </c>
      <c r="D9861" t="s">
        <v>40</v>
      </c>
      <c r="E9861" t="s">
        <v>41</v>
      </c>
      <c r="J9861" t="s">
        <v>248</v>
      </c>
      <c r="K9861" t="s">
        <v>249</v>
      </c>
      <c r="L9861">
        <v>1</v>
      </c>
      <c r="M9861" t="s">
        <v>34844</v>
      </c>
      <c r="N9861" t="s">
        <v>617</v>
      </c>
      <c r="O9861" t="s">
        <v>46</v>
      </c>
      <c r="P9861" t="s">
        <v>46</v>
      </c>
      <c r="Y9861" t="s">
        <v>34848</v>
      </c>
    </row>
    <row r="9862" spans="1:25">
      <c r="A9862" t="s">
        <v>34849</v>
      </c>
      <c r="B9862" t="s">
        <v>34850</v>
      </c>
      <c r="D9862" t="s">
        <v>40</v>
      </c>
      <c r="E9862" t="s">
        <v>41</v>
      </c>
      <c r="J9862" t="s">
        <v>139</v>
      </c>
      <c r="K9862" t="s">
        <v>140</v>
      </c>
      <c r="L9862">
        <v>1</v>
      </c>
      <c r="M9862" t="s">
        <v>34851</v>
      </c>
      <c r="N9862" t="s">
        <v>436</v>
      </c>
      <c r="O9862" t="s">
        <v>46</v>
      </c>
      <c r="P9862" t="s">
        <v>46</v>
      </c>
      <c r="Y9862" t="s">
        <v>34852</v>
      </c>
    </row>
    <row r="9863" spans="1:25">
      <c r="A9863" t="s">
        <v>34853</v>
      </c>
      <c r="B9863" t="s">
        <v>34854</v>
      </c>
      <c r="D9863" t="s">
        <v>40</v>
      </c>
      <c r="E9863" t="s">
        <v>41</v>
      </c>
      <c r="J9863" t="s">
        <v>12440</v>
      </c>
      <c r="K9863" t="s">
        <v>12441</v>
      </c>
      <c r="L9863">
        <v>2</v>
      </c>
      <c r="M9863" t="s">
        <v>34855</v>
      </c>
      <c r="N9863" t="s">
        <v>64</v>
      </c>
      <c r="O9863" t="s">
        <v>46</v>
      </c>
      <c r="P9863" t="s">
        <v>46</v>
      </c>
      <c r="Y9863" t="s">
        <v>34856</v>
      </c>
    </row>
    <row r="9864" spans="1:25">
      <c r="A9864" t="s">
        <v>34857</v>
      </c>
      <c r="B9864" t="s">
        <v>34858</v>
      </c>
      <c r="D9864" t="s">
        <v>40</v>
      </c>
      <c r="E9864" t="s">
        <v>41</v>
      </c>
      <c r="J9864" t="s">
        <v>248</v>
      </c>
      <c r="K9864" t="s">
        <v>249</v>
      </c>
      <c r="L9864">
        <v>1</v>
      </c>
      <c r="M9864" t="s">
        <v>34855</v>
      </c>
      <c r="N9864" t="s">
        <v>257</v>
      </c>
      <c r="O9864" t="s">
        <v>46</v>
      </c>
      <c r="P9864" t="s">
        <v>46</v>
      </c>
      <c r="Y9864" t="s">
        <v>34859</v>
      </c>
    </row>
    <row r="9865" spans="1:25">
      <c r="A9865" t="s">
        <v>34860</v>
      </c>
      <c r="B9865" t="s">
        <v>34861</v>
      </c>
      <c r="D9865" t="s">
        <v>40</v>
      </c>
      <c r="E9865" t="s">
        <v>41</v>
      </c>
      <c r="J9865" t="s">
        <v>1554</v>
      </c>
      <c r="K9865" t="s">
        <v>1555</v>
      </c>
      <c r="L9865">
        <v>1</v>
      </c>
      <c r="M9865" t="s">
        <v>34862</v>
      </c>
      <c r="N9865" t="s">
        <v>53</v>
      </c>
      <c r="O9865" t="s">
        <v>46</v>
      </c>
      <c r="P9865" t="s">
        <v>46</v>
      </c>
      <c r="Y9865" t="s">
        <v>34863</v>
      </c>
    </row>
    <row r="9866" spans="1:25">
      <c r="A9866" t="s">
        <v>34864</v>
      </c>
      <c r="B9866" t="s">
        <v>34865</v>
      </c>
      <c r="D9866" t="s">
        <v>40</v>
      </c>
      <c r="E9866" t="s">
        <v>41</v>
      </c>
      <c r="J9866" t="s">
        <v>248</v>
      </c>
      <c r="K9866" t="s">
        <v>249</v>
      </c>
      <c r="L9866">
        <v>1</v>
      </c>
      <c r="M9866" t="s">
        <v>34866</v>
      </c>
      <c r="N9866" t="s">
        <v>31581</v>
      </c>
      <c r="O9866" t="s">
        <v>46</v>
      </c>
      <c r="P9866" t="s">
        <v>46</v>
      </c>
      <c r="Y9866" t="s">
        <v>34867</v>
      </c>
    </row>
    <row r="9867" spans="1:25">
      <c r="A9867" t="s">
        <v>34868</v>
      </c>
      <c r="B9867" t="s">
        <v>34869</v>
      </c>
      <c r="D9867" t="s">
        <v>40</v>
      </c>
      <c r="E9867" t="s">
        <v>41</v>
      </c>
      <c r="J9867" t="s">
        <v>139</v>
      </c>
      <c r="K9867" t="s">
        <v>140</v>
      </c>
      <c r="L9867">
        <v>1</v>
      </c>
      <c r="M9867" t="s">
        <v>34870</v>
      </c>
      <c r="N9867" t="s">
        <v>24387</v>
      </c>
      <c r="O9867" t="s">
        <v>46</v>
      </c>
      <c r="P9867" t="s">
        <v>46</v>
      </c>
      <c r="Y9867" t="s">
        <v>34871</v>
      </c>
    </row>
    <row r="9868" spans="1:25">
      <c r="A9868" t="s">
        <v>34872</v>
      </c>
      <c r="B9868" t="s">
        <v>34873</v>
      </c>
      <c r="D9868" t="s">
        <v>40</v>
      </c>
      <c r="E9868" t="s">
        <v>41</v>
      </c>
      <c r="J9868" t="s">
        <v>12440</v>
      </c>
      <c r="K9868" t="s">
        <v>12441</v>
      </c>
      <c r="L9868">
        <v>2</v>
      </c>
      <c r="M9868" t="s">
        <v>34874</v>
      </c>
      <c r="N9868" t="s">
        <v>64</v>
      </c>
      <c r="O9868" t="s">
        <v>46</v>
      </c>
      <c r="P9868" t="s">
        <v>46</v>
      </c>
      <c r="Y9868" t="s">
        <v>34875</v>
      </c>
    </row>
    <row r="9869" spans="1:25">
      <c r="A9869" t="s">
        <v>34876</v>
      </c>
      <c r="B9869" t="s">
        <v>34877</v>
      </c>
      <c r="D9869" t="s">
        <v>40</v>
      </c>
      <c r="E9869" t="s">
        <v>41</v>
      </c>
      <c r="J9869" t="s">
        <v>1142</v>
      </c>
      <c r="K9869" t="s">
        <v>1143</v>
      </c>
      <c r="L9869">
        <v>1</v>
      </c>
      <c r="M9869" t="s">
        <v>34878</v>
      </c>
      <c r="N9869" t="s">
        <v>2621</v>
      </c>
      <c r="O9869" t="s">
        <v>46</v>
      </c>
      <c r="P9869" t="s">
        <v>46</v>
      </c>
      <c r="Y9869" t="s">
        <v>34879</v>
      </c>
    </row>
    <row r="9870" spans="1:25">
      <c r="A9870" t="s">
        <v>34880</v>
      </c>
      <c r="B9870" t="s">
        <v>34881</v>
      </c>
      <c r="D9870" t="s">
        <v>40</v>
      </c>
      <c r="E9870" t="s">
        <v>41</v>
      </c>
      <c r="J9870" t="s">
        <v>248</v>
      </c>
      <c r="K9870" t="s">
        <v>249</v>
      </c>
      <c r="L9870">
        <v>1</v>
      </c>
      <c r="M9870" t="s">
        <v>34882</v>
      </c>
      <c r="N9870" t="s">
        <v>1397</v>
      </c>
      <c r="O9870" t="s">
        <v>46</v>
      </c>
      <c r="P9870" t="s">
        <v>46</v>
      </c>
      <c r="Y9870" t="s">
        <v>34883</v>
      </c>
    </row>
    <row r="9871" spans="1:25">
      <c r="A9871" t="s">
        <v>34884</v>
      </c>
      <c r="B9871" t="s">
        <v>34885</v>
      </c>
      <c r="D9871" t="s">
        <v>40</v>
      </c>
      <c r="E9871" t="s">
        <v>41</v>
      </c>
      <c r="J9871" t="s">
        <v>599</v>
      </c>
      <c r="K9871" t="s">
        <v>600</v>
      </c>
      <c r="L9871">
        <v>1</v>
      </c>
      <c r="M9871" t="s">
        <v>34886</v>
      </c>
      <c r="N9871" t="s">
        <v>58</v>
      </c>
      <c r="O9871" t="s">
        <v>46</v>
      </c>
      <c r="P9871" t="s">
        <v>46</v>
      </c>
      <c r="Y9871" t="s">
        <v>34887</v>
      </c>
    </row>
    <row r="9872" spans="1:25">
      <c r="A9872" t="s">
        <v>34888</v>
      </c>
      <c r="B9872" t="s">
        <v>34889</v>
      </c>
      <c r="D9872" t="s">
        <v>40</v>
      </c>
      <c r="E9872" t="s">
        <v>41</v>
      </c>
      <c r="J9872" t="s">
        <v>248</v>
      </c>
      <c r="K9872" t="s">
        <v>249</v>
      </c>
      <c r="L9872">
        <v>1</v>
      </c>
      <c r="M9872" t="s">
        <v>34890</v>
      </c>
      <c r="N9872" t="s">
        <v>1369</v>
      </c>
      <c r="O9872" t="s">
        <v>46</v>
      </c>
      <c r="P9872" t="s">
        <v>46</v>
      </c>
      <c r="Y9872" t="s">
        <v>34891</v>
      </c>
    </row>
    <row r="9873" spans="1:25">
      <c r="A9873" t="s">
        <v>34892</v>
      </c>
      <c r="B9873" t="s">
        <v>34893</v>
      </c>
      <c r="D9873" t="s">
        <v>40</v>
      </c>
      <c r="E9873" t="s">
        <v>41</v>
      </c>
      <c r="J9873" t="s">
        <v>1142</v>
      </c>
      <c r="K9873" t="s">
        <v>1143</v>
      </c>
      <c r="L9873">
        <v>2</v>
      </c>
      <c r="M9873" t="s">
        <v>34894</v>
      </c>
      <c r="N9873" t="s">
        <v>142</v>
      </c>
      <c r="O9873" t="s">
        <v>46</v>
      </c>
      <c r="P9873" t="s">
        <v>46</v>
      </c>
      <c r="Y9873" t="s">
        <v>34895</v>
      </c>
    </row>
    <row r="9874" spans="1:25">
      <c r="A9874" t="s">
        <v>34896</v>
      </c>
      <c r="B9874" t="s">
        <v>34897</v>
      </c>
      <c r="D9874" t="s">
        <v>40</v>
      </c>
      <c r="E9874" t="s">
        <v>41</v>
      </c>
      <c r="J9874" t="s">
        <v>248</v>
      </c>
      <c r="K9874" t="s">
        <v>249</v>
      </c>
      <c r="L9874">
        <v>2</v>
      </c>
      <c r="M9874" t="s">
        <v>34898</v>
      </c>
      <c r="N9874" t="s">
        <v>950</v>
      </c>
      <c r="O9874" t="s">
        <v>46</v>
      </c>
      <c r="P9874" t="s">
        <v>46</v>
      </c>
      <c r="Y9874" t="s">
        <v>34899</v>
      </c>
    </row>
    <row r="9875" spans="1:25">
      <c r="A9875" t="s">
        <v>34900</v>
      </c>
      <c r="B9875" t="s">
        <v>34901</v>
      </c>
      <c r="D9875" t="s">
        <v>40</v>
      </c>
      <c r="E9875" t="s">
        <v>41</v>
      </c>
      <c r="J9875" t="s">
        <v>248</v>
      </c>
      <c r="K9875" t="s">
        <v>249</v>
      </c>
      <c r="L9875">
        <v>1</v>
      </c>
      <c r="M9875" t="s">
        <v>34898</v>
      </c>
      <c r="N9875" t="s">
        <v>1446</v>
      </c>
      <c r="O9875" t="s">
        <v>46</v>
      </c>
      <c r="P9875" t="s">
        <v>46</v>
      </c>
      <c r="Y9875" t="s">
        <v>34902</v>
      </c>
    </row>
    <row r="9876" spans="1:25">
      <c r="A9876" t="s">
        <v>34903</v>
      </c>
      <c r="B9876" t="s">
        <v>34904</v>
      </c>
      <c r="D9876" t="s">
        <v>40</v>
      </c>
      <c r="E9876" t="s">
        <v>41</v>
      </c>
      <c r="J9876" t="s">
        <v>248</v>
      </c>
      <c r="K9876" t="s">
        <v>249</v>
      </c>
      <c r="L9876">
        <v>1</v>
      </c>
      <c r="M9876" t="s">
        <v>34905</v>
      </c>
      <c r="N9876" t="s">
        <v>24227</v>
      </c>
      <c r="O9876" t="s">
        <v>46</v>
      </c>
      <c r="P9876" t="s">
        <v>46</v>
      </c>
      <c r="Y9876" t="s">
        <v>34906</v>
      </c>
    </row>
    <row r="9877" spans="1:25">
      <c r="A9877" t="s">
        <v>34907</v>
      </c>
      <c r="B9877" t="s">
        <v>34908</v>
      </c>
      <c r="D9877" t="s">
        <v>40</v>
      </c>
      <c r="E9877" t="s">
        <v>41</v>
      </c>
      <c r="J9877" t="s">
        <v>139</v>
      </c>
      <c r="K9877" t="s">
        <v>140</v>
      </c>
      <c r="L9877">
        <v>1</v>
      </c>
      <c r="M9877" t="s">
        <v>34909</v>
      </c>
      <c r="N9877" t="s">
        <v>924</v>
      </c>
      <c r="O9877" t="s">
        <v>46</v>
      </c>
      <c r="P9877" t="s">
        <v>46</v>
      </c>
      <c r="Y9877" t="s">
        <v>34910</v>
      </c>
    </row>
    <row r="9878" spans="1:25">
      <c r="A9878" t="s">
        <v>34911</v>
      </c>
      <c r="B9878" t="s">
        <v>34912</v>
      </c>
      <c r="D9878" t="s">
        <v>40</v>
      </c>
      <c r="E9878" t="s">
        <v>41</v>
      </c>
      <c r="J9878" t="s">
        <v>1142</v>
      </c>
      <c r="K9878" t="s">
        <v>1143</v>
      </c>
      <c r="L9878">
        <v>1</v>
      </c>
      <c r="M9878" t="s">
        <v>34913</v>
      </c>
      <c r="N9878" t="s">
        <v>509</v>
      </c>
      <c r="O9878" t="s">
        <v>46</v>
      </c>
      <c r="P9878" t="s">
        <v>46</v>
      </c>
      <c r="Y9878" t="s">
        <v>34914</v>
      </c>
    </row>
    <row r="9879" spans="1:25">
      <c r="A9879" t="s">
        <v>34915</v>
      </c>
      <c r="B9879" t="s">
        <v>34916</v>
      </c>
      <c r="D9879" t="s">
        <v>40</v>
      </c>
      <c r="E9879" t="s">
        <v>41</v>
      </c>
      <c r="J9879" t="s">
        <v>248</v>
      </c>
      <c r="K9879" t="s">
        <v>249</v>
      </c>
      <c r="L9879">
        <v>1</v>
      </c>
      <c r="M9879" t="s">
        <v>34917</v>
      </c>
      <c r="N9879" t="s">
        <v>31581</v>
      </c>
      <c r="O9879" t="s">
        <v>46</v>
      </c>
      <c r="P9879" t="s">
        <v>46</v>
      </c>
      <c r="Y9879" t="s">
        <v>34918</v>
      </c>
    </row>
    <row r="9880" spans="1:25">
      <c r="A9880" t="s">
        <v>34919</v>
      </c>
      <c r="B9880" t="s">
        <v>34920</v>
      </c>
      <c r="D9880" t="s">
        <v>40</v>
      </c>
      <c r="E9880" t="s">
        <v>41</v>
      </c>
      <c r="J9880" t="s">
        <v>1142</v>
      </c>
      <c r="K9880" t="s">
        <v>1143</v>
      </c>
      <c r="L9880">
        <v>1</v>
      </c>
      <c r="M9880" t="s">
        <v>34921</v>
      </c>
      <c r="N9880" t="s">
        <v>1024</v>
      </c>
      <c r="O9880" t="s">
        <v>46</v>
      </c>
      <c r="P9880" t="s">
        <v>46</v>
      </c>
      <c r="Y9880" t="s">
        <v>34922</v>
      </c>
    </row>
    <row r="9881" spans="1:25">
      <c r="A9881" t="s">
        <v>34923</v>
      </c>
      <c r="B9881" t="s">
        <v>34924</v>
      </c>
      <c r="D9881" t="s">
        <v>40</v>
      </c>
      <c r="E9881" t="s">
        <v>41</v>
      </c>
      <c r="J9881" t="s">
        <v>248</v>
      </c>
      <c r="K9881" t="s">
        <v>249</v>
      </c>
      <c r="L9881">
        <v>1</v>
      </c>
      <c r="M9881" t="s">
        <v>34925</v>
      </c>
      <c r="N9881" t="s">
        <v>24245</v>
      </c>
      <c r="O9881" t="s">
        <v>46</v>
      </c>
      <c r="P9881" t="s">
        <v>46</v>
      </c>
      <c r="Y9881" t="s">
        <v>34926</v>
      </c>
    </row>
    <row r="9882" spans="1:25">
      <c r="A9882" t="s">
        <v>34927</v>
      </c>
      <c r="B9882" t="s">
        <v>34928</v>
      </c>
      <c r="D9882" t="s">
        <v>40</v>
      </c>
      <c r="E9882" t="s">
        <v>41</v>
      </c>
      <c r="J9882" t="s">
        <v>248</v>
      </c>
      <c r="K9882" t="s">
        <v>249</v>
      </c>
      <c r="L9882">
        <v>1</v>
      </c>
      <c r="M9882" t="s">
        <v>34929</v>
      </c>
      <c r="N9882" t="s">
        <v>266</v>
      </c>
      <c r="O9882" t="s">
        <v>46</v>
      </c>
      <c r="P9882" t="s">
        <v>46</v>
      </c>
      <c r="Y9882" t="s">
        <v>34930</v>
      </c>
    </row>
    <row r="9883" spans="1:25">
      <c r="A9883" t="s">
        <v>34931</v>
      </c>
      <c r="B9883" t="s">
        <v>34932</v>
      </c>
      <c r="D9883" t="s">
        <v>40</v>
      </c>
      <c r="E9883" t="s">
        <v>41</v>
      </c>
      <c r="J9883" t="s">
        <v>11802</v>
      </c>
      <c r="K9883" t="s">
        <v>11803</v>
      </c>
      <c r="L9883">
        <v>1</v>
      </c>
      <c r="M9883" t="s">
        <v>34933</v>
      </c>
      <c r="N9883" t="s">
        <v>45</v>
      </c>
      <c r="O9883" t="s">
        <v>46</v>
      </c>
      <c r="P9883" t="s">
        <v>46</v>
      </c>
      <c r="Y9883" t="s">
        <v>34934</v>
      </c>
    </row>
    <row r="9884" spans="1:25">
      <c r="A9884" t="s">
        <v>34935</v>
      </c>
      <c r="B9884" t="s">
        <v>34936</v>
      </c>
      <c r="D9884" t="s">
        <v>40</v>
      </c>
      <c r="E9884" t="s">
        <v>41</v>
      </c>
      <c r="J9884" t="s">
        <v>248</v>
      </c>
      <c r="K9884" t="s">
        <v>249</v>
      </c>
      <c r="L9884">
        <v>1</v>
      </c>
      <c r="M9884" t="s">
        <v>34937</v>
      </c>
      <c r="N9884" t="s">
        <v>58</v>
      </c>
      <c r="O9884" t="s">
        <v>46</v>
      </c>
      <c r="P9884" t="s">
        <v>46</v>
      </c>
      <c r="Y9884" t="s">
        <v>34938</v>
      </c>
    </row>
    <row r="9885" spans="1:25">
      <c r="A9885" t="s">
        <v>34939</v>
      </c>
      <c r="B9885" t="s">
        <v>34940</v>
      </c>
      <c r="D9885" t="s">
        <v>40</v>
      </c>
      <c r="E9885" t="s">
        <v>41</v>
      </c>
      <c r="J9885" t="s">
        <v>1142</v>
      </c>
      <c r="K9885" t="s">
        <v>1143</v>
      </c>
      <c r="L9885">
        <v>1</v>
      </c>
      <c r="M9885" t="s">
        <v>34937</v>
      </c>
      <c r="N9885" t="s">
        <v>257</v>
      </c>
      <c r="O9885" t="s">
        <v>46</v>
      </c>
      <c r="P9885" t="s">
        <v>46</v>
      </c>
      <c r="Y9885" t="s">
        <v>34941</v>
      </c>
    </row>
    <row r="9886" spans="1:25">
      <c r="A9886" t="s">
        <v>34942</v>
      </c>
      <c r="B9886" t="s">
        <v>34943</v>
      </c>
      <c r="D9886" t="s">
        <v>40</v>
      </c>
      <c r="E9886" t="s">
        <v>41</v>
      </c>
      <c r="J9886" t="s">
        <v>921</v>
      </c>
      <c r="K9886" t="s">
        <v>922</v>
      </c>
      <c r="L9886">
        <v>1</v>
      </c>
      <c r="M9886" t="s">
        <v>34944</v>
      </c>
      <c r="N9886" t="s">
        <v>1814</v>
      </c>
      <c r="O9886" t="s">
        <v>46</v>
      </c>
      <c r="P9886" t="s">
        <v>46</v>
      </c>
      <c r="Y9886" t="s">
        <v>34945</v>
      </c>
    </row>
    <row r="9887" spans="1:25">
      <c r="A9887" t="s">
        <v>34946</v>
      </c>
      <c r="B9887" t="s">
        <v>34947</v>
      </c>
      <c r="D9887" t="s">
        <v>40</v>
      </c>
      <c r="E9887" t="s">
        <v>41</v>
      </c>
      <c r="J9887" t="s">
        <v>2619</v>
      </c>
      <c r="K9887" t="s">
        <v>140</v>
      </c>
      <c r="L9887">
        <v>1</v>
      </c>
      <c r="M9887" t="s">
        <v>34948</v>
      </c>
      <c r="N9887" t="s">
        <v>2621</v>
      </c>
      <c r="O9887" t="s">
        <v>46</v>
      </c>
      <c r="P9887" t="s">
        <v>46</v>
      </c>
      <c r="Y9887" t="s">
        <v>34949</v>
      </c>
    </row>
    <row r="9888" spans="1:25">
      <c r="A9888" t="s">
        <v>34950</v>
      </c>
      <c r="B9888" t="s">
        <v>34951</v>
      </c>
      <c r="D9888" t="s">
        <v>40</v>
      </c>
      <c r="E9888" t="s">
        <v>41</v>
      </c>
      <c r="J9888" t="s">
        <v>248</v>
      </c>
      <c r="K9888" t="s">
        <v>249</v>
      </c>
      <c r="L9888">
        <v>1</v>
      </c>
      <c r="M9888" t="s">
        <v>34952</v>
      </c>
      <c r="N9888" t="s">
        <v>142</v>
      </c>
      <c r="O9888" t="s">
        <v>46</v>
      </c>
      <c r="P9888" t="s">
        <v>46</v>
      </c>
      <c r="Y9888" t="s">
        <v>34953</v>
      </c>
    </row>
    <row r="9889" spans="1:25">
      <c r="A9889" t="s">
        <v>34954</v>
      </c>
      <c r="B9889" t="s">
        <v>34955</v>
      </c>
      <c r="D9889" t="s">
        <v>40</v>
      </c>
      <c r="E9889" t="s">
        <v>41</v>
      </c>
      <c r="J9889" t="s">
        <v>1142</v>
      </c>
      <c r="K9889" t="s">
        <v>1143</v>
      </c>
      <c r="L9889">
        <v>1</v>
      </c>
      <c r="M9889" t="s">
        <v>34952</v>
      </c>
      <c r="N9889" t="s">
        <v>24387</v>
      </c>
      <c r="O9889" t="s">
        <v>46</v>
      </c>
      <c r="P9889" t="s">
        <v>46</v>
      </c>
      <c r="Y9889" t="s">
        <v>34956</v>
      </c>
    </row>
    <row r="9890" spans="1:25">
      <c r="A9890" t="s">
        <v>34957</v>
      </c>
      <c r="B9890" t="s">
        <v>34958</v>
      </c>
      <c r="D9890" t="s">
        <v>40</v>
      </c>
      <c r="E9890" t="s">
        <v>41</v>
      </c>
      <c r="J9890" t="s">
        <v>599</v>
      </c>
      <c r="K9890" t="s">
        <v>600</v>
      </c>
      <c r="L9890">
        <v>1</v>
      </c>
      <c r="M9890" t="s">
        <v>34959</v>
      </c>
      <c r="N9890" t="s">
        <v>24240</v>
      </c>
      <c r="O9890" t="s">
        <v>46</v>
      </c>
      <c r="P9890" t="s">
        <v>46</v>
      </c>
      <c r="Y9890" t="s">
        <v>34960</v>
      </c>
    </row>
    <row r="9891" spans="1:25">
      <c r="A9891" t="s">
        <v>34961</v>
      </c>
      <c r="B9891" t="s">
        <v>34962</v>
      </c>
      <c r="D9891" t="s">
        <v>40</v>
      </c>
      <c r="E9891" t="s">
        <v>41</v>
      </c>
      <c r="J9891" t="s">
        <v>248</v>
      </c>
      <c r="K9891" t="s">
        <v>249</v>
      </c>
      <c r="L9891">
        <v>1</v>
      </c>
      <c r="M9891" t="s">
        <v>34963</v>
      </c>
      <c r="N9891" t="s">
        <v>950</v>
      </c>
      <c r="O9891" t="s">
        <v>46</v>
      </c>
      <c r="P9891" t="s">
        <v>46</v>
      </c>
      <c r="Y9891" t="s">
        <v>34964</v>
      </c>
    </row>
    <row r="9892" spans="1:25">
      <c r="A9892" t="s">
        <v>34965</v>
      </c>
      <c r="B9892" t="s">
        <v>34966</v>
      </c>
      <c r="D9892" t="s">
        <v>40</v>
      </c>
      <c r="E9892" t="s">
        <v>41</v>
      </c>
      <c r="J9892" t="s">
        <v>1142</v>
      </c>
      <c r="K9892" t="s">
        <v>1143</v>
      </c>
      <c r="L9892">
        <v>1</v>
      </c>
      <c r="M9892" t="s">
        <v>34967</v>
      </c>
      <c r="N9892" t="s">
        <v>509</v>
      </c>
      <c r="O9892" t="s">
        <v>46</v>
      </c>
      <c r="P9892" t="s">
        <v>46</v>
      </c>
      <c r="Y9892" t="s">
        <v>34968</v>
      </c>
    </row>
    <row r="9893" spans="1:25">
      <c r="A9893" t="s">
        <v>34969</v>
      </c>
      <c r="B9893" t="s">
        <v>34970</v>
      </c>
      <c r="D9893" t="s">
        <v>40</v>
      </c>
      <c r="E9893" t="s">
        <v>41</v>
      </c>
      <c r="J9893" t="s">
        <v>1554</v>
      </c>
      <c r="K9893" t="s">
        <v>1555</v>
      </c>
      <c r="L9893">
        <v>1</v>
      </c>
      <c r="M9893" t="s">
        <v>34971</v>
      </c>
      <c r="N9893" t="s">
        <v>617</v>
      </c>
      <c r="O9893" t="s">
        <v>46</v>
      </c>
      <c r="P9893" t="s">
        <v>46</v>
      </c>
      <c r="Y9893" t="s">
        <v>34972</v>
      </c>
    </row>
    <row r="9894" spans="1:25">
      <c r="A9894" t="s">
        <v>34973</v>
      </c>
      <c r="B9894" t="s">
        <v>34974</v>
      </c>
      <c r="D9894" t="s">
        <v>40</v>
      </c>
      <c r="E9894" t="s">
        <v>41</v>
      </c>
      <c r="J9894" t="s">
        <v>248</v>
      </c>
      <c r="K9894" t="s">
        <v>249</v>
      </c>
      <c r="L9894">
        <v>1</v>
      </c>
      <c r="M9894" t="s">
        <v>34971</v>
      </c>
      <c r="N9894" t="s">
        <v>257</v>
      </c>
      <c r="O9894" t="s">
        <v>46</v>
      </c>
      <c r="P9894" t="s">
        <v>46</v>
      </c>
      <c r="Y9894" t="s">
        <v>34975</v>
      </c>
    </row>
    <row r="9895" spans="1:25">
      <c r="A9895" t="s">
        <v>34976</v>
      </c>
      <c r="B9895" t="s">
        <v>34977</v>
      </c>
      <c r="D9895" t="s">
        <v>40</v>
      </c>
      <c r="E9895" t="s">
        <v>41</v>
      </c>
      <c r="J9895" t="s">
        <v>248</v>
      </c>
      <c r="K9895" t="s">
        <v>249</v>
      </c>
      <c r="L9895">
        <v>1</v>
      </c>
      <c r="M9895" t="s">
        <v>34978</v>
      </c>
      <c r="N9895" t="s">
        <v>31581</v>
      </c>
      <c r="O9895" t="s">
        <v>46</v>
      </c>
      <c r="P9895" t="s">
        <v>46</v>
      </c>
      <c r="Y9895" t="s">
        <v>34979</v>
      </c>
    </row>
    <row r="9896" spans="1:25">
      <c r="A9896" t="s">
        <v>34980</v>
      </c>
      <c r="B9896" t="s">
        <v>34981</v>
      </c>
      <c r="D9896" t="s">
        <v>40</v>
      </c>
      <c r="E9896" t="s">
        <v>41</v>
      </c>
      <c r="J9896" t="s">
        <v>248</v>
      </c>
      <c r="K9896" t="s">
        <v>249</v>
      </c>
      <c r="L9896">
        <v>1</v>
      </c>
      <c r="M9896" t="s">
        <v>34982</v>
      </c>
      <c r="N9896" t="s">
        <v>315</v>
      </c>
      <c r="O9896" t="s">
        <v>46</v>
      </c>
      <c r="P9896" t="s">
        <v>46</v>
      </c>
      <c r="Y9896" t="s">
        <v>34983</v>
      </c>
    </row>
    <row r="9897" spans="1:25">
      <c r="A9897" t="s">
        <v>34984</v>
      </c>
      <c r="B9897" t="s">
        <v>34985</v>
      </c>
      <c r="D9897" t="s">
        <v>40</v>
      </c>
      <c r="E9897" t="s">
        <v>41</v>
      </c>
      <c r="J9897" t="s">
        <v>139</v>
      </c>
      <c r="K9897" t="s">
        <v>140</v>
      </c>
      <c r="L9897">
        <v>1</v>
      </c>
      <c r="M9897" t="s">
        <v>34986</v>
      </c>
      <c r="N9897" t="s">
        <v>509</v>
      </c>
      <c r="O9897" t="s">
        <v>46</v>
      </c>
      <c r="P9897" t="s">
        <v>46</v>
      </c>
      <c r="Y9897" t="s">
        <v>34987</v>
      </c>
    </row>
    <row r="9898" spans="1:25">
      <c r="A9898" t="s">
        <v>34988</v>
      </c>
      <c r="B9898" t="s">
        <v>34989</v>
      </c>
      <c r="D9898" t="s">
        <v>40</v>
      </c>
      <c r="E9898" t="s">
        <v>41</v>
      </c>
      <c r="J9898" t="s">
        <v>248</v>
      </c>
      <c r="K9898" t="s">
        <v>249</v>
      </c>
      <c r="L9898">
        <v>1</v>
      </c>
      <c r="M9898" t="s">
        <v>34990</v>
      </c>
      <c r="N9898" t="s">
        <v>58</v>
      </c>
      <c r="O9898" t="s">
        <v>46</v>
      </c>
      <c r="P9898" t="s">
        <v>46</v>
      </c>
      <c r="Y9898" t="s">
        <v>34991</v>
      </c>
    </row>
    <row r="9899" spans="1:25">
      <c r="A9899" t="s">
        <v>34992</v>
      </c>
      <c r="B9899" t="s">
        <v>34993</v>
      </c>
      <c r="D9899" t="s">
        <v>40</v>
      </c>
      <c r="E9899" t="s">
        <v>41</v>
      </c>
      <c r="J9899" t="s">
        <v>139</v>
      </c>
      <c r="K9899" t="s">
        <v>140</v>
      </c>
      <c r="L9899">
        <v>1</v>
      </c>
      <c r="M9899" t="s">
        <v>34994</v>
      </c>
      <c r="N9899" t="s">
        <v>31581</v>
      </c>
      <c r="O9899" t="s">
        <v>46</v>
      </c>
      <c r="P9899" t="s">
        <v>46</v>
      </c>
      <c r="Y9899" t="s">
        <v>34995</v>
      </c>
    </row>
    <row r="9900" spans="1:25">
      <c r="A9900" t="s">
        <v>34996</v>
      </c>
      <c r="B9900" t="s">
        <v>34997</v>
      </c>
      <c r="D9900" t="s">
        <v>40</v>
      </c>
      <c r="E9900" t="s">
        <v>41</v>
      </c>
      <c r="J9900" t="s">
        <v>139</v>
      </c>
      <c r="K9900" t="s">
        <v>140</v>
      </c>
      <c r="L9900">
        <v>1</v>
      </c>
      <c r="M9900" t="s">
        <v>34998</v>
      </c>
      <c r="N9900" t="s">
        <v>24387</v>
      </c>
      <c r="O9900" t="s">
        <v>46</v>
      </c>
      <c r="P9900" t="s">
        <v>46</v>
      </c>
      <c r="Y9900" t="s">
        <v>34999</v>
      </c>
    </row>
    <row r="9901" spans="1:25">
      <c r="A9901" t="s">
        <v>35000</v>
      </c>
      <c r="B9901" t="s">
        <v>35001</v>
      </c>
      <c r="D9901" t="s">
        <v>40</v>
      </c>
      <c r="E9901" t="s">
        <v>41</v>
      </c>
      <c r="J9901" t="s">
        <v>248</v>
      </c>
      <c r="K9901" t="s">
        <v>249</v>
      </c>
      <c r="L9901">
        <v>1</v>
      </c>
      <c r="M9901" t="s">
        <v>34998</v>
      </c>
      <c r="N9901" t="s">
        <v>1446</v>
      </c>
      <c r="O9901" t="s">
        <v>46</v>
      </c>
      <c r="P9901" t="s">
        <v>46</v>
      </c>
      <c r="Y9901" t="s">
        <v>35002</v>
      </c>
    </row>
    <row r="9902" spans="1:25">
      <c r="A9902" t="s">
        <v>35003</v>
      </c>
      <c r="B9902" t="s">
        <v>35004</v>
      </c>
      <c r="D9902" t="s">
        <v>40</v>
      </c>
      <c r="E9902" t="s">
        <v>41</v>
      </c>
      <c r="J9902" t="s">
        <v>139</v>
      </c>
      <c r="K9902" t="s">
        <v>140</v>
      </c>
      <c r="L9902">
        <v>1</v>
      </c>
      <c r="M9902" t="s">
        <v>34998</v>
      </c>
      <c r="N9902" t="s">
        <v>509</v>
      </c>
      <c r="O9902" t="s">
        <v>46</v>
      </c>
      <c r="P9902" t="s">
        <v>46</v>
      </c>
      <c r="Y9902" t="s">
        <v>35005</v>
      </c>
    </row>
    <row r="9903" spans="1:25">
      <c r="A9903" t="s">
        <v>35006</v>
      </c>
      <c r="B9903" t="s">
        <v>35007</v>
      </c>
      <c r="D9903" t="s">
        <v>40</v>
      </c>
      <c r="E9903" t="s">
        <v>41</v>
      </c>
      <c r="J9903" t="s">
        <v>248</v>
      </c>
      <c r="K9903" t="s">
        <v>249</v>
      </c>
      <c r="L9903">
        <v>1</v>
      </c>
      <c r="M9903" t="s">
        <v>35008</v>
      </c>
      <c r="N9903" t="s">
        <v>178</v>
      </c>
      <c r="O9903" t="s">
        <v>46</v>
      </c>
      <c r="P9903" t="s">
        <v>46</v>
      </c>
      <c r="Y9903" t="s">
        <v>35009</v>
      </c>
    </row>
    <row r="9904" spans="1:25">
      <c r="A9904" t="s">
        <v>35010</v>
      </c>
      <c r="B9904" t="s">
        <v>35011</v>
      </c>
      <c r="D9904" t="s">
        <v>40</v>
      </c>
      <c r="E9904" t="s">
        <v>41</v>
      </c>
      <c r="J9904" t="s">
        <v>1142</v>
      </c>
      <c r="K9904" t="s">
        <v>1143</v>
      </c>
      <c r="L9904">
        <v>1</v>
      </c>
      <c r="M9904" t="s">
        <v>35012</v>
      </c>
      <c r="N9904" t="s">
        <v>1229</v>
      </c>
      <c r="O9904" t="s">
        <v>46</v>
      </c>
      <c r="P9904" t="s">
        <v>46</v>
      </c>
      <c r="Y9904" t="s">
        <v>35013</v>
      </c>
    </row>
    <row r="9905" spans="1:25">
      <c r="A9905" t="s">
        <v>35014</v>
      </c>
      <c r="B9905" t="s">
        <v>35015</v>
      </c>
      <c r="D9905" t="s">
        <v>40</v>
      </c>
      <c r="E9905" t="s">
        <v>41</v>
      </c>
      <c r="J9905" t="s">
        <v>1142</v>
      </c>
      <c r="K9905" t="s">
        <v>1143</v>
      </c>
      <c r="L9905">
        <v>1</v>
      </c>
      <c r="M9905" t="s">
        <v>35012</v>
      </c>
      <c r="N9905" t="s">
        <v>296</v>
      </c>
      <c r="O9905" t="s">
        <v>46</v>
      </c>
      <c r="P9905" t="s">
        <v>46</v>
      </c>
      <c r="Y9905" t="s">
        <v>35016</v>
      </c>
    </row>
    <row r="9906" spans="1:25">
      <c r="A9906" t="s">
        <v>35017</v>
      </c>
      <c r="B9906" t="s">
        <v>35018</v>
      </c>
      <c r="D9906" t="s">
        <v>40</v>
      </c>
      <c r="E9906" t="s">
        <v>41</v>
      </c>
      <c r="J9906" t="s">
        <v>248</v>
      </c>
      <c r="K9906" t="s">
        <v>249</v>
      </c>
      <c r="L9906">
        <v>1</v>
      </c>
      <c r="M9906" t="s">
        <v>35019</v>
      </c>
      <c r="N9906" t="s">
        <v>266</v>
      </c>
      <c r="O9906" t="s">
        <v>46</v>
      </c>
      <c r="P9906" t="s">
        <v>46</v>
      </c>
      <c r="Y9906" t="s">
        <v>35020</v>
      </c>
    </row>
    <row r="9907" spans="1:25">
      <c r="A9907" t="s">
        <v>35021</v>
      </c>
      <c r="B9907" t="s">
        <v>35022</v>
      </c>
      <c r="D9907" t="s">
        <v>40</v>
      </c>
      <c r="E9907" t="s">
        <v>41</v>
      </c>
      <c r="J9907" t="s">
        <v>23071</v>
      </c>
      <c r="K9907" t="s">
        <v>23072</v>
      </c>
      <c r="L9907">
        <v>1</v>
      </c>
      <c r="M9907" t="s">
        <v>35019</v>
      </c>
      <c r="N9907" t="s">
        <v>24245</v>
      </c>
      <c r="O9907" t="s">
        <v>46</v>
      </c>
      <c r="P9907" t="s">
        <v>46</v>
      </c>
      <c r="Y9907" t="s">
        <v>35023</v>
      </c>
    </row>
    <row r="9908" spans="1:25">
      <c r="A9908" t="s">
        <v>35024</v>
      </c>
      <c r="B9908" t="s">
        <v>35025</v>
      </c>
      <c r="D9908" t="s">
        <v>40</v>
      </c>
      <c r="E9908" t="s">
        <v>41</v>
      </c>
      <c r="J9908" t="s">
        <v>248</v>
      </c>
      <c r="K9908" t="s">
        <v>249</v>
      </c>
      <c r="L9908">
        <v>2</v>
      </c>
      <c r="M9908" t="s">
        <v>35026</v>
      </c>
      <c r="N9908" t="s">
        <v>1369</v>
      </c>
      <c r="O9908" t="s">
        <v>46</v>
      </c>
      <c r="P9908" t="s">
        <v>46</v>
      </c>
      <c r="Y9908" t="s">
        <v>35027</v>
      </c>
    </row>
    <row r="9909" spans="1:25">
      <c r="A9909" t="s">
        <v>35028</v>
      </c>
      <c r="B9909" t="s">
        <v>35029</v>
      </c>
      <c r="D9909" t="s">
        <v>40</v>
      </c>
      <c r="E9909" t="s">
        <v>41</v>
      </c>
      <c r="J9909" t="s">
        <v>1554</v>
      </c>
      <c r="K9909" t="s">
        <v>1555</v>
      </c>
      <c r="L9909">
        <v>1</v>
      </c>
      <c r="M9909" t="s">
        <v>35030</v>
      </c>
      <c r="N9909" t="s">
        <v>53</v>
      </c>
      <c r="O9909" t="s">
        <v>46</v>
      </c>
      <c r="P9909" t="s">
        <v>46</v>
      </c>
      <c r="Y9909" t="s">
        <v>35031</v>
      </c>
    </row>
    <row r="9910" spans="1:25">
      <c r="A9910" t="s">
        <v>35032</v>
      </c>
      <c r="B9910" t="s">
        <v>35033</v>
      </c>
      <c r="D9910" t="s">
        <v>40</v>
      </c>
      <c r="E9910" t="s">
        <v>41</v>
      </c>
      <c r="J9910" t="s">
        <v>248</v>
      </c>
      <c r="K9910" t="s">
        <v>249</v>
      </c>
      <c r="L9910">
        <v>1</v>
      </c>
      <c r="M9910" t="s">
        <v>35034</v>
      </c>
      <c r="N9910" t="s">
        <v>1024</v>
      </c>
      <c r="O9910" t="s">
        <v>46</v>
      </c>
      <c r="P9910" t="s">
        <v>46</v>
      </c>
      <c r="Y9910" t="s">
        <v>35035</v>
      </c>
    </row>
    <row r="9911" spans="1:25">
      <c r="A9911" t="s">
        <v>35036</v>
      </c>
      <c r="B9911" t="s">
        <v>35037</v>
      </c>
      <c r="D9911" t="s">
        <v>40</v>
      </c>
      <c r="E9911" t="s">
        <v>41</v>
      </c>
      <c r="J9911" t="s">
        <v>248</v>
      </c>
      <c r="K9911" t="s">
        <v>249</v>
      </c>
      <c r="L9911">
        <v>1</v>
      </c>
      <c r="M9911" t="s">
        <v>35038</v>
      </c>
      <c r="N9911" t="s">
        <v>142</v>
      </c>
      <c r="O9911" t="s">
        <v>46</v>
      </c>
      <c r="P9911" t="s">
        <v>46</v>
      </c>
      <c r="Y9911" t="s">
        <v>35039</v>
      </c>
    </row>
    <row r="9912" spans="1:25">
      <c r="A9912" t="s">
        <v>35040</v>
      </c>
      <c r="B9912" t="s">
        <v>35041</v>
      </c>
      <c r="D9912" t="s">
        <v>40</v>
      </c>
      <c r="E9912" t="s">
        <v>41</v>
      </c>
      <c r="J9912" t="s">
        <v>248</v>
      </c>
      <c r="K9912" t="s">
        <v>249</v>
      </c>
      <c r="L9912">
        <v>1</v>
      </c>
      <c r="M9912" t="s">
        <v>35038</v>
      </c>
      <c r="N9912" t="s">
        <v>617</v>
      </c>
      <c r="O9912" t="s">
        <v>46</v>
      </c>
      <c r="P9912" t="s">
        <v>46</v>
      </c>
      <c r="Y9912" t="s">
        <v>35042</v>
      </c>
    </row>
    <row r="9913" spans="1:25">
      <c r="A9913" t="s">
        <v>35043</v>
      </c>
      <c r="B9913" t="s">
        <v>35044</v>
      </c>
      <c r="D9913" t="s">
        <v>40</v>
      </c>
      <c r="E9913" t="s">
        <v>41</v>
      </c>
      <c r="J9913" t="s">
        <v>248</v>
      </c>
      <c r="K9913" t="s">
        <v>249</v>
      </c>
      <c r="L9913">
        <v>1</v>
      </c>
      <c r="M9913" t="s">
        <v>35045</v>
      </c>
      <c r="N9913" t="s">
        <v>24240</v>
      </c>
      <c r="O9913" t="s">
        <v>46</v>
      </c>
      <c r="P9913" t="s">
        <v>46</v>
      </c>
      <c r="Y9913" t="s">
        <v>35046</v>
      </c>
    </row>
    <row r="9914" spans="1:25">
      <c r="A9914" t="s">
        <v>35047</v>
      </c>
      <c r="B9914" t="s">
        <v>35048</v>
      </c>
      <c r="D9914" t="s">
        <v>40</v>
      </c>
      <c r="E9914" t="s">
        <v>41</v>
      </c>
      <c r="J9914" t="s">
        <v>139</v>
      </c>
      <c r="K9914" t="s">
        <v>140</v>
      </c>
      <c r="L9914">
        <v>1</v>
      </c>
      <c r="M9914" t="s">
        <v>35049</v>
      </c>
      <c r="N9914" t="s">
        <v>436</v>
      </c>
      <c r="O9914" t="s">
        <v>46</v>
      </c>
      <c r="P9914" t="s">
        <v>46</v>
      </c>
      <c r="Y9914" t="s">
        <v>35050</v>
      </c>
    </row>
    <row r="9915" spans="1:25">
      <c r="A9915" t="s">
        <v>35051</v>
      </c>
      <c r="B9915" t="s">
        <v>35052</v>
      </c>
      <c r="D9915" t="s">
        <v>40</v>
      </c>
      <c r="E9915" t="s">
        <v>41</v>
      </c>
      <c r="J9915" t="s">
        <v>2619</v>
      </c>
      <c r="K9915" t="s">
        <v>140</v>
      </c>
      <c r="L9915">
        <v>1</v>
      </c>
      <c r="M9915" t="s">
        <v>35049</v>
      </c>
      <c r="N9915" t="s">
        <v>2621</v>
      </c>
      <c r="O9915" t="s">
        <v>46</v>
      </c>
      <c r="P9915" t="s">
        <v>46</v>
      </c>
      <c r="Y9915" t="s">
        <v>35053</v>
      </c>
    </row>
    <row r="9916" spans="1:25">
      <c r="A9916" t="s">
        <v>35054</v>
      </c>
      <c r="B9916" t="s">
        <v>35055</v>
      </c>
      <c r="D9916" t="s">
        <v>40</v>
      </c>
      <c r="E9916" t="s">
        <v>41</v>
      </c>
      <c r="J9916" t="s">
        <v>248</v>
      </c>
      <c r="K9916" t="s">
        <v>249</v>
      </c>
      <c r="L9916">
        <v>1</v>
      </c>
      <c r="M9916" t="s">
        <v>35049</v>
      </c>
      <c r="N9916" t="s">
        <v>24227</v>
      </c>
      <c r="O9916" t="s">
        <v>46</v>
      </c>
      <c r="P9916" t="s">
        <v>46</v>
      </c>
      <c r="Y9916" t="s">
        <v>35056</v>
      </c>
    </row>
    <row r="9917" spans="1:25">
      <c r="A9917" t="s">
        <v>35057</v>
      </c>
      <c r="B9917" t="s">
        <v>35058</v>
      </c>
      <c r="D9917" t="s">
        <v>40</v>
      </c>
      <c r="E9917" t="s">
        <v>41</v>
      </c>
      <c r="J9917" t="s">
        <v>248</v>
      </c>
      <c r="K9917" t="s">
        <v>249</v>
      </c>
      <c r="L9917">
        <v>1</v>
      </c>
      <c r="M9917" t="s">
        <v>35059</v>
      </c>
      <c r="N9917" t="s">
        <v>2621</v>
      </c>
      <c r="O9917" t="s">
        <v>46</v>
      </c>
      <c r="P9917" t="s">
        <v>46</v>
      </c>
      <c r="Y9917" t="s">
        <v>35060</v>
      </c>
    </row>
    <row r="9918" spans="1:25">
      <c r="A9918" t="s">
        <v>35061</v>
      </c>
      <c r="B9918" t="s">
        <v>35062</v>
      </c>
      <c r="D9918" t="s">
        <v>40</v>
      </c>
      <c r="E9918" t="s">
        <v>41</v>
      </c>
      <c r="J9918" t="s">
        <v>1554</v>
      </c>
      <c r="K9918" t="s">
        <v>1555</v>
      </c>
      <c r="L9918">
        <v>1</v>
      </c>
      <c r="M9918" t="s">
        <v>35063</v>
      </c>
      <c r="N9918" t="s">
        <v>315</v>
      </c>
      <c r="O9918" t="s">
        <v>46</v>
      </c>
      <c r="P9918" t="s">
        <v>46</v>
      </c>
      <c r="Y9918" t="s">
        <v>35064</v>
      </c>
    </row>
    <row r="9919" spans="1:25">
      <c r="A9919" t="s">
        <v>35065</v>
      </c>
      <c r="B9919" t="s">
        <v>35066</v>
      </c>
      <c r="D9919" t="s">
        <v>40</v>
      </c>
      <c r="E9919" t="s">
        <v>41</v>
      </c>
      <c r="J9919" t="s">
        <v>1142</v>
      </c>
      <c r="K9919" t="s">
        <v>1143</v>
      </c>
      <c r="L9919">
        <v>1</v>
      </c>
      <c r="M9919" t="s">
        <v>35063</v>
      </c>
      <c r="N9919" t="s">
        <v>440</v>
      </c>
      <c r="O9919" t="s">
        <v>46</v>
      </c>
      <c r="P9919" t="s">
        <v>46</v>
      </c>
      <c r="Y9919" t="s">
        <v>35067</v>
      </c>
    </row>
    <row r="9920" spans="1:25">
      <c r="A9920" t="s">
        <v>35068</v>
      </c>
      <c r="B9920" t="s">
        <v>35069</v>
      </c>
      <c r="D9920" t="s">
        <v>40</v>
      </c>
      <c r="E9920" t="s">
        <v>41</v>
      </c>
      <c r="J9920" t="s">
        <v>1554</v>
      </c>
      <c r="K9920" t="s">
        <v>1555</v>
      </c>
      <c r="L9920">
        <v>1</v>
      </c>
      <c r="M9920" t="s">
        <v>35070</v>
      </c>
      <c r="N9920" t="s">
        <v>53</v>
      </c>
      <c r="O9920" t="s">
        <v>46</v>
      </c>
      <c r="P9920" t="s">
        <v>46</v>
      </c>
      <c r="Y9920" t="s">
        <v>35071</v>
      </c>
    </row>
    <row r="9921" spans="1:25">
      <c r="A9921" t="s">
        <v>35072</v>
      </c>
      <c r="B9921" t="s">
        <v>35073</v>
      </c>
      <c r="D9921" t="s">
        <v>40</v>
      </c>
      <c r="E9921" t="s">
        <v>41</v>
      </c>
      <c r="J9921" t="s">
        <v>1142</v>
      </c>
      <c r="K9921" t="s">
        <v>1143</v>
      </c>
      <c r="L9921">
        <v>1</v>
      </c>
      <c r="M9921" t="s">
        <v>35074</v>
      </c>
      <c r="N9921" t="s">
        <v>24240</v>
      </c>
      <c r="O9921" t="s">
        <v>46</v>
      </c>
      <c r="P9921" t="s">
        <v>46</v>
      </c>
      <c r="Y9921" t="s">
        <v>35075</v>
      </c>
    </row>
    <row r="9922" spans="1:25">
      <c r="A9922" t="s">
        <v>35076</v>
      </c>
      <c r="B9922" t="s">
        <v>35077</v>
      </c>
      <c r="D9922" t="s">
        <v>40</v>
      </c>
      <c r="E9922" t="s">
        <v>41</v>
      </c>
      <c r="J9922" t="s">
        <v>248</v>
      </c>
      <c r="K9922" t="s">
        <v>249</v>
      </c>
      <c r="L9922">
        <v>1</v>
      </c>
      <c r="M9922" t="s">
        <v>35078</v>
      </c>
      <c r="N9922" t="s">
        <v>924</v>
      </c>
      <c r="O9922" t="s">
        <v>46</v>
      </c>
      <c r="P9922" t="s">
        <v>46</v>
      </c>
      <c r="Y9922" t="s">
        <v>35079</v>
      </c>
    </row>
    <row r="9923" spans="1:25">
      <c r="A9923" t="s">
        <v>35080</v>
      </c>
      <c r="B9923" t="s">
        <v>35081</v>
      </c>
      <c r="D9923" t="s">
        <v>40</v>
      </c>
      <c r="E9923" t="s">
        <v>41</v>
      </c>
      <c r="J9923" t="s">
        <v>248</v>
      </c>
      <c r="K9923" t="s">
        <v>249</v>
      </c>
      <c r="L9923">
        <v>1</v>
      </c>
      <c r="M9923" t="s">
        <v>35082</v>
      </c>
      <c r="N9923" t="s">
        <v>950</v>
      </c>
      <c r="O9923" t="s">
        <v>46</v>
      </c>
      <c r="P9923" t="s">
        <v>46</v>
      </c>
      <c r="Y9923" t="s">
        <v>35083</v>
      </c>
    </row>
    <row r="9924" spans="1:25">
      <c r="A9924" t="s">
        <v>35084</v>
      </c>
      <c r="B9924" t="s">
        <v>35085</v>
      </c>
      <c r="D9924" t="s">
        <v>40</v>
      </c>
      <c r="E9924" t="s">
        <v>41</v>
      </c>
      <c r="J9924" t="s">
        <v>1554</v>
      </c>
      <c r="K9924" t="s">
        <v>1555</v>
      </c>
      <c r="L9924">
        <v>1</v>
      </c>
      <c r="M9924" t="s">
        <v>35086</v>
      </c>
      <c r="N9924" t="s">
        <v>1446</v>
      </c>
      <c r="O9924" t="s">
        <v>46</v>
      </c>
      <c r="P9924" t="s">
        <v>46</v>
      </c>
      <c r="Y9924" t="s">
        <v>35087</v>
      </c>
    </row>
    <row r="9925" spans="1:25">
      <c r="A9925" t="s">
        <v>35088</v>
      </c>
      <c r="B9925" t="s">
        <v>35089</v>
      </c>
      <c r="D9925" t="s">
        <v>40</v>
      </c>
      <c r="E9925" t="s">
        <v>41</v>
      </c>
      <c r="J9925" t="s">
        <v>139</v>
      </c>
      <c r="K9925" t="s">
        <v>140</v>
      </c>
      <c r="L9925">
        <v>1</v>
      </c>
      <c r="M9925" t="s">
        <v>35090</v>
      </c>
      <c r="N9925" t="s">
        <v>142</v>
      </c>
      <c r="O9925" t="s">
        <v>46</v>
      </c>
      <c r="P9925" t="s">
        <v>46</v>
      </c>
      <c r="Y9925" t="s">
        <v>35091</v>
      </c>
    </row>
    <row r="9926" spans="1:25">
      <c r="A9926" t="s">
        <v>35092</v>
      </c>
      <c r="B9926" t="s">
        <v>35093</v>
      </c>
      <c r="D9926" t="s">
        <v>40</v>
      </c>
      <c r="E9926" t="s">
        <v>41</v>
      </c>
      <c r="J9926" t="s">
        <v>248</v>
      </c>
      <c r="K9926" t="s">
        <v>249</v>
      </c>
      <c r="L9926">
        <v>1</v>
      </c>
      <c r="M9926" t="s">
        <v>35094</v>
      </c>
      <c r="N9926" t="s">
        <v>31581</v>
      </c>
      <c r="O9926" t="s">
        <v>46</v>
      </c>
      <c r="P9926" t="s">
        <v>46</v>
      </c>
      <c r="Y9926" t="s">
        <v>35095</v>
      </c>
    </row>
    <row r="9927" spans="1:25">
      <c r="A9927" t="s">
        <v>35096</v>
      </c>
      <c r="B9927" t="s">
        <v>35097</v>
      </c>
      <c r="D9927" t="s">
        <v>40</v>
      </c>
      <c r="E9927" t="s">
        <v>41</v>
      </c>
      <c r="J9927" t="s">
        <v>248</v>
      </c>
      <c r="K9927" t="s">
        <v>249</v>
      </c>
      <c r="L9927">
        <v>1</v>
      </c>
      <c r="M9927" t="s">
        <v>35094</v>
      </c>
      <c r="N9927" t="s">
        <v>178</v>
      </c>
      <c r="O9927" t="s">
        <v>46</v>
      </c>
      <c r="P9927" t="s">
        <v>46</v>
      </c>
      <c r="Y9927" t="s">
        <v>35098</v>
      </c>
    </row>
    <row r="9928" spans="1:25">
      <c r="A9928" t="s">
        <v>35099</v>
      </c>
      <c r="B9928" t="s">
        <v>35100</v>
      </c>
      <c r="D9928" t="s">
        <v>40</v>
      </c>
      <c r="E9928" t="s">
        <v>41</v>
      </c>
      <c r="J9928" t="s">
        <v>248</v>
      </c>
      <c r="K9928" t="s">
        <v>249</v>
      </c>
      <c r="L9928">
        <v>1</v>
      </c>
      <c r="M9928" t="s">
        <v>35101</v>
      </c>
      <c r="N9928" t="s">
        <v>3013</v>
      </c>
      <c r="O9928" t="s">
        <v>46</v>
      </c>
      <c r="P9928" t="s">
        <v>46</v>
      </c>
      <c r="Y9928" t="s">
        <v>35102</v>
      </c>
    </row>
    <row r="9929" spans="1:25">
      <c r="A9929" t="s">
        <v>35103</v>
      </c>
      <c r="B9929" t="s">
        <v>35104</v>
      </c>
      <c r="D9929" t="s">
        <v>40</v>
      </c>
      <c r="E9929" t="s">
        <v>41</v>
      </c>
      <c r="J9929" t="s">
        <v>248</v>
      </c>
      <c r="K9929" t="s">
        <v>249</v>
      </c>
      <c r="L9929">
        <v>1</v>
      </c>
      <c r="M9929" t="s">
        <v>35105</v>
      </c>
      <c r="N9929" t="s">
        <v>752</v>
      </c>
      <c r="O9929" t="s">
        <v>46</v>
      </c>
      <c r="P9929" t="s">
        <v>46</v>
      </c>
      <c r="Y9929" t="s">
        <v>35106</v>
      </c>
    </row>
    <row r="9930" spans="1:25">
      <c r="A9930" t="s">
        <v>35107</v>
      </c>
      <c r="B9930" t="s">
        <v>35108</v>
      </c>
      <c r="D9930" t="s">
        <v>40</v>
      </c>
      <c r="E9930" t="s">
        <v>41</v>
      </c>
      <c r="J9930" t="s">
        <v>11802</v>
      </c>
      <c r="K9930" t="s">
        <v>11803</v>
      </c>
      <c r="L9930">
        <v>1</v>
      </c>
      <c r="M9930" t="s">
        <v>35109</v>
      </c>
      <c r="N9930" t="s">
        <v>436</v>
      </c>
      <c r="O9930" t="s">
        <v>46</v>
      </c>
      <c r="P9930" t="s">
        <v>46</v>
      </c>
      <c r="Y9930" t="s">
        <v>35110</v>
      </c>
    </row>
    <row r="9931" spans="1:25">
      <c r="A9931" t="s">
        <v>35111</v>
      </c>
      <c r="B9931" t="s">
        <v>35112</v>
      </c>
      <c r="D9931" t="s">
        <v>40</v>
      </c>
      <c r="E9931" t="s">
        <v>41</v>
      </c>
      <c r="J9931" t="s">
        <v>139</v>
      </c>
      <c r="K9931" t="s">
        <v>140</v>
      </c>
      <c r="L9931">
        <v>1</v>
      </c>
      <c r="M9931" t="s">
        <v>35113</v>
      </c>
      <c r="N9931" t="s">
        <v>1024</v>
      </c>
      <c r="O9931" t="s">
        <v>46</v>
      </c>
      <c r="P9931" t="s">
        <v>46</v>
      </c>
      <c r="Y9931" t="s">
        <v>35114</v>
      </c>
    </row>
    <row r="9932" spans="1:25">
      <c r="A9932" t="s">
        <v>35115</v>
      </c>
      <c r="B9932" t="s">
        <v>35116</v>
      </c>
      <c r="D9932" t="s">
        <v>40</v>
      </c>
      <c r="E9932" t="s">
        <v>41</v>
      </c>
      <c r="J9932" t="s">
        <v>248</v>
      </c>
      <c r="K9932" t="s">
        <v>249</v>
      </c>
      <c r="L9932">
        <v>1</v>
      </c>
      <c r="M9932" t="s">
        <v>35117</v>
      </c>
      <c r="N9932" t="s">
        <v>1229</v>
      </c>
      <c r="O9932" t="s">
        <v>46</v>
      </c>
      <c r="P9932" t="s">
        <v>46</v>
      </c>
      <c r="Y9932" t="s">
        <v>35118</v>
      </c>
    </row>
    <row r="9933" spans="1:25">
      <c r="A9933" t="s">
        <v>35119</v>
      </c>
      <c r="B9933" t="s">
        <v>35120</v>
      </c>
      <c r="D9933" t="s">
        <v>40</v>
      </c>
      <c r="E9933" t="s">
        <v>41</v>
      </c>
      <c r="J9933" t="s">
        <v>599</v>
      </c>
      <c r="K9933" t="s">
        <v>600</v>
      </c>
      <c r="L9933">
        <v>1</v>
      </c>
      <c r="M9933" t="s">
        <v>35121</v>
      </c>
      <c r="N9933" t="s">
        <v>1550</v>
      </c>
      <c r="O9933" t="s">
        <v>46</v>
      </c>
      <c r="P9933" t="s">
        <v>46</v>
      </c>
      <c r="Y9933" t="s">
        <v>35122</v>
      </c>
    </row>
    <row r="9934" spans="1:25">
      <c r="A9934" t="s">
        <v>35123</v>
      </c>
      <c r="B9934" t="s">
        <v>35124</v>
      </c>
      <c r="D9934" t="s">
        <v>40</v>
      </c>
      <c r="E9934" t="s">
        <v>41</v>
      </c>
      <c r="J9934" t="s">
        <v>248</v>
      </c>
      <c r="K9934" t="s">
        <v>249</v>
      </c>
      <c r="L9934">
        <v>1</v>
      </c>
      <c r="M9934" t="s">
        <v>35125</v>
      </c>
      <c r="N9934" t="s">
        <v>950</v>
      </c>
      <c r="O9934" t="s">
        <v>46</v>
      </c>
      <c r="P9934" t="s">
        <v>46</v>
      </c>
      <c r="Y9934" t="s">
        <v>35126</v>
      </c>
    </row>
    <row r="9935" spans="1:25">
      <c r="A9935" t="s">
        <v>35127</v>
      </c>
      <c r="B9935" t="s">
        <v>35128</v>
      </c>
      <c r="D9935" t="s">
        <v>40</v>
      </c>
      <c r="E9935" t="s">
        <v>41</v>
      </c>
      <c r="J9935" t="s">
        <v>248</v>
      </c>
      <c r="K9935" t="s">
        <v>249</v>
      </c>
      <c r="L9935">
        <v>1</v>
      </c>
      <c r="M9935" t="s">
        <v>35129</v>
      </c>
      <c r="N9935" t="s">
        <v>31581</v>
      </c>
      <c r="O9935" t="s">
        <v>46</v>
      </c>
      <c r="P9935" t="s">
        <v>46</v>
      </c>
      <c r="Y9935" t="s">
        <v>35130</v>
      </c>
    </row>
    <row r="9936" spans="1:25">
      <c r="A9936" t="s">
        <v>35131</v>
      </c>
      <c r="B9936" t="s">
        <v>35132</v>
      </c>
      <c r="D9936" t="s">
        <v>40</v>
      </c>
      <c r="E9936" t="s">
        <v>41</v>
      </c>
      <c r="J9936" t="s">
        <v>1142</v>
      </c>
      <c r="K9936" t="s">
        <v>1143</v>
      </c>
      <c r="L9936">
        <v>1</v>
      </c>
      <c r="M9936" t="s">
        <v>35133</v>
      </c>
      <c r="N9936" t="s">
        <v>440</v>
      </c>
      <c r="O9936" t="s">
        <v>46</v>
      </c>
      <c r="P9936" t="s">
        <v>46</v>
      </c>
      <c r="Y9936" t="s">
        <v>35134</v>
      </c>
    </row>
    <row r="9937" spans="1:25">
      <c r="A9937" t="s">
        <v>35135</v>
      </c>
      <c r="B9937" t="s">
        <v>35136</v>
      </c>
      <c r="D9937" t="s">
        <v>40</v>
      </c>
      <c r="E9937" t="s">
        <v>41</v>
      </c>
      <c r="J9937" t="s">
        <v>2619</v>
      </c>
      <c r="K9937" t="s">
        <v>140</v>
      </c>
      <c r="L9937">
        <v>1</v>
      </c>
      <c r="M9937" t="s">
        <v>35137</v>
      </c>
      <c r="N9937" t="s">
        <v>2621</v>
      </c>
      <c r="O9937" t="s">
        <v>46</v>
      </c>
      <c r="P9937" t="s">
        <v>46</v>
      </c>
      <c r="Y9937" t="s">
        <v>35138</v>
      </c>
    </row>
    <row r="9938" spans="1:25">
      <c r="A9938" t="s">
        <v>35139</v>
      </c>
      <c r="B9938" t="s">
        <v>35140</v>
      </c>
      <c r="D9938" t="s">
        <v>40</v>
      </c>
      <c r="E9938" t="s">
        <v>41</v>
      </c>
      <c r="J9938" t="s">
        <v>6179</v>
      </c>
      <c r="K9938" t="s">
        <v>6180</v>
      </c>
      <c r="L9938">
        <v>1</v>
      </c>
      <c r="M9938" t="s">
        <v>35141</v>
      </c>
      <c r="N9938" t="s">
        <v>257</v>
      </c>
      <c r="O9938" t="s">
        <v>46</v>
      </c>
      <c r="P9938" t="s">
        <v>46</v>
      </c>
      <c r="Y9938" t="s">
        <v>35142</v>
      </c>
    </row>
    <row r="9939" spans="1:25">
      <c r="A9939" t="s">
        <v>35143</v>
      </c>
      <c r="B9939" t="s">
        <v>35144</v>
      </c>
      <c r="D9939" t="s">
        <v>40</v>
      </c>
      <c r="E9939" t="s">
        <v>41</v>
      </c>
      <c r="J9939" t="s">
        <v>11802</v>
      </c>
      <c r="K9939" t="s">
        <v>11803</v>
      </c>
      <c r="L9939">
        <v>1</v>
      </c>
      <c r="M9939" t="s">
        <v>35141</v>
      </c>
      <c r="N9939" t="s">
        <v>1814</v>
      </c>
      <c r="O9939" t="s">
        <v>46</v>
      </c>
      <c r="P9939" t="s">
        <v>46</v>
      </c>
      <c r="Y9939" t="s">
        <v>35145</v>
      </c>
    </row>
    <row r="9940" spans="1:25">
      <c r="A9940" t="s">
        <v>35146</v>
      </c>
      <c r="B9940" t="s">
        <v>35147</v>
      </c>
      <c r="D9940" t="s">
        <v>40</v>
      </c>
      <c r="E9940" t="s">
        <v>41</v>
      </c>
      <c r="J9940" t="s">
        <v>139</v>
      </c>
      <c r="K9940" t="s">
        <v>140</v>
      </c>
      <c r="L9940">
        <v>1</v>
      </c>
      <c r="M9940" t="s">
        <v>35148</v>
      </c>
      <c r="N9940" t="s">
        <v>436</v>
      </c>
      <c r="O9940" t="s">
        <v>46</v>
      </c>
      <c r="P9940" t="s">
        <v>46</v>
      </c>
      <c r="Y9940" t="s">
        <v>35149</v>
      </c>
    </row>
    <row r="9941" spans="1:25">
      <c r="A9941" t="s">
        <v>35150</v>
      </c>
      <c r="B9941" t="s">
        <v>35151</v>
      </c>
      <c r="D9941" t="s">
        <v>40</v>
      </c>
      <c r="E9941" t="s">
        <v>41</v>
      </c>
      <c r="J9941" t="s">
        <v>248</v>
      </c>
      <c r="K9941" t="s">
        <v>249</v>
      </c>
      <c r="L9941">
        <v>1</v>
      </c>
      <c r="M9941" t="s">
        <v>35152</v>
      </c>
      <c r="N9941" t="s">
        <v>31581</v>
      </c>
      <c r="O9941" t="s">
        <v>46</v>
      </c>
      <c r="P9941" t="s">
        <v>46</v>
      </c>
      <c r="Y9941" t="s">
        <v>35153</v>
      </c>
    </row>
    <row r="9942" spans="1:25">
      <c r="A9942" t="s">
        <v>35154</v>
      </c>
      <c r="B9942" t="s">
        <v>35155</v>
      </c>
      <c r="D9942" t="s">
        <v>40</v>
      </c>
      <c r="E9942" t="s">
        <v>41</v>
      </c>
      <c r="J9942" t="s">
        <v>139</v>
      </c>
      <c r="K9942" t="s">
        <v>140</v>
      </c>
      <c r="L9942">
        <v>1</v>
      </c>
      <c r="M9942" t="s">
        <v>35156</v>
      </c>
      <c r="N9942" t="s">
        <v>924</v>
      </c>
      <c r="O9942" t="s">
        <v>46</v>
      </c>
      <c r="P9942" t="s">
        <v>46</v>
      </c>
      <c r="Y9942" t="s">
        <v>35157</v>
      </c>
    </row>
    <row r="9943" spans="1:25">
      <c r="A9943" t="s">
        <v>35158</v>
      </c>
      <c r="B9943" t="s">
        <v>35159</v>
      </c>
      <c r="D9943" t="s">
        <v>40</v>
      </c>
      <c r="E9943" t="s">
        <v>41</v>
      </c>
      <c r="J9943" t="s">
        <v>1142</v>
      </c>
      <c r="K9943" t="s">
        <v>1143</v>
      </c>
      <c r="L9943">
        <v>1</v>
      </c>
      <c r="M9943" t="s">
        <v>35160</v>
      </c>
      <c r="N9943" t="s">
        <v>752</v>
      </c>
      <c r="O9943" t="s">
        <v>46</v>
      </c>
      <c r="P9943" t="s">
        <v>46</v>
      </c>
      <c r="Y9943" t="s">
        <v>35161</v>
      </c>
    </row>
    <row r="9944" spans="1:25">
      <c r="A9944" t="s">
        <v>35162</v>
      </c>
      <c r="B9944" t="s">
        <v>35163</v>
      </c>
      <c r="D9944" t="s">
        <v>40</v>
      </c>
      <c r="E9944" t="s">
        <v>41</v>
      </c>
      <c r="J9944" t="s">
        <v>248</v>
      </c>
      <c r="K9944" t="s">
        <v>249</v>
      </c>
      <c r="L9944">
        <v>1</v>
      </c>
      <c r="M9944" t="s">
        <v>35164</v>
      </c>
      <c r="N9944" t="s">
        <v>350</v>
      </c>
      <c r="O9944" t="s">
        <v>46</v>
      </c>
      <c r="P9944" t="s">
        <v>46</v>
      </c>
      <c r="Y9944" t="s">
        <v>35165</v>
      </c>
    </row>
    <row r="9945" spans="1:25">
      <c r="A9945" t="s">
        <v>35166</v>
      </c>
      <c r="B9945" t="s">
        <v>35167</v>
      </c>
      <c r="D9945" t="s">
        <v>40</v>
      </c>
      <c r="E9945" t="s">
        <v>41</v>
      </c>
      <c r="J9945" t="s">
        <v>139</v>
      </c>
      <c r="K9945" t="s">
        <v>140</v>
      </c>
      <c r="L9945">
        <v>1</v>
      </c>
      <c r="M9945" t="s">
        <v>35164</v>
      </c>
      <c r="N9945" t="s">
        <v>24245</v>
      </c>
      <c r="O9945" t="s">
        <v>46</v>
      </c>
      <c r="P9945" t="s">
        <v>46</v>
      </c>
      <c r="Y9945" t="s">
        <v>35168</v>
      </c>
    </row>
    <row r="9946" spans="1:25">
      <c r="A9946" t="s">
        <v>35169</v>
      </c>
      <c r="B9946" t="s">
        <v>35170</v>
      </c>
      <c r="D9946" t="s">
        <v>40</v>
      </c>
      <c r="E9946" t="s">
        <v>41</v>
      </c>
      <c r="J9946" t="s">
        <v>248</v>
      </c>
      <c r="K9946" t="s">
        <v>249</v>
      </c>
      <c r="L9946">
        <v>1</v>
      </c>
      <c r="M9946" t="s">
        <v>35171</v>
      </c>
      <c r="N9946" t="s">
        <v>3013</v>
      </c>
      <c r="O9946" t="s">
        <v>46</v>
      </c>
      <c r="P9946" t="s">
        <v>46</v>
      </c>
      <c r="Y9946" t="s">
        <v>35172</v>
      </c>
    </row>
    <row r="9947" spans="1:25">
      <c r="A9947" t="s">
        <v>35173</v>
      </c>
      <c r="B9947" t="s">
        <v>35174</v>
      </c>
      <c r="D9947" t="s">
        <v>40</v>
      </c>
      <c r="E9947" t="s">
        <v>41</v>
      </c>
      <c r="J9947" t="s">
        <v>248</v>
      </c>
      <c r="K9947" t="s">
        <v>249</v>
      </c>
      <c r="L9947">
        <v>1</v>
      </c>
      <c r="M9947" t="s">
        <v>35175</v>
      </c>
      <c r="N9947" t="s">
        <v>950</v>
      </c>
      <c r="O9947" t="s">
        <v>46</v>
      </c>
      <c r="P9947" t="s">
        <v>46</v>
      </c>
      <c r="Y9947" t="s">
        <v>35176</v>
      </c>
    </row>
    <row r="9948" spans="1:25">
      <c r="A9948" t="s">
        <v>35177</v>
      </c>
      <c r="B9948" t="s">
        <v>35178</v>
      </c>
      <c r="D9948" t="s">
        <v>40</v>
      </c>
      <c r="E9948" t="s">
        <v>41</v>
      </c>
      <c r="J9948" t="s">
        <v>1142</v>
      </c>
      <c r="K9948" t="s">
        <v>1143</v>
      </c>
      <c r="L9948">
        <v>1</v>
      </c>
      <c r="M9948" t="s">
        <v>35179</v>
      </c>
      <c r="N9948" t="s">
        <v>31581</v>
      </c>
      <c r="O9948" t="s">
        <v>46</v>
      </c>
      <c r="P9948" t="s">
        <v>46</v>
      </c>
      <c r="Y9948" t="s">
        <v>35180</v>
      </c>
    </row>
    <row r="9949" spans="1:25">
      <c r="A9949" t="s">
        <v>35181</v>
      </c>
      <c r="B9949" t="s">
        <v>35182</v>
      </c>
      <c r="D9949" t="s">
        <v>40</v>
      </c>
      <c r="E9949" t="s">
        <v>41</v>
      </c>
      <c r="J9949" t="s">
        <v>248</v>
      </c>
      <c r="K9949" t="s">
        <v>249</v>
      </c>
      <c r="L9949">
        <v>1</v>
      </c>
      <c r="M9949" t="s">
        <v>35183</v>
      </c>
      <c r="N9949" t="s">
        <v>142</v>
      </c>
      <c r="O9949" t="s">
        <v>46</v>
      </c>
      <c r="P9949" t="s">
        <v>46</v>
      </c>
      <c r="Y9949" t="s">
        <v>35184</v>
      </c>
    </row>
    <row r="9950" spans="1:25">
      <c r="A9950" t="s">
        <v>35185</v>
      </c>
      <c r="B9950" t="s">
        <v>35186</v>
      </c>
      <c r="D9950" t="s">
        <v>40</v>
      </c>
      <c r="E9950" t="s">
        <v>41</v>
      </c>
      <c r="J9950" t="s">
        <v>1554</v>
      </c>
      <c r="K9950" t="s">
        <v>1555</v>
      </c>
      <c r="L9950">
        <v>1</v>
      </c>
      <c r="M9950" t="s">
        <v>35187</v>
      </c>
      <c r="N9950" t="s">
        <v>45</v>
      </c>
      <c r="O9950" t="s">
        <v>46</v>
      </c>
      <c r="P9950" t="s">
        <v>46</v>
      </c>
      <c r="Y9950" t="s">
        <v>35188</v>
      </c>
    </row>
    <row r="9951" spans="1:25">
      <c r="A9951" t="s">
        <v>35189</v>
      </c>
      <c r="B9951" t="s">
        <v>35190</v>
      </c>
      <c r="D9951" t="s">
        <v>40</v>
      </c>
      <c r="E9951" t="s">
        <v>41</v>
      </c>
      <c r="J9951" t="s">
        <v>1142</v>
      </c>
      <c r="K9951" t="s">
        <v>1143</v>
      </c>
      <c r="L9951">
        <v>1</v>
      </c>
      <c r="M9951" t="s">
        <v>35191</v>
      </c>
      <c r="N9951" t="s">
        <v>509</v>
      </c>
      <c r="O9951" t="s">
        <v>46</v>
      </c>
      <c r="P9951" t="s">
        <v>46</v>
      </c>
      <c r="Y9951" t="s">
        <v>35192</v>
      </c>
    </row>
    <row r="9952" spans="1:25">
      <c r="A9952" t="s">
        <v>35193</v>
      </c>
      <c r="B9952" t="s">
        <v>35194</v>
      </c>
      <c r="D9952" t="s">
        <v>40</v>
      </c>
      <c r="E9952" t="s">
        <v>41</v>
      </c>
      <c r="J9952" t="s">
        <v>1554</v>
      </c>
      <c r="K9952" t="s">
        <v>1555</v>
      </c>
      <c r="L9952">
        <v>1</v>
      </c>
      <c r="M9952" t="s">
        <v>35195</v>
      </c>
      <c r="N9952" t="s">
        <v>1024</v>
      </c>
      <c r="O9952" t="s">
        <v>46</v>
      </c>
      <c r="P9952" t="s">
        <v>46</v>
      </c>
      <c r="Y9952" t="s">
        <v>35196</v>
      </c>
    </row>
    <row r="9953" spans="1:25">
      <c r="A9953" t="s">
        <v>35197</v>
      </c>
      <c r="B9953" t="s">
        <v>35198</v>
      </c>
      <c r="D9953" t="s">
        <v>40</v>
      </c>
      <c r="E9953" t="s">
        <v>41</v>
      </c>
      <c r="J9953" t="s">
        <v>248</v>
      </c>
      <c r="K9953" t="s">
        <v>249</v>
      </c>
      <c r="L9953">
        <v>1</v>
      </c>
      <c r="M9953" t="s">
        <v>35199</v>
      </c>
      <c r="N9953" t="s">
        <v>1229</v>
      </c>
      <c r="O9953" t="s">
        <v>46</v>
      </c>
      <c r="P9953" t="s">
        <v>46</v>
      </c>
      <c r="Y9953" t="s">
        <v>35200</v>
      </c>
    </row>
    <row r="9954" spans="1:25">
      <c r="A9954" t="s">
        <v>35201</v>
      </c>
      <c r="B9954" t="s">
        <v>35202</v>
      </c>
      <c r="D9954" t="s">
        <v>40</v>
      </c>
      <c r="E9954" t="s">
        <v>41</v>
      </c>
      <c r="J9954" t="s">
        <v>139</v>
      </c>
      <c r="K9954" t="s">
        <v>140</v>
      </c>
      <c r="L9954">
        <v>1</v>
      </c>
      <c r="M9954" t="s">
        <v>35203</v>
      </c>
      <c r="N9954" t="s">
        <v>3013</v>
      </c>
      <c r="O9954" t="s">
        <v>46</v>
      </c>
      <c r="P9954" t="s">
        <v>46</v>
      </c>
      <c r="Y9954" t="s">
        <v>35204</v>
      </c>
    </row>
    <row r="9955" spans="1:25">
      <c r="A9955" t="s">
        <v>35205</v>
      </c>
      <c r="B9955" t="s">
        <v>35206</v>
      </c>
      <c r="D9955" t="s">
        <v>40</v>
      </c>
      <c r="E9955" t="s">
        <v>41</v>
      </c>
      <c r="J9955" t="s">
        <v>1142</v>
      </c>
      <c r="K9955" t="s">
        <v>1143</v>
      </c>
      <c r="L9955">
        <v>2</v>
      </c>
      <c r="M9955" t="s">
        <v>35207</v>
      </c>
      <c r="N9955" t="s">
        <v>24227</v>
      </c>
      <c r="O9955" t="s">
        <v>46</v>
      </c>
      <c r="P9955" t="s">
        <v>46</v>
      </c>
      <c r="Y9955" t="s">
        <v>35208</v>
      </c>
    </row>
    <row r="9956" spans="1:25">
      <c r="A9956" t="s">
        <v>35209</v>
      </c>
      <c r="B9956" t="s">
        <v>35210</v>
      </c>
      <c r="D9956" t="s">
        <v>40</v>
      </c>
      <c r="E9956" t="s">
        <v>41</v>
      </c>
      <c r="J9956" t="s">
        <v>1142</v>
      </c>
      <c r="K9956" t="s">
        <v>1143</v>
      </c>
      <c r="L9956">
        <v>1</v>
      </c>
      <c r="M9956" t="s">
        <v>35211</v>
      </c>
      <c r="N9956" t="s">
        <v>350</v>
      </c>
      <c r="O9956" t="s">
        <v>46</v>
      </c>
      <c r="P9956" t="s">
        <v>46</v>
      </c>
      <c r="Y9956" t="s">
        <v>35212</v>
      </c>
    </row>
    <row r="9957" spans="1:25">
      <c r="A9957" t="s">
        <v>35213</v>
      </c>
      <c r="B9957" t="s">
        <v>35214</v>
      </c>
      <c r="D9957" t="s">
        <v>40</v>
      </c>
      <c r="E9957" t="s">
        <v>41</v>
      </c>
      <c r="J9957" t="s">
        <v>248</v>
      </c>
      <c r="K9957" t="s">
        <v>249</v>
      </c>
      <c r="L9957">
        <v>1</v>
      </c>
      <c r="M9957" t="s">
        <v>35215</v>
      </c>
      <c r="N9957" t="s">
        <v>1478</v>
      </c>
      <c r="O9957" t="s">
        <v>46</v>
      </c>
      <c r="P9957" t="s">
        <v>46</v>
      </c>
      <c r="Y9957" t="s">
        <v>35216</v>
      </c>
    </row>
    <row r="9958" spans="1:25">
      <c r="A9958" t="s">
        <v>35217</v>
      </c>
      <c r="B9958" t="s">
        <v>35218</v>
      </c>
      <c r="D9958" t="s">
        <v>40</v>
      </c>
      <c r="E9958" t="s">
        <v>41</v>
      </c>
      <c r="J9958" t="s">
        <v>139</v>
      </c>
      <c r="K9958" t="s">
        <v>140</v>
      </c>
      <c r="L9958">
        <v>1</v>
      </c>
      <c r="M9958" t="s">
        <v>35219</v>
      </c>
      <c r="N9958" t="s">
        <v>142</v>
      </c>
      <c r="O9958" t="s">
        <v>46</v>
      </c>
      <c r="P9958" t="s">
        <v>46</v>
      </c>
      <c r="Y9958" t="s">
        <v>35220</v>
      </c>
    </row>
    <row r="9959" spans="1:25">
      <c r="A9959" t="s">
        <v>35221</v>
      </c>
      <c r="B9959" t="s">
        <v>35222</v>
      </c>
      <c r="D9959" t="s">
        <v>40</v>
      </c>
      <c r="E9959" t="s">
        <v>41</v>
      </c>
      <c r="J9959" t="s">
        <v>1142</v>
      </c>
      <c r="K9959" t="s">
        <v>1143</v>
      </c>
      <c r="L9959">
        <v>1</v>
      </c>
      <c r="M9959" t="s">
        <v>35219</v>
      </c>
      <c r="N9959" t="s">
        <v>1024</v>
      </c>
      <c r="O9959" t="s">
        <v>46</v>
      </c>
      <c r="P9959" t="s">
        <v>46</v>
      </c>
      <c r="Y9959" t="s">
        <v>35223</v>
      </c>
    </row>
    <row r="9960" spans="1:25">
      <c r="A9960" t="s">
        <v>35224</v>
      </c>
      <c r="B9960" t="s">
        <v>35225</v>
      </c>
      <c r="D9960" t="s">
        <v>40</v>
      </c>
      <c r="E9960" t="s">
        <v>41</v>
      </c>
      <c r="J9960" t="s">
        <v>248</v>
      </c>
      <c r="K9960" t="s">
        <v>249</v>
      </c>
      <c r="L9960">
        <v>1</v>
      </c>
      <c r="M9960" t="s">
        <v>35226</v>
      </c>
      <c r="N9960" t="s">
        <v>53</v>
      </c>
      <c r="O9960" t="s">
        <v>46</v>
      </c>
      <c r="P9960" t="s">
        <v>46</v>
      </c>
      <c r="Y9960" t="s">
        <v>35227</v>
      </c>
    </row>
    <row r="9961" spans="1:25">
      <c r="A9961" t="s">
        <v>35228</v>
      </c>
      <c r="B9961" t="s">
        <v>35229</v>
      </c>
      <c r="D9961" t="s">
        <v>40</v>
      </c>
      <c r="E9961" t="s">
        <v>41</v>
      </c>
      <c r="J9961" t="s">
        <v>248</v>
      </c>
      <c r="K9961" t="s">
        <v>249</v>
      </c>
      <c r="L9961">
        <v>1</v>
      </c>
      <c r="M9961" t="s">
        <v>35230</v>
      </c>
      <c r="N9961" t="s">
        <v>24245</v>
      </c>
      <c r="O9961" t="s">
        <v>46</v>
      </c>
      <c r="P9961" t="s">
        <v>46</v>
      </c>
      <c r="Y9961" t="s">
        <v>35231</v>
      </c>
    </row>
    <row r="9962" spans="1:25">
      <c r="A9962" t="s">
        <v>35232</v>
      </c>
      <c r="B9962" t="s">
        <v>35233</v>
      </c>
      <c r="D9962" t="s">
        <v>40</v>
      </c>
      <c r="E9962" t="s">
        <v>41</v>
      </c>
      <c r="J9962" t="s">
        <v>248</v>
      </c>
      <c r="K9962" t="s">
        <v>249</v>
      </c>
      <c r="L9962">
        <v>1</v>
      </c>
      <c r="M9962" t="s">
        <v>35234</v>
      </c>
      <c r="N9962" t="s">
        <v>257</v>
      </c>
      <c r="O9962" t="s">
        <v>46</v>
      </c>
      <c r="P9962" t="s">
        <v>46</v>
      </c>
      <c r="Y9962" t="s">
        <v>35235</v>
      </c>
    </row>
    <row r="9963" spans="1:25">
      <c r="A9963" t="s">
        <v>35236</v>
      </c>
      <c r="B9963" t="s">
        <v>35237</v>
      </c>
      <c r="D9963" t="s">
        <v>40</v>
      </c>
      <c r="E9963" t="s">
        <v>41</v>
      </c>
      <c r="J9963" t="s">
        <v>248</v>
      </c>
      <c r="K9963" t="s">
        <v>249</v>
      </c>
      <c r="L9963">
        <v>1</v>
      </c>
      <c r="M9963" t="s">
        <v>35238</v>
      </c>
      <c r="N9963" t="s">
        <v>436</v>
      </c>
      <c r="O9963" t="s">
        <v>46</v>
      </c>
      <c r="P9963" t="s">
        <v>46</v>
      </c>
      <c r="Y9963" t="s">
        <v>35239</v>
      </c>
    </row>
    <row r="9964" spans="1:25">
      <c r="A9964" t="s">
        <v>35240</v>
      </c>
      <c r="B9964" t="s">
        <v>35241</v>
      </c>
      <c r="D9964" t="s">
        <v>40</v>
      </c>
      <c r="E9964" t="s">
        <v>41</v>
      </c>
      <c r="J9964" t="s">
        <v>248</v>
      </c>
      <c r="K9964" t="s">
        <v>249</v>
      </c>
      <c r="L9964">
        <v>1</v>
      </c>
      <c r="M9964" t="s">
        <v>35238</v>
      </c>
      <c r="N9964" t="s">
        <v>1369</v>
      </c>
      <c r="O9964" t="s">
        <v>46</v>
      </c>
      <c r="P9964" t="s">
        <v>46</v>
      </c>
      <c r="Y9964" t="s">
        <v>35242</v>
      </c>
    </row>
    <row r="9965" spans="1:25">
      <c r="A9965" t="s">
        <v>35243</v>
      </c>
      <c r="B9965" t="s">
        <v>35244</v>
      </c>
      <c r="D9965" t="s">
        <v>40</v>
      </c>
      <c r="E9965" t="s">
        <v>41</v>
      </c>
      <c r="J9965" t="s">
        <v>248</v>
      </c>
      <c r="K9965" t="s">
        <v>249</v>
      </c>
      <c r="L9965">
        <v>1</v>
      </c>
      <c r="M9965" t="s">
        <v>35245</v>
      </c>
      <c r="N9965" t="s">
        <v>24245</v>
      </c>
      <c r="O9965" t="s">
        <v>46</v>
      </c>
      <c r="P9965" t="s">
        <v>46</v>
      </c>
      <c r="Y9965" t="s">
        <v>35246</v>
      </c>
    </row>
    <row r="9966" spans="1:25">
      <c r="A9966" t="s">
        <v>35247</v>
      </c>
      <c r="B9966" t="s">
        <v>35248</v>
      </c>
      <c r="D9966" t="s">
        <v>40</v>
      </c>
      <c r="E9966" t="s">
        <v>41</v>
      </c>
      <c r="J9966" t="s">
        <v>248</v>
      </c>
      <c r="K9966" t="s">
        <v>249</v>
      </c>
      <c r="L9966">
        <v>1</v>
      </c>
      <c r="M9966" t="s">
        <v>35249</v>
      </c>
      <c r="N9966" t="s">
        <v>1550</v>
      </c>
      <c r="O9966" t="s">
        <v>46</v>
      </c>
      <c r="P9966" t="s">
        <v>46</v>
      </c>
      <c r="Y9966" t="s">
        <v>35250</v>
      </c>
    </row>
    <row r="9967" spans="1:25">
      <c r="A9967" t="s">
        <v>35251</v>
      </c>
      <c r="B9967" t="s">
        <v>35252</v>
      </c>
      <c r="D9967" t="s">
        <v>40</v>
      </c>
      <c r="E9967" t="s">
        <v>41</v>
      </c>
      <c r="J9967" t="s">
        <v>248</v>
      </c>
      <c r="K9967" t="s">
        <v>249</v>
      </c>
      <c r="L9967">
        <v>1</v>
      </c>
      <c r="M9967" t="s">
        <v>35253</v>
      </c>
      <c r="N9967" t="s">
        <v>142</v>
      </c>
      <c r="O9967" t="s">
        <v>46</v>
      </c>
      <c r="P9967" t="s">
        <v>46</v>
      </c>
      <c r="Y9967" t="s">
        <v>35254</v>
      </c>
    </row>
    <row r="9968" spans="1:25">
      <c r="A9968" t="s">
        <v>35255</v>
      </c>
      <c r="B9968" t="s">
        <v>35256</v>
      </c>
      <c r="D9968" t="s">
        <v>40</v>
      </c>
      <c r="E9968" t="s">
        <v>41</v>
      </c>
      <c r="J9968" t="s">
        <v>6179</v>
      </c>
      <c r="K9968" t="s">
        <v>6180</v>
      </c>
      <c r="L9968">
        <v>1</v>
      </c>
      <c r="M9968" t="s">
        <v>35257</v>
      </c>
      <c r="N9968" t="s">
        <v>2346</v>
      </c>
      <c r="O9968" t="s">
        <v>46</v>
      </c>
      <c r="P9968" t="s">
        <v>46</v>
      </c>
      <c r="Y9968" t="s">
        <v>35258</v>
      </c>
    </row>
    <row r="9969" spans="1:25">
      <c r="A9969" t="s">
        <v>35259</v>
      </c>
      <c r="B9969" t="s">
        <v>35260</v>
      </c>
      <c r="D9969" t="s">
        <v>40</v>
      </c>
      <c r="E9969" t="s">
        <v>41</v>
      </c>
      <c r="J9969" t="s">
        <v>12440</v>
      </c>
      <c r="K9969" t="s">
        <v>12441</v>
      </c>
      <c r="L9969">
        <v>2</v>
      </c>
      <c r="M9969" t="s">
        <v>35261</v>
      </c>
      <c r="N9969" t="s">
        <v>64</v>
      </c>
      <c r="O9969" t="s">
        <v>46</v>
      </c>
      <c r="P9969" t="s">
        <v>46</v>
      </c>
      <c r="Y9969" t="s">
        <v>35262</v>
      </c>
    </row>
    <row r="9970" spans="1:25">
      <c r="A9970" t="s">
        <v>35263</v>
      </c>
      <c r="B9970" t="s">
        <v>35264</v>
      </c>
      <c r="D9970" t="s">
        <v>40</v>
      </c>
      <c r="E9970" t="s">
        <v>41</v>
      </c>
      <c r="J9970" t="s">
        <v>1554</v>
      </c>
      <c r="K9970" t="s">
        <v>1555</v>
      </c>
      <c r="L9970">
        <v>1</v>
      </c>
      <c r="M9970" t="s">
        <v>35265</v>
      </c>
      <c r="N9970" t="s">
        <v>266</v>
      </c>
      <c r="O9970" t="s">
        <v>46</v>
      </c>
      <c r="P9970" t="s">
        <v>46</v>
      </c>
      <c r="Y9970" t="s">
        <v>35266</v>
      </c>
    </row>
    <row r="9971" spans="1:25">
      <c r="A9971" t="s">
        <v>35267</v>
      </c>
      <c r="B9971" t="s">
        <v>35268</v>
      </c>
      <c r="D9971" t="s">
        <v>40</v>
      </c>
      <c r="E9971" t="s">
        <v>41</v>
      </c>
      <c r="J9971" t="s">
        <v>248</v>
      </c>
      <c r="K9971" t="s">
        <v>249</v>
      </c>
      <c r="L9971">
        <v>1</v>
      </c>
      <c r="M9971" t="s">
        <v>35269</v>
      </c>
      <c r="N9971" t="s">
        <v>1229</v>
      </c>
      <c r="O9971" t="s">
        <v>46</v>
      </c>
      <c r="P9971" t="s">
        <v>46</v>
      </c>
      <c r="Y9971" t="s">
        <v>35270</v>
      </c>
    </row>
    <row r="9972" spans="1:25">
      <c r="A9972" t="s">
        <v>35271</v>
      </c>
      <c r="B9972" t="s">
        <v>35272</v>
      </c>
      <c r="D9972" t="s">
        <v>40</v>
      </c>
      <c r="E9972" t="s">
        <v>41</v>
      </c>
      <c r="J9972" t="s">
        <v>248</v>
      </c>
      <c r="K9972" t="s">
        <v>249</v>
      </c>
      <c r="L9972">
        <v>1</v>
      </c>
      <c r="M9972" t="s">
        <v>35273</v>
      </c>
      <c r="N9972" t="s">
        <v>1276</v>
      </c>
      <c r="O9972" t="s">
        <v>46</v>
      </c>
      <c r="P9972" t="s">
        <v>46</v>
      </c>
      <c r="Y9972" t="s">
        <v>35274</v>
      </c>
    </row>
    <row r="9973" spans="1:25">
      <c r="A9973" t="s">
        <v>35275</v>
      </c>
      <c r="B9973" t="s">
        <v>35276</v>
      </c>
      <c r="D9973" t="s">
        <v>40</v>
      </c>
      <c r="E9973" t="s">
        <v>41</v>
      </c>
      <c r="J9973" t="s">
        <v>1554</v>
      </c>
      <c r="K9973" t="s">
        <v>1555</v>
      </c>
      <c r="L9973">
        <v>1</v>
      </c>
      <c r="M9973" t="s">
        <v>35277</v>
      </c>
      <c r="N9973" t="s">
        <v>4037</v>
      </c>
      <c r="O9973" t="s">
        <v>46</v>
      </c>
      <c r="P9973" t="s">
        <v>46</v>
      </c>
      <c r="Y9973" t="s">
        <v>35278</v>
      </c>
    </row>
    <row r="9974" spans="1:25">
      <c r="A9974" t="s">
        <v>35279</v>
      </c>
      <c r="B9974" t="s">
        <v>35280</v>
      </c>
      <c r="D9974" t="s">
        <v>40</v>
      </c>
      <c r="E9974" t="s">
        <v>41</v>
      </c>
      <c r="J9974" t="s">
        <v>248</v>
      </c>
      <c r="K9974" t="s">
        <v>249</v>
      </c>
      <c r="L9974">
        <v>1</v>
      </c>
      <c r="M9974" t="s">
        <v>35277</v>
      </c>
      <c r="N9974" t="s">
        <v>142</v>
      </c>
      <c r="O9974" t="s">
        <v>46</v>
      </c>
      <c r="P9974" t="s">
        <v>46</v>
      </c>
      <c r="Y9974" t="s">
        <v>35281</v>
      </c>
    </row>
    <row r="9975" spans="1:25">
      <c r="A9975" t="s">
        <v>35282</v>
      </c>
      <c r="B9975" t="s">
        <v>35283</v>
      </c>
      <c r="D9975" t="s">
        <v>40</v>
      </c>
      <c r="E9975" t="s">
        <v>41</v>
      </c>
      <c r="J9975" t="s">
        <v>12440</v>
      </c>
      <c r="K9975" t="s">
        <v>12441</v>
      </c>
      <c r="L9975">
        <v>1</v>
      </c>
      <c r="O9975" t="s">
        <v>46</v>
      </c>
      <c r="P9975" t="s">
        <v>46</v>
      </c>
      <c r="Y9975" t="s">
        <v>35284</v>
      </c>
    </row>
    <row r="9976" spans="1:25">
      <c r="A9976" t="s">
        <v>35285</v>
      </c>
      <c r="B9976" t="s">
        <v>35286</v>
      </c>
      <c r="D9976" t="s">
        <v>40</v>
      </c>
      <c r="E9976" t="s">
        <v>41</v>
      </c>
      <c r="J9976" t="s">
        <v>12440</v>
      </c>
      <c r="K9976" t="s">
        <v>12441</v>
      </c>
      <c r="L9976">
        <v>1</v>
      </c>
      <c r="O9976" t="s">
        <v>46</v>
      </c>
      <c r="P9976" t="s">
        <v>46</v>
      </c>
      <c r="Y9976" t="s">
        <v>35287</v>
      </c>
    </row>
    <row r="9977" spans="1:25">
      <c r="A9977" t="s">
        <v>35288</v>
      </c>
      <c r="D9977" t="s">
        <v>40</v>
      </c>
      <c r="E9977" t="s">
        <v>41</v>
      </c>
      <c r="J9977" t="s">
        <v>599</v>
      </c>
      <c r="K9977" t="s">
        <v>600</v>
      </c>
      <c r="L9977">
        <v>0</v>
      </c>
      <c r="O9977" t="s">
        <v>46</v>
      </c>
      <c r="P9977" t="s">
        <v>46</v>
      </c>
      <c r="Y9977" t="s">
        <v>35289</v>
      </c>
    </row>
    <row r="9978" spans="1:25">
      <c r="A9978" t="s">
        <v>35290</v>
      </c>
      <c r="B9978" t="s">
        <v>35291</v>
      </c>
      <c r="D9978" t="s">
        <v>40</v>
      </c>
      <c r="E9978" t="s">
        <v>41</v>
      </c>
      <c r="J9978" t="s">
        <v>12440</v>
      </c>
      <c r="K9978" t="s">
        <v>12441</v>
      </c>
      <c r="L9978">
        <v>1</v>
      </c>
      <c r="O9978" t="s">
        <v>46</v>
      </c>
      <c r="P9978" t="s">
        <v>46</v>
      </c>
      <c r="Y9978" t="s">
        <v>35292</v>
      </c>
    </row>
    <row r="9979" spans="1:25">
      <c r="A9979" t="s">
        <v>35293</v>
      </c>
      <c r="D9979" t="s">
        <v>40</v>
      </c>
      <c r="E9979" t="s">
        <v>41</v>
      </c>
      <c r="J9979" t="s">
        <v>599</v>
      </c>
      <c r="K9979" t="s">
        <v>600</v>
      </c>
      <c r="L9979">
        <v>0</v>
      </c>
      <c r="O9979" t="s">
        <v>46</v>
      </c>
      <c r="P9979" t="s">
        <v>46</v>
      </c>
      <c r="Y9979" t="s">
        <v>35294</v>
      </c>
    </row>
    <row r="9980" spans="1:25">
      <c r="A9980" t="s">
        <v>35295</v>
      </c>
      <c r="B9980" t="s">
        <v>35296</v>
      </c>
      <c r="D9980" t="s">
        <v>40</v>
      </c>
      <c r="E9980" t="s">
        <v>41</v>
      </c>
      <c r="J9980" t="s">
        <v>12440</v>
      </c>
      <c r="K9980" t="s">
        <v>12441</v>
      </c>
      <c r="L9980">
        <v>1</v>
      </c>
      <c r="O9980" t="s">
        <v>46</v>
      </c>
      <c r="P9980" t="s">
        <v>46</v>
      </c>
      <c r="Y9980" t="s">
        <v>35297</v>
      </c>
    </row>
    <row r="9981" spans="1:25">
      <c r="A9981" t="s">
        <v>35298</v>
      </c>
      <c r="B9981" t="s">
        <v>35299</v>
      </c>
      <c r="D9981" t="s">
        <v>40</v>
      </c>
      <c r="E9981" t="s">
        <v>41</v>
      </c>
      <c r="J9981" t="s">
        <v>12440</v>
      </c>
      <c r="K9981" t="s">
        <v>12441</v>
      </c>
      <c r="L9981">
        <v>1</v>
      </c>
      <c r="O9981" t="s">
        <v>46</v>
      </c>
      <c r="P9981" t="s">
        <v>46</v>
      </c>
      <c r="Y9981" t="s">
        <v>35300</v>
      </c>
    </row>
    <row r="9982" spans="1:25">
      <c r="A9982" t="s">
        <v>35301</v>
      </c>
      <c r="D9982" t="s">
        <v>40</v>
      </c>
      <c r="E9982" t="s">
        <v>41</v>
      </c>
      <c r="J9982" t="s">
        <v>599</v>
      </c>
      <c r="K9982" t="s">
        <v>600</v>
      </c>
      <c r="L9982">
        <v>0</v>
      </c>
      <c r="O9982" t="s">
        <v>46</v>
      </c>
      <c r="P9982" t="s">
        <v>46</v>
      </c>
      <c r="Y9982" t="s">
        <v>35302</v>
      </c>
    </row>
    <row r="9983" spans="1:25">
      <c r="A9983" t="s">
        <v>35303</v>
      </c>
      <c r="D9983" t="s">
        <v>40</v>
      </c>
      <c r="E9983" t="s">
        <v>41</v>
      </c>
      <c r="J9983" t="s">
        <v>599</v>
      </c>
      <c r="K9983" t="s">
        <v>600</v>
      </c>
      <c r="L9983">
        <v>0</v>
      </c>
      <c r="O9983" t="s">
        <v>46</v>
      </c>
      <c r="P9983" t="s">
        <v>46</v>
      </c>
      <c r="Y9983" t="s">
        <v>35304</v>
      </c>
    </row>
    <row r="9984" spans="1:25">
      <c r="A9984" t="s">
        <v>35305</v>
      </c>
      <c r="B9984" t="s">
        <v>35306</v>
      </c>
      <c r="D9984" t="s">
        <v>40</v>
      </c>
      <c r="E9984" t="s">
        <v>41</v>
      </c>
      <c r="J9984" t="s">
        <v>12440</v>
      </c>
      <c r="K9984" t="s">
        <v>12441</v>
      </c>
      <c r="L9984">
        <v>1</v>
      </c>
      <c r="O9984" t="s">
        <v>46</v>
      </c>
      <c r="P9984" t="s">
        <v>46</v>
      </c>
      <c r="Y9984" t="s">
        <v>35307</v>
      </c>
    </row>
    <row r="9985" spans="1:25">
      <c r="A9985" t="s">
        <v>35308</v>
      </c>
      <c r="B9985" t="s">
        <v>35309</v>
      </c>
      <c r="D9985" t="s">
        <v>40</v>
      </c>
      <c r="E9985" t="s">
        <v>41</v>
      </c>
      <c r="J9985" t="s">
        <v>12440</v>
      </c>
      <c r="K9985" t="s">
        <v>12441</v>
      </c>
      <c r="L9985">
        <v>1</v>
      </c>
      <c r="O9985" t="s">
        <v>46</v>
      </c>
      <c r="P9985" t="s">
        <v>46</v>
      </c>
      <c r="Y9985" t="s">
        <v>35310</v>
      </c>
    </row>
    <row r="9986" spans="1:25">
      <c r="A9986" t="s">
        <v>35311</v>
      </c>
      <c r="D9986" t="s">
        <v>40</v>
      </c>
      <c r="E9986" t="s">
        <v>41</v>
      </c>
      <c r="J9986" t="s">
        <v>599</v>
      </c>
      <c r="K9986" t="s">
        <v>600</v>
      </c>
      <c r="L9986">
        <v>0</v>
      </c>
      <c r="O9986" t="s">
        <v>46</v>
      </c>
      <c r="P9986" t="s">
        <v>46</v>
      </c>
      <c r="Y9986" t="s">
        <v>35312</v>
      </c>
    </row>
    <row r="9987" spans="1:25">
      <c r="A9987" t="s">
        <v>35313</v>
      </c>
      <c r="D9987" t="s">
        <v>40</v>
      </c>
      <c r="E9987" t="s">
        <v>41</v>
      </c>
      <c r="J9987" t="s">
        <v>599</v>
      </c>
      <c r="K9987" t="s">
        <v>600</v>
      </c>
      <c r="L9987">
        <v>0</v>
      </c>
      <c r="O9987" t="s">
        <v>46</v>
      </c>
      <c r="P9987" t="s">
        <v>46</v>
      </c>
      <c r="Y9987" t="s">
        <v>35314</v>
      </c>
    </row>
    <row r="9988" spans="1:25">
      <c r="A9988" t="s">
        <v>35315</v>
      </c>
      <c r="D9988" t="s">
        <v>40</v>
      </c>
      <c r="E9988" t="s">
        <v>41</v>
      </c>
      <c r="J9988" t="s">
        <v>599</v>
      </c>
      <c r="K9988" t="s">
        <v>600</v>
      </c>
      <c r="L9988">
        <v>0</v>
      </c>
      <c r="O9988" t="s">
        <v>46</v>
      </c>
      <c r="P9988" t="s">
        <v>46</v>
      </c>
      <c r="Y9988" t="s">
        <v>35316</v>
      </c>
    </row>
    <row r="9989" spans="1:25">
      <c r="A9989" t="s">
        <v>35317</v>
      </c>
      <c r="B9989" t="s">
        <v>35318</v>
      </c>
      <c r="D9989" t="s">
        <v>40</v>
      </c>
      <c r="E9989" t="s">
        <v>41</v>
      </c>
      <c r="J9989" t="s">
        <v>12440</v>
      </c>
      <c r="K9989" t="s">
        <v>12441</v>
      </c>
      <c r="L9989">
        <v>1</v>
      </c>
      <c r="O9989" t="s">
        <v>46</v>
      </c>
      <c r="P9989" t="s">
        <v>46</v>
      </c>
      <c r="Y9989" t="s">
        <v>35319</v>
      </c>
    </row>
    <row r="9990" spans="1:25">
      <c r="A9990" t="s">
        <v>35320</v>
      </c>
      <c r="D9990" t="s">
        <v>40</v>
      </c>
      <c r="E9990" t="s">
        <v>41</v>
      </c>
      <c r="J9990" t="s">
        <v>599</v>
      </c>
      <c r="K9990" t="s">
        <v>600</v>
      </c>
      <c r="L9990">
        <v>0</v>
      </c>
      <c r="O9990" t="s">
        <v>46</v>
      </c>
      <c r="P9990" t="s">
        <v>46</v>
      </c>
      <c r="Y9990" t="s">
        <v>35321</v>
      </c>
    </row>
    <row r="9991" spans="1:25">
      <c r="A9991" t="s">
        <v>35322</v>
      </c>
      <c r="D9991" t="s">
        <v>40</v>
      </c>
      <c r="E9991" t="s">
        <v>41</v>
      </c>
      <c r="J9991" t="s">
        <v>599</v>
      </c>
      <c r="K9991" t="s">
        <v>600</v>
      </c>
      <c r="L9991">
        <v>0</v>
      </c>
      <c r="O9991" t="s">
        <v>46</v>
      </c>
      <c r="P9991" t="s">
        <v>46</v>
      </c>
      <c r="Y9991" t="s">
        <v>35323</v>
      </c>
    </row>
    <row r="9992" spans="1:25">
      <c r="A9992" t="s">
        <v>35324</v>
      </c>
      <c r="D9992" t="s">
        <v>40</v>
      </c>
      <c r="E9992" t="s">
        <v>41</v>
      </c>
      <c r="J9992" t="s">
        <v>599</v>
      </c>
      <c r="K9992" t="s">
        <v>600</v>
      </c>
      <c r="L9992">
        <v>0</v>
      </c>
      <c r="O9992" t="s">
        <v>46</v>
      </c>
      <c r="P9992" t="s">
        <v>46</v>
      </c>
      <c r="Y9992" t="s">
        <v>35325</v>
      </c>
    </row>
    <row r="9993" spans="1:25">
      <c r="A9993" t="s">
        <v>35326</v>
      </c>
      <c r="D9993" t="s">
        <v>40</v>
      </c>
      <c r="E9993" t="s">
        <v>41</v>
      </c>
      <c r="J9993" t="s">
        <v>599</v>
      </c>
      <c r="K9993" t="s">
        <v>600</v>
      </c>
      <c r="L9993">
        <v>0</v>
      </c>
      <c r="O9993" t="s">
        <v>46</v>
      </c>
      <c r="P9993" t="s">
        <v>46</v>
      </c>
      <c r="Y9993" t="s">
        <v>35327</v>
      </c>
    </row>
    <row r="9994" spans="1:25">
      <c r="A9994" t="s">
        <v>35328</v>
      </c>
      <c r="B9994" t="s">
        <v>35329</v>
      </c>
      <c r="D9994" t="s">
        <v>40</v>
      </c>
      <c r="E9994" t="s">
        <v>41</v>
      </c>
      <c r="J9994" t="s">
        <v>12440</v>
      </c>
      <c r="K9994" t="s">
        <v>12441</v>
      </c>
      <c r="L9994">
        <v>1</v>
      </c>
      <c r="O9994" t="s">
        <v>46</v>
      </c>
      <c r="P9994" t="s">
        <v>46</v>
      </c>
      <c r="Y9994" t="s">
        <v>35330</v>
      </c>
    </row>
    <row r="9995" spans="1:25">
      <c r="A9995" t="s">
        <v>35331</v>
      </c>
      <c r="D9995" t="s">
        <v>40</v>
      </c>
      <c r="E9995" t="s">
        <v>41</v>
      </c>
      <c r="J9995" t="s">
        <v>599</v>
      </c>
      <c r="K9995" t="s">
        <v>600</v>
      </c>
      <c r="L9995">
        <v>0</v>
      </c>
      <c r="O9995" t="s">
        <v>46</v>
      </c>
      <c r="P9995" t="s">
        <v>46</v>
      </c>
      <c r="Y9995" t="s">
        <v>35332</v>
      </c>
    </row>
    <row r="9996" spans="1:25">
      <c r="A9996" t="s">
        <v>35333</v>
      </c>
      <c r="D9996" t="s">
        <v>40</v>
      </c>
      <c r="E9996" t="s">
        <v>41</v>
      </c>
      <c r="J9996" t="s">
        <v>599</v>
      </c>
      <c r="K9996" t="s">
        <v>600</v>
      </c>
      <c r="L9996">
        <v>0</v>
      </c>
      <c r="O9996" t="s">
        <v>46</v>
      </c>
      <c r="P9996" t="s">
        <v>46</v>
      </c>
      <c r="Y9996" t="s">
        <v>35334</v>
      </c>
    </row>
    <row r="9997" spans="1:25">
      <c r="A9997" t="s">
        <v>35335</v>
      </c>
      <c r="D9997" t="s">
        <v>40</v>
      </c>
      <c r="E9997" t="s">
        <v>41</v>
      </c>
      <c r="J9997" t="s">
        <v>599</v>
      </c>
      <c r="K9997" t="s">
        <v>600</v>
      </c>
      <c r="L9997">
        <v>0</v>
      </c>
      <c r="O9997" t="s">
        <v>46</v>
      </c>
      <c r="P9997" t="s">
        <v>46</v>
      </c>
      <c r="Y9997" t="s">
        <v>35336</v>
      </c>
    </row>
    <row r="9998" spans="1:25">
      <c r="A9998" t="s">
        <v>35337</v>
      </c>
      <c r="B9998" t="s">
        <v>35338</v>
      </c>
      <c r="D9998" t="s">
        <v>40</v>
      </c>
      <c r="E9998" t="s">
        <v>41</v>
      </c>
      <c r="J9998" t="s">
        <v>12440</v>
      </c>
      <c r="K9998" t="s">
        <v>12441</v>
      </c>
      <c r="L9998">
        <v>1</v>
      </c>
      <c r="O9998" t="s">
        <v>46</v>
      </c>
      <c r="P9998" t="s">
        <v>46</v>
      </c>
      <c r="Y9998" t="s">
        <v>35339</v>
      </c>
    </row>
    <row r="9999" spans="1:25">
      <c r="A9999" t="s">
        <v>35340</v>
      </c>
      <c r="B9999" t="s">
        <v>35341</v>
      </c>
      <c r="D9999" t="s">
        <v>40</v>
      </c>
      <c r="E9999" t="s">
        <v>41</v>
      </c>
      <c r="J9999" t="s">
        <v>12440</v>
      </c>
      <c r="K9999" t="s">
        <v>12441</v>
      </c>
      <c r="L9999">
        <v>1</v>
      </c>
      <c r="O9999" t="s">
        <v>46</v>
      </c>
      <c r="P9999" t="s">
        <v>46</v>
      </c>
      <c r="Y9999" t="s">
        <v>35342</v>
      </c>
    </row>
    <row r="10000" spans="1:25">
      <c r="A10000" t="s">
        <v>35343</v>
      </c>
      <c r="B10000" t="s">
        <v>35344</v>
      </c>
      <c r="D10000" t="s">
        <v>40</v>
      </c>
      <c r="E10000" t="s">
        <v>41</v>
      </c>
      <c r="J10000" t="s">
        <v>12440</v>
      </c>
      <c r="K10000" t="s">
        <v>12441</v>
      </c>
      <c r="L10000">
        <v>1</v>
      </c>
      <c r="O10000" t="s">
        <v>46</v>
      </c>
      <c r="P10000" t="s">
        <v>46</v>
      </c>
      <c r="Y10000" t="s">
        <v>35345</v>
      </c>
    </row>
    <row r="10001" spans="1:25">
      <c r="A10001" t="s">
        <v>35346</v>
      </c>
      <c r="D10001" t="s">
        <v>40</v>
      </c>
      <c r="E10001" t="s">
        <v>41</v>
      </c>
      <c r="J10001" t="s">
        <v>599</v>
      </c>
      <c r="K10001" t="s">
        <v>600</v>
      </c>
      <c r="L10001">
        <v>0</v>
      </c>
      <c r="O10001" t="s">
        <v>46</v>
      </c>
      <c r="P10001" t="s">
        <v>46</v>
      </c>
      <c r="Y10001" t="s">
        <v>35347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10</v>
      </c>
      <c r="B1" s="1" t="s">
        <v>35348</v>
      </c>
    </row>
    <row r="2" spans="1:2">
      <c r="A2" s="2" t="s">
        <v>183</v>
      </c>
      <c r="B2" s="3">
        <v>2446</v>
      </c>
    </row>
    <row r="3" spans="1:2">
      <c r="A3" s="2" t="s">
        <v>249</v>
      </c>
      <c r="B3" s="3">
        <v>1471</v>
      </c>
    </row>
    <row r="4" spans="1:2">
      <c r="A4" s="2" t="s">
        <v>69</v>
      </c>
      <c r="B4" s="3">
        <v>1411</v>
      </c>
    </row>
    <row r="5" spans="1:2">
      <c r="A5" s="2" t="s">
        <v>77</v>
      </c>
      <c r="B5" s="3">
        <v>1359</v>
      </c>
    </row>
    <row r="6" spans="1:2">
      <c r="A6" s="2" t="s">
        <v>140</v>
      </c>
      <c r="B6" s="3">
        <v>743</v>
      </c>
    </row>
    <row r="7" spans="1:2">
      <c r="A7" s="2" t="s">
        <v>43</v>
      </c>
      <c r="B7" s="3">
        <v>546</v>
      </c>
    </row>
    <row r="8" spans="1:2">
      <c r="A8" s="2" t="s">
        <v>1143</v>
      </c>
      <c r="B8" s="3">
        <v>369</v>
      </c>
    </row>
    <row r="9" spans="1:2">
      <c r="A9" s="2" t="s">
        <v>1555</v>
      </c>
      <c r="B9" s="3">
        <v>296</v>
      </c>
    </row>
    <row r="10" spans="1:2">
      <c r="A10" s="2" t="s">
        <v>63</v>
      </c>
      <c r="B10" s="3">
        <v>292</v>
      </c>
    </row>
    <row r="11" spans="1:2">
      <c r="A11" s="2" t="s">
        <v>12441</v>
      </c>
      <c r="B11" s="3">
        <v>187</v>
      </c>
    </row>
    <row r="12" spans="1:2">
      <c r="A12" s="2" t="s">
        <v>600</v>
      </c>
      <c r="B12" s="3">
        <v>113</v>
      </c>
    </row>
    <row r="13" spans="1:2">
      <c r="A13" s="2" t="s">
        <v>265</v>
      </c>
      <c r="B13" s="3">
        <v>108</v>
      </c>
    </row>
    <row r="14" spans="1:2">
      <c r="A14" s="2" t="s">
        <v>6256</v>
      </c>
      <c r="B14" s="3">
        <v>75</v>
      </c>
    </row>
    <row r="15" spans="1:2">
      <c r="A15" s="2" t="s">
        <v>11803</v>
      </c>
      <c r="B15" s="3">
        <v>74</v>
      </c>
    </row>
    <row r="16" spans="1:2">
      <c r="A16" s="2" t="s">
        <v>51</v>
      </c>
      <c r="B16" s="3">
        <v>71</v>
      </c>
    </row>
    <row r="17" spans="1:2">
      <c r="A17" s="2" t="s">
        <v>6180</v>
      </c>
      <c r="B17" s="3">
        <v>70</v>
      </c>
    </row>
    <row r="18" spans="1:2">
      <c r="A18" s="2" t="s">
        <v>14559</v>
      </c>
      <c r="B18" s="3">
        <v>51</v>
      </c>
    </row>
    <row r="19" spans="1:2">
      <c r="A19" s="2" t="s">
        <v>922</v>
      </c>
      <c r="B19" s="3">
        <v>50</v>
      </c>
    </row>
    <row r="20" spans="1:2">
      <c r="A20" s="2" t="s">
        <v>912</v>
      </c>
      <c r="B20" s="3">
        <v>37</v>
      </c>
    </row>
    <row r="21" spans="1:2">
      <c r="A21" s="2" t="s">
        <v>1215</v>
      </c>
      <c r="B21" s="3">
        <v>29</v>
      </c>
    </row>
    <row r="22" spans="1:2">
      <c r="A22" s="2" t="s">
        <v>9160</v>
      </c>
      <c r="B22" s="3">
        <v>24</v>
      </c>
    </row>
    <row r="23" spans="1:2">
      <c r="A23" s="2" t="s">
        <v>646</v>
      </c>
      <c r="B23" s="3">
        <v>24</v>
      </c>
    </row>
    <row r="24" spans="1:2">
      <c r="A24" s="2" t="s">
        <v>1573</v>
      </c>
      <c r="B24" s="3">
        <v>23</v>
      </c>
    </row>
    <row r="25" spans="1:2">
      <c r="A25" s="2" t="s">
        <v>289</v>
      </c>
      <c r="B25" s="3">
        <v>22</v>
      </c>
    </row>
    <row r="26" spans="1:2">
      <c r="A26" s="2" t="s">
        <v>16459</v>
      </c>
      <c r="B26" s="3">
        <v>20</v>
      </c>
    </row>
    <row r="27" spans="1:2">
      <c r="A27" s="2" t="s">
        <v>1339</v>
      </c>
      <c r="B27" s="3">
        <v>15</v>
      </c>
    </row>
    <row r="28" spans="1:2">
      <c r="A28" s="2" t="s">
        <v>22448</v>
      </c>
      <c r="B28" s="3">
        <v>15</v>
      </c>
    </row>
    <row r="29" spans="1:2">
      <c r="A29" s="2" t="s">
        <v>1115</v>
      </c>
      <c r="B29" s="3">
        <v>14</v>
      </c>
    </row>
    <row r="30" spans="1:2">
      <c r="A30" s="2" t="s">
        <v>893</v>
      </c>
      <c r="B30" s="3">
        <v>14</v>
      </c>
    </row>
    <row r="31" spans="1:2">
      <c r="A31" s="2" t="s">
        <v>23072</v>
      </c>
      <c r="B31" s="3">
        <v>12</v>
      </c>
    </row>
    <row r="32" spans="1:2">
      <c r="A32" s="2" t="s">
        <v>1998</v>
      </c>
      <c r="B32" s="3">
        <v>7</v>
      </c>
    </row>
    <row r="33" spans="1:2">
      <c r="A33" s="2" t="s">
        <v>24951</v>
      </c>
      <c r="B33" s="3">
        <v>5</v>
      </c>
    </row>
    <row r="34" spans="1:2">
      <c r="A34" s="2" t="s">
        <v>23220</v>
      </c>
      <c r="B34" s="3">
        <v>3</v>
      </c>
    </row>
    <row r="35" spans="1:2">
      <c r="A35" s="2" t="s">
        <v>15967</v>
      </c>
      <c r="B35" s="3">
        <v>2</v>
      </c>
    </row>
    <row r="36" spans="1:2">
      <c r="A36" s="2" t="s">
        <v>9895</v>
      </c>
      <c r="B36" s="3">
        <v>1</v>
      </c>
    </row>
    <row r="37" spans="1:2">
      <c r="A37" s="2" t="s">
        <v>27698</v>
      </c>
      <c r="B37" s="3">
        <v>1</v>
      </c>
    </row>
    <row r="38" spans="1:2">
      <c r="A38" s="4" t="s">
        <v>35349</v>
      </c>
      <c r="B38" s="4">
        <v>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2"/>
  <sheetViews>
    <sheetView workbookViewId="0"/>
  </sheetViews>
  <sheetFormatPr defaultRowHeight="15"/>
  <cols>
    <col min="1" max="1" width="25.7109375" customWidth="1"/>
    <col min="2" max="2" width="15.7109375" customWidth="1"/>
    <col min="3" max="3" width="30.7109375" customWidth="1"/>
    <col min="4" max="4" width="15.7109375" customWidth="1"/>
    <col min="5" max="5" width="35.7109375" customWidth="1"/>
    <col min="6" max="6" width="15.7109375" customWidth="1"/>
    <col min="7" max="7" width="30.7109375" customWidth="1"/>
    <col min="8" max="8" width="15.7109375" customWidth="1"/>
    <col min="9" max="9" width="30.7109375" customWidth="1"/>
    <col min="10" max="10" width="15.7109375" customWidth="1"/>
  </cols>
  <sheetData>
    <row r="1" spans="1:10">
      <c r="A1" s="5" t="s">
        <v>35350</v>
      </c>
      <c r="B1" s="5"/>
      <c r="C1" s="5"/>
      <c r="D1" s="5"/>
      <c r="E1" s="5"/>
      <c r="F1" s="5"/>
      <c r="G1" s="5"/>
      <c r="H1" s="5"/>
      <c r="I1" s="5"/>
      <c r="J1" s="5"/>
    </row>
    <row r="2" spans="1:10">
      <c r="A2" s="5"/>
      <c r="B2" s="5"/>
      <c r="C2" s="5"/>
      <c r="D2" s="5"/>
      <c r="E2" s="5"/>
      <c r="F2" s="5"/>
      <c r="G2" s="5"/>
      <c r="H2" s="5"/>
      <c r="I2" s="5"/>
      <c r="J2" s="5"/>
    </row>
    <row r="5" spans="1:10">
      <c r="B5" s="1" t="s">
        <v>35351</v>
      </c>
      <c r="C5" s="1" t="s">
        <v>35352</v>
      </c>
      <c r="D5" s="1" t="s">
        <v>35353</v>
      </c>
      <c r="E5" s="1" t="s">
        <v>35352</v>
      </c>
      <c r="F5" s="1" t="s">
        <v>35354</v>
      </c>
      <c r="G5" s="1" t="s">
        <v>35352</v>
      </c>
      <c r="H5" s="1" t="s">
        <v>35355</v>
      </c>
      <c r="I5" s="1" t="s">
        <v>35352</v>
      </c>
    </row>
    <row r="6" spans="1:10">
      <c r="B6" s="2" t="s">
        <v>77</v>
      </c>
      <c r="C6" s="6">
        <f>IFERROR(VLOOKUP("Answering Machine Autodial", Pivot!$A$2:$B$37, 2, FALSE), 0)</f>
        <v>0</v>
      </c>
      <c r="D6" s="2" t="s">
        <v>35367</v>
      </c>
      <c r="E6" s="6">
        <f>IFERROR(VLOOKUP("Sale Made - Completed Mandate", Pivot!$A$2:$B$37, 2, FALSE), 0)</f>
        <v>0</v>
      </c>
      <c r="F6" s="2" t="s">
        <v>6256</v>
      </c>
      <c r="G6" s="6">
        <f>IFERROR(VLOOKUP("Already Contacted", Pivot!$A$2:$B$37, 2, FALSE), 0)</f>
        <v>0</v>
      </c>
      <c r="H6" s="2" t="s">
        <v>43</v>
      </c>
      <c r="I6" s="6">
        <f>IFERROR(VLOOKUP("Client Hung Up", Pivot!$A$2:$B$37, 2, FALSE), 0)</f>
        <v>0</v>
      </c>
    </row>
    <row r="7" spans="1:10">
      <c r="B7" s="2" t="s">
        <v>183</v>
      </c>
      <c r="C7" s="6">
        <f>IFERROR(VLOOKUP("No Answer Autodial", Pivot!$A$2:$B$37, 2, FALSE), 0)</f>
        <v>0</v>
      </c>
      <c r="D7" s="2" t="s">
        <v>35368</v>
      </c>
      <c r="E7" s="6">
        <f>IFERROR(VLOOKUP("Sale Made - Pending Mandate", Pivot!$A$2:$B$37, 2, FALSE), 0)</f>
        <v>0</v>
      </c>
      <c r="F7" s="2" t="s">
        <v>893</v>
      </c>
      <c r="G7" s="6">
        <f>IFERROR(VLOOKUP("Existing Client", Pivot!$A$2:$B$37, 2, FALSE), 0)</f>
        <v>0</v>
      </c>
      <c r="H7" s="2" t="s">
        <v>35387</v>
      </c>
      <c r="I7" s="6">
        <f>IFERROR(VLOOKUP("CallBack", Pivot!$A$2:$B$37, 2, FALSE), 0)</f>
        <v>0</v>
      </c>
    </row>
    <row r="8" spans="1:10">
      <c r="B8" s="2" t="s">
        <v>69</v>
      </c>
      <c r="C8" s="6">
        <f>IFERROR(VLOOKUP("Auto Engaged", Pivot!$A$2:$B$37, 2, FALSE), 0)</f>
        <v>0</v>
      </c>
      <c r="D8" s="2" t="s">
        <v>922</v>
      </c>
      <c r="E8" s="6">
        <f>IFERROR(VLOOKUP("Sale Made", Pivot!$A$2:$B$37, 2, FALSE), 0)</f>
        <v>0</v>
      </c>
      <c r="F8" s="2" t="s">
        <v>1143</v>
      </c>
      <c r="G8" s="6">
        <f>IFERROR(VLOOKUP("Unemployed", Pivot!$A$2:$B$37, 2, FALSE), 0)</f>
        <v>0</v>
      </c>
      <c r="H8" s="2" t="s">
        <v>249</v>
      </c>
      <c r="I8" s="6">
        <f>IFERROR(VLOOKUP("Not Interested", Pivot!$A$2:$B$37, 2, FALSE), 0)</f>
        <v>0</v>
      </c>
    </row>
    <row r="9" spans="1:10">
      <c r="B9" s="2" t="s">
        <v>35356</v>
      </c>
      <c r="C9" s="6">
        <f>IFERROR(VLOOKUP("Disconnected Number Auto", Pivot!$A$2:$B$37, 2, FALSE), 0)</f>
        <v>0</v>
      </c>
      <c r="D9" s="2" t="s">
        <v>35369</v>
      </c>
      <c r="E9" s="6">
        <f>IFERROR(VLOOKUP("Tyme Bank Account Sale", Pivot!$A$2:$B$37, 2, FALSE), 0)</f>
        <v>0</v>
      </c>
      <c r="F9" s="2" t="s">
        <v>16459</v>
      </c>
      <c r="G9" s="6">
        <f>IFERROR(VLOOKUP("Wrong Number", Pivot!$A$2:$B$37, 2, FALSE), 0)</f>
        <v>0</v>
      </c>
      <c r="H9" s="2" t="s">
        <v>35388</v>
      </c>
      <c r="I9" s="6">
        <f>IFERROR(VLOOKUP("Not Interested Upfront", Pivot!$A$2:$B$37, 2, FALSE), 0)</f>
        <v>0</v>
      </c>
    </row>
    <row r="10" spans="1:10">
      <c r="B10" s="2" t="s">
        <v>265</v>
      </c>
      <c r="C10" s="6">
        <f>IFERROR(VLOOKUP("Answering Machine", Pivot!$A$2:$B$37, 2, FALSE), 0)</f>
        <v>0</v>
      </c>
      <c r="D10" s="2" t="s">
        <v>35370</v>
      </c>
      <c r="E10" s="6">
        <f>IFERROR(VLOOKUP("QA Rework", Pivot!$A$2:$B$37, 2, FALSE), 0)</f>
        <v>0</v>
      </c>
      <c r="F10" s="2" t="s">
        <v>600</v>
      </c>
      <c r="G10" s="6">
        <f>IFERROR(VLOOKUP("Do Not Call", Pivot!$A$2:$B$37, 2, FALSE), 0)</f>
        <v>0</v>
      </c>
      <c r="H10" s="2" t="s">
        <v>35389</v>
      </c>
      <c r="I10" s="6">
        <f>IFERROR(VLOOKUP("Cannot Afford Premium", Pivot!$A$2:$B$37, 2, FALSE), 0)</f>
        <v>0</v>
      </c>
    </row>
    <row r="11" spans="1:10">
      <c r="B11" s="2" t="s">
        <v>12441</v>
      </c>
      <c r="C11" s="6">
        <f>IFERROR(VLOOKUP("Selected", Pivot!$A$2:$B$37, 2, FALSE), 0)</f>
        <v>0</v>
      </c>
      <c r="F11" s="2" t="s">
        <v>35371</v>
      </c>
      <c r="G11" s="6">
        <f>IFERROR(VLOOKUP("No Smartphones", Pivot!$A$2:$B$37, 2, FALSE), 0)</f>
        <v>0</v>
      </c>
      <c r="H11" s="2" t="s">
        <v>35390</v>
      </c>
      <c r="I11" s="6">
        <f>IFERROR(VLOOKUP("Not interested - Pitched", Pivot!$A$2:$B$37, 2, FALSE), 0)</f>
        <v>0</v>
      </c>
    </row>
    <row r="12" spans="1:10">
      <c r="B12" s="2" t="s">
        <v>51</v>
      </c>
      <c r="C12" s="6">
        <f>IFERROR(VLOOKUP("No Answer", Pivot!$A$2:$B$37, 2, FALSE), 0)</f>
        <v>0</v>
      </c>
      <c r="F12" s="2" t="s">
        <v>23072</v>
      </c>
      <c r="G12" s="6">
        <f>IFERROR(VLOOKUP("Client Deceased", Pivot!$A$2:$B$37, 2, FALSE), 0)</f>
        <v>0</v>
      </c>
      <c r="H12" s="2" t="s">
        <v>1555</v>
      </c>
      <c r="I12" s="6">
        <f>IFERROR(VLOOKUP("Affordability", Pivot!$A$2:$B$37, 2, FALSE), 0)</f>
        <v>0</v>
      </c>
    </row>
    <row r="13" spans="1:10">
      <c r="B13" s="2" t="s">
        <v>289</v>
      </c>
      <c r="C13" s="6">
        <f>IFERROR(VLOOKUP("Busy Tone", Pivot!$A$2:$B$37, 2, FALSE), 0)</f>
        <v>0</v>
      </c>
      <c r="F13" s="2" t="s">
        <v>35372</v>
      </c>
      <c r="G13" s="6">
        <f>IFERROR(VLOOKUP("Right Party Not Available", Pivot!$A$2:$B$37, 2, FALSE), 0)</f>
        <v>0</v>
      </c>
      <c r="H13" s="2" t="s">
        <v>35391</v>
      </c>
      <c r="I13" s="6">
        <f>IFERROR(VLOOKUP("Quoted Client Not Interested", Pivot!$A$2:$B$37, 2, FALSE), 0)</f>
        <v>0</v>
      </c>
    </row>
    <row r="14" spans="1:10">
      <c r="B14" s="2" t="s">
        <v>1573</v>
      </c>
      <c r="C14" s="6">
        <f>IFERROR(VLOOKUP("Dropped", Pivot!$A$2:$B$37, 2, FALSE), 0)</f>
        <v>0</v>
      </c>
      <c r="F14" s="2" t="s">
        <v>6180</v>
      </c>
      <c r="G14" s="6">
        <f>IFERROR(VLOOKUP("Client Overage Limit", Pivot!$A$2:$B$37, 2, FALSE), 0)</f>
        <v>0</v>
      </c>
      <c r="H14" s="2" t="s">
        <v>35392</v>
      </c>
      <c r="I14" s="6">
        <f>IFERROR(VLOOKUP("Not interested business does not use speed point mac", Pivot!$A$2:$B$37, 2, FALSE), 0)</f>
        <v>0</v>
      </c>
    </row>
    <row r="15" spans="1:10">
      <c r="B15" s="2" t="s">
        <v>35357</v>
      </c>
      <c r="C15" s="6">
        <f>IFERROR(VLOOKUP("New", Pivot!$A$2:$B$37, 2, FALSE), 0)</f>
        <v>0</v>
      </c>
      <c r="F15" s="2" t="s">
        <v>1998</v>
      </c>
      <c r="G15" s="6">
        <f>IFERROR(VLOOKUP("Language Barrier", Pivot!$A$2:$B$37, 2, FALSE), 0)</f>
        <v>0</v>
      </c>
      <c r="H15" s="2" t="s">
        <v>35393</v>
      </c>
      <c r="I15" s="6">
        <f>IFERROR(VLOOKUP("Call Back Technical Error", Pivot!$A$2:$B$37, 2, FALSE), 0)</f>
        <v>0</v>
      </c>
    </row>
    <row r="16" spans="1:10">
      <c r="B16" s="2" t="s">
        <v>1215</v>
      </c>
      <c r="C16" s="6">
        <f>IFERROR(VLOOKUP("Call Dropped", Pivot!$A$2:$B$37, 2, FALSE), 0)</f>
        <v>0</v>
      </c>
      <c r="F16" s="2" t="s">
        <v>35373</v>
      </c>
      <c r="G16" s="6">
        <f>IFERROR(VLOOKUP("Non SA Citizen", Pivot!$A$2:$B$37, 2, FALSE), 0)</f>
        <v>0</v>
      </c>
      <c r="H16" s="2" t="s">
        <v>24951</v>
      </c>
      <c r="I16" s="6">
        <f>IFERROR(VLOOKUP("Not Interested Transaction Fees", Pivot!$A$2:$B$37, 2, FALSE), 0)</f>
        <v>0</v>
      </c>
    </row>
    <row r="17" spans="2:9">
      <c r="B17" s="2" t="s">
        <v>35358</v>
      </c>
      <c r="C17" s="6">
        <f>IFERROR(VLOOKUP("Inbound After Hours Drop", Pivot!$A$2:$B$37, 2, FALSE), 0)</f>
        <v>0</v>
      </c>
      <c r="F17" s="2" t="s">
        <v>35374</v>
      </c>
      <c r="G17" s="6">
        <f>IFERROR(VLOOKUP("No Bank Account", Pivot!$A$2:$B$37, 2, FALSE), 0)</f>
        <v>0</v>
      </c>
      <c r="H17" s="2" t="s">
        <v>35394</v>
      </c>
      <c r="I17" s="6">
        <f>IFERROR(VLOOKUP("Cannot Afford", Pivot!$A$2:$B$37, 2, FALSE), 0)</f>
        <v>0</v>
      </c>
    </row>
    <row r="18" spans="2:9">
      <c r="B18" s="2" t="s">
        <v>35359</v>
      </c>
      <c r="C18" s="6">
        <f>IFERROR(VLOOKUP("TPS Registered Number", Pivot!$A$2:$B$37, 2, FALSE), 0)</f>
        <v>0</v>
      </c>
      <c r="F18" s="2" t="s">
        <v>35375</v>
      </c>
      <c r="G18" s="6">
        <f>IFERROR(VLOOKUP("Client Underage", Pivot!$A$2:$B$37, 2, FALSE), 0)</f>
        <v>0</v>
      </c>
      <c r="H18" s="2" t="s">
        <v>35395</v>
      </c>
      <c r="I18" s="6">
        <f>IFERROR(VLOOKUP("Not Interested Household Contents", Pivot!$A$2:$B$37, 2, FALSE), 0)</f>
        <v>0</v>
      </c>
    </row>
    <row r="19" spans="2:9">
      <c r="B19" s="2" t="s">
        <v>646</v>
      </c>
      <c r="C19" s="6">
        <f>IFERROR(VLOOKUP("Temporary Disconnected Number", Pivot!$A$2:$B$37, 2, FALSE), 0)</f>
        <v>0</v>
      </c>
      <c r="F19" s="2" t="s">
        <v>35376</v>
      </c>
      <c r="G19" s="6">
        <f>IFERROR(VLOOKUP("Go To The Branch", Pivot!$A$2:$B$37, 2, FALSE), 0)</f>
        <v>0</v>
      </c>
      <c r="H19" s="2" t="s">
        <v>35396</v>
      </c>
      <c r="I19" s="6">
        <f>IFERROR(VLOOKUP("Call Back Hold", Pivot!$A$2:$B$37, 2, FALSE), 0)</f>
        <v>0</v>
      </c>
    </row>
    <row r="20" spans="2:9">
      <c r="B20" s="2" t="s">
        <v>1339</v>
      </c>
      <c r="C20" s="6">
        <f>IFERROR(VLOOKUP("Bad Line Quality", Pivot!$A$2:$B$37, 2, FALSE), 0)</f>
        <v>0</v>
      </c>
      <c r="F20" s="2" t="s">
        <v>35377</v>
      </c>
      <c r="G20" s="6">
        <f>IFERROR(VLOOKUP("Completed", Pivot!$A$2:$B$37, 2, FALSE), 0)</f>
        <v>0</v>
      </c>
      <c r="H20" s="2" t="s">
        <v>35397</v>
      </c>
      <c r="I20" s="6">
        <f>IFERROR(VLOOKUP("Declined Sale", Pivot!$A$2:$B$37, 2, FALSE), 0)</f>
        <v>0</v>
      </c>
    </row>
    <row r="21" spans="2:9">
      <c r="B21" s="2" t="s">
        <v>9895</v>
      </c>
      <c r="C21" s="6">
        <f>IFERROR(VLOOKUP("Inbound Abandon", Pivot!$A$2:$B$37, 2, FALSE), 0)</f>
        <v>0</v>
      </c>
      <c r="F21" s="2" t="s">
        <v>35378</v>
      </c>
      <c r="G21" s="6">
        <f>IFERROR(VLOOKUP("Cannot Afford Upfront Payment", Pivot!$A$2:$B$37, 2, FALSE), 0)</f>
        <v>0</v>
      </c>
    </row>
    <row r="22" spans="2:9">
      <c r="B22" s="2" t="s">
        <v>35360</v>
      </c>
      <c r="C22" s="6">
        <f>IFERROR(VLOOKUP("Outbound Pre-Routing Drop", Pivot!$A$2:$B$37, 2, FALSE), 0)</f>
        <v>0</v>
      </c>
      <c r="F22" s="2" t="s">
        <v>35379</v>
      </c>
      <c r="G22" s="6">
        <f>IFERROR(VLOOKUP("Account Suspended", Pivot!$A$2:$B$37, 2, FALSE), 0)</f>
        <v>0</v>
      </c>
    </row>
    <row r="23" spans="2:9">
      <c r="B23" s="2" t="s">
        <v>15967</v>
      </c>
      <c r="C23" s="6">
        <f>IFERROR(VLOOKUP("Engaged", Pivot!$A$2:$B$37, 2, FALSE), 0)</f>
        <v>0</v>
      </c>
      <c r="F23" s="2" t="s">
        <v>35380</v>
      </c>
      <c r="G23" s="6">
        <f>IFERROR(VLOOKUP("Insured at another company", Pivot!$A$2:$B$37, 2, FALSE), 0)</f>
        <v>0</v>
      </c>
    </row>
    <row r="24" spans="2:9">
      <c r="B24" s="2" t="s">
        <v>1115</v>
      </c>
      <c r="C24" s="6">
        <f>IFERROR(VLOOKUP("Disconnected", Pivot!$A$2:$B$37, 2, FALSE), 0)</f>
        <v>0</v>
      </c>
      <c r="F24" s="2" t="s">
        <v>35381</v>
      </c>
      <c r="G24" s="6">
        <f>IFERROR(VLOOKUP("Scheduled Appointment", Pivot!$A$2:$B$37, 2, FALSE), 0)</f>
        <v>0</v>
      </c>
    </row>
    <row r="25" spans="2:9">
      <c r="B25" s="2" t="s">
        <v>35361</v>
      </c>
      <c r="C25" s="6">
        <f>IFERROR(VLOOKUP("CONGESTED", Pivot!$A$2:$B$37, 2, FALSE), 0)</f>
        <v>0</v>
      </c>
      <c r="F25" s="2" t="s">
        <v>35382</v>
      </c>
      <c r="G25" s="6">
        <f>IFERROR(VLOOKUP("Refund Request", Pivot!$A$2:$B$37, 2, FALSE), 0)</f>
        <v>0</v>
      </c>
    </row>
    <row r="26" spans="2:9">
      <c r="B26" s="2" t="s">
        <v>35362</v>
      </c>
      <c r="C26" s="6">
        <f>IFERROR(VLOOKUP("Flow Inbound Abandon", Pivot!$A$2:$B$37, 2, FALSE), 0)</f>
        <v>0</v>
      </c>
      <c r="F26" s="2" t="s">
        <v>11803</v>
      </c>
      <c r="G26" s="6">
        <f>IFERROR(VLOOKUP("Does Not Qualify", Pivot!$A$2:$B$37, 2, FALSE), 0)</f>
        <v>0</v>
      </c>
    </row>
    <row r="27" spans="2:9">
      <c r="B27" s="2" t="s">
        <v>27698</v>
      </c>
      <c r="C27" s="6">
        <f>IFERROR(VLOOKUP("Multiple Calls", Pivot!$A$2:$B$37, 2, FALSE), 0)</f>
        <v>0</v>
      </c>
      <c r="F27" s="2" t="s">
        <v>35383</v>
      </c>
      <c r="G27" s="6">
        <f>IFERROR(VLOOKUP("Does Not Have a Business", Pivot!$A$2:$B$37, 2, FALSE), 0)</f>
        <v>0</v>
      </c>
    </row>
    <row r="28" spans="2:9">
      <c r="B28" s="2" t="s">
        <v>35363</v>
      </c>
      <c r="C28" s="6">
        <f>IFERROR(VLOOKUP("Missed", Pivot!$A$2:$B$37, 2, FALSE), 0)</f>
        <v>0</v>
      </c>
      <c r="F28" s="2" t="s">
        <v>35384</v>
      </c>
      <c r="G28" s="6">
        <f>IFERROR(VLOOKUP("Refer To Store - Doesn't want to complete online", Pivot!$A$2:$B$37, 2, FALSE), 0)</f>
        <v>0</v>
      </c>
    </row>
    <row r="29" spans="2:9">
      <c r="B29" s="2" t="s">
        <v>35364</v>
      </c>
      <c r="C29" s="6">
        <f>IFERROR(VLOOKUP("Answered", Pivot!$A$2:$B$37, 2, FALSE), 0)</f>
        <v>0</v>
      </c>
      <c r="F29" s="2" t="s">
        <v>35385</v>
      </c>
      <c r="G29" s="6">
        <f>IFERROR(VLOOKUP("Does Not Need It Now", Pivot!$A$2:$B$37, 2, FALSE), 0)</f>
        <v>0</v>
      </c>
    </row>
    <row r="30" spans="2:9">
      <c r="B30" s="2" t="s">
        <v>35365</v>
      </c>
      <c r="C30" s="6">
        <f>IFERROR(VLOOKUP("Customer drop", Pivot!$A$2:$B$37, 2, FALSE), 0)</f>
        <v>0</v>
      </c>
      <c r="F30" s="2" t="s">
        <v>35386</v>
      </c>
      <c r="G30" s="6">
        <f>IFERROR(VLOOKUP("Technical Issue", Pivot!$A$2:$B$37, 2, FALSE), 0)</f>
        <v>0</v>
      </c>
    </row>
    <row r="31" spans="2:9">
      <c r="B31" s="2" t="s">
        <v>63</v>
      </c>
      <c r="C31" s="6">
        <f>IFERROR(VLOOKUP("Auto Dial Disconnected", Pivot!$A$2:$B$37, 2, FALSE), 0)</f>
        <v>0</v>
      </c>
      <c r="F31" s="2" t="s">
        <v>23220</v>
      </c>
      <c r="G31" s="6">
        <f>IFERROR(VLOOKUP("Unsuccessful Application", Pivot!$A$2:$B$37, 2, FALSE), 0)</f>
        <v>0</v>
      </c>
    </row>
    <row r="32" spans="2:9">
      <c r="B32" s="2" t="s">
        <v>35366</v>
      </c>
      <c r="C32" s="6">
        <f>IFERROR(VLOOKUP("Disconnected Number Temporary", Pivot!$A$2:$B$37, 2, FALSE), 0)</f>
        <v>0</v>
      </c>
    </row>
    <row r="35" spans="1:3">
      <c r="A35" s="7" t="s">
        <v>35398</v>
      </c>
      <c r="B35" s="6">
        <f>SUM(C6:C31)+SUM(E6:E9)</f>
        <v>0</v>
      </c>
    </row>
    <row r="37" spans="1:3">
      <c r="A37" s="7" t="s">
        <v>35399</v>
      </c>
    </row>
    <row r="38" spans="1:3">
      <c r="A38" s="2" t="s">
        <v>35354</v>
      </c>
      <c r="B38" s="6">
        <f>SUM(E6:E9)</f>
        <v>0</v>
      </c>
    </row>
    <row r="39" spans="1:3">
      <c r="A39" s="2" t="s">
        <v>35400</v>
      </c>
      <c r="B39" s="6">
        <f>SUM(I6:I19)</f>
        <v>0</v>
      </c>
    </row>
    <row r="40" spans="1:3">
      <c r="A40" s="2" t="s">
        <v>35401</v>
      </c>
      <c r="B40" s="6">
        <f>SUM(G6:G30)</f>
        <v>0</v>
      </c>
    </row>
    <row r="41" spans="1:3">
      <c r="A41" s="2" t="s">
        <v>35402</v>
      </c>
      <c r="B41" s="6">
        <f>E6</f>
        <v>0</v>
      </c>
    </row>
    <row r="42" spans="1:3">
      <c r="A42" s="2" t="s">
        <v>35403</v>
      </c>
      <c r="B42" s="6">
        <f>B38/B37</f>
        <v>0</v>
      </c>
    </row>
    <row r="43" spans="1:3">
      <c r="A43" s="2" t="s">
        <v>35404</v>
      </c>
      <c r="B43" s="6">
        <f>(B37+B38)/B35</f>
        <v>0</v>
      </c>
    </row>
    <row r="47" spans="1:3">
      <c r="A47" s="7" t="s">
        <v>35405</v>
      </c>
      <c r="B47" s="7" t="s">
        <v>35348</v>
      </c>
      <c r="C47" s="7" t="s">
        <v>35406</v>
      </c>
    </row>
    <row r="48" spans="1:3">
      <c r="A48" s="2" t="s">
        <v>183</v>
      </c>
      <c r="B48" s="3">
        <v>2446</v>
      </c>
      <c r="C48" s="8">
        <f>B47/B35</f>
        <v>0</v>
      </c>
    </row>
    <row r="49" spans="1:3">
      <c r="A49" s="2" t="s">
        <v>249</v>
      </c>
      <c r="B49" s="3">
        <v>1471</v>
      </c>
      <c r="C49" s="8">
        <f>B48/B35</f>
        <v>0</v>
      </c>
    </row>
    <row r="50" spans="1:3">
      <c r="A50" s="2" t="s">
        <v>69</v>
      </c>
      <c r="B50" s="3">
        <v>1411</v>
      </c>
      <c r="C50" s="8">
        <f>B49/B35</f>
        <v>0</v>
      </c>
    </row>
    <row r="51" spans="1:3">
      <c r="A51" s="2" t="s">
        <v>77</v>
      </c>
      <c r="B51" s="3">
        <v>1359</v>
      </c>
      <c r="C51" s="8">
        <f>B50/B35</f>
        <v>0</v>
      </c>
    </row>
    <row r="52" spans="1:3">
      <c r="A52" s="2" t="s">
        <v>140</v>
      </c>
      <c r="B52" s="3">
        <v>743</v>
      </c>
      <c r="C52" s="8">
        <f>B51/B35</f>
        <v>0</v>
      </c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</vt:lpstr>
      <vt:lpstr>Pivot</vt:lpstr>
      <vt:lpstr>Campaign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2026-05-21T03:57:17Z</dcterms:created>
  <dcterms:modified xsi:type="dcterms:W3CDTF">2026-05-21T03:57:17Z</dcterms:modified>
</cp:coreProperties>
</file>